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Pivot Tables" sheetId="2" r:id="rId5"/>
    <sheet state="visible" name="Dashboard" sheetId="3" r:id="rId6"/>
  </sheets>
  <definedNames>
    <definedName name="Slicer_Month">#REF!</definedName>
    <definedName name="Slicer_Region">#REF!</definedName>
    <definedName name="Slicer_Category">#REF!</definedName>
  </definedNames>
  <calcPr/>
  <pivotCaches>
    <pivotCache cacheId="0" r:id="rId7"/>
  </pivotCaches>
  <extLst>
    <ext uri="GoogleSheetsCustomDataVersion2">
      <go:sheetsCustomData xmlns:go="http://customooxmlschemas.google.com/" r:id="rId8" roundtripDataChecksum="MwkgqStQQWYT6jVb5n5aN86cp/dCLhUL8VdVKxGly74="/>
    </ext>
  </extLst>
</workbook>
</file>

<file path=xl/sharedStrings.xml><?xml version="1.0" encoding="utf-8"?>
<sst xmlns="http://schemas.openxmlformats.org/spreadsheetml/2006/main" count="48048" uniqueCount="8057">
  <si>
    <t>Order ID</t>
  </si>
  <si>
    <t>Order Date</t>
  </si>
  <si>
    <t>Region</t>
  </si>
  <si>
    <t>Category</t>
  </si>
  <si>
    <t>Sub-Category</t>
  </si>
  <si>
    <t>Sales</t>
  </si>
  <si>
    <t>Profit</t>
  </si>
  <si>
    <t>Quantity</t>
  </si>
  <si>
    <t>Segment</t>
  </si>
  <si>
    <t>Ship Mode</t>
  </si>
  <si>
    <t>Year</t>
  </si>
  <si>
    <t>Month</t>
  </si>
  <si>
    <t>Profit Status</t>
  </si>
  <si>
    <t>ORD-10001</t>
  </si>
  <si>
    <t>East</t>
  </si>
  <si>
    <t>Furniture</t>
  </si>
  <si>
    <t>Tables</t>
  </si>
  <si>
    <t>Corporate</t>
  </si>
  <si>
    <t>Standard Class</t>
  </si>
  <si>
    <t>ORD-10002</t>
  </si>
  <si>
    <t>West</t>
  </si>
  <si>
    <t>Technology</t>
  </si>
  <si>
    <t>Accessories</t>
  </si>
  <si>
    <t>Consumer</t>
  </si>
  <si>
    <t>First Class</t>
  </si>
  <si>
    <t>ORD-10003</t>
  </si>
  <si>
    <t>South</t>
  </si>
  <si>
    <t>Office Supplies</t>
  </si>
  <si>
    <t>Binders</t>
  </si>
  <si>
    <t>ORD-10004</t>
  </si>
  <si>
    <t>Central</t>
  </si>
  <si>
    <t>Bookcases</t>
  </si>
  <si>
    <t>ORD-10005</t>
  </si>
  <si>
    <t>Paper</t>
  </si>
  <si>
    <t>Home Office</t>
  </si>
  <si>
    <t>Second Class</t>
  </si>
  <si>
    <t>ORD-10006</t>
  </si>
  <si>
    <t>Phones</t>
  </si>
  <si>
    <t>Same Day</t>
  </si>
  <si>
    <t>ORD-10007</t>
  </si>
  <si>
    <t>Storage</t>
  </si>
  <si>
    <t>ORD-10008</t>
  </si>
  <si>
    <t>ORD-10009</t>
  </si>
  <si>
    <t>ORD-10010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</si>
  <si>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</si>
  <si>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</si>
  <si>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</si>
  <si>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</si>
  <si>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</si>
  <si>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</si>
  <si>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</si>
  <si>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</si>
  <si>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</si>
  <si>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</si>
  <si>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Chairs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</si>
  <si>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</si>
  <si>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</si>
  <si>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</si>
  <si>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</si>
  <si>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</si>
  <si>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</si>
  <si>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</si>
  <si>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</si>
  <si>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</si>
  <si>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</si>
  <si>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</si>
  <si>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</si>
  <si>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</si>
  <si>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</si>
  <si>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</si>
  <si>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</si>
  <si>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</si>
  <si>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</si>
  <si>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</si>
  <si>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</si>
  <si>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</si>
  <si>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Machines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</si>
  <si>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</si>
  <si>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</si>
  <si>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</si>
  <si>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</si>
  <si>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</si>
  <si>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</si>
  <si>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</si>
  <si>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</si>
  <si>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</si>
  <si>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</si>
  <si>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</si>
  <si>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</si>
  <si>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</si>
  <si>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</si>
  <si>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</si>
  <si>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</si>
  <si>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</si>
  <si>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</si>
  <si>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</si>
  <si>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</si>
  <si>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</si>
  <si>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</si>
  <si>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</si>
  <si>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</si>
  <si>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</si>
  <si>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</si>
  <si>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</si>
  <si>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</si>
  <si>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</si>
  <si>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</si>
  <si>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</si>
  <si>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</si>
  <si>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</si>
  <si>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</si>
  <si>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</si>
  <si>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</si>
  <si>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</si>
  <si>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</si>
  <si>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</si>
  <si>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</si>
  <si>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</si>
  <si>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</si>
  <si>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</si>
  <si>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</si>
  <si>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</si>
  <si>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</si>
  <si>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</si>
  <si>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</si>
  <si>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</si>
  <si>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</si>
  <si>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</si>
  <si>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</si>
  <si>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</si>
  <si>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</si>
  <si>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</si>
  <si>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</si>
  <si>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</si>
  <si>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</si>
  <si>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</si>
  <si>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</si>
  <si>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</si>
  <si>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</si>
  <si>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</si>
  <si>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</si>
  <si>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</si>
  <si>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</si>
  <si>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</si>
  <si>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</si>
  <si>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</si>
  <si>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</si>
  <si>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</si>
  <si>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</si>
  <si>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</si>
  <si>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</si>
  <si>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</si>
  <si>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</si>
  <si>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</si>
  <si>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</si>
  <si>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</si>
  <si>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</si>
  <si>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</si>
  <si>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</si>
  <si>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</si>
  <si>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</si>
  <si>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</si>
  <si>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</si>
  <si>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</si>
  <si>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</si>
  <si>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</si>
  <si>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</si>
  <si>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</si>
  <si>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</si>
  <si>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</si>
  <si>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</si>
  <si>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</si>
  <si>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</si>
  <si>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</si>
  <si>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</si>
  <si>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</si>
  <si>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</si>
  <si>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</si>
  <si>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</si>
  <si>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</si>
  <si>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</si>
  <si>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</si>
  <si>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</si>
  <si>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</si>
  <si>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</si>
  <si>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</si>
  <si>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</si>
  <si>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</si>
  <si>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</si>
  <si>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</si>
  <si>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</si>
  <si>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</si>
  <si>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</si>
  <si>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</si>
  <si>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</si>
  <si>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</si>
  <si>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</si>
  <si>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</si>
  <si>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</si>
  <si>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</si>
  <si>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</si>
  <si>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</si>
  <si>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</si>
  <si>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</si>
  <si>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</si>
  <si>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</si>
  <si>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</si>
  <si>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</si>
  <si>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</si>
  <si>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</si>
  <si>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</si>
  <si>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</si>
  <si>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</si>
  <si>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</si>
  <si>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</si>
  <si>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</si>
  <si>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</si>
  <si>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</si>
  <si>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</si>
  <si>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</si>
  <si>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</si>
  <si>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</si>
  <si>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</si>
  <si>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</si>
  <si>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</si>
  <si>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</si>
  <si>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</si>
  <si>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</si>
  <si>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</si>
  <si>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</si>
  <si>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</si>
  <si>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</si>
  <si>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</si>
  <si>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</si>
  <si>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</si>
  <si>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</si>
  <si>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</si>
  <si>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</si>
  <si>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</si>
  <si>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</si>
  <si>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</si>
  <si>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</si>
  <si>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</si>
  <si>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</si>
  <si>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</si>
  <si>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</si>
  <si>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</si>
  <si>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</si>
  <si>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</si>
  <si>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</si>
  <si>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</si>
  <si>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</si>
  <si>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</si>
  <si>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</si>
  <si>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</si>
  <si>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</si>
  <si>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</si>
  <si>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</si>
  <si>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</si>
  <si>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</si>
  <si>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</si>
  <si>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</si>
  <si>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</si>
  <si>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</si>
  <si>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</si>
  <si>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</si>
  <si>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</si>
  <si>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</si>
  <si>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</si>
  <si>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</si>
  <si>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</si>
  <si>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</si>
  <si>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</si>
  <si>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</si>
  <si>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</si>
  <si>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</si>
  <si>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</si>
  <si>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</si>
  <si>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</si>
  <si>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</si>
  <si>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</si>
  <si>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</si>
  <si>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</si>
  <si>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</si>
  <si>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</si>
  <si>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</si>
  <si>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</si>
  <si>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</si>
  <si>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</si>
  <si>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</si>
  <si>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</si>
  <si>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</si>
  <si>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</si>
  <si>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</si>
  <si>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</si>
  <si>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</si>
  <si>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</si>
  <si>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</si>
  <si>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</si>
  <si>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</si>
  <si>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</si>
  <si>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</si>
  <si>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</si>
  <si>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</si>
  <si>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</si>
  <si>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</si>
  <si>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</si>
  <si>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</si>
  <si>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</si>
  <si>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</si>
  <si>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</si>
  <si>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</si>
  <si>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</si>
  <si>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</si>
  <si>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</si>
  <si>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</si>
  <si>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</si>
  <si>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</si>
  <si>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</si>
  <si>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</si>
  <si>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</si>
  <si>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</si>
  <si>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</si>
  <si>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</si>
  <si>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</si>
  <si>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</si>
  <si>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</si>
  <si>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</si>
  <si>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</si>
  <si>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</si>
  <si>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</si>
  <si>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</si>
  <si>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</si>
  <si>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</si>
  <si>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</si>
  <si>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</si>
  <si>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</si>
  <si>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</si>
  <si>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</si>
  <si>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</si>
  <si>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</si>
  <si>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</si>
  <si>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</si>
  <si>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</si>
  <si>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</si>
  <si>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</si>
  <si>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</si>
  <si>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</si>
  <si>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</si>
  <si>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</si>
  <si>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</si>
  <si>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</si>
  <si>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</si>
  <si>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</si>
  <si>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</si>
  <si>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</si>
  <si>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</si>
  <si>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</si>
  <si>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</si>
  <si>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</si>
  <si>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</si>
  <si>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</si>
  <si>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</si>
  <si>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</si>
  <si>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</si>
  <si>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</si>
  <si>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</si>
  <si>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</si>
  <si>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</si>
  <si>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</si>
  <si>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</si>
  <si>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</si>
  <si>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</si>
  <si>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</si>
  <si>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</si>
  <si>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</si>
  <si>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</si>
  <si>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</si>
  <si>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</si>
  <si>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</si>
  <si>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</si>
  <si>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</si>
  <si>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</si>
  <si>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</si>
  <si>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</si>
  <si>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</si>
  <si>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</si>
  <si>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</si>
  <si>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</si>
  <si>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</si>
  <si>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</si>
  <si>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</si>
  <si>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</si>
  <si>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</si>
  <si>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</si>
  <si>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</si>
  <si>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</si>
  <si>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</si>
  <si>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</si>
  <si>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</si>
  <si>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</si>
  <si>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</si>
  <si>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</si>
  <si>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</si>
  <si>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</si>
  <si>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</si>
  <si>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</si>
  <si>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</si>
  <si>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</si>
  <si>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</si>
  <si>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</si>
  <si>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</si>
  <si>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</si>
  <si>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</si>
  <si>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</si>
  <si>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</si>
  <si>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</si>
  <si>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</si>
  <si>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</si>
  <si>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</si>
  <si>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</si>
  <si>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</si>
  <si>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</si>
  <si>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</si>
  <si>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</si>
  <si>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</si>
  <si>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</si>
  <si>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</si>
  <si>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</si>
  <si>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</si>
  <si>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</si>
  <si>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</si>
  <si>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</si>
  <si>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</si>
  <si>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</si>
  <si>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</si>
  <si>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</si>
  <si>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</si>
  <si>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</si>
  <si>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</si>
  <si>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</si>
  <si>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</si>
  <si>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</si>
  <si>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</si>
  <si>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</si>
  <si>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</si>
  <si>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</si>
  <si>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</si>
  <si>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</si>
  <si>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</si>
  <si>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</si>
  <si>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</si>
  <si>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</si>
  <si>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</si>
  <si>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</si>
  <si>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</si>
  <si>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</si>
  <si>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</si>
  <si>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</si>
  <si>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</si>
  <si>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</si>
  <si>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</si>
  <si>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</si>
  <si>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</si>
  <si>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</si>
  <si>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</si>
  <si>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</si>
  <si>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</si>
  <si>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</si>
  <si>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</si>
  <si>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</si>
  <si>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</si>
  <si>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</si>
  <si>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</si>
  <si>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</si>
  <si>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</si>
  <si>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</si>
  <si>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</si>
  <si>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</si>
  <si>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</si>
  <si>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</si>
  <si>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</si>
  <si>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</si>
  <si>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</si>
  <si>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</si>
  <si>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</si>
  <si>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</si>
  <si>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</si>
  <si>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</si>
  <si>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</si>
  <si>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</si>
  <si>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</si>
  <si>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</si>
  <si>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</si>
  <si>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</si>
  <si>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</si>
  <si>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</si>
  <si>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</si>
  <si>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</si>
  <si>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</si>
  <si>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</si>
  <si>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</si>
  <si>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</si>
  <si>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</si>
  <si>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</si>
  <si>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</si>
  <si>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</si>
  <si>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</si>
  <si>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</si>
  <si>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</si>
  <si>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</si>
  <si>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</si>
  <si>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</si>
  <si>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</si>
  <si>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</si>
  <si>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</si>
  <si>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</si>
  <si>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</si>
  <si>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</si>
  <si>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</si>
  <si>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</si>
  <si>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</si>
  <si>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</si>
  <si>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</si>
  <si>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</si>
  <si>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</si>
  <si>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</si>
  <si>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</si>
  <si>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</si>
  <si>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</si>
  <si>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</si>
  <si>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</si>
  <si>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</si>
  <si>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</si>
  <si>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</si>
  <si>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</si>
  <si>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</si>
  <si>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ORD-10502</t>
  </si>
  <si>
    <t>ORD-10503</t>
  </si>
  <si>
    <t>ORD-10504</t>
  </si>
  <si>
    <t>ORD-10505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</si>
  <si>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</si>
  <si>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</si>
  <si>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</si>
  <si>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</si>
  <si>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</si>
  <si>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</si>
  <si>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</si>
  <si>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</si>
  <si>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</si>
  <si>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</si>
  <si>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</si>
  <si>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</si>
  <si>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</si>
  <si>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</si>
  <si>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</si>
  <si>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</si>
  <si>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ORD-10522</t>
  </si>
  <si>
    <t>ORD-10523</t>
  </si>
  <si>
    <t>ORD-10524</t>
  </si>
  <si>
    <t>ORD-10525</t>
  </si>
  <si>
    <t>ORD-10526</t>
  </si>
  <si>
    <t>ORD-10527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</si>
  <si>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</si>
  <si>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</si>
  <si>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</si>
  <si>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</si>
  <si>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</si>
  <si>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</si>
  <si>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</si>
  <si>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</si>
  <si>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</si>
  <si>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</si>
  <si>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</si>
  <si>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</si>
  <si>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</si>
  <si>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</si>
  <si>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</si>
  <si>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</si>
  <si>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</si>
  <si>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</si>
  <si>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</si>
  <si>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</si>
  <si>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</si>
  <si>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</si>
  <si>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</si>
  <si>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</si>
  <si>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ORD-10552</t>
  </si>
  <si>
    <t>ORD-10553</t>
  </si>
  <si>
    <t>ORD-10554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</si>
  <si>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</si>
  <si>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</si>
  <si>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</si>
  <si>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</si>
  <si>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</si>
  <si>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</si>
  <si>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</si>
  <si>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</si>
  <si>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</si>
  <si>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</si>
  <si>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</si>
  <si>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</si>
  <si>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</si>
  <si>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</si>
  <si>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</si>
  <si>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</si>
  <si>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</si>
  <si>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</si>
  <si>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</si>
  <si>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</si>
  <si>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</si>
  <si>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</si>
  <si>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</si>
  <si>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</si>
  <si>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</si>
  <si>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</si>
  <si>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</si>
  <si>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</si>
  <si>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</si>
  <si>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</si>
  <si>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</si>
  <si>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</si>
  <si>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</si>
  <si>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</si>
  <si>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</si>
  <si>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</si>
  <si>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</si>
  <si>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</si>
  <si>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</si>
  <si>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</si>
  <si>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</si>
  <si>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</si>
  <si>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</si>
  <si>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</si>
  <si>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</si>
  <si>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</si>
  <si>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</si>
  <si>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</si>
  <si>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</si>
  <si>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</si>
  <si>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</si>
  <si>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</si>
  <si>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</si>
  <si>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</si>
  <si>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</si>
  <si>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</si>
  <si>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</si>
  <si>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</si>
  <si>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</si>
  <si>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</si>
  <si>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</si>
  <si>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</si>
  <si>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</si>
  <si>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</si>
  <si>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</si>
  <si>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</si>
  <si>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</si>
  <si>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</si>
  <si>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</si>
  <si>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</si>
  <si>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</si>
  <si>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</si>
  <si>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</si>
  <si>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</si>
  <si>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</si>
  <si>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</si>
  <si>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</si>
  <si>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</si>
  <si>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</si>
  <si>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</si>
  <si>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</si>
  <si>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</si>
  <si>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</si>
  <si>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</si>
  <si>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</si>
  <si>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</si>
  <si>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</si>
  <si>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</si>
  <si>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</si>
  <si>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</si>
  <si>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</si>
  <si>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</si>
  <si>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</si>
  <si>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</si>
  <si>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</si>
  <si>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</si>
  <si>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</si>
  <si>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</si>
  <si>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</si>
  <si>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</si>
  <si>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</si>
  <si>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</si>
  <si>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</si>
  <si>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</si>
  <si>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</si>
  <si>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</si>
  <si>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</si>
  <si>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</si>
  <si>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</si>
  <si>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</si>
  <si>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</si>
  <si>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</si>
  <si>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</si>
  <si>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</si>
  <si>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</si>
  <si>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</si>
  <si>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</si>
  <si>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</si>
  <si>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</si>
  <si>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</si>
  <si>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</si>
  <si>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</si>
  <si>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</si>
  <si>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</si>
  <si>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</si>
  <si>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</si>
  <si>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</si>
  <si>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</si>
  <si>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</si>
  <si>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</si>
  <si>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</si>
  <si>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</si>
  <si>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</si>
  <si>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</si>
  <si>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</si>
  <si>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</si>
  <si>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</si>
  <si>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</si>
  <si>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</si>
  <si>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</si>
  <si>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</si>
  <si>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</si>
  <si>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</si>
  <si>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</si>
  <si>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</si>
  <si>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</si>
  <si>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ORD-10701</t>
  </si>
  <si>
    <t>ORD-10702</t>
  </si>
  <si>
    <t>ORD-10703</t>
  </si>
  <si>
    <t>ORD-10704</t>
  </si>
  <si>
    <t>ORD-10705</t>
  </si>
  <si>
    <t>ORD-10706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</si>
  <si>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</si>
  <si>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</si>
  <si>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</si>
  <si>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</si>
  <si>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</si>
  <si>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</si>
  <si>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</si>
  <si>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</si>
  <si>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</si>
  <si>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</si>
  <si>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</si>
  <si>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</si>
  <si>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</si>
  <si>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</si>
  <si>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</si>
  <si>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</si>
  <si>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</si>
  <si>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</si>
  <si>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</si>
  <si>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</si>
  <si>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</si>
  <si>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</si>
  <si>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</si>
  <si>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</si>
  <si>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</si>
  <si>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</si>
  <si>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</si>
  <si>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</si>
  <si>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</si>
  <si>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</si>
  <si>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</si>
  <si>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</si>
  <si>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</si>
  <si>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</si>
  <si>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</si>
  <si>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</si>
  <si>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</si>
  <si>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</si>
  <si>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</si>
  <si>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</si>
  <si>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</si>
  <si>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</si>
  <si>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</si>
  <si>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</si>
  <si>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ORD-10751</t>
  </si>
  <si>
    <t>ORD-10752</t>
  </si>
  <si>
    <t>ORD-10753</t>
  </si>
  <si>
    <t>ORD-10754</t>
  </si>
  <si>
    <t>ORD-10755</t>
  </si>
  <si>
    <t>ORD-10756</t>
  </si>
  <si>
    <t>ORD-10757</t>
  </si>
  <si>
    <t>ORD-10758</t>
  </si>
  <si>
    <t>ORD-10759</t>
  </si>
  <si>
    <t>ORD-10760</t>
  </si>
  <si>
    <t>ORD-10761</t>
  </si>
  <si>
    <t>ORD-10762</t>
  </si>
  <si>
    <t>ORD-10763</t>
  </si>
  <si>
    <t>ORD-10764</t>
  </si>
  <si>
    <t>ORD-10765</t>
  </si>
  <si>
    <t>ORD-10766</t>
  </si>
  <si>
    <t>ORD-10767</t>
  </si>
  <si>
    <t>ORD-10768</t>
  </si>
  <si>
    <t>ORD-10769</t>
  </si>
  <si>
    <t>ORD-10770</t>
  </si>
  <si>
    <t>ORD-10771</t>
  </si>
  <si>
    <t>ORD-10772</t>
  </si>
  <si>
    <t>ORD-10773</t>
  </si>
  <si>
    <t>ORD-10774</t>
  </si>
  <si>
    <t>ORD-10775</t>
  </si>
  <si>
    <t>ORD-10776</t>
  </si>
  <si>
    <t>ORD-10777</t>
  </si>
  <si>
    <t>ORD-10778</t>
  </si>
  <si>
    <t>ORD-10779</t>
  </si>
  <si>
    <t>ORD-10780</t>
  </si>
  <si>
    <t>ORD-10781</t>
  </si>
  <si>
    <t>ORD-10782</t>
  </si>
  <si>
    <t>ORD-10783</t>
  </si>
  <si>
    <t>ORD-10784</t>
  </si>
  <si>
    <t>ORD-10785</t>
  </si>
  <si>
    <t>ORD-10786</t>
  </si>
  <si>
    <t>ORD-10787</t>
  </si>
  <si>
    <t>ORD-10788</t>
  </si>
  <si>
    <t>ORD-10789</t>
  </si>
  <si>
    <t>ORD-10790</t>
  </si>
  <si>
    <t>ORD-10791</t>
  </si>
  <si>
    <t>ORD-10792</t>
  </si>
  <si>
    <t>ORD-10793</t>
  </si>
  <si>
    <t>ORD-10794</t>
  </si>
  <si>
    <t>ORD-10795</t>
  </si>
  <si>
    <t>ORD-10796</t>
  </si>
  <si>
    <t>ORD-10797</t>
  </si>
  <si>
    <t>ORD-10798</t>
  </si>
  <si>
    <t>ORD-10799</t>
  </si>
  <si>
    <t>ORD-10800</t>
  </si>
  <si>
    <t>ORD-10801</t>
  </si>
  <si>
    <t>ORD-10802</t>
  </si>
  <si>
    <t>ORD-10803</t>
  </si>
  <si>
    <t>ORD-10804</t>
  </si>
  <si>
    <t>ORD-10805</t>
  </si>
  <si>
    <t>ORD-10806</t>
  </si>
  <si>
    <t>ORD-10807</t>
  </si>
  <si>
    <t>ORD-10808</t>
  </si>
  <si>
    <t>ORD-10809</t>
  </si>
  <si>
    <t>ORD-10810</t>
  </si>
  <si>
    <t>ORD-10811</t>
  </si>
  <si>
    <t>ORD-10812</t>
  </si>
  <si>
    <t>ORD-10813</t>
  </si>
  <si>
    <t>ORD-10814</t>
  </si>
  <si>
    <t>ORD-10815</t>
  </si>
  <si>
    <t>ORD-10816</t>
  </si>
  <si>
    <t>ORD-10817</t>
  </si>
  <si>
    <t>ORD-10818</t>
  </si>
  <si>
    <t>ORD-10819</t>
  </si>
  <si>
    <t>ORD-10820</t>
  </si>
  <si>
    <t>ORD-10821</t>
  </si>
  <si>
    <t>ORD-10822</t>
  </si>
  <si>
    <t>ORD-10823</t>
  </si>
  <si>
    <t>ORD-10824</t>
  </si>
  <si>
    <t>ORD-10825</t>
  </si>
  <si>
    <t>ORD-10826</t>
  </si>
  <si>
    <t>ORD-10827</t>
  </si>
  <si>
    <t>ORD-10828</t>
  </si>
  <si>
    <t>ORD-10829</t>
  </si>
  <si>
    <t>ORD-10830</t>
  </si>
  <si>
    <t>ORD-10831</t>
  </si>
  <si>
    <t>ORD-10832</t>
  </si>
  <si>
    <t>ORD-10833</t>
  </si>
  <si>
    <t>ORD-10834</t>
  </si>
  <si>
    <t>ORD-10835</t>
  </si>
  <si>
    <t>ORD-10836</t>
  </si>
  <si>
    <t>ORD-10837</t>
  </si>
  <si>
    <t>ORD-10838</t>
  </si>
  <si>
    <t>ORD-10839</t>
  </si>
  <si>
    <t>ORD-10840</t>
  </si>
  <si>
    <t>ORD-10841</t>
  </si>
  <si>
    <t>ORD-10842</t>
  </si>
  <si>
    <t>ORD-10843</t>
  </si>
  <si>
    <t>ORD-10844</t>
  </si>
  <si>
    <t>ORD-10845</t>
  </si>
  <si>
    <t>ORD-10846</t>
  </si>
  <si>
    <t>ORD-10847</t>
  </si>
  <si>
    <t>ORD-10848</t>
  </si>
  <si>
    <t>ORD-10849</t>
  </si>
  <si>
    <t>ORD-10850</t>
  </si>
  <si>
    <t>ORD-10851</t>
  </si>
  <si>
    <t>ORD-10852</t>
  </si>
  <si>
    <t>ORD-10853</t>
  </si>
  <si>
    <t>ORD-10854</t>
  </si>
  <si>
    <t>ORD-10855</t>
  </si>
  <si>
    <t>ORD-10856</t>
  </si>
  <si>
    <t>ORD-10857</t>
  </si>
  <si>
    <t>ORD-10858</t>
  </si>
  <si>
    <t>ORD-10859</t>
  </si>
  <si>
    <t>ORD-10860</t>
  </si>
  <si>
    <t>ORD-10861</t>
  </si>
  <si>
    <t>ORD-10862</t>
  </si>
  <si>
    <t>ORD-10863</t>
  </si>
  <si>
    <t>ORD-10864</t>
  </si>
  <si>
    <t>ORD-10865</t>
  </si>
  <si>
    <t>ORD-10866</t>
  </si>
  <si>
    <t>ORD-10867</t>
  </si>
  <si>
    <t>ORD-10868</t>
  </si>
  <si>
    <t>ORD-10869</t>
  </si>
  <si>
    <t>ORD-10870</t>
  </si>
  <si>
    <t>ORD-10871</t>
  </si>
  <si>
    <t>ORD-10872</t>
  </si>
  <si>
    <t>ORD-10873</t>
  </si>
  <si>
    <t>ORD-10874</t>
  </si>
  <si>
    <t>ORD-10875</t>
  </si>
  <si>
    <t>ORD-10876</t>
  </si>
  <si>
    <t>ORD-10877</t>
  </si>
  <si>
    <t>ORD-10878</t>
  </si>
  <si>
    <t>ORD-10879</t>
  </si>
  <si>
    <t>ORD-10880</t>
  </si>
  <si>
    <t>ORD-10881</t>
  </si>
  <si>
    <t>ORD-10882</t>
  </si>
  <si>
    <t>ORD-10883</t>
  </si>
  <si>
    <t>ORD-10884</t>
  </si>
  <si>
    <t>ORD-10885</t>
  </si>
  <si>
    <t>ORD-10886</t>
  </si>
  <si>
    <t>ORD-10887</t>
  </si>
  <si>
    <t>ORD-10888</t>
  </si>
  <si>
    <t>ORD-10889</t>
  </si>
  <si>
    <t>ORD-10890</t>
  </si>
  <si>
    <t>ORD-10891</t>
  </si>
  <si>
    <t>ORD-10892</t>
  </si>
  <si>
    <t>ORD-10893</t>
  </si>
  <si>
    <t>ORD-10894</t>
  </si>
  <si>
    <t>ORD-10895</t>
  </si>
  <si>
    <t>ORD-10896</t>
  </si>
  <si>
    <t>ORD-10897</t>
  </si>
  <si>
    <t>ORD-10898</t>
  </si>
  <si>
    <t>ORD-10899</t>
  </si>
  <si>
    <t>ORD-10900</t>
  </si>
  <si>
    <t>ORD-10901</t>
  </si>
  <si>
    <t>ORD-10902</t>
  </si>
  <si>
    <t>ORD-10903</t>
  </si>
  <si>
    <t>ORD-10904</t>
  </si>
  <si>
    <t>ORD-10905</t>
  </si>
  <si>
    <t>ORD-10906</t>
  </si>
  <si>
    <t>ORD-10907</t>
  </si>
  <si>
    <t>ORD-10908</t>
  </si>
  <si>
    <t>ORD-10909</t>
  </si>
  <si>
    <t>ORD-10910</t>
  </si>
  <si>
    <t>ORD-10911</t>
  </si>
  <si>
    <t>ORD-10912</t>
  </si>
  <si>
    <t>ORD-10913</t>
  </si>
  <si>
    <t>ORD-10914</t>
  </si>
  <si>
    <t>ORD-10915</t>
  </si>
  <si>
    <t>ORD-10916</t>
  </si>
  <si>
    <t>ORD-10917</t>
  </si>
  <si>
    <t>ORD-10918</t>
  </si>
  <si>
    <t>ORD-10919</t>
  </si>
  <si>
    <t>ORD-10920</t>
  </si>
  <si>
    <t>ORD-10921</t>
  </si>
  <si>
    <t>ORD-10922</t>
  </si>
  <si>
    <t>ORD-10923</t>
  </si>
  <si>
    <t>ORD-10924</t>
  </si>
  <si>
    <t>ORD-10925</t>
  </si>
  <si>
    <t>ORD-10926</t>
  </si>
  <si>
    <t>ORD-10927</t>
  </si>
  <si>
    <t>ORD-10928</t>
  </si>
  <si>
    <t>ORD-10929</t>
  </si>
  <si>
    <t>ORD-10930</t>
  </si>
  <si>
    <t>ORD-10931</t>
  </si>
  <si>
    <t>ORD-10932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</si>
  <si>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</si>
  <si>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</si>
  <si>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</si>
  <si>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</si>
  <si>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</si>
  <si>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</si>
  <si>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</si>
  <si>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</si>
  <si>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ORD-10941</t>
  </si>
  <si>
    <t>ORD-10942</t>
  </si>
  <si>
    <t>ORD-10943</t>
  </si>
  <si>
    <t>ORD-10944</t>
  </si>
  <si>
    <t>ORD-10945</t>
  </si>
  <si>
    <t>ORD-10946</t>
  </si>
  <si>
    <t>ORD-10947</t>
  </si>
  <si>
    <t>ORD-10948</t>
  </si>
  <si>
    <t>ORD-10949</t>
  </si>
  <si>
    <t>ORD-10950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</si>
  <si>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</si>
  <si>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</si>
  <si>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</si>
  <si>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</si>
  <si>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</si>
  <si>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</si>
  <si>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</si>
  <si>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</si>
  <si>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ORD-10959</t>
  </si>
  <si>
    <t>ORD-10960</t>
  </si>
  <si>
    <t>ORD-10961</t>
  </si>
  <si>
    <t>ORD-10962</t>
  </si>
  <si>
    <t>ORD-10963</t>
  </si>
  <si>
    <t>ORD-10964</t>
  </si>
  <si>
    <t>ORD-10965</t>
  </si>
  <si>
    <t>ORD-10966</t>
  </si>
  <si>
    <t>ORD-10967</t>
  </si>
  <si>
    <t>ORD-10968</t>
  </si>
  <si>
    <t>ORD-10969</t>
  </si>
  <si>
    <t>ORD-10970</t>
  </si>
  <si>
    <t>ORD-10971</t>
  </si>
  <si>
    <t>ORD-10972</t>
  </si>
  <si>
    <t>ORD-10973</t>
  </si>
  <si>
    <t>ORD-10974</t>
  </si>
  <si>
    <t>ORD-10975</t>
  </si>
  <si>
    <t>ORD-10976</t>
  </si>
  <si>
    <t>ORD-10977</t>
  </si>
  <si>
    <t>ORD-10978</t>
  </si>
  <si>
    <t>ORD-10979</t>
  </si>
  <si>
    <t>ORD-10980</t>
  </si>
  <si>
    <t>ORD-10981</t>
  </si>
  <si>
    <t>ORD-10982</t>
  </si>
  <si>
    <t>ORD-10983</t>
  </si>
  <si>
    <t>ORD-10984</t>
  </si>
  <si>
    <t>ORD-10985</t>
  </si>
  <si>
    <t>ORD-10986</t>
  </si>
  <si>
    <t>ORD-10987</t>
  </si>
  <si>
    <t>ORD-10988</t>
  </si>
  <si>
    <t>ORD-10989</t>
  </si>
  <si>
    <t>ORD-10990</t>
  </si>
  <si>
    <t>ORD-10991</t>
  </si>
  <si>
    <t>ORD-10992</t>
  </si>
  <si>
    <t>ORD-10993</t>
  </si>
  <si>
    <t>ORD-10994</t>
  </si>
  <si>
    <t>ORD-10995</t>
  </si>
  <si>
    <t>ORD-10996</t>
  </si>
  <si>
    <t>ORD-10997</t>
  </si>
  <si>
    <t>ORD-10998</t>
  </si>
  <si>
    <t>ORD-10999</t>
  </si>
  <si>
    <t>ORD-11000</t>
  </si>
  <si>
    <t>ORD-11001</t>
  </si>
  <si>
    <t>ORD-11002</t>
  </si>
  <si>
    <t>ORD-11003</t>
  </si>
  <si>
    <t>ORD-11004</t>
  </si>
  <si>
    <t>ORD-11005</t>
  </si>
  <si>
    <t>ORD-11006</t>
  </si>
  <si>
    <t>ORD-11007</t>
  </si>
  <si>
    <t>ORD-11008</t>
  </si>
  <si>
    <t>ORD-11009</t>
  </si>
  <si>
    <t>ORD-11010</t>
  </si>
  <si>
    <t>ORD-11011</t>
  </si>
  <si>
    <t>ORD-11012</t>
  </si>
  <si>
    <t>ORD-11013</t>
  </si>
  <si>
    <t>ORD-11014</t>
  </si>
  <si>
    <t>ORD-11015</t>
  </si>
  <si>
    <t>ORD-11016</t>
  </si>
  <si>
    <t>ORD-11017</t>
  </si>
  <si>
    <t>ORD-11018</t>
  </si>
  <si>
    <t>ORD-11019</t>
  </si>
  <si>
    <t>ORD-11020</t>
  </si>
  <si>
    <t>ORD-11021</t>
  </si>
  <si>
    <t>ORD-11022</t>
  </si>
  <si>
    <t>ORD-11023</t>
  </si>
  <si>
    <t>ORD-11024</t>
  </si>
  <si>
    <t>ORD-11025</t>
  </si>
  <si>
    <t>ORD-11026</t>
  </si>
  <si>
    <t>ORD-11027</t>
  </si>
  <si>
    <t>ORD-11028</t>
  </si>
  <si>
    <t>ORD-11029</t>
  </si>
  <si>
    <t>ORD-11030</t>
  </si>
  <si>
    <t>ORD-11031</t>
  </si>
  <si>
    <t>ORD-11032</t>
  </si>
  <si>
    <t>ORD-11033</t>
  </si>
  <si>
    <t>ORD-11034</t>
  </si>
  <si>
    <t>ORD-11035</t>
  </si>
  <si>
    <t>ORD-11036</t>
  </si>
  <si>
    <t>ORD-11037</t>
  </si>
  <si>
    <t>ORD-11038</t>
  </si>
  <si>
    <t>ORD-11039</t>
  </si>
  <si>
    <t>ORD-11040</t>
  </si>
  <si>
    <t>ORD-11041</t>
  </si>
  <si>
    <t>ORD-11042</t>
  </si>
  <si>
    <t>ORD-11043</t>
  </si>
  <si>
    <t>ORD-11044</t>
  </si>
  <si>
    <t>ORD-11045</t>
  </si>
  <si>
    <t>ORD-11046</t>
  </si>
  <si>
    <t>ORD-11047</t>
  </si>
  <si>
    <t>ORD-11048</t>
  </si>
  <si>
    <t>ORD-11049</t>
  </si>
  <si>
    <t>ORD-11050</t>
  </si>
  <si>
    <t>ORD-11051</t>
  </si>
  <si>
    <t>ORD-11052</t>
  </si>
  <si>
    <t>ORD-11053</t>
  </si>
  <si>
    <t>ORD-11054</t>
  </si>
  <si>
    <t>ORD-11055</t>
  </si>
  <si>
    <t>ORD-11056</t>
  </si>
  <si>
    <t>ORD-11057</t>
  </si>
  <si>
    <t>ORD-11058</t>
  </si>
  <si>
    <t>ORD-11059</t>
  </si>
  <si>
    <t>ORD-11060</t>
  </si>
  <si>
    <t>ORD-11061</t>
  </si>
  <si>
    <t>ORD-11062</t>
  </si>
  <si>
    <t>ORD-11063</t>
  </si>
  <si>
    <t>ORD-11064</t>
  </si>
  <si>
    <t>ORD-11065</t>
  </si>
  <si>
    <t>ORD-11066</t>
  </si>
  <si>
    <t>ORD-11067</t>
  </si>
  <si>
    <t>ORD-11068</t>
  </si>
  <si>
    <t>ORD-11069</t>
  </si>
  <si>
    <t>ORD-11070</t>
  </si>
  <si>
    <t>ORD-11071</t>
  </si>
  <si>
    <t>ORD-11072</t>
  </si>
  <si>
    <t>ORD-11073</t>
  </si>
  <si>
    <t>ORD-11074</t>
  </si>
  <si>
    <t>ORD-11075</t>
  </si>
  <si>
    <t>ORD-11076</t>
  </si>
  <si>
    <t>ORD-11077</t>
  </si>
  <si>
    <t>ORD-11078</t>
  </si>
  <si>
    <t>ORD-11079</t>
  </si>
  <si>
    <t>ORD-11080</t>
  </si>
  <si>
    <t>ORD-11081</t>
  </si>
  <si>
    <t>ORD-11082</t>
  </si>
  <si>
    <t>ORD-11083</t>
  </si>
  <si>
    <t>ORD-11084</t>
  </si>
  <si>
    <t>ORD-11085</t>
  </si>
  <si>
    <t>ORD-11086</t>
  </si>
  <si>
    <t>ORD-11087</t>
  </si>
  <si>
    <t>ORD-11088</t>
  </si>
  <si>
    <t>ORD-11089</t>
  </si>
  <si>
    <t>ORD-11090</t>
  </si>
  <si>
    <t>ORD-11091</t>
  </si>
  <si>
    <t>ORD-11092</t>
  </si>
  <si>
    <t>ORD-11093</t>
  </si>
  <si>
    <t>ORD-11094</t>
  </si>
  <si>
    <t>ORD-11095</t>
  </si>
  <si>
    <t>ORD-11096</t>
  </si>
  <si>
    <t>ORD-11097</t>
  </si>
  <si>
    <t>ORD-11098</t>
  </si>
  <si>
    <t>ORD-11099</t>
  </si>
  <si>
    <t>ORD-11100</t>
  </si>
  <si>
    <t>ORD-11101</t>
  </si>
  <si>
    <t>ORD-11102</t>
  </si>
  <si>
    <t>ORD-11103</t>
  </si>
  <si>
    <t>ORD-11104</t>
  </si>
  <si>
    <t>ORD-11105</t>
  </si>
  <si>
    <t>ORD-11106</t>
  </si>
  <si>
    <t>ORD-11107</t>
  </si>
  <si>
    <t>ORD-11108</t>
  </si>
  <si>
    <t>ORD-11109</t>
  </si>
  <si>
    <t>ORD-11110</t>
  </si>
  <si>
    <t>ORD-11111</t>
  </si>
  <si>
    <t>ORD-11112</t>
  </si>
  <si>
    <t>ORD-11113</t>
  </si>
  <si>
    <t>ORD-11114</t>
  </si>
  <si>
    <t>ORD-11115</t>
  </si>
  <si>
    <t>ORD-11116</t>
  </si>
  <si>
    <t>ORD-11117</t>
  </si>
  <si>
    <t>ORD-11118</t>
  </si>
  <si>
    <t>ORD-11119</t>
  </si>
  <si>
    <t>ORD-11120</t>
  </si>
  <si>
    <t>ORD-11121</t>
  </si>
  <si>
    <t>ORD-11122</t>
  </si>
  <si>
    <t>ORD-11123</t>
  </si>
  <si>
    <t>ORD-11124</t>
  </si>
  <si>
    <t>ORD-11125</t>
  </si>
  <si>
    <t>ORD-11126</t>
  </si>
  <si>
    <t>ORD-11127</t>
  </si>
  <si>
    <t>ORD-11128</t>
  </si>
  <si>
    <t>ORD-11129</t>
  </si>
  <si>
    <t>ORD-11130</t>
  </si>
  <si>
    <t>ORD-11131</t>
  </si>
  <si>
    <t>ORD-11132</t>
  </si>
  <si>
    <t>ORD-11133</t>
  </si>
  <si>
    <t>ORD-11134</t>
  </si>
  <si>
    <t>ORD-11135</t>
  </si>
  <si>
    <t>ORD-11136</t>
  </si>
  <si>
    <t>ORD-11137</t>
  </si>
  <si>
    <t>ORD-11138</t>
  </si>
  <si>
    <t>ORD-11139</t>
  </si>
  <si>
    <t>ORD-11140</t>
  </si>
  <si>
    <t>ORD-11141</t>
  </si>
  <si>
    <t>ORD-11142</t>
  </si>
  <si>
    <t>ORD-11143</t>
  </si>
  <si>
    <t>ORD-11144</t>
  </si>
  <si>
    <t>ORD-11145</t>
  </si>
  <si>
    <t>ORD-11146</t>
  </si>
  <si>
    <t>ORD-11147</t>
  </si>
  <si>
    <t>ORD-11148</t>
  </si>
  <si>
    <t>ORD-11149</t>
  </si>
  <si>
    <t>ORD-11150</t>
  </si>
  <si>
    <t>ORD-11151</t>
  </si>
  <si>
    <t>ORD-11152</t>
  </si>
  <si>
    <t>ORD-11153</t>
  </si>
  <si>
    <t>ORD-11154</t>
  </si>
  <si>
    <t>ORD-11155</t>
  </si>
  <si>
    <t>ORD-11156</t>
  </si>
  <si>
    <t>ORD-11157</t>
  </si>
  <si>
    <t>ORD-11158</t>
  </si>
  <si>
    <t>ORD-11159</t>
  </si>
  <si>
    <t>ORD-11160</t>
  </si>
  <si>
    <t>ORD-11161</t>
  </si>
  <si>
    <t>ORD-11162</t>
  </si>
  <si>
    <t>ORD-11163</t>
  </si>
  <si>
    <t>ORD-11164</t>
  </si>
  <si>
    <t>ORD-11165</t>
  </si>
  <si>
    <t>ORD-11166</t>
  </si>
  <si>
    <t>ORD-11167</t>
  </si>
  <si>
    <t>ORD-11168</t>
  </si>
  <si>
    <t>ORD-11169</t>
  </si>
  <si>
    <t>ORD-11170</t>
  </si>
  <si>
    <t>ORD-11171</t>
  </si>
  <si>
    <t>ORD-11172</t>
  </si>
  <si>
    <t>ORD-11173</t>
  </si>
  <si>
    <t>ORD-11174</t>
  </si>
  <si>
    <t>ORD-11175</t>
  </si>
  <si>
    <t>ORD-11176</t>
  </si>
  <si>
    <t>ORD-11177</t>
  </si>
  <si>
    <t>ORD-11178</t>
  </si>
  <si>
    <t>ORD-11179</t>
  </si>
  <si>
    <t>ORD-11180</t>
  </si>
  <si>
    <t>ORD-11181</t>
  </si>
  <si>
    <t>ORD-11182</t>
  </si>
  <si>
    <t>ORD-11183</t>
  </si>
  <si>
    <t>ORD-11184</t>
  </si>
  <si>
    <t>ORD-11185</t>
  </si>
  <si>
    <t>ORD-11186</t>
  </si>
  <si>
    <t>ORD-11187</t>
  </si>
  <si>
    <t>ORD-11188</t>
  </si>
  <si>
    <t>ORD-11189</t>
  </si>
  <si>
    <t>ORD-11190</t>
  </si>
  <si>
    <t>ORD-11191</t>
  </si>
  <si>
    <t>ORD-11192</t>
  </si>
  <si>
    <t>ORD-11193</t>
  </si>
  <si>
    <t>ORD-11194</t>
  </si>
  <si>
    <t>ORD-11195</t>
  </si>
  <si>
    <t>ORD-11196</t>
  </si>
  <si>
    <t>ORD-11197</t>
  </si>
  <si>
    <t>ORD-11198</t>
  </si>
  <si>
    <t>ORD-11199</t>
  </si>
  <si>
    <t>ORD-11200</t>
  </si>
  <si>
    <t>ORD-11201</t>
  </si>
  <si>
    <t>ORD-11202</t>
  </si>
  <si>
    <t>ORD-11203</t>
  </si>
  <si>
    <t>ORD-11204</t>
  </si>
  <si>
    <t>ORD-11205</t>
  </si>
  <si>
    <t>ORD-11206</t>
  </si>
  <si>
    <t>ORD-11207</t>
  </si>
  <si>
    <t>ORD-11208</t>
  </si>
  <si>
    <t>ORD-11209</t>
  </si>
  <si>
    <t>ORD-11210</t>
  </si>
  <si>
    <t>ORD-11211</t>
  </si>
  <si>
    <t>ORD-11212</t>
  </si>
  <si>
    <t>ORD-11213</t>
  </si>
  <si>
    <t>ORD-11214</t>
  </si>
  <si>
    <t>ORD-11215</t>
  </si>
  <si>
    <t>ORD-11216</t>
  </si>
  <si>
    <t>ORD-11217</t>
  </si>
  <si>
    <t>ORD-11218</t>
  </si>
  <si>
    <t>ORD-11219</t>
  </si>
  <si>
    <t>ORD-11220</t>
  </si>
  <si>
    <t>ORD-11221</t>
  </si>
  <si>
    <t>ORD-11222</t>
  </si>
  <si>
    <t>ORD-11223</t>
  </si>
  <si>
    <t>ORD-11224</t>
  </si>
  <si>
    <t>ORD-11225</t>
  </si>
  <si>
    <t>ORD-11226</t>
  </si>
  <si>
    <t>ORD-11227</t>
  </si>
  <si>
    <t>ORD-11228</t>
  </si>
  <si>
    <t>ORD-11229</t>
  </si>
  <si>
    <t>ORD-11230</t>
  </si>
  <si>
    <t>ORD-11231</t>
  </si>
  <si>
    <t>ORD-11232</t>
  </si>
  <si>
    <t>ORD-11233</t>
  </si>
  <si>
    <t>ORD-11234</t>
  </si>
  <si>
    <t>ORD-11235</t>
  </si>
  <si>
    <t>ORD-11236</t>
  </si>
  <si>
    <t>ORD-11237</t>
  </si>
  <si>
    <t>ORD-11238</t>
  </si>
  <si>
    <t>ORD-11239</t>
  </si>
  <si>
    <t>ORD-11240</t>
  </si>
  <si>
    <t>ORD-11241</t>
  </si>
  <si>
    <t>ORD-11242</t>
  </si>
  <si>
    <t>ORD-11243</t>
  </si>
  <si>
    <t>ORD-11244</t>
  </si>
  <si>
    <t>ORD-11245</t>
  </si>
  <si>
    <t>ORD-11246</t>
  </si>
  <si>
    <t>ORD-11247</t>
  </si>
  <si>
    <t>ORD-11248</t>
  </si>
  <si>
    <t>ORD-11249</t>
  </si>
  <si>
    <t>ORD-11250</t>
  </si>
  <si>
    <t>ORD-11251</t>
  </si>
  <si>
    <t>ORD-11252</t>
  </si>
  <si>
    <t>ORD-11253</t>
  </si>
  <si>
    <t>ORD-11254</t>
  </si>
  <si>
    <t>ORD-11255</t>
  </si>
  <si>
    <t>ORD-11256</t>
  </si>
  <si>
    <t>ORD-11257</t>
  </si>
  <si>
    <t>ORD-11258</t>
  </si>
  <si>
    <t>ORD-11259</t>
  </si>
  <si>
    <t>ORD-11260</t>
  </si>
  <si>
    <t>ORD-11261</t>
  </si>
  <si>
    <t>ORD-11262</t>
  </si>
  <si>
    <t>ORD-11263</t>
  </si>
  <si>
    <t>ORD-11264</t>
  </si>
  <si>
    <t>ORD-11265</t>
  </si>
  <si>
    <t>ORD-11266</t>
  </si>
  <si>
    <t>ORD-11267</t>
  </si>
  <si>
    <t>ORD-11268</t>
  </si>
  <si>
    <t>ORD-11269</t>
  </si>
  <si>
    <t>ORD-11270</t>
  </si>
  <si>
    <t>ORD-11271</t>
  </si>
  <si>
    <t>ORD-11272</t>
  </si>
  <si>
    <t>ORD-11273</t>
  </si>
  <si>
    <t>ORD-11274</t>
  </si>
  <si>
    <t>ORD-11275</t>
  </si>
  <si>
    <t>ORD-11276</t>
  </si>
  <si>
    <t>ORD-11277</t>
  </si>
  <si>
    <t>ORD-11278</t>
  </si>
  <si>
    <t>ORD-11279</t>
  </si>
  <si>
    <t>ORD-11280</t>
  </si>
  <si>
    <t>ORD-11281</t>
  </si>
  <si>
    <t>ORD-11282</t>
  </si>
  <si>
    <t>ORD-11283</t>
  </si>
  <si>
    <t>ORD-11284</t>
  </si>
  <si>
    <t>ORD-11285</t>
  </si>
  <si>
    <t>ORD-11286</t>
  </si>
  <si>
    <t>ORD-11287</t>
  </si>
  <si>
    <t>ORD-11288</t>
  </si>
  <si>
    <t>ORD-11289</t>
  </si>
  <si>
    <t>ORD-11290</t>
  </si>
  <si>
    <t>ORD-11291</t>
  </si>
  <si>
    <t>ORD-11292</t>
  </si>
  <si>
    <t>ORD-11293</t>
  </si>
  <si>
    <t>ORD-11294</t>
  </si>
  <si>
    <t>ORD-11295</t>
  </si>
  <si>
    <t>ORD-11296</t>
  </si>
  <si>
    <t>ORD-11297</t>
  </si>
  <si>
    <t>ORD-11298</t>
  </si>
  <si>
    <t>ORD-11299</t>
  </si>
  <si>
    <t>ORD-11300</t>
  </si>
  <si>
    <t>ORD-11301</t>
  </si>
  <si>
    <t>ORD-11302</t>
  </si>
  <si>
    <t>ORD-11303</t>
  </si>
  <si>
    <t>ORD-11304</t>
  </si>
  <si>
    <t>ORD-11305</t>
  </si>
  <si>
    <t>ORD-11306</t>
  </si>
  <si>
    <t>ORD-11307</t>
  </si>
  <si>
    <t>ORD-11308</t>
  </si>
  <si>
    <t>ORD-11309</t>
  </si>
  <si>
    <t>ORD-11310</t>
  </si>
  <si>
    <t>ORD-11311</t>
  </si>
  <si>
    <t>ORD-11312</t>
  </si>
  <si>
    <t>ORD-11313</t>
  </si>
  <si>
    <t>ORD-11314</t>
  </si>
  <si>
    <t>ORD-11315</t>
  </si>
  <si>
    <t>ORD-11316</t>
  </si>
  <si>
    <t>ORD-11317</t>
  </si>
  <si>
    <t>ORD-11318</t>
  </si>
  <si>
    <t>ORD-11319</t>
  </si>
  <si>
    <t>ORD-11320</t>
  </si>
  <si>
    <t>ORD-11321</t>
  </si>
  <si>
    <t>ORD-11322</t>
  </si>
  <si>
    <t>ORD-11323</t>
  </si>
  <si>
    <t>ORD-11324</t>
  </si>
  <si>
    <t>ORD-11325</t>
  </si>
  <si>
    <t>ORD-11326</t>
  </si>
  <si>
    <t>ORD-11327</t>
  </si>
  <si>
    <t>ORD-11328</t>
  </si>
  <si>
    <t>ORD-11329</t>
  </si>
  <si>
    <t>ORD-11330</t>
  </si>
  <si>
    <t>ORD-11331</t>
  </si>
  <si>
    <t>ORD-11332</t>
  </si>
  <si>
    <t>ORD-11333</t>
  </si>
  <si>
    <t>ORD-11334</t>
  </si>
  <si>
    <t>ORD-11335</t>
  </si>
  <si>
    <t>ORD-11336</t>
  </si>
  <si>
    <t>ORD-11337</t>
  </si>
  <si>
    <t>ORD-11338</t>
  </si>
  <si>
    <t>ORD-11339</t>
  </si>
  <si>
    <t>ORD-11340</t>
  </si>
  <si>
    <t>ORD-11341</t>
  </si>
  <si>
    <t>ORD-11342</t>
  </si>
  <si>
    <t>ORD-11343</t>
  </si>
  <si>
    <t>ORD-11344</t>
  </si>
  <si>
    <t>ORD-11345</t>
  </si>
  <si>
    <t>ORD-11346</t>
  </si>
  <si>
    <t>ORD-11347</t>
  </si>
  <si>
    <t>ORD-11348</t>
  </si>
  <si>
    <t>ORD-11349</t>
  </si>
  <si>
    <t>ORD-11350</t>
  </si>
  <si>
    <t>ORD-11351</t>
  </si>
  <si>
    <t>ORD-11352</t>
  </si>
  <si>
    <t>ORD-11353</t>
  </si>
  <si>
    <t>ORD-11354</t>
  </si>
  <si>
    <t>ORD-11355</t>
  </si>
  <si>
    <t>ORD-11356</t>
  </si>
  <si>
    <t>ORD-11357</t>
  </si>
  <si>
    <t>ORD-11358</t>
  </si>
  <si>
    <t>ORD-11359</t>
  </si>
  <si>
    <t>ORD-11360</t>
  </si>
  <si>
    <t>ORD-11361</t>
  </si>
  <si>
    <t>ORD-11362</t>
  </si>
  <si>
    <t>ORD-11363</t>
  </si>
  <si>
    <t>ORD-11364</t>
  </si>
  <si>
    <t>ORD-11365</t>
  </si>
  <si>
    <t>ORD-11366</t>
  </si>
  <si>
    <t>ORD-11367</t>
  </si>
  <si>
    <t>ORD-11368</t>
  </si>
  <si>
    <t>ORD-11369</t>
  </si>
  <si>
    <t>ORD-11370</t>
  </si>
  <si>
    <t>ORD-11371</t>
  </si>
  <si>
    <t>ORD-11372</t>
  </si>
  <si>
    <t>ORD-11373</t>
  </si>
  <si>
    <t>ORD-11374</t>
  </si>
  <si>
    <t>ORD-11375</t>
  </si>
  <si>
    <t>ORD-11376</t>
  </si>
  <si>
    <t>ORD-11377</t>
  </si>
  <si>
    <t>ORD-11378</t>
  </si>
  <si>
    <t>ORD-11379</t>
  </si>
  <si>
    <t>ORD-11380</t>
  </si>
  <si>
    <t>ORD-11381</t>
  </si>
  <si>
    <t>ORD-11382</t>
  </si>
  <si>
    <t>ORD-11383</t>
  </si>
  <si>
    <t>ORD-11384</t>
  </si>
  <si>
    <t>ORD-11385</t>
  </si>
  <si>
    <t>ORD-11386</t>
  </si>
  <si>
    <t>ORD-11387</t>
  </si>
  <si>
    <t>ORD-11388</t>
  </si>
  <si>
    <t>ORD-11389</t>
  </si>
  <si>
    <t>ORD-11390</t>
  </si>
  <si>
    <t>ORD-11391</t>
  </si>
  <si>
    <t>ORD-11392</t>
  </si>
  <si>
    <t>ORD-11393</t>
  </si>
  <si>
    <t>ORD-11394</t>
  </si>
  <si>
    <t>ORD-11395</t>
  </si>
  <si>
    <t>ORD-11396</t>
  </si>
  <si>
    <t>ORD-11397</t>
  </si>
  <si>
    <t>ORD-11398</t>
  </si>
  <si>
    <t>ORD-11399</t>
  </si>
  <si>
    <t>ORD-11400</t>
  </si>
  <si>
    <t>ORD-11401</t>
  </si>
  <si>
    <t>ORD-11402</t>
  </si>
  <si>
    <t>ORD-11403</t>
  </si>
  <si>
    <t>ORD-11404</t>
  </si>
  <si>
    <t>ORD-11405</t>
  </si>
  <si>
    <t>ORD-11406</t>
  </si>
  <si>
    <t>ORD-11407</t>
  </si>
  <si>
    <t>ORD-11408</t>
  </si>
  <si>
    <t>ORD-11409</t>
  </si>
  <si>
    <t>ORD-11410</t>
  </si>
  <si>
    <t>ORD-11411</t>
  </si>
  <si>
    <t>ORD-11412</t>
  </si>
  <si>
    <t>ORD-11413</t>
  </si>
  <si>
    <t>ORD-11414</t>
  </si>
  <si>
    <t>ORD-11415</t>
  </si>
  <si>
    <t>ORD-11416</t>
  </si>
  <si>
    <t>ORD-11417</t>
  </si>
  <si>
    <t>ORD-11418</t>
  </si>
  <si>
    <t>ORD-11419</t>
  </si>
  <si>
    <t>ORD-11420</t>
  </si>
  <si>
    <t>ORD-11421</t>
  </si>
  <si>
    <t>ORD-11422</t>
  </si>
  <si>
    <t>ORD-11423</t>
  </si>
  <si>
    <t>ORD-11424</t>
  </si>
  <si>
    <t>ORD-11425</t>
  </si>
  <si>
    <t>ORD-11426</t>
  </si>
  <si>
    <t>ORD-11427</t>
  </si>
  <si>
    <t>ORD-11428</t>
  </si>
  <si>
    <t>ORD-11429</t>
  </si>
  <si>
    <t>ORD-11430</t>
  </si>
  <si>
    <t>ORD-11431</t>
  </si>
  <si>
    <t>ORD-11432</t>
  </si>
  <si>
    <t>ORD-11433</t>
  </si>
  <si>
    <t>ORD-11434</t>
  </si>
  <si>
    <t>ORD-11435</t>
  </si>
  <si>
    <t>ORD-11436</t>
  </si>
  <si>
    <t>ORD-11437</t>
  </si>
  <si>
    <t>ORD-11438</t>
  </si>
  <si>
    <t>ORD-11439</t>
  </si>
  <si>
    <t>ORD-11440</t>
  </si>
  <si>
    <t>ORD-11441</t>
  </si>
  <si>
    <t>ORD-11442</t>
  </si>
  <si>
    <t>ORD-11443</t>
  </si>
  <si>
    <t>ORD-11444</t>
  </si>
  <si>
    <t>ORD-11445</t>
  </si>
  <si>
    <t>ORD-11446</t>
  </si>
  <si>
    <t>ORD-11447</t>
  </si>
  <si>
    <t>ORD-11448</t>
  </si>
  <si>
    <t>ORD-11449</t>
  </si>
  <si>
    <t>ORD-11450</t>
  </si>
  <si>
    <t>ORD-11451</t>
  </si>
  <si>
    <t>ORD-11452</t>
  </si>
  <si>
    <t>ORD-11453</t>
  </si>
  <si>
    <t>ORD-11454</t>
  </si>
  <si>
    <t>ORD-11455</t>
  </si>
  <si>
    <t>ORD-11456</t>
  </si>
  <si>
    <t>ORD-11457</t>
  </si>
  <si>
    <t>ORD-11458</t>
  </si>
  <si>
    <t>ORD-11459</t>
  </si>
  <si>
    <t>ORD-11460</t>
  </si>
  <si>
    <t>ORD-11461</t>
  </si>
  <si>
    <t>ORD-11462</t>
  </si>
  <si>
    <t>ORD-11463</t>
  </si>
  <si>
    <t>ORD-11464</t>
  </si>
  <si>
    <t>ORD-11465</t>
  </si>
  <si>
    <t>ORD-11466</t>
  </si>
  <si>
    <t>ORD-11467</t>
  </si>
  <si>
    <t>ORD-11468</t>
  </si>
  <si>
    <t>ORD-11469</t>
  </si>
  <si>
    <t>ORD-11470</t>
  </si>
  <si>
    <t>ORD-11471</t>
  </si>
  <si>
    <t>ORD-11472</t>
  </si>
  <si>
    <t>ORD-11473</t>
  </si>
  <si>
    <t>ORD-11474</t>
  </si>
  <si>
    <t>ORD-11475</t>
  </si>
  <si>
    <t>ORD-11476</t>
  </si>
  <si>
    <t>ORD-11477</t>
  </si>
  <si>
    <t>ORD-11478</t>
  </si>
  <si>
    <t>ORD-11479</t>
  </si>
  <si>
    <t>ORD-11480</t>
  </si>
  <si>
    <t>ORD-11481</t>
  </si>
  <si>
    <t>ORD-11482</t>
  </si>
  <si>
    <t>ORD-11483</t>
  </si>
  <si>
    <t>ORD-11484</t>
  </si>
  <si>
    <t>ORD-11485</t>
  </si>
  <si>
    <t>ORD-11486</t>
  </si>
  <si>
    <t>ORD-11487</t>
  </si>
  <si>
    <t>ORD-11488</t>
  </si>
  <si>
    <t>ORD-11489</t>
  </si>
  <si>
    <t>ORD-11490</t>
  </si>
  <si>
    <t>ORD-11491</t>
  </si>
  <si>
    <t>ORD-11492</t>
  </si>
  <si>
    <t>ORD-11493</t>
  </si>
  <si>
    <t>ORD-11494</t>
  </si>
  <si>
    <t>ORD-11495</t>
  </si>
  <si>
    <t>ORD-11496</t>
  </si>
  <si>
    <t>ORD-11497</t>
  </si>
  <si>
    <t>ORD-11498</t>
  </si>
  <si>
    <t>ORD-11499</t>
  </si>
  <si>
    <t>ORD-11500</t>
  </si>
  <si>
    <t>ORD-11501</t>
  </si>
  <si>
    <t>ORD-11502</t>
  </si>
  <si>
    <t>ORD-11503</t>
  </si>
  <si>
    <t>ORD-11504</t>
  </si>
  <si>
    <t>ORD-11505</t>
  </si>
  <si>
    <t>ORD-11506</t>
  </si>
  <si>
    <t>ORD-11507</t>
  </si>
  <si>
    <t>ORD-11508</t>
  </si>
  <si>
    <t>ORD-11509</t>
  </si>
  <si>
    <t>ORD-11510</t>
  </si>
  <si>
    <t>ORD-11511</t>
  </si>
  <si>
    <t>ORD-11512</t>
  </si>
  <si>
    <t>ORD-11513</t>
  </si>
  <si>
    <t>ORD-11514</t>
  </si>
  <si>
    <t>ORD-11515</t>
  </si>
  <si>
    <t>ORD-11516</t>
  </si>
  <si>
    <t>ORD-11517</t>
  </si>
  <si>
    <t>ORD-11518</t>
  </si>
  <si>
    <t>ORD-11519</t>
  </si>
  <si>
    <t>ORD-11520</t>
  </si>
  <si>
    <t>ORD-11521</t>
  </si>
  <si>
    <t>ORD-11522</t>
  </si>
  <si>
    <t>ORD-11523</t>
  </si>
  <si>
    <t>ORD-11524</t>
  </si>
  <si>
    <t>ORD-11525</t>
  </si>
  <si>
    <t>ORD-11526</t>
  </si>
  <si>
    <t>ORD-11527</t>
  </si>
  <si>
    <t>ORD-11528</t>
  </si>
  <si>
    <t>ORD-11529</t>
  </si>
  <si>
    <t>ORD-11530</t>
  </si>
  <si>
    <t>ORD-11531</t>
  </si>
  <si>
    <t>ORD-11532</t>
  </si>
  <si>
    <t>ORD-11533</t>
  </si>
  <si>
    <t>ORD-11534</t>
  </si>
  <si>
    <t>ORD-11535</t>
  </si>
  <si>
    <t>ORD-11536</t>
  </si>
  <si>
    <t>ORD-11537</t>
  </si>
  <si>
    <t>ORD-11538</t>
  </si>
  <si>
    <t>ORD-11539</t>
  </si>
  <si>
    <t>ORD-11540</t>
  </si>
  <si>
    <t>ORD-11541</t>
  </si>
  <si>
    <t>ORD-11542</t>
  </si>
  <si>
    <t>ORD-11543</t>
  </si>
  <si>
    <t>ORD-11544</t>
  </si>
  <si>
    <t>ORD-11545</t>
  </si>
  <si>
    <t>ORD-11546</t>
  </si>
  <si>
    <t>ORD-11547</t>
  </si>
  <si>
    <t>ORD-11548</t>
  </si>
  <si>
    <t>ORD-11549</t>
  </si>
  <si>
    <t>ORD-11550</t>
  </si>
  <si>
    <t>ORD-11551</t>
  </si>
  <si>
    <t>ORD-11552</t>
  </si>
  <si>
    <t>ORD-11553</t>
  </si>
  <si>
    <t>ORD-11554</t>
  </si>
  <si>
    <t>ORD-11555</t>
  </si>
  <si>
    <t>ORD-11556</t>
  </si>
  <si>
    <t>ORD-11557</t>
  </si>
  <si>
    <t>ORD-11558</t>
  </si>
  <si>
    <t>ORD-11559</t>
  </si>
  <si>
    <t>ORD-11560</t>
  </si>
  <si>
    <t>ORD-11561</t>
  </si>
  <si>
    <t>ORD-11562</t>
  </si>
  <si>
    <t>ORD-11563</t>
  </si>
  <si>
    <t>ORD-11564</t>
  </si>
  <si>
    <t>ORD-11565</t>
  </si>
  <si>
    <t>ORD-11566</t>
  </si>
  <si>
    <t>ORD-11567</t>
  </si>
  <si>
    <t>ORD-11568</t>
  </si>
  <si>
    <t>ORD-11569</t>
  </si>
  <si>
    <t>ORD-11570</t>
  </si>
  <si>
    <t>ORD-11571</t>
  </si>
  <si>
    <t>ORD-11572</t>
  </si>
  <si>
    <t>ORD-11573</t>
  </si>
  <si>
    <t>ORD-11574</t>
  </si>
  <si>
    <t>ORD-11575</t>
  </si>
  <si>
    <t>ORD-11576</t>
  </si>
  <si>
    <t>ORD-11577</t>
  </si>
  <si>
    <t>ORD-11578</t>
  </si>
  <si>
    <t>ORD-11579</t>
  </si>
  <si>
    <t>ORD-11580</t>
  </si>
  <si>
    <t>ORD-11581</t>
  </si>
  <si>
    <t>ORD-11582</t>
  </si>
  <si>
    <t>ORD-11583</t>
  </si>
  <si>
    <t>ORD-11584</t>
  </si>
  <si>
    <t>ORD-11585</t>
  </si>
  <si>
    <t>ORD-11586</t>
  </si>
  <si>
    <t>ORD-11587</t>
  </si>
  <si>
    <t>ORD-11588</t>
  </si>
  <si>
    <t>ORD-11589</t>
  </si>
  <si>
    <t>ORD-11590</t>
  </si>
  <si>
    <t>ORD-11591</t>
  </si>
  <si>
    <t>ORD-11592</t>
  </si>
  <si>
    <t>ORD-11593</t>
  </si>
  <si>
    <t>ORD-11594</t>
  </si>
  <si>
    <t>ORD-11595</t>
  </si>
  <si>
    <t>ORD-11596</t>
  </si>
  <si>
    <t>ORD-11597</t>
  </si>
  <si>
    <t>ORD-11598</t>
  </si>
  <si>
    <t>ORD-11599</t>
  </si>
  <si>
    <t>ORD-11600</t>
  </si>
  <si>
    <t>ORD-11601</t>
  </si>
  <si>
    <t>ORD-11602</t>
  </si>
  <si>
    <t>ORD-11603</t>
  </si>
  <si>
    <t>ORD-11604</t>
  </si>
  <si>
    <t>ORD-11605</t>
  </si>
  <si>
    <t>ORD-11606</t>
  </si>
  <si>
    <t>ORD-11607</t>
  </si>
  <si>
    <t>ORD-11608</t>
  </si>
  <si>
    <t>ORD-11609</t>
  </si>
  <si>
    <t>ORD-11610</t>
  </si>
  <si>
    <t>ORD-11611</t>
  </si>
  <si>
    <t>ORD-11612</t>
  </si>
  <si>
    <t>ORD-11613</t>
  </si>
  <si>
    <t>ORD-11614</t>
  </si>
  <si>
    <t>ORD-11615</t>
  </si>
  <si>
    <t>ORD-11616</t>
  </si>
  <si>
    <t>ORD-11617</t>
  </si>
  <si>
    <t>ORD-11618</t>
  </si>
  <si>
    <t>ORD-11619</t>
  </si>
  <si>
    <t>ORD-11620</t>
  </si>
  <si>
    <t>ORD-11621</t>
  </si>
  <si>
    <t>ORD-11622</t>
  </si>
  <si>
    <t>ORD-11623</t>
  </si>
  <si>
    <t>ORD-11624</t>
  </si>
  <si>
    <t>ORD-11625</t>
  </si>
  <si>
    <t>ORD-11626</t>
  </si>
  <si>
    <t>ORD-11627</t>
  </si>
  <si>
    <t>ORD-11628</t>
  </si>
  <si>
    <t>ORD-11629</t>
  </si>
  <si>
    <t>ORD-11630</t>
  </si>
  <si>
    <t>ORD-11631</t>
  </si>
  <si>
    <t>ORD-11632</t>
  </si>
  <si>
    <t>ORD-11633</t>
  </si>
  <si>
    <t>ORD-11634</t>
  </si>
  <si>
    <t>ORD-11635</t>
  </si>
  <si>
    <t>ORD-11636</t>
  </si>
  <si>
    <t>ORD-11637</t>
  </si>
  <si>
    <t>ORD-11638</t>
  </si>
  <si>
    <t>ORD-11639</t>
  </si>
  <si>
    <t>ORD-11640</t>
  </si>
  <si>
    <t>ORD-11641</t>
  </si>
  <si>
    <t>ORD-11642</t>
  </si>
  <si>
    <t>ORD-11643</t>
  </si>
  <si>
    <t>ORD-11644</t>
  </si>
  <si>
    <t>ORD-11645</t>
  </si>
  <si>
    <t>ORD-11646</t>
  </si>
  <si>
    <t>ORD-11647</t>
  </si>
  <si>
    <t>ORD-11648</t>
  </si>
  <si>
    <t>ORD-11649</t>
  </si>
  <si>
    <t>ORD-11650</t>
  </si>
  <si>
    <t>ORD-11651</t>
  </si>
  <si>
    <t>ORD-11652</t>
  </si>
  <si>
    <t>ORD-11653</t>
  </si>
  <si>
    <t>ORD-11654</t>
  </si>
  <si>
    <t>ORD-11655</t>
  </si>
  <si>
    <t>ORD-11656</t>
  </si>
  <si>
    <t>ORD-11657</t>
  </si>
  <si>
    <t>ORD-11658</t>
  </si>
  <si>
    <t>ORD-11659</t>
  </si>
  <si>
    <t>ORD-11660</t>
  </si>
  <si>
    <t>ORD-11661</t>
  </si>
  <si>
    <t>ORD-11662</t>
  </si>
  <si>
    <t>ORD-11663</t>
  </si>
  <si>
    <t>ORD-11664</t>
  </si>
  <si>
    <t>ORD-11665</t>
  </si>
  <si>
    <t>ORD-11666</t>
  </si>
  <si>
    <t>ORD-11667</t>
  </si>
  <si>
    <t>ORD-11668</t>
  </si>
  <si>
    <t>ORD-11669</t>
  </si>
  <si>
    <t>ORD-11670</t>
  </si>
  <si>
    <t>ORD-11671</t>
  </si>
  <si>
    <t>ORD-11672</t>
  </si>
  <si>
    <t>ORD-11673</t>
  </si>
  <si>
    <t>ORD-11674</t>
  </si>
  <si>
    <t>ORD-11675</t>
  </si>
  <si>
    <t>ORD-11676</t>
  </si>
  <si>
    <t>ORD-11677</t>
  </si>
  <si>
    <t>ORD-11678</t>
  </si>
  <si>
    <t>ORD-11679</t>
  </si>
  <si>
    <t>ORD-11680</t>
  </si>
  <si>
    <t>ORD-11681</t>
  </si>
  <si>
    <t>ORD-11682</t>
  </si>
  <si>
    <t>ORD-11683</t>
  </si>
  <si>
    <t>ORD-11684</t>
  </si>
  <si>
    <t>ORD-11685</t>
  </si>
  <si>
    <t>ORD-11686</t>
  </si>
  <si>
    <t>ORD-11687</t>
  </si>
  <si>
    <t>ORD-11688</t>
  </si>
  <si>
    <t>ORD-11689</t>
  </si>
  <si>
    <t>ORD-11690</t>
  </si>
  <si>
    <t>ORD-11691</t>
  </si>
  <si>
    <t>ORD-11692</t>
  </si>
  <si>
    <t>ORD-11693</t>
  </si>
  <si>
    <t>ORD-11694</t>
  </si>
  <si>
    <t>ORD-11695</t>
  </si>
  <si>
    <t>ORD-11696</t>
  </si>
  <si>
    <t>ORD-11697</t>
  </si>
  <si>
    <t>ORD-11698</t>
  </si>
  <si>
    <t>ORD-11699</t>
  </si>
  <si>
    <t>ORD-11700</t>
  </si>
  <si>
    <t>ORD-11701</t>
  </si>
  <si>
    <t>ORD-11702</t>
  </si>
  <si>
    <t>ORD-11703</t>
  </si>
  <si>
    <t>ORD-11704</t>
  </si>
  <si>
    <t>ORD-11705</t>
  </si>
  <si>
    <t>ORD-11706</t>
  </si>
  <si>
    <t>ORD-11707</t>
  </si>
  <si>
    <t>ORD-11708</t>
  </si>
  <si>
    <t>ORD-11709</t>
  </si>
  <si>
    <t>ORD-11710</t>
  </si>
  <si>
    <t>ORD-11711</t>
  </si>
  <si>
    <t>ORD-11712</t>
  </si>
  <si>
    <t>ORD-11713</t>
  </si>
  <si>
    <t>ORD-11714</t>
  </si>
  <si>
    <t>ORD-11715</t>
  </si>
  <si>
    <t>ORD-11716</t>
  </si>
  <si>
    <t>ORD-11717</t>
  </si>
  <si>
    <t>ORD-11718</t>
  </si>
  <si>
    <t>ORD-11719</t>
  </si>
  <si>
    <t>ORD-11720</t>
  </si>
  <si>
    <t>ORD-11721</t>
  </si>
  <si>
    <t>ORD-11722</t>
  </si>
  <si>
    <t>ORD-11723</t>
  </si>
  <si>
    <t>ORD-11724</t>
  </si>
  <si>
    <t>ORD-11725</t>
  </si>
  <si>
    <t>ORD-11726</t>
  </si>
  <si>
    <t>ORD-11727</t>
  </si>
  <si>
    <t>ORD-11728</t>
  </si>
  <si>
    <t>ORD-11729</t>
  </si>
  <si>
    <t>ORD-11730</t>
  </si>
  <si>
    <t>ORD-11731</t>
  </si>
  <si>
    <t>ORD-11732</t>
  </si>
  <si>
    <t>ORD-11733</t>
  </si>
  <si>
    <t>ORD-11734</t>
  </si>
  <si>
    <t>ORD-11735</t>
  </si>
  <si>
    <t>ORD-11736</t>
  </si>
  <si>
    <t>ORD-11737</t>
  </si>
  <si>
    <t>ORD-11738</t>
  </si>
  <si>
    <t>ORD-11739</t>
  </si>
  <si>
    <t>ORD-11740</t>
  </si>
  <si>
    <t>ORD-11741</t>
  </si>
  <si>
    <t>ORD-11742</t>
  </si>
  <si>
    <t>ORD-11743</t>
  </si>
  <si>
    <t>ORD-11744</t>
  </si>
  <si>
    <t>ORD-11745</t>
  </si>
  <si>
    <t>ORD-11746</t>
  </si>
  <si>
    <t>ORD-11747</t>
  </si>
  <si>
    <t>ORD-11748</t>
  </si>
  <si>
    <t>ORD-11749</t>
  </si>
  <si>
    <t>ORD-11750</t>
  </si>
  <si>
    <t>ORD-11751</t>
  </si>
  <si>
    <t>ORD-11752</t>
  </si>
  <si>
    <t>ORD-11753</t>
  </si>
  <si>
    <t>ORD-11754</t>
  </si>
  <si>
    <t>ORD-11755</t>
  </si>
  <si>
    <t>ORD-11756</t>
  </si>
  <si>
    <t>ORD-11757</t>
  </si>
  <si>
    <t>ORD-11758</t>
  </si>
  <si>
    <t>ORD-11759</t>
  </si>
  <si>
    <t>ORD-11760</t>
  </si>
  <si>
    <t>ORD-11761</t>
  </si>
  <si>
    <t>ORD-11762</t>
  </si>
  <si>
    <t>ORD-11763</t>
  </si>
  <si>
    <t>ORD-11764</t>
  </si>
  <si>
    <t>ORD-11765</t>
  </si>
  <si>
    <t>ORD-11766</t>
  </si>
  <si>
    <t>ORD-11767</t>
  </si>
  <si>
    <t>ORD-11768</t>
  </si>
  <si>
    <t>ORD-11769</t>
  </si>
  <si>
    <t>ORD-11770</t>
  </si>
  <si>
    <t>ORD-11771</t>
  </si>
  <si>
    <t>ORD-11772</t>
  </si>
  <si>
    <t>ORD-11773</t>
  </si>
  <si>
    <t>ORD-11774</t>
  </si>
  <si>
    <t>ORD-11775</t>
  </si>
  <si>
    <t>ORD-11776</t>
  </si>
  <si>
    <t>ORD-11777</t>
  </si>
  <si>
    <t>ORD-11778</t>
  </si>
  <si>
    <t>ORD-11779</t>
  </si>
  <si>
    <t>ORD-11780</t>
  </si>
  <si>
    <t>ORD-11781</t>
  </si>
  <si>
    <t>ORD-11782</t>
  </si>
  <si>
    <t>ORD-11783</t>
  </si>
  <si>
    <t>ORD-11784</t>
  </si>
  <si>
    <t>ORD-11785</t>
  </si>
  <si>
    <t>ORD-11786</t>
  </si>
  <si>
    <t>ORD-11787</t>
  </si>
  <si>
    <t>ORD-11788</t>
  </si>
  <si>
    <t>ORD-11789</t>
  </si>
  <si>
    <t>ORD-11790</t>
  </si>
  <si>
    <t>ORD-11791</t>
  </si>
  <si>
    <t>ORD-11792</t>
  </si>
  <si>
    <t>ORD-11793</t>
  </si>
  <si>
    <t>ORD-11794</t>
  </si>
  <si>
    <t>ORD-11795</t>
  </si>
  <si>
    <t>ORD-11796</t>
  </si>
  <si>
    <t>ORD-11797</t>
  </si>
  <si>
    <t>ORD-11798</t>
  </si>
  <si>
    <t>ORD-11799</t>
  </si>
  <si>
    <t>ORD-11800</t>
  </si>
  <si>
    <t>ORD-11801</t>
  </si>
  <si>
    <t>ORD-11802</t>
  </si>
  <si>
    <t>ORD-11803</t>
  </si>
  <si>
    <t>ORD-11804</t>
  </si>
  <si>
    <t>ORD-11805</t>
  </si>
  <si>
    <t>ORD-11806</t>
  </si>
  <si>
    <t>ORD-11807</t>
  </si>
  <si>
    <t>ORD-11808</t>
  </si>
  <si>
    <t>ORD-11809</t>
  </si>
  <si>
    <t>ORD-11810</t>
  </si>
  <si>
    <t>ORD-11811</t>
  </si>
  <si>
    <t>ORD-11812</t>
  </si>
  <si>
    <t>ORD-11813</t>
  </si>
  <si>
    <t>ORD-11814</t>
  </si>
  <si>
    <t>ORD-11815</t>
  </si>
  <si>
    <t>ORD-11816</t>
  </si>
  <si>
    <t>ORD-11817</t>
  </si>
  <si>
    <t>ORD-11818</t>
  </si>
  <si>
    <t>ORD-11819</t>
  </si>
  <si>
    <t>ORD-11820</t>
  </si>
  <si>
    <t>ORD-11821</t>
  </si>
  <si>
    <t>ORD-11822</t>
  </si>
  <si>
    <t>ORD-11823</t>
  </si>
  <si>
    <t>ORD-11824</t>
  </si>
  <si>
    <t>ORD-11825</t>
  </si>
  <si>
    <t>ORD-11826</t>
  </si>
  <si>
    <t>ORD-11827</t>
  </si>
  <si>
    <t>ORD-11828</t>
  </si>
  <si>
    <t>ORD-11829</t>
  </si>
  <si>
    <t>ORD-11830</t>
  </si>
  <si>
    <t>ORD-11831</t>
  </si>
  <si>
    <t>ORD-11832</t>
  </si>
  <si>
    <t>ORD-11833</t>
  </si>
  <si>
    <t>ORD-11834</t>
  </si>
  <si>
    <t>ORD-11835</t>
  </si>
  <si>
    <t>ORD-11836</t>
  </si>
  <si>
    <t>ORD-11837</t>
  </si>
  <si>
    <t>ORD-11838</t>
  </si>
  <si>
    <t>ORD-11839</t>
  </si>
  <si>
    <t>ORD-11840</t>
  </si>
  <si>
    <t>ORD-11841</t>
  </si>
  <si>
    <t>ORD-11842</t>
  </si>
  <si>
    <t>ORD-11843</t>
  </si>
  <si>
    <t>ORD-11844</t>
  </si>
  <si>
    <t>ORD-11845</t>
  </si>
  <si>
    <t>ORD-11846</t>
  </si>
  <si>
    <t>ORD-11847</t>
  </si>
  <si>
    <t>ORD-11848</t>
  </si>
  <si>
    <t>ORD-11849</t>
  </si>
  <si>
    <t>ORD-11850</t>
  </si>
  <si>
    <t>ORD-11851</t>
  </si>
  <si>
    <t>ORD-11852</t>
  </si>
  <si>
    <t>ORD-11853</t>
  </si>
  <si>
    <t>ORD-11854</t>
  </si>
  <si>
    <t>ORD-11855</t>
  </si>
  <si>
    <t>ORD-11856</t>
  </si>
  <si>
    <t>ORD-11857</t>
  </si>
  <si>
    <t>ORD-11858</t>
  </si>
  <si>
    <t>ORD-11859</t>
  </si>
  <si>
    <t>ORD-11860</t>
  </si>
  <si>
    <t>ORD-11861</t>
  </si>
  <si>
    <t>ORD-11862</t>
  </si>
  <si>
    <t>ORD-11863</t>
  </si>
  <si>
    <t>ORD-11864</t>
  </si>
  <si>
    <t>ORD-11865</t>
  </si>
  <si>
    <t>ORD-11866</t>
  </si>
  <si>
    <t>ORD-11867</t>
  </si>
  <si>
    <t>ORD-11868</t>
  </si>
  <si>
    <t>ORD-11869</t>
  </si>
  <si>
    <t>ORD-11870</t>
  </si>
  <si>
    <t>ORD-11871</t>
  </si>
  <si>
    <t>ORD-11872</t>
  </si>
  <si>
    <t>ORD-11873</t>
  </si>
  <si>
    <t>ORD-11874</t>
  </si>
  <si>
    <t>ORD-11875</t>
  </si>
  <si>
    <t>ORD-11876</t>
  </si>
  <si>
    <t>ORD-11877</t>
  </si>
  <si>
    <t>ORD-11878</t>
  </si>
  <si>
    <t>ORD-11879</t>
  </si>
  <si>
    <t>ORD-11880</t>
  </si>
  <si>
    <t>ORD-11881</t>
  </si>
  <si>
    <t>ORD-11882</t>
  </si>
  <si>
    <t>ORD-11883</t>
  </si>
  <si>
    <t>ORD-11884</t>
  </si>
  <si>
    <t>ORD-11885</t>
  </si>
  <si>
    <t>ORD-11886</t>
  </si>
  <si>
    <t>ORD-11887</t>
  </si>
  <si>
    <t>ORD-11888</t>
  </si>
  <si>
    <t>ORD-11889</t>
  </si>
  <si>
    <t>ORD-11890</t>
  </si>
  <si>
    <t>ORD-11891</t>
  </si>
  <si>
    <t>ORD-11892</t>
  </si>
  <si>
    <t>ORD-11893</t>
  </si>
  <si>
    <t>ORD-11894</t>
  </si>
  <si>
    <t>ORD-11895</t>
  </si>
  <si>
    <t>ORD-11896</t>
  </si>
  <si>
    <t>ORD-11897</t>
  </si>
  <si>
    <t>ORD-11898</t>
  </si>
  <si>
    <t>ORD-11899</t>
  </si>
  <si>
    <t>ORD-11900</t>
  </si>
  <si>
    <t>ORD-11901</t>
  </si>
  <si>
    <t>ORD-11902</t>
  </si>
  <si>
    <t>ORD-11903</t>
  </si>
  <si>
    <t>ORD-11904</t>
  </si>
  <si>
    <t>ORD-11905</t>
  </si>
  <si>
    <t>ORD-11906</t>
  </si>
  <si>
    <t>ORD-11907</t>
  </si>
  <si>
    <t>ORD-11908</t>
  </si>
  <si>
    <t>ORD-11909</t>
  </si>
  <si>
    <t>ORD-11910</t>
  </si>
  <si>
    <t>ORD-11911</t>
  </si>
  <si>
    <t>ORD-11912</t>
  </si>
  <si>
    <t>ORD-11913</t>
  </si>
  <si>
    <t>ORD-11914</t>
  </si>
  <si>
    <t>ORD-11915</t>
  </si>
  <si>
    <t>ORD-11916</t>
  </si>
  <si>
    <t>ORD-11917</t>
  </si>
  <si>
    <t>ORD-11918</t>
  </si>
  <si>
    <t>ORD-11919</t>
  </si>
  <si>
    <t>ORD-11920</t>
  </si>
  <si>
    <t>ORD-11921</t>
  </si>
  <si>
    <t>ORD-11922</t>
  </si>
  <si>
    <t>ORD-11923</t>
  </si>
  <si>
    <t>ORD-11924</t>
  </si>
  <si>
    <t>ORD-11925</t>
  </si>
  <si>
    <t>ORD-11926</t>
  </si>
  <si>
    <t>ORD-11927</t>
  </si>
  <si>
    <t>ORD-11928</t>
  </si>
  <si>
    <t>ORD-11929</t>
  </si>
  <si>
    <t>ORD-11930</t>
  </si>
  <si>
    <t>ORD-11931</t>
  </si>
  <si>
    <t>ORD-11932</t>
  </si>
  <si>
    <t>ORD-11933</t>
  </si>
  <si>
    <t>ORD-11934</t>
  </si>
  <si>
    <t>ORD-11935</t>
  </si>
  <si>
    <t>ORD-11936</t>
  </si>
  <si>
    <t>ORD-11937</t>
  </si>
  <si>
    <t>ORD-11938</t>
  </si>
  <si>
    <t>ORD-11939</t>
  </si>
  <si>
    <t>ORD-11940</t>
  </si>
  <si>
    <t>ORD-11941</t>
  </si>
  <si>
    <t>ORD-11942</t>
  </si>
  <si>
    <t>ORD-11943</t>
  </si>
  <si>
    <t>ORD-11944</t>
  </si>
  <si>
    <t>ORD-11945</t>
  </si>
  <si>
    <t>ORD-11946</t>
  </si>
  <si>
    <t>ORD-11947</t>
  </si>
  <si>
    <t>ORD-11948</t>
  </si>
  <si>
    <t>ORD-11949</t>
  </si>
  <si>
    <t>ORD-11950</t>
  </si>
  <si>
    <t>ORD-11951</t>
  </si>
  <si>
    <t>ORD-11952</t>
  </si>
  <si>
    <t>ORD-11953</t>
  </si>
  <si>
    <t>ORD-11954</t>
  </si>
  <si>
    <t>ORD-11955</t>
  </si>
  <si>
    <t>ORD-11956</t>
  </si>
  <si>
    <t>ORD-11957</t>
  </si>
  <si>
    <t>ORD-11958</t>
  </si>
  <si>
    <t>ORD-11959</t>
  </si>
  <si>
    <t>ORD-11960</t>
  </si>
  <si>
    <t>ORD-11961</t>
  </si>
  <si>
    <t>ORD-11962</t>
  </si>
  <si>
    <t>ORD-11963</t>
  </si>
  <si>
    <t>ORD-11964</t>
  </si>
  <si>
    <t>ORD-11965</t>
  </si>
  <si>
    <t>ORD-11966</t>
  </si>
  <si>
    <t>ORD-11967</t>
  </si>
  <si>
    <t>ORD-11968</t>
  </si>
  <si>
    <t>ORD-11969</t>
  </si>
  <si>
    <t>ORD-11970</t>
  </si>
  <si>
    <t>ORD-11971</t>
  </si>
  <si>
    <t>ORD-11972</t>
  </si>
  <si>
    <t>ORD-11973</t>
  </si>
  <si>
    <t>ORD-11974</t>
  </si>
  <si>
    <t>ORD-11975</t>
  </si>
  <si>
    <t>ORD-11976</t>
  </si>
  <si>
    <t>ORD-11977</t>
  </si>
  <si>
    <t>ORD-11978</t>
  </si>
  <si>
    <t>ORD-11979</t>
  </si>
  <si>
    <t>ORD-11980</t>
  </si>
  <si>
    <t>ORD-11981</t>
  </si>
  <si>
    <t>ORD-11982</t>
  </si>
  <si>
    <t>ORD-11983</t>
  </si>
  <si>
    <t>ORD-11984</t>
  </si>
  <si>
    <t>ORD-11985</t>
  </si>
  <si>
    <t>ORD-11986</t>
  </si>
  <si>
    <t>ORD-11987</t>
  </si>
  <si>
    <t>ORD-11988</t>
  </si>
  <si>
    <t>ORD-11989</t>
  </si>
  <si>
    <t>ORD-11990</t>
  </si>
  <si>
    <t>ORD-11991</t>
  </si>
  <si>
    <t>ORD-11992</t>
  </si>
  <si>
    <t>ORD-11993</t>
  </si>
  <si>
    <t>ORD-11994</t>
  </si>
  <si>
    <t>ORD-11995</t>
  </si>
  <si>
    <t>ORD-11996</t>
  </si>
  <si>
    <t>ORD-11997</t>
  </si>
  <si>
    <t>ORD-11998</t>
  </si>
  <si>
    <t>ORD-11999</t>
  </si>
  <si>
    <t>ORD-12000</t>
  </si>
  <si>
    <t>ORD-12001</t>
  </si>
  <si>
    <t>ORD-12002</t>
  </si>
  <si>
    <t>ORD-12003</t>
  </si>
  <si>
    <t>ORD-12004</t>
  </si>
  <si>
    <t>ORD-12005</t>
  </si>
  <si>
    <t>ORD-12006</t>
  </si>
  <si>
    <t>ORD-12007</t>
  </si>
  <si>
    <t>ORD-12008</t>
  </si>
  <si>
    <t>ORD-12009</t>
  </si>
  <si>
    <t>ORD-12010</t>
  </si>
  <si>
    <t>ORD-12011</t>
  </si>
  <si>
    <t>ORD-12012</t>
  </si>
  <si>
    <t>ORD-12013</t>
  </si>
  <si>
    <t>ORD-12014</t>
  </si>
  <si>
    <t>ORD-12015</t>
  </si>
  <si>
    <t>ORD-12016</t>
  </si>
  <si>
    <t>ORD-12017</t>
  </si>
  <si>
    <t>ORD-12018</t>
  </si>
  <si>
    <t>ORD-12019</t>
  </si>
  <si>
    <t>ORD-12020</t>
  </si>
  <si>
    <t>ORD-12021</t>
  </si>
  <si>
    <t>ORD-12022</t>
  </si>
  <si>
    <t>ORD-12023</t>
  </si>
  <si>
    <t>ORD-12024</t>
  </si>
  <si>
    <t>ORD-12025</t>
  </si>
  <si>
    <t>ORD-12026</t>
  </si>
  <si>
    <t>ORD-12027</t>
  </si>
  <si>
    <t>ORD-12028</t>
  </si>
  <si>
    <t>ORD-12029</t>
  </si>
  <si>
    <t>ORD-12030</t>
  </si>
  <si>
    <t>ORD-12031</t>
  </si>
  <si>
    <t>ORD-12032</t>
  </si>
  <si>
    <t>ORD-12033</t>
  </si>
  <si>
    <t>ORD-12034</t>
  </si>
  <si>
    <t>ORD-12035</t>
  </si>
  <si>
    <t>ORD-12036</t>
  </si>
  <si>
    <t>ORD-12037</t>
  </si>
  <si>
    <t>ORD-12038</t>
  </si>
  <si>
    <t>ORD-12039</t>
  </si>
  <si>
    <t>ORD-12040</t>
  </si>
  <si>
    <t>ORD-12041</t>
  </si>
  <si>
    <t>ORD-12042</t>
  </si>
  <si>
    <t>ORD-12043</t>
  </si>
  <si>
    <t>ORD-12044</t>
  </si>
  <si>
    <t>ORD-12045</t>
  </si>
  <si>
    <t>ORD-12046</t>
  </si>
  <si>
    <t>ORD-12047</t>
  </si>
  <si>
    <t>ORD-12048</t>
  </si>
  <si>
    <t>ORD-12049</t>
  </si>
  <si>
    <t>ORD-12050</t>
  </si>
  <si>
    <t>ORD-12051</t>
  </si>
  <si>
    <t>ORD-12052</t>
  </si>
  <si>
    <t>ORD-12053</t>
  </si>
  <si>
    <t>ORD-12054</t>
  </si>
  <si>
    <t>ORD-12055</t>
  </si>
  <si>
    <t>ORD-12056</t>
  </si>
  <si>
    <t>ORD-12057</t>
  </si>
  <si>
    <t>ORD-12058</t>
  </si>
  <si>
    <t>ORD-12059</t>
  </si>
  <si>
    <t>ORD-12060</t>
  </si>
  <si>
    <t>ORD-12061</t>
  </si>
  <si>
    <t>ORD-12062</t>
  </si>
  <si>
    <t>ORD-12063</t>
  </si>
  <si>
    <t>ORD-12064</t>
  </si>
  <si>
    <t>ORD-12065</t>
  </si>
  <si>
    <t>ORD-12066</t>
  </si>
  <si>
    <t>ORD-12067</t>
  </si>
  <si>
    <t>ORD-12068</t>
  </si>
  <si>
    <t>ORD-12069</t>
  </si>
  <si>
    <t>ORD-12070</t>
  </si>
  <si>
    <t>ORD-12071</t>
  </si>
  <si>
    <t>ORD-12072</t>
  </si>
  <si>
    <t>ORD-12073</t>
  </si>
  <si>
    <t>ORD-12074</t>
  </si>
  <si>
    <t>ORD-12075</t>
  </si>
  <si>
    <t>ORD-12076</t>
  </si>
  <si>
    <t>ORD-12077</t>
  </si>
  <si>
    <t>ORD-12078</t>
  </si>
  <si>
    <t>ORD-12079</t>
  </si>
  <si>
    <t>ORD-12080</t>
  </si>
  <si>
    <t>ORD-12081</t>
  </si>
  <si>
    <t>ORD-12082</t>
  </si>
  <si>
    <t>ORD-12083</t>
  </si>
  <si>
    <t>ORD-12084</t>
  </si>
  <si>
    <t>ORD-12085</t>
  </si>
  <si>
    <t>ORD-12086</t>
  </si>
  <si>
    <t>ORD-12087</t>
  </si>
  <si>
    <t>ORD-12088</t>
  </si>
  <si>
    <t>ORD-12089</t>
  </si>
  <si>
    <t>ORD-12090</t>
  </si>
  <si>
    <t>ORD-12091</t>
  </si>
  <si>
    <t>ORD-12092</t>
  </si>
  <si>
    <t>ORD-12093</t>
  </si>
  <si>
    <t>ORD-12094</t>
  </si>
  <si>
    <t>ORD-12095</t>
  </si>
  <si>
    <t>ORD-12096</t>
  </si>
  <si>
    <t>ORD-12097</t>
  </si>
  <si>
    <t>ORD-12098</t>
  </si>
  <si>
    <t>ORD-12099</t>
  </si>
  <si>
    <t>ORD-12100</t>
  </si>
  <si>
    <t>ORD-12101</t>
  </si>
  <si>
    <t>ORD-12102</t>
  </si>
  <si>
    <t>ORD-12103</t>
  </si>
  <si>
    <t>ORD-12104</t>
  </si>
  <si>
    <t>ORD-12105</t>
  </si>
  <si>
    <t>ORD-12106</t>
  </si>
  <si>
    <t>ORD-12107</t>
  </si>
  <si>
    <t>ORD-12108</t>
  </si>
  <si>
    <t>ORD-12109</t>
  </si>
  <si>
    <t>ORD-12110</t>
  </si>
  <si>
    <t>ORD-12111</t>
  </si>
  <si>
    <t>ORD-12112</t>
  </si>
  <si>
    <t>ORD-12113</t>
  </si>
  <si>
    <t>ORD-12114</t>
  </si>
  <si>
    <t>ORD-12115</t>
  </si>
  <si>
    <t>ORD-12116</t>
  </si>
  <si>
    <t>ORD-12117</t>
  </si>
  <si>
    <t>ORD-12118</t>
  </si>
  <si>
    <t>ORD-12119</t>
  </si>
  <si>
    <t>ORD-12120</t>
  </si>
  <si>
    <t>ORD-12121</t>
  </si>
  <si>
    <t>ORD-12122</t>
  </si>
  <si>
    <t>ORD-12123</t>
  </si>
  <si>
    <t>ORD-12124</t>
  </si>
  <si>
    <t>ORD-12125</t>
  </si>
  <si>
    <t>ORD-12126</t>
  </si>
  <si>
    <t>ORD-12127</t>
  </si>
  <si>
    <t>ORD-12128</t>
  </si>
  <si>
    <t>ORD-12129</t>
  </si>
  <si>
    <t>ORD-12130</t>
  </si>
  <si>
    <t>ORD-12131</t>
  </si>
  <si>
    <t>ORD-12132</t>
  </si>
  <si>
    <t>ORD-12133</t>
  </si>
  <si>
    <t>ORD-12134</t>
  </si>
  <si>
    <t>ORD-12135</t>
  </si>
  <si>
    <t>ORD-12136</t>
  </si>
  <si>
    <t>ORD-12137</t>
  </si>
  <si>
    <t>ORD-12138</t>
  </si>
  <si>
    <t>ORD-12139</t>
  </si>
  <si>
    <t>ORD-12140</t>
  </si>
  <si>
    <t>ORD-12141</t>
  </si>
  <si>
    <t>ORD-12142</t>
  </si>
  <si>
    <t>ORD-12143</t>
  </si>
  <si>
    <t>ORD-12144</t>
  </si>
  <si>
    <t>ORD-12145</t>
  </si>
  <si>
    <t>ORD-12146</t>
  </si>
  <si>
    <t>ORD-12147</t>
  </si>
  <si>
    <t>ORD-12148</t>
  </si>
  <si>
    <t>ORD-12149</t>
  </si>
  <si>
    <t>ORD-12150</t>
  </si>
  <si>
    <t>ORD-12151</t>
  </si>
  <si>
    <t>ORD-12152</t>
  </si>
  <si>
    <t>ORD-12153</t>
  </si>
  <si>
    <t>ORD-12154</t>
  </si>
  <si>
    <t>ORD-12155</t>
  </si>
  <si>
    <t>ORD-12156</t>
  </si>
  <si>
    <t>ORD-12157</t>
  </si>
  <si>
    <t>ORD-12158</t>
  </si>
  <si>
    <t>ORD-12159</t>
  </si>
  <si>
    <t>ORD-12160</t>
  </si>
  <si>
    <t>ORD-12161</t>
  </si>
  <si>
    <t>ORD-12162</t>
  </si>
  <si>
    <t>ORD-12163</t>
  </si>
  <si>
    <t>ORD-12164</t>
  </si>
  <si>
    <t>ORD-12165</t>
  </si>
  <si>
    <t>ORD-12166</t>
  </si>
  <si>
    <t>ORD-12167</t>
  </si>
  <si>
    <t>ORD-12168</t>
  </si>
  <si>
    <t>ORD-12169</t>
  </si>
  <si>
    <t>ORD-12170</t>
  </si>
  <si>
    <t>ORD-12171</t>
  </si>
  <si>
    <t>ORD-12172</t>
  </si>
  <si>
    <t>ORD-12173</t>
  </si>
  <si>
    <t>ORD-12174</t>
  </si>
  <si>
    <t>ORD-12175</t>
  </si>
  <si>
    <t>ORD-12176</t>
  </si>
  <si>
    <t>ORD-12177</t>
  </si>
  <si>
    <t>ORD-12178</t>
  </si>
  <si>
    <t>ORD-12179</t>
  </si>
  <si>
    <t>ORD-12180</t>
  </si>
  <si>
    <t>ORD-12181</t>
  </si>
  <si>
    <t>ORD-12182</t>
  </si>
  <si>
    <t>ORD-12183</t>
  </si>
  <si>
    <t>ORD-12184</t>
  </si>
  <si>
    <t>ORD-12185</t>
  </si>
  <si>
    <t>ORD-12186</t>
  </si>
  <si>
    <t>ORD-12187</t>
  </si>
  <si>
    <t>ORD-12188</t>
  </si>
  <si>
    <t>ORD-12189</t>
  </si>
  <si>
    <t>ORD-12190</t>
  </si>
  <si>
    <t>ORD-12191</t>
  </si>
  <si>
    <t>ORD-12192</t>
  </si>
  <si>
    <t>ORD-12193</t>
  </si>
  <si>
    <t>ORD-12194</t>
  </si>
  <si>
    <t>ORD-12195</t>
  </si>
  <si>
    <t>ORD-12196</t>
  </si>
  <si>
    <t>ORD-12197</t>
  </si>
  <si>
    <t>ORD-12198</t>
  </si>
  <si>
    <t>ORD-12199</t>
  </si>
  <si>
    <t>ORD-12200</t>
  </si>
  <si>
    <t>ORD-12201</t>
  </si>
  <si>
    <t>ORD-12202</t>
  </si>
  <si>
    <t>ORD-12203</t>
  </si>
  <si>
    <t>ORD-12204</t>
  </si>
  <si>
    <t>ORD-12205</t>
  </si>
  <si>
    <t>ORD-12206</t>
  </si>
  <si>
    <t>ORD-12207</t>
  </si>
  <si>
    <t>ORD-12208</t>
  </si>
  <si>
    <t>ORD-12209</t>
  </si>
  <si>
    <t>ORD-12210</t>
  </si>
  <si>
    <t>ORD-12211</t>
  </si>
  <si>
    <t>ORD-12212</t>
  </si>
  <si>
    <t>ORD-12213</t>
  </si>
  <si>
    <t>ORD-12214</t>
  </si>
  <si>
    <t>ORD-12215</t>
  </si>
  <si>
    <t>ORD-12216</t>
  </si>
  <si>
    <t>ORD-12217</t>
  </si>
  <si>
    <t>ORD-12218</t>
  </si>
  <si>
    <t>ORD-12219</t>
  </si>
  <si>
    <t>ORD-12220</t>
  </si>
  <si>
    <t>ORD-12221</t>
  </si>
  <si>
    <t>ORD-12222</t>
  </si>
  <si>
    <t>ORD-12223</t>
  </si>
  <si>
    <t>ORD-12224</t>
  </si>
  <si>
    <t>ORD-12225</t>
  </si>
  <si>
    <t>ORD-12226</t>
  </si>
  <si>
    <t>ORD-12227</t>
  </si>
  <si>
    <t>ORD-12228</t>
  </si>
  <si>
    <t>ORD-12229</t>
  </si>
  <si>
    <t>ORD-12230</t>
  </si>
  <si>
    <t>ORD-12231</t>
  </si>
  <si>
    <t>ORD-12232</t>
  </si>
  <si>
    <t>ORD-12233</t>
  </si>
  <si>
    <t>ORD-12234</t>
  </si>
  <si>
    <t>ORD-12235</t>
  </si>
  <si>
    <t>ORD-12236</t>
  </si>
  <si>
    <t>ORD-12237</t>
  </si>
  <si>
    <t>ORD-12238</t>
  </si>
  <si>
    <t>ORD-12239</t>
  </si>
  <si>
    <t>ORD-12240</t>
  </si>
  <si>
    <t>ORD-12241</t>
  </si>
  <si>
    <t>ORD-12242</t>
  </si>
  <si>
    <t>ORD-12243</t>
  </si>
  <si>
    <t>ORD-12244</t>
  </si>
  <si>
    <t>ORD-12245</t>
  </si>
  <si>
    <t>ORD-12246</t>
  </si>
  <si>
    <t>ORD-12247</t>
  </si>
  <si>
    <t>ORD-12248</t>
  </si>
  <si>
    <t>ORD-12249</t>
  </si>
  <si>
    <t>ORD-12250</t>
  </si>
  <si>
    <t>ORD-12251</t>
  </si>
  <si>
    <t>ORD-12252</t>
  </si>
  <si>
    <t>ORD-12253</t>
  </si>
  <si>
    <t>ORD-12254</t>
  </si>
  <si>
    <t>ORD-12255</t>
  </si>
  <si>
    <t>ORD-12256</t>
  </si>
  <si>
    <t>ORD-12257</t>
  </si>
  <si>
    <t>ORD-12258</t>
  </si>
  <si>
    <t>ORD-12259</t>
  </si>
  <si>
    <t>ORD-12260</t>
  </si>
  <si>
    <t>ORD-12261</t>
  </si>
  <si>
    <t>ORD-12262</t>
  </si>
  <si>
    <t>ORD-12263</t>
  </si>
  <si>
    <t>ORD-12264</t>
  </si>
  <si>
    <t>ORD-12265</t>
  </si>
  <si>
    <t>ORD-12266</t>
  </si>
  <si>
    <t>ORD-12267</t>
  </si>
  <si>
    <t>ORD-12268</t>
  </si>
  <si>
    <t>ORD-12269</t>
  </si>
  <si>
    <t>ORD-12270</t>
  </si>
  <si>
    <t>ORD-12271</t>
  </si>
  <si>
    <t>ORD-12272</t>
  </si>
  <si>
    <t>ORD-12273</t>
  </si>
  <si>
    <t>ORD-12274</t>
  </si>
  <si>
    <t>ORD-12275</t>
  </si>
  <si>
    <t>ORD-12276</t>
  </si>
  <si>
    <t>ORD-12277</t>
  </si>
  <si>
    <t>ORD-12278</t>
  </si>
  <si>
    <t>ORD-12279</t>
  </si>
  <si>
    <t>ORD-12280</t>
  </si>
  <si>
    <t>ORD-12281</t>
  </si>
  <si>
    <t>ORD-12282</t>
  </si>
  <si>
    <t>ORD-12283</t>
  </si>
  <si>
    <t>ORD-12284</t>
  </si>
  <si>
    <t>ORD-12285</t>
  </si>
  <si>
    <t>ORD-12286</t>
  </si>
  <si>
    <t>ORD-12287</t>
  </si>
  <si>
    <t>ORD-12288</t>
  </si>
  <si>
    <t>ORD-12289</t>
  </si>
  <si>
    <t>ORD-12290</t>
  </si>
  <si>
    <t>ORD-12291</t>
  </si>
  <si>
    <t>ORD-12292</t>
  </si>
  <si>
    <t>ORD-12293</t>
  </si>
  <si>
    <t>ORD-12294</t>
  </si>
  <si>
    <t>ORD-12295</t>
  </si>
  <si>
    <t>ORD-12296</t>
  </si>
  <si>
    <t>ORD-12297</t>
  </si>
  <si>
    <t>ORD-12298</t>
  </si>
  <si>
    <t>ORD-12299</t>
  </si>
  <si>
    <t>ORD-12300</t>
  </si>
  <si>
    <t>ORD-12301</t>
  </si>
  <si>
    <t>ORD-12302</t>
  </si>
  <si>
    <t>ORD-12303</t>
  </si>
  <si>
    <t>ORD-12304</t>
  </si>
  <si>
    <t>ORD-12305</t>
  </si>
  <si>
    <t>ORD-12306</t>
  </si>
  <si>
    <t>ORD-12307</t>
  </si>
  <si>
    <t>ORD-12308</t>
  </si>
  <si>
    <t>ORD-12309</t>
  </si>
  <si>
    <t>ORD-12310</t>
  </si>
  <si>
    <t>ORD-12311</t>
  </si>
  <si>
    <t>ORD-12312</t>
  </si>
  <si>
    <t>ORD-12313</t>
  </si>
  <si>
    <t>ORD-12314</t>
  </si>
  <si>
    <t>ORD-12315</t>
  </si>
  <si>
    <t>ORD-12316</t>
  </si>
  <si>
    <t>ORD-12317</t>
  </si>
  <si>
    <t>ORD-12318</t>
  </si>
  <si>
    <t>ORD-12319</t>
  </si>
  <si>
    <t>ORD-12320</t>
  </si>
  <si>
    <t>ORD-12321</t>
  </si>
  <si>
    <t>ORD-12322</t>
  </si>
  <si>
    <t>ORD-12323</t>
  </si>
  <si>
    <t>ORD-12324</t>
  </si>
  <si>
    <t>ORD-12325</t>
  </si>
  <si>
    <t>ORD-12326</t>
  </si>
  <si>
    <t>ORD-12327</t>
  </si>
  <si>
    <t>ORD-12328</t>
  </si>
  <si>
    <t>ORD-12329</t>
  </si>
  <si>
    <t>ORD-12330</t>
  </si>
  <si>
    <t>ORD-12331</t>
  </si>
  <si>
    <t>ORD-12332</t>
  </si>
  <si>
    <t>ORD-12333</t>
  </si>
  <si>
    <t>ORD-12334</t>
  </si>
  <si>
    <t>ORD-12335</t>
  </si>
  <si>
    <t>ORD-12336</t>
  </si>
  <si>
    <t>ORD-12337</t>
  </si>
  <si>
    <t>ORD-12338</t>
  </si>
  <si>
    <t>ORD-12339</t>
  </si>
  <si>
    <t>ORD-12340</t>
  </si>
  <si>
    <t>ORD-12341</t>
  </si>
  <si>
    <t>ORD-12342</t>
  </si>
  <si>
    <t>ORD-12343</t>
  </si>
  <si>
    <t>ORD-12344</t>
  </si>
  <si>
    <t>ORD-12345</t>
  </si>
  <si>
    <t>ORD-12346</t>
  </si>
  <si>
    <t>ORD-12347</t>
  </si>
  <si>
    <t>ORD-12348</t>
  </si>
  <si>
    <t>ORD-12349</t>
  </si>
  <si>
    <t>ORD-12350</t>
  </si>
  <si>
    <t>ORD-12351</t>
  </si>
  <si>
    <t>ORD-12352</t>
  </si>
  <si>
    <t>ORD-12353</t>
  </si>
  <si>
    <t>ORD-12354</t>
  </si>
  <si>
    <t>ORD-12355</t>
  </si>
  <si>
    <t>ORD-12356</t>
  </si>
  <si>
    <t>ORD-12357</t>
  </si>
  <si>
    <t>ORD-12358</t>
  </si>
  <si>
    <t>ORD-12359</t>
  </si>
  <si>
    <t>ORD-12360</t>
  </si>
  <si>
    <t>ORD-12361</t>
  </si>
  <si>
    <t>ORD-12362</t>
  </si>
  <si>
    <t>ORD-12363</t>
  </si>
  <si>
    <t>ORD-12364</t>
  </si>
  <si>
    <t>ORD-12365</t>
  </si>
  <si>
    <t>ORD-12366</t>
  </si>
  <si>
    <t>ORD-12367</t>
  </si>
  <si>
    <t>ORD-12368</t>
  </si>
  <si>
    <t>ORD-12369</t>
  </si>
  <si>
    <t>ORD-12370</t>
  </si>
  <si>
    <t>ORD-12371</t>
  </si>
  <si>
    <t>ORD-12372</t>
  </si>
  <si>
    <t>ORD-12373</t>
  </si>
  <si>
    <t>ORD-12374</t>
  </si>
  <si>
    <t>ORD-12375</t>
  </si>
  <si>
    <t>ORD-12376</t>
  </si>
  <si>
    <t>ORD-12377</t>
  </si>
  <si>
    <t>ORD-12378</t>
  </si>
  <si>
    <t>ORD-12379</t>
  </si>
  <si>
    <t>ORD-12380</t>
  </si>
  <si>
    <t>ORD-12381</t>
  </si>
  <si>
    <t>ORD-12382</t>
  </si>
  <si>
    <t>ORD-12383</t>
  </si>
  <si>
    <t>ORD-12384</t>
  </si>
  <si>
    <t>ORD-12385</t>
  </si>
  <si>
    <t>ORD-12386</t>
  </si>
  <si>
    <t>ORD-12387</t>
  </si>
  <si>
    <t>ORD-12388</t>
  </si>
  <si>
    <t>ORD-12389</t>
  </si>
  <si>
    <t>ORD-12390</t>
  </si>
  <si>
    <t>ORD-12391</t>
  </si>
  <si>
    <t>ORD-12392</t>
  </si>
  <si>
    <t>ORD-12393</t>
  </si>
  <si>
    <t>ORD-12394</t>
  </si>
  <si>
    <t>ORD-12395</t>
  </si>
  <si>
    <t>ORD-12396</t>
  </si>
  <si>
    <t>ORD-12397</t>
  </si>
  <si>
    <t>ORD-12398</t>
  </si>
  <si>
    <t>ORD-12399</t>
  </si>
  <si>
    <t>ORD-12400</t>
  </si>
  <si>
    <t>ORD-12401</t>
  </si>
  <si>
    <t>ORD-12402</t>
  </si>
  <si>
    <t>ORD-12403</t>
  </si>
  <si>
    <t>ORD-12404</t>
  </si>
  <si>
    <t>ORD-12405</t>
  </si>
  <si>
    <t>ORD-12406</t>
  </si>
  <si>
    <t>ORD-12407</t>
  </si>
  <si>
    <t>ORD-12408</t>
  </si>
  <si>
    <t>ORD-12409</t>
  </si>
  <si>
    <t>ORD-12410</t>
  </si>
  <si>
    <t>ORD-12411</t>
  </si>
  <si>
    <t>ORD-12412</t>
  </si>
  <si>
    <t>ORD-12413</t>
  </si>
  <si>
    <t>ORD-12414</t>
  </si>
  <si>
    <t>ORD-12415</t>
  </si>
  <si>
    <t>ORD-12416</t>
  </si>
  <si>
    <t>ORD-12417</t>
  </si>
  <si>
    <t>ORD-12418</t>
  </si>
  <si>
    <t>ORD-12419</t>
  </si>
  <si>
    <t>ORD-12420</t>
  </si>
  <si>
    <t>ORD-12421</t>
  </si>
  <si>
    <t>ORD-12422</t>
  </si>
  <si>
    <t>ORD-12423</t>
  </si>
  <si>
    <t>ORD-12424</t>
  </si>
  <si>
    <t>ORD-12425</t>
  </si>
  <si>
    <t>ORD-12426</t>
  </si>
  <si>
    <t>ORD-12427</t>
  </si>
  <si>
    <t>ORD-12428</t>
  </si>
  <si>
    <t>ORD-12429</t>
  </si>
  <si>
    <t>ORD-12430</t>
  </si>
  <si>
    <t>ORD-12431</t>
  </si>
  <si>
    <t>ORD-12432</t>
  </si>
  <si>
    <t>ORD-12433</t>
  </si>
  <si>
    <t>ORD-12434</t>
  </si>
  <si>
    <t>ORD-12435</t>
  </si>
  <si>
    <t>ORD-12436</t>
  </si>
  <si>
    <t>ORD-12437</t>
  </si>
  <si>
    <t>ORD-12438</t>
  </si>
  <si>
    <t>ORD-12439</t>
  </si>
  <si>
    <t>ORD-12440</t>
  </si>
  <si>
    <t>ORD-12441</t>
  </si>
  <si>
    <t>ORD-12442</t>
  </si>
  <si>
    <t>ORD-12443</t>
  </si>
  <si>
    <t>ORD-12444</t>
  </si>
  <si>
    <t>ORD-12445</t>
  </si>
  <si>
    <t>ORD-12446</t>
  </si>
  <si>
    <t>ORD-12447</t>
  </si>
  <si>
    <t>ORD-12448</t>
  </si>
  <si>
    <t>ORD-12449</t>
  </si>
  <si>
    <t>ORD-12450</t>
  </si>
  <si>
    <t>ORD-12451</t>
  </si>
  <si>
    <t>ORD-12452</t>
  </si>
  <si>
    <t>ORD-12453</t>
  </si>
  <si>
    <t>ORD-12454</t>
  </si>
  <si>
    <t>ORD-12455</t>
  </si>
  <si>
    <t>ORD-12456</t>
  </si>
  <si>
    <t>ORD-12457</t>
  </si>
  <si>
    <t>ORD-12458</t>
  </si>
  <si>
    <t>ORD-12459</t>
  </si>
  <si>
    <t>ORD-12460</t>
  </si>
  <si>
    <t>ORD-12461</t>
  </si>
  <si>
    <t>ORD-12462</t>
  </si>
  <si>
    <t>ORD-12463</t>
  </si>
  <si>
    <t>ORD-12464</t>
  </si>
  <si>
    <t>ORD-12465</t>
  </si>
  <si>
    <t>ORD-12466</t>
  </si>
  <si>
    <t>ORD-12467</t>
  </si>
  <si>
    <t>ORD-12468</t>
  </si>
  <si>
    <t>ORD-12469</t>
  </si>
  <si>
    <t>ORD-12470</t>
  </si>
  <si>
    <t>ORD-12471</t>
  </si>
  <si>
    <t>ORD-12472</t>
  </si>
  <si>
    <t>ORD-12473</t>
  </si>
  <si>
    <t>ORD-12474</t>
  </si>
  <si>
    <t>ORD-12475</t>
  </si>
  <si>
    <t>ORD-12476</t>
  </si>
  <si>
    <t>ORD-12477</t>
  </si>
  <si>
    <t>ORD-12478</t>
  </si>
  <si>
    <t>ORD-12479</t>
  </si>
  <si>
    <t>ORD-12480</t>
  </si>
  <si>
    <t>ORD-12481</t>
  </si>
  <si>
    <t>ORD-12482</t>
  </si>
  <si>
    <t>ORD-12483</t>
  </si>
  <si>
    <t>ORD-12484</t>
  </si>
  <si>
    <t>ORD-12485</t>
  </si>
  <si>
    <t>ORD-12486</t>
  </si>
  <si>
    <t>ORD-12487</t>
  </si>
  <si>
    <t>ORD-12488</t>
  </si>
  <si>
    <t>ORD-12489</t>
  </si>
  <si>
    <t>ORD-12490</t>
  </si>
  <si>
    <t>ORD-12491</t>
  </si>
  <si>
    <t>ORD-12492</t>
  </si>
  <si>
    <t>ORD-12493</t>
  </si>
  <si>
    <t>ORD-12494</t>
  </si>
  <si>
    <t>ORD-12495</t>
  </si>
  <si>
    <t>ORD-12496</t>
  </si>
  <si>
    <t>ORD-12497</t>
  </si>
  <si>
    <t>ORD-12498</t>
  </si>
  <si>
    <t>ORD-12499</t>
  </si>
  <si>
    <t>ORD-12500</t>
  </si>
  <si>
    <t>ORD-12501</t>
  </si>
  <si>
    <t>ORD-12502</t>
  </si>
  <si>
    <t>ORD-12503</t>
  </si>
  <si>
    <t>ORD-12504</t>
  </si>
  <si>
    <t>ORD-12505</t>
  </si>
  <si>
    <t>ORD-12506</t>
  </si>
  <si>
    <t>ORD-12507</t>
  </si>
  <si>
    <t>ORD-12508</t>
  </si>
  <si>
    <t>ORD-12509</t>
  </si>
  <si>
    <t>ORD-12510</t>
  </si>
  <si>
    <t>ORD-12511</t>
  </si>
  <si>
    <t>ORD-12512</t>
  </si>
  <si>
    <t>ORD-12513</t>
  </si>
  <si>
    <t>ORD-12514</t>
  </si>
  <si>
    <t>ORD-12515</t>
  </si>
  <si>
    <t>ORD-12516</t>
  </si>
  <si>
    <t>ORD-12517</t>
  </si>
  <si>
    <t>ORD-12518</t>
  </si>
  <si>
    <t>ORD-12519</t>
  </si>
  <si>
    <t>ORD-12520</t>
  </si>
  <si>
    <t>ORD-12521</t>
  </si>
  <si>
    <t>ORD-12522</t>
  </si>
  <si>
    <t>ORD-12523</t>
  </si>
  <si>
    <t>ORD-12524</t>
  </si>
  <si>
    <t>ORD-12525</t>
  </si>
  <si>
    <t>ORD-12526</t>
  </si>
  <si>
    <t>ORD-12527</t>
  </si>
  <si>
    <t>ORD-12528</t>
  </si>
  <si>
    <t>ORD-12529</t>
  </si>
  <si>
    <t>ORD-12530</t>
  </si>
  <si>
    <t>ORD-12531</t>
  </si>
  <si>
    <t>ORD-12532</t>
  </si>
  <si>
    <t>ORD-12533</t>
  </si>
  <si>
    <t>ORD-12534</t>
  </si>
  <si>
    <t>ORD-12535</t>
  </si>
  <si>
    <t>ORD-12536</t>
  </si>
  <si>
    <t>ORD-12537</t>
  </si>
  <si>
    <t>ORD-12538</t>
  </si>
  <si>
    <t>ORD-12539</t>
  </si>
  <si>
    <t>ORD-12540</t>
  </si>
  <si>
    <t>ORD-12541</t>
  </si>
  <si>
    <t>ORD-12542</t>
  </si>
  <si>
    <t>ORD-12543</t>
  </si>
  <si>
    <t>ORD-12544</t>
  </si>
  <si>
    <t>ORD-12545</t>
  </si>
  <si>
    <t>ORD-12546</t>
  </si>
  <si>
    <t>ORD-12547</t>
  </si>
  <si>
    <t>ORD-12548</t>
  </si>
  <si>
    <t>ORD-12549</t>
  </si>
  <si>
    <t>ORD-12550</t>
  </si>
  <si>
    <t>ORD-12551</t>
  </si>
  <si>
    <t>ORD-12552</t>
  </si>
  <si>
    <t>ORD-12553</t>
  </si>
  <si>
    <t>ORD-12554</t>
  </si>
  <si>
    <t>ORD-12555</t>
  </si>
  <si>
    <t>ORD-12556</t>
  </si>
  <si>
    <t>ORD-12557</t>
  </si>
  <si>
    <t>ORD-12558</t>
  </si>
  <si>
    <t>ORD-12559</t>
  </si>
  <si>
    <t>ORD-12560</t>
  </si>
  <si>
    <t>ORD-12561</t>
  </si>
  <si>
    <t>ORD-12562</t>
  </si>
  <si>
    <t>ORD-12563</t>
  </si>
  <si>
    <t>ORD-12564</t>
  </si>
  <si>
    <t>ORD-12565</t>
  </si>
  <si>
    <t>ORD-12566</t>
  </si>
  <si>
    <t>ORD-12567</t>
  </si>
  <si>
    <t>ORD-12568</t>
  </si>
  <si>
    <t>ORD-12569</t>
  </si>
  <si>
    <t>ORD-12570</t>
  </si>
  <si>
    <t>ORD-12571</t>
  </si>
  <si>
    <t>ORD-12572</t>
  </si>
  <si>
    <t>ORD-12573</t>
  </si>
  <si>
    <t>ORD-12574</t>
  </si>
  <si>
    <t>ORD-12575</t>
  </si>
  <si>
    <t>ORD-12576</t>
  </si>
  <si>
    <t>ORD-12577</t>
  </si>
  <si>
    <t>ORD-12578</t>
  </si>
  <si>
    <t>ORD-12579</t>
  </si>
  <si>
    <t>ORD-12580</t>
  </si>
  <si>
    <t>ORD-12581</t>
  </si>
  <si>
    <t>ORD-12582</t>
  </si>
  <si>
    <t>ORD-12583</t>
  </si>
  <si>
    <t>ORD-12584</t>
  </si>
  <si>
    <t>ORD-12585</t>
  </si>
  <si>
    <t>ORD-12586</t>
  </si>
  <si>
    <t>ORD-12587</t>
  </si>
  <si>
    <t>ORD-12588</t>
  </si>
  <si>
    <t>ORD-12589</t>
  </si>
  <si>
    <t>ORD-12590</t>
  </si>
  <si>
    <t>ORD-12591</t>
  </si>
  <si>
    <t>ORD-12592</t>
  </si>
  <si>
    <t>ORD-12593</t>
  </si>
  <si>
    <t>ORD-12594</t>
  </si>
  <si>
    <t>ORD-12595</t>
  </si>
  <si>
    <t>ORD-12596</t>
  </si>
  <si>
    <t>ORD-12597</t>
  </si>
  <si>
    <t>ORD-12598</t>
  </si>
  <si>
    <t>ORD-12599</t>
  </si>
  <si>
    <t>ORD-12600</t>
  </si>
  <si>
    <t>ORD-12601</t>
  </si>
  <si>
    <t>ORD-12602</t>
  </si>
  <si>
    <t>ORD-12603</t>
  </si>
  <si>
    <t>ORD-12604</t>
  </si>
  <si>
    <t>ORD-12605</t>
  </si>
  <si>
    <t>ORD-12606</t>
  </si>
  <si>
    <t>ORD-12607</t>
  </si>
  <si>
    <t>ORD-12608</t>
  </si>
  <si>
    <t>ORD-12609</t>
  </si>
  <si>
    <t>ORD-12610</t>
  </si>
  <si>
    <t>ORD-12611</t>
  </si>
  <si>
    <t>ORD-12612</t>
  </si>
  <si>
    <t>ORD-12613</t>
  </si>
  <si>
    <t>ORD-12614</t>
  </si>
  <si>
    <t>ORD-12615</t>
  </si>
  <si>
    <t>ORD-12616</t>
  </si>
  <si>
    <t>ORD-12617</t>
  </si>
  <si>
    <t>ORD-12618</t>
  </si>
  <si>
    <t>ORD-12619</t>
  </si>
  <si>
    <t>ORD-12620</t>
  </si>
  <si>
    <t>ORD-12621</t>
  </si>
  <si>
    <t>ORD-12622</t>
  </si>
  <si>
    <t>ORD-12623</t>
  </si>
  <si>
    <t>ORD-12624</t>
  </si>
  <si>
    <t>ORD-12625</t>
  </si>
  <si>
    <t>ORD-12626</t>
  </si>
  <si>
    <t>ORD-12627</t>
  </si>
  <si>
    <t>ORD-12628</t>
  </si>
  <si>
    <t>ORD-12629</t>
  </si>
  <si>
    <t>ORD-12630</t>
  </si>
  <si>
    <t>ORD-12631</t>
  </si>
  <si>
    <t>ORD-12632</t>
  </si>
  <si>
    <t>ORD-12633</t>
  </si>
  <si>
    <t>ORD-12634</t>
  </si>
  <si>
    <t>ORD-12635</t>
  </si>
  <si>
    <t>ORD-12636</t>
  </si>
  <si>
    <t>ORD-12637</t>
  </si>
  <si>
    <t>ORD-12638</t>
  </si>
  <si>
    <t>ORD-12639</t>
  </si>
  <si>
    <t>ORD-12640</t>
  </si>
  <si>
    <t>ORD-12641</t>
  </si>
  <si>
    <t>ORD-12642</t>
  </si>
  <si>
    <t>ORD-12643</t>
  </si>
  <si>
    <t>ORD-12644</t>
  </si>
  <si>
    <t>ORD-12645</t>
  </si>
  <si>
    <t>ORD-12646</t>
  </si>
  <si>
    <t>ORD-12647</t>
  </si>
  <si>
    <t>ORD-12648</t>
  </si>
  <si>
    <t>ORD-12649</t>
  </si>
  <si>
    <t>ORD-12650</t>
  </si>
  <si>
    <t>ORD-12651</t>
  </si>
  <si>
    <t>ORD-12652</t>
  </si>
  <si>
    <t>ORD-12653</t>
  </si>
  <si>
    <t>ORD-12654</t>
  </si>
  <si>
    <t>ORD-12655</t>
  </si>
  <si>
    <t>ORD-12656</t>
  </si>
  <si>
    <t>ORD-12657</t>
  </si>
  <si>
    <t>ORD-12658</t>
  </si>
  <si>
    <t>ORD-12659</t>
  </si>
  <si>
    <t>ORD-12660</t>
  </si>
  <si>
    <t>ORD-12661</t>
  </si>
  <si>
    <t>ORD-12662</t>
  </si>
  <si>
    <t>ORD-12663</t>
  </si>
  <si>
    <t>ORD-12664</t>
  </si>
  <si>
    <t>ORD-12665</t>
  </si>
  <si>
    <t>ORD-12666</t>
  </si>
  <si>
    <t>ORD-12667</t>
  </si>
  <si>
    <t>ORD-12668</t>
  </si>
  <si>
    <t>ORD-12669</t>
  </si>
  <si>
    <t>ORD-12670</t>
  </si>
  <si>
    <t>ORD-12671</t>
  </si>
  <si>
    <t>ORD-12672</t>
  </si>
  <si>
    <t>ORD-12673</t>
  </si>
  <si>
    <t>ORD-12674</t>
  </si>
  <si>
    <t>ORD-12675</t>
  </si>
  <si>
    <t>ORD-12676</t>
  </si>
  <si>
    <t>ORD-12677</t>
  </si>
  <si>
    <t>ORD-12678</t>
  </si>
  <si>
    <t>ORD-12679</t>
  </si>
  <si>
    <t>ORD-12680</t>
  </si>
  <si>
    <t>ORD-12681</t>
  </si>
  <si>
    <t>ORD-12682</t>
  </si>
  <si>
    <t>ORD-12683</t>
  </si>
  <si>
    <t>ORD-12684</t>
  </si>
  <si>
    <t>ORD-12685</t>
  </si>
  <si>
    <t>ORD-12686</t>
  </si>
  <si>
    <t>ORD-12687</t>
  </si>
  <si>
    <t>ORD-12688</t>
  </si>
  <si>
    <t>ORD-12689</t>
  </si>
  <si>
    <t>ORD-12690</t>
  </si>
  <si>
    <t>ORD-12691</t>
  </si>
  <si>
    <t>ORD-12692</t>
  </si>
  <si>
    <t>ORD-12693</t>
  </si>
  <si>
    <t>ORD-12694</t>
  </si>
  <si>
    <t>ORD-12695</t>
  </si>
  <si>
    <t>ORD-12696</t>
  </si>
  <si>
    <t>ORD-12697</t>
  </si>
  <si>
    <t>ORD-12698</t>
  </si>
  <si>
    <t>ORD-12699</t>
  </si>
  <si>
    <t>ORD-12700</t>
  </si>
  <si>
    <t>ORD-12701</t>
  </si>
  <si>
    <t>ORD-12702</t>
  </si>
  <si>
    <t>ORD-12703</t>
  </si>
  <si>
    <t>ORD-12704</t>
  </si>
  <si>
    <t>ORD-12705</t>
  </si>
  <si>
    <t>ORD-12706</t>
  </si>
  <si>
    <t>ORD-12707</t>
  </si>
  <si>
    <t>ORD-12708</t>
  </si>
  <si>
    <t>ORD-12709</t>
  </si>
  <si>
    <t>ORD-12710</t>
  </si>
  <si>
    <t>ORD-12711</t>
  </si>
  <si>
    <t>ORD-12712</t>
  </si>
  <si>
    <t>ORD-12713</t>
  </si>
  <si>
    <t>ORD-12714</t>
  </si>
  <si>
    <t>ORD-12715</t>
  </si>
  <si>
    <t>ORD-12716</t>
  </si>
  <si>
    <t>ORD-12717</t>
  </si>
  <si>
    <t>ORD-12718</t>
  </si>
  <si>
    <t>ORD-12719</t>
  </si>
  <si>
    <t>ORD-12720</t>
  </si>
  <si>
    <t>ORD-12721</t>
  </si>
  <si>
    <t>ORD-12722</t>
  </si>
  <si>
    <t>ORD-12723</t>
  </si>
  <si>
    <t>ORD-12724</t>
  </si>
  <si>
    <t>ORD-12725</t>
  </si>
  <si>
    <t>ORD-12726</t>
  </si>
  <si>
    <t>ORD-12727</t>
  </si>
  <si>
    <t>ORD-12728</t>
  </si>
  <si>
    <t>ORD-12729</t>
  </si>
  <si>
    <t>ORD-12730</t>
  </si>
  <si>
    <t>ORD-12731</t>
  </si>
  <si>
    <t>ORD-12732</t>
  </si>
  <si>
    <t>ORD-12733</t>
  </si>
  <si>
    <t>ORD-12734</t>
  </si>
  <si>
    <t>ORD-12735</t>
  </si>
  <si>
    <t>ORD-12736</t>
  </si>
  <si>
    <t>ORD-12737</t>
  </si>
  <si>
    <t>ORD-12738</t>
  </si>
  <si>
    <t>ORD-12739</t>
  </si>
  <si>
    <t>ORD-12740</t>
  </si>
  <si>
    <t>ORD-12741</t>
  </si>
  <si>
    <t>ORD-12742</t>
  </si>
  <si>
    <t>ORD-12743</t>
  </si>
  <si>
    <t>ORD-12744</t>
  </si>
  <si>
    <t>ORD-12745</t>
  </si>
  <si>
    <t>ORD-12746</t>
  </si>
  <si>
    <t>ORD-12747</t>
  </si>
  <si>
    <t>ORD-12748</t>
  </si>
  <si>
    <t>ORD-12749</t>
  </si>
  <si>
    <t>ORD-12750</t>
  </si>
  <si>
    <t>ORD-12751</t>
  </si>
  <si>
    <t>ORD-12752</t>
  </si>
  <si>
    <t>ORD-12753</t>
  </si>
  <si>
    <t>ORD-12754</t>
  </si>
  <si>
    <t>ORD-12755</t>
  </si>
  <si>
    <t>ORD-12756</t>
  </si>
  <si>
    <t>ORD-12757</t>
  </si>
  <si>
    <t>ORD-12758</t>
  </si>
  <si>
    <t>ORD-12759</t>
  </si>
  <si>
    <t>ORD-12760</t>
  </si>
  <si>
    <t>ORD-12761</t>
  </si>
  <si>
    <t>ORD-12762</t>
  </si>
  <si>
    <t>ORD-12763</t>
  </si>
  <si>
    <t>ORD-12764</t>
  </si>
  <si>
    <t>ORD-12765</t>
  </si>
  <si>
    <t>ORD-12766</t>
  </si>
  <si>
    <t>ORD-12767</t>
  </si>
  <si>
    <t>ORD-12768</t>
  </si>
  <si>
    <t>ORD-12769</t>
  </si>
  <si>
    <t>ORD-12770</t>
  </si>
  <si>
    <t>ORD-12771</t>
  </si>
  <si>
    <t>ORD-12772</t>
  </si>
  <si>
    <t>ORD-12773</t>
  </si>
  <si>
    <t>ORD-12774</t>
  </si>
  <si>
    <t>ORD-12775</t>
  </si>
  <si>
    <t>ORD-12776</t>
  </si>
  <si>
    <t>ORD-12777</t>
  </si>
  <si>
    <t>ORD-12778</t>
  </si>
  <si>
    <t>ORD-12779</t>
  </si>
  <si>
    <t>ORD-12780</t>
  </si>
  <si>
    <t>ORD-12781</t>
  </si>
  <si>
    <t>ORD-12782</t>
  </si>
  <si>
    <t>ORD-12783</t>
  </si>
  <si>
    <t>ORD-12784</t>
  </si>
  <si>
    <t>ORD-12785</t>
  </si>
  <si>
    <t>ORD-12786</t>
  </si>
  <si>
    <t>ORD-12787</t>
  </si>
  <si>
    <t>ORD-12788</t>
  </si>
  <si>
    <t>ORD-12789</t>
  </si>
  <si>
    <t>ORD-12790</t>
  </si>
  <si>
    <t>ORD-12791</t>
  </si>
  <si>
    <t>ORD-12792</t>
  </si>
  <si>
    <t>ORD-12793</t>
  </si>
  <si>
    <t>ORD-12794</t>
  </si>
  <si>
    <t>ORD-12795</t>
  </si>
  <si>
    <t>ORD-12796</t>
  </si>
  <si>
    <t>ORD-12797</t>
  </si>
  <si>
    <t>ORD-12798</t>
  </si>
  <si>
    <t>ORD-12799</t>
  </si>
  <si>
    <t>ORD-12800</t>
  </si>
  <si>
    <t>ORD-12801</t>
  </si>
  <si>
    <t>ORD-12802</t>
  </si>
  <si>
    <t>ORD-12803</t>
  </si>
  <si>
    <t>ORD-12804</t>
  </si>
  <si>
    <t>ORD-12805</t>
  </si>
  <si>
    <t>ORD-12806</t>
  </si>
  <si>
    <t>ORD-12807</t>
  </si>
  <si>
    <t>ORD-12808</t>
  </si>
  <si>
    <t>ORD-12809</t>
  </si>
  <si>
    <t>ORD-12810</t>
  </si>
  <si>
    <t>ORD-12811</t>
  </si>
  <si>
    <t>ORD-12812</t>
  </si>
  <si>
    <t>ORD-12813</t>
  </si>
  <si>
    <t>ORD-12814</t>
  </si>
  <si>
    <t>ORD-12815</t>
  </si>
  <si>
    <t>ORD-12816</t>
  </si>
  <si>
    <t>ORD-12817</t>
  </si>
  <si>
    <t>ORD-12818</t>
  </si>
  <si>
    <t>ORD-12819</t>
  </si>
  <si>
    <t>ORD-12820</t>
  </si>
  <si>
    <t>ORD-12821</t>
  </si>
  <si>
    <t>ORD-12822</t>
  </si>
  <si>
    <t>ORD-12823</t>
  </si>
  <si>
    <t>ORD-12824</t>
  </si>
  <si>
    <t>ORD-12825</t>
  </si>
  <si>
    <t>ORD-12826</t>
  </si>
  <si>
    <t>ORD-12827</t>
  </si>
  <si>
    <t>ORD-12828</t>
  </si>
  <si>
    <t>ORD-12829</t>
  </si>
  <si>
    <t>ORD-12830</t>
  </si>
  <si>
    <t>ORD-12831</t>
  </si>
  <si>
    <t>ORD-12832</t>
  </si>
  <si>
    <t>ORD-12833</t>
  </si>
  <si>
    <t>ORD-12834</t>
  </si>
  <si>
    <t>ORD-12835</t>
  </si>
  <si>
    <t>ORD-12836</t>
  </si>
  <si>
    <t>ORD-12837</t>
  </si>
  <si>
    <t>ORD-12838</t>
  </si>
  <si>
    <t>ORD-12839</t>
  </si>
  <si>
    <t>ORD-12840</t>
  </si>
  <si>
    <t>ORD-12841</t>
  </si>
  <si>
    <t>ORD-12842</t>
  </si>
  <si>
    <t>ORD-12843</t>
  </si>
  <si>
    <t>ORD-12844</t>
  </si>
  <si>
    <t>ORD-12845</t>
  </si>
  <si>
    <t>ORD-12846</t>
  </si>
  <si>
    <t>ORD-12847</t>
  </si>
  <si>
    <t>ORD-12848</t>
  </si>
  <si>
    <t>ORD-12849</t>
  </si>
  <si>
    <t>ORD-12850</t>
  </si>
  <si>
    <t>ORD-12851</t>
  </si>
  <si>
    <t>ORD-12852</t>
  </si>
  <si>
    <t>ORD-12853</t>
  </si>
  <si>
    <t>ORD-12854</t>
  </si>
  <si>
    <t>ORD-12855</t>
  </si>
  <si>
    <t>ORD-12856</t>
  </si>
  <si>
    <t>ORD-12857</t>
  </si>
  <si>
    <t>ORD-12858</t>
  </si>
  <si>
    <t>ORD-12859</t>
  </si>
  <si>
    <t>ORD-12860</t>
  </si>
  <si>
    <t>ORD-12861</t>
  </si>
  <si>
    <t>ORD-12862</t>
  </si>
  <si>
    <t>ORD-12863</t>
  </si>
  <si>
    <t>ORD-12864</t>
  </si>
  <si>
    <t>ORD-12865</t>
  </si>
  <si>
    <t>ORD-12866</t>
  </si>
  <si>
    <t>ORD-12867</t>
  </si>
  <si>
    <t>ORD-12868</t>
  </si>
  <si>
    <t>ORD-12869</t>
  </si>
  <si>
    <t>ORD-12870</t>
  </si>
  <si>
    <t>ORD-12871</t>
  </si>
  <si>
    <t>ORD-12872</t>
  </si>
  <si>
    <t>ORD-12873</t>
  </si>
  <si>
    <t>ORD-12874</t>
  </si>
  <si>
    <t>ORD-12875</t>
  </si>
  <si>
    <t>ORD-12876</t>
  </si>
  <si>
    <t>ORD-12877</t>
  </si>
  <si>
    <t>ORD-12878</t>
  </si>
  <si>
    <t>ORD-12879</t>
  </si>
  <si>
    <t>ORD-12880</t>
  </si>
  <si>
    <t>ORD-12881</t>
  </si>
  <si>
    <t>ORD-12882</t>
  </si>
  <si>
    <t>ORD-12883</t>
  </si>
  <si>
    <t>ORD-12884</t>
  </si>
  <si>
    <t>ORD-12885</t>
  </si>
  <si>
    <t>ORD-12886</t>
  </si>
  <si>
    <t>ORD-12887</t>
  </si>
  <si>
    <t>ORD-12888</t>
  </si>
  <si>
    <t>ORD-12889</t>
  </si>
  <si>
    <t>ORD-12890</t>
  </si>
  <si>
    <t>ORD-12891</t>
  </si>
  <si>
    <t>ORD-12892</t>
  </si>
  <si>
    <t>ORD-12893</t>
  </si>
  <si>
    <t>ORD-12894</t>
  </si>
  <si>
    <t>ORD-12895</t>
  </si>
  <si>
    <t>ORD-12896</t>
  </si>
  <si>
    <t>ORD-12897</t>
  </si>
  <si>
    <t>ORD-12898</t>
  </si>
  <si>
    <t>ORD-12899</t>
  </si>
  <si>
    <t>ORD-12900</t>
  </si>
  <si>
    <t>ORD-12901</t>
  </si>
  <si>
    <t>ORD-12902</t>
  </si>
  <si>
    <t>ORD-12903</t>
  </si>
  <si>
    <t>ORD-12904</t>
  </si>
  <si>
    <t>ORD-12905</t>
  </si>
  <si>
    <t>ORD-12906</t>
  </si>
  <si>
    <t>ORD-12907</t>
  </si>
  <si>
    <t>ORD-12908</t>
  </si>
  <si>
    <t>ORD-12909</t>
  </si>
  <si>
    <t>ORD-12910</t>
  </si>
  <si>
    <t>ORD-12911</t>
  </si>
  <si>
    <t>ORD-12912</t>
  </si>
  <si>
    <t>ORD-12913</t>
  </si>
  <si>
    <t>ORD-12914</t>
  </si>
  <si>
    <t>ORD-12915</t>
  </si>
  <si>
    <t>ORD-12916</t>
  </si>
  <si>
    <t>ORD-12917</t>
  </si>
  <si>
    <t>ORD-12918</t>
  </si>
  <si>
    <t>ORD-12919</t>
  </si>
  <si>
    <t>ORD-12920</t>
  </si>
  <si>
    <t>ORD-12921</t>
  </si>
  <si>
    <t>ORD-12922</t>
  </si>
  <si>
    <t>ORD-12923</t>
  </si>
  <si>
    <t>ORD-12924</t>
  </si>
  <si>
    <t>ORD-12925</t>
  </si>
  <si>
    <t>ORD-12926</t>
  </si>
  <si>
    <t>ORD-12927</t>
  </si>
  <si>
    <t>ORD-12928</t>
  </si>
  <si>
    <t>ORD-12929</t>
  </si>
  <si>
    <t>ORD-12930</t>
  </si>
  <si>
    <t>ORD-12931</t>
  </si>
  <si>
    <t>ORD-12932</t>
  </si>
  <si>
    <t>ORD-12933</t>
  </si>
  <si>
    <t>ORD-12934</t>
  </si>
  <si>
    <t>ORD-12935</t>
  </si>
  <si>
    <t>ORD-12936</t>
  </si>
  <si>
    <t>ORD-12937</t>
  </si>
  <si>
    <t>ORD-12938</t>
  </si>
  <si>
    <t>ORD-12939</t>
  </si>
  <si>
    <t>ORD-12940</t>
  </si>
  <si>
    <t>ORD-12941</t>
  </si>
  <si>
    <t>ORD-12942</t>
  </si>
  <si>
    <t>ORD-12943</t>
  </si>
  <si>
    <t>ORD-12944</t>
  </si>
  <si>
    <t>ORD-12945</t>
  </si>
  <si>
    <t>ORD-12946</t>
  </si>
  <si>
    <t>ORD-12947</t>
  </si>
  <si>
    <t>ORD-12948</t>
  </si>
  <si>
    <t>ORD-12949</t>
  </si>
  <si>
    <t>ORD-12950</t>
  </si>
  <si>
    <t>ORD-12951</t>
  </si>
  <si>
    <t>ORD-12952</t>
  </si>
  <si>
    <t>ORD-12953</t>
  </si>
  <si>
    <t>ORD-12954</t>
  </si>
  <si>
    <t>ORD-12955</t>
  </si>
  <si>
    <t>ORD-12956</t>
  </si>
  <si>
    <t>ORD-12957</t>
  </si>
  <si>
    <t>ORD-12958</t>
  </si>
  <si>
    <t>ORD-12959</t>
  </si>
  <si>
    <t>ORD-12960</t>
  </si>
  <si>
    <t>ORD-12961</t>
  </si>
  <si>
    <t>ORD-12962</t>
  </si>
  <si>
    <t>ORD-12963</t>
  </si>
  <si>
    <t>ORD-12964</t>
  </si>
  <si>
    <t>ORD-12965</t>
  </si>
  <si>
    <t>ORD-12966</t>
  </si>
  <si>
    <t>ORD-12967</t>
  </si>
  <si>
    <t>ORD-12968</t>
  </si>
  <si>
    <t>ORD-12969</t>
  </si>
  <si>
    <t>ORD-12970</t>
  </si>
  <si>
    <t>ORD-12971</t>
  </si>
  <si>
    <t>ORD-12972</t>
  </si>
  <si>
    <t>ORD-12973</t>
  </si>
  <si>
    <t>ORD-12974</t>
  </si>
  <si>
    <t>ORD-12975</t>
  </si>
  <si>
    <t>ORD-12976</t>
  </si>
  <si>
    <t>ORD-12977</t>
  </si>
  <si>
    <t>ORD-12978</t>
  </si>
  <si>
    <t>ORD-12979</t>
  </si>
  <si>
    <t>ORD-12980</t>
  </si>
  <si>
    <t>ORD-12981</t>
  </si>
  <si>
    <t>ORD-12982</t>
  </si>
  <si>
    <t>ORD-12983</t>
  </si>
  <si>
    <t>ORD-12984</t>
  </si>
  <si>
    <t>ORD-12985</t>
  </si>
  <si>
    <t>ORD-12986</t>
  </si>
  <si>
    <t>ORD-12987</t>
  </si>
  <si>
    <t>ORD-12988</t>
  </si>
  <si>
    <t>ORD-12989</t>
  </si>
  <si>
    <t>ORD-12990</t>
  </si>
  <si>
    <t>ORD-12991</t>
  </si>
  <si>
    <t>ORD-12992</t>
  </si>
  <si>
    <t>ORD-12993</t>
  </si>
  <si>
    <t>ORD-12994</t>
  </si>
  <si>
    <t>ORD-12995</t>
  </si>
  <si>
    <t>ORD-12996</t>
  </si>
  <si>
    <t>ORD-12997</t>
  </si>
  <si>
    <t>ORD-12998</t>
  </si>
  <si>
    <t>ORD-12999</t>
  </si>
  <si>
    <t>ORD-13000</t>
  </si>
  <si>
    <t>ORD-13001</t>
  </si>
  <si>
    <t>ORD-13002</t>
  </si>
  <si>
    <t>ORD-13003</t>
  </si>
  <si>
    <t>ORD-13004</t>
  </si>
  <si>
    <t>ORD-13005</t>
  </si>
  <si>
    <t>ORD-13006</t>
  </si>
  <si>
    <t>ORD-13007</t>
  </si>
  <si>
    <t>ORD-13008</t>
  </si>
  <si>
    <t>ORD-13009</t>
  </si>
  <si>
    <t>ORD-13010</t>
  </si>
  <si>
    <t>ORD-13011</t>
  </si>
  <si>
    <t>ORD-13012</t>
  </si>
  <si>
    <t>ORD-13013</t>
  </si>
  <si>
    <t>ORD-13014</t>
  </si>
  <si>
    <t>ORD-13015</t>
  </si>
  <si>
    <t>ORD-13016</t>
  </si>
  <si>
    <t>ORD-13017</t>
  </si>
  <si>
    <t>ORD-13018</t>
  </si>
  <si>
    <t>ORD-13019</t>
  </si>
  <si>
    <t>ORD-13020</t>
  </si>
  <si>
    <t>ORD-13021</t>
  </si>
  <si>
    <t>ORD-13022</t>
  </si>
  <si>
    <t>ORD-13023</t>
  </si>
  <si>
    <t>ORD-13024</t>
  </si>
  <si>
    <t>ORD-13025</t>
  </si>
  <si>
    <t>ORD-13026</t>
  </si>
  <si>
    <t>ORD-13027</t>
  </si>
  <si>
    <t>ORD-13028</t>
  </si>
  <si>
    <t>ORD-13029</t>
  </si>
  <si>
    <t>ORD-13030</t>
  </si>
  <si>
    <t>ORD-13031</t>
  </si>
  <si>
    <t>ORD-13032</t>
  </si>
  <si>
    <t>ORD-13033</t>
  </si>
  <si>
    <t>ORD-13034</t>
  </si>
  <si>
    <t>ORD-13035</t>
  </si>
  <si>
    <t>ORD-13036</t>
  </si>
  <si>
    <t>ORD-13037</t>
  </si>
  <si>
    <t>ORD-13038</t>
  </si>
  <si>
    <t>ORD-13039</t>
  </si>
  <si>
    <t>ORD-13040</t>
  </si>
  <si>
    <t>ORD-13041</t>
  </si>
  <si>
    <t>ORD-13042</t>
  </si>
  <si>
    <t>ORD-13043</t>
  </si>
  <si>
    <t>ORD-13044</t>
  </si>
  <si>
    <t>ORD-13045</t>
  </si>
  <si>
    <t>ORD-13046</t>
  </si>
  <si>
    <t>ORD-13047</t>
  </si>
  <si>
    <t>ORD-13048</t>
  </si>
  <si>
    <t>ORD-13049</t>
  </si>
  <si>
    <t>ORD-13050</t>
  </si>
  <si>
    <t>ORD-13051</t>
  </si>
  <si>
    <t>ORD-13052</t>
  </si>
  <si>
    <t>ORD-13053</t>
  </si>
  <si>
    <t>ORD-13054</t>
  </si>
  <si>
    <t>ORD-13055</t>
  </si>
  <si>
    <t>ORD-13056</t>
  </si>
  <si>
    <t>ORD-13057</t>
  </si>
  <si>
    <t>ORD-13058</t>
  </si>
  <si>
    <t>ORD-13059</t>
  </si>
  <si>
    <t>ORD-13060</t>
  </si>
  <si>
    <t>ORD-13061</t>
  </si>
  <si>
    <t>ORD-13062</t>
  </si>
  <si>
    <t>ORD-13063</t>
  </si>
  <si>
    <t>ORD-13064</t>
  </si>
  <si>
    <t>ORD-13065</t>
  </si>
  <si>
    <t>ORD-13066</t>
  </si>
  <si>
    <t>ORD-13067</t>
  </si>
  <si>
    <t>ORD-13068</t>
  </si>
  <si>
    <t>ORD-13069</t>
  </si>
  <si>
    <t>ORD-13070</t>
  </si>
  <si>
    <t>ORD-13071</t>
  </si>
  <si>
    <t>ORD-13072</t>
  </si>
  <si>
    <t>ORD-13073</t>
  </si>
  <si>
    <t>ORD-13074</t>
  </si>
  <si>
    <t>ORD-13075</t>
  </si>
  <si>
    <t>ORD-13076</t>
  </si>
  <si>
    <t>ORD-13077</t>
  </si>
  <si>
    <t>ORD-13078</t>
  </si>
  <si>
    <t>ORD-13079</t>
  </si>
  <si>
    <t>ORD-13080</t>
  </si>
  <si>
    <t>ORD-13081</t>
  </si>
  <si>
    <t>ORD-13082</t>
  </si>
  <si>
    <t>ORD-13083</t>
  </si>
  <si>
    <t>ORD-13084</t>
  </si>
  <si>
    <t>ORD-13085</t>
  </si>
  <si>
    <t>ORD-13086</t>
  </si>
  <si>
    <t>ORD-13087</t>
  </si>
  <si>
    <t>ORD-13088</t>
  </si>
  <si>
    <t>ORD-13089</t>
  </si>
  <si>
    <t>ORD-13090</t>
  </si>
  <si>
    <t>ORD-13091</t>
  </si>
  <si>
    <t>ORD-13092</t>
  </si>
  <si>
    <t>ORD-13093</t>
  </si>
  <si>
    <t>ORD-13094</t>
  </si>
  <si>
    <t>ORD-13095</t>
  </si>
  <si>
    <t>ORD-13096</t>
  </si>
  <si>
    <t>ORD-13097</t>
  </si>
  <si>
    <t>ORD-13098</t>
  </si>
  <si>
    <t>ORD-13099</t>
  </si>
  <si>
    <t>ORD-13100</t>
  </si>
  <si>
    <t>ORD-13101</t>
  </si>
  <si>
    <t>ORD-13102</t>
  </si>
  <si>
    <t>ORD-13103</t>
  </si>
  <si>
    <t>ORD-13104</t>
  </si>
  <si>
    <t>ORD-13105</t>
  </si>
  <si>
    <t>ORD-13106</t>
  </si>
  <si>
    <t>ORD-13107</t>
  </si>
  <si>
    <t>ORD-13108</t>
  </si>
  <si>
    <t>ORD-13109</t>
  </si>
  <si>
    <t>ORD-13110</t>
  </si>
  <si>
    <t>ORD-13111</t>
  </si>
  <si>
    <t>ORD-13112</t>
  </si>
  <si>
    <t>ORD-13113</t>
  </si>
  <si>
    <t>ORD-13114</t>
  </si>
  <si>
    <t>ORD-13115</t>
  </si>
  <si>
    <t>ORD-13116</t>
  </si>
  <si>
    <t>ORD-13117</t>
  </si>
  <si>
    <t>ORD-13118</t>
  </si>
  <si>
    <t>ORD-13119</t>
  </si>
  <si>
    <t>ORD-13120</t>
  </si>
  <si>
    <t>ORD-13121</t>
  </si>
  <si>
    <t>ORD-13122</t>
  </si>
  <si>
    <t>ORD-13123</t>
  </si>
  <si>
    <t>ORD-13124</t>
  </si>
  <si>
    <t>ORD-13125</t>
  </si>
  <si>
    <t>ORD-13126</t>
  </si>
  <si>
    <t>ORD-13127</t>
  </si>
  <si>
    <t>ORD-13128</t>
  </si>
  <si>
    <t>ORD-13129</t>
  </si>
  <si>
    <t>ORD-13130</t>
  </si>
  <si>
    <t>ORD-13131</t>
  </si>
  <si>
    <t>ORD-13132</t>
  </si>
  <si>
    <t>ORD-13133</t>
  </si>
  <si>
    <t>ORD-13134</t>
  </si>
  <si>
    <t>ORD-13135</t>
  </si>
  <si>
    <t>ORD-13136</t>
  </si>
  <si>
    <t>ORD-13137</t>
  </si>
  <si>
    <t>ORD-13138</t>
  </si>
  <si>
    <t>ORD-13139</t>
  </si>
  <si>
    <t>ORD-13140</t>
  </si>
  <si>
    <t>ORD-13141</t>
  </si>
  <si>
    <t>ORD-13142</t>
  </si>
  <si>
    <t>ORD-13143</t>
  </si>
  <si>
    <t>ORD-13144</t>
  </si>
  <si>
    <t>ORD-13145</t>
  </si>
  <si>
    <t>ORD-13146</t>
  </si>
  <si>
    <t>ORD-13147</t>
  </si>
  <si>
    <t>ORD-13148</t>
  </si>
  <si>
    <t>ORD-13149</t>
  </si>
  <si>
    <t>ORD-13150</t>
  </si>
  <si>
    <t>ORD-13151</t>
  </si>
  <si>
    <t>ORD-13152</t>
  </si>
  <si>
    <t>ORD-13153</t>
  </si>
  <si>
    <t>ORD-13154</t>
  </si>
  <si>
    <t>ORD-13155</t>
  </si>
  <si>
    <t>ORD-13156</t>
  </si>
  <si>
    <t>ORD-13157</t>
  </si>
  <si>
    <t>ORD-13158</t>
  </si>
  <si>
    <t>ORD-13159</t>
  </si>
  <si>
    <t>ORD-13160</t>
  </si>
  <si>
    <t>ORD-13161</t>
  </si>
  <si>
    <t>ORD-13162</t>
  </si>
  <si>
    <t>ORD-13163</t>
  </si>
  <si>
    <t>ORD-13164</t>
  </si>
  <si>
    <t>ORD-13165</t>
  </si>
  <si>
    <t>ORD-13166</t>
  </si>
  <si>
    <t>ORD-13167</t>
  </si>
  <si>
    <t>ORD-13168</t>
  </si>
  <si>
    <t>ORD-13169</t>
  </si>
  <si>
    <t>ORD-13170</t>
  </si>
  <si>
    <t>ORD-13171</t>
  </si>
  <si>
    <t>ORD-13172</t>
  </si>
  <si>
    <t>ORD-13173</t>
  </si>
  <si>
    <t>ORD-13174</t>
  </si>
  <si>
    <t>ORD-13175</t>
  </si>
  <si>
    <t>ORD-13176</t>
  </si>
  <si>
    <t>ORD-13177</t>
  </si>
  <si>
    <t>ORD-13178</t>
  </si>
  <si>
    <t>ORD-13179</t>
  </si>
  <si>
    <t>ORD-13180</t>
  </si>
  <si>
    <t>ORD-13181</t>
  </si>
  <si>
    <t>ORD-13182</t>
  </si>
  <si>
    <t>ORD-13183</t>
  </si>
  <si>
    <t>ORD-13184</t>
  </si>
  <si>
    <t>ORD-13185</t>
  </si>
  <si>
    <t>ORD-13186</t>
  </si>
  <si>
    <t>ORD-13187</t>
  </si>
  <si>
    <t>ORD-13188</t>
  </si>
  <si>
    <t>ORD-13189</t>
  </si>
  <si>
    <t>ORD-13190</t>
  </si>
  <si>
    <t>ORD-13191</t>
  </si>
  <si>
    <t>ORD-13192</t>
  </si>
  <si>
    <t>ORD-13193</t>
  </si>
  <si>
    <t>ORD-13194</t>
  </si>
  <si>
    <t>ORD-13195</t>
  </si>
  <si>
    <t>ORD-13196</t>
  </si>
  <si>
    <t>ORD-13197</t>
  </si>
  <si>
    <t>ORD-13198</t>
  </si>
  <si>
    <t>ORD-13199</t>
  </si>
  <si>
    <t>ORD-13200</t>
  </si>
  <si>
    <t>ORD-13201</t>
  </si>
  <si>
    <t>ORD-13202</t>
  </si>
  <si>
    <t>ORD-13203</t>
  </si>
  <si>
    <t>ORD-13204</t>
  </si>
  <si>
    <t>ORD-13205</t>
  </si>
  <si>
    <t>ORD-13206</t>
  </si>
  <si>
    <t>ORD-13207</t>
  </si>
  <si>
    <t>ORD-13208</t>
  </si>
  <si>
    <t>ORD-13209</t>
  </si>
  <si>
    <t>ORD-13210</t>
  </si>
  <si>
    <t>ORD-13211</t>
  </si>
  <si>
    <t>ORD-13212</t>
  </si>
  <si>
    <t>ORD-13213</t>
  </si>
  <si>
    <t>ORD-13214</t>
  </si>
  <si>
    <t>ORD-13215</t>
  </si>
  <si>
    <t>ORD-13216</t>
  </si>
  <si>
    <t>ORD-13217</t>
  </si>
  <si>
    <t>ORD-13218</t>
  </si>
  <si>
    <t>ORD-13219</t>
  </si>
  <si>
    <t>ORD-13220</t>
  </si>
  <si>
    <t>ORD-13221</t>
  </si>
  <si>
    <t>ORD-13222</t>
  </si>
  <si>
    <t>ORD-13223</t>
  </si>
  <si>
    <t>ORD-13224</t>
  </si>
  <si>
    <t>ORD-13225</t>
  </si>
  <si>
    <t>ORD-13226</t>
  </si>
  <si>
    <t>ORD-13227</t>
  </si>
  <si>
    <t>ORD-13228</t>
  </si>
  <si>
    <t>ORD-13229</t>
  </si>
  <si>
    <t>ORD-13230</t>
  </si>
  <si>
    <t>ORD-13231</t>
  </si>
  <si>
    <t>ORD-13232</t>
  </si>
  <si>
    <t>ORD-13233</t>
  </si>
  <si>
    <t>ORD-13234</t>
  </si>
  <si>
    <t>ORD-13235</t>
  </si>
  <si>
    <t>ORD-13236</t>
  </si>
  <si>
    <t>ORD-13237</t>
  </si>
  <si>
    <t>ORD-13238</t>
  </si>
  <si>
    <t>ORD-13239</t>
  </si>
  <si>
    <t>ORD-13240</t>
  </si>
  <si>
    <t>ORD-13241</t>
  </si>
  <si>
    <t>ORD-13242</t>
  </si>
  <si>
    <t>ORD-13243</t>
  </si>
  <si>
    <t>ORD-13244</t>
  </si>
  <si>
    <t>ORD-13245</t>
  </si>
  <si>
    <t>ORD-13246</t>
  </si>
  <si>
    <t>ORD-13247</t>
  </si>
  <si>
    <t>ORD-13248</t>
  </si>
  <si>
    <t>ORD-13249</t>
  </si>
  <si>
    <t>ORD-13250</t>
  </si>
  <si>
    <t>ORD-13251</t>
  </si>
  <si>
    <t>ORD-13252</t>
  </si>
  <si>
    <t>ORD-13253</t>
  </si>
  <si>
    <t>ORD-13254</t>
  </si>
  <si>
    <t>ORD-13255</t>
  </si>
  <si>
    <t>ORD-13256</t>
  </si>
  <si>
    <t>ORD-13257</t>
  </si>
  <si>
    <t>ORD-13258</t>
  </si>
  <si>
    <t>ORD-13259</t>
  </si>
  <si>
    <t>ORD-13260</t>
  </si>
  <si>
    <t>ORD-13261</t>
  </si>
  <si>
    <t>ORD-13262</t>
  </si>
  <si>
    <t>ORD-13263</t>
  </si>
  <si>
    <t>ORD-13264</t>
  </si>
  <si>
    <t>ORD-13265</t>
  </si>
  <si>
    <t>ORD-13266</t>
  </si>
  <si>
    <t>ORD-13267</t>
  </si>
  <si>
    <t>ORD-13268</t>
  </si>
  <si>
    <t>ORD-13269</t>
  </si>
  <si>
    <t>ORD-13270</t>
  </si>
  <si>
    <t>ORD-13271</t>
  </si>
  <si>
    <t>ORD-13272</t>
  </si>
  <si>
    <t>ORD-13273</t>
  </si>
  <si>
    <t>ORD-13274</t>
  </si>
  <si>
    <t>ORD-13275</t>
  </si>
  <si>
    <t>ORD-13276</t>
  </si>
  <si>
    <t>ORD-13277</t>
  </si>
  <si>
    <t>ORD-13278</t>
  </si>
  <si>
    <t>ORD-13279</t>
  </si>
  <si>
    <t>ORD-13280</t>
  </si>
  <si>
    <t>ORD-13281</t>
  </si>
  <si>
    <t>ORD-13282</t>
  </si>
  <si>
    <t>ORD-13283</t>
  </si>
  <si>
    <t>ORD-13284</t>
  </si>
  <si>
    <t>ORD-13285</t>
  </si>
  <si>
    <t>ORD-13286</t>
  </si>
  <si>
    <t>ORD-13287</t>
  </si>
  <si>
    <t>ORD-13288</t>
  </si>
  <si>
    <t>ORD-13289</t>
  </si>
  <si>
    <t>ORD-13290</t>
  </si>
  <si>
    <t>ORD-13291</t>
  </si>
  <si>
    <t>ORD-13292</t>
  </si>
  <si>
    <t>ORD-13293</t>
  </si>
  <si>
    <t>ORD-13294</t>
  </si>
  <si>
    <t>ORD-13295</t>
  </si>
  <si>
    <t>ORD-13296</t>
  </si>
  <si>
    <t>ORD-13297</t>
  </si>
  <si>
    <t>ORD-13298</t>
  </si>
  <si>
    <t>ORD-13299</t>
  </si>
  <si>
    <t>ORD-13300</t>
  </si>
  <si>
    <t>ORD-13301</t>
  </si>
  <si>
    <t>ORD-13302</t>
  </si>
  <si>
    <t>ORD-13303</t>
  </si>
  <si>
    <t>ORD-13304</t>
  </si>
  <si>
    <t>ORD-13305</t>
  </si>
  <si>
    <t>ORD-13306</t>
  </si>
  <si>
    <t>ORD-13307</t>
  </si>
  <si>
    <t>ORD-13308</t>
  </si>
  <si>
    <t>ORD-13309</t>
  </si>
  <si>
    <t>ORD-13310</t>
  </si>
  <si>
    <t>ORD-13311</t>
  </si>
  <si>
    <t>ORD-13312</t>
  </si>
  <si>
    <t>ORD-13313</t>
  </si>
  <si>
    <t>ORD-13314</t>
  </si>
  <si>
    <t>ORD-13315</t>
  </si>
  <si>
    <t>ORD-13316</t>
  </si>
  <si>
    <t>ORD-13317</t>
  </si>
  <si>
    <t>ORD-13318</t>
  </si>
  <si>
    <t>ORD-13319</t>
  </si>
  <si>
    <t>ORD-13320</t>
  </si>
  <si>
    <t>ORD-13321</t>
  </si>
  <si>
    <t>ORD-13322</t>
  </si>
  <si>
    <t>ORD-13323</t>
  </si>
  <si>
    <t>ORD-13324</t>
  </si>
  <si>
    <t>ORD-13325</t>
  </si>
  <si>
    <t>ORD-13326</t>
  </si>
  <si>
    <t>ORD-13327</t>
  </si>
  <si>
    <t>ORD-13328</t>
  </si>
  <si>
    <t>ORD-13329</t>
  </si>
  <si>
    <t>ORD-13330</t>
  </si>
  <si>
    <t>ORD-13331</t>
  </si>
  <si>
    <t>ORD-13332</t>
  </si>
  <si>
    <t>ORD-13333</t>
  </si>
  <si>
    <t>ORD-13334</t>
  </si>
  <si>
    <t>ORD-13335</t>
  </si>
  <si>
    <t>ORD-13336</t>
  </si>
  <si>
    <t>ORD-13337</t>
  </si>
  <si>
    <t>ORD-13338</t>
  </si>
  <si>
    <t>ORD-13339</t>
  </si>
  <si>
    <t>ORD-13340</t>
  </si>
  <si>
    <t>ORD-13341</t>
  </si>
  <si>
    <t>ORD-13342</t>
  </si>
  <si>
    <t>ORD-13343</t>
  </si>
  <si>
    <t>ORD-13344</t>
  </si>
  <si>
    <t>ORD-13345</t>
  </si>
  <si>
    <t>ORD-13346</t>
  </si>
  <si>
    <t>ORD-13347</t>
  </si>
  <si>
    <t>ORD-13348</t>
  </si>
  <si>
    <t>ORD-13349</t>
  </si>
  <si>
    <t>ORD-13350</t>
  </si>
  <si>
    <t>ORD-13351</t>
  </si>
  <si>
    <t>ORD-13352</t>
  </si>
  <si>
    <t>ORD-13353</t>
  </si>
  <si>
    <t>ORD-13354</t>
  </si>
  <si>
    <t>ORD-13355</t>
  </si>
  <si>
    <t>ORD-13356</t>
  </si>
  <si>
    <t>ORD-13357</t>
  </si>
  <si>
    <t>ORD-13358</t>
  </si>
  <si>
    <t>ORD-13359</t>
  </si>
  <si>
    <t>ORD-13360</t>
  </si>
  <si>
    <t>ORD-13361</t>
  </si>
  <si>
    <t>ORD-13362</t>
  </si>
  <si>
    <t>ORD-13363</t>
  </si>
  <si>
    <t>ORD-13364</t>
  </si>
  <si>
    <t>ORD-13365</t>
  </si>
  <si>
    <t>ORD-13366</t>
  </si>
  <si>
    <t>ORD-13367</t>
  </si>
  <si>
    <t>ORD-13368</t>
  </si>
  <si>
    <t>ORD-13369</t>
  </si>
  <si>
    <t>ORD-13370</t>
  </si>
  <si>
    <t>ORD-13371</t>
  </si>
  <si>
    <t>ORD-13372</t>
  </si>
  <si>
    <t>ORD-13373</t>
  </si>
  <si>
    <t>ORD-13374</t>
  </si>
  <si>
    <t>ORD-13375</t>
  </si>
  <si>
    <t>ORD-13376</t>
  </si>
  <si>
    <t>ORD-13377</t>
  </si>
  <si>
    <t>ORD-13378</t>
  </si>
  <si>
    <t>ORD-13379</t>
  </si>
  <si>
    <t>ORD-13380</t>
  </si>
  <si>
    <t>ORD-13381</t>
  </si>
  <si>
    <t>ORD-13382</t>
  </si>
  <si>
    <t>ORD-13383</t>
  </si>
  <si>
    <t>ORD-13384</t>
  </si>
  <si>
    <t>ORD-13385</t>
  </si>
  <si>
    <t>ORD-13386</t>
  </si>
  <si>
    <t>ORD-13387</t>
  </si>
  <si>
    <t>ORD-13388</t>
  </si>
  <si>
    <t>ORD-13389</t>
  </si>
  <si>
    <t>ORD-13390</t>
  </si>
  <si>
    <t>ORD-13391</t>
  </si>
  <si>
    <t>ORD-13392</t>
  </si>
  <si>
    <t>ORD-13393</t>
  </si>
  <si>
    <t>ORD-13394</t>
  </si>
  <si>
    <t>ORD-13395</t>
  </si>
  <si>
    <t>ORD-13396</t>
  </si>
  <si>
    <t>ORD-13397</t>
  </si>
  <si>
    <t>ORD-13398</t>
  </si>
  <si>
    <t>ORD-13399</t>
  </si>
  <si>
    <t>ORD-13400</t>
  </si>
  <si>
    <t>ORD-13401</t>
  </si>
  <si>
    <t>ORD-13402</t>
  </si>
  <si>
    <t>ORD-13403</t>
  </si>
  <si>
    <t>ORD-13404</t>
  </si>
  <si>
    <t>ORD-13405</t>
  </si>
  <si>
    <t>ORD-13406</t>
  </si>
  <si>
    <t>ORD-13407</t>
  </si>
  <si>
    <t>ORD-13408</t>
  </si>
  <si>
    <t>ORD-13409</t>
  </si>
  <si>
    <t>ORD-13410</t>
  </si>
  <si>
    <t>ORD-13411</t>
  </si>
  <si>
    <t>ORD-13412</t>
  </si>
  <si>
    <t>ORD-13413</t>
  </si>
  <si>
    <t>ORD-13414</t>
  </si>
  <si>
    <t>ORD-13415</t>
  </si>
  <si>
    <t>ORD-13416</t>
  </si>
  <si>
    <t>ORD-13417</t>
  </si>
  <si>
    <t>ORD-13418</t>
  </si>
  <si>
    <t>ORD-13419</t>
  </si>
  <si>
    <t>ORD-13420</t>
  </si>
  <si>
    <t>ORD-13421</t>
  </si>
  <si>
    <t>ORD-13422</t>
  </si>
  <si>
    <t>ORD-13423</t>
  </si>
  <si>
    <t>ORD-13424</t>
  </si>
  <si>
    <t>ORD-13425</t>
  </si>
  <si>
    <t>ORD-13426</t>
  </si>
  <si>
    <t>ORD-13427</t>
  </si>
  <si>
    <t>ORD-13428</t>
  </si>
  <si>
    <t>ORD-13429</t>
  </si>
  <si>
    <t>ORD-13430</t>
  </si>
  <si>
    <t>ORD-13431</t>
  </si>
  <si>
    <t>ORD-13432</t>
  </si>
  <si>
    <t>ORD-13433</t>
  </si>
  <si>
    <t>ORD-13434</t>
  </si>
  <si>
    <t>ORD-13435</t>
  </si>
  <si>
    <t>ORD-13436</t>
  </si>
  <si>
    <t>ORD-13437</t>
  </si>
  <si>
    <t>ORD-13438</t>
  </si>
  <si>
    <t>ORD-13439</t>
  </si>
  <si>
    <t>ORD-13440</t>
  </si>
  <si>
    <t>ORD-13441</t>
  </si>
  <si>
    <t>ORD-13442</t>
  </si>
  <si>
    <t>ORD-13443</t>
  </si>
  <si>
    <t>ORD-13444</t>
  </si>
  <si>
    <t>ORD-13445</t>
  </si>
  <si>
    <t>ORD-13446</t>
  </si>
  <si>
    <t>ORD-13447</t>
  </si>
  <si>
    <t>ORD-13448</t>
  </si>
  <si>
    <t>ORD-13449</t>
  </si>
  <si>
    <t>ORD-13450</t>
  </si>
  <si>
    <t>ORD-13451</t>
  </si>
  <si>
    <t>ORD-13452</t>
  </si>
  <si>
    <t>ORD-13453</t>
  </si>
  <si>
    <t>ORD-13454</t>
  </si>
  <si>
    <t>ORD-13455</t>
  </si>
  <si>
    <t>ORD-13456</t>
  </si>
  <si>
    <t>ORD-13457</t>
  </si>
  <si>
    <t>ORD-13458</t>
  </si>
  <si>
    <t>ORD-13459</t>
  </si>
  <si>
    <t>ORD-13460</t>
  </si>
  <si>
    <t>ORD-13461</t>
  </si>
  <si>
    <t>ORD-13462</t>
  </si>
  <si>
    <t>ORD-13463</t>
  </si>
  <si>
    <t>ORD-13464</t>
  </si>
  <si>
    <t>ORD-13465</t>
  </si>
  <si>
    <t>ORD-13466</t>
  </si>
  <si>
    <t>ORD-13467</t>
  </si>
  <si>
    <t>ORD-13468</t>
  </si>
  <si>
    <t>ORD-13469</t>
  </si>
  <si>
    <t>ORD-13470</t>
  </si>
  <si>
    <t>ORD-13471</t>
  </si>
  <si>
    <t>ORD-13472</t>
  </si>
  <si>
    <t>ORD-13473</t>
  </si>
  <si>
    <t>ORD-13474</t>
  </si>
  <si>
    <t>ORD-13475</t>
  </si>
  <si>
    <t>ORD-13476</t>
  </si>
  <si>
    <t>ORD-13477</t>
  </si>
  <si>
    <t>ORD-13478</t>
  </si>
  <si>
    <t>ORD-13479</t>
  </si>
  <si>
    <t>ORD-13480</t>
  </si>
  <si>
    <t>ORD-13481</t>
  </si>
  <si>
    <t>ORD-13482</t>
  </si>
  <si>
    <t>ORD-13483</t>
  </si>
  <si>
    <t>ORD-13484</t>
  </si>
  <si>
    <t>ORD-13485</t>
  </si>
  <si>
    <t>ORD-13486</t>
  </si>
  <si>
    <t>ORD-13487</t>
  </si>
  <si>
    <t>ORD-13488</t>
  </si>
  <si>
    <t>ORD-13489</t>
  </si>
  <si>
    <t>ORD-13490</t>
  </si>
  <si>
    <t>ORD-13491</t>
  </si>
  <si>
    <t>ORD-13492</t>
  </si>
  <si>
    <t>ORD-13493</t>
  </si>
  <si>
    <t>ORD-13494</t>
  </si>
  <si>
    <t>ORD-13495</t>
  </si>
  <si>
    <t>ORD-13496</t>
  </si>
  <si>
    <t>ORD-13497</t>
  </si>
  <si>
    <t>ORD-13498</t>
  </si>
  <si>
    <t>ORD-13499</t>
  </si>
  <si>
    <t>ORD-13500</t>
  </si>
  <si>
    <t>ORD-13501</t>
  </si>
  <si>
    <t>ORD-13502</t>
  </si>
  <si>
    <t>ORD-13503</t>
  </si>
  <si>
    <t>ORD-13504</t>
  </si>
  <si>
    <t>ORD-13505</t>
  </si>
  <si>
    <t>ORD-13506</t>
  </si>
  <si>
    <t>ORD-13507</t>
  </si>
  <si>
    <t>ORD-13508</t>
  </si>
  <si>
    <t>ORD-13509</t>
  </si>
  <si>
    <t>ORD-13510</t>
  </si>
  <si>
    <t>ORD-13511</t>
  </si>
  <si>
    <t>ORD-13512</t>
  </si>
  <si>
    <t>ORD-13513</t>
  </si>
  <si>
    <t>ORD-13514</t>
  </si>
  <si>
    <t>ORD-13515</t>
  </si>
  <si>
    <t>ORD-13516</t>
  </si>
  <si>
    <t>ORD-13517</t>
  </si>
  <si>
    <t>ORD-13518</t>
  </si>
  <si>
    <t>ORD-13519</t>
  </si>
  <si>
    <t>ORD-13520</t>
  </si>
  <si>
    <t>ORD-13521</t>
  </si>
  <si>
    <t>ORD-13522</t>
  </si>
  <si>
    <t>ORD-13523</t>
  </si>
  <si>
    <t>ORD-13524</t>
  </si>
  <si>
    <t>ORD-13525</t>
  </si>
  <si>
    <t>ORD-13526</t>
  </si>
  <si>
    <t>ORD-13527</t>
  </si>
  <si>
    <t>ORD-13528</t>
  </si>
  <si>
    <t>ORD-13529</t>
  </si>
  <si>
    <t>ORD-13530</t>
  </si>
  <si>
    <t>ORD-13531</t>
  </si>
  <si>
    <t>ORD-13532</t>
  </si>
  <si>
    <t>ORD-13533</t>
  </si>
  <si>
    <t>ORD-13534</t>
  </si>
  <si>
    <t>ORD-13535</t>
  </si>
  <si>
    <t>ORD-13536</t>
  </si>
  <si>
    <t>ORD-13537</t>
  </si>
  <si>
    <t>ORD-13538</t>
  </si>
  <si>
    <t>ORD-13539</t>
  </si>
  <si>
    <t>ORD-13540</t>
  </si>
  <si>
    <t>ORD-13541</t>
  </si>
  <si>
    <t>ORD-13542</t>
  </si>
  <si>
    <t>ORD-13543</t>
  </si>
  <si>
    <t>ORD-13544</t>
  </si>
  <si>
    <t>ORD-13545</t>
  </si>
  <si>
    <t>ORD-13546</t>
  </si>
  <si>
    <t>ORD-13547</t>
  </si>
  <si>
    <t>ORD-13548</t>
  </si>
  <si>
    <t>ORD-13549</t>
  </si>
  <si>
    <t>ORD-13550</t>
  </si>
  <si>
    <t>ORD-13551</t>
  </si>
  <si>
    <t>ORD-13552</t>
  </si>
  <si>
    <t>ORD-13553</t>
  </si>
  <si>
    <t>ORD-13554</t>
  </si>
  <si>
    <t>ORD-13555</t>
  </si>
  <si>
    <t>ORD-13556</t>
  </si>
  <si>
    <t>ORD-13557</t>
  </si>
  <si>
    <t>ORD-13558</t>
  </si>
  <si>
    <t>ORD-13559</t>
  </si>
  <si>
    <t>ORD-13560</t>
  </si>
  <si>
    <t>ORD-13561</t>
  </si>
  <si>
    <t>ORD-13562</t>
  </si>
  <si>
    <t>ORD-13563</t>
  </si>
  <si>
    <t>ORD-13564</t>
  </si>
  <si>
    <t>ORD-13565</t>
  </si>
  <si>
    <t>ORD-13566</t>
  </si>
  <si>
    <t>ORD-13567</t>
  </si>
  <si>
    <t>ORD-13568</t>
  </si>
  <si>
    <t>ORD-13569</t>
  </si>
  <si>
    <t>ORD-13570</t>
  </si>
  <si>
    <t>ORD-13571</t>
  </si>
  <si>
    <t>ORD-13572</t>
  </si>
  <si>
    <t>ORD-13573</t>
  </si>
  <si>
    <t>ORD-13574</t>
  </si>
  <si>
    <t>ORD-13575</t>
  </si>
  <si>
    <t>ORD-13576</t>
  </si>
  <si>
    <t>ORD-13577</t>
  </si>
  <si>
    <t>ORD-13578</t>
  </si>
  <si>
    <t>ORD-13579</t>
  </si>
  <si>
    <t>ORD-13580</t>
  </si>
  <si>
    <t>ORD-13581</t>
  </si>
  <si>
    <t>ORD-13582</t>
  </si>
  <si>
    <t>ORD-13583</t>
  </si>
  <si>
    <t>ORD-13584</t>
  </si>
  <si>
    <t>ORD-13585</t>
  </si>
  <si>
    <t>ORD-13586</t>
  </si>
  <si>
    <t>ORD-13587</t>
  </si>
  <si>
    <t>ORD-13588</t>
  </si>
  <si>
    <t>ORD-13589</t>
  </si>
  <si>
    <t>ORD-13590</t>
  </si>
  <si>
    <t>ORD-13591</t>
  </si>
  <si>
    <t>ORD-13592</t>
  </si>
  <si>
    <t>ORD-13593</t>
  </si>
  <si>
    <t>ORD-13594</t>
  </si>
  <si>
    <t>ORD-13595</t>
  </si>
  <si>
    <t>ORD-13596</t>
  </si>
  <si>
    <t>ORD-13597</t>
  </si>
  <si>
    <t>ORD-13598</t>
  </si>
  <si>
    <t>ORD-13599</t>
  </si>
  <si>
    <t>ORD-13600</t>
  </si>
  <si>
    <t>ORD-13601</t>
  </si>
  <si>
    <t>ORD-13602</t>
  </si>
  <si>
    <t>ORD-13603</t>
  </si>
  <si>
    <t>ORD-13604</t>
  </si>
  <si>
    <t>ORD-13605</t>
  </si>
  <si>
    <t>ORD-13606</t>
  </si>
  <si>
    <t>ORD-13607</t>
  </si>
  <si>
    <t>ORD-13608</t>
  </si>
  <si>
    <t>ORD-13609</t>
  </si>
  <si>
    <t>ORD-13610</t>
  </si>
  <si>
    <t>ORD-13611</t>
  </si>
  <si>
    <t>ORD-13612</t>
  </si>
  <si>
    <t>ORD-13613</t>
  </si>
  <si>
    <t>ORD-13614</t>
  </si>
  <si>
    <t>ORD-13615</t>
  </si>
  <si>
    <t>ORD-13616</t>
  </si>
  <si>
    <t>ORD-13617</t>
  </si>
  <si>
    <t>ORD-13618</t>
  </si>
  <si>
    <t>ORD-13619</t>
  </si>
  <si>
    <t>ORD-13620</t>
  </si>
  <si>
    <t>ORD-13621</t>
  </si>
  <si>
    <t>ORD-13622</t>
  </si>
  <si>
    <t>ORD-13623</t>
  </si>
  <si>
    <t>ORD-13624</t>
  </si>
  <si>
    <t>ORD-13625</t>
  </si>
  <si>
    <t>ORD-13626</t>
  </si>
  <si>
    <t>ORD-13627</t>
  </si>
  <si>
    <t>ORD-13628</t>
  </si>
  <si>
    <t>ORD-13629</t>
  </si>
  <si>
    <t>ORD-13630</t>
  </si>
  <si>
    <t>ORD-13631</t>
  </si>
  <si>
    <t>ORD-13632</t>
  </si>
  <si>
    <t>ORD-13633</t>
  </si>
  <si>
    <t>ORD-13634</t>
  </si>
  <si>
    <t>ORD-13635</t>
  </si>
  <si>
    <t>ORD-13636</t>
  </si>
  <si>
    <t>ORD-13637</t>
  </si>
  <si>
    <t>ORD-13638</t>
  </si>
  <si>
    <t>ORD-13639</t>
  </si>
  <si>
    <t>ORD-13640</t>
  </si>
  <si>
    <t>ORD-13641</t>
  </si>
  <si>
    <t>ORD-13642</t>
  </si>
  <si>
    <t>ORD-13643</t>
  </si>
  <si>
    <t>ORD-13644</t>
  </si>
  <si>
    <t>ORD-13645</t>
  </si>
  <si>
    <t>ORD-13646</t>
  </si>
  <si>
    <t>ORD-13647</t>
  </si>
  <si>
    <t>ORD-13648</t>
  </si>
  <si>
    <t>ORD-13649</t>
  </si>
  <si>
    <t>ORD-13650</t>
  </si>
  <si>
    <t>ORD-13651</t>
  </si>
  <si>
    <t>ORD-13652</t>
  </si>
  <si>
    <t>ORD-13653</t>
  </si>
  <si>
    <t>ORD-13654</t>
  </si>
  <si>
    <t>ORD-13655</t>
  </si>
  <si>
    <t>ORD-13656</t>
  </si>
  <si>
    <t>ORD-13657</t>
  </si>
  <si>
    <t>ORD-13658</t>
  </si>
  <si>
    <t>ORD-13659</t>
  </si>
  <si>
    <t>ORD-13660</t>
  </si>
  <si>
    <t>ORD-13661</t>
  </si>
  <si>
    <t>ORD-13662</t>
  </si>
  <si>
    <t>ORD-13663</t>
  </si>
  <si>
    <t>ORD-13664</t>
  </si>
  <si>
    <t>ORD-13665</t>
  </si>
  <si>
    <t>ORD-13666</t>
  </si>
  <si>
    <t>ORD-13667</t>
  </si>
  <si>
    <t>ORD-13668</t>
  </si>
  <si>
    <t>ORD-13669</t>
  </si>
  <si>
    <t>ORD-13670</t>
  </si>
  <si>
    <t>ORD-13671</t>
  </si>
  <si>
    <t>ORD-13672</t>
  </si>
  <si>
    <t>ORD-13673</t>
  </si>
  <si>
    <t>ORD-13674</t>
  </si>
  <si>
    <t>ORD-13675</t>
  </si>
  <si>
    <t>ORD-13676</t>
  </si>
  <si>
    <t>ORD-13677</t>
  </si>
  <si>
    <t>ORD-13678</t>
  </si>
  <si>
    <t>ORD-13679</t>
  </si>
  <si>
    <t>ORD-13680</t>
  </si>
  <si>
    <t>ORD-13681</t>
  </si>
  <si>
    <t>ORD-13682</t>
  </si>
  <si>
    <t>ORD-13683</t>
  </si>
  <si>
    <t>ORD-13684</t>
  </si>
  <si>
    <t>ORD-13685</t>
  </si>
  <si>
    <t>ORD-13686</t>
  </si>
  <si>
    <t>ORD-13687</t>
  </si>
  <si>
    <t>ORD-13688</t>
  </si>
  <si>
    <t>ORD-13689</t>
  </si>
  <si>
    <t>ORD-13690</t>
  </si>
  <si>
    <t>ORD-13691</t>
  </si>
  <si>
    <t>ORD-13692</t>
  </si>
  <si>
    <t>ORD-13693</t>
  </si>
  <si>
    <t>ORD-13694</t>
  </si>
  <si>
    <t>ORD-13695</t>
  </si>
  <si>
    <t>ORD-13696</t>
  </si>
  <si>
    <t>ORD-13697</t>
  </si>
  <si>
    <t>ORD-13698</t>
  </si>
  <si>
    <t>ORD-13699</t>
  </si>
  <si>
    <t>ORD-13700</t>
  </si>
  <si>
    <t>ORD-13701</t>
  </si>
  <si>
    <t>ORD-13702</t>
  </si>
  <si>
    <t>ORD-13703</t>
  </si>
  <si>
    <t>ORD-13704</t>
  </si>
  <si>
    <t>ORD-13705</t>
  </si>
  <si>
    <t>ORD-13706</t>
  </si>
  <si>
    <t>ORD-13707</t>
  </si>
  <si>
    <t>ORD-13708</t>
  </si>
  <si>
    <t>ORD-13709</t>
  </si>
  <si>
    <t>ORD-13710</t>
  </si>
  <si>
    <t>ORD-13711</t>
  </si>
  <si>
    <t>ORD-13712</t>
  </si>
  <si>
    <t>ORD-13713</t>
  </si>
  <si>
    <t>ORD-13714</t>
  </si>
  <si>
    <t>ORD-13715</t>
  </si>
  <si>
    <t>ORD-13716</t>
  </si>
  <si>
    <t>ORD-13717</t>
  </si>
  <si>
    <t>ORD-13718</t>
  </si>
  <si>
    <t>ORD-13719</t>
  </si>
  <si>
    <t>ORD-13720</t>
  </si>
  <si>
    <t>ORD-13721</t>
  </si>
  <si>
    <t>ORD-13722</t>
  </si>
  <si>
    <t>ORD-13723</t>
  </si>
  <si>
    <t>ORD-13724</t>
  </si>
  <si>
    <t>ORD-13725</t>
  </si>
  <si>
    <t>ORD-13726</t>
  </si>
  <si>
    <t>ORD-13727</t>
  </si>
  <si>
    <t>ORD-13728</t>
  </si>
  <si>
    <t>ORD-13729</t>
  </si>
  <si>
    <t>ORD-13730</t>
  </si>
  <si>
    <t>ORD-13731</t>
  </si>
  <si>
    <t>ORD-13732</t>
  </si>
  <si>
    <t>ORD-13733</t>
  </si>
  <si>
    <t>ORD-13734</t>
  </si>
  <si>
    <t>ORD-13735</t>
  </si>
  <si>
    <t>ORD-13736</t>
  </si>
  <si>
    <t>ORD-13737</t>
  </si>
  <si>
    <t>ORD-13738</t>
  </si>
  <si>
    <t>ORD-13739</t>
  </si>
  <si>
    <t>ORD-13740</t>
  </si>
  <si>
    <t>ORD-13741</t>
  </si>
  <si>
    <t>ORD-13742</t>
  </si>
  <si>
    <t>ORD-13743</t>
  </si>
  <si>
    <t>ORD-13744</t>
  </si>
  <si>
    <t>ORD-13745</t>
  </si>
  <si>
    <t>ORD-13746</t>
  </si>
  <si>
    <t>ORD-13747</t>
  </si>
  <si>
    <t>ORD-13748</t>
  </si>
  <si>
    <t>ORD-13749</t>
  </si>
  <si>
    <t>ORD-13750</t>
  </si>
  <si>
    <t>ORD-13751</t>
  </si>
  <si>
    <t>ORD-13752</t>
  </si>
  <si>
    <t>ORD-13753</t>
  </si>
  <si>
    <t>ORD-13754</t>
  </si>
  <si>
    <t>ORD-13755</t>
  </si>
  <si>
    <t>ORD-13756</t>
  </si>
  <si>
    <t>ORD-13757</t>
  </si>
  <si>
    <t>ORD-13758</t>
  </si>
  <si>
    <t>ORD-13759</t>
  </si>
  <si>
    <t>ORD-13760</t>
  </si>
  <si>
    <t>ORD-13761</t>
  </si>
  <si>
    <t>ORD-13762</t>
  </si>
  <si>
    <t>ORD-13763</t>
  </si>
  <si>
    <t>ORD-13764</t>
  </si>
  <si>
    <t>ORD-13765</t>
  </si>
  <si>
    <t>ORD-13766</t>
  </si>
  <si>
    <t>ORD-13767</t>
  </si>
  <si>
    <t>ORD-13768</t>
  </si>
  <si>
    <t>ORD-13769</t>
  </si>
  <si>
    <t>ORD-13770</t>
  </si>
  <si>
    <t>ORD-13771</t>
  </si>
  <si>
    <t>ORD-13772</t>
  </si>
  <si>
    <t>ORD-13773</t>
  </si>
  <si>
    <t>ORD-13774</t>
  </si>
  <si>
    <t>ORD-13775</t>
  </si>
  <si>
    <t>ORD-13776</t>
  </si>
  <si>
    <t>ORD-13777</t>
  </si>
  <si>
    <t>ORD-13778</t>
  </si>
  <si>
    <t>ORD-13779</t>
  </si>
  <si>
    <t>ORD-13780</t>
  </si>
  <si>
    <t>ORD-13781</t>
  </si>
  <si>
    <t>ORD-13782</t>
  </si>
  <si>
    <t>ORD-13783</t>
  </si>
  <si>
    <t>ORD-13784</t>
  </si>
  <si>
    <t>ORD-13785</t>
  </si>
  <si>
    <t>ORD-13786</t>
  </si>
  <si>
    <t>ORD-13787</t>
  </si>
  <si>
    <t>ORD-13788</t>
  </si>
  <si>
    <t>ORD-13789</t>
  </si>
  <si>
    <t>ORD-13790</t>
  </si>
  <si>
    <t>ORD-13791</t>
  </si>
  <si>
    <t>ORD-13792</t>
  </si>
  <si>
    <t>ORD-13793</t>
  </si>
  <si>
    <t>ORD-13794</t>
  </si>
  <si>
    <t>ORD-13795</t>
  </si>
  <si>
    <t>ORD-13796</t>
  </si>
  <si>
    <t>ORD-13797</t>
  </si>
  <si>
    <t>ORD-13798</t>
  </si>
  <si>
    <t>ORD-13799</t>
  </si>
  <si>
    <t>ORD-13800</t>
  </si>
  <si>
    <t>ORD-13801</t>
  </si>
  <si>
    <t>ORD-13802</t>
  </si>
  <si>
    <t>ORD-13803</t>
  </si>
  <si>
    <t>ORD-13804</t>
  </si>
  <si>
    <t>ORD-13805</t>
  </si>
  <si>
    <t>ORD-13806</t>
  </si>
  <si>
    <t>ORD-13807</t>
  </si>
  <si>
    <t>ORD-13808</t>
  </si>
  <si>
    <t>ORD-13809</t>
  </si>
  <si>
    <t>ORD-13810</t>
  </si>
  <si>
    <t>ORD-13811</t>
  </si>
  <si>
    <t>ORD-13812</t>
  </si>
  <si>
    <t>ORD-13813</t>
  </si>
  <si>
    <t>ORD-13814</t>
  </si>
  <si>
    <t>ORD-13815</t>
  </si>
  <si>
    <t>ORD-13816</t>
  </si>
  <si>
    <t>ORD-13817</t>
  </si>
  <si>
    <t>ORD-13818</t>
  </si>
  <si>
    <t>ORD-13819</t>
  </si>
  <si>
    <t>ORD-13820</t>
  </si>
  <si>
    <t>ORD-13821</t>
  </si>
  <si>
    <t>ORD-13822</t>
  </si>
  <si>
    <t>ORD-13823</t>
  </si>
  <si>
    <t>ORD-13824</t>
  </si>
  <si>
    <t>ORD-13825</t>
  </si>
  <si>
    <t>ORD-13826</t>
  </si>
  <si>
    <t>ORD-13827</t>
  </si>
  <si>
    <t>ORD-13828</t>
  </si>
  <si>
    <t>ORD-13829</t>
  </si>
  <si>
    <t>ORD-13830</t>
  </si>
  <si>
    <t>ORD-13831</t>
  </si>
  <si>
    <t>ORD-13832</t>
  </si>
  <si>
    <t>ORD-13833</t>
  </si>
  <si>
    <t>ORD-13834</t>
  </si>
  <si>
    <t>ORD-13835</t>
  </si>
  <si>
    <t>ORD-13836</t>
  </si>
  <si>
    <t>ORD-13837</t>
  </si>
  <si>
    <t>ORD-13838</t>
  </si>
  <si>
    <t>ORD-13839</t>
  </si>
  <si>
    <t>ORD-13840</t>
  </si>
  <si>
    <t>ORD-13841</t>
  </si>
  <si>
    <t>ORD-13842</t>
  </si>
  <si>
    <t>ORD-13843</t>
  </si>
  <si>
    <t>ORD-13844</t>
  </si>
  <si>
    <t>ORD-13845</t>
  </si>
  <si>
    <t>ORD-13846</t>
  </si>
  <si>
    <t>ORD-13847</t>
  </si>
  <si>
    <t>ORD-13848</t>
  </si>
  <si>
    <t>ORD-13849</t>
  </si>
  <si>
    <t>ORD-13850</t>
  </si>
  <si>
    <t>ORD-13851</t>
  </si>
  <si>
    <t>ORD-13852</t>
  </si>
  <si>
    <t>ORD-13853</t>
  </si>
  <si>
    <t>ORD-13854</t>
  </si>
  <si>
    <t>ORD-13855</t>
  </si>
  <si>
    <t>ORD-13856</t>
  </si>
  <si>
    <t>ORD-13857</t>
  </si>
  <si>
    <t>ORD-13858</t>
  </si>
  <si>
    <t>ORD-13859</t>
  </si>
  <si>
    <t>ORD-13860</t>
  </si>
  <si>
    <t>ORD-13861</t>
  </si>
  <si>
    <t>ORD-13862</t>
  </si>
  <si>
    <t>ORD-13863</t>
  </si>
  <si>
    <t>ORD-13864</t>
  </si>
  <si>
    <t>ORD-13865</t>
  </si>
  <si>
    <t>ORD-13866</t>
  </si>
  <si>
    <t>ORD-13867</t>
  </si>
  <si>
    <t>ORD-13868</t>
  </si>
  <si>
    <t>ORD-13869</t>
  </si>
  <si>
    <t>ORD-13870</t>
  </si>
  <si>
    <t>ORD-13871</t>
  </si>
  <si>
    <t>ORD-13872</t>
  </si>
  <si>
    <t>ORD-13873</t>
  </si>
  <si>
    <t>ORD-13874</t>
  </si>
  <si>
    <t>ORD-13875</t>
  </si>
  <si>
    <t>ORD-13876</t>
  </si>
  <si>
    <t>ORD-13877</t>
  </si>
  <si>
    <t>ORD-13878</t>
  </si>
  <si>
    <t>ORD-13879</t>
  </si>
  <si>
    <t>ORD-13880</t>
  </si>
  <si>
    <t>ORD-13881</t>
  </si>
  <si>
    <t>ORD-13882</t>
  </si>
  <si>
    <t>ORD-13883</t>
  </si>
  <si>
    <t>ORD-13884</t>
  </si>
  <si>
    <t>ORD-13885</t>
  </si>
  <si>
    <t>ORD-13886</t>
  </si>
  <si>
    <t>ORD-13887</t>
  </si>
  <si>
    <t>ORD-13888</t>
  </si>
  <si>
    <t>ORD-13889</t>
  </si>
  <si>
    <t>ORD-13890</t>
  </si>
  <si>
    <t>ORD-13891</t>
  </si>
  <si>
    <t>ORD-13892</t>
  </si>
  <si>
    <t>ORD-13893</t>
  </si>
  <si>
    <t>ORD-13894</t>
  </si>
  <si>
    <t>ORD-13895</t>
  </si>
  <si>
    <t>ORD-13896</t>
  </si>
  <si>
    <t>ORD-13897</t>
  </si>
  <si>
    <t>ORD-13898</t>
  </si>
  <si>
    <t>ORD-13899</t>
  </si>
  <si>
    <t>ORD-13900</t>
  </si>
  <si>
    <t>ORD-13901</t>
  </si>
  <si>
    <t>ORD-13902</t>
  </si>
  <si>
    <t>ORD-13903</t>
  </si>
  <si>
    <t>ORD-13904</t>
  </si>
  <si>
    <t>ORD-13905</t>
  </si>
  <si>
    <t>ORD-13906</t>
  </si>
  <si>
    <t>ORD-13907</t>
  </si>
  <si>
    <t>ORD-13908</t>
  </si>
  <si>
    <t>ORD-13909</t>
  </si>
  <si>
    <t>ORD-13910</t>
  </si>
  <si>
    <t>ORD-13911</t>
  </si>
  <si>
    <t>ORD-13912</t>
  </si>
  <si>
    <t>ORD-13913</t>
  </si>
  <si>
    <t>ORD-13914</t>
  </si>
  <si>
    <t>ORD-13915</t>
  </si>
  <si>
    <t>ORD-13916</t>
  </si>
  <si>
    <t>ORD-13917</t>
  </si>
  <si>
    <t>ORD-13918</t>
  </si>
  <si>
    <t>ORD-13919</t>
  </si>
  <si>
    <t>ORD-13920</t>
  </si>
  <si>
    <t>ORD-13921</t>
  </si>
  <si>
    <t>ORD-13922</t>
  </si>
  <si>
    <t>ORD-13923</t>
  </si>
  <si>
    <t>ORD-13924</t>
  </si>
  <si>
    <t>ORD-13925</t>
  </si>
  <si>
    <t>ORD-13926</t>
  </si>
  <si>
    <t>ORD-13927</t>
  </si>
  <si>
    <t>ORD-13928</t>
  </si>
  <si>
    <t>ORD-13929</t>
  </si>
  <si>
    <t>ORD-13930</t>
  </si>
  <si>
    <t>ORD-13931</t>
  </si>
  <si>
    <t>ORD-13932</t>
  </si>
  <si>
    <t>ORD-13933</t>
  </si>
  <si>
    <t>ORD-13934</t>
  </si>
  <si>
    <t>ORD-13935</t>
  </si>
  <si>
    <t>ORD-13936</t>
  </si>
  <si>
    <t>ORD-13937</t>
  </si>
  <si>
    <t>ORD-13938</t>
  </si>
  <si>
    <t>ORD-13939</t>
  </si>
  <si>
    <t>ORD-13940</t>
  </si>
  <si>
    <t>ORD-13941</t>
  </si>
  <si>
    <t>ORD-13942</t>
  </si>
  <si>
    <t>ORD-13943</t>
  </si>
  <si>
    <t>ORD-13944</t>
  </si>
  <si>
    <t>ORD-13945</t>
  </si>
  <si>
    <t>ORD-13946</t>
  </si>
  <si>
    <t>ORD-13947</t>
  </si>
  <si>
    <t>ORD-13948</t>
  </si>
  <si>
    <t>ORD-13949</t>
  </si>
  <si>
    <t>ORD-13950</t>
  </si>
  <si>
    <t>ORD-13951</t>
  </si>
  <si>
    <t>ORD-13952</t>
  </si>
  <si>
    <t>ORD-13953</t>
  </si>
  <si>
    <t>ORD-13954</t>
  </si>
  <si>
    <t>ORD-13955</t>
  </si>
  <si>
    <t>ORD-13956</t>
  </si>
  <si>
    <t>ORD-13957</t>
  </si>
  <si>
    <t>ORD-13958</t>
  </si>
  <si>
    <t>ORD-13959</t>
  </si>
  <si>
    <t>ORD-13960</t>
  </si>
  <si>
    <t>ORD-13961</t>
  </si>
  <si>
    <t>ORD-13962</t>
  </si>
  <si>
    <t>ORD-13963</t>
  </si>
  <si>
    <t>ORD-13964</t>
  </si>
  <si>
    <t>ORD-13965</t>
  </si>
  <si>
    <t>ORD-13966</t>
  </si>
  <si>
    <t>ORD-13967</t>
  </si>
  <si>
    <t>ORD-13968</t>
  </si>
  <si>
    <t>ORD-13969</t>
  </si>
  <si>
    <t>ORD-13970</t>
  </si>
  <si>
    <t>ORD-13971</t>
  </si>
  <si>
    <t>ORD-13972</t>
  </si>
  <si>
    <t>ORD-13973</t>
  </si>
  <si>
    <t>ORD-13974</t>
  </si>
  <si>
    <t>ORD-13975</t>
  </si>
  <si>
    <t>ORD-13976</t>
  </si>
  <si>
    <t>ORD-13977</t>
  </si>
  <si>
    <t>ORD-13978</t>
  </si>
  <si>
    <t>ORD-13979</t>
  </si>
  <si>
    <t>ORD-13980</t>
  </si>
  <si>
    <t>ORD-13981</t>
  </si>
  <si>
    <t>ORD-13982</t>
  </si>
  <si>
    <t>ORD-13983</t>
  </si>
  <si>
    <t>ORD-13984</t>
  </si>
  <si>
    <t>ORD-13985</t>
  </si>
  <si>
    <t>ORD-13986</t>
  </si>
  <si>
    <t>ORD-13987</t>
  </si>
  <si>
    <t>ORD-13988</t>
  </si>
  <si>
    <t>ORD-13989</t>
  </si>
  <si>
    <t>ORD-13990</t>
  </si>
  <si>
    <t>ORD-13991</t>
  </si>
  <si>
    <t>ORD-13992</t>
  </si>
  <si>
    <t>ORD-13993</t>
  </si>
  <si>
    <t>ORD-13994</t>
  </si>
  <si>
    <t>ORD-13995</t>
  </si>
  <si>
    <t>ORD-13996</t>
  </si>
  <si>
    <t>ORD-13997</t>
  </si>
  <si>
    <t>ORD-13998</t>
  </si>
  <si>
    <t>ORD-13999</t>
  </si>
  <si>
    <t>ORD-14000</t>
  </si>
  <si>
    <t>ORD-14001</t>
  </si>
  <si>
    <t>ORD-14002</t>
  </si>
  <si>
    <t>ORD-14003</t>
  </si>
  <si>
    <t>ORD-14004</t>
  </si>
  <si>
    <t>ORD-14005</t>
  </si>
  <si>
    <t>ORD-14006</t>
  </si>
  <si>
    <t>ORD-14007</t>
  </si>
  <si>
    <t>ORD-14008</t>
  </si>
  <si>
    <t>ORD-14009</t>
  </si>
  <si>
    <t>ORD-14010</t>
  </si>
  <si>
    <t>ORD-14011</t>
  </si>
  <si>
    <t>ORD-14012</t>
  </si>
  <si>
    <t>ORD-14013</t>
  </si>
  <si>
    <t>ORD-14014</t>
  </si>
  <si>
    <t>ORD-14015</t>
  </si>
  <si>
    <t>ORD-14016</t>
  </si>
  <si>
    <t>ORD-14017</t>
  </si>
  <si>
    <t>ORD-14018</t>
  </si>
  <si>
    <t>ORD-14019</t>
  </si>
  <si>
    <t>ORD-14020</t>
  </si>
  <si>
    <t>ORD-14021</t>
  </si>
  <si>
    <t>ORD-14022</t>
  </si>
  <si>
    <t>ORD-14023</t>
  </si>
  <si>
    <t>ORD-14024</t>
  </si>
  <si>
    <t>ORD-14025</t>
  </si>
  <si>
    <t>ORD-14026</t>
  </si>
  <si>
    <t>ORD-14027</t>
  </si>
  <si>
    <t>ORD-14028</t>
  </si>
  <si>
    <t>ORD-14029</t>
  </si>
  <si>
    <t>ORD-14030</t>
  </si>
  <si>
    <t>ORD-14031</t>
  </si>
  <si>
    <t>ORD-14032</t>
  </si>
  <si>
    <t>ORD-14033</t>
  </si>
  <si>
    <t>ORD-14034</t>
  </si>
  <si>
    <t>ORD-14035</t>
  </si>
  <si>
    <t>ORD-14036</t>
  </si>
  <si>
    <t>ORD-14037</t>
  </si>
  <si>
    <t>ORD-14038</t>
  </si>
  <si>
    <t>ORD-14039</t>
  </si>
  <si>
    <t>ORD-14040</t>
  </si>
  <si>
    <t>ORD-14041</t>
  </si>
  <si>
    <t>ORD-14042</t>
  </si>
  <si>
    <t>ORD-14043</t>
  </si>
  <si>
    <t>ORD-14044</t>
  </si>
  <si>
    <t>ORD-14045</t>
  </si>
  <si>
    <t>ORD-14046</t>
  </si>
  <si>
    <t>ORD-14047</t>
  </si>
  <si>
    <t>ORD-14048</t>
  </si>
  <si>
    <t>ORD-14049</t>
  </si>
  <si>
    <t>ORD-14050</t>
  </si>
  <si>
    <t>ORD-14051</t>
  </si>
  <si>
    <t>ORD-14052</t>
  </si>
  <si>
    <t>ORD-14053</t>
  </si>
  <si>
    <t>ORD-14054</t>
  </si>
  <si>
    <t>ORD-14055</t>
  </si>
  <si>
    <t>ORD-14056</t>
  </si>
  <si>
    <t>ORD-14057</t>
  </si>
  <si>
    <t>ORD-14058</t>
  </si>
  <si>
    <t>ORD-14059</t>
  </si>
  <si>
    <t>ORD-14060</t>
  </si>
  <si>
    <t>ORD-14061</t>
  </si>
  <si>
    <t>ORD-14062</t>
  </si>
  <si>
    <t>ORD-14063</t>
  </si>
  <si>
    <t>ORD-14064</t>
  </si>
  <si>
    <t>ORD-14065</t>
  </si>
  <si>
    <t>ORD-14066</t>
  </si>
  <si>
    <t>ORD-14067</t>
  </si>
  <si>
    <t>ORD-14068</t>
  </si>
  <si>
    <t>ORD-14069</t>
  </si>
  <si>
    <t>ORD-14070</t>
  </si>
  <si>
    <t>ORD-14071</t>
  </si>
  <si>
    <t>ORD-14072</t>
  </si>
  <si>
    <t>ORD-14073</t>
  </si>
  <si>
    <t>ORD-14074</t>
  </si>
  <si>
    <t>ORD-14075</t>
  </si>
  <si>
    <t>ORD-14076</t>
  </si>
  <si>
    <t>ORD-14077</t>
  </si>
  <si>
    <t>ORD-14078</t>
  </si>
  <si>
    <t>ORD-14079</t>
  </si>
  <si>
    <t>ORD-14080</t>
  </si>
  <si>
    <t>ORD-14081</t>
  </si>
  <si>
    <t>ORD-14082</t>
  </si>
  <si>
    <t>ORD-14083</t>
  </si>
  <si>
    <t>ORD-14084</t>
  </si>
  <si>
    <t>ORD-14085</t>
  </si>
  <si>
    <t>ORD-14086</t>
  </si>
  <si>
    <t>ORD-14087</t>
  </si>
  <si>
    <t>ORD-14088</t>
  </si>
  <si>
    <t>ORD-14089</t>
  </si>
  <si>
    <t>ORD-14090</t>
  </si>
  <si>
    <t>ORD-14091</t>
  </si>
  <si>
    <t>ORD-14092</t>
  </si>
  <si>
    <t>ORD-14093</t>
  </si>
  <si>
    <t>ORD-14094</t>
  </si>
  <si>
    <t>ORD-14095</t>
  </si>
  <si>
    <t>ORD-14096</t>
  </si>
  <si>
    <t>ORD-14097</t>
  </si>
  <si>
    <t>ORD-14098</t>
  </si>
  <si>
    <t>ORD-14099</t>
  </si>
  <si>
    <t>ORD-14100</t>
  </si>
  <si>
    <t>ORD-14101</t>
  </si>
  <si>
    <t>ORD-14102</t>
  </si>
  <si>
    <t>ORD-14103</t>
  </si>
  <si>
    <t>ORD-14104</t>
  </si>
  <si>
    <t>ORD-14105</t>
  </si>
  <si>
    <t>ORD-14106</t>
  </si>
  <si>
    <t>ORD-14107</t>
  </si>
  <si>
    <t>ORD-14108</t>
  </si>
  <si>
    <t>ORD-14109</t>
  </si>
  <si>
    <t>ORD-14110</t>
  </si>
  <si>
    <t>ORD-14111</t>
  </si>
  <si>
    <t>ORD-14112</t>
  </si>
  <si>
    <t>ORD-14113</t>
  </si>
  <si>
    <t>ORD-14114</t>
  </si>
  <si>
    <t>ORD-14115</t>
  </si>
  <si>
    <t>ORD-14116</t>
  </si>
  <si>
    <t>ORD-14117</t>
  </si>
  <si>
    <t>ORD-14118</t>
  </si>
  <si>
    <t>ORD-14119</t>
  </si>
  <si>
    <t>ORD-14120</t>
  </si>
  <si>
    <t>ORD-14121</t>
  </si>
  <si>
    <t>ORD-14122</t>
  </si>
  <si>
    <t>ORD-14123</t>
  </si>
  <si>
    <t>ORD-14124</t>
  </si>
  <si>
    <t>ORD-14125</t>
  </si>
  <si>
    <t>ORD-14126</t>
  </si>
  <si>
    <t>ORD-14127</t>
  </si>
  <si>
    <t>ORD-14128</t>
  </si>
  <si>
    <t>ORD-14129</t>
  </si>
  <si>
    <t>ORD-14130</t>
  </si>
  <si>
    <t>ORD-14131</t>
  </si>
  <si>
    <t>ORD-14132</t>
  </si>
  <si>
    <t>ORD-14133</t>
  </si>
  <si>
    <t>ORD-14134</t>
  </si>
  <si>
    <t>ORD-14135</t>
  </si>
  <si>
    <t>ORD-14136</t>
  </si>
  <si>
    <t>ORD-14137</t>
  </si>
  <si>
    <t>ORD-14138</t>
  </si>
  <si>
    <t>ORD-14139</t>
  </si>
  <si>
    <t>ORD-14140</t>
  </si>
  <si>
    <t>ORD-14141</t>
  </si>
  <si>
    <t>ORD-14142</t>
  </si>
  <si>
    <t>ORD-14143</t>
  </si>
  <si>
    <t>ORD-14144</t>
  </si>
  <si>
    <t>ORD-14145</t>
  </si>
  <si>
    <t>ORD-14146</t>
  </si>
  <si>
    <t>ORD-14147</t>
  </si>
  <si>
    <t>ORD-14148</t>
  </si>
  <si>
    <t>ORD-14149</t>
  </si>
  <si>
    <t>ORD-14150</t>
  </si>
  <si>
    <t>ORD-14151</t>
  </si>
  <si>
    <t>ORD-14152</t>
  </si>
  <si>
    <t>ORD-14153</t>
  </si>
  <si>
    <t>ORD-14154</t>
  </si>
  <si>
    <t>ORD-14155</t>
  </si>
  <si>
    <t>ORD-14156</t>
  </si>
  <si>
    <t>ORD-14157</t>
  </si>
  <si>
    <t>ORD-14158</t>
  </si>
  <si>
    <t>ORD-14159</t>
  </si>
  <si>
    <t>ORD-14160</t>
  </si>
  <si>
    <t>ORD-14161</t>
  </si>
  <si>
    <t>ORD-14162</t>
  </si>
  <si>
    <t>ORD-14163</t>
  </si>
  <si>
    <t>ORD-14164</t>
  </si>
  <si>
    <t>ORD-14165</t>
  </si>
  <si>
    <t>ORD-14166</t>
  </si>
  <si>
    <t>ORD-14167</t>
  </si>
  <si>
    <t>ORD-14168</t>
  </si>
  <si>
    <t>ORD-14169</t>
  </si>
  <si>
    <t>ORD-14170</t>
  </si>
  <si>
    <t>ORD-14171</t>
  </si>
  <si>
    <t>ORD-14172</t>
  </si>
  <si>
    <t>ORD-14173</t>
  </si>
  <si>
    <t>ORD-14174</t>
  </si>
  <si>
    <t>ORD-14175</t>
  </si>
  <si>
    <t>ORD-14176</t>
  </si>
  <si>
    <t>ORD-14177</t>
  </si>
  <si>
    <t>ORD-14178</t>
  </si>
  <si>
    <t>ORD-14179</t>
  </si>
  <si>
    <t>ORD-14180</t>
  </si>
  <si>
    <t>ORD-14181</t>
  </si>
  <si>
    <t>ORD-14182</t>
  </si>
  <si>
    <t>ORD-14183</t>
  </si>
  <si>
    <t>ORD-14184</t>
  </si>
  <si>
    <t>ORD-14185</t>
  </si>
  <si>
    <t>ORD-14186</t>
  </si>
  <si>
    <t>ORD-14187</t>
  </si>
  <si>
    <t>ORD-14188</t>
  </si>
  <si>
    <t>ORD-14189</t>
  </si>
  <si>
    <t>ORD-14190</t>
  </si>
  <si>
    <t>ORD-14191</t>
  </si>
  <si>
    <t>ORD-14192</t>
  </si>
  <si>
    <t>ORD-14193</t>
  </si>
  <si>
    <t>ORD-14194</t>
  </si>
  <si>
    <t>ORD-14195</t>
  </si>
  <si>
    <t>ORD-14196</t>
  </si>
  <si>
    <t>ORD-14197</t>
  </si>
  <si>
    <t>ORD-14198</t>
  </si>
  <si>
    <t>ORD-14199</t>
  </si>
  <si>
    <t>ORD-14200</t>
  </si>
  <si>
    <t>ORD-14201</t>
  </si>
  <si>
    <t>ORD-14202</t>
  </si>
  <si>
    <t>ORD-14203</t>
  </si>
  <si>
    <t>ORD-14204</t>
  </si>
  <si>
    <t>ORD-14205</t>
  </si>
  <si>
    <t>ORD-14206</t>
  </si>
  <si>
    <t>ORD-14207</t>
  </si>
  <si>
    <t>ORD-14208</t>
  </si>
  <si>
    <t>ORD-14209</t>
  </si>
  <si>
    <t>ORD-14210</t>
  </si>
  <si>
    <t>ORD-14211</t>
  </si>
  <si>
    <t>ORD-14212</t>
  </si>
  <si>
    <t>ORD-14213</t>
  </si>
  <si>
    <t>ORD-14214</t>
  </si>
  <si>
    <t>ORD-14215</t>
  </si>
  <si>
    <t>ORD-14216</t>
  </si>
  <si>
    <t>ORD-14217</t>
  </si>
  <si>
    <t>ORD-14218</t>
  </si>
  <si>
    <t>ORD-14219</t>
  </si>
  <si>
    <t>ORD-14220</t>
  </si>
  <si>
    <t>ORD-14221</t>
  </si>
  <si>
    <t>ORD-14222</t>
  </si>
  <si>
    <t>ORD-14223</t>
  </si>
  <si>
    <t>ORD-14224</t>
  </si>
  <si>
    <t>ORD-14225</t>
  </si>
  <si>
    <t>ORD-14226</t>
  </si>
  <si>
    <t>ORD-14227</t>
  </si>
  <si>
    <t>ORD-14228</t>
  </si>
  <si>
    <t>ORD-14229</t>
  </si>
  <si>
    <t>ORD-14230</t>
  </si>
  <si>
    <t>ORD-14231</t>
  </si>
  <si>
    <t>ORD-14232</t>
  </si>
  <si>
    <t>ORD-14233</t>
  </si>
  <si>
    <t>ORD-14234</t>
  </si>
  <si>
    <t>ORD-14235</t>
  </si>
  <si>
    <t>ORD-14236</t>
  </si>
  <si>
    <t>ORD-14237</t>
  </si>
  <si>
    <t>ORD-14238</t>
  </si>
  <si>
    <t>ORD-14239</t>
  </si>
  <si>
    <t>ORD-14240</t>
  </si>
  <si>
    <t>ORD-14241</t>
  </si>
  <si>
    <t>ORD-14242</t>
  </si>
  <si>
    <t>ORD-14243</t>
  </si>
  <si>
    <t>ORD-14244</t>
  </si>
  <si>
    <t>ORD-14245</t>
  </si>
  <si>
    <t>ORD-14246</t>
  </si>
  <si>
    <t>ORD-14247</t>
  </si>
  <si>
    <t>ORD-14248</t>
  </si>
  <si>
    <t>ORD-14249</t>
  </si>
  <si>
    <t>ORD-14250</t>
  </si>
  <si>
    <t>ORD-14251</t>
  </si>
  <si>
    <t>ORD-14252</t>
  </si>
  <si>
    <t>ORD-14253</t>
  </si>
  <si>
    <t>ORD-14254</t>
  </si>
  <si>
    <t>ORD-14255</t>
  </si>
  <si>
    <t>ORD-14256</t>
  </si>
  <si>
    <t>ORD-14257</t>
  </si>
  <si>
    <t>ORD-14258</t>
  </si>
  <si>
    <t>ORD-14259</t>
  </si>
  <si>
    <t>ORD-14260</t>
  </si>
  <si>
    <t>ORD-14261</t>
  </si>
  <si>
    <t>ORD-14262</t>
  </si>
  <si>
    <t>ORD-14263</t>
  </si>
  <si>
    <t>ORD-14264</t>
  </si>
  <si>
    <t>ORD-14265</t>
  </si>
  <si>
    <t>ORD-14266</t>
  </si>
  <si>
    <t>ORD-14267</t>
  </si>
  <si>
    <t>ORD-14268</t>
  </si>
  <si>
    <t>ORD-14269</t>
  </si>
  <si>
    <t>ORD-14270</t>
  </si>
  <si>
    <t>ORD-14271</t>
  </si>
  <si>
    <t>ORD-14272</t>
  </si>
  <si>
    <t>ORD-14273</t>
  </si>
  <si>
    <t>ORD-14274</t>
  </si>
  <si>
    <t>ORD-14275</t>
  </si>
  <si>
    <t>ORD-14276</t>
  </si>
  <si>
    <t>ORD-14277</t>
  </si>
  <si>
    <t>ORD-14278</t>
  </si>
  <si>
    <t>ORD-14279</t>
  </si>
  <si>
    <t>ORD-14280</t>
  </si>
  <si>
    <t>ORD-14281</t>
  </si>
  <si>
    <t>ORD-14282</t>
  </si>
  <si>
    <t>ORD-14283</t>
  </si>
  <si>
    <t>ORD-14284</t>
  </si>
  <si>
    <t>ORD-14285</t>
  </si>
  <si>
    <t>ORD-14286</t>
  </si>
  <si>
    <t>ORD-14287</t>
  </si>
  <si>
    <t>ORD-14288</t>
  </si>
  <si>
    <t>ORD-14289</t>
  </si>
  <si>
    <t>ORD-14290</t>
  </si>
  <si>
    <t>ORD-14291</t>
  </si>
  <si>
    <t>ORD-14292</t>
  </si>
  <si>
    <t>ORD-14293</t>
  </si>
  <si>
    <t>ORD-14294</t>
  </si>
  <si>
    <t>ORD-14295</t>
  </si>
  <si>
    <t>ORD-14296</t>
  </si>
  <si>
    <t>ORD-14297</t>
  </si>
  <si>
    <t>ORD-14298</t>
  </si>
  <si>
    <t>ORD-14299</t>
  </si>
  <si>
    <t>ORD-14300</t>
  </si>
  <si>
    <t>ORD-14301</t>
  </si>
  <si>
    <t>ORD-14302</t>
  </si>
  <si>
    <t>ORD-14303</t>
  </si>
  <si>
    <t>ORD-14304</t>
  </si>
  <si>
    <t>ORD-14305</t>
  </si>
  <si>
    <t>ORD-14306</t>
  </si>
  <si>
    <t>ORD-14307</t>
  </si>
  <si>
    <t>ORD-14308</t>
  </si>
  <si>
    <t>ORD-14309</t>
  </si>
  <si>
    <t>ORD-14310</t>
  </si>
  <si>
    <t>ORD-14311</t>
  </si>
  <si>
    <t>ORD-14312</t>
  </si>
  <si>
    <t>ORD-14313</t>
  </si>
  <si>
    <t>ORD-14314</t>
  </si>
  <si>
    <t>ORD-14315</t>
  </si>
  <si>
    <t>ORD-14316</t>
  </si>
  <si>
    <t>ORD-14317</t>
  </si>
  <si>
    <t>ORD-14318</t>
  </si>
  <si>
    <t>ORD-14319</t>
  </si>
  <si>
    <t>ORD-14320</t>
  </si>
  <si>
    <t>ORD-14321</t>
  </si>
  <si>
    <t>ORD-14322</t>
  </si>
  <si>
    <t>ORD-14323</t>
  </si>
  <si>
    <t>ORD-14324</t>
  </si>
  <si>
    <t>ORD-14325</t>
  </si>
  <si>
    <t>ORD-14326</t>
  </si>
  <si>
    <t>ORD-14327</t>
  </si>
  <si>
    <t>ORD-14328</t>
  </si>
  <si>
    <t>ORD-14329</t>
  </si>
  <si>
    <t>ORD-14330</t>
  </si>
  <si>
    <t>ORD-14331</t>
  </si>
  <si>
    <t>ORD-14332</t>
  </si>
  <si>
    <t>ORD-14333</t>
  </si>
  <si>
    <t>ORD-14334</t>
  </si>
  <si>
    <t>ORD-14335</t>
  </si>
  <si>
    <t>ORD-14336</t>
  </si>
  <si>
    <t>ORD-14337</t>
  </si>
  <si>
    <t>ORD-14338</t>
  </si>
  <si>
    <t>ORD-14339</t>
  </si>
  <si>
    <t>ORD-14340</t>
  </si>
  <si>
    <t>ORD-14341</t>
  </si>
  <si>
    <t>ORD-14342</t>
  </si>
  <si>
    <t>ORD-14343</t>
  </si>
  <si>
    <t>ORD-14344</t>
  </si>
  <si>
    <t>ORD-14345</t>
  </si>
  <si>
    <t>ORD-14346</t>
  </si>
  <si>
    <t>ORD-14347</t>
  </si>
  <si>
    <t>ORD-14348</t>
  </si>
  <si>
    <t>ORD-14349</t>
  </si>
  <si>
    <t>ORD-14350</t>
  </si>
  <si>
    <t>ORD-14351</t>
  </si>
  <si>
    <t>ORD-14352</t>
  </si>
  <si>
    <t>ORD-14353</t>
  </si>
  <si>
    <t>ORD-14354</t>
  </si>
  <si>
    <t>ORD-14355</t>
  </si>
  <si>
    <t>ORD-14356</t>
  </si>
  <si>
    <t>ORD-14357</t>
  </si>
  <si>
    <t>ORD-14358</t>
  </si>
  <si>
    <t>ORD-14359</t>
  </si>
  <si>
    <t>ORD-14360</t>
  </si>
  <si>
    <t>ORD-14361</t>
  </si>
  <si>
    <t>ORD-14362</t>
  </si>
  <si>
    <t>ORD-14363</t>
  </si>
  <si>
    <t>ORD-14364</t>
  </si>
  <si>
    <t>ORD-14365</t>
  </si>
  <si>
    <t>ORD-14366</t>
  </si>
  <si>
    <t>ORD-14367</t>
  </si>
  <si>
    <t>ORD-14368</t>
  </si>
  <si>
    <t>ORD-14369</t>
  </si>
  <si>
    <t>ORD-14370</t>
  </si>
  <si>
    <t>ORD-14371</t>
  </si>
  <si>
    <t>ORD-14372</t>
  </si>
  <si>
    <t>ORD-14373</t>
  </si>
  <si>
    <t>ORD-14374</t>
  </si>
  <si>
    <t>ORD-14375</t>
  </si>
  <si>
    <t>ORD-14376</t>
  </si>
  <si>
    <t>ORD-14377</t>
  </si>
  <si>
    <t>ORD-14378</t>
  </si>
  <si>
    <t>ORD-14379</t>
  </si>
  <si>
    <t>ORD-14380</t>
  </si>
  <si>
    <t>ORD-14381</t>
  </si>
  <si>
    <t>ORD-14382</t>
  </si>
  <si>
    <t>ORD-14383</t>
  </si>
  <si>
    <t>ORD-14384</t>
  </si>
  <si>
    <t>ORD-14385</t>
  </si>
  <si>
    <t>ORD-14386</t>
  </si>
  <si>
    <t>ORD-14387</t>
  </si>
  <si>
    <t>ORD-14388</t>
  </si>
  <si>
    <t>ORD-14389</t>
  </si>
  <si>
    <t>ORD-14390</t>
  </si>
  <si>
    <t>ORD-14391</t>
  </si>
  <si>
    <t>ORD-14392</t>
  </si>
  <si>
    <t>ORD-14393</t>
  </si>
  <si>
    <t>ORD-14394</t>
  </si>
  <si>
    <t>ORD-14395</t>
  </si>
  <si>
    <t>ORD-14396</t>
  </si>
  <si>
    <t>ORD-14397</t>
  </si>
  <si>
    <t>ORD-14398</t>
  </si>
  <si>
    <t>ORD-14399</t>
  </si>
  <si>
    <t>ORD-14400</t>
  </si>
  <si>
    <t>ORD-14401</t>
  </si>
  <si>
    <t>ORD-14402</t>
  </si>
  <si>
    <t>ORD-14403</t>
  </si>
  <si>
    <t>ORD-14404</t>
  </si>
  <si>
    <t>ORD-14405</t>
  </si>
  <si>
    <t>ORD-14406</t>
  </si>
  <si>
    <t>ORD-14407</t>
  </si>
  <si>
    <t>ORD-14408</t>
  </si>
  <si>
    <t>ORD-14409</t>
  </si>
  <si>
    <t>ORD-14410</t>
  </si>
  <si>
    <t>ORD-14411</t>
  </si>
  <si>
    <t>ORD-14412</t>
  </si>
  <si>
    <t>ORD-14413</t>
  </si>
  <si>
    <t>ORD-14414</t>
  </si>
  <si>
    <t>ORD-14415</t>
  </si>
  <si>
    <t>ORD-14416</t>
  </si>
  <si>
    <t>ORD-14417</t>
  </si>
  <si>
    <t>ORD-14418</t>
  </si>
  <si>
    <t>ORD-14419</t>
  </si>
  <si>
    <t>ORD-14420</t>
  </si>
  <si>
    <t>ORD-14421</t>
  </si>
  <si>
    <t>ORD-14422</t>
  </si>
  <si>
    <t>ORD-14423</t>
  </si>
  <si>
    <t>ORD-14424</t>
  </si>
  <si>
    <t>ORD-14425</t>
  </si>
  <si>
    <t>ORD-14426</t>
  </si>
  <si>
    <t>ORD-14427</t>
  </si>
  <si>
    <t>ORD-14428</t>
  </si>
  <si>
    <t>ORD-14429</t>
  </si>
  <si>
    <t>ORD-14430</t>
  </si>
  <si>
    <t>ORD-14431</t>
  </si>
  <si>
    <t>ORD-14432</t>
  </si>
  <si>
    <t>ORD-14433</t>
  </si>
  <si>
    <t>ORD-14434</t>
  </si>
  <si>
    <t>ORD-14435</t>
  </si>
  <si>
    <t>ORD-14436</t>
  </si>
  <si>
    <t>ORD-14437</t>
  </si>
  <si>
    <t>ORD-14438</t>
  </si>
  <si>
    <t>ORD-14439</t>
  </si>
  <si>
    <t>ORD-14440</t>
  </si>
  <si>
    <t>ORD-14441</t>
  </si>
  <si>
    <t>ORD-14442</t>
  </si>
  <si>
    <t>ORD-14443</t>
  </si>
  <si>
    <t>ORD-14444</t>
  </si>
  <si>
    <t>ORD-14445</t>
  </si>
  <si>
    <t>ORD-14446</t>
  </si>
  <si>
    <t>ORD-14447</t>
  </si>
  <si>
    <t>ORD-14448</t>
  </si>
  <si>
    <t>ORD-14449</t>
  </si>
  <si>
    <t>ORD-14450</t>
  </si>
  <si>
    <t>ORD-14451</t>
  </si>
  <si>
    <t>ORD-14452</t>
  </si>
  <si>
    <t>ORD-14453</t>
  </si>
  <si>
    <t>ORD-14454</t>
  </si>
  <si>
    <t>ORD-14455</t>
  </si>
  <si>
    <t>ORD-14456</t>
  </si>
  <si>
    <t>ORD-14457</t>
  </si>
  <si>
    <t>ORD-14458</t>
  </si>
  <si>
    <t>ORD-14459</t>
  </si>
  <si>
    <t>ORD-14460</t>
  </si>
  <si>
    <t>ORD-14461</t>
  </si>
  <si>
    <t>ORD-14462</t>
  </si>
  <si>
    <t>ORD-14463</t>
  </si>
  <si>
    <t>ORD-14464</t>
  </si>
  <si>
    <t>ORD-14465</t>
  </si>
  <si>
    <t>ORD-14466</t>
  </si>
  <si>
    <t>ORD-14467</t>
  </si>
  <si>
    <t>ORD-14468</t>
  </si>
  <si>
    <t>ORD-14469</t>
  </si>
  <si>
    <t>ORD-14470</t>
  </si>
  <si>
    <t>ORD-14471</t>
  </si>
  <si>
    <t>ORD-14472</t>
  </si>
  <si>
    <t>ORD-14473</t>
  </si>
  <si>
    <t>ORD-14474</t>
  </si>
  <si>
    <t>ORD-14475</t>
  </si>
  <si>
    <t>ORD-14476</t>
  </si>
  <si>
    <t>ORD-14477</t>
  </si>
  <si>
    <t>ORD-14478</t>
  </si>
  <si>
    <t>ORD-14479</t>
  </si>
  <si>
    <t>ORD-14480</t>
  </si>
  <si>
    <t>ORD-14481</t>
  </si>
  <si>
    <t>ORD-14482</t>
  </si>
  <si>
    <t>ORD-14483</t>
  </si>
  <si>
    <t>ORD-14484</t>
  </si>
  <si>
    <t>ORD-14485</t>
  </si>
  <si>
    <t>ORD-14486</t>
  </si>
  <si>
    <t>ORD-14487</t>
  </si>
  <si>
    <t>ORD-14488</t>
  </si>
  <si>
    <t>ORD-14489</t>
  </si>
  <si>
    <t>ORD-14490</t>
  </si>
  <si>
    <t>ORD-14491</t>
  </si>
  <si>
    <t>ORD-14492</t>
  </si>
  <si>
    <t>ORD-14493</t>
  </si>
  <si>
    <t>ORD-14494</t>
  </si>
  <si>
    <t>ORD-14495</t>
  </si>
  <si>
    <t>ORD-14496</t>
  </si>
  <si>
    <t>ORD-14497</t>
  </si>
  <si>
    <t>ORD-14498</t>
  </si>
  <si>
    <t>ORD-14499</t>
  </si>
  <si>
    <t>ORD-14500</t>
  </si>
  <si>
    <t>ORD-14501</t>
  </si>
  <si>
    <t>ORD-14502</t>
  </si>
  <si>
    <t>ORD-14503</t>
  </si>
  <si>
    <t>ORD-14504</t>
  </si>
  <si>
    <t>ORD-14505</t>
  </si>
  <si>
    <t>ORD-14506</t>
  </si>
  <si>
    <t>ORD-14507</t>
  </si>
  <si>
    <t>ORD-14508</t>
  </si>
  <si>
    <t>ORD-14509</t>
  </si>
  <si>
    <t>ORD-14510</t>
  </si>
  <si>
    <t>ORD-14511</t>
  </si>
  <si>
    <t>ORD-14512</t>
  </si>
  <si>
    <t>ORD-14513</t>
  </si>
  <si>
    <t>ORD-14514</t>
  </si>
  <si>
    <t>ORD-14515</t>
  </si>
  <si>
    <t>ORD-14516</t>
  </si>
  <si>
    <t>ORD-14517</t>
  </si>
  <si>
    <t>ORD-14518</t>
  </si>
  <si>
    <t>ORD-14519</t>
  </si>
  <si>
    <t>ORD-14520</t>
  </si>
  <si>
    <t>ORD-14521</t>
  </si>
  <si>
    <t>ORD-14522</t>
  </si>
  <si>
    <t>ORD-14523</t>
  </si>
  <si>
    <t>ORD-14524</t>
  </si>
  <si>
    <t>ORD-14525</t>
  </si>
  <si>
    <t>ORD-14526</t>
  </si>
  <si>
    <t>ORD-14527</t>
  </si>
  <si>
    <t>ORD-14528</t>
  </si>
  <si>
    <t>ORD-14529</t>
  </si>
  <si>
    <t>ORD-14530</t>
  </si>
  <si>
    <t>ORD-14531</t>
  </si>
  <si>
    <t>ORD-14532</t>
  </si>
  <si>
    <t>ORD-14533</t>
  </si>
  <si>
    <t>ORD-14534</t>
  </si>
  <si>
    <t>ORD-14535</t>
  </si>
  <si>
    <t>ORD-14536</t>
  </si>
  <si>
    <t>ORD-14537</t>
  </si>
  <si>
    <t>ORD-14538</t>
  </si>
  <si>
    <t>ORD-14539</t>
  </si>
  <si>
    <t>ORD-14540</t>
  </si>
  <si>
    <t>ORD-14541</t>
  </si>
  <si>
    <t>ORD-14542</t>
  </si>
  <si>
    <t>ORD-14543</t>
  </si>
  <si>
    <t>ORD-14544</t>
  </si>
  <si>
    <t>ORD-14545</t>
  </si>
  <si>
    <t>ORD-14546</t>
  </si>
  <si>
    <t>ORD-14547</t>
  </si>
  <si>
    <t>ORD-14548</t>
  </si>
  <si>
    <t>ORD-14549</t>
  </si>
  <si>
    <t>ORD-14550</t>
  </si>
  <si>
    <t>ORD-14551</t>
  </si>
  <si>
    <t>ORD-14552</t>
  </si>
  <si>
    <t>ORD-14553</t>
  </si>
  <si>
    <t>ORD-14554</t>
  </si>
  <si>
    <t>ORD-14555</t>
  </si>
  <si>
    <t>ORD-14556</t>
  </si>
  <si>
    <t>ORD-14557</t>
  </si>
  <si>
    <t>ORD-14558</t>
  </si>
  <si>
    <t>ORD-14559</t>
  </si>
  <si>
    <t>ORD-14560</t>
  </si>
  <si>
    <t>ORD-14561</t>
  </si>
  <si>
    <t>ORD-14562</t>
  </si>
  <si>
    <t>ORD-14563</t>
  </si>
  <si>
    <t>ORD-14564</t>
  </si>
  <si>
    <t>ORD-14565</t>
  </si>
  <si>
    <t>ORD-14566</t>
  </si>
  <si>
    <t>ORD-14567</t>
  </si>
  <si>
    <t>ORD-14568</t>
  </si>
  <si>
    <t>ORD-14569</t>
  </si>
  <si>
    <t>ORD-14570</t>
  </si>
  <si>
    <t>ORD-14571</t>
  </si>
  <si>
    <t>ORD-14572</t>
  </si>
  <si>
    <t>ORD-14573</t>
  </si>
  <si>
    <t>ORD-14574</t>
  </si>
  <si>
    <t>ORD-14575</t>
  </si>
  <si>
    <t>ORD-14576</t>
  </si>
  <si>
    <t>ORD-14577</t>
  </si>
  <si>
    <t>ORD-14578</t>
  </si>
  <si>
    <t>ORD-14579</t>
  </si>
  <si>
    <t>ORD-14580</t>
  </si>
  <si>
    <t>ORD-14581</t>
  </si>
  <si>
    <t>ORD-14582</t>
  </si>
  <si>
    <t>ORD-14583</t>
  </si>
  <si>
    <t>ORD-14584</t>
  </si>
  <si>
    <t>ORD-14585</t>
  </si>
  <si>
    <t>ORD-14586</t>
  </si>
  <si>
    <t>ORD-14587</t>
  </si>
  <si>
    <t>ORD-14588</t>
  </si>
  <si>
    <t>ORD-14589</t>
  </si>
  <si>
    <t>ORD-14590</t>
  </si>
  <si>
    <t>ORD-14591</t>
  </si>
  <si>
    <t>ORD-14592</t>
  </si>
  <si>
    <t>ORD-14593</t>
  </si>
  <si>
    <t>ORD-14594</t>
  </si>
  <si>
    <t>ORD-14595</t>
  </si>
  <si>
    <t>ORD-14596</t>
  </si>
  <si>
    <t>ORD-14597</t>
  </si>
  <si>
    <t>ORD-14598</t>
  </si>
  <si>
    <t>ORD-14599</t>
  </si>
  <si>
    <t>ORD-14600</t>
  </si>
  <si>
    <t>ORD-14601</t>
  </si>
  <si>
    <t>ORD-14602</t>
  </si>
  <si>
    <t>ORD-14603</t>
  </si>
  <si>
    <t>ORD-14604</t>
  </si>
  <si>
    <t>ORD-14605</t>
  </si>
  <si>
    <t>ORD-14606</t>
  </si>
  <si>
    <t>ORD-14607</t>
  </si>
  <si>
    <t>ORD-14608</t>
  </si>
  <si>
    <t>ORD-14609</t>
  </si>
  <si>
    <t>ORD-14610</t>
  </si>
  <si>
    <t>ORD-14611</t>
  </si>
  <si>
    <t>ORD-14612</t>
  </si>
  <si>
    <t>ORD-14613</t>
  </si>
  <si>
    <t>ORD-14614</t>
  </si>
  <si>
    <t>ORD-14615</t>
  </si>
  <si>
    <t>ORD-14616</t>
  </si>
  <si>
    <t>ORD-14617</t>
  </si>
  <si>
    <t>ORD-14618</t>
  </si>
  <si>
    <t>ORD-14619</t>
  </si>
  <si>
    <t>ORD-14620</t>
  </si>
  <si>
    <t>ORD-14621</t>
  </si>
  <si>
    <t>ORD-14622</t>
  </si>
  <si>
    <t>ORD-14623</t>
  </si>
  <si>
    <t>ORD-14624</t>
  </si>
  <si>
    <t>ORD-14625</t>
  </si>
  <si>
    <t>ORD-14626</t>
  </si>
  <si>
    <t>ORD-14627</t>
  </si>
  <si>
    <t>ORD-14628</t>
  </si>
  <si>
    <t>ORD-14629</t>
  </si>
  <si>
    <t>ORD-14630</t>
  </si>
  <si>
    <t>ORD-14631</t>
  </si>
  <si>
    <t>ORD-14632</t>
  </si>
  <si>
    <t>ORD-14633</t>
  </si>
  <si>
    <t>ORD-14634</t>
  </si>
  <si>
    <t>ORD-14635</t>
  </si>
  <si>
    <t>ORD-14636</t>
  </si>
  <si>
    <t>ORD-14637</t>
  </si>
  <si>
    <t>ORD-14638</t>
  </si>
  <si>
    <t>ORD-14639</t>
  </si>
  <si>
    <t>ORD-14640</t>
  </si>
  <si>
    <t>ORD-14641</t>
  </si>
  <si>
    <t>ORD-14642</t>
  </si>
  <si>
    <t>ORD-14643</t>
  </si>
  <si>
    <t>ORD-14644</t>
  </si>
  <si>
    <t>ORD-14645</t>
  </si>
  <si>
    <t>ORD-14646</t>
  </si>
  <si>
    <t>ORD-14647</t>
  </si>
  <si>
    <t>ORD-14648</t>
  </si>
  <si>
    <t>ORD-14649</t>
  </si>
  <si>
    <t>ORD-14650</t>
  </si>
  <si>
    <t>ORD-14651</t>
  </si>
  <si>
    <t>ORD-14652</t>
  </si>
  <si>
    <t>ORD-14653</t>
  </si>
  <si>
    <t>ORD-14654</t>
  </si>
  <si>
    <t>ORD-14655</t>
  </si>
  <si>
    <t>ORD-14656</t>
  </si>
  <si>
    <t>ORD-14657</t>
  </si>
  <si>
    <t>ORD-14658</t>
  </si>
  <si>
    <t>ORD-14659</t>
  </si>
  <si>
    <t>ORD-14660</t>
  </si>
  <si>
    <t>ORD-14661</t>
  </si>
  <si>
    <t>ORD-14662</t>
  </si>
  <si>
    <t>ORD-14663</t>
  </si>
  <si>
    <t>ORD-14664</t>
  </si>
  <si>
    <t>ORD-14665</t>
  </si>
  <si>
    <t>ORD-14666</t>
  </si>
  <si>
    <t>ORD-14667</t>
  </si>
  <si>
    <t>ORD-14668</t>
  </si>
  <si>
    <t>ORD-14669</t>
  </si>
  <si>
    <t>ORD-14670</t>
  </si>
  <si>
    <t>ORD-14671</t>
  </si>
  <si>
    <t>ORD-14672</t>
  </si>
  <si>
    <t>ORD-14673</t>
  </si>
  <si>
    <t>ORD-14674</t>
  </si>
  <si>
    <t>ORD-14675</t>
  </si>
  <si>
    <t>ORD-14676</t>
  </si>
  <si>
    <t>ORD-14677</t>
  </si>
  <si>
    <t>ORD-14678</t>
  </si>
  <si>
    <t>ORD-14679</t>
  </si>
  <si>
    <t>ORD-14680</t>
  </si>
  <si>
    <t>ORD-14681</t>
  </si>
  <si>
    <t>ORD-14682</t>
  </si>
  <si>
    <t>ORD-14683</t>
  </si>
  <si>
    <t>ORD-14684</t>
  </si>
  <si>
    <t>ORD-14685</t>
  </si>
  <si>
    <t>ORD-14686</t>
  </si>
  <si>
    <t>ORD-14687</t>
  </si>
  <si>
    <t>ORD-14688</t>
  </si>
  <si>
    <t>ORD-14689</t>
  </si>
  <si>
    <t>ORD-14690</t>
  </si>
  <si>
    <t>ORD-14691</t>
  </si>
  <si>
    <t>ORD-14692</t>
  </si>
  <si>
    <t>ORD-14693</t>
  </si>
  <si>
    <t>ORD-14694</t>
  </si>
  <si>
    <t>ORD-14695</t>
  </si>
  <si>
    <t>ORD-14696</t>
  </si>
  <si>
    <t>ORD-14697</t>
  </si>
  <si>
    <t>ORD-14698</t>
  </si>
  <si>
    <t>ORD-14699</t>
  </si>
  <si>
    <t>ORD-14700</t>
  </si>
  <si>
    <t>ORD-14701</t>
  </si>
  <si>
    <t>ORD-14702</t>
  </si>
  <si>
    <t>ORD-14703</t>
  </si>
  <si>
    <t>ORD-14704</t>
  </si>
  <si>
    <t>ORD-14705</t>
  </si>
  <si>
    <t>ORD-14706</t>
  </si>
  <si>
    <t>ORD-14707</t>
  </si>
  <si>
    <t>ORD-14708</t>
  </si>
  <si>
    <t>ORD-14709</t>
  </si>
  <si>
    <t>ORD-14710</t>
  </si>
  <si>
    <t>ORD-14711</t>
  </si>
  <si>
    <t>ORD-14712</t>
  </si>
  <si>
    <t>ORD-14713</t>
  </si>
  <si>
    <t>ORD-14714</t>
  </si>
  <si>
    <t>ORD-14715</t>
  </si>
  <si>
    <t>ORD-14716</t>
  </si>
  <si>
    <t>ORD-14717</t>
  </si>
  <si>
    <t>ORD-14718</t>
  </si>
  <si>
    <t>ORD-14719</t>
  </si>
  <si>
    <t>ORD-14720</t>
  </si>
  <si>
    <t>ORD-14721</t>
  </si>
  <si>
    <t>ORD-14722</t>
  </si>
  <si>
    <t>ORD-14723</t>
  </si>
  <si>
    <t>ORD-14724</t>
  </si>
  <si>
    <t>ORD-14725</t>
  </si>
  <si>
    <t>ORD-14726</t>
  </si>
  <si>
    <t>ORD-14727</t>
  </si>
  <si>
    <t>ORD-14728</t>
  </si>
  <si>
    <t>ORD-14729</t>
  </si>
  <si>
    <t>ORD-14730</t>
  </si>
  <si>
    <t>ORD-14731</t>
  </si>
  <si>
    <t>ORD-14732</t>
  </si>
  <si>
    <t>ORD-14733</t>
  </si>
  <si>
    <t>ORD-14734</t>
  </si>
  <si>
    <t>ORD-14735</t>
  </si>
  <si>
    <t>ORD-14736</t>
  </si>
  <si>
    <t>ORD-14737</t>
  </si>
  <si>
    <t>ORD-14738</t>
  </si>
  <si>
    <t>ORD-14739</t>
  </si>
  <si>
    <t>ORD-14740</t>
  </si>
  <si>
    <t>ORD-14741</t>
  </si>
  <si>
    <t>ORD-14742</t>
  </si>
  <si>
    <t>ORD-14743</t>
  </si>
  <si>
    <t>ORD-14744</t>
  </si>
  <si>
    <t>ORD-14745</t>
  </si>
  <si>
    <t>ORD-14746</t>
  </si>
  <si>
    <t>ORD-14747</t>
  </si>
  <si>
    <t>ORD-14748</t>
  </si>
  <si>
    <t>ORD-14749</t>
  </si>
  <si>
    <t>ORD-14750</t>
  </si>
  <si>
    <t>ORD-14751</t>
  </si>
  <si>
    <t>ORD-14752</t>
  </si>
  <si>
    <t>ORD-14753</t>
  </si>
  <si>
    <t>ORD-14754</t>
  </si>
  <si>
    <t>ORD-14755</t>
  </si>
  <si>
    <t>ORD-14756</t>
  </si>
  <si>
    <t>ORD-14757</t>
  </si>
  <si>
    <t>ORD-14758</t>
  </si>
  <si>
    <t>ORD-14759</t>
  </si>
  <si>
    <t>ORD-14760</t>
  </si>
  <si>
    <t>ORD-14761</t>
  </si>
  <si>
    <t>ORD-14762</t>
  </si>
  <si>
    <t>ORD-14763</t>
  </si>
  <si>
    <t>ORD-14764</t>
  </si>
  <si>
    <t>ORD-14765</t>
  </si>
  <si>
    <t>ORD-14766</t>
  </si>
  <si>
    <t>ORD-14767</t>
  </si>
  <si>
    <t>ORD-14768</t>
  </si>
  <si>
    <t>ORD-14769</t>
  </si>
  <si>
    <t>ORD-14770</t>
  </si>
  <si>
    <t>ORD-14771</t>
  </si>
  <si>
    <t>ORD-14772</t>
  </si>
  <si>
    <t>ORD-14773</t>
  </si>
  <si>
    <t>ORD-14774</t>
  </si>
  <si>
    <t>ORD-14775</t>
  </si>
  <si>
    <t>ORD-14776</t>
  </si>
  <si>
    <t>ORD-14777</t>
  </si>
  <si>
    <t>ORD-14778</t>
  </si>
  <si>
    <t>ORD-14779</t>
  </si>
  <si>
    <t>ORD-14780</t>
  </si>
  <si>
    <t>ORD-14781</t>
  </si>
  <si>
    <t>ORD-14782</t>
  </si>
  <si>
    <t>ORD-14783</t>
  </si>
  <si>
    <t>ORD-14784</t>
  </si>
  <si>
    <t>ORD-14785</t>
  </si>
  <si>
    <t>ORD-14786</t>
  </si>
  <si>
    <t>ORD-14787</t>
  </si>
  <si>
    <t>ORD-14788</t>
  </si>
  <si>
    <t>ORD-14789</t>
  </si>
  <si>
    <t>ORD-14790</t>
  </si>
  <si>
    <t>ORD-14791</t>
  </si>
  <si>
    <t>ORD-14792</t>
  </si>
  <si>
    <t>ORD-14793</t>
  </si>
  <si>
    <t>ORD-14794</t>
  </si>
  <si>
    <t>ORD-14795</t>
  </si>
  <si>
    <t>ORD-14796</t>
  </si>
  <si>
    <t>ORD-14797</t>
  </si>
  <si>
    <t>ORD-14798</t>
  </si>
  <si>
    <t>ORD-14799</t>
  </si>
  <si>
    <t>ORD-14800</t>
  </si>
  <si>
    <t>ORD-14801</t>
  </si>
  <si>
    <t>ORD-14802</t>
  </si>
  <si>
    <t>ORD-14803</t>
  </si>
  <si>
    <t>ORD-14804</t>
  </si>
  <si>
    <t>ORD-14805</t>
  </si>
  <si>
    <t>ORD-14806</t>
  </si>
  <si>
    <t>ORD-14807</t>
  </si>
  <si>
    <t>ORD-14808</t>
  </si>
  <si>
    <t>ORD-14809</t>
  </si>
  <si>
    <t>ORD-14810</t>
  </si>
  <si>
    <t>ORD-14811</t>
  </si>
  <si>
    <t>ORD-14812</t>
  </si>
  <si>
    <t>ORD-14813</t>
  </si>
  <si>
    <t>ORD-14814</t>
  </si>
  <si>
    <t>ORD-14815</t>
  </si>
  <si>
    <t>ORD-14816</t>
  </si>
  <si>
    <t>ORD-14817</t>
  </si>
  <si>
    <t>ORD-14818</t>
  </si>
  <si>
    <t>ORD-14819</t>
  </si>
  <si>
    <t>ORD-14820</t>
  </si>
  <si>
    <t>ORD-14821</t>
  </si>
  <si>
    <t>ORD-14822</t>
  </si>
  <si>
    <t>ORD-14823</t>
  </si>
  <si>
    <t>ORD-14824</t>
  </si>
  <si>
    <t>ORD-14825</t>
  </si>
  <si>
    <t>ORD-14826</t>
  </si>
  <si>
    <t>ORD-14827</t>
  </si>
  <si>
    <t>ORD-14828</t>
  </si>
  <si>
    <t>ORD-14829</t>
  </si>
  <si>
    <t>ORD-14830</t>
  </si>
  <si>
    <t>ORD-14831</t>
  </si>
  <si>
    <t>ORD-14832</t>
  </si>
  <si>
    <t>ORD-14833</t>
  </si>
  <si>
    <t>ORD-14834</t>
  </si>
  <si>
    <t>ORD-14835</t>
  </si>
  <si>
    <t>ORD-14836</t>
  </si>
  <si>
    <t>ORD-14837</t>
  </si>
  <si>
    <t>ORD-14838</t>
  </si>
  <si>
    <t>ORD-14839</t>
  </si>
  <si>
    <t>ORD-14840</t>
  </si>
  <si>
    <t>ORD-14841</t>
  </si>
  <si>
    <t>ORD-14842</t>
  </si>
  <si>
    <t>ORD-14843</t>
  </si>
  <si>
    <t>ORD-14844</t>
  </si>
  <si>
    <t>ORD-14845</t>
  </si>
  <si>
    <t>ORD-14846</t>
  </si>
  <si>
    <t>ORD-14847</t>
  </si>
  <si>
    <t>ORD-14848</t>
  </si>
  <si>
    <t>ORD-14849</t>
  </si>
  <si>
    <t>ORD-14850</t>
  </si>
  <si>
    <t>ORD-14851</t>
  </si>
  <si>
    <t>ORD-14852</t>
  </si>
  <si>
    <t>ORD-14853</t>
  </si>
  <si>
    <t>ORD-14854</t>
  </si>
  <si>
    <t>ORD-14855</t>
  </si>
  <si>
    <t>ORD-14856</t>
  </si>
  <si>
    <t>ORD-14857</t>
  </si>
  <si>
    <t>ORD-14858</t>
  </si>
  <si>
    <t>ORD-14859</t>
  </si>
  <si>
    <t>ORD-14860</t>
  </si>
  <si>
    <t>ORD-14861</t>
  </si>
  <si>
    <t>ORD-14862</t>
  </si>
  <si>
    <t>ORD-14863</t>
  </si>
  <si>
    <t>ORD-14864</t>
  </si>
  <si>
    <t>ORD-14865</t>
  </si>
  <si>
    <t>ORD-14866</t>
  </si>
  <si>
    <t>ORD-14867</t>
  </si>
  <si>
    <t>ORD-14868</t>
  </si>
  <si>
    <t>ORD-14869</t>
  </si>
  <si>
    <t>ORD-14870</t>
  </si>
  <si>
    <t>ORD-14871</t>
  </si>
  <si>
    <t>ORD-14872</t>
  </si>
  <si>
    <t>ORD-14873</t>
  </si>
  <si>
    <t>ORD-14874</t>
  </si>
  <si>
    <t>ORD-14875</t>
  </si>
  <si>
    <t>ORD-14876</t>
  </si>
  <si>
    <t>ORD-14877</t>
  </si>
  <si>
    <t>ORD-14878</t>
  </si>
  <si>
    <t>ORD-14879</t>
  </si>
  <si>
    <t>ORD-14880</t>
  </si>
  <si>
    <t>ORD-14881</t>
  </si>
  <si>
    <t>ORD-14882</t>
  </si>
  <si>
    <t>ORD-14883</t>
  </si>
  <si>
    <t>ORD-14884</t>
  </si>
  <si>
    <t>ORD-14885</t>
  </si>
  <si>
    <t>ORD-14886</t>
  </si>
  <si>
    <t>ORD-14887</t>
  </si>
  <si>
    <t>ORD-14888</t>
  </si>
  <si>
    <t>ORD-14889</t>
  </si>
  <si>
    <t>ORD-14890</t>
  </si>
  <si>
    <t>ORD-14891</t>
  </si>
  <si>
    <t>ORD-14892</t>
  </si>
  <si>
    <t>ORD-14893</t>
  </si>
  <si>
    <t>ORD-14894</t>
  </si>
  <si>
    <t>ORD-14895</t>
  </si>
  <si>
    <t>ORD-14896</t>
  </si>
  <si>
    <t>ORD-14897</t>
  </si>
  <si>
    <t>ORD-14898</t>
  </si>
  <si>
    <t>ORD-14899</t>
  </si>
  <si>
    <t>ORD-14900</t>
  </si>
  <si>
    <t>ORD-14901</t>
  </si>
  <si>
    <t>ORD-14902</t>
  </si>
  <si>
    <t>ORD-14903</t>
  </si>
  <si>
    <t>ORD-14904</t>
  </si>
  <si>
    <t>ORD-14905</t>
  </si>
  <si>
    <t>ORD-14906</t>
  </si>
  <si>
    <t>ORD-14907</t>
  </si>
  <si>
    <t>ORD-14908</t>
  </si>
  <si>
    <t>ORD-14909</t>
  </si>
  <si>
    <t>ORD-14910</t>
  </si>
  <si>
    <t>ORD-14911</t>
  </si>
  <si>
    <t>ORD-14912</t>
  </si>
  <si>
    <t>ORD-14913</t>
  </si>
  <si>
    <t>ORD-14914</t>
  </si>
  <si>
    <t>ORD-14915</t>
  </si>
  <si>
    <t>ORD-14916</t>
  </si>
  <si>
    <t>ORD-14917</t>
  </si>
  <si>
    <t>ORD-14918</t>
  </si>
  <si>
    <t>ORD-14919</t>
  </si>
  <si>
    <t>ORD-14920</t>
  </si>
  <si>
    <t>ORD-14921</t>
  </si>
  <si>
    <t>ORD-14922</t>
  </si>
  <si>
    <t>ORD-14923</t>
  </si>
  <si>
    <t>ORD-14924</t>
  </si>
  <si>
    <t>ORD-14925</t>
  </si>
  <si>
    <t>ORD-14926</t>
  </si>
  <si>
    <t>ORD-14927</t>
  </si>
  <si>
    <t>ORD-14928</t>
  </si>
  <si>
    <t>ORD-14929</t>
  </si>
  <si>
    <t>ORD-14930</t>
  </si>
  <si>
    <t>ORD-14931</t>
  </si>
  <si>
    <t>ORD-14932</t>
  </si>
  <si>
    <t>ORD-14933</t>
  </si>
  <si>
    <t>ORD-14934</t>
  </si>
  <si>
    <t>ORD-14935</t>
  </si>
  <si>
    <t>ORD-14936</t>
  </si>
  <si>
    <t>ORD-14937</t>
  </si>
  <si>
    <t>ORD-14938</t>
  </si>
  <si>
    <t>ORD-14939</t>
  </si>
  <si>
    <t>ORD-14940</t>
  </si>
  <si>
    <t>ORD-14941</t>
  </si>
  <si>
    <t>ORD-14942</t>
  </si>
  <si>
    <t>ORD-14943</t>
  </si>
  <si>
    <t>ORD-14944</t>
  </si>
  <si>
    <t>ORD-14945</t>
  </si>
  <si>
    <t>ORD-14946</t>
  </si>
  <si>
    <t>ORD-14947</t>
  </si>
  <si>
    <t>ORD-14948</t>
  </si>
  <si>
    <t>ORD-14949</t>
  </si>
  <si>
    <t>ORD-14950</t>
  </si>
  <si>
    <t>ORD-14951</t>
  </si>
  <si>
    <t>ORD-14952</t>
  </si>
  <si>
    <t>ORD-14953</t>
  </si>
  <si>
    <t>ORD-14954</t>
  </si>
  <si>
    <t>ORD-14955</t>
  </si>
  <si>
    <t>ORD-14956</t>
  </si>
  <si>
    <t>ORD-14957</t>
  </si>
  <si>
    <t>ORD-14958</t>
  </si>
  <si>
    <t>ORD-14959</t>
  </si>
  <si>
    <t>ORD-14960</t>
  </si>
  <si>
    <t>ORD-14961</t>
  </si>
  <si>
    <t>ORD-14962</t>
  </si>
  <si>
    <t>ORD-14963</t>
  </si>
  <si>
    <t>ORD-14964</t>
  </si>
  <si>
    <t>ORD-14965</t>
  </si>
  <si>
    <t>ORD-14966</t>
  </si>
  <si>
    <t>ORD-14967</t>
  </si>
  <si>
    <t>ORD-14968</t>
  </si>
  <si>
    <t>ORD-14969</t>
  </si>
  <si>
    <t>ORD-14970</t>
  </si>
  <si>
    <t>ORD-14971</t>
  </si>
  <si>
    <t>ORD-14972</t>
  </si>
  <si>
    <t>ORD-14973</t>
  </si>
  <si>
    <t>ORD-14974</t>
  </si>
  <si>
    <t>ORD-14975</t>
  </si>
  <si>
    <t>ORD-14976</t>
  </si>
  <si>
    <t>ORD-14977</t>
  </si>
  <si>
    <t>ORD-14978</t>
  </si>
  <si>
    <t>ORD-14979</t>
  </si>
  <si>
    <t>ORD-14980</t>
  </si>
  <si>
    <t>ORD-14981</t>
  </si>
  <si>
    <t>ORD-14982</t>
  </si>
  <si>
    <t>ORD-14983</t>
  </si>
  <si>
    <t>ORD-14984</t>
  </si>
  <si>
    <t>ORD-14985</t>
  </si>
  <si>
    <t>ORD-14986</t>
  </si>
  <si>
    <t>ORD-14987</t>
  </si>
  <si>
    <t>ORD-14988</t>
  </si>
  <si>
    <t>ORD-14989</t>
  </si>
  <si>
    <t>ORD-14990</t>
  </si>
  <si>
    <t>ORD-14991</t>
  </si>
  <si>
    <t>ORD-14992</t>
  </si>
  <si>
    <t>ORD-14993</t>
  </si>
  <si>
    <t>ORD-14994</t>
  </si>
  <si>
    <t>ORD-14995</t>
  </si>
  <si>
    <t>ORD-14996</t>
  </si>
  <si>
    <t>ORD-14997</t>
  </si>
  <si>
    <t>ORD-14998</t>
  </si>
  <si>
    <t>ORD-14999</t>
  </si>
  <si>
    <t>ORD-15000</t>
  </si>
  <si>
    <t>ORD-15001</t>
  </si>
  <si>
    <t>ORD-15002</t>
  </si>
  <si>
    <t>ORD-15003</t>
  </si>
  <si>
    <t>ORD-15004</t>
  </si>
  <si>
    <t>ORD-15005</t>
  </si>
  <si>
    <t>ORD-15006</t>
  </si>
  <si>
    <t>ORD-15007</t>
  </si>
  <si>
    <t>ORD-15008</t>
  </si>
  <si>
    <t>ORD-15009</t>
  </si>
  <si>
    <t>ORD-15010</t>
  </si>
  <si>
    <t>ORD-15011</t>
  </si>
  <si>
    <t>ORD-15012</t>
  </si>
  <si>
    <t>ORD-15013</t>
  </si>
  <si>
    <t>ORD-15014</t>
  </si>
  <si>
    <t>ORD-15015</t>
  </si>
  <si>
    <t>ORD-15016</t>
  </si>
  <si>
    <t>ORD-15017</t>
  </si>
  <si>
    <t>ORD-15018</t>
  </si>
  <si>
    <t>ORD-15019</t>
  </si>
  <si>
    <t>ORD-15020</t>
  </si>
  <si>
    <t>ORD-15021</t>
  </si>
  <si>
    <t>ORD-15022</t>
  </si>
  <si>
    <t>ORD-15023</t>
  </si>
  <si>
    <t>ORD-15024</t>
  </si>
  <si>
    <t>ORD-15025</t>
  </si>
  <si>
    <t>ORD-15026</t>
  </si>
  <si>
    <t>ORD-15027</t>
  </si>
  <si>
    <t>ORD-15028</t>
  </si>
  <si>
    <t>ORD-15029</t>
  </si>
  <si>
    <t>ORD-15030</t>
  </si>
  <si>
    <t>ORD-15031</t>
  </si>
  <si>
    <t>ORD-15032</t>
  </si>
  <si>
    <t>ORD-15033</t>
  </si>
  <si>
    <t>ORD-15034</t>
  </si>
  <si>
    <t>ORD-15035</t>
  </si>
  <si>
    <t>ORD-15036</t>
  </si>
  <si>
    <t>ORD-15037</t>
  </si>
  <si>
    <t>ORD-15038</t>
  </si>
  <si>
    <t>ORD-15039</t>
  </si>
  <si>
    <t>ORD-15040</t>
  </si>
  <si>
    <t>ORD-15041</t>
  </si>
  <si>
    <t>ORD-15042</t>
  </si>
  <si>
    <t>ORD-15043</t>
  </si>
  <si>
    <t>ORD-15044</t>
  </si>
  <si>
    <t>ORD-15045</t>
  </si>
  <si>
    <t>ORD-15046</t>
  </si>
  <si>
    <t>ORD-15047</t>
  </si>
  <si>
    <t>ORD-15048</t>
  </si>
  <si>
    <t>ORD-15049</t>
  </si>
  <si>
    <t>ORD-15050</t>
  </si>
  <si>
    <t>ORD-15051</t>
  </si>
  <si>
    <t>ORD-15052</t>
  </si>
  <si>
    <t>ORD-15053</t>
  </si>
  <si>
    <t>ORD-15054</t>
  </si>
  <si>
    <t>ORD-15055</t>
  </si>
  <si>
    <t>ORD-15056</t>
  </si>
  <si>
    <t>ORD-15057</t>
  </si>
  <si>
    <t>ORD-15058</t>
  </si>
  <si>
    <t>ORD-15059</t>
  </si>
  <si>
    <t>ORD-15060</t>
  </si>
  <si>
    <t>ORD-15061</t>
  </si>
  <si>
    <t>ORD-15062</t>
  </si>
  <si>
    <t>ORD-15063</t>
  </si>
  <si>
    <t>ORD-15064</t>
  </si>
  <si>
    <t>ORD-15065</t>
  </si>
  <si>
    <t>ORD-15066</t>
  </si>
  <si>
    <t>ORD-15067</t>
  </si>
  <si>
    <t>ORD-15068</t>
  </si>
  <si>
    <t>ORD-15069</t>
  </si>
  <si>
    <t>ORD-15070</t>
  </si>
  <si>
    <t>ORD-15071</t>
  </si>
  <si>
    <t>ORD-15072</t>
  </si>
  <si>
    <t>ORD-15073</t>
  </si>
  <si>
    <t>ORD-15074</t>
  </si>
  <si>
    <t>ORD-15075</t>
  </si>
  <si>
    <t>ORD-15076</t>
  </si>
  <si>
    <t>ORD-15077</t>
  </si>
  <si>
    <t>ORD-15078</t>
  </si>
  <si>
    <t>ORD-15079</t>
  </si>
  <si>
    <t>ORD-15080</t>
  </si>
  <si>
    <t>ORD-15081</t>
  </si>
  <si>
    <t>ORD-15082</t>
  </si>
  <si>
    <t>ORD-15083</t>
  </si>
  <si>
    <t>ORD-15084</t>
  </si>
  <si>
    <t>ORD-15085</t>
  </si>
  <si>
    <t>ORD-15086</t>
  </si>
  <si>
    <t>ORD-15087</t>
  </si>
  <si>
    <t>ORD-15088</t>
  </si>
  <si>
    <t>ORD-15089</t>
  </si>
  <si>
    <t>ORD-15090</t>
  </si>
  <si>
    <t>ORD-15091</t>
  </si>
  <si>
    <t>ORD-15092</t>
  </si>
  <si>
    <t>ORD-15093</t>
  </si>
  <si>
    <t>ORD-15094</t>
  </si>
  <si>
    <t>ORD-15095</t>
  </si>
  <si>
    <t>ORD-15096</t>
  </si>
  <si>
    <t>ORD-15097</t>
  </si>
  <si>
    <t>ORD-15098</t>
  </si>
  <si>
    <t>ORD-15099</t>
  </si>
  <si>
    <t>ORD-15100</t>
  </si>
  <si>
    <t>ORD-15101</t>
  </si>
  <si>
    <t>ORD-15102</t>
  </si>
  <si>
    <t>ORD-15103</t>
  </si>
  <si>
    <t>ORD-15104</t>
  </si>
  <si>
    <t>ORD-15105</t>
  </si>
  <si>
    <t>ORD-15106</t>
  </si>
  <si>
    <t>ORD-15107</t>
  </si>
  <si>
    <t>ORD-15108</t>
  </si>
  <si>
    <t>ORD-15109</t>
  </si>
  <si>
    <t>ORD-15110</t>
  </si>
  <si>
    <t>ORD-15111</t>
  </si>
  <si>
    <t>ORD-15112</t>
  </si>
  <si>
    <t>ORD-15113</t>
  </si>
  <si>
    <t>ORD-15114</t>
  </si>
  <si>
    <t>ORD-15115</t>
  </si>
  <si>
    <t>ORD-15116</t>
  </si>
  <si>
    <t>ORD-15117</t>
  </si>
  <si>
    <t>ORD-15118</t>
  </si>
  <si>
    <t>ORD-15119</t>
  </si>
  <si>
    <t>ORD-15120</t>
  </si>
  <si>
    <t>ORD-15121</t>
  </si>
  <si>
    <t>ORD-15122</t>
  </si>
  <si>
    <t>ORD-15123</t>
  </si>
  <si>
    <t>ORD-15124</t>
  </si>
  <si>
    <t>ORD-15125</t>
  </si>
  <si>
    <t>ORD-15126</t>
  </si>
  <si>
    <t>ORD-15127</t>
  </si>
  <si>
    <t>ORD-15128</t>
  </si>
  <si>
    <t>ORD-15129</t>
  </si>
  <si>
    <t>ORD-15130</t>
  </si>
  <si>
    <t>ORD-15131</t>
  </si>
  <si>
    <t>ORD-15132</t>
  </si>
  <si>
    <t>ORD-15133</t>
  </si>
  <si>
    <t>ORD-15134</t>
  </si>
  <si>
    <t>ORD-15135</t>
  </si>
  <si>
    <t>ORD-15136</t>
  </si>
  <si>
    <t>ORD-15137</t>
  </si>
  <si>
    <t>ORD-15138</t>
  </si>
  <si>
    <t>ORD-15139</t>
  </si>
  <si>
    <t>ORD-15140</t>
  </si>
  <si>
    <t>ORD-15141</t>
  </si>
  <si>
    <t>ORD-15142</t>
  </si>
  <si>
    <t>ORD-15143</t>
  </si>
  <si>
    <t>ORD-15144</t>
  </si>
  <si>
    <t>ORD-15145</t>
  </si>
  <si>
    <t>ORD-15146</t>
  </si>
  <si>
    <t>ORD-15147</t>
  </si>
  <si>
    <t>ORD-15148</t>
  </si>
  <si>
    <t>ORD-15149</t>
  </si>
  <si>
    <t>ORD-15150</t>
  </si>
  <si>
    <t>ORD-15151</t>
  </si>
  <si>
    <t>ORD-15152</t>
  </si>
  <si>
    <t>ORD-15153</t>
  </si>
  <si>
    <t>ORD-15154</t>
  </si>
  <si>
    <t>ORD-15155</t>
  </si>
  <si>
    <t>ORD-15156</t>
  </si>
  <si>
    <t>ORD-15157</t>
  </si>
  <si>
    <t>ORD-15158</t>
  </si>
  <si>
    <t>ORD-15159</t>
  </si>
  <si>
    <t>ORD-15160</t>
  </si>
  <si>
    <t>ORD-15161</t>
  </si>
  <si>
    <t>ORD-15162</t>
  </si>
  <si>
    <t>ORD-15163</t>
  </si>
  <si>
    <t>ORD-15164</t>
  </si>
  <si>
    <t>ORD-15165</t>
  </si>
  <si>
    <t>ORD-15166</t>
  </si>
  <si>
    <t>ORD-15167</t>
  </si>
  <si>
    <t>ORD-15168</t>
  </si>
  <si>
    <t>ORD-15169</t>
  </si>
  <si>
    <t>ORD-15170</t>
  </si>
  <si>
    <t>ORD-15171</t>
  </si>
  <si>
    <t>ORD-15172</t>
  </si>
  <si>
    <t>ORD-15173</t>
  </si>
  <si>
    <t>ORD-15174</t>
  </si>
  <si>
    <t>ORD-15175</t>
  </si>
  <si>
    <t>ORD-15176</t>
  </si>
  <si>
    <t>ORD-15177</t>
  </si>
  <si>
    <t>ORD-15178</t>
  </si>
  <si>
    <t>ORD-15179</t>
  </si>
  <si>
    <t>ORD-15180</t>
  </si>
  <si>
    <t>ORD-15181</t>
  </si>
  <si>
    <t>ORD-15182</t>
  </si>
  <si>
    <t>ORD-15183</t>
  </si>
  <si>
    <t>ORD-15184</t>
  </si>
  <si>
    <t>ORD-15185</t>
  </si>
  <si>
    <t>ORD-15186</t>
  </si>
  <si>
    <t>ORD-15187</t>
  </si>
  <si>
    <t>ORD-15188</t>
  </si>
  <si>
    <t>ORD-15189</t>
  </si>
  <si>
    <t>ORD-15190</t>
  </si>
  <si>
    <t>ORD-15191</t>
  </si>
  <si>
    <t>ORD-15192</t>
  </si>
  <si>
    <t>ORD-15193</t>
  </si>
  <si>
    <t>ORD-15194</t>
  </si>
  <si>
    <t>ORD-15195</t>
  </si>
  <si>
    <t>ORD-15196</t>
  </si>
  <si>
    <t>ORD-15197</t>
  </si>
  <si>
    <t>ORD-15198</t>
  </si>
  <si>
    <t>ORD-15199</t>
  </si>
  <si>
    <t>ORD-15200</t>
  </si>
  <si>
    <t>ORD-15201</t>
  </si>
  <si>
    <t>ORD-15202</t>
  </si>
  <si>
    <t>ORD-15203</t>
  </si>
  <si>
    <t>ORD-15204</t>
  </si>
  <si>
    <t>ORD-15205</t>
  </si>
  <si>
    <t>ORD-15206</t>
  </si>
  <si>
    <t>ORD-15207</t>
  </si>
  <si>
    <t>ORD-15208</t>
  </si>
  <si>
    <t>ORD-15209</t>
  </si>
  <si>
    <t>ORD-15210</t>
  </si>
  <si>
    <t>ORD-15211</t>
  </si>
  <si>
    <t>ORD-15212</t>
  </si>
  <si>
    <t>ORD-15213</t>
  </si>
  <si>
    <t>ORD-15214</t>
  </si>
  <si>
    <t>ORD-15215</t>
  </si>
  <si>
    <t>ORD-15216</t>
  </si>
  <si>
    <t>ORD-15217</t>
  </si>
  <si>
    <t>ORD-15218</t>
  </si>
  <si>
    <t>ORD-15219</t>
  </si>
  <si>
    <t>ORD-15220</t>
  </si>
  <si>
    <t>ORD-15221</t>
  </si>
  <si>
    <t>ORD-15222</t>
  </si>
  <si>
    <t>ORD-15223</t>
  </si>
  <si>
    <t>ORD-15224</t>
  </si>
  <si>
    <t>ORD-15225</t>
  </si>
  <si>
    <t>ORD-15226</t>
  </si>
  <si>
    <t>ORD-15227</t>
  </si>
  <si>
    <t>ORD-15228</t>
  </si>
  <si>
    <t>ORD-15229</t>
  </si>
  <si>
    <t>ORD-15230</t>
  </si>
  <si>
    <t>ORD-15231</t>
  </si>
  <si>
    <t>ORD-15232</t>
  </si>
  <si>
    <t>ORD-15233</t>
  </si>
  <si>
    <t>ORD-15234</t>
  </si>
  <si>
    <t>ORD-15235</t>
  </si>
  <si>
    <t>ORD-15236</t>
  </si>
  <si>
    <t>ORD-15237</t>
  </si>
  <si>
    <t>ORD-15238</t>
  </si>
  <si>
    <t>ORD-15239</t>
  </si>
  <si>
    <t>ORD-15240</t>
  </si>
  <si>
    <t>ORD-15241</t>
  </si>
  <si>
    <t>ORD-15242</t>
  </si>
  <si>
    <t>ORD-15243</t>
  </si>
  <si>
    <t>ORD-15244</t>
  </si>
  <si>
    <t>ORD-15245</t>
  </si>
  <si>
    <t>ORD-15246</t>
  </si>
  <si>
    <t>ORD-15247</t>
  </si>
  <si>
    <t>ORD-15248</t>
  </si>
  <si>
    <t>ORD-15249</t>
  </si>
  <si>
    <t>ORD-15250</t>
  </si>
  <si>
    <t>ORD-15251</t>
  </si>
  <si>
    <t>ORD-15252</t>
  </si>
  <si>
    <t>ORD-15253</t>
  </si>
  <si>
    <t>ORD-15254</t>
  </si>
  <si>
    <t>ORD-15255</t>
  </si>
  <si>
    <t>ORD-15256</t>
  </si>
  <si>
    <t>ORD-15257</t>
  </si>
  <si>
    <t>ORD-15258</t>
  </si>
  <si>
    <t>ORD-15259</t>
  </si>
  <si>
    <t>ORD-15260</t>
  </si>
  <si>
    <t>ORD-15261</t>
  </si>
  <si>
    <t>ORD-15262</t>
  </si>
  <si>
    <t>ORD-15263</t>
  </si>
  <si>
    <t>ORD-15264</t>
  </si>
  <si>
    <t>ORD-15265</t>
  </si>
  <si>
    <t>ORD-15266</t>
  </si>
  <si>
    <t>ORD-15267</t>
  </si>
  <si>
    <t>ORD-15268</t>
  </si>
  <si>
    <t>ORD-15269</t>
  </si>
  <si>
    <t>ORD-15270</t>
  </si>
  <si>
    <t>ORD-15271</t>
  </si>
  <si>
    <t>ORD-15272</t>
  </si>
  <si>
    <t>ORD-15273</t>
  </si>
  <si>
    <t>ORD-15274</t>
  </si>
  <si>
    <t>ORD-15275</t>
  </si>
  <si>
    <t>ORD-15276</t>
  </si>
  <si>
    <t>ORD-15277</t>
  </si>
  <si>
    <t>ORD-15278</t>
  </si>
  <si>
    <t>ORD-15279</t>
  </si>
  <si>
    <t>ORD-15280</t>
  </si>
  <si>
    <t>ORD-15281</t>
  </si>
  <si>
    <t>ORD-15282</t>
  </si>
  <si>
    <t>ORD-15283</t>
  </si>
  <si>
    <t>ORD-15284</t>
  </si>
  <si>
    <t>ORD-15285</t>
  </si>
  <si>
    <t>ORD-15286</t>
  </si>
  <si>
    <t>ORD-15287</t>
  </si>
  <si>
    <t>ORD-15288</t>
  </si>
  <si>
    <t>ORD-15289</t>
  </si>
  <si>
    <t>ORD-15290</t>
  </si>
  <si>
    <t>ORD-15291</t>
  </si>
  <si>
    <t>ORD-15292</t>
  </si>
  <si>
    <t>ORD-15293</t>
  </si>
  <si>
    <t>ORD-15294</t>
  </si>
  <si>
    <t>ORD-15295</t>
  </si>
  <si>
    <t>ORD-15296</t>
  </si>
  <si>
    <t>ORD-15297</t>
  </si>
  <si>
    <t>ORD-15298</t>
  </si>
  <si>
    <t>ORD-15299</t>
  </si>
  <si>
    <t>ORD-15300</t>
  </si>
  <si>
    <t>ORD-15301</t>
  </si>
  <si>
    <t>ORD-15302</t>
  </si>
  <si>
    <t>ORD-15303</t>
  </si>
  <si>
    <t>ORD-15304</t>
  </si>
  <si>
    <t>ORD-15305</t>
  </si>
  <si>
    <t>ORD-15306</t>
  </si>
  <si>
    <t>ORD-15307</t>
  </si>
  <si>
    <t>ORD-15308</t>
  </si>
  <si>
    <t>ORD-15309</t>
  </si>
  <si>
    <t>ORD-15310</t>
  </si>
  <si>
    <t>ORD-15311</t>
  </si>
  <si>
    <t>ORD-15312</t>
  </si>
  <si>
    <t>ORD-15313</t>
  </si>
  <si>
    <t>ORD-15314</t>
  </si>
  <si>
    <t>ORD-15315</t>
  </si>
  <si>
    <t>ORD-15316</t>
  </si>
  <si>
    <t>ORD-15317</t>
  </si>
  <si>
    <t>ORD-15318</t>
  </si>
  <si>
    <t>ORD-15319</t>
  </si>
  <si>
    <t>ORD-15320</t>
  </si>
  <si>
    <t>ORD-15321</t>
  </si>
  <si>
    <t>ORD-15322</t>
  </si>
  <si>
    <t>ORD-15323</t>
  </si>
  <si>
    <t>ORD-15324</t>
  </si>
  <si>
    <t>ORD-15325</t>
  </si>
  <si>
    <t>ORD-15326</t>
  </si>
  <si>
    <t>ORD-15327</t>
  </si>
  <si>
    <t>ORD-15328</t>
  </si>
  <si>
    <t>ORD-15329</t>
  </si>
  <si>
    <t>ORD-15330</t>
  </si>
  <si>
    <t>ORD-15331</t>
  </si>
  <si>
    <t>ORD-15332</t>
  </si>
  <si>
    <t>ORD-15333</t>
  </si>
  <si>
    <t>ORD-15334</t>
  </si>
  <si>
    <t>ORD-15335</t>
  </si>
  <si>
    <t>ORD-15336</t>
  </si>
  <si>
    <t>ORD-15337</t>
  </si>
  <si>
    <t>ORD-15338</t>
  </si>
  <si>
    <t>ORD-15339</t>
  </si>
  <si>
    <t>ORD-15340</t>
  </si>
  <si>
    <t>ORD-15341</t>
  </si>
  <si>
    <t>ORD-15342</t>
  </si>
  <si>
    <t>ORD-15343</t>
  </si>
  <si>
    <t>ORD-15344</t>
  </si>
  <si>
    <t>ORD-15345</t>
  </si>
  <si>
    <t>ORD-15346</t>
  </si>
  <si>
    <t>ORD-15347</t>
  </si>
  <si>
    <t>ORD-15348</t>
  </si>
  <si>
    <t>ORD-15349</t>
  </si>
  <si>
    <t>ORD-15350</t>
  </si>
  <si>
    <t>ORD-15351</t>
  </si>
  <si>
    <t>ORD-15352</t>
  </si>
  <si>
    <t>ORD-15353</t>
  </si>
  <si>
    <t>ORD-15354</t>
  </si>
  <si>
    <t>ORD-15355</t>
  </si>
  <si>
    <t>ORD-15356</t>
  </si>
  <si>
    <t>ORD-15357</t>
  </si>
  <si>
    <t>ORD-15358</t>
  </si>
  <si>
    <t>ORD-15359</t>
  </si>
  <si>
    <t>ORD-15360</t>
  </si>
  <si>
    <t>ORD-15361</t>
  </si>
  <si>
    <t>ORD-15362</t>
  </si>
  <si>
    <t>ORD-15363</t>
  </si>
  <si>
    <t>ORD-15364</t>
  </si>
  <si>
    <t>ORD-15365</t>
  </si>
  <si>
    <t>ORD-15366</t>
  </si>
  <si>
    <t>ORD-15367</t>
  </si>
  <si>
    <t>ORD-15368</t>
  </si>
  <si>
    <t>ORD-15369</t>
  </si>
  <si>
    <t>ORD-15370</t>
  </si>
  <si>
    <t>ORD-15371</t>
  </si>
  <si>
    <t>ORD-15372</t>
  </si>
  <si>
    <t>ORD-15373</t>
  </si>
  <si>
    <t>ORD-15374</t>
  </si>
  <si>
    <t>ORD-15375</t>
  </si>
  <si>
    <t>ORD-15376</t>
  </si>
  <si>
    <t>ORD-15377</t>
  </si>
  <si>
    <t>ORD-15378</t>
  </si>
  <si>
    <t>ORD-15379</t>
  </si>
  <si>
    <t>ORD-15380</t>
  </si>
  <si>
    <t>ORD-15381</t>
  </si>
  <si>
    <t>ORD-15382</t>
  </si>
  <si>
    <t>ORD-15383</t>
  </si>
  <si>
    <t>ORD-15384</t>
  </si>
  <si>
    <t>ORD-15385</t>
  </si>
  <si>
    <t>ORD-15386</t>
  </si>
  <si>
    <t>ORD-15387</t>
  </si>
  <si>
    <t>ORD-15388</t>
  </si>
  <si>
    <t>ORD-15389</t>
  </si>
  <si>
    <t>ORD-15390</t>
  </si>
  <si>
    <t>ORD-15391</t>
  </si>
  <si>
    <t>ORD-15392</t>
  </si>
  <si>
    <t>ORD-15393</t>
  </si>
  <si>
    <t>ORD-15394</t>
  </si>
  <si>
    <t>ORD-15395</t>
  </si>
  <si>
    <t>ORD-15396</t>
  </si>
  <si>
    <t>ORD-15397</t>
  </si>
  <si>
    <t>ORD-15398</t>
  </si>
  <si>
    <t>ORD-15399</t>
  </si>
  <si>
    <t>ORD-15400</t>
  </si>
  <si>
    <t>ORD-15401</t>
  </si>
  <si>
    <t>ORD-15402</t>
  </si>
  <si>
    <t>ORD-15403</t>
  </si>
  <si>
    <t>ORD-15404</t>
  </si>
  <si>
    <t>ORD-15405</t>
  </si>
  <si>
    <t>ORD-15406</t>
  </si>
  <si>
    <t>ORD-15407</t>
  </si>
  <si>
    <t>ORD-15408</t>
  </si>
  <si>
    <t>ORD-15409</t>
  </si>
  <si>
    <t>ORD-15410</t>
  </si>
  <si>
    <t>ORD-15411</t>
  </si>
  <si>
    <t>ORD-15412</t>
  </si>
  <si>
    <t>ORD-15413</t>
  </si>
  <si>
    <t>ORD-15414</t>
  </si>
  <si>
    <t>ORD-15415</t>
  </si>
  <si>
    <t>ORD-15416</t>
  </si>
  <si>
    <t>ORD-15417</t>
  </si>
  <si>
    <t>ORD-15418</t>
  </si>
  <si>
    <t>ORD-15419</t>
  </si>
  <si>
    <t>ORD-15420</t>
  </si>
  <si>
    <t>ORD-15421</t>
  </si>
  <si>
    <t>ORD-15422</t>
  </si>
  <si>
    <t>ORD-15423</t>
  </si>
  <si>
    <t>ORD-15424</t>
  </si>
  <si>
    <t>ORD-15425</t>
  </si>
  <si>
    <t>ORD-15426</t>
  </si>
  <si>
    <t>ORD-15427</t>
  </si>
  <si>
    <t>ORD-15428</t>
  </si>
  <si>
    <t>ORD-15429</t>
  </si>
  <si>
    <t>ORD-15430</t>
  </si>
  <si>
    <t>ORD-15431</t>
  </si>
  <si>
    <t>ORD-15432</t>
  </si>
  <si>
    <t>ORD-15433</t>
  </si>
  <si>
    <t>ORD-15434</t>
  </si>
  <si>
    <t>ORD-15435</t>
  </si>
  <si>
    <t>ORD-15436</t>
  </si>
  <si>
    <t>ORD-15437</t>
  </si>
  <si>
    <t>ORD-15438</t>
  </si>
  <si>
    <t>ORD-15439</t>
  </si>
  <si>
    <t>ORD-15440</t>
  </si>
  <si>
    <t>ORD-15441</t>
  </si>
  <si>
    <t>ORD-15442</t>
  </si>
  <si>
    <t>ORD-15443</t>
  </si>
  <si>
    <t>ORD-15444</t>
  </si>
  <si>
    <t>ORD-15445</t>
  </si>
  <si>
    <t>ORD-15446</t>
  </si>
  <si>
    <t>ORD-15447</t>
  </si>
  <si>
    <t>ORD-15448</t>
  </si>
  <si>
    <t>ORD-15449</t>
  </si>
  <si>
    <t>ORD-15450</t>
  </si>
  <si>
    <t>ORD-15451</t>
  </si>
  <si>
    <t>ORD-15452</t>
  </si>
  <si>
    <t>ORD-15453</t>
  </si>
  <si>
    <t>ORD-15454</t>
  </si>
  <si>
    <t>ORD-15455</t>
  </si>
  <si>
    <t>ORD-15456</t>
  </si>
  <si>
    <t>ORD-15457</t>
  </si>
  <si>
    <t>ORD-15458</t>
  </si>
  <si>
    <t>ORD-15459</t>
  </si>
  <si>
    <t>ORD-15460</t>
  </si>
  <si>
    <t>ORD-15461</t>
  </si>
  <si>
    <t>ORD-15462</t>
  </si>
  <si>
    <t>ORD-15463</t>
  </si>
  <si>
    <t>ORD-15464</t>
  </si>
  <si>
    <t>ORD-15465</t>
  </si>
  <si>
    <t>ORD-15466</t>
  </si>
  <si>
    <t>ORD-15467</t>
  </si>
  <si>
    <t>ORD-15468</t>
  </si>
  <si>
    <t>ORD-15469</t>
  </si>
  <si>
    <t>ORD-15470</t>
  </si>
  <si>
    <t>ORD-15471</t>
  </si>
  <si>
    <t>ORD-15472</t>
  </si>
  <si>
    <t>ORD-15473</t>
  </si>
  <si>
    <t>ORD-15474</t>
  </si>
  <si>
    <t>ORD-15475</t>
  </si>
  <si>
    <t>ORD-15476</t>
  </si>
  <si>
    <t>ORD-15477</t>
  </si>
  <si>
    <t>ORD-15478</t>
  </si>
  <si>
    <t>ORD-15479</t>
  </si>
  <si>
    <t>ORD-15480</t>
  </si>
  <si>
    <t>ORD-15481</t>
  </si>
  <si>
    <t>ORD-15482</t>
  </si>
  <si>
    <t>ORD-15483</t>
  </si>
  <si>
    <t>ORD-15484</t>
  </si>
  <si>
    <t>ORD-15485</t>
  </si>
  <si>
    <t>ORD-15486</t>
  </si>
  <si>
    <t>ORD-15487</t>
  </si>
  <si>
    <t>ORD-15488</t>
  </si>
  <si>
    <t>ORD-15489</t>
  </si>
  <si>
    <t>ORD-15490</t>
  </si>
  <si>
    <t>ORD-15491</t>
  </si>
  <si>
    <t>ORD-15492</t>
  </si>
  <si>
    <t>ORD-15493</t>
  </si>
  <si>
    <t>ORD-15494</t>
  </si>
  <si>
    <t>ORD-15495</t>
  </si>
  <si>
    <t>ORD-15496</t>
  </si>
  <si>
    <t>ORD-15497</t>
  </si>
  <si>
    <t>ORD-15498</t>
  </si>
  <si>
    <t>ORD-15499</t>
  </si>
  <si>
    <t>ORD-15500</t>
  </si>
  <si>
    <t>ORD-15501</t>
  </si>
  <si>
    <t>ORD-15502</t>
  </si>
  <si>
    <t>ORD-15503</t>
  </si>
  <si>
    <t>ORD-15504</t>
  </si>
  <si>
    <t>ORD-15505</t>
  </si>
  <si>
    <t>ORD-15506</t>
  </si>
  <si>
    <t>ORD-15507</t>
  </si>
  <si>
    <t>ORD-15508</t>
  </si>
  <si>
    <t>ORD-15509</t>
  </si>
  <si>
    <t>ORD-15510</t>
  </si>
  <si>
    <t>ORD-15511</t>
  </si>
  <si>
    <t>ORD-15512</t>
  </si>
  <si>
    <t>ORD-15513</t>
  </si>
  <si>
    <t>ORD-15514</t>
  </si>
  <si>
    <t>ORD-15515</t>
  </si>
  <si>
    <t>ORD-15516</t>
  </si>
  <si>
    <t>ORD-15517</t>
  </si>
  <si>
    <t>ORD-15518</t>
  </si>
  <si>
    <t>ORD-15519</t>
  </si>
  <si>
    <t>ORD-15520</t>
  </si>
  <si>
    <t>ORD-15521</t>
  </si>
  <si>
    <t>ORD-15522</t>
  </si>
  <si>
    <t>ORD-15523</t>
  </si>
  <si>
    <t>ORD-15524</t>
  </si>
  <si>
    <t>ORD-15525</t>
  </si>
  <si>
    <t>ORD-15526</t>
  </si>
  <si>
    <t>ORD-15527</t>
  </si>
  <si>
    <t>ORD-15528</t>
  </si>
  <si>
    <t>ORD-15529</t>
  </si>
  <si>
    <t>ORD-15530</t>
  </si>
  <si>
    <t>ORD-15531</t>
  </si>
  <si>
    <t>ORD-15532</t>
  </si>
  <si>
    <t>ORD-15533</t>
  </si>
  <si>
    <t>ORD-15534</t>
  </si>
  <si>
    <t>ORD-15535</t>
  </si>
  <si>
    <t>ORD-15536</t>
  </si>
  <si>
    <t>ORD-15537</t>
  </si>
  <si>
    <t>ORD-15538</t>
  </si>
  <si>
    <t>ORD-15539</t>
  </si>
  <si>
    <t>ORD-15540</t>
  </si>
  <si>
    <t>ORD-15541</t>
  </si>
  <si>
    <t>ORD-15542</t>
  </si>
  <si>
    <t>ORD-15543</t>
  </si>
  <si>
    <t>ORD-15544</t>
  </si>
  <si>
    <t>ORD-15545</t>
  </si>
  <si>
    <t>ORD-15546</t>
  </si>
  <si>
    <t>ORD-15547</t>
  </si>
  <si>
    <t>ORD-15548</t>
  </si>
  <si>
    <t>ORD-15549</t>
  </si>
  <si>
    <t>ORD-15550</t>
  </si>
  <si>
    <t>ORD-15551</t>
  </si>
  <si>
    <t>ORD-15552</t>
  </si>
  <si>
    <t>ORD-15553</t>
  </si>
  <si>
    <t>ORD-15554</t>
  </si>
  <si>
    <t>ORD-15555</t>
  </si>
  <si>
    <t>ORD-15556</t>
  </si>
  <si>
    <t>ORD-15557</t>
  </si>
  <si>
    <t>ORD-15558</t>
  </si>
  <si>
    <t>ORD-15559</t>
  </si>
  <si>
    <t>ORD-15560</t>
  </si>
  <si>
    <t>ORD-15561</t>
  </si>
  <si>
    <t>ORD-15562</t>
  </si>
  <si>
    <t>ORD-15563</t>
  </si>
  <si>
    <t>ORD-15564</t>
  </si>
  <si>
    <t>ORD-15565</t>
  </si>
  <si>
    <t>ORD-15566</t>
  </si>
  <si>
    <t>ORD-15567</t>
  </si>
  <si>
    <t>ORD-15568</t>
  </si>
  <si>
    <t>ORD-15569</t>
  </si>
  <si>
    <t>ORD-15570</t>
  </si>
  <si>
    <t>ORD-15571</t>
  </si>
  <si>
    <t>ORD-15572</t>
  </si>
  <si>
    <t>ORD-15573</t>
  </si>
  <si>
    <t>ORD-15574</t>
  </si>
  <si>
    <t>ORD-15575</t>
  </si>
  <si>
    <t>ORD-15576</t>
  </si>
  <si>
    <t>ORD-15577</t>
  </si>
  <si>
    <t>ORD-15578</t>
  </si>
  <si>
    <t>ORD-15579</t>
  </si>
  <si>
    <t>ORD-15580</t>
  </si>
  <si>
    <t>ORD-15581</t>
  </si>
  <si>
    <t>ORD-15582</t>
  </si>
  <si>
    <t>ORD-15583</t>
  </si>
  <si>
    <t>ORD-15584</t>
  </si>
  <si>
    <t>ORD-15585</t>
  </si>
  <si>
    <t>ORD-15586</t>
  </si>
  <si>
    <t>ORD-15587</t>
  </si>
  <si>
    <t>ORD-15588</t>
  </si>
  <si>
    <t>ORD-15589</t>
  </si>
  <si>
    <t>ORD-15590</t>
  </si>
  <si>
    <t>ORD-15591</t>
  </si>
  <si>
    <t>ORD-15592</t>
  </si>
  <si>
    <t>ORD-15593</t>
  </si>
  <si>
    <t>ORD-15594</t>
  </si>
  <si>
    <t>ORD-15595</t>
  </si>
  <si>
    <t>ORD-15596</t>
  </si>
  <si>
    <t>ORD-15597</t>
  </si>
  <si>
    <t>ORD-15598</t>
  </si>
  <si>
    <t>ORD-15599</t>
  </si>
  <si>
    <t>ORD-15600</t>
  </si>
  <si>
    <t>ORD-15601</t>
  </si>
  <si>
    <t>ORD-15602</t>
  </si>
  <si>
    <t>ORD-15603</t>
  </si>
  <si>
    <t>ORD-15604</t>
  </si>
  <si>
    <t>ORD-15605</t>
  </si>
  <si>
    <t>ORD-15606</t>
  </si>
  <si>
    <t>ORD-15607</t>
  </si>
  <si>
    <t>ORD-15608</t>
  </si>
  <si>
    <t>ORD-15609</t>
  </si>
  <si>
    <t>ORD-15610</t>
  </si>
  <si>
    <t>ORD-15611</t>
  </si>
  <si>
    <t>ORD-15612</t>
  </si>
  <si>
    <t>ORD-15613</t>
  </si>
  <si>
    <t>ORD-15614</t>
  </si>
  <si>
    <t>ORD-15615</t>
  </si>
  <si>
    <t>ORD-15616</t>
  </si>
  <si>
    <t>ORD-15617</t>
  </si>
  <si>
    <t>ORD-15618</t>
  </si>
  <si>
    <t>ORD-15619</t>
  </si>
  <si>
    <t>ORD-15620</t>
  </si>
  <si>
    <t>ORD-15621</t>
  </si>
  <si>
    <t>ORD-15622</t>
  </si>
  <si>
    <t>ORD-15623</t>
  </si>
  <si>
    <t>ORD-15624</t>
  </si>
  <si>
    <t>ORD-15625</t>
  </si>
  <si>
    <t>ORD-15626</t>
  </si>
  <si>
    <t>ORD-15627</t>
  </si>
  <si>
    <t>ORD-15628</t>
  </si>
  <si>
    <t>ORD-15629</t>
  </si>
  <si>
    <t>ORD-15630</t>
  </si>
  <si>
    <t>ORD-15631</t>
  </si>
  <si>
    <t>ORD-15632</t>
  </si>
  <si>
    <t>ORD-15633</t>
  </si>
  <si>
    <t>ORD-15634</t>
  </si>
  <si>
    <t>ORD-15635</t>
  </si>
  <si>
    <t>ORD-15636</t>
  </si>
  <si>
    <t>ORD-15637</t>
  </si>
  <si>
    <t>ORD-15638</t>
  </si>
  <si>
    <t>ORD-15639</t>
  </si>
  <si>
    <t>ORD-15640</t>
  </si>
  <si>
    <t>ORD-15641</t>
  </si>
  <si>
    <t>ORD-15642</t>
  </si>
  <si>
    <t>ORD-15643</t>
  </si>
  <si>
    <t>ORD-15644</t>
  </si>
  <si>
    <t>ORD-15645</t>
  </si>
  <si>
    <t>ORD-15646</t>
  </si>
  <si>
    <t>ORD-15647</t>
  </si>
  <si>
    <t>ORD-15648</t>
  </si>
  <si>
    <t>ORD-15649</t>
  </si>
  <si>
    <t>ORD-15650</t>
  </si>
  <si>
    <t>ORD-15651</t>
  </si>
  <si>
    <t>ORD-15652</t>
  </si>
  <si>
    <t>ORD-15653</t>
  </si>
  <si>
    <t>ORD-15654</t>
  </si>
  <si>
    <t>ORD-15655</t>
  </si>
  <si>
    <t>ORD-15656</t>
  </si>
  <si>
    <t>ORD-15657</t>
  </si>
  <si>
    <t>ORD-15658</t>
  </si>
  <si>
    <t>ORD-15659</t>
  </si>
  <si>
    <t>ORD-15660</t>
  </si>
  <si>
    <t>ORD-15661</t>
  </si>
  <si>
    <t>ORD-15662</t>
  </si>
  <si>
    <t>ORD-15663</t>
  </si>
  <si>
    <t>ORD-15664</t>
  </si>
  <si>
    <t>ORD-15665</t>
  </si>
  <si>
    <t>ORD-15666</t>
  </si>
  <si>
    <t>ORD-15667</t>
  </si>
  <si>
    <t>ORD-15668</t>
  </si>
  <si>
    <t>ORD-15669</t>
  </si>
  <si>
    <t>ORD-15670</t>
  </si>
  <si>
    <t>ORD-15671</t>
  </si>
  <si>
    <t>ORD-15672</t>
  </si>
  <si>
    <t>ORD-15673</t>
  </si>
  <si>
    <t>ORD-15674</t>
  </si>
  <si>
    <t>ORD-15675</t>
  </si>
  <si>
    <t>ORD-15676</t>
  </si>
  <si>
    <t>ORD-15677</t>
  </si>
  <si>
    <t>ORD-15678</t>
  </si>
  <si>
    <t>ORD-15679</t>
  </si>
  <si>
    <t>ORD-15680</t>
  </si>
  <si>
    <t>ORD-15681</t>
  </si>
  <si>
    <t>ORD-15682</t>
  </si>
  <si>
    <t>ORD-15683</t>
  </si>
  <si>
    <t>ORD-15684</t>
  </si>
  <si>
    <t>ORD-15685</t>
  </si>
  <si>
    <t>ORD-15686</t>
  </si>
  <si>
    <t>ORD-15687</t>
  </si>
  <si>
    <t>ORD-15688</t>
  </si>
  <si>
    <t>ORD-15689</t>
  </si>
  <si>
    <t>ORD-15690</t>
  </si>
  <si>
    <t>ORD-15691</t>
  </si>
  <si>
    <t>ORD-15692</t>
  </si>
  <si>
    <t>ORD-15693</t>
  </si>
  <si>
    <t>ORD-15694</t>
  </si>
  <si>
    <t>ORD-15695</t>
  </si>
  <si>
    <t>ORD-15696</t>
  </si>
  <si>
    <t>ORD-15697</t>
  </si>
  <si>
    <t>ORD-15698</t>
  </si>
  <si>
    <t>ORD-15699</t>
  </si>
  <si>
    <t>ORD-15700</t>
  </si>
  <si>
    <t>ORD-15701</t>
  </si>
  <si>
    <t>ORD-15702</t>
  </si>
  <si>
    <t>ORD-15703</t>
  </si>
  <si>
    <t>ORD-15704</t>
  </si>
  <si>
    <t>ORD-15705</t>
  </si>
  <si>
    <t>ORD-15706</t>
  </si>
  <si>
    <t>ORD-15707</t>
  </si>
  <si>
    <t>ORD-15708</t>
  </si>
  <si>
    <t>ORD-15709</t>
  </si>
  <si>
    <t>ORD-15710</t>
  </si>
  <si>
    <t>ORD-15711</t>
  </si>
  <si>
    <t>ORD-15712</t>
  </si>
  <si>
    <t>ORD-15713</t>
  </si>
  <si>
    <t>ORD-15714</t>
  </si>
  <si>
    <t>ORD-15715</t>
  </si>
  <si>
    <t>ORD-15716</t>
  </si>
  <si>
    <t>ORD-15717</t>
  </si>
  <si>
    <t>ORD-15718</t>
  </si>
  <si>
    <t>ORD-15719</t>
  </si>
  <si>
    <t>ORD-15720</t>
  </si>
  <si>
    <t>ORD-15721</t>
  </si>
  <si>
    <t>ORD-15722</t>
  </si>
  <si>
    <t>ORD-15723</t>
  </si>
  <si>
    <t>ORD-15724</t>
  </si>
  <si>
    <t>ORD-15725</t>
  </si>
  <si>
    <t>ORD-15726</t>
  </si>
  <si>
    <t>ORD-15727</t>
  </si>
  <si>
    <t>ORD-15728</t>
  </si>
  <si>
    <t>ORD-15729</t>
  </si>
  <si>
    <t>ORD-15730</t>
  </si>
  <si>
    <t>ORD-15731</t>
  </si>
  <si>
    <t>ORD-15732</t>
  </si>
  <si>
    <t>ORD-15733</t>
  </si>
  <si>
    <t>ORD-15734</t>
  </si>
  <si>
    <t>ORD-15735</t>
  </si>
  <si>
    <t>ORD-15736</t>
  </si>
  <si>
    <t>ORD-15737</t>
  </si>
  <si>
    <t>ORD-15738</t>
  </si>
  <si>
    <t>ORD-15739</t>
  </si>
  <si>
    <t>ORD-15740</t>
  </si>
  <si>
    <t>ORD-15741</t>
  </si>
  <si>
    <t>ORD-15742</t>
  </si>
  <si>
    <t>ORD-15743</t>
  </si>
  <si>
    <t>ORD-15744</t>
  </si>
  <si>
    <t>ORD-15745</t>
  </si>
  <si>
    <t>ORD-15746</t>
  </si>
  <si>
    <t>ORD-15747</t>
  </si>
  <si>
    <t>ORD-15748</t>
  </si>
  <si>
    <t>ORD-15749</t>
  </si>
  <si>
    <t>ORD-15750</t>
  </si>
  <si>
    <t>ORD-15751</t>
  </si>
  <si>
    <t>ORD-15752</t>
  </si>
  <si>
    <t>ORD-15753</t>
  </si>
  <si>
    <t>ORD-15754</t>
  </si>
  <si>
    <t>ORD-15755</t>
  </si>
  <si>
    <t>ORD-15756</t>
  </si>
  <si>
    <t>ORD-15757</t>
  </si>
  <si>
    <t>ORD-15758</t>
  </si>
  <si>
    <t>ORD-15759</t>
  </si>
  <si>
    <t>ORD-15760</t>
  </si>
  <si>
    <t>ORD-15761</t>
  </si>
  <si>
    <t>ORD-15762</t>
  </si>
  <si>
    <t>ORD-15763</t>
  </si>
  <si>
    <t>ORD-15764</t>
  </si>
  <si>
    <t>ORD-15765</t>
  </si>
  <si>
    <t>ORD-15766</t>
  </si>
  <si>
    <t>ORD-15767</t>
  </si>
  <si>
    <t>ORD-15768</t>
  </si>
  <si>
    <t>ORD-15769</t>
  </si>
  <si>
    <t>ORD-15770</t>
  </si>
  <si>
    <t>ORD-15771</t>
  </si>
  <si>
    <t>ORD-15772</t>
  </si>
  <si>
    <t>ORD-15773</t>
  </si>
  <si>
    <t>ORD-15774</t>
  </si>
  <si>
    <t>ORD-15775</t>
  </si>
  <si>
    <t>ORD-15776</t>
  </si>
  <si>
    <t>ORD-15777</t>
  </si>
  <si>
    <t>ORD-15778</t>
  </si>
  <si>
    <t>ORD-15779</t>
  </si>
  <si>
    <t>ORD-15780</t>
  </si>
  <si>
    <t>ORD-15781</t>
  </si>
  <si>
    <t>ORD-15782</t>
  </si>
  <si>
    <t>ORD-15783</t>
  </si>
  <si>
    <t>ORD-15784</t>
  </si>
  <si>
    <t>ORD-15785</t>
  </si>
  <si>
    <t>ORD-15786</t>
  </si>
  <si>
    <t>ORD-15787</t>
  </si>
  <si>
    <t>ORD-15788</t>
  </si>
  <si>
    <t>ORD-15789</t>
  </si>
  <si>
    <t>ORD-15790</t>
  </si>
  <si>
    <t>ORD-15791</t>
  </si>
  <si>
    <t>ORD-15792</t>
  </si>
  <si>
    <t>ORD-15793</t>
  </si>
  <si>
    <t>ORD-15794</t>
  </si>
  <si>
    <t>ORD-15795</t>
  </si>
  <si>
    <t>ORD-15796</t>
  </si>
  <si>
    <t>ORD-15797</t>
  </si>
  <si>
    <t>ORD-15798</t>
  </si>
  <si>
    <t>ORD-15799</t>
  </si>
  <si>
    <t>ORD-15800</t>
  </si>
  <si>
    <t>ORD-15801</t>
  </si>
  <si>
    <t>ORD-15802</t>
  </si>
  <si>
    <t>ORD-15803</t>
  </si>
  <si>
    <t>ORD-15804</t>
  </si>
  <si>
    <t>ORD-15805</t>
  </si>
  <si>
    <t>ORD-15806</t>
  </si>
  <si>
    <t>ORD-15807</t>
  </si>
  <si>
    <t>ORD-15808</t>
  </si>
  <si>
    <t>ORD-15809</t>
  </si>
  <si>
    <t>ORD-15810</t>
  </si>
  <si>
    <t>ORD-15811</t>
  </si>
  <si>
    <t>ORD-15812</t>
  </si>
  <si>
    <t>ORD-15813</t>
  </si>
  <si>
    <t>ORD-15814</t>
  </si>
  <si>
    <t>ORD-15815</t>
  </si>
  <si>
    <t>ORD-15816</t>
  </si>
  <si>
    <t>ORD-15817</t>
  </si>
  <si>
    <t>ORD-15818</t>
  </si>
  <si>
    <t>ORD-15819</t>
  </si>
  <si>
    <t>ORD-15820</t>
  </si>
  <si>
    <t>ORD-15821</t>
  </si>
  <si>
    <t>ORD-15822</t>
  </si>
  <si>
    <t>ORD-15823</t>
  </si>
  <si>
    <t>ORD-15824</t>
  </si>
  <si>
    <t>ORD-15825</t>
  </si>
  <si>
    <t>ORD-15826</t>
  </si>
  <si>
    <t>ORD-15827</t>
  </si>
  <si>
    <t>ORD-15828</t>
  </si>
  <si>
    <t>ORD-15829</t>
  </si>
  <si>
    <t>ORD-15830</t>
  </si>
  <si>
    <t>ORD-15831</t>
  </si>
  <si>
    <t>ORD-15832</t>
  </si>
  <si>
    <t>ORD-15833</t>
  </si>
  <si>
    <t>ORD-15834</t>
  </si>
  <si>
    <t>ORD-15835</t>
  </si>
  <si>
    <t>ORD-15836</t>
  </si>
  <si>
    <t>ORD-15837</t>
  </si>
  <si>
    <t>ORD-15838</t>
  </si>
  <si>
    <t>ORD-15839</t>
  </si>
  <si>
    <t>ORD-15840</t>
  </si>
  <si>
    <t>ORD-15841</t>
  </si>
  <si>
    <t>ORD-15842</t>
  </si>
  <si>
    <t>ORD-15843</t>
  </si>
  <si>
    <t>ORD-15844</t>
  </si>
  <si>
    <t>ORD-15845</t>
  </si>
  <si>
    <t>ORD-15846</t>
  </si>
  <si>
    <t>ORD-15847</t>
  </si>
  <si>
    <t>ORD-15848</t>
  </si>
  <si>
    <t>ORD-15849</t>
  </si>
  <si>
    <t>ORD-15850</t>
  </si>
  <si>
    <t>ORD-15851</t>
  </si>
  <si>
    <t>ORD-15852</t>
  </si>
  <si>
    <t>ORD-15853</t>
  </si>
  <si>
    <t>ORD-15854</t>
  </si>
  <si>
    <t>ORD-15855</t>
  </si>
  <si>
    <t>ORD-15856</t>
  </si>
  <si>
    <t>ORD-15857</t>
  </si>
  <si>
    <t>ORD-15858</t>
  </si>
  <si>
    <t>ORD-15859</t>
  </si>
  <si>
    <t>ORD-15860</t>
  </si>
  <si>
    <t>ORD-15861</t>
  </si>
  <si>
    <t>ORD-15862</t>
  </si>
  <si>
    <t>ORD-15863</t>
  </si>
  <si>
    <t>ORD-15864</t>
  </si>
  <si>
    <t>ORD-15865</t>
  </si>
  <si>
    <t>ORD-15866</t>
  </si>
  <si>
    <t>ORD-15867</t>
  </si>
  <si>
    <t>ORD-15868</t>
  </si>
  <si>
    <t>ORD-15869</t>
  </si>
  <si>
    <t>ORD-15870</t>
  </si>
  <si>
    <t>ORD-15871</t>
  </si>
  <si>
    <t>ORD-15872</t>
  </si>
  <si>
    <t>ORD-15873</t>
  </si>
  <si>
    <t>ORD-15874</t>
  </si>
  <si>
    <t>ORD-15875</t>
  </si>
  <si>
    <t>ORD-15876</t>
  </si>
  <si>
    <t>ORD-15877</t>
  </si>
  <si>
    <t>ORD-15878</t>
  </si>
  <si>
    <t>ORD-15879</t>
  </si>
  <si>
    <t>ORD-15880</t>
  </si>
  <si>
    <t>ORD-15881</t>
  </si>
  <si>
    <t>ORD-15882</t>
  </si>
  <si>
    <t>ORD-15883</t>
  </si>
  <si>
    <t>ORD-15884</t>
  </si>
  <si>
    <t>ORD-15885</t>
  </si>
  <si>
    <t>ORD-15886</t>
  </si>
  <si>
    <t>ORD-15887</t>
  </si>
  <si>
    <t>ORD-15888</t>
  </si>
  <si>
    <t>ORD-15889</t>
  </si>
  <si>
    <t>ORD-15890</t>
  </si>
  <si>
    <t>ORD-15891</t>
  </si>
  <si>
    <t>ORD-15892</t>
  </si>
  <si>
    <t>ORD-15893</t>
  </si>
  <si>
    <t>ORD-15894</t>
  </si>
  <si>
    <t>ORD-15895</t>
  </si>
  <si>
    <t>ORD-15896</t>
  </si>
  <si>
    <t>ORD-15897</t>
  </si>
  <si>
    <t>ORD-15898</t>
  </si>
  <si>
    <t>ORD-15899</t>
  </si>
  <si>
    <t>ORD-15900</t>
  </si>
  <si>
    <t>ORD-15901</t>
  </si>
  <si>
    <t>ORD-15902</t>
  </si>
  <si>
    <t>ORD-15903</t>
  </si>
  <si>
    <t>ORD-15904</t>
  </si>
  <si>
    <t>ORD-15905</t>
  </si>
  <si>
    <t>ORD-15906</t>
  </si>
  <si>
    <t>ORD-15907</t>
  </si>
  <si>
    <t>ORD-15908</t>
  </si>
  <si>
    <t>ORD-15909</t>
  </si>
  <si>
    <t>ORD-15910</t>
  </si>
  <si>
    <t>ORD-15911</t>
  </si>
  <si>
    <t>ORD-15912</t>
  </si>
  <si>
    <t>ORD-15913</t>
  </si>
  <si>
    <t>ORD-15914</t>
  </si>
  <si>
    <t>ORD-15915</t>
  </si>
  <si>
    <t>ORD-15916</t>
  </si>
  <si>
    <t>ORD-15917</t>
  </si>
  <si>
    <t>ORD-15918</t>
  </si>
  <si>
    <t>ORD-15919</t>
  </si>
  <si>
    <t>ORD-15920</t>
  </si>
  <si>
    <t>ORD-15921</t>
  </si>
  <si>
    <t>ORD-15922</t>
  </si>
  <si>
    <t>ORD-15923</t>
  </si>
  <si>
    <t>ORD-15924</t>
  </si>
  <si>
    <t>ORD-15925</t>
  </si>
  <si>
    <t>ORD-15926</t>
  </si>
  <si>
    <t>ORD-15927</t>
  </si>
  <si>
    <t>ORD-15928</t>
  </si>
  <si>
    <t>ORD-15929</t>
  </si>
  <si>
    <t>ORD-15930</t>
  </si>
  <si>
    <t>ORD-15931</t>
  </si>
  <si>
    <t>ORD-15932</t>
  </si>
  <si>
    <t>ORD-15933</t>
  </si>
  <si>
    <t>ORD-15934</t>
  </si>
  <si>
    <t>ORD-15935</t>
  </si>
  <si>
    <t>ORD-15936</t>
  </si>
  <si>
    <t>ORD-15937</t>
  </si>
  <si>
    <t>ORD-15938</t>
  </si>
  <si>
    <t>ORD-15939</t>
  </si>
  <si>
    <t>ORD-15940</t>
  </si>
  <si>
    <t>ORD-15941</t>
  </si>
  <si>
    <t>ORD-15942</t>
  </si>
  <si>
    <t>ORD-15943</t>
  </si>
  <si>
    <t>ORD-15944</t>
  </si>
  <si>
    <t>ORD-15945</t>
  </si>
  <si>
    <t>ORD-15946</t>
  </si>
  <si>
    <t>ORD-15947</t>
  </si>
  <si>
    <t>ORD-15948</t>
  </si>
  <si>
    <t>ORD-15949</t>
  </si>
  <si>
    <t>ORD-15950</t>
  </si>
  <si>
    <t>ORD-15951</t>
  </si>
  <si>
    <t>ORD-15952</t>
  </si>
  <si>
    <t>ORD-15953</t>
  </si>
  <si>
    <t>ORD-15954</t>
  </si>
  <si>
    <t>ORD-15955</t>
  </si>
  <si>
    <t>ORD-15956</t>
  </si>
  <si>
    <t>ORD-15957</t>
  </si>
  <si>
    <t>ORD-15958</t>
  </si>
  <si>
    <t>ORD-15959</t>
  </si>
  <si>
    <t>ORD-15960</t>
  </si>
  <si>
    <t>ORD-15961</t>
  </si>
  <si>
    <t>ORD-15962</t>
  </si>
  <si>
    <t>ORD-15963</t>
  </si>
  <si>
    <t>ORD-15964</t>
  </si>
  <si>
    <t>ORD-15965</t>
  </si>
  <si>
    <t>ORD-15966</t>
  </si>
  <si>
    <t>ORD-15967</t>
  </si>
  <si>
    <t>ORD-15968</t>
  </si>
  <si>
    <t>ORD-15969</t>
  </si>
  <si>
    <t>ORD-15970</t>
  </si>
  <si>
    <t>ORD-15971</t>
  </si>
  <si>
    <t>ORD-15972</t>
  </si>
  <si>
    <t>ORD-15973</t>
  </si>
  <si>
    <t>ORD-15974</t>
  </si>
  <si>
    <t>ORD-15975</t>
  </si>
  <si>
    <t>ORD-15976</t>
  </si>
  <si>
    <t>ORD-15977</t>
  </si>
  <si>
    <t>ORD-15978</t>
  </si>
  <si>
    <t>ORD-15979</t>
  </si>
  <si>
    <t>ORD-15980</t>
  </si>
  <si>
    <t>ORD-15981</t>
  </si>
  <si>
    <t>ORD-15982</t>
  </si>
  <si>
    <t>ORD-15983</t>
  </si>
  <si>
    <t>ORD-15984</t>
  </si>
  <si>
    <t>ORD-15985</t>
  </si>
  <si>
    <t>ORD-15986</t>
  </si>
  <si>
    <t>ORD-15987</t>
  </si>
  <si>
    <t>ORD-15988</t>
  </si>
  <si>
    <t>ORD-15989</t>
  </si>
  <si>
    <t>ORD-15990</t>
  </si>
  <si>
    <t>ORD-15991</t>
  </si>
  <si>
    <t>ORD-15992</t>
  </si>
  <si>
    <t>ORD-15993</t>
  </si>
  <si>
    <t>ORD-15994</t>
  </si>
  <si>
    <t>ORD-15995</t>
  </si>
  <si>
    <t>ORD-15996</t>
  </si>
  <si>
    <t>ORD-15997</t>
  </si>
  <si>
    <t>ORD-15998</t>
  </si>
  <si>
    <t>ORD-15999</t>
  </si>
  <si>
    <t>ORD-16000</t>
  </si>
  <si>
    <t>ORD-16001</t>
  </si>
  <si>
    <t>ORD-16002</t>
  </si>
  <si>
    <t>ORD-16003</t>
  </si>
  <si>
    <t>ORD-16004</t>
  </si>
  <si>
    <t>ORD-16005</t>
  </si>
  <si>
    <t>ORD-16006</t>
  </si>
  <si>
    <t>ORD-16007</t>
  </si>
  <si>
    <t>ORD-16008</t>
  </si>
  <si>
    <t>ORD-16009</t>
  </si>
  <si>
    <t>ORD-16010</t>
  </si>
  <si>
    <t>ORD-16011</t>
  </si>
  <si>
    <t>ORD-16012</t>
  </si>
  <si>
    <t>ORD-16013</t>
  </si>
  <si>
    <t>ORD-16014</t>
  </si>
  <si>
    <t>ORD-16015</t>
  </si>
  <si>
    <t>ORD-16016</t>
  </si>
  <si>
    <t>ORD-16017</t>
  </si>
  <si>
    <t>ORD-16018</t>
  </si>
  <si>
    <t>ORD-16019</t>
  </si>
  <si>
    <t>ORD-16020</t>
  </si>
  <si>
    <t>ORD-16021</t>
  </si>
  <si>
    <t>ORD-16022</t>
  </si>
  <si>
    <t>ORD-16023</t>
  </si>
  <si>
    <t>ORD-16024</t>
  </si>
  <si>
    <t>ORD-16025</t>
  </si>
  <si>
    <t>ORD-16026</t>
  </si>
  <si>
    <t>ORD-16027</t>
  </si>
  <si>
    <t>ORD-16028</t>
  </si>
  <si>
    <t>ORD-16029</t>
  </si>
  <si>
    <t>ORD-16030</t>
  </si>
  <si>
    <t>ORD-16031</t>
  </si>
  <si>
    <t>ORD-16032</t>
  </si>
  <si>
    <t>ORD-16033</t>
  </si>
  <si>
    <t>ORD-16034</t>
  </si>
  <si>
    <t>ORD-16035</t>
  </si>
  <si>
    <t>ORD-16036</t>
  </si>
  <si>
    <t>ORD-16037</t>
  </si>
  <si>
    <t>ORD-16038</t>
  </si>
  <si>
    <t>ORD-16039</t>
  </si>
  <si>
    <t>ORD-16040</t>
  </si>
  <si>
    <t>ORD-16041</t>
  </si>
  <si>
    <t>ORD-16042</t>
  </si>
  <si>
    <t>ORD-16043</t>
  </si>
  <si>
    <t>ORD-16044</t>
  </si>
  <si>
    <t>ORD-16045</t>
  </si>
  <si>
    <t>ORD-16046</t>
  </si>
  <si>
    <t>ORD-16047</t>
  </si>
  <si>
    <t>ORD-16048</t>
  </si>
  <si>
    <t>ORD-16049</t>
  </si>
  <si>
    <t>ORD-16050</t>
  </si>
  <si>
    <t>ORD-16051</t>
  </si>
  <si>
    <t>ORD-16052</t>
  </si>
  <si>
    <t>ORD-16053</t>
  </si>
  <si>
    <t>ORD-16054</t>
  </si>
  <si>
    <t>ORD-16055</t>
  </si>
  <si>
    <t>ORD-16056</t>
  </si>
  <si>
    <t>ORD-16057</t>
  </si>
  <si>
    <t>ORD-16058</t>
  </si>
  <si>
    <t>ORD-16059</t>
  </si>
  <si>
    <t>ORD-16060</t>
  </si>
  <si>
    <t>ORD-16061</t>
  </si>
  <si>
    <t>ORD-16062</t>
  </si>
  <si>
    <t>ORD-16063</t>
  </si>
  <si>
    <t>ORD-16064</t>
  </si>
  <si>
    <t>ORD-16065</t>
  </si>
  <si>
    <t>ORD-16066</t>
  </si>
  <si>
    <t>ORD-16067</t>
  </si>
  <si>
    <t>ORD-16068</t>
  </si>
  <si>
    <t>ORD-16069</t>
  </si>
  <si>
    <t>ORD-16070</t>
  </si>
  <si>
    <t>ORD-16071</t>
  </si>
  <si>
    <t>ORD-16072</t>
  </si>
  <si>
    <t>ORD-16073</t>
  </si>
  <si>
    <t>ORD-16074</t>
  </si>
  <si>
    <t>ORD-16075</t>
  </si>
  <si>
    <t>ORD-16076</t>
  </si>
  <si>
    <t>ORD-16077</t>
  </si>
  <si>
    <t>ORD-16078</t>
  </si>
  <si>
    <t>ORD-16079</t>
  </si>
  <si>
    <t>ORD-16080</t>
  </si>
  <si>
    <t>ORD-16081</t>
  </si>
  <si>
    <t>ORD-16082</t>
  </si>
  <si>
    <t>ORD-16083</t>
  </si>
  <si>
    <t>ORD-16084</t>
  </si>
  <si>
    <t>ORD-16085</t>
  </si>
  <si>
    <t>ORD-16086</t>
  </si>
  <si>
    <t>ORD-16087</t>
  </si>
  <si>
    <t>ORD-16088</t>
  </si>
  <si>
    <t>ORD-16089</t>
  </si>
  <si>
    <t>ORD-16090</t>
  </si>
  <si>
    <t>ORD-16091</t>
  </si>
  <si>
    <t>ORD-16092</t>
  </si>
  <si>
    <t>ORD-16093</t>
  </si>
  <si>
    <t>ORD-16094</t>
  </si>
  <si>
    <t>ORD-16095</t>
  </si>
  <si>
    <t>ORD-16096</t>
  </si>
  <si>
    <t>ORD-16097</t>
  </si>
  <si>
    <t>ORD-16098</t>
  </si>
  <si>
    <t>ORD-16099</t>
  </si>
  <si>
    <t>ORD-16100</t>
  </si>
  <si>
    <t>ORD-16101</t>
  </si>
  <si>
    <t>ORD-16102</t>
  </si>
  <si>
    <t>ORD-16103</t>
  </si>
  <si>
    <t>ORD-16104</t>
  </si>
  <si>
    <t>ORD-16105</t>
  </si>
  <si>
    <t>ORD-16106</t>
  </si>
  <si>
    <t>ORD-16107</t>
  </si>
  <si>
    <t>ORD-16108</t>
  </si>
  <si>
    <t>ORD-16109</t>
  </si>
  <si>
    <t>ORD-16110</t>
  </si>
  <si>
    <t>ORD-16111</t>
  </si>
  <si>
    <t>ORD-16112</t>
  </si>
  <si>
    <t>ORD-16113</t>
  </si>
  <si>
    <t>ORD-16114</t>
  </si>
  <si>
    <t>ORD-16115</t>
  </si>
  <si>
    <t>ORD-16116</t>
  </si>
  <si>
    <t>ORD-16117</t>
  </si>
  <si>
    <t>ORD-16118</t>
  </si>
  <si>
    <t>ORD-16119</t>
  </si>
  <si>
    <t>ORD-16120</t>
  </si>
  <si>
    <t>ORD-16121</t>
  </si>
  <si>
    <t>ORD-16122</t>
  </si>
  <si>
    <t>ORD-16123</t>
  </si>
  <si>
    <t>ORD-16124</t>
  </si>
  <si>
    <t>ORD-16125</t>
  </si>
  <si>
    <t>ORD-16126</t>
  </si>
  <si>
    <t>ORD-16127</t>
  </si>
  <si>
    <t>ORD-16128</t>
  </si>
  <si>
    <t>ORD-16129</t>
  </si>
  <si>
    <t>ORD-16130</t>
  </si>
  <si>
    <t>ORD-16131</t>
  </si>
  <si>
    <t>ORD-16132</t>
  </si>
  <si>
    <t>ORD-16133</t>
  </si>
  <si>
    <t>ORD-16134</t>
  </si>
  <si>
    <t>ORD-16135</t>
  </si>
  <si>
    <t>ORD-16136</t>
  </si>
  <si>
    <t>ORD-16137</t>
  </si>
  <si>
    <t>ORD-16138</t>
  </si>
  <si>
    <t>ORD-16139</t>
  </si>
  <si>
    <t>ORD-16140</t>
  </si>
  <si>
    <t>ORD-16141</t>
  </si>
  <si>
    <t>ORD-16142</t>
  </si>
  <si>
    <t>ORD-16143</t>
  </si>
  <si>
    <t>ORD-16144</t>
  </si>
  <si>
    <t>ORD-16145</t>
  </si>
  <si>
    <t>ORD-16146</t>
  </si>
  <si>
    <t>ORD-16147</t>
  </si>
  <si>
    <t>ORD-16148</t>
  </si>
  <si>
    <t>ORD-16149</t>
  </si>
  <si>
    <t>ORD-16150</t>
  </si>
  <si>
    <t>ORD-16151</t>
  </si>
  <si>
    <t>ORD-16152</t>
  </si>
  <si>
    <t>ORD-16153</t>
  </si>
  <si>
    <t>ORD-16154</t>
  </si>
  <si>
    <t>ORD-16155</t>
  </si>
  <si>
    <t>ORD-16156</t>
  </si>
  <si>
    <t>ORD-16157</t>
  </si>
  <si>
    <t>ORD-16158</t>
  </si>
  <si>
    <t>ORD-16159</t>
  </si>
  <si>
    <t>ORD-16160</t>
  </si>
  <si>
    <t>ORD-16161</t>
  </si>
  <si>
    <t>ORD-16162</t>
  </si>
  <si>
    <t>ORD-16163</t>
  </si>
  <si>
    <t>ORD-16164</t>
  </si>
  <si>
    <t>ORD-16165</t>
  </si>
  <si>
    <t>ORD-16166</t>
  </si>
  <si>
    <t>ORD-16167</t>
  </si>
  <si>
    <t>ORD-16168</t>
  </si>
  <si>
    <t>ORD-16169</t>
  </si>
  <si>
    <t>ORD-16170</t>
  </si>
  <si>
    <t>ORD-16171</t>
  </si>
  <si>
    <t>ORD-16172</t>
  </si>
  <si>
    <t>ORD-16173</t>
  </si>
  <si>
    <t>ORD-16174</t>
  </si>
  <si>
    <t>ORD-16175</t>
  </si>
  <si>
    <t>ORD-16176</t>
  </si>
  <si>
    <t>ORD-16177</t>
  </si>
  <si>
    <t>ORD-16178</t>
  </si>
  <si>
    <t>ORD-16179</t>
  </si>
  <si>
    <t>ORD-16180</t>
  </si>
  <si>
    <t>ORD-16181</t>
  </si>
  <si>
    <t>ORD-16182</t>
  </si>
  <si>
    <t>ORD-16183</t>
  </si>
  <si>
    <t>ORD-16184</t>
  </si>
  <si>
    <t>ORD-16185</t>
  </si>
  <si>
    <t>ORD-16186</t>
  </si>
  <si>
    <t>ORD-16187</t>
  </si>
  <si>
    <t>ORD-16188</t>
  </si>
  <si>
    <t>ORD-16189</t>
  </si>
  <si>
    <t>ORD-16190</t>
  </si>
  <si>
    <t>ORD-16191</t>
  </si>
  <si>
    <t>ORD-16192</t>
  </si>
  <si>
    <t>ORD-16193</t>
  </si>
  <si>
    <t>ORD-16194</t>
  </si>
  <si>
    <t>ORD-16195</t>
  </si>
  <si>
    <t>ORD-16196</t>
  </si>
  <si>
    <t>ORD-16197</t>
  </si>
  <si>
    <t>ORD-16198</t>
  </si>
  <si>
    <t>ORD-16199</t>
  </si>
  <si>
    <t>ORD-16200</t>
  </si>
  <si>
    <t>ORD-16201</t>
  </si>
  <si>
    <t>ORD-16202</t>
  </si>
  <si>
    <t>ORD-16203</t>
  </si>
  <si>
    <t>ORD-16204</t>
  </si>
  <si>
    <t>ORD-16205</t>
  </si>
  <si>
    <t>ORD-16206</t>
  </si>
  <si>
    <t>ORD-16207</t>
  </si>
  <si>
    <t>ORD-16208</t>
  </si>
  <si>
    <t>ORD-16209</t>
  </si>
  <si>
    <t>ORD-16210</t>
  </si>
  <si>
    <t>ORD-16211</t>
  </si>
  <si>
    <t>ORD-16212</t>
  </si>
  <si>
    <t>ORD-16213</t>
  </si>
  <si>
    <t>ORD-16214</t>
  </si>
  <si>
    <t>ORD-16215</t>
  </si>
  <si>
    <t>ORD-16216</t>
  </si>
  <si>
    <t>ORD-16217</t>
  </si>
  <si>
    <t>ORD-16218</t>
  </si>
  <si>
    <t>ORD-16219</t>
  </si>
  <si>
    <t>ORD-16220</t>
  </si>
  <si>
    <t>ORD-16221</t>
  </si>
  <si>
    <t>ORD-16222</t>
  </si>
  <si>
    <t>ORD-16223</t>
  </si>
  <si>
    <t>ORD-16224</t>
  </si>
  <si>
    <t>ORD-16225</t>
  </si>
  <si>
    <t>ORD-16226</t>
  </si>
  <si>
    <t>ORD-16227</t>
  </si>
  <si>
    <t>ORD-16228</t>
  </si>
  <si>
    <t>ORD-16229</t>
  </si>
  <si>
    <t>ORD-16230</t>
  </si>
  <si>
    <t>ORD-16231</t>
  </si>
  <si>
    <t>ORD-16232</t>
  </si>
  <si>
    <t>ORD-16233</t>
  </si>
  <si>
    <t>ORD-16234</t>
  </si>
  <si>
    <t>ORD-16235</t>
  </si>
  <si>
    <t>ORD-16236</t>
  </si>
  <si>
    <t>ORD-16237</t>
  </si>
  <si>
    <t>ORD-16238</t>
  </si>
  <si>
    <t>ORD-16239</t>
  </si>
  <si>
    <t>ORD-16240</t>
  </si>
  <si>
    <t>ORD-16241</t>
  </si>
  <si>
    <t>ORD-16242</t>
  </si>
  <si>
    <t>ORD-16243</t>
  </si>
  <si>
    <t>ORD-16244</t>
  </si>
  <si>
    <t>ORD-16245</t>
  </si>
  <si>
    <t>ORD-16246</t>
  </si>
  <si>
    <t>ORD-16247</t>
  </si>
  <si>
    <t>ORD-16248</t>
  </si>
  <si>
    <t>ORD-16249</t>
  </si>
  <si>
    <t>ORD-16250</t>
  </si>
  <si>
    <t>ORD-16251</t>
  </si>
  <si>
    <t>ORD-16252</t>
  </si>
  <si>
    <t>ORD-16253</t>
  </si>
  <si>
    <t>ORD-16254</t>
  </si>
  <si>
    <t>ORD-16255</t>
  </si>
  <si>
    <t>ORD-16256</t>
  </si>
  <si>
    <t>ORD-16257</t>
  </si>
  <si>
    <t>ORD-16258</t>
  </si>
  <si>
    <t>ORD-16259</t>
  </si>
  <si>
    <t>ORD-16260</t>
  </si>
  <si>
    <t>ORD-16261</t>
  </si>
  <si>
    <t>ORD-16262</t>
  </si>
  <si>
    <t>ORD-16263</t>
  </si>
  <si>
    <t>ORD-16264</t>
  </si>
  <si>
    <t>ORD-16265</t>
  </si>
  <si>
    <t>ORD-16266</t>
  </si>
  <si>
    <t>ORD-16267</t>
  </si>
  <si>
    <t>ORD-16268</t>
  </si>
  <si>
    <t>ORD-16269</t>
  </si>
  <si>
    <t>ORD-16270</t>
  </si>
  <si>
    <t>ORD-16271</t>
  </si>
  <si>
    <t>ORD-16272</t>
  </si>
  <si>
    <t>ORD-16273</t>
  </si>
  <si>
    <t>ORD-16274</t>
  </si>
  <si>
    <t>ORD-16275</t>
  </si>
  <si>
    <t>ORD-16276</t>
  </si>
  <si>
    <t>ORD-16277</t>
  </si>
  <si>
    <t>ORD-16278</t>
  </si>
  <si>
    <t>ORD-16279</t>
  </si>
  <si>
    <t>ORD-16280</t>
  </si>
  <si>
    <t>ORD-16281</t>
  </si>
  <si>
    <t>ORD-16282</t>
  </si>
  <si>
    <t>ORD-16283</t>
  </si>
  <si>
    <t>ORD-16284</t>
  </si>
  <si>
    <t>ORD-16285</t>
  </si>
  <si>
    <t>ORD-16286</t>
  </si>
  <si>
    <t>ORD-16287</t>
  </si>
  <si>
    <t>ORD-16288</t>
  </si>
  <si>
    <t>ORD-16289</t>
  </si>
  <si>
    <t>ORD-16290</t>
  </si>
  <si>
    <t>ORD-16291</t>
  </si>
  <si>
    <t>ORD-16292</t>
  </si>
  <si>
    <t>ORD-16293</t>
  </si>
  <si>
    <t>ORD-16294</t>
  </si>
  <si>
    <t>ORD-16295</t>
  </si>
  <si>
    <t>ORD-16296</t>
  </si>
  <si>
    <t>ORD-16297</t>
  </si>
  <si>
    <t>ORD-16298</t>
  </si>
  <si>
    <t>ORD-16299</t>
  </si>
  <si>
    <t>ORD-16300</t>
  </si>
  <si>
    <t>ORD-16301</t>
  </si>
  <si>
    <t>ORD-16302</t>
  </si>
  <si>
    <t>ORD-16303</t>
  </si>
  <si>
    <t>ORD-16304</t>
  </si>
  <si>
    <t>ORD-16305</t>
  </si>
  <si>
    <t>ORD-16306</t>
  </si>
  <si>
    <t>ORD-16307</t>
  </si>
  <si>
    <t>ORD-16308</t>
  </si>
  <si>
    <t>ORD-16309</t>
  </si>
  <si>
    <t>ORD-16310</t>
  </si>
  <si>
    <t>ORD-16311</t>
  </si>
  <si>
    <t>ORD-16312</t>
  </si>
  <si>
    <t>ORD-16313</t>
  </si>
  <si>
    <t>ORD-16314</t>
  </si>
  <si>
    <t>ORD-16315</t>
  </si>
  <si>
    <t>ORD-16316</t>
  </si>
  <si>
    <t>ORD-16317</t>
  </si>
  <si>
    <t>ORD-16318</t>
  </si>
  <si>
    <t>ORD-16319</t>
  </si>
  <si>
    <t>ORD-16320</t>
  </si>
  <si>
    <t>ORD-16321</t>
  </si>
  <si>
    <t>ORD-16322</t>
  </si>
  <si>
    <t>ORD-16323</t>
  </si>
  <si>
    <t>ORD-16324</t>
  </si>
  <si>
    <t>ORD-16325</t>
  </si>
  <si>
    <t>ORD-16326</t>
  </si>
  <si>
    <t>ORD-16327</t>
  </si>
  <si>
    <t>ORD-16328</t>
  </si>
  <si>
    <t>ORD-16329</t>
  </si>
  <si>
    <t>ORD-16330</t>
  </si>
  <si>
    <t>ORD-16331</t>
  </si>
  <si>
    <t>ORD-16332</t>
  </si>
  <si>
    <t>ORD-16333</t>
  </si>
  <si>
    <t>ORD-16334</t>
  </si>
  <si>
    <t>ORD-16335</t>
  </si>
  <si>
    <t>ORD-16336</t>
  </si>
  <si>
    <t>ORD-16337</t>
  </si>
  <si>
    <t>ORD-16338</t>
  </si>
  <si>
    <t>ORD-16339</t>
  </si>
  <si>
    <t>ORD-16340</t>
  </si>
  <si>
    <t>ORD-16341</t>
  </si>
  <si>
    <t>ORD-16342</t>
  </si>
  <si>
    <t>ORD-16343</t>
  </si>
  <si>
    <t>ORD-16344</t>
  </si>
  <si>
    <t>ORD-16345</t>
  </si>
  <si>
    <t>ORD-16346</t>
  </si>
  <si>
    <t>ORD-16347</t>
  </si>
  <si>
    <t>ORD-16348</t>
  </si>
  <si>
    <t>ORD-16349</t>
  </si>
  <si>
    <t>ORD-16350</t>
  </si>
  <si>
    <t>ORD-16351</t>
  </si>
  <si>
    <t>ORD-16352</t>
  </si>
  <si>
    <t>ORD-16353</t>
  </si>
  <si>
    <t>ORD-16354</t>
  </si>
  <si>
    <t>ORD-16355</t>
  </si>
  <si>
    <t>ORD-16356</t>
  </si>
  <si>
    <t>ORD-16357</t>
  </si>
  <si>
    <t>ORD-16358</t>
  </si>
  <si>
    <t>ORD-16359</t>
  </si>
  <si>
    <t>ORD-16360</t>
  </si>
  <si>
    <t>ORD-16361</t>
  </si>
  <si>
    <t>ORD-16362</t>
  </si>
  <si>
    <t>ORD-16363</t>
  </si>
  <si>
    <t>ORD-16364</t>
  </si>
  <si>
    <t>ORD-16365</t>
  </si>
  <si>
    <t>ORD-16366</t>
  </si>
  <si>
    <t>ORD-16367</t>
  </si>
  <si>
    <t>ORD-16368</t>
  </si>
  <si>
    <t>ORD-16369</t>
  </si>
  <si>
    <t>ORD-16370</t>
  </si>
  <si>
    <t>ORD-16371</t>
  </si>
  <si>
    <t>ORD-16372</t>
  </si>
  <si>
    <t>ORD-16373</t>
  </si>
  <si>
    <t>ORD-16374</t>
  </si>
  <si>
    <t>ORD-16375</t>
  </si>
  <si>
    <t>ORD-16376</t>
  </si>
  <si>
    <t>ORD-16377</t>
  </si>
  <si>
    <t>ORD-16378</t>
  </si>
  <si>
    <t>ORD-16379</t>
  </si>
  <si>
    <t>ORD-16380</t>
  </si>
  <si>
    <t>ORD-16381</t>
  </si>
  <si>
    <t>ORD-16382</t>
  </si>
  <si>
    <t>ORD-16383</t>
  </si>
  <si>
    <t>ORD-16384</t>
  </si>
  <si>
    <t>ORD-16385</t>
  </si>
  <si>
    <t>ORD-16386</t>
  </si>
  <si>
    <t>ORD-16387</t>
  </si>
  <si>
    <t>ORD-16388</t>
  </si>
  <si>
    <t>ORD-16389</t>
  </si>
  <si>
    <t>ORD-16390</t>
  </si>
  <si>
    <t>ORD-16391</t>
  </si>
  <si>
    <t>ORD-16392</t>
  </si>
  <si>
    <t>ORD-16393</t>
  </si>
  <si>
    <t>ORD-16394</t>
  </si>
  <si>
    <t>ORD-16395</t>
  </si>
  <si>
    <t>ORD-16396</t>
  </si>
  <si>
    <t>ORD-16397</t>
  </si>
  <si>
    <t>ORD-16398</t>
  </si>
  <si>
    <t>ORD-16399</t>
  </si>
  <si>
    <t>ORD-16400</t>
  </si>
  <si>
    <t>ORD-16401</t>
  </si>
  <si>
    <t>ORD-16402</t>
  </si>
  <si>
    <t>ORD-16403</t>
  </si>
  <si>
    <t>ORD-16404</t>
  </si>
  <si>
    <t>ORD-16405</t>
  </si>
  <si>
    <t>ORD-16406</t>
  </si>
  <si>
    <t>ORD-16407</t>
  </si>
  <si>
    <t>ORD-16408</t>
  </si>
  <si>
    <t>ORD-16409</t>
  </si>
  <si>
    <t>ORD-16410</t>
  </si>
  <si>
    <t>ORD-16411</t>
  </si>
  <si>
    <t>ORD-16412</t>
  </si>
  <si>
    <t>ORD-16413</t>
  </si>
  <si>
    <t>ORD-16414</t>
  </si>
  <si>
    <t>ORD-16415</t>
  </si>
  <si>
    <t>ORD-16416</t>
  </si>
  <si>
    <t>ORD-16417</t>
  </si>
  <si>
    <t>ORD-16418</t>
  </si>
  <si>
    <t>ORD-16419</t>
  </si>
  <si>
    <t>ORD-16420</t>
  </si>
  <si>
    <t>ORD-16421</t>
  </si>
  <si>
    <t>ORD-16422</t>
  </si>
  <si>
    <t>ORD-16423</t>
  </si>
  <si>
    <t>ORD-16424</t>
  </si>
  <si>
    <t>ORD-16425</t>
  </si>
  <si>
    <t>ORD-16426</t>
  </si>
  <si>
    <t>ORD-16427</t>
  </si>
  <si>
    <t>ORD-16428</t>
  </si>
  <si>
    <t>ORD-16429</t>
  </si>
  <si>
    <t>ORD-16430</t>
  </si>
  <si>
    <t>ORD-16431</t>
  </si>
  <si>
    <t>ORD-16432</t>
  </si>
  <si>
    <t>ORD-16433</t>
  </si>
  <si>
    <t>ORD-16434</t>
  </si>
  <si>
    <t>ORD-16435</t>
  </si>
  <si>
    <t>ORD-16436</t>
  </si>
  <si>
    <t>ORD-16437</t>
  </si>
  <si>
    <t>ORD-16438</t>
  </si>
  <si>
    <t>ORD-16439</t>
  </si>
  <si>
    <t>ORD-16440</t>
  </si>
  <si>
    <t>ORD-16441</t>
  </si>
  <si>
    <t>ORD-16442</t>
  </si>
  <si>
    <t>ORD-16443</t>
  </si>
  <si>
    <t>ORD-16444</t>
  </si>
  <si>
    <t>ORD-16445</t>
  </si>
  <si>
    <t>ORD-16446</t>
  </si>
  <si>
    <t>ORD-16447</t>
  </si>
  <si>
    <t>ORD-16448</t>
  </si>
  <si>
    <t>ORD-16449</t>
  </si>
  <si>
    <t>ORD-16450</t>
  </si>
  <si>
    <t>ORD-16451</t>
  </si>
  <si>
    <t>ORD-16452</t>
  </si>
  <si>
    <t>ORD-16453</t>
  </si>
  <si>
    <t>ORD-16454</t>
  </si>
  <si>
    <t>ORD-16455</t>
  </si>
  <si>
    <t>ORD-16456</t>
  </si>
  <si>
    <t>ORD-16457</t>
  </si>
  <si>
    <t>ORD-16458</t>
  </si>
  <si>
    <t>ORD-16459</t>
  </si>
  <si>
    <t>ORD-16460</t>
  </si>
  <si>
    <t>ORD-16461</t>
  </si>
  <si>
    <t>ORD-16462</t>
  </si>
  <si>
    <t>ORD-16463</t>
  </si>
  <si>
    <t>ORD-16464</t>
  </si>
  <si>
    <t>ORD-16465</t>
  </si>
  <si>
    <t>ORD-16466</t>
  </si>
  <si>
    <t>ORD-16467</t>
  </si>
  <si>
    <t>ORD-16468</t>
  </si>
  <si>
    <t>ORD-16469</t>
  </si>
  <si>
    <t>ORD-16470</t>
  </si>
  <si>
    <t>ORD-16471</t>
  </si>
  <si>
    <t>ORD-16472</t>
  </si>
  <si>
    <t>ORD-16473</t>
  </si>
  <si>
    <t>ORD-16474</t>
  </si>
  <si>
    <t>ORD-16475</t>
  </si>
  <si>
    <t>ORD-16476</t>
  </si>
  <si>
    <t>ORD-16477</t>
  </si>
  <si>
    <t>ORD-16478</t>
  </si>
  <si>
    <t>ORD-16479</t>
  </si>
  <si>
    <t>ORD-16480</t>
  </si>
  <si>
    <t>ORD-16481</t>
  </si>
  <si>
    <t>ORD-16482</t>
  </si>
  <si>
    <t>ORD-16483</t>
  </si>
  <si>
    <t>ORD-16484</t>
  </si>
  <si>
    <t>ORD-16485</t>
  </si>
  <si>
    <t>ORD-16486</t>
  </si>
  <si>
    <t>ORD-16487</t>
  </si>
  <si>
    <t>ORD-16488</t>
  </si>
  <si>
    <t>ORD-16489</t>
  </si>
  <si>
    <t>ORD-16490</t>
  </si>
  <si>
    <t>ORD-16491</t>
  </si>
  <si>
    <t>ORD-16492</t>
  </si>
  <si>
    <t>ORD-16493</t>
  </si>
  <si>
    <t>ORD-16494</t>
  </si>
  <si>
    <t>ORD-16495</t>
  </si>
  <si>
    <t>ORD-16496</t>
  </si>
  <si>
    <t>ORD-16497</t>
  </si>
  <si>
    <t>ORD-16498</t>
  </si>
  <si>
    <t>ORD-16499</t>
  </si>
  <si>
    <t>ORD-16500</t>
  </si>
  <si>
    <t>ORD-16501</t>
  </si>
  <si>
    <t>ORD-16502</t>
  </si>
  <si>
    <t>ORD-16503</t>
  </si>
  <si>
    <t>ORD-16504</t>
  </si>
  <si>
    <t>ORD-16505</t>
  </si>
  <si>
    <t>ORD-16506</t>
  </si>
  <si>
    <t>ORD-16507</t>
  </si>
  <si>
    <t>ORD-16508</t>
  </si>
  <si>
    <t>ORD-16509</t>
  </si>
  <si>
    <t>ORD-16510</t>
  </si>
  <si>
    <t>ORD-16511</t>
  </si>
  <si>
    <t>ORD-16512</t>
  </si>
  <si>
    <t>ORD-16513</t>
  </si>
  <si>
    <t>ORD-16514</t>
  </si>
  <si>
    <t>ORD-16515</t>
  </si>
  <si>
    <t>ORD-16516</t>
  </si>
  <si>
    <t>ORD-16517</t>
  </si>
  <si>
    <t>ORD-16518</t>
  </si>
  <si>
    <t>ORD-16519</t>
  </si>
  <si>
    <t>ORD-16520</t>
  </si>
  <si>
    <t>ORD-16521</t>
  </si>
  <si>
    <t>ORD-16522</t>
  </si>
  <si>
    <t>ORD-16523</t>
  </si>
  <si>
    <t>ORD-16524</t>
  </si>
  <si>
    <t>ORD-16525</t>
  </si>
  <si>
    <t>ORD-16526</t>
  </si>
  <si>
    <t>ORD-16527</t>
  </si>
  <si>
    <t>ORD-16528</t>
  </si>
  <si>
    <t>ORD-16529</t>
  </si>
  <si>
    <t>ORD-16530</t>
  </si>
  <si>
    <t>ORD-16531</t>
  </si>
  <si>
    <t>ORD-16532</t>
  </si>
  <si>
    <t>ORD-16533</t>
  </si>
  <si>
    <t>ORD-16534</t>
  </si>
  <si>
    <t>ORD-16535</t>
  </si>
  <si>
    <t>ORD-16536</t>
  </si>
  <si>
    <t>ORD-16537</t>
  </si>
  <si>
    <t>ORD-16538</t>
  </si>
  <si>
    <t>ORD-16539</t>
  </si>
  <si>
    <t>ORD-16540</t>
  </si>
  <si>
    <t>ORD-16541</t>
  </si>
  <si>
    <t>ORD-16542</t>
  </si>
  <si>
    <t>ORD-16543</t>
  </si>
  <si>
    <t>ORD-16544</t>
  </si>
  <si>
    <t>ORD-16545</t>
  </si>
  <si>
    <t>ORD-16546</t>
  </si>
  <si>
    <t>ORD-16547</t>
  </si>
  <si>
    <t>ORD-16548</t>
  </si>
  <si>
    <t>ORD-16549</t>
  </si>
  <si>
    <t>ORD-16550</t>
  </si>
  <si>
    <t>ORD-16551</t>
  </si>
  <si>
    <t>ORD-16552</t>
  </si>
  <si>
    <t>ORD-16553</t>
  </si>
  <si>
    <t>ORD-16554</t>
  </si>
  <si>
    <t>ORD-16555</t>
  </si>
  <si>
    <t>ORD-16556</t>
  </si>
  <si>
    <t>ORD-16557</t>
  </si>
  <si>
    <t>ORD-16558</t>
  </si>
  <si>
    <t>ORD-16559</t>
  </si>
  <si>
    <t>ORD-16560</t>
  </si>
  <si>
    <t>ORD-16561</t>
  </si>
  <si>
    <t>ORD-16562</t>
  </si>
  <si>
    <t>ORD-16563</t>
  </si>
  <si>
    <t>ORD-16564</t>
  </si>
  <si>
    <t>ORD-16565</t>
  </si>
  <si>
    <t>ORD-16566</t>
  </si>
  <si>
    <t>ORD-16567</t>
  </si>
  <si>
    <t>ORD-16568</t>
  </si>
  <si>
    <t>ORD-16569</t>
  </si>
  <si>
    <t>ORD-16570</t>
  </si>
  <si>
    <t>ORD-16571</t>
  </si>
  <si>
    <t>ORD-16572</t>
  </si>
  <si>
    <t>ORD-16573</t>
  </si>
  <si>
    <t>ORD-16574</t>
  </si>
  <si>
    <t>ORD-16575</t>
  </si>
  <si>
    <t>ORD-16576</t>
  </si>
  <si>
    <t>ORD-16577</t>
  </si>
  <si>
    <t>ORD-16578</t>
  </si>
  <si>
    <t>ORD-16579</t>
  </si>
  <si>
    <t>ORD-16580</t>
  </si>
  <si>
    <t>ORD-16581</t>
  </si>
  <si>
    <t>ORD-16582</t>
  </si>
  <si>
    <t>ORD-16583</t>
  </si>
  <si>
    <t>ORD-16584</t>
  </si>
  <si>
    <t>ORD-16585</t>
  </si>
  <si>
    <t>ORD-16586</t>
  </si>
  <si>
    <t>ORD-16587</t>
  </si>
  <si>
    <t>ORD-16588</t>
  </si>
  <si>
    <t>ORD-16589</t>
  </si>
  <si>
    <t>ORD-16590</t>
  </si>
  <si>
    <t>ORD-16591</t>
  </si>
  <si>
    <t>ORD-16592</t>
  </si>
  <si>
    <t>ORD-16593</t>
  </si>
  <si>
    <t>ORD-16594</t>
  </si>
  <si>
    <t>ORD-16595</t>
  </si>
  <si>
    <t>ORD-16596</t>
  </si>
  <si>
    <t>ORD-16597</t>
  </si>
  <si>
    <t>ORD-16598</t>
  </si>
  <si>
    <t>ORD-16599</t>
  </si>
  <si>
    <t>ORD-16600</t>
  </si>
  <si>
    <t>ORD-16601</t>
  </si>
  <si>
    <t>ORD-16602</t>
  </si>
  <si>
    <t>ORD-16603</t>
  </si>
  <si>
    <t>ORD-16604</t>
  </si>
  <si>
    <t>ORD-16605</t>
  </si>
  <si>
    <t>ORD-16606</t>
  </si>
  <si>
    <t>ORD-16607</t>
  </si>
  <si>
    <t>ORD-16608</t>
  </si>
  <si>
    <t>ORD-16609</t>
  </si>
  <si>
    <t>ORD-16610</t>
  </si>
  <si>
    <t>ORD-16611</t>
  </si>
  <si>
    <t>ORD-16612</t>
  </si>
  <si>
    <t>ORD-16613</t>
  </si>
  <si>
    <t>ORD-16614</t>
  </si>
  <si>
    <t>ORD-16615</t>
  </si>
  <si>
    <t>ORD-16616</t>
  </si>
  <si>
    <t>ORD-16617</t>
  </si>
  <si>
    <t>ORD-16618</t>
  </si>
  <si>
    <t>ORD-16619</t>
  </si>
  <si>
    <t>ORD-16620</t>
  </si>
  <si>
    <t>ORD-16621</t>
  </si>
  <si>
    <t>ORD-16622</t>
  </si>
  <si>
    <t>ORD-16623</t>
  </si>
  <si>
    <t>ORD-16624</t>
  </si>
  <si>
    <t>ORD-16625</t>
  </si>
  <si>
    <t>ORD-16626</t>
  </si>
  <si>
    <t>ORD-16627</t>
  </si>
  <si>
    <t>ORD-16628</t>
  </si>
  <si>
    <t>ORD-16629</t>
  </si>
  <si>
    <t>ORD-16630</t>
  </si>
  <si>
    <t>ORD-16631</t>
  </si>
  <si>
    <t>ORD-16632</t>
  </si>
  <si>
    <t>ORD-16633</t>
  </si>
  <si>
    <t>ORD-16634</t>
  </si>
  <si>
    <t>ORD-16635</t>
  </si>
  <si>
    <t>ORD-16636</t>
  </si>
  <si>
    <t>ORD-16637</t>
  </si>
  <si>
    <t>ORD-16638</t>
  </si>
  <si>
    <t>ORD-16639</t>
  </si>
  <si>
    <t>ORD-16640</t>
  </si>
  <si>
    <t>ORD-16641</t>
  </si>
  <si>
    <t>ORD-16642</t>
  </si>
  <si>
    <t>ORD-16643</t>
  </si>
  <si>
    <t>ORD-16644</t>
  </si>
  <si>
    <t>ORD-16645</t>
  </si>
  <si>
    <t>ORD-16646</t>
  </si>
  <si>
    <t>ORD-16647</t>
  </si>
  <si>
    <t>ORD-16648</t>
  </si>
  <si>
    <t>ORD-16649</t>
  </si>
  <si>
    <t>ORD-16650</t>
  </si>
  <si>
    <t>ORD-16651</t>
  </si>
  <si>
    <t>ORD-16652</t>
  </si>
  <si>
    <t>ORD-16653</t>
  </si>
  <si>
    <t>ORD-16654</t>
  </si>
  <si>
    <t>ORD-16655</t>
  </si>
  <si>
    <t>ORD-16656</t>
  </si>
  <si>
    <t>ORD-16657</t>
  </si>
  <si>
    <t>ORD-16658</t>
  </si>
  <si>
    <t>ORD-16659</t>
  </si>
  <si>
    <t>ORD-16660</t>
  </si>
  <si>
    <t>ORD-16661</t>
  </si>
  <si>
    <t>ORD-16662</t>
  </si>
  <si>
    <t>ORD-16663</t>
  </si>
  <si>
    <t>ORD-16664</t>
  </si>
  <si>
    <t>ORD-16665</t>
  </si>
  <si>
    <t>ORD-16666</t>
  </si>
  <si>
    <t>ORD-16667</t>
  </si>
  <si>
    <t>ORD-16668</t>
  </si>
  <si>
    <t>ORD-16669</t>
  </si>
  <si>
    <t>ORD-16670</t>
  </si>
  <si>
    <t>ORD-16671</t>
  </si>
  <si>
    <t>ORD-16672</t>
  </si>
  <si>
    <t>ORD-16673</t>
  </si>
  <si>
    <t>ORD-16674</t>
  </si>
  <si>
    <t>ORD-16675</t>
  </si>
  <si>
    <t>ORD-16676</t>
  </si>
  <si>
    <t>ORD-16677</t>
  </si>
  <si>
    <t>ORD-16678</t>
  </si>
  <si>
    <t>ORD-16679</t>
  </si>
  <si>
    <t>ORD-16680</t>
  </si>
  <si>
    <t>ORD-16681</t>
  </si>
  <si>
    <t>ORD-16682</t>
  </si>
  <si>
    <t>ORD-16683</t>
  </si>
  <si>
    <t>ORD-16684</t>
  </si>
  <si>
    <t>ORD-16685</t>
  </si>
  <si>
    <t>ORD-16686</t>
  </si>
  <si>
    <t>ORD-16687</t>
  </si>
  <si>
    <t>ORD-16688</t>
  </si>
  <si>
    <t>ORD-16689</t>
  </si>
  <si>
    <t>ORD-16690</t>
  </si>
  <si>
    <t>ORD-16691</t>
  </si>
  <si>
    <t>ORD-16692</t>
  </si>
  <si>
    <t>ORD-16693</t>
  </si>
  <si>
    <t>ORD-16694</t>
  </si>
  <si>
    <t>ORD-16695</t>
  </si>
  <si>
    <t>ORD-16696</t>
  </si>
  <si>
    <t>ORD-16697</t>
  </si>
  <si>
    <t>ORD-16698</t>
  </si>
  <si>
    <t>ORD-16699</t>
  </si>
  <si>
    <t>ORD-16700</t>
  </si>
  <si>
    <t>ORD-16701</t>
  </si>
  <si>
    <t>ORD-16702</t>
  </si>
  <si>
    <t>ORD-16703</t>
  </si>
  <si>
    <t>ORD-16704</t>
  </si>
  <si>
    <t>ORD-16705</t>
  </si>
  <si>
    <t>ORD-16706</t>
  </si>
  <si>
    <t>ORD-16707</t>
  </si>
  <si>
    <t>ORD-16708</t>
  </si>
  <si>
    <t>ORD-16709</t>
  </si>
  <si>
    <t>ORD-16710</t>
  </si>
  <si>
    <t>ORD-16711</t>
  </si>
  <si>
    <t>ORD-16712</t>
  </si>
  <si>
    <t>ORD-16713</t>
  </si>
  <si>
    <t>ORD-16714</t>
  </si>
  <si>
    <t>ORD-16715</t>
  </si>
  <si>
    <t>ORD-16716</t>
  </si>
  <si>
    <t>ORD-16717</t>
  </si>
  <si>
    <t>ORD-16718</t>
  </si>
  <si>
    <t>ORD-16719</t>
  </si>
  <si>
    <t>ORD-16720</t>
  </si>
  <si>
    <t>ORD-16721</t>
  </si>
  <si>
    <t>ORD-16722</t>
  </si>
  <si>
    <t>ORD-16723</t>
  </si>
  <si>
    <t>ORD-16724</t>
  </si>
  <si>
    <t>ORD-16725</t>
  </si>
  <si>
    <t>ORD-16726</t>
  </si>
  <si>
    <t>ORD-16727</t>
  </si>
  <si>
    <t>ORD-16728</t>
  </si>
  <si>
    <t>ORD-16729</t>
  </si>
  <si>
    <t>ORD-16730</t>
  </si>
  <si>
    <t>ORD-16731</t>
  </si>
  <si>
    <t>ORD-16732</t>
  </si>
  <si>
    <t>ORD-16733</t>
  </si>
  <si>
    <t>ORD-16734</t>
  </si>
  <si>
    <t>ORD-16735</t>
  </si>
  <si>
    <t>ORD-16736</t>
  </si>
  <si>
    <t>ORD-16737</t>
  </si>
  <si>
    <t>ORD-16738</t>
  </si>
  <si>
    <t>ORD-16739</t>
  </si>
  <si>
    <t>ORD-16740</t>
  </si>
  <si>
    <t>ORD-16741</t>
  </si>
  <si>
    <t>ORD-16742</t>
  </si>
  <si>
    <t>ORD-16743</t>
  </si>
  <si>
    <t>ORD-16744</t>
  </si>
  <si>
    <t>ORD-16745</t>
  </si>
  <si>
    <t>ORD-16746</t>
  </si>
  <si>
    <t>ORD-16747</t>
  </si>
  <si>
    <t>ORD-16748</t>
  </si>
  <si>
    <t>ORD-16749</t>
  </si>
  <si>
    <t>ORD-16750</t>
  </si>
  <si>
    <t>ORD-16751</t>
  </si>
  <si>
    <t>ORD-16752</t>
  </si>
  <si>
    <t>ORD-16753</t>
  </si>
  <si>
    <t>ORD-16754</t>
  </si>
  <si>
    <t>ORD-16755</t>
  </si>
  <si>
    <t>ORD-16756</t>
  </si>
  <si>
    <t>ORD-16757</t>
  </si>
  <si>
    <t>ORD-16758</t>
  </si>
  <si>
    <t>ORD-16759</t>
  </si>
  <si>
    <t>ORD-16760</t>
  </si>
  <si>
    <t>ORD-16761</t>
  </si>
  <si>
    <t>ORD-16762</t>
  </si>
  <si>
    <t>ORD-16763</t>
  </si>
  <si>
    <t>ORD-16764</t>
  </si>
  <si>
    <t>ORD-16765</t>
  </si>
  <si>
    <t>ORD-16766</t>
  </si>
  <si>
    <t>ORD-16767</t>
  </si>
  <si>
    <t>ORD-16768</t>
  </si>
  <si>
    <t>ORD-16769</t>
  </si>
  <si>
    <t>ORD-16770</t>
  </si>
  <si>
    <t>ORD-16771</t>
  </si>
  <si>
    <t>ORD-16772</t>
  </si>
  <si>
    <t>ORD-16773</t>
  </si>
  <si>
    <t>ORD-16774</t>
  </si>
  <si>
    <t>ORD-16775</t>
  </si>
  <si>
    <t>ORD-16776</t>
  </si>
  <si>
    <t>ORD-16777</t>
  </si>
  <si>
    <t>ORD-16778</t>
  </si>
  <si>
    <t>ORD-16779</t>
  </si>
  <si>
    <t>ORD-16780</t>
  </si>
  <si>
    <t>ORD-16781</t>
  </si>
  <si>
    <t>ORD-16782</t>
  </si>
  <si>
    <t>ORD-16783</t>
  </si>
  <si>
    <t>ORD-16784</t>
  </si>
  <si>
    <t>ORD-16785</t>
  </si>
  <si>
    <t>ORD-16786</t>
  </si>
  <si>
    <t>ORD-16787</t>
  </si>
  <si>
    <t>ORD-16788</t>
  </si>
  <si>
    <t>ORD-16789</t>
  </si>
  <si>
    <t>ORD-16790</t>
  </si>
  <si>
    <t>ORD-16791</t>
  </si>
  <si>
    <t>ORD-16792</t>
  </si>
  <si>
    <t>ORD-16793</t>
  </si>
  <si>
    <t>ORD-16794</t>
  </si>
  <si>
    <t>ORD-16795</t>
  </si>
  <si>
    <t>ORD-16796</t>
  </si>
  <si>
    <t>ORD-16797</t>
  </si>
  <si>
    <t>ORD-16798</t>
  </si>
  <si>
    <t>ORD-16799</t>
  </si>
  <si>
    <t>ORD-16800</t>
  </si>
  <si>
    <t>ORD-16801</t>
  </si>
  <si>
    <t>ORD-16802</t>
  </si>
  <si>
    <t>ORD-16803</t>
  </si>
  <si>
    <t>ORD-16804</t>
  </si>
  <si>
    <t>ORD-16805</t>
  </si>
  <si>
    <t>ORD-16806</t>
  </si>
  <si>
    <t>ORD-16807</t>
  </si>
  <si>
    <t>ORD-16808</t>
  </si>
  <si>
    <t>ORD-16809</t>
  </si>
  <si>
    <t>ORD-16810</t>
  </si>
  <si>
    <t>ORD-16811</t>
  </si>
  <si>
    <t>ORD-16812</t>
  </si>
  <si>
    <t>ORD-16813</t>
  </si>
  <si>
    <t>ORD-16814</t>
  </si>
  <si>
    <t>ORD-16815</t>
  </si>
  <si>
    <t>ORD-16816</t>
  </si>
  <si>
    <t>ORD-16817</t>
  </si>
  <si>
    <t>ORD-16818</t>
  </si>
  <si>
    <t>ORD-16819</t>
  </si>
  <si>
    <t>ORD-16820</t>
  </si>
  <si>
    <t>ORD-16821</t>
  </si>
  <si>
    <t>ORD-16822</t>
  </si>
  <si>
    <t>ORD-16823</t>
  </si>
  <si>
    <t>ORD-16824</t>
  </si>
  <si>
    <t>ORD-16825</t>
  </si>
  <si>
    <t>ORD-16826</t>
  </si>
  <si>
    <t>ORD-16827</t>
  </si>
  <si>
    <t>ORD-16828</t>
  </si>
  <si>
    <t>ORD-16829</t>
  </si>
  <si>
    <t>ORD-16830</t>
  </si>
  <si>
    <t>ORD-16831</t>
  </si>
  <si>
    <t>ORD-16832</t>
  </si>
  <si>
    <t>ORD-16833</t>
  </si>
  <si>
    <t>ORD-16834</t>
  </si>
  <si>
    <t>ORD-16835</t>
  </si>
  <si>
    <t>ORD-16836</t>
  </si>
  <si>
    <t>ORD-16837</t>
  </si>
  <si>
    <t>ORD-16838</t>
  </si>
  <si>
    <t>ORD-16839</t>
  </si>
  <si>
    <t>ORD-16840</t>
  </si>
  <si>
    <t>ORD-16841</t>
  </si>
  <si>
    <t>ORD-16842</t>
  </si>
  <si>
    <t>ORD-16843</t>
  </si>
  <si>
    <t>ORD-16844</t>
  </si>
  <si>
    <t>ORD-16845</t>
  </si>
  <si>
    <t>ORD-16846</t>
  </si>
  <si>
    <t>ORD-16847</t>
  </si>
  <si>
    <t>ORD-16848</t>
  </si>
  <si>
    <t>ORD-16849</t>
  </si>
  <si>
    <t>ORD-16850</t>
  </si>
  <si>
    <t>ORD-16851</t>
  </si>
  <si>
    <t>ORD-16852</t>
  </si>
  <si>
    <t>ORD-16853</t>
  </si>
  <si>
    <t>ORD-16854</t>
  </si>
  <si>
    <t>ORD-16855</t>
  </si>
  <si>
    <t>ORD-16856</t>
  </si>
  <si>
    <t>ORD-16857</t>
  </si>
  <si>
    <t>ORD-16858</t>
  </si>
  <si>
    <t>ORD-16859</t>
  </si>
  <si>
    <t>ORD-16860</t>
  </si>
  <si>
    <t>ORD-16861</t>
  </si>
  <si>
    <t>ORD-16862</t>
  </si>
  <si>
    <t>ORD-16863</t>
  </si>
  <si>
    <t>ORD-16864</t>
  </si>
  <si>
    <t>ORD-16865</t>
  </si>
  <si>
    <t>ORD-16866</t>
  </si>
  <si>
    <t>ORD-16867</t>
  </si>
  <si>
    <t>ORD-16868</t>
  </si>
  <si>
    <t>ORD-16869</t>
  </si>
  <si>
    <t>ORD-16870</t>
  </si>
  <si>
    <t>ORD-16871</t>
  </si>
  <si>
    <t>ORD-16872</t>
  </si>
  <si>
    <t>ORD-16873</t>
  </si>
  <si>
    <t>ORD-16874</t>
  </si>
  <si>
    <t>ORD-16875</t>
  </si>
  <si>
    <t>ORD-16876</t>
  </si>
  <si>
    <t>ORD-16877</t>
  </si>
  <si>
    <t>ORD-16878</t>
  </si>
  <si>
    <t>ORD-16879</t>
  </si>
  <si>
    <t>ORD-16880</t>
  </si>
  <si>
    <t>ORD-16881</t>
  </si>
  <si>
    <t>ORD-16882</t>
  </si>
  <si>
    <t>ORD-16883</t>
  </si>
  <si>
    <t>ORD-16884</t>
  </si>
  <si>
    <t>ORD-16885</t>
  </si>
  <si>
    <t>ORD-16886</t>
  </si>
  <si>
    <t>ORD-16887</t>
  </si>
  <si>
    <t>ORD-16888</t>
  </si>
  <si>
    <t>ORD-16889</t>
  </si>
  <si>
    <t>ORD-16890</t>
  </si>
  <si>
    <t>ORD-16891</t>
  </si>
  <si>
    <t>ORD-16892</t>
  </si>
  <si>
    <t>ORD-16893</t>
  </si>
  <si>
    <t>ORD-16894</t>
  </si>
  <si>
    <t>ORD-16895</t>
  </si>
  <si>
    <t>ORD-16896</t>
  </si>
  <si>
    <t>ORD-16897</t>
  </si>
  <si>
    <t>ORD-16898</t>
  </si>
  <si>
    <t>ORD-16899</t>
  </si>
  <si>
    <t>ORD-16900</t>
  </si>
  <si>
    <t>ORD-16901</t>
  </si>
  <si>
    <t>ORD-16902</t>
  </si>
  <si>
    <t>ORD-16903</t>
  </si>
  <si>
    <t>ORD-16904</t>
  </si>
  <si>
    <t>ORD-16905</t>
  </si>
  <si>
    <t>ORD-16906</t>
  </si>
  <si>
    <t>ORD-16907</t>
  </si>
  <si>
    <t>ORD-16908</t>
  </si>
  <si>
    <t>ORD-16909</t>
  </si>
  <si>
    <t>ORD-16910</t>
  </si>
  <si>
    <t>ORD-16911</t>
  </si>
  <si>
    <t>ORD-16912</t>
  </si>
  <si>
    <t>ORD-16913</t>
  </si>
  <si>
    <t>ORD-16914</t>
  </si>
  <si>
    <t>ORD-16915</t>
  </si>
  <si>
    <t>ORD-16916</t>
  </si>
  <si>
    <t>ORD-16917</t>
  </si>
  <si>
    <t>ORD-16918</t>
  </si>
  <si>
    <t>ORD-16919</t>
  </si>
  <si>
    <t>ORD-16920</t>
  </si>
  <si>
    <t>ORD-16921</t>
  </si>
  <si>
    <t>ORD-16922</t>
  </si>
  <si>
    <t>ORD-16923</t>
  </si>
  <si>
    <t>ORD-16924</t>
  </si>
  <si>
    <t>ORD-16925</t>
  </si>
  <si>
    <t>ORD-16926</t>
  </si>
  <si>
    <t>ORD-16927</t>
  </si>
  <si>
    <t>ORD-16928</t>
  </si>
  <si>
    <t>ORD-16929</t>
  </si>
  <si>
    <t>ORD-16930</t>
  </si>
  <si>
    <t>ORD-16931</t>
  </si>
  <si>
    <t>ORD-16932</t>
  </si>
  <si>
    <t>ORD-16933</t>
  </si>
  <si>
    <t>ORD-16934</t>
  </si>
  <si>
    <t>ORD-16935</t>
  </si>
  <si>
    <t>ORD-16936</t>
  </si>
  <si>
    <t>ORD-16937</t>
  </si>
  <si>
    <t>ORD-16938</t>
  </si>
  <si>
    <t>ORD-16939</t>
  </si>
  <si>
    <t>ORD-16940</t>
  </si>
  <si>
    <t>ORD-16941</t>
  </si>
  <si>
    <t>ORD-16942</t>
  </si>
  <si>
    <t>ORD-16943</t>
  </si>
  <si>
    <t>ORD-16944</t>
  </si>
  <si>
    <t>ORD-16945</t>
  </si>
  <si>
    <t>ORD-16946</t>
  </si>
  <si>
    <t>ORD-16947</t>
  </si>
  <si>
    <t>ORD-16948</t>
  </si>
  <si>
    <t>ORD-16949</t>
  </si>
  <si>
    <t>ORD-16950</t>
  </si>
  <si>
    <t>ORD-16951</t>
  </si>
  <si>
    <t>ORD-16952</t>
  </si>
  <si>
    <t>ORD-16953</t>
  </si>
  <si>
    <t>ORD-16954</t>
  </si>
  <si>
    <t>ORD-16955</t>
  </si>
  <si>
    <t>ORD-16956</t>
  </si>
  <si>
    <t>ORD-16957</t>
  </si>
  <si>
    <t>ORD-16958</t>
  </si>
  <si>
    <t>ORD-16959</t>
  </si>
  <si>
    <t>ORD-16960</t>
  </si>
  <si>
    <t>ORD-16961</t>
  </si>
  <si>
    <t>ORD-16962</t>
  </si>
  <si>
    <t>ORD-16963</t>
  </si>
  <si>
    <t>ORD-16964</t>
  </si>
  <si>
    <t>ORD-16965</t>
  </si>
  <si>
    <t>ORD-16966</t>
  </si>
  <si>
    <t>ORD-16967</t>
  </si>
  <si>
    <t>ORD-16968</t>
  </si>
  <si>
    <t>ORD-16969</t>
  </si>
  <si>
    <t>ORD-16970</t>
  </si>
  <si>
    <t>ORD-16971</t>
  </si>
  <si>
    <t>ORD-16972</t>
  </si>
  <si>
    <t>ORD-16973</t>
  </si>
  <si>
    <t>ORD-16974</t>
  </si>
  <si>
    <t>ORD-16975</t>
  </si>
  <si>
    <t>ORD-16976</t>
  </si>
  <si>
    <t>ORD-16977</t>
  </si>
  <si>
    <t>ORD-16978</t>
  </si>
  <si>
    <t>ORD-16979</t>
  </si>
  <si>
    <t>ORD-16980</t>
  </si>
  <si>
    <t>ORD-16981</t>
  </si>
  <si>
    <t>ORD-16982</t>
  </si>
  <si>
    <t>ORD-16983</t>
  </si>
  <si>
    <t>ORD-16984</t>
  </si>
  <si>
    <t>ORD-16985</t>
  </si>
  <si>
    <t>ORD-16986</t>
  </si>
  <si>
    <t>ORD-16987</t>
  </si>
  <si>
    <t>ORD-16988</t>
  </si>
  <si>
    <t>ORD-16989</t>
  </si>
  <si>
    <t>ORD-16990</t>
  </si>
  <si>
    <t>ORD-16991</t>
  </si>
  <si>
    <t>ORD-16992</t>
  </si>
  <si>
    <t>ORD-16993</t>
  </si>
  <si>
    <t>ORD-16994</t>
  </si>
  <si>
    <t>ORD-16995</t>
  </si>
  <si>
    <t>ORD-16996</t>
  </si>
  <si>
    <t>ORD-16997</t>
  </si>
  <si>
    <t>ORD-16998</t>
  </si>
  <si>
    <t>ORD-16999</t>
  </si>
  <si>
    <t>ORD-17000</t>
  </si>
  <si>
    <t>ORD-17001</t>
  </si>
  <si>
    <t>ORD-17002</t>
  </si>
  <si>
    <t>ORD-17003</t>
  </si>
  <si>
    <t>ORD-17004</t>
  </si>
  <si>
    <t>ORD-17005</t>
  </si>
  <si>
    <t>ORD-17006</t>
  </si>
  <si>
    <t>ORD-17007</t>
  </si>
  <si>
    <t>ORD-17008</t>
  </si>
  <si>
    <t>ORD-17009</t>
  </si>
  <si>
    <t>ORD-17010</t>
  </si>
  <si>
    <t>ORD-17011</t>
  </si>
  <si>
    <t>ORD-17012</t>
  </si>
  <si>
    <t>ORD-17013</t>
  </si>
  <si>
    <t>ORD-17014</t>
  </si>
  <si>
    <t>ORD-17015</t>
  </si>
  <si>
    <t>ORD-17016</t>
  </si>
  <si>
    <t>ORD-17017</t>
  </si>
  <si>
    <t>ORD-17018</t>
  </si>
  <si>
    <t>ORD-17019</t>
  </si>
  <si>
    <t>ORD-17020</t>
  </si>
  <si>
    <t>ORD-17021</t>
  </si>
  <si>
    <t>ORD-17022</t>
  </si>
  <si>
    <t>ORD-17023</t>
  </si>
  <si>
    <t>ORD-17024</t>
  </si>
  <si>
    <t>ORD-17025</t>
  </si>
  <si>
    <t>ORD-17026</t>
  </si>
  <si>
    <t>ORD-17027</t>
  </si>
  <si>
    <t>ORD-17028</t>
  </si>
  <si>
    <t>ORD-17029</t>
  </si>
  <si>
    <t>ORD-17030</t>
  </si>
  <si>
    <t>ORD-17031</t>
  </si>
  <si>
    <t>ORD-17032</t>
  </si>
  <si>
    <t>ORD-17033</t>
  </si>
  <si>
    <t>ORD-17034</t>
  </si>
  <si>
    <t>ORD-17035</t>
  </si>
  <si>
    <t>ORD-17036</t>
  </si>
  <si>
    <t>ORD-17037</t>
  </si>
  <si>
    <t>ORD-17038</t>
  </si>
  <si>
    <t>ORD-17039</t>
  </si>
  <si>
    <t>ORD-17040</t>
  </si>
  <si>
    <t>ORD-17041</t>
  </si>
  <si>
    <t>ORD-17042</t>
  </si>
  <si>
    <t>ORD-17043</t>
  </si>
  <si>
    <t>ORD-17044</t>
  </si>
  <si>
    <t>ORD-17045</t>
  </si>
  <si>
    <t>ORD-17046</t>
  </si>
  <si>
    <t>ORD-17047</t>
  </si>
  <si>
    <t>ORD-17048</t>
  </si>
  <si>
    <t>ORD-17049</t>
  </si>
  <si>
    <t>ORD-17050</t>
  </si>
  <si>
    <t>ORD-17051</t>
  </si>
  <si>
    <t>ORD-17052</t>
  </si>
  <si>
    <t>ORD-17053</t>
  </si>
  <si>
    <t>ORD-17054</t>
  </si>
  <si>
    <t>ORD-17055</t>
  </si>
  <si>
    <t>ORD-17056</t>
  </si>
  <si>
    <t>ORD-17057</t>
  </si>
  <si>
    <t>ORD-17058</t>
  </si>
  <si>
    <t>ORD-17059</t>
  </si>
  <si>
    <t>ORD-17060</t>
  </si>
  <si>
    <t>ORD-17061</t>
  </si>
  <si>
    <t>ORD-17062</t>
  </si>
  <si>
    <t>ORD-17063</t>
  </si>
  <si>
    <t>ORD-17064</t>
  </si>
  <si>
    <t>ORD-17065</t>
  </si>
  <si>
    <t>ORD-17066</t>
  </si>
  <si>
    <t>ORD-17067</t>
  </si>
  <si>
    <t>ORD-17068</t>
  </si>
  <si>
    <t>ORD-17069</t>
  </si>
  <si>
    <t>ORD-17070</t>
  </si>
  <si>
    <t>ORD-17071</t>
  </si>
  <si>
    <t>ORD-17072</t>
  </si>
  <si>
    <t>ORD-17073</t>
  </si>
  <si>
    <t>ORD-17074</t>
  </si>
  <si>
    <t>ORD-17075</t>
  </si>
  <si>
    <t>ORD-17076</t>
  </si>
  <si>
    <t>ORD-17077</t>
  </si>
  <si>
    <t>ORD-17078</t>
  </si>
  <si>
    <t>ORD-17079</t>
  </si>
  <si>
    <t>ORD-17080</t>
  </si>
  <si>
    <t>ORD-17081</t>
  </si>
  <si>
    <t>ORD-17082</t>
  </si>
  <si>
    <t>ORD-17083</t>
  </si>
  <si>
    <t>ORD-17084</t>
  </si>
  <si>
    <t>ORD-17085</t>
  </si>
  <si>
    <t>ORD-17086</t>
  </si>
  <si>
    <t>ORD-17087</t>
  </si>
  <si>
    <t>ORD-17088</t>
  </si>
  <si>
    <t>ORD-17089</t>
  </si>
  <si>
    <t>ORD-17090</t>
  </si>
  <si>
    <t>ORD-17091</t>
  </si>
  <si>
    <t>ORD-17092</t>
  </si>
  <si>
    <t>ORD-17093</t>
  </si>
  <si>
    <t>ORD-17094</t>
  </si>
  <si>
    <t>ORD-17095</t>
  </si>
  <si>
    <t>ORD-17096</t>
  </si>
  <si>
    <t>ORD-17097</t>
  </si>
  <si>
    <t>ORD-17098</t>
  </si>
  <si>
    <t>ORD-17099</t>
  </si>
  <si>
    <t>ORD-17100</t>
  </si>
  <si>
    <t>ORD-17101</t>
  </si>
  <si>
    <t>ORD-17102</t>
  </si>
  <si>
    <t>ORD-17103</t>
  </si>
  <si>
    <t>ORD-17104</t>
  </si>
  <si>
    <t>ORD-17105</t>
  </si>
  <si>
    <t>ORD-17106</t>
  </si>
  <si>
    <t>ORD-17107</t>
  </si>
  <si>
    <t>ORD-17108</t>
  </si>
  <si>
    <t>ORD-17109</t>
  </si>
  <si>
    <t>ORD-17110</t>
  </si>
  <si>
    <t>ORD-17111</t>
  </si>
  <si>
    <t>ORD-17112</t>
  </si>
  <si>
    <t>ORD-17113</t>
  </si>
  <si>
    <t>ORD-17114</t>
  </si>
  <si>
    <t>ORD-17115</t>
  </si>
  <si>
    <t>ORD-17116</t>
  </si>
  <si>
    <t>ORD-17117</t>
  </si>
  <si>
    <t>ORD-17118</t>
  </si>
  <si>
    <t>ORD-17119</t>
  </si>
  <si>
    <t>ORD-17120</t>
  </si>
  <si>
    <t>ORD-17121</t>
  </si>
  <si>
    <t>ORD-17122</t>
  </si>
  <si>
    <t>ORD-17123</t>
  </si>
  <si>
    <t>ORD-17124</t>
  </si>
  <si>
    <t>ORD-17125</t>
  </si>
  <si>
    <t>ORD-17126</t>
  </si>
  <si>
    <t>ORD-17127</t>
  </si>
  <si>
    <t>ORD-17128</t>
  </si>
  <si>
    <t>ORD-17129</t>
  </si>
  <si>
    <t>ORD-17130</t>
  </si>
  <si>
    <t>ORD-17131</t>
  </si>
  <si>
    <t>ORD-17132</t>
  </si>
  <si>
    <t>ORD-17133</t>
  </si>
  <si>
    <t>ORD-17134</t>
  </si>
  <si>
    <t>ORD-17135</t>
  </si>
  <si>
    <t>ORD-17136</t>
  </si>
  <si>
    <t>ORD-17137</t>
  </si>
  <si>
    <t>ORD-17138</t>
  </si>
  <si>
    <t>ORD-17139</t>
  </si>
  <si>
    <t>ORD-17140</t>
  </si>
  <si>
    <t>ORD-17141</t>
  </si>
  <si>
    <t>ORD-17142</t>
  </si>
  <si>
    <t>ORD-17143</t>
  </si>
  <si>
    <t>ORD-17144</t>
  </si>
  <si>
    <t>ORD-17145</t>
  </si>
  <si>
    <t>ORD-17146</t>
  </si>
  <si>
    <t>ORD-17147</t>
  </si>
  <si>
    <t>ORD-17148</t>
  </si>
  <si>
    <t>ORD-17149</t>
  </si>
  <si>
    <t>ORD-17150</t>
  </si>
  <si>
    <t>ORD-17151</t>
  </si>
  <si>
    <t>ORD-17152</t>
  </si>
  <si>
    <t>ORD-17153</t>
  </si>
  <si>
    <t>ORD-17154</t>
  </si>
  <si>
    <t>ORD-17155</t>
  </si>
  <si>
    <t>ORD-17156</t>
  </si>
  <si>
    <t>ORD-17157</t>
  </si>
  <si>
    <t>ORD-17158</t>
  </si>
  <si>
    <t>ORD-17159</t>
  </si>
  <si>
    <t>ORD-17160</t>
  </si>
  <si>
    <t>ORD-17161</t>
  </si>
  <si>
    <t>ORD-17162</t>
  </si>
  <si>
    <t>ORD-17163</t>
  </si>
  <si>
    <t>ORD-17164</t>
  </si>
  <si>
    <t>ORD-17165</t>
  </si>
  <si>
    <t>ORD-17166</t>
  </si>
  <si>
    <t>ORD-17167</t>
  </si>
  <si>
    <t>ORD-17168</t>
  </si>
  <si>
    <t>ORD-17169</t>
  </si>
  <si>
    <t>ORD-17170</t>
  </si>
  <si>
    <t>ORD-17171</t>
  </si>
  <si>
    <t>ORD-17172</t>
  </si>
  <si>
    <t>ORD-17173</t>
  </si>
  <si>
    <t>ORD-17174</t>
  </si>
  <si>
    <t>ORD-17175</t>
  </si>
  <si>
    <t>ORD-17176</t>
  </si>
  <si>
    <t>ORD-17177</t>
  </si>
  <si>
    <t>ORD-17178</t>
  </si>
  <si>
    <t>ORD-17179</t>
  </si>
  <si>
    <t>ORD-17180</t>
  </si>
  <si>
    <t>ORD-17181</t>
  </si>
  <si>
    <t>ORD-17182</t>
  </si>
  <si>
    <t>ORD-17183</t>
  </si>
  <si>
    <t>ORD-17184</t>
  </si>
  <si>
    <t>ORD-17185</t>
  </si>
  <si>
    <t>ORD-17186</t>
  </si>
  <si>
    <t>ORD-17187</t>
  </si>
  <si>
    <t>ORD-17188</t>
  </si>
  <si>
    <t>ORD-17189</t>
  </si>
  <si>
    <t>ORD-17190</t>
  </si>
  <si>
    <t>ORD-17191</t>
  </si>
  <si>
    <t>ORD-17192</t>
  </si>
  <si>
    <t>ORD-17193</t>
  </si>
  <si>
    <t>ORD-17194</t>
  </si>
  <si>
    <t>ORD-17195</t>
  </si>
  <si>
    <t>ORD-17196</t>
  </si>
  <si>
    <t>ORD-17197</t>
  </si>
  <si>
    <t>ORD-17198</t>
  </si>
  <si>
    <t>ORD-17199</t>
  </si>
  <si>
    <t>ORD-17200</t>
  </si>
  <si>
    <t>ORD-17201</t>
  </si>
  <si>
    <t>ORD-17202</t>
  </si>
  <si>
    <t>ORD-17203</t>
  </si>
  <si>
    <t>ORD-17204</t>
  </si>
  <si>
    <t>ORD-17205</t>
  </si>
  <si>
    <t>ORD-17206</t>
  </si>
  <si>
    <t>ORD-17207</t>
  </si>
  <si>
    <t>ORD-17208</t>
  </si>
  <si>
    <t>ORD-17209</t>
  </si>
  <si>
    <t>ORD-17210</t>
  </si>
  <si>
    <t>ORD-17211</t>
  </si>
  <si>
    <t>ORD-17212</t>
  </si>
  <si>
    <t>ORD-17213</t>
  </si>
  <si>
    <t>ORD-17214</t>
  </si>
  <si>
    <t>ORD-17215</t>
  </si>
  <si>
    <t>ORD-17216</t>
  </si>
  <si>
    <t>ORD-17217</t>
  </si>
  <si>
    <t>ORD-17218</t>
  </si>
  <si>
    <t>ORD-17219</t>
  </si>
  <si>
    <t>ORD-17220</t>
  </si>
  <si>
    <t>ORD-17221</t>
  </si>
  <si>
    <t>ORD-17222</t>
  </si>
  <si>
    <t>ORD-17223</t>
  </si>
  <si>
    <t>ORD-17224</t>
  </si>
  <si>
    <t>ORD-17225</t>
  </si>
  <si>
    <t>ORD-17226</t>
  </si>
  <si>
    <t>ORD-17227</t>
  </si>
  <si>
    <t>ORD-17228</t>
  </si>
  <si>
    <t>ORD-17229</t>
  </si>
  <si>
    <t>ORD-17230</t>
  </si>
  <si>
    <t>ORD-17231</t>
  </si>
  <si>
    <t>ORD-17232</t>
  </si>
  <si>
    <t>ORD-17233</t>
  </si>
  <si>
    <t>ORD-17234</t>
  </si>
  <si>
    <t>ORD-17235</t>
  </si>
  <si>
    <t>ORD-17236</t>
  </si>
  <si>
    <t>ORD-17237</t>
  </si>
  <si>
    <t>ORD-17238</t>
  </si>
  <si>
    <t>ORD-17239</t>
  </si>
  <si>
    <t>ORD-17240</t>
  </si>
  <si>
    <t>ORD-17241</t>
  </si>
  <si>
    <t>ORD-17242</t>
  </si>
  <si>
    <t>ORD-17243</t>
  </si>
  <si>
    <t>ORD-17244</t>
  </si>
  <si>
    <t>ORD-17245</t>
  </si>
  <si>
    <t>ORD-17246</t>
  </si>
  <si>
    <t>ORD-17247</t>
  </si>
  <si>
    <t>ORD-17248</t>
  </si>
  <si>
    <t>ORD-17249</t>
  </si>
  <si>
    <t>ORD-17250</t>
  </si>
  <si>
    <t>ORD-17251</t>
  </si>
  <si>
    <t>ORD-17252</t>
  </si>
  <si>
    <t>ORD-17253</t>
  </si>
  <si>
    <t>ORD-17254</t>
  </si>
  <si>
    <t>ORD-17255</t>
  </si>
  <si>
    <t>ORD-17256</t>
  </si>
  <si>
    <t>ORD-17257</t>
  </si>
  <si>
    <t>ORD-17258</t>
  </si>
  <si>
    <t>ORD-17259</t>
  </si>
  <si>
    <t>ORD-17260</t>
  </si>
  <si>
    <t>ORD-17261</t>
  </si>
  <si>
    <t>ORD-17262</t>
  </si>
  <si>
    <t>ORD-17263</t>
  </si>
  <si>
    <t>ORD-17264</t>
  </si>
  <si>
    <t>ORD-17265</t>
  </si>
  <si>
    <t>ORD-17266</t>
  </si>
  <si>
    <t>ORD-17267</t>
  </si>
  <si>
    <t>ORD-17268</t>
  </si>
  <si>
    <t>ORD-17269</t>
  </si>
  <si>
    <t>ORD-17270</t>
  </si>
  <si>
    <t>ORD-17271</t>
  </si>
  <si>
    <t>ORD-17272</t>
  </si>
  <si>
    <t>ORD-17273</t>
  </si>
  <si>
    <t>ORD-17274</t>
  </si>
  <si>
    <t>ORD-17275</t>
  </si>
  <si>
    <t>ORD-17276</t>
  </si>
  <si>
    <t>ORD-17277</t>
  </si>
  <si>
    <t>ORD-17278</t>
  </si>
  <si>
    <t>ORD-17279</t>
  </si>
  <si>
    <t>ORD-17280</t>
  </si>
  <si>
    <t>ORD-17281</t>
  </si>
  <si>
    <t>ORD-17282</t>
  </si>
  <si>
    <t>ORD-17283</t>
  </si>
  <si>
    <t>ORD-17284</t>
  </si>
  <si>
    <t>ORD-17285</t>
  </si>
  <si>
    <t>ORD-17286</t>
  </si>
  <si>
    <t>ORD-17287</t>
  </si>
  <si>
    <t>ORD-17288</t>
  </si>
  <si>
    <t>ORD-17289</t>
  </si>
  <si>
    <t>ORD-17290</t>
  </si>
  <si>
    <t>ORD-17291</t>
  </si>
  <si>
    <t>ORD-17292</t>
  </si>
  <si>
    <t>ORD-17293</t>
  </si>
  <si>
    <t>ORD-17294</t>
  </si>
  <si>
    <t>ORD-17295</t>
  </si>
  <si>
    <t>ORD-17296</t>
  </si>
  <si>
    <t>ORD-17297</t>
  </si>
  <si>
    <t>ORD-17298</t>
  </si>
  <si>
    <t>ORD-17299</t>
  </si>
  <si>
    <t>ORD-17300</t>
  </si>
  <si>
    <t>ORD-17301</t>
  </si>
  <si>
    <t>ORD-17302</t>
  </si>
  <si>
    <t>ORD-17303</t>
  </si>
  <si>
    <t>ORD-17304</t>
  </si>
  <si>
    <t>ORD-17305</t>
  </si>
  <si>
    <t>ORD-17306</t>
  </si>
  <si>
    <t>ORD-17307</t>
  </si>
  <si>
    <t>ORD-17308</t>
  </si>
  <si>
    <t>ORD-17309</t>
  </si>
  <si>
    <t>ORD-17310</t>
  </si>
  <si>
    <t>ORD-17311</t>
  </si>
  <si>
    <t>ORD-17312</t>
  </si>
  <si>
    <t>ORD-17313</t>
  </si>
  <si>
    <t>ORD-17314</t>
  </si>
  <si>
    <t>ORD-17315</t>
  </si>
  <si>
    <t>ORD-17316</t>
  </si>
  <si>
    <t>ORD-17317</t>
  </si>
  <si>
    <t>ORD-17318</t>
  </si>
  <si>
    <t>ORD-17319</t>
  </si>
  <si>
    <t>ORD-17320</t>
  </si>
  <si>
    <t>ORD-17321</t>
  </si>
  <si>
    <t>ORD-17322</t>
  </si>
  <si>
    <t>ORD-17323</t>
  </si>
  <si>
    <t>ORD-17324</t>
  </si>
  <si>
    <t>ORD-17325</t>
  </si>
  <si>
    <t>ORD-17326</t>
  </si>
  <si>
    <t>ORD-17327</t>
  </si>
  <si>
    <t>ORD-17328</t>
  </si>
  <si>
    <t>ORD-17329</t>
  </si>
  <si>
    <t>ORD-17330</t>
  </si>
  <si>
    <t>ORD-17331</t>
  </si>
  <si>
    <t>ORD-17332</t>
  </si>
  <si>
    <t>ORD-17333</t>
  </si>
  <si>
    <t>ORD-17334</t>
  </si>
  <si>
    <t>ORD-17335</t>
  </si>
  <si>
    <t>ORD-17336</t>
  </si>
  <si>
    <t>ORD-17337</t>
  </si>
  <si>
    <t>ORD-17338</t>
  </si>
  <si>
    <t>ORD-17339</t>
  </si>
  <si>
    <t>ORD-17340</t>
  </si>
  <si>
    <t>ORD-17341</t>
  </si>
  <si>
    <t>ORD-17342</t>
  </si>
  <si>
    <t>ORD-17343</t>
  </si>
  <si>
    <t>ORD-17344</t>
  </si>
  <si>
    <t>ORD-17345</t>
  </si>
  <si>
    <t>ORD-17346</t>
  </si>
  <si>
    <t>ORD-17347</t>
  </si>
  <si>
    <t>ORD-17348</t>
  </si>
  <si>
    <t>ORD-17349</t>
  </si>
  <si>
    <t>ORD-17350</t>
  </si>
  <si>
    <t>ORD-17351</t>
  </si>
  <si>
    <t>ORD-17352</t>
  </si>
  <si>
    <t>ORD-17353</t>
  </si>
  <si>
    <t>ORD-17354</t>
  </si>
  <si>
    <t>ORD-17355</t>
  </si>
  <si>
    <t>ORD-17356</t>
  </si>
  <si>
    <t>ORD-17357</t>
  </si>
  <si>
    <t>ORD-17358</t>
  </si>
  <si>
    <t>ORD-17359</t>
  </si>
  <si>
    <t>ORD-17360</t>
  </si>
  <si>
    <t>ORD-17361</t>
  </si>
  <si>
    <t>ORD-17362</t>
  </si>
  <si>
    <t>ORD-17363</t>
  </si>
  <si>
    <t>ORD-17364</t>
  </si>
  <si>
    <t>ORD-17365</t>
  </si>
  <si>
    <t>ORD-17366</t>
  </si>
  <si>
    <t>ORD-17367</t>
  </si>
  <si>
    <t>ORD-17368</t>
  </si>
  <si>
    <t>ORD-17369</t>
  </si>
  <si>
    <t>ORD-17370</t>
  </si>
  <si>
    <t>ORD-17371</t>
  </si>
  <si>
    <t>ORD-17372</t>
  </si>
  <si>
    <t>ORD-17373</t>
  </si>
  <si>
    <t>ORD-17374</t>
  </si>
  <si>
    <t>ORD-17375</t>
  </si>
  <si>
    <t>ORD-17376</t>
  </si>
  <si>
    <t>ORD-17377</t>
  </si>
  <si>
    <t>ORD-17378</t>
  </si>
  <si>
    <t>ORD-17379</t>
  </si>
  <si>
    <t>ORD-17380</t>
  </si>
  <si>
    <t>ORD-17381</t>
  </si>
  <si>
    <t>ORD-17382</t>
  </si>
  <si>
    <t>ORD-17383</t>
  </si>
  <si>
    <t>ORD-17384</t>
  </si>
  <si>
    <t>ORD-17385</t>
  </si>
  <si>
    <t>ORD-17386</t>
  </si>
  <si>
    <t>ORD-17387</t>
  </si>
  <si>
    <t>ORD-17388</t>
  </si>
  <si>
    <t>ORD-17389</t>
  </si>
  <si>
    <t>ORD-17390</t>
  </si>
  <si>
    <t>ORD-17391</t>
  </si>
  <si>
    <t>ORD-17392</t>
  </si>
  <si>
    <t>ORD-17393</t>
  </si>
  <si>
    <t>ORD-17394</t>
  </si>
  <si>
    <t>ORD-17395</t>
  </si>
  <si>
    <t>ORD-17396</t>
  </si>
  <si>
    <t>ORD-17397</t>
  </si>
  <si>
    <t>ORD-17398</t>
  </si>
  <si>
    <t>ORD-17399</t>
  </si>
  <si>
    <t>ORD-17400</t>
  </si>
  <si>
    <t>ORD-17401</t>
  </si>
  <si>
    <t>ORD-17402</t>
  </si>
  <si>
    <t>ORD-17403</t>
  </si>
  <si>
    <t>ORD-17404</t>
  </si>
  <si>
    <t>ORD-17405</t>
  </si>
  <si>
    <t>ORD-17406</t>
  </si>
  <si>
    <t>ORD-17407</t>
  </si>
  <si>
    <t>ORD-17408</t>
  </si>
  <si>
    <t>ORD-17409</t>
  </si>
  <si>
    <t>ORD-17410</t>
  </si>
  <si>
    <t>ORD-17411</t>
  </si>
  <si>
    <t>ORD-17412</t>
  </si>
  <si>
    <t>ORD-17413</t>
  </si>
  <si>
    <t>ORD-17414</t>
  </si>
  <si>
    <t>ORD-17415</t>
  </si>
  <si>
    <t>ORD-17416</t>
  </si>
  <si>
    <t>ORD-17417</t>
  </si>
  <si>
    <t>ORD-17418</t>
  </si>
  <si>
    <t>ORD-17419</t>
  </si>
  <si>
    <t>ORD-17420</t>
  </si>
  <si>
    <t>ORD-17421</t>
  </si>
  <si>
    <t>ORD-17422</t>
  </si>
  <si>
    <t>ORD-17423</t>
  </si>
  <si>
    <t>ORD-17424</t>
  </si>
  <si>
    <t>ORD-17425</t>
  </si>
  <si>
    <t>ORD-17426</t>
  </si>
  <si>
    <t>ORD-17427</t>
  </si>
  <si>
    <t>ORD-17428</t>
  </si>
  <si>
    <t>ORD-17429</t>
  </si>
  <si>
    <t>ORD-17430</t>
  </si>
  <si>
    <t>ORD-17431</t>
  </si>
  <si>
    <t>ORD-17432</t>
  </si>
  <si>
    <t>ORD-17433</t>
  </si>
  <si>
    <t>ORD-17434</t>
  </si>
  <si>
    <t>ORD-17435</t>
  </si>
  <si>
    <t>ORD-17436</t>
  </si>
  <si>
    <t>ORD-17437</t>
  </si>
  <si>
    <t>ORD-17438</t>
  </si>
  <si>
    <t>ORD-17439</t>
  </si>
  <si>
    <t>ORD-17440</t>
  </si>
  <si>
    <t>ORD-17441</t>
  </si>
  <si>
    <t>ORD-17442</t>
  </si>
  <si>
    <t>ORD-17443</t>
  </si>
  <si>
    <t>ORD-17444</t>
  </si>
  <si>
    <t>ORD-17445</t>
  </si>
  <si>
    <t>ORD-17446</t>
  </si>
  <si>
    <t>ORD-17447</t>
  </si>
  <si>
    <t>ORD-17448</t>
  </si>
  <si>
    <t>ORD-17449</t>
  </si>
  <si>
    <t>ORD-17450</t>
  </si>
  <si>
    <t>ORD-17451</t>
  </si>
  <si>
    <t>ORD-17452</t>
  </si>
  <si>
    <t>ORD-17453</t>
  </si>
  <si>
    <t>ORD-17454</t>
  </si>
  <si>
    <t>ORD-17455</t>
  </si>
  <si>
    <t>ORD-17456</t>
  </si>
  <si>
    <t>ORD-17457</t>
  </si>
  <si>
    <t>ORD-17458</t>
  </si>
  <si>
    <t>ORD-17459</t>
  </si>
  <si>
    <t>ORD-17460</t>
  </si>
  <si>
    <t>ORD-17461</t>
  </si>
  <si>
    <t>ORD-17462</t>
  </si>
  <si>
    <t>ORD-17463</t>
  </si>
  <si>
    <t>ORD-17464</t>
  </si>
  <si>
    <t>ORD-17465</t>
  </si>
  <si>
    <t>ORD-17466</t>
  </si>
  <si>
    <t>ORD-17467</t>
  </si>
  <si>
    <t>ORD-17468</t>
  </si>
  <si>
    <t>ORD-17469</t>
  </si>
  <si>
    <t>ORD-17470</t>
  </si>
  <si>
    <t>ORD-17471</t>
  </si>
  <si>
    <t>ORD-17472</t>
  </si>
  <si>
    <t>ORD-17473</t>
  </si>
  <si>
    <t>ORD-17474</t>
  </si>
  <si>
    <t>ORD-17475</t>
  </si>
  <si>
    <t>ORD-17476</t>
  </si>
  <si>
    <t>ORD-17477</t>
  </si>
  <si>
    <t>ORD-17478</t>
  </si>
  <si>
    <t>ORD-17479</t>
  </si>
  <si>
    <t>ORD-17480</t>
  </si>
  <si>
    <t>ORD-17481</t>
  </si>
  <si>
    <t>ORD-17482</t>
  </si>
  <si>
    <t>ORD-17483</t>
  </si>
  <si>
    <t>ORD-17484</t>
  </si>
  <si>
    <t>ORD-17485</t>
  </si>
  <si>
    <t>ORD-17486</t>
  </si>
  <si>
    <t>ORD-17487</t>
  </si>
  <si>
    <t>ORD-17488</t>
  </si>
  <si>
    <t>ORD-17489</t>
  </si>
  <si>
    <t>ORD-17490</t>
  </si>
  <si>
    <t>ORD-17491</t>
  </si>
  <si>
    <t>ORD-17492</t>
  </si>
  <si>
    <t>ORD-17493</t>
  </si>
  <si>
    <t>ORD-17494</t>
  </si>
  <si>
    <t>ORD-17495</t>
  </si>
  <si>
    <t>ORD-17496</t>
  </si>
  <si>
    <t>ORD-17497</t>
  </si>
  <si>
    <t>ORD-17498</t>
  </si>
  <si>
    <t>ORD-17499</t>
  </si>
  <si>
    <t>ORD-17500</t>
  </si>
  <si>
    <t>ORD-17501</t>
  </si>
  <si>
    <t>ORD-17502</t>
  </si>
  <si>
    <t>ORD-17503</t>
  </si>
  <si>
    <t>ORD-17504</t>
  </si>
  <si>
    <t>ORD-17505</t>
  </si>
  <si>
    <t>ORD-17506</t>
  </si>
  <si>
    <t>ORD-17507</t>
  </si>
  <si>
    <t>ORD-17508</t>
  </si>
  <si>
    <t>ORD-17509</t>
  </si>
  <si>
    <t>ORD-17510</t>
  </si>
  <si>
    <t>ORD-17511</t>
  </si>
  <si>
    <t>ORD-17512</t>
  </si>
  <si>
    <t>ORD-17513</t>
  </si>
  <si>
    <t>ORD-17514</t>
  </si>
  <si>
    <t>ORD-17515</t>
  </si>
  <si>
    <t>ORD-17516</t>
  </si>
  <si>
    <t>ORD-17517</t>
  </si>
  <si>
    <t>ORD-17518</t>
  </si>
  <si>
    <t>ORD-17519</t>
  </si>
  <si>
    <t>ORD-17520</t>
  </si>
  <si>
    <t>ORD-17521</t>
  </si>
  <si>
    <t>ORD-17522</t>
  </si>
  <si>
    <t>ORD-17523</t>
  </si>
  <si>
    <t>ORD-17524</t>
  </si>
  <si>
    <t>ORD-17525</t>
  </si>
  <si>
    <t>ORD-17526</t>
  </si>
  <si>
    <t>ORD-17527</t>
  </si>
  <si>
    <t>ORD-17528</t>
  </si>
  <si>
    <t>ORD-17529</t>
  </si>
  <si>
    <t>ORD-17530</t>
  </si>
  <si>
    <t>ORD-17531</t>
  </si>
  <si>
    <t>ORD-17532</t>
  </si>
  <si>
    <t>ORD-17533</t>
  </si>
  <si>
    <t>ORD-17534</t>
  </si>
  <si>
    <t>ORD-17535</t>
  </si>
  <si>
    <t>ORD-17536</t>
  </si>
  <si>
    <t>ORD-17537</t>
  </si>
  <si>
    <t>ORD-17538</t>
  </si>
  <si>
    <t>ORD-17539</t>
  </si>
  <si>
    <t>ORD-17540</t>
  </si>
  <si>
    <t>ORD-17541</t>
  </si>
  <si>
    <t>ORD-17542</t>
  </si>
  <si>
    <t>ORD-17543</t>
  </si>
  <si>
    <t>ORD-17544</t>
  </si>
  <si>
    <t>ORD-17545</t>
  </si>
  <si>
    <t>ORD-17546</t>
  </si>
  <si>
    <t>ORD-17547</t>
  </si>
  <si>
    <t>ORD-17548</t>
  </si>
  <si>
    <t>ORD-17549</t>
  </si>
  <si>
    <t>ORD-17550</t>
  </si>
  <si>
    <t>ORD-17551</t>
  </si>
  <si>
    <t>ORD-17552</t>
  </si>
  <si>
    <t>ORD-17553</t>
  </si>
  <si>
    <t>ORD-17554</t>
  </si>
  <si>
    <t>ORD-17555</t>
  </si>
  <si>
    <t>ORD-17556</t>
  </si>
  <si>
    <t>ORD-17557</t>
  </si>
  <si>
    <t>ORD-17558</t>
  </si>
  <si>
    <t>ORD-17559</t>
  </si>
  <si>
    <t>ORD-17560</t>
  </si>
  <si>
    <t>ORD-17561</t>
  </si>
  <si>
    <t>ORD-17562</t>
  </si>
  <si>
    <t>ORD-17563</t>
  </si>
  <si>
    <t>ORD-17564</t>
  </si>
  <si>
    <t>ORD-17565</t>
  </si>
  <si>
    <t>ORD-17566</t>
  </si>
  <si>
    <t>ORD-17567</t>
  </si>
  <si>
    <t>ORD-17568</t>
  </si>
  <si>
    <t>ORD-17569</t>
  </si>
  <si>
    <t>ORD-17570</t>
  </si>
  <si>
    <t>ORD-17571</t>
  </si>
  <si>
    <t>ORD-17572</t>
  </si>
  <si>
    <t>ORD-17573</t>
  </si>
  <si>
    <t>ORD-17574</t>
  </si>
  <si>
    <t>ORD-17575</t>
  </si>
  <si>
    <t>ORD-17576</t>
  </si>
  <si>
    <t>ORD-17577</t>
  </si>
  <si>
    <t>ORD-17578</t>
  </si>
  <si>
    <t>ORD-17579</t>
  </si>
  <si>
    <t>ORD-17580</t>
  </si>
  <si>
    <t>ORD-17581</t>
  </si>
  <si>
    <t>ORD-17582</t>
  </si>
  <si>
    <t>ORD-17583</t>
  </si>
  <si>
    <t>ORD-17584</t>
  </si>
  <si>
    <t>ORD-17585</t>
  </si>
  <si>
    <t>ORD-17586</t>
  </si>
  <si>
    <t>ORD-17587</t>
  </si>
  <si>
    <t>ORD-17588</t>
  </si>
  <si>
    <t>ORD-17589</t>
  </si>
  <si>
    <t>ORD-17590</t>
  </si>
  <si>
    <t>ORD-17591</t>
  </si>
  <si>
    <t>ORD-17592</t>
  </si>
  <si>
    <t>ORD-17593</t>
  </si>
  <si>
    <t>ORD-17594</t>
  </si>
  <si>
    <t>ORD-17595</t>
  </si>
  <si>
    <t>ORD-17596</t>
  </si>
  <si>
    <t>ORD-17597</t>
  </si>
  <si>
    <t>ORD-17598</t>
  </si>
  <si>
    <t>ORD-17599</t>
  </si>
  <si>
    <t>ORD-17600</t>
  </si>
  <si>
    <t>ORD-17601</t>
  </si>
  <si>
    <t>ORD-17602</t>
  </si>
  <si>
    <t>ORD-17603</t>
  </si>
  <si>
    <t>ORD-17604</t>
  </si>
  <si>
    <t>ORD-17605</t>
  </si>
  <si>
    <t>ORD-17606</t>
  </si>
  <si>
    <t>ORD-17607</t>
  </si>
  <si>
    <t>ORD-17608</t>
  </si>
  <si>
    <t>ORD-17609</t>
  </si>
  <si>
    <t>ORD-17610</t>
  </si>
  <si>
    <t>ORD-17611</t>
  </si>
  <si>
    <t>ORD-17612</t>
  </si>
  <si>
    <t>ORD-17613</t>
  </si>
  <si>
    <t>ORD-17614</t>
  </si>
  <si>
    <t>ORD-17615</t>
  </si>
  <si>
    <t>ORD-17616</t>
  </si>
  <si>
    <t>ORD-17617</t>
  </si>
  <si>
    <t>ORD-17618</t>
  </si>
  <si>
    <t>ORD-17619</t>
  </si>
  <si>
    <t>ORD-17620</t>
  </si>
  <si>
    <t>ORD-17621</t>
  </si>
  <si>
    <t>ORD-17622</t>
  </si>
  <si>
    <t>ORD-17623</t>
  </si>
  <si>
    <t>ORD-17624</t>
  </si>
  <si>
    <t>ORD-17625</t>
  </si>
  <si>
    <t>ORD-17626</t>
  </si>
  <si>
    <t>ORD-17627</t>
  </si>
  <si>
    <t>ORD-17628</t>
  </si>
  <si>
    <t>ORD-17629</t>
  </si>
  <si>
    <t>ORD-17630</t>
  </si>
  <si>
    <t>ORD-17631</t>
  </si>
  <si>
    <t>ORD-17632</t>
  </si>
  <si>
    <t>ORD-17633</t>
  </si>
  <si>
    <t>ORD-17634</t>
  </si>
  <si>
    <t>ORD-17635</t>
  </si>
  <si>
    <t>ORD-17636</t>
  </si>
  <si>
    <t>ORD-17637</t>
  </si>
  <si>
    <t>ORD-17638</t>
  </si>
  <si>
    <t>ORD-17639</t>
  </si>
  <si>
    <t>ORD-17640</t>
  </si>
  <si>
    <t>ORD-17641</t>
  </si>
  <si>
    <t>ORD-17642</t>
  </si>
  <si>
    <t>ORD-17643</t>
  </si>
  <si>
    <t>ORD-17644</t>
  </si>
  <si>
    <t>ORD-17645</t>
  </si>
  <si>
    <t>ORD-17646</t>
  </si>
  <si>
    <t>ORD-17647</t>
  </si>
  <si>
    <t>ORD-17648</t>
  </si>
  <si>
    <t>ORD-17649</t>
  </si>
  <si>
    <t>ORD-17650</t>
  </si>
  <si>
    <t>ORD-17651</t>
  </si>
  <si>
    <t>ORD-17652</t>
  </si>
  <si>
    <t>ORD-17653</t>
  </si>
  <si>
    <t>ORD-17654</t>
  </si>
  <si>
    <t>ORD-17655</t>
  </si>
  <si>
    <t>ORD-17656</t>
  </si>
  <si>
    <t>ORD-17657</t>
  </si>
  <si>
    <t>ORD-17658</t>
  </si>
  <si>
    <t>ORD-17659</t>
  </si>
  <si>
    <t>ORD-17660</t>
  </si>
  <si>
    <t>ORD-17661</t>
  </si>
  <si>
    <t>ORD-17662</t>
  </si>
  <si>
    <t>ORD-17663</t>
  </si>
  <si>
    <t>ORD-17664</t>
  </si>
  <si>
    <t>ORD-17665</t>
  </si>
  <si>
    <t>ORD-17666</t>
  </si>
  <si>
    <t>ORD-17667</t>
  </si>
  <si>
    <t>ORD-17668</t>
  </si>
  <si>
    <t>ORD-17669</t>
  </si>
  <si>
    <t>ORD-17670</t>
  </si>
  <si>
    <t>ORD-17671</t>
  </si>
  <si>
    <t>ORD-17672</t>
  </si>
  <si>
    <t>ORD-17673</t>
  </si>
  <si>
    <t>ORD-17674</t>
  </si>
  <si>
    <t>ORD-17675</t>
  </si>
  <si>
    <t>ORD-17676</t>
  </si>
  <si>
    <t>ORD-17677</t>
  </si>
  <si>
    <t>ORD-17678</t>
  </si>
  <si>
    <t>ORD-17679</t>
  </si>
  <si>
    <t>ORD-17680</t>
  </si>
  <si>
    <t>ORD-17681</t>
  </si>
  <si>
    <t>ORD-17682</t>
  </si>
  <si>
    <t>ORD-17683</t>
  </si>
  <si>
    <t>ORD-17684</t>
  </si>
  <si>
    <t>ORD-17685</t>
  </si>
  <si>
    <t>ORD-17686</t>
  </si>
  <si>
    <t>ORD-17687</t>
  </si>
  <si>
    <t>ORD-17688</t>
  </si>
  <si>
    <t>ORD-17689</t>
  </si>
  <si>
    <t>ORD-17690</t>
  </si>
  <si>
    <t>ORD-17691</t>
  </si>
  <si>
    <t>ORD-17692</t>
  </si>
  <si>
    <t>ORD-17693</t>
  </si>
  <si>
    <t>ORD-17694</t>
  </si>
  <si>
    <t>ORD-17695</t>
  </si>
  <si>
    <t>ORD-17696</t>
  </si>
  <si>
    <t>ORD-17697</t>
  </si>
  <si>
    <t>ORD-17698</t>
  </si>
  <si>
    <t>ORD-17699</t>
  </si>
  <si>
    <t>ORD-17700</t>
  </si>
  <si>
    <t>ORD-17701</t>
  </si>
  <si>
    <t>ORD-17702</t>
  </si>
  <si>
    <t>ORD-17703</t>
  </si>
  <si>
    <t>ORD-17704</t>
  </si>
  <si>
    <t>ORD-17705</t>
  </si>
  <si>
    <t>ORD-17706</t>
  </si>
  <si>
    <t>ORD-17707</t>
  </si>
  <si>
    <t>ORD-17708</t>
  </si>
  <si>
    <t>ORD-17709</t>
  </si>
  <si>
    <t>ORD-17710</t>
  </si>
  <si>
    <t>ORD-17711</t>
  </si>
  <si>
    <t>ORD-17712</t>
  </si>
  <si>
    <t>ORD-17713</t>
  </si>
  <si>
    <t>ORD-17714</t>
  </si>
  <si>
    <t>ORD-17715</t>
  </si>
  <si>
    <t>ORD-17716</t>
  </si>
  <si>
    <t>ORD-17717</t>
  </si>
  <si>
    <t>ORD-17718</t>
  </si>
  <si>
    <t>ORD-17719</t>
  </si>
  <si>
    <t>ORD-17720</t>
  </si>
  <si>
    <t>ORD-17721</t>
  </si>
  <si>
    <t>ORD-17722</t>
  </si>
  <si>
    <t>ORD-17723</t>
  </si>
  <si>
    <t>ORD-17724</t>
  </si>
  <si>
    <t>ORD-17725</t>
  </si>
  <si>
    <t>ORD-17726</t>
  </si>
  <si>
    <t>ORD-17727</t>
  </si>
  <si>
    <t>ORD-17728</t>
  </si>
  <si>
    <t>ORD-17729</t>
  </si>
  <si>
    <t>ORD-17730</t>
  </si>
  <si>
    <t>ORD-17731</t>
  </si>
  <si>
    <t>ORD-17732</t>
  </si>
  <si>
    <t>ORD-17733</t>
  </si>
  <si>
    <t>ORD-17734</t>
  </si>
  <si>
    <t>ORD-17735</t>
  </si>
  <si>
    <t>ORD-17736</t>
  </si>
  <si>
    <t>ORD-17737</t>
  </si>
  <si>
    <t>ORD-17738</t>
  </si>
  <si>
    <t>ORD-17739</t>
  </si>
  <si>
    <t>ORD-17740</t>
  </si>
  <si>
    <t>ORD-17741</t>
  </si>
  <si>
    <t>ORD-17742</t>
  </si>
  <si>
    <t>ORD-17743</t>
  </si>
  <si>
    <t>ORD-17744</t>
  </si>
  <si>
    <t>ORD-17745</t>
  </si>
  <si>
    <t>ORD-17746</t>
  </si>
  <si>
    <t>ORD-17747</t>
  </si>
  <si>
    <t>ORD-17748</t>
  </si>
  <si>
    <t>ORD-17749</t>
  </si>
  <si>
    <t>ORD-17750</t>
  </si>
  <si>
    <t>ORD-17751</t>
  </si>
  <si>
    <t>ORD-17752</t>
  </si>
  <si>
    <t>ORD-17753</t>
  </si>
  <si>
    <t>ORD-17754</t>
  </si>
  <si>
    <t>ORD-17755</t>
  </si>
  <si>
    <t>ORD-17756</t>
  </si>
  <si>
    <t>ORD-17757</t>
  </si>
  <si>
    <t>ORD-17758</t>
  </si>
  <si>
    <t>ORD-17759</t>
  </si>
  <si>
    <t>ORD-17760</t>
  </si>
  <si>
    <t>ORD-17761</t>
  </si>
  <si>
    <t>ORD-17762</t>
  </si>
  <si>
    <t>ORD-17763</t>
  </si>
  <si>
    <t>ORD-17764</t>
  </si>
  <si>
    <t>ORD-17765</t>
  </si>
  <si>
    <t>ORD-17766</t>
  </si>
  <si>
    <t>ORD-17767</t>
  </si>
  <si>
    <t>ORD-17768</t>
  </si>
  <si>
    <t>ORD-17769</t>
  </si>
  <si>
    <t>ORD-17770</t>
  </si>
  <si>
    <t>ORD-17771</t>
  </si>
  <si>
    <t>ORD-17772</t>
  </si>
  <si>
    <t>ORD-17773</t>
  </si>
  <si>
    <t>ORD-17774</t>
  </si>
  <si>
    <t>ORD-17775</t>
  </si>
  <si>
    <t>ORD-17776</t>
  </si>
  <si>
    <t>ORD-17777</t>
  </si>
  <si>
    <t>ORD-17778</t>
  </si>
  <si>
    <t>ORD-17779</t>
  </si>
  <si>
    <t>ORD-17780</t>
  </si>
  <si>
    <t>ORD-17781</t>
  </si>
  <si>
    <t>ORD-17782</t>
  </si>
  <si>
    <t>ORD-17783</t>
  </si>
  <si>
    <t>ORD-17784</t>
  </si>
  <si>
    <t>ORD-17785</t>
  </si>
  <si>
    <t>ORD-17786</t>
  </si>
  <si>
    <t>ORD-17787</t>
  </si>
  <si>
    <t>ORD-17788</t>
  </si>
  <si>
    <t>ORD-17789</t>
  </si>
  <si>
    <t>ORD-17790</t>
  </si>
  <si>
    <t>ORD-17791</t>
  </si>
  <si>
    <t>ORD-17792</t>
  </si>
  <si>
    <t>ORD-17793</t>
  </si>
  <si>
    <t>ORD-17794</t>
  </si>
  <si>
    <t>ORD-17795</t>
  </si>
  <si>
    <t>ORD-17796</t>
  </si>
  <si>
    <t>ORD-17797</t>
  </si>
  <si>
    <t>ORD-17798</t>
  </si>
  <si>
    <t>ORD-17799</t>
  </si>
  <si>
    <t>ORD-17800</t>
  </si>
  <si>
    <t>ORD-17801</t>
  </si>
  <si>
    <t>ORD-17802</t>
  </si>
  <si>
    <t>ORD-17803</t>
  </si>
  <si>
    <t>ORD-17804</t>
  </si>
  <si>
    <t>ORD-17805</t>
  </si>
  <si>
    <t>ORD-17806</t>
  </si>
  <si>
    <t>ORD-17807</t>
  </si>
  <si>
    <t>ORD-17808</t>
  </si>
  <si>
    <t>ORD-17809</t>
  </si>
  <si>
    <t>ORD-17810</t>
  </si>
  <si>
    <t>ORD-17811</t>
  </si>
  <si>
    <t>ORD-17812</t>
  </si>
  <si>
    <t>ORD-17813</t>
  </si>
  <si>
    <t>ORD-17814</t>
  </si>
  <si>
    <t>ORD-17815</t>
  </si>
  <si>
    <t>ORD-17816</t>
  </si>
  <si>
    <t>ORD-17817</t>
  </si>
  <si>
    <t>ORD-17818</t>
  </si>
  <si>
    <t>ORD-17819</t>
  </si>
  <si>
    <t>ORD-17820</t>
  </si>
  <si>
    <t>ORD-17821</t>
  </si>
  <si>
    <t>ORD-17822</t>
  </si>
  <si>
    <t>ORD-17823</t>
  </si>
  <si>
    <t>ORD-17824</t>
  </si>
  <si>
    <t>ORD-17825</t>
  </si>
  <si>
    <t>ORD-17826</t>
  </si>
  <si>
    <t>ORD-17827</t>
  </si>
  <si>
    <t>ORD-17828</t>
  </si>
  <si>
    <t>ORD-17829</t>
  </si>
  <si>
    <t>ORD-17830</t>
  </si>
  <si>
    <t>ORD-17831</t>
  </si>
  <si>
    <t>ORD-17832</t>
  </si>
  <si>
    <t>ORD-17833</t>
  </si>
  <si>
    <t>ORD-17834</t>
  </si>
  <si>
    <t>ORD-17835</t>
  </si>
  <si>
    <t>ORD-17836</t>
  </si>
  <si>
    <t>ORD-17837</t>
  </si>
  <si>
    <t>ORD-17838</t>
  </si>
  <si>
    <t>ORD-17839</t>
  </si>
  <si>
    <t>ORD-17840</t>
  </si>
  <si>
    <t>ORD-17841</t>
  </si>
  <si>
    <t>ORD-17842</t>
  </si>
  <si>
    <t>ORD-17843</t>
  </si>
  <si>
    <t>ORD-17844</t>
  </si>
  <si>
    <t>ORD-17845</t>
  </si>
  <si>
    <t>ORD-17846</t>
  </si>
  <si>
    <t>ORD-17847</t>
  </si>
  <si>
    <t>ORD-17848</t>
  </si>
  <si>
    <t>ORD-17849</t>
  </si>
  <si>
    <t>ORD-17850</t>
  </si>
  <si>
    <t>ORD-17851</t>
  </si>
  <si>
    <t>ORD-17852</t>
  </si>
  <si>
    <t>ORD-17853</t>
  </si>
  <si>
    <t>ORD-17854</t>
  </si>
  <si>
    <t>ORD-17855</t>
  </si>
  <si>
    <t>ORD-17856</t>
  </si>
  <si>
    <t>ORD-17857</t>
  </si>
  <si>
    <t>ORD-17858</t>
  </si>
  <si>
    <t>ORD-17859</t>
  </si>
  <si>
    <t>ORD-17860</t>
  </si>
  <si>
    <t>ORD-17861</t>
  </si>
  <si>
    <t>ORD-17862</t>
  </si>
  <si>
    <t>ORD-17863</t>
  </si>
  <si>
    <t>ORD-17864</t>
  </si>
  <si>
    <t>ORD-17865</t>
  </si>
  <si>
    <t>ORD-17866</t>
  </si>
  <si>
    <t>ORD-17867</t>
  </si>
  <si>
    <t>ORD-17868</t>
  </si>
  <si>
    <t>ORD-17869</t>
  </si>
  <si>
    <t>ORD-17870</t>
  </si>
  <si>
    <t>ORD-17871</t>
  </si>
  <si>
    <t>ORD-17872</t>
  </si>
  <si>
    <t>ORD-17873</t>
  </si>
  <si>
    <t>ORD-17874</t>
  </si>
  <si>
    <t>ORD-17875</t>
  </si>
  <si>
    <t>ORD-17876</t>
  </si>
  <si>
    <t>ORD-17877</t>
  </si>
  <si>
    <t>ORD-17878</t>
  </si>
  <si>
    <t>ORD-17879</t>
  </si>
  <si>
    <t>ORD-17880</t>
  </si>
  <si>
    <t>ORD-17881</t>
  </si>
  <si>
    <t>ORD-17882</t>
  </si>
  <si>
    <t>ORD-17883</t>
  </si>
  <si>
    <t>ORD-17884</t>
  </si>
  <si>
    <t>ORD-17885</t>
  </si>
  <si>
    <t>ORD-17886</t>
  </si>
  <si>
    <t>ORD-17887</t>
  </si>
  <si>
    <t>ORD-17888</t>
  </si>
  <si>
    <t>ORD-17889</t>
  </si>
  <si>
    <t>ORD-17890</t>
  </si>
  <si>
    <t>ORD-17891</t>
  </si>
  <si>
    <t>ORD-17892</t>
  </si>
  <si>
    <t>ORD-17893</t>
  </si>
  <si>
    <t>ORD-17894</t>
  </si>
  <si>
    <t>ORD-17895</t>
  </si>
  <si>
    <t>ORD-17896</t>
  </si>
  <si>
    <t>ORD-17897</t>
  </si>
  <si>
    <t>ORD-17898</t>
  </si>
  <si>
    <t>ORD-17899</t>
  </si>
  <si>
    <t>ORD-17900</t>
  </si>
  <si>
    <t>ORD-17901</t>
  </si>
  <si>
    <t>ORD-17902</t>
  </si>
  <si>
    <t>ORD-17903</t>
  </si>
  <si>
    <t>ORD-17904</t>
  </si>
  <si>
    <t>ORD-17905</t>
  </si>
  <si>
    <t>ORD-17906</t>
  </si>
  <si>
    <t>ORD-17907</t>
  </si>
  <si>
    <t>ORD-17908</t>
  </si>
  <si>
    <t>ORD-17909</t>
  </si>
  <si>
    <t>ORD-17910</t>
  </si>
  <si>
    <t>ORD-17911</t>
  </si>
  <si>
    <t>ORD-17912</t>
  </si>
  <si>
    <t>ORD-17913</t>
  </si>
  <si>
    <t>ORD-17914</t>
  </si>
  <si>
    <t>ORD-17915</t>
  </si>
  <si>
    <t>ORD-17916</t>
  </si>
  <si>
    <t>ORD-17917</t>
  </si>
  <si>
    <t>ORD-17918</t>
  </si>
  <si>
    <t>ORD-17919</t>
  </si>
  <si>
    <t>ORD-17920</t>
  </si>
  <si>
    <t>ORD-17921</t>
  </si>
  <si>
    <t>ORD-17922</t>
  </si>
  <si>
    <t>ORD-17923</t>
  </si>
  <si>
    <t>ORD-17924</t>
  </si>
  <si>
    <t>ORD-17925</t>
  </si>
  <si>
    <t>ORD-17926</t>
  </si>
  <si>
    <t>ORD-17927</t>
  </si>
  <si>
    <t>ORD-17928</t>
  </si>
  <si>
    <t>ORD-17929</t>
  </si>
  <si>
    <t>ORD-17930</t>
  </si>
  <si>
    <t>ORD-17931</t>
  </si>
  <si>
    <t>ORD-17932</t>
  </si>
  <si>
    <t>ORD-17933</t>
  </si>
  <si>
    <t>ORD-17934</t>
  </si>
  <si>
    <t>ORD-17935</t>
  </si>
  <si>
    <t>ORD-17936</t>
  </si>
  <si>
    <t>ORD-17937</t>
  </si>
  <si>
    <t>ORD-17938</t>
  </si>
  <si>
    <t>ORD-17939</t>
  </si>
  <si>
    <t>ORD-17940</t>
  </si>
  <si>
    <t>ORD-17941</t>
  </si>
  <si>
    <t>ORD-17942</t>
  </si>
  <si>
    <t>ORD-17943</t>
  </si>
  <si>
    <t>ORD-17944</t>
  </si>
  <si>
    <t>ORD-17945</t>
  </si>
  <si>
    <t>ORD-17946</t>
  </si>
  <si>
    <t>ORD-17947</t>
  </si>
  <si>
    <t>ORD-17948</t>
  </si>
  <si>
    <t>ORD-17949</t>
  </si>
  <si>
    <t>ORD-17950</t>
  </si>
  <si>
    <t>ORD-17951</t>
  </si>
  <si>
    <t>ORD-17952</t>
  </si>
  <si>
    <t>ORD-17953</t>
  </si>
  <si>
    <t>ORD-17954</t>
  </si>
  <si>
    <t>ORD-17955</t>
  </si>
  <si>
    <t>ORD-17956</t>
  </si>
  <si>
    <t>ORD-17957</t>
  </si>
  <si>
    <t>ORD-17958</t>
  </si>
  <si>
    <t>ORD-17959</t>
  </si>
  <si>
    <t>ORD-17960</t>
  </si>
  <si>
    <t>ORD-17961</t>
  </si>
  <si>
    <t>ORD-17962</t>
  </si>
  <si>
    <t>ORD-17963</t>
  </si>
  <si>
    <t>ORD-17964</t>
  </si>
  <si>
    <t>ORD-17965</t>
  </si>
  <si>
    <t>ORD-17966</t>
  </si>
  <si>
    <t>ORD-17967</t>
  </si>
  <si>
    <t>ORD-17968</t>
  </si>
  <si>
    <t>ORD-17969</t>
  </si>
  <si>
    <t>ORD-17970</t>
  </si>
  <si>
    <t>ORD-17971</t>
  </si>
  <si>
    <t>ORD-17972</t>
  </si>
  <si>
    <t>ORD-17973</t>
  </si>
  <si>
    <t>ORD-17974</t>
  </si>
  <si>
    <t>ORD-17975</t>
  </si>
  <si>
    <t>ORD-17976</t>
  </si>
  <si>
    <t>ORD-17977</t>
  </si>
  <si>
    <t>ORD-17978</t>
  </si>
  <si>
    <t>ORD-17979</t>
  </si>
  <si>
    <t>ORD-17980</t>
  </si>
  <si>
    <t>ORD-17981</t>
  </si>
  <si>
    <t>ORD-17982</t>
  </si>
  <si>
    <t>ORD-17983</t>
  </si>
  <si>
    <t>ORD-17984</t>
  </si>
  <si>
    <t>ORD-17985</t>
  </si>
  <si>
    <t>ORD-17986</t>
  </si>
  <si>
    <t>ORD-17987</t>
  </si>
  <si>
    <t>ORD-17988</t>
  </si>
  <si>
    <t>ORD-17989</t>
  </si>
  <si>
    <t>ORD-17990</t>
  </si>
  <si>
    <t>ORD-17991</t>
  </si>
  <si>
    <t>ORD-17992</t>
  </si>
  <si>
    <t>ORD-17993</t>
  </si>
  <si>
    <t>ORD-17994</t>
  </si>
  <si>
    <t>ORD-17995</t>
  </si>
  <si>
    <t>ORD-17996</t>
  </si>
  <si>
    <t>ORD-17997</t>
  </si>
  <si>
    <t>ORD-17998</t>
  </si>
  <si>
    <t>ORD-17999</t>
  </si>
  <si>
    <t>ORD-18000</t>
  </si>
  <si>
    <t>Pivot Table Sales by Region Pivot</t>
  </si>
  <si>
    <t>Sum of Sales</t>
  </si>
  <si>
    <t>Grand Total</t>
  </si>
  <si>
    <t>Pivot Table Profit by Category</t>
  </si>
  <si>
    <t>Sum of Profit</t>
  </si>
  <si>
    <t>Monthly Sales Trend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</si>
  <si>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</si>
  <si>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</si>
  <si>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</si>
  <si>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</si>
  <si>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</si>
  <si>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</si>
  <si>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</si>
  <si>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</si>
  <si>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</si>
  <si>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</si>
  <si>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</si>
  <si>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</si>
  <si>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SUPERSTORE SALES DASHBOARD</t>
  </si>
  <si>
    <t>Profit by Category</t>
  </si>
  <si>
    <t>Sales by 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</si>
</sst>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:mm:ss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8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</fills>
  <borders count="11">
    <border/>
    <border>
      <left/>
      <top/>
    </border>
    <border>
      <right/>
      <top/>
    </border>
    <border>
      <left/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0" fillId="0" fontId="2" numFmtId="0" xfId="0" applyFont="1"/>
    <xf borderId="0" fillId="0" fontId="2" numFmtId="0" xfId="0" applyAlignment="1" applyFont="1">
      <alignment horizontal="left"/>
    </xf>
    <xf borderId="5" fillId="3" fontId="5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8" fillId="4" fontId="2" numFmtId="0" xfId="0" applyBorder="1" applyFill="1" applyFont="1"/>
    <xf borderId="1" fillId="4" fontId="6" numFmtId="0" xfId="0" applyAlignment="1" applyBorder="1" applyFont="1">
      <alignment horizontal="center" readingOrder="0" shrinkToFit="0" vertical="center" wrapText="1"/>
    </xf>
    <xf borderId="9" fillId="0" fontId="4" numFmtId="0" xfId="0" applyBorder="1" applyFont="1"/>
    <xf borderId="10" fillId="0" fontId="4" numFmtId="0" xfId="0" applyBorder="1" applyFont="1"/>
    <xf borderId="0" fillId="4" fontId="1" numFmtId="0" xfId="0" applyFont="1"/>
    <xf borderId="8" fillId="4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Tables'!$A$4:$A$8</c:f>
            </c:strRef>
          </c:cat>
          <c:val>
            <c:numRef>
              <c:f>'Pivot Tables'!$B$4:$B$8</c:f>
              <c:numCache/>
            </c:numRef>
          </c:val>
        </c:ser>
        <c:axId val="1412778728"/>
        <c:axId val="1321469239"/>
      </c:barChart>
      <c:catAx>
        <c:axId val="1412778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1469239"/>
      </c:catAx>
      <c:valAx>
        <c:axId val="1321469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277872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'Pivot Tables'!$B$14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Tables'!$A$15:$A$18</c:f>
            </c:strRef>
          </c:cat>
          <c:val>
            <c:numRef>
              <c:f>'Pivot Tables'!$B$15:$B$18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'Pivot Tables'!$A$25:$A$37</c:f>
            </c:strRef>
          </c:cat>
          <c:val>
            <c:numRef>
              <c:f>'Pivot Tables'!$B$25:$B$37</c:f>
              <c:numCache/>
            </c:numRef>
          </c:val>
          <c:smooth val="1"/>
        </c:ser>
        <c:axId val="1471128656"/>
        <c:axId val="1470423050"/>
      </c:lineChart>
      <c:catAx>
        <c:axId val="1471128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0423050"/>
      </c:catAx>
      <c:valAx>
        <c:axId val="1470423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112865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6</xdr:row>
      <xdr:rowOff>85725</xdr:rowOff>
    </xdr:from>
    <xdr:ext cx="3771900" cy="2286000"/>
    <xdr:graphicFrame>
      <xdr:nvGraphicFramePr>
        <xdr:cNvPr id="139985991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390525</xdr:colOff>
      <xdr:row>6</xdr:row>
      <xdr:rowOff>85725</xdr:rowOff>
    </xdr:from>
    <xdr:ext cx="3771900" cy="2286000"/>
    <xdr:graphicFrame>
      <xdr:nvGraphicFramePr>
        <xdr:cNvPr id="160308309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85725</xdr:colOff>
      <xdr:row>24</xdr:row>
      <xdr:rowOff>38100</xdr:rowOff>
    </xdr:from>
    <xdr:ext cx="8143875" cy="2390775"/>
    <xdr:graphicFrame>
      <xdr:nvGraphicFramePr>
        <xdr:cNvPr id="40021465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8001" sheet="Data"/>
  </cacheSource>
  <cacheFields>
    <cacheField name="Order ID" numFmtId="0">
      <sharedItems>
        <s v="ORD-10001"/>
        <s v="ORD-10002"/>
        <s v="ORD-10003"/>
        <s v="ORD-10004"/>
        <s v="ORD-10005"/>
        <s v="ORD-10006"/>
        <s v="ORD-10007"/>
        <s v="ORD-10008"/>
        <s v="ORD-10009"/>
        <s v="ORD-10010"/>
        <s v="ORD-10011"/>
        <s v="ORD-10012"/>
        <s v="ORD-10013"/>
        <s v="ORD-10014"/>
        <s v="ORD-10015"/>
        <s v="ORD-10016"/>
        <s v="ORD-10017"/>
        <s v="ORD-10018"/>
        <s v="ORD-10019"/>
        <s v="ORD-10020"/>
        <s v="ORD-10021"/>
        <s v="ORD-10022"/>
        <s v="ORD-10023"/>
        <s v="ORD-10024"/>
        <s v="ORD-10025"/>
        <s v="ORD-10026"/>
        <s v="ORD-10027"/>
        <s v="ORD-10028"/>
        <s v="ORD-10029"/>
        <s v="ORD-10030"/>
        <s v="ORD-10031"/>
        <s v="ORD-10032"/>
        <s v="ORD-10033"/>
        <s v="ORD-10034"/>
        <s v="ORD-10035"/>
        <s v="ORD-10036"/>
        <s v="ORD-10037"/>
        <s v="ORD-10038"/>
        <s v="ORD-10039"/>
        <s v="ORD-10040"/>
        <s v="ORD-10041"/>
        <s v="ORD-10042"/>
        <s v="ORD-10043"/>
        <s v="ORD-10044"/>
        <s v="ORD-10045"/>
        <s v="ORD-10046"/>
        <s v="ORD-10047"/>
        <s v="ORD-10048"/>
        <s v="ORD-10049"/>
        <s v="ORD-10050"/>
        <s v="ORD-10051"/>
        <s v="ORD-10052"/>
        <s v="ORD-10053"/>
        <s v="ORD-10054"/>
        <s v="ORD-10055"/>
        <s v="ORD-10056"/>
        <s v="ORD-10057"/>
        <s v="ORD-10058"/>
        <s v="ORD-10059"/>
        <s v="ORD-10060"/>
        <s v="ORD-10061"/>
        <s v="ORD-10062"/>
        <s v="ORD-10063"/>
        <s v="ORD-10064"/>
        <s v="ORD-10065"/>
        <s v="ORD-10066"/>
        <s v="ORD-10067"/>
        <s v="ORD-10068"/>
        <s v="ORD-10069"/>
        <s v="ORD-10070"/>
        <s v="ORD-10071"/>
        <s v="ORD-10072"/>
        <s v="ORD-10073"/>
        <s v="ORD-10074"/>
        <s v="ORD-10075"/>
        <s v="ORD-10076"/>
        <s v="ORD-10077"/>
        <s v="ORD-10078"/>
        <s v="ORD-10079"/>
        <s v="ORD-10080"/>
        <s v="ORD-10081"/>
        <s v="ORD-10082"/>
        <s v="ORD-10083"/>
        <s v="ORD-10084"/>
        <s v="ORD-10085"/>
        <s v="ORD-10086"/>
        <s v="ORD-10087"/>
        <s v="ORD-10088"/>
        <s v="ORD-10089"/>
        <s v="ORD-10090"/>
        <s v="ORD-10091"/>
        <s v="ORD-10092"/>
        <s v="ORD-10093"/>
        <s v="ORD-10094"/>
        <s v="ORD-10095"/>
        <s v="ORD-10096"/>
        <s v="ORD-10097"/>
        <s v="ORD-10098"/>
        <s v="ORD-10099"/>
        <s v="ORD-10100"/>
        <s v="ORD-10101"/>
        <s v="ORD-10102"/>
        <s v="ORD-10103"/>
        <s v="ORD-10104"/>
        <s v="ORD-10105"/>
        <s v="ORD-10106"/>
        <s v="ORD-10107"/>
        <s v="ORD-10108"/>
        <s v="ORD-10109"/>
        <s v="ORD-10110"/>
        <s v="ORD-10111"/>
        <s v="ORD-10112"/>
        <s v="ORD-10113"/>
        <s v="ORD-10114"/>
        <s v="ORD-10115"/>
        <s v="ORD-10116"/>
        <s v="ORD-10117"/>
        <s v="ORD-10118"/>
        <s v="ORD-10119"/>
        <s v="ORD-10120"/>
        <s v="ORD-10121"/>
        <s v="ORD-10122"/>
        <s v="ORD-10123"/>
        <s v="ORD-10124"/>
        <s v="ORD-10125"/>
        <s v="ORD-10126"/>
        <s v="ORD-10127"/>
        <s v="ORD-10128"/>
        <s v="ORD-10129"/>
        <s v="ORD-10130"/>
        <s v="ORD-10131"/>
        <s v="ORD-10132"/>
        <s v="ORD-10133"/>
        <s v="ORD-10134"/>
        <s v="ORD-10135"/>
        <s v="ORD-10136"/>
        <s v="ORD-10137"/>
        <s v="ORD-10138"/>
        <s v="ORD-10139"/>
        <s v="ORD-10140"/>
        <s v="ORD-10141"/>
        <s v="ORD-10142"/>
        <s v="ORD-10143"/>
        <s v="ORD-10144"/>
        <s v="ORD-10145"/>
        <s v="ORD-10146"/>
        <s v="ORD-10147"/>
        <s v="ORD-10148"/>
        <s v="ORD-10149"/>
        <s v="ORD-10150"/>
        <s v="ORD-10151"/>
        <s v="ORD-10152"/>
        <s v="ORD-10153"/>
        <s v="ORD-10154"/>
        <s v="ORD-10155"/>
        <s v="ORD-10156"/>
        <s v="ORD-10157"/>
        <s v="ORD-10158"/>
        <s v="ORD-10159"/>
        <s v="ORD-10160"/>
        <s v="ORD-10161"/>
        <s v="ORD-10162"/>
        <s v="ORD-10163"/>
        <s v="ORD-10164"/>
        <s v="ORD-10165"/>
        <s v="ORD-10166"/>
        <s v="ORD-10167"/>
        <s v="ORD-10168"/>
        <s v="ORD-10169"/>
        <s v="ORD-10170"/>
        <s v="ORD-10171"/>
        <s v="ORD-10172"/>
        <s v="ORD-10173"/>
        <s v="ORD-10174"/>
        <s v="ORD-10175"/>
        <s v="ORD-10176"/>
        <s v="ORD-10177"/>
        <s v="ORD-10178"/>
        <s v="ORD-10179"/>
        <s v="ORD-10180"/>
        <s v="ORD-10181"/>
        <s v="ORD-10182"/>
        <s v="ORD-10183"/>
        <s v="ORD-10184"/>
        <s v="ORD-10185"/>
        <s v="ORD-10186"/>
        <s v="ORD-10187"/>
        <s v="ORD-10188"/>
        <s v="ORD-10189"/>
        <s v="ORD-10190"/>
        <s v="ORD-10191"/>
        <s v="ORD-10192"/>
        <s v="ORD-10193"/>
        <s v="ORD-10194"/>
        <s v="ORD-10195"/>
        <s v="ORD-10196"/>
        <s v="ORD-10197"/>
        <s v="ORD-10198"/>
        <s v="ORD-10199"/>
        <s v="ORD-10200"/>
        <s v="ORD-10201"/>
        <s v="ORD-10202"/>
        <s v="ORD-10203"/>
        <s v="ORD-10204"/>
        <s v="ORD-10205"/>
        <s v="ORD-10206"/>
        <s v="ORD-10207"/>
        <s v="ORD-10208"/>
        <s v="ORD-10209"/>
        <s v="ORD-10210"/>
        <s v="ORD-10211"/>
        <s v="ORD-10212"/>
        <s v="ORD-10213"/>
        <s v="ORD-10214"/>
        <s v="ORD-10215"/>
        <s v="ORD-10216"/>
        <s v="ORD-10217"/>
        <s v="ORD-10218"/>
        <s v="ORD-10219"/>
        <s v="ORD-10220"/>
        <s v="ORD-10221"/>
        <s v="ORD-10222"/>
        <s v="ORD-10223"/>
        <s v="ORD-10224"/>
        <s v="ORD-10225"/>
        <s v="ORD-10226"/>
        <s v="ORD-10227"/>
        <s v="ORD-10228"/>
        <s v="ORD-10229"/>
        <s v="ORD-10230"/>
        <s v="ORD-10231"/>
        <s v="ORD-10232"/>
        <s v="ORD-10233"/>
        <s v="ORD-10234"/>
        <s v="ORD-10235"/>
        <s v="ORD-10236"/>
        <s v="ORD-10237"/>
        <s v="ORD-10238"/>
        <s v="ORD-10239"/>
        <s v="ORD-10240"/>
        <s v="ORD-10241"/>
        <s v="ORD-10242"/>
        <s v="ORD-10243"/>
        <s v="ORD-10244"/>
        <s v="ORD-10245"/>
        <s v="ORD-10246"/>
        <s v="ORD-10247"/>
        <s v="ORD-10248"/>
        <s v="ORD-10249"/>
        <s v="ORD-10250"/>
        <s v="ORD-10251"/>
        <s v="ORD-10252"/>
        <s v="ORD-10253"/>
        <s v="ORD-10254"/>
        <s v="ORD-10255"/>
        <s v="ORD-10256"/>
        <s v="ORD-10257"/>
        <s v="ORD-10258"/>
        <s v="ORD-10259"/>
        <s v="ORD-10260"/>
        <s v="ORD-10261"/>
        <s v="ORD-10262"/>
        <s v="ORD-10263"/>
        <s v="ORD-10264"/>
        <s v="ORD-10265"/>
        <s v="ORD-10266"/>
        <s v="ORD-10267"/>
        <s v="ORD-10268"/>
        <s v="ORD-10269"/>
        <s v="ORD-10270"/>
        <s v="ORD-10271"/>
        <s v="ORD-10272"/>
        <s v="ORD-10273"/>
        <s v="ORD-10274"/>
        <s v="ORD-10275"/>
        <s v="ORD-10276"/>
        <s v="ORD-10277"/>
        <s v="ORD-10278"/>
        <s v="ORD-10279"/>
        <s v="ORD-10280"/>
        <s v="ORD-10281"/>
        <s v="ORD-10282"/>
        <s v="ORD-10283"/>
        <s v="ORD-10284"/>
        <s v="ORD-10285"/>
        <s v="ORD-10286"/>
        <s v="ORD-10287"/>
        <s v="ORD-10288"/>
        <s v="ORD-10289"/>
        <s v="ORD-10290"/>
        <s v="ORD-10291"/>
        <s v="ORD-10292"/>
        <s v="ORD-10293"/>
        <s v="ORD-10294"/>
        <s v="ORD-10295"/>
        <s v="ORD-10296"/>
        <s v="ORD-10297"/>
        <s v="ORD-10298"/>
        <s v="ORD-10299"/>
        <s v="ORD-10300"/>
        <s v="ORD-10301"/>
        <s v="ORD-10302"/>
        <s v="ORD-10303"/>
        <s v="ORD-10304"/>
        <s v="ORD-10305"/>
        <s v="ORD-10306"/>
        <s v="ORD-10307"/>
        <s v="ORD-10308"/>
        <s v="ORD-10309"/>
        <s v="ORD-10310"/>
        <s v="ORD-10311"/>
        <s v="ORD-10312"/>
        <s v="ORD-10313"/>
        <s v="ORD-10314"/>
        <s v="ORD-10315"/>
        <s v="ORD-10316"/>
        <s v="ORD-10317"/>
        <s v="ORD-10318"/>
        <s v="ORD-10319"/>
        <s v="ORD-10320"/>
        <s v="ORD-10321"/>
        <s v="ORD-10322"/>
        <s v="ORD-10323"/>
        <s v="ORD-10324"/>
        <s v="ORD-10325"/>
        <s v="ORD-10326"/>
        <s v="ORD-10327"/>
        <s v="ORD-10328"/>
        <s v="ORD-10329"/>
        <s v="ORD-10330"/>
        <s v="ORD-10331"/>
        <s v="ORD-10332"/>
        <s v="ORD-10333"/>
        <s v="ORD-10334"/>
        <s v="ORD-10335"/>
        <s v="ORD-10336"/>
        <s v="ORD-10337"/>
        <s v="ORD-10338"/>
        <s v="ORD-10339"/>
        <s v="ORD-10340"/>
        <s v="ORD-10341"/>
        <s v="ORD-10342"/>
        <s v="ORD-10343"/>
        <s v="ORD-10344"/>
        <s v="ORD-10345"/>
        <s v="ORD-10346"/>
        <s v="ORD-10347"/>
        <s v="ORD-10348"/>
        <s v="ORD-10349"/>
        <s v="ORD-10350"/>
        <s v="ORD-10351"/>
        <s v="ORD-10352"/>
        <s v="ORD-10353"/>
        <s v="ORD-10354"/>
        <s v="ORD-10355"/>
        <s v="ORD-10356"/>
        <s v="ORD-10357"/>
        <s v="ORD-10358"/>
        <s v="ORD-10359"/>
        <s v="ORD-10360"/>
        <s v="ORD-10361"/>
        <s v="ORD-10362"/>
        <s v="ORD-10363"/>
        <s v="ORD-10364"/>
        <s v="ORD-10365"/>
        <s v="ORD-10366"/>
        <s v="ORD-10367"/>
        <s v="ORD-10368"/>
        <s v="ORD-10369"/>
        <s v="ORD-10370"/>
        <s v="ORD-10371"/>
        <s v="ORD-10372"/>
        <s v="ORD-10373"/>
        <s v="ORD-10374"/>
        <s v="ORD-10375"/>
        <s v="ORD-10376"/>
        <s v="ORD-10377"/>
        <s v="ORD-10378"/>
        <s v="ORD-10379"/>
        <s v="ORD-10380"/>
        <s v="ORD-10381"/>
        <s v="ORD-10382"/>
        <s v="ORD-10383"/>
        <s v="ORD-10384"/>
        <s v="ORD-10385"/>
        <s v="ORD-10386"/>
        <s v="ORD-10387"/>
        <s v="ORD-10388"/>
        <s v="ORD-10389"/>
        <s v="ORD-10390"/>
        <s v="ORD-10391"/>
        <s v="ORD-10392"/>
        <s v="ORD-10393"/>
        <s v="ORD-10394"/>
        <s v="ORD-10395"/>
        <s v="ORD-10396"/>
        <s v="ORD-10397"/>
        <s v="ORD-10398"/>
        <s v="ORD-10399"/>
        <s v="ORD-10400"/>
        <s v="ORD-10401"/>
        <s v="ORD-10402"/>
        <s v="ORD-10403"/>
        <s v="ORD-10404"/>
        <s v="ORD-10405"/>
        <s v="ORD-10406"/>
        <s v="ORD-10407"/>
        <s v="ORD-10408"/>
        <s v="ORD-10409"/>
        <s v="ORD-10410"/>
        <s v="ORD-10411"/>
        <s v="ORD-10412"/>
        <s v="ORD-10413"/>
        <s v="ORD-10414"/>
        <s v="ORD-10415"/>
        <s v="ORD-10416"/>
        <s v="ORD-10417"/>
        <s v="ORD-10418"/>
        <s v="ORD-10419"/>
        <s v="ORD-10420"/>
        <s v="ORD-10421"/>
        <s v="ORD-10422"/>
        <s v="ORD-10423"/>
        <s v="ORD-10424"/>
        <s v="ORD-10425"/>
        <s v="ORD-10426"/>
        <s v="ORD-10427"/>
        <s v="ORD-10428"/>
        <s v="ORD-10429"/>
        <s v="ORD-10430"/>
        <s v="ORD-10431"/>
        <s v="ORD-10432"/>
        <s v="ORD-10433"/>
        <s v="ORD-10434"/>
        <s v="ORD-10435"/>
        <s v="ORD-10436"/>
        <s v="ORD-10437"/>
        <s v="ORD-10438"/>
        <s v="ORD-10439"/>
        <s v="ORD-10440"/>
        <s v="ORD-10441"/>
        <s v="ORD-10442"/>
        <s v="ORD-10443"/>
        <s v="ORD-10444"/>
        <s v="ORD-10445"/>
        <s v="ORD-10446"/>
        <s v="ORD-10447"/>
        <s v="ORD-10448"/>
        <s v="ORD-10449"/>
        <s v="ORD-10450"/>
        <s v="ORD-10451"/>
        <s v="ORD-10452"/>
        <s v="ORD-10453"/>
        <s v="ORD-10454"/>
        <s v="ORD-10455"/>
        <s v="ORD-10456"/>
        <s v="ORD-10457"/>
        <s v="ORD-10458"/>
        <s v="ORD-10459"/>
        <s v="ORD-10460"/>
        <s v="ORD-10461"/>
        <s v="ORD-10462"/>
        <s v="ORD-10463"/>
        <s v="ORD-10464"/>
        <s v="ORD-10465"/>
        <s v="ORD-10466"/>
        <s v="ORD-10467"/>
        <s v="ORD-10468"/>
        <s v="ORD-10469"/>
        <s v="ORD-10470"/>
        <s v="ORD-10471"/>
        <s v="ORD-10472"/>
        <s v="ORD-10473"/>
        <s v="ORD-10474"/>
        <s v="ORD-10475"/>
        <s v="ORD-10476"/>
        <s v="ORD-10477"/>
        <s v="ORD-10478"/>
        <s v="ORD-10479"/>
        <s v="ORD-10480"/>
        <s v="ORD-10481"/>
        <s v="ORD-10482"/>
        <s v="ORD-10483"/>
        <s v="ORD-10484"/>
        <s v="ORD-10485"/>
        <s v="ORD-10486"/>
        <s v="ORD-10487"/>
        <s v="ORD-10488"/>
        <s v="ORD-10489"/>
        <s v="ORD-10490"/>
        <s v="ORD-10491"/>
        <s v="ORD-10492"/>
        <s v="ORD-10493"/>
        <s v="ORD-10494"/>
        <s v="ORD-10495"/>
        <s v="ORD-10496"/>
        <s v="ORD-10497"/>
        <s v="ORD-10498"/>
        <s v="ORD-10499"/>
        <s v="ORD-10500"/>
        <s v="ORD-10501"/>
        <s v="ORD-10502"/>
        <s v="ORD-10503"/>
        <s v="ORD-10504"/>
        <s v="ORD-10505"/>
        <s v="ORD-10506"/>
        <s v="ORD-10507"/>
        <s v="ORD-10508"/>
        <s v="ORD-10509"/>
        <s v="ORD-10510"/>
        <s v="ORD-10511"/>
        <s v="ORD-10512"/>
        <s v="ORD-10513"/>
        <s v="ORD-10514"/>
        <s v="ORD-10515"/>
        <s v="ORD-10516"/>
        <s v="ORD-10517"/>
        <s v="ORD-10518"/>
        <s v="ORD-10519"/>
        <s v="ORD-10520"/>
        <s v="ORD-10521"/>
        <s v="ORD-10522"/>
        <s v="ORD-10523"/>
        <s v="ORD-10524"/>
        <s v="ORD-10525"/>
        <s v="ORD-10526"/>
        <s v="ORD-10527"/>
        <s v="ORD-10528"/>
        <s v="ORD-10529"/>
        <s v="ORD-10530"/>
        <s v="ORD-10531"/>
        <s v="ORD-10532"/>
        <s v="ORD-10533"/>
        <s v="ORD-10534"/>
        <s v="ORD-10535"/>
        <s v="ORD-10536"/>
        <s v="ORD-10537"/>
        <s v="ORD-10538"/>
        <s v="ORD-10539"/>
        <s v="ORD-10540"/>
        <s v="ORD-10541"/>
        <s v="ORD-10542"/>
        <s v="ORD-10543"/>
        <s v="ORD-10544"/>
        <s v="ORD-10545"/>
        <s v="ORD-10546"/>
        <s v="ORD-10547"/>
        <s v="ORD-10548"/>
        <s v="ORD-10549"/>
        <s v="ORD-10550"/>
        <s v="ORD-10551"/>
        <s v="ORD-10552"/>
        <s v="ORD-10553"/>
        <s v="ORD-10554"/>
        <s v="ORD-10555"/>
        <s v="ORD-10556"/>
        <s v="ORD-10557"/>
        <s v="ORD-10558"/>
        <s v="ORD-10559"/>
        <s v="ORD-10560"/>
        <s v="ORD-10561"/>
        <s v="ORD-10562"/>
        <s v="ORD-10563"/>
        <s v="ORD-10564"/>
        <s v="ORD-10565"/>
        <s v="ORD-10566"/>
        <s v="ORD-10567"/>
        <s v="ORD-10568"/>
        <s v="ORD-10569"/>
        <s v="ORD-10570"/>
        <s v="ORD-10571"/>
        <s v="ORD-10572"/>
        <s v="ORD-10573"/>
        <s v="ORD-10574"/>
        <s v="ORD-10575"/>
        <s v="ORD-10576"/>
        <s v="ORD-10577"/>
        <s v="ORD-10578"/>
        <s v="ORD-10579"/>
        <s v="ORD-10580"/>
        <s v="ORD-10581"/>
        <s v="ORD-10582"/>
        <s v="ORD-10583"/>
        <s v="ORD-10584"/>
        <s v="ORD-10585"/>
        <s v="ORD-10586"/>
        <s v="ORD-10587"/>
        <s v="ORD-10588"/>
        <s v="ORD-10589"/>
        <s v="ORD-10590"/>
        <s v="ORD-10591"/>
        <s v="ORD-10592"/>
        <s v="ORD-10593"/>
        <s v="ORD-10594"/>
        <s v="ORD-10595"/>
        <s v="ORD-10596"/>
        <s v="ORD-10597"/>
        <s v="ORD-10598"/>
        <s v="ORD-10599"/>
        <s v="ORD-10600"/>
        <s v="ORD-10601"/>
        <s v="ORD-10602"/>
        <s v="ORD-10603"/>
        <s v="ORD-10604"/>
        <s v="ORD-10605"/>
        <s v="ORD-10606"/>
        <s v="ORD-10607"/>
        <s v="ORD-10608"/>
        <s v="ORD-10609"/>
        <s v="ORD-10610"/>
        <s v="ORD-10611"/>
        <s v="ORD-10612"/>
        <s v="ORD-10613"/>
        <s v="ORD-10614"/>
        <s v="ORD-10615"/>
        <s v="ORD-10616"/>
        <s v="ORD-10617"/>
        <s v="ORD-10618"/>
        <s v="ORD-10619"/>
        <s v="ORD-10620"/>
        <s v="ORD-10621"/>
        <s v="ORD-10622"/>
        <s v="ORD-10623"/>
        <s v="ORD-10624"/>
        <s v="ORD-10625"/>
        <s v="ORD-10626"/>
        <s v="ORD-10627"/>
        <s v="ORD-10628"/>
        <s v="ORD-10629"/>
        <s v="ORD-10630"/>
        <s v="ORD-10631"/>
        <s v="ORD-10632"/>
        <s v="ORD-10633"/>
        <s v="ORD-10634"/>
        <s v="ORD-10635"/>
        <s v="ORD-10636"/>
        <s v="ORD-10637"/>
        <s v="ORD-10638"/>
        <s v="ORD-10639"/>
        <s v="ORD-10640"/>
        <s v="ORD-10641"/>
        <s v="ORD-10642"/>
        <s v="ORD-10643"/>
        <s v="ORD-10644"/>
        <s v="ORD-10645"/>
        <s v="ORD-10646"/>
        <s v="ORD-10647"/>
        <s v="ORD-10648"/>
        <s v="ORD-10649"/>
        <s v="ORD-10650"/>
        <s v="ORD-10651"/>
        <s v="ORD-10652"/>
        <s v="ORD-10653"/>
        <s v="ORD-10654"/>
        <s v="ORD-10655"/>
        <s v="ORD-10656"/>
        <s v="ORD-10657"/>
        <s v="ORD-10658"/>
        <s v="ORD-10659"/>
        <s v="ORD-10660"/>
        <s v="ORD-10661"/>
        <s v="ORD-10662"/>
        <s v="ORD-10663"/>
        <s v="ORD-10664"/>
        <s v="ORD-10665"/>
        <s v="ORD-10666"/>
        <s v="ORD-10667"/>
        <s v="ORD-10668"/>
        <s v="ORD-10669"/>
        <s v="ORD-10670"/>
        <s v="ORD-10671"/>
        <s v="ORD-10672"/>
        <s v="ORD-10673"/>
        <s v="ORD-10674"/>
        <s v="ORD-10675"/>
        <s v="ORD-10676"/>
        <s v="ORD-10677"/>
        <s v="ORD-10678"/>
        <s v="ORD-10679"/>
        <s v="ORD-10680"/>
        <s v="ORD-10681"/>
        <s v="ORD-10682"/>
        <s v="ORD-10683"/>
        <s v="ORD-10684"/>
        <s v="ORD-10685"/>
        <s v="ORD-10686"/>
        <s v="ORD-10687"/>
        <s v="ORD-10688"/>
        <s v="ORD-10689"/>
        <s v="ORD-10690"/>
        <s v="ORD-10691"/>
        <s v="ORD-10692"/>
        <s v="ORD-10693"/>
        <s v="ORD-10694"/>
        <s v="ORD-10695"/>
        <s v="ORD-10696"/>
        <s v="ORD-10697"/>
        <s v="ORD-10698"/>
        <s v="ORD-10699"/>
        <s v="ORD-10700"/>
        <s v="ORD-10701"/>
        <s v="ORD-10702"/>
        <s v="ORD-10703"/>
        <s v="ORD-10704"/>
        <s v="ORD-10705"/>
        <s v="ORD-10706"/>
        <s v="ORD-10707"/>
        <s v="ORD-10708"/>
        <s v="ORD-10709"/>
        <s v="ORD-10710"/>
        <s v="ORD-10711"/>
        <s v="ORD-10712"/>
        <s v="ORD-10713"/>
        <s v="ORD-10714"/>
        <s v="ORD-10715"/>
        <s v="ORD-10716"/>
        <s v="ORD-10717"/>
        <s v="ORD-10718"/>
        <s v="ORD-10719"/>
        <s v="ORD-10720"/>
        <s v="ORD-10721"/>
        <s v="ORD-10722"/>
        <s v="ORD-10723"/>
        <s v="ORD-10724"/>
        <s v="ORD-10725"/>
        <s v="ORD-10726"/>
        <s v="ORD-10727"/>
        <s v="ORD-10728"/>
        <s v="ORD-10729"/>
        <s v="ORD-10730"/>
        <s v="ORD-10731"/>
        <s v="ORD-10732"/>
        <s v="ORD-10733"/>
        <s v="ORD-10734"/>
        <s v="ORD-10735"/>
        <s v="ORD-10736"/>
        <s v="ORD-10737"/>
        <s v="ORD-10738"/>
        <s v="ORD-10739"/>
        <s v="ORD-10740"/>
        <s v="ORD-10741"/>
        <s v="ORD-10742"/>
        <s v="ORD-10743"/>
        <s v="ORD-10744"/>
        <s v="ORD-10745"/>
        <s v="ORD-10746"/>
        <s v="ORD-10747"/>
        <s v="ORD-10748"/>
        <s v="ORD-10749"/>
        <s v="ORD-10750"/>
        <s v="ORD-10751"/>
        <s v="ORD-10752"/>
        <s v="ORD-10753"/>
        <s v="ORD-10754"/>
        <s v="ORD-10755"/>
        <s v="ORD-10756"/>
        <s v="ORD-10757"/>
        <s v="ORD-10758"/>
        <s v="ORD-10759"/>
        <s v="ORD-10760"/>
        <s v="ORD-10761"/>
        <s v="ORD-10762"/>
        <s v="ORD-10763"/>
        <s v="ORD-10764"/>
        <s v="ORD-10765"/>
        <s v="ORD-10766"/>
        <s v="ORD-10767"/>
        <s v="ORD-10768"/>
        <s v="ORD-10769"/>
        <s v="ORD-10770"/>
        <s v="ORD-10771"/>
        <s v="ORD-10772"/>
        <s v="ORD-10773"/>
        <s v="ORD-10774"/>
        <s v="ORD-10775"/>
        <s v="ORD-10776"/>
        <s v="ORD-10777"/>
        <s v="ORD-10778"/>
        <s v="ORD-10779"/>
        <s v="ORD-10780"/>
        <s v="ORD-10781"/>
        <s v="ORD-10782"/>
        <s v="ORD-10783"/>
        <s v="ORD-10784"/>
        <s v="ORD-10785"/>
        <s v="ORD-10786"/>
        <s v="ORD-10787"/>
        <s v="ORD-10788"/>
        <s v="ORD-10789"/>
        <s v="ORD-10790"/>
        <s v="ORD-10791"/>
        <s v="ORD-10792"/>
        <s v="ORD-10793"/>
        <s v="ORD-10794"/>
        <s v="ORD-10795"/>
        <s v="ORD-10796"/>
        <s v="ORD-10797"/>
        <s v="ORD-10798"/>
        <s v="ORD-10799"/>
        <s v="ORD-10800"/>
        <s v="ORD-10801"/>
        <s v="ORD-10802"/>
        <s v="ORD-10803"/>
        <s v="ORD-10804"/>
        <s v="ORD-10805"/>
        <s v="ORD-10806"/>
        <s v="ORD-10807"/>
        <s v="ORD-10808"/>
        <s v="ORD-10809"/>
        <s v="ORD-10810"/>
        <s v="ORD-10811"/>
        <s v="ORD-10812"/>
        <s v="ORD-10813"/>
        <s v="ORD-10814"/>
        <s v="ORD-10815"/>
        <s v="ORD-10816"/>
        <s v="ORD-10817"/>
        <s v="ORD-10818"/>
        <s v="ORD-10819"/>
        <s v="ORD-10820"/>
        <s v="ORD-10821"/>
        <s v="ORD-10822"/>
        <s v="ORD-10823"/>
        <s v="ORD-10824"/>
        <s v="ORD-10825"/>
        <s v="ORD-10826"/>
        <s v="ORD-10827"/>
        <s v="ORD-10828"/>
        <s v="ORD-10829"/>
        <s v="ORD-10830"/>
        <s v="ORD-10831"/>
        <s v="ORD-10832"/>
        <s v="ORD-10833"/>
        <s v="ORD-10834"/>
        <s v="ORD-10835"/>
        <s v="ORD-10836"/>
        <s v="ORD-10837"/>
        <s v="ORD-10838"/>
        <s v="ORD-10839"/>
        <s v="ORD-10840"/>
        <s v="ORD-10841"/>
        <s v="ORD-10842"/>
        <s v="ORD-10843"/>
        <s v="ORD-10844"/>
        <s v="ORD-10845"/>
        <s v="ORD-10846"/>
        <s v="ORD-10847"/>
        <s v="ORD-10848"/>
        <s v="ORD-10849"/>
        <s v="ORD-10850"/>
        <s v="ORD-10851"/>
        <s v="ORD-10852"/>
        <s v="ORD-10853"/>
        <s v="ORD-10854"/>
        <s v="ORD-10855"/>
        <s v="ORD-10856"/>
        <s v="ORD-10857"/>
        <s v="ORD-10858"/>
        <s v="ORD-10859"/>
        <s v="ORD-10860"/>
        <s v="ORD-10861"/>
        <s v="ORD-10862"/>
        <s v="ORD-10863"/>
        <s v="ORD-10864"/>
        <s v="ORD-10865"/>
        <s v="ORD-10866"/>
        <s v="ORD-10867"/>
        <s v="ORD-10868"/>
        <s v="ORD-10869"/>
        <s v="ORD-10870"/>
        <s v="ORD-10871"/>
        <s v="ORD-10872"/>
        <s v="ORD-10873"/>
        <s v="ORD-10874"/>
        <s v="ORD-10875"/>
        <s v="ORD-10876"/>
        <s v="ORD-10877"/>
        <s v="ORD-10878"/>
        <s v="ORD-10879"/>
        <s v="ORD-10880"/>
        <s v="ORD-10881"/>
        <s v="ORD-10882"/>
        <s v="ORD-10883"/>
        <s v="ORD-10884"/>
        <s v="ORD-10885"/>
        <s v="ORD-10886"/>
        <s v="ORD-10887"/>
        <s v="ORD-10888"/>
        <s v="ORD-10889"/>
        <s v="ORD-10890"/>
        <s v="ORD-10891"/>
        <s v="ORD-10892"/>
        <s v="ORD-10893"/>
        <s v="ORD-10894"/>
        <s v="ORD-10895"/>
        <s v="ORD-10896"/>
        <s v="ORD-10897"/>
        <s v="ORD-10898"/>
        <s v="ORD-10899"/>
        <s v="ORD-10900"/>
        <s v="ORD-10901"/>
        <s v="ORD-10902"/>
        <s v="ORD-10903"/>
        <s v="ORD-10904"/>
        <s v="ORD-10905"/>
        <s v="ORD-10906"/>
        <s v="ORD-10907"/>
        <s v="ORD-10908"/>
        <s v="ORD-10909"/>
        <s v="ORD-10910"/>
        <s v="ORD-10911"/>
        <s v="ORD-10912"/>
        <s v="ORD-10913"/>
        <s v="ORD-10914"/>
        <s v="ORD-10915"/>
        <s v="ORD-10916"/>
        <s v="ORD-10917"/>
        <s v="ORD-10918"/>
        <s v="ORD-10919"/>
        <s v="ORD-10920"/>
        <s v="ORD-10921"/>
        <s v="ORD-10922"/>
        <s v="ORD-10923"/>
        <s v="ORD-10924"/>
        <s v="ORD-10925"/>
        <s v="ORD-10926"/>
        <s v="ORD-10927"/>
        <s v="ORD-10928"/>
        <s v="ORD-10929"/>
        <s v="ORD-10930"/>
        <s v="ORD-10931"/>
        <s v="ORD-10932"/>
        <s v="ORD-10933"/>
        <s v="ORD-10934"/>
        <s v="ORD-10935"/>
        <s v="ORD-10936"/>
        <s v="ORD-10937"/>
        <s v="ORD-10938"/>
        <s v="ORD-10939"/>
        <s v="ORD-10940"/>
        <s v="ORD-10941"/>
        <s v="ORD-10942"/>
        <s v="ORD-10943"/>
        <s v="ORD-10944"/>
        <s v="ORD-10945"/>
        <s v="ORD-10946"/>
        <s v="ORD-10947"/>
        <s v="ORD-10948"/>
        <s v="ORD-10949"/>
        <s v="ORD-10950"/>
        <s v="ORD-10951"/>
        <s v="ORD-10952"/>
        <s v="ORD-10953"/>
        <s v="ORD-10954"/>
        <s v="ORD-10955"/>
        <s v="ORD-10956"/>
        <s v="ORD-10957"/>
        <s v="ORD-10958"/>
        <s v="ORD-10959"/>
        <s v="ORD-10960"/>
        <s v="ORD-10961"/>
        <s v="ORD-10962"/>
        <s v="ORD-10963"/>
        <s v="ORD-10964"/>
        <s v="ORD-10965"/>
        <s v="ORD-10966"/>
        <s v="ORD-10967"/>
        <s v="ORD-10968"/>
        <s v="ORD-10969"/>
        <s v="ORD-10970"/>
        <s v="ORD-10971"/>
        <s v="ORD-10972"/>
        <s v="ORD-10973"/>
        <s v="ORD-10974"/>
        <s v="ORD-10975"/>
        <s v="ORD-10976"/>
        <s v="ORD-10977"/>
        <s v="ORD-10978"/>
        <s v="ORD-10979"/>
        <s v="ORD-10980"/>
        <s v="ORD-10981"/>
        <s v="ORD-10982"/>
        <s v="ORD-10983"/>
        <s v="ORD-10984"/>
        <s v="ORD-10985"/>
        <s v="ORD-10986"/>
        <s v="ORD-10987"/>
        <s v="ORD-10988"/>
        <s v="ORD-10989"/>
        <s v="ORD-10990"/>
        <s v="ORD-10991"/>
        <s v="ORD-10992"/>
        <s v="ORD-10993"/>
        <s v="ORD-10994"/>
        <s v="ORD-10995"/>
        <s v="ORD-10996"/>
        <s v="ORD-10997"/>
        <s v="ORD-10998"/>
        <s v="ORD-10999"/>
        <s v="ORD-11000"/>
        <s v="ORD-11001"/>
        <s v="ORD-11002"/>
        <s v="ORD-11003"/>
        <s v="ORD-11004"/>
        <s v="ORD-11005"/>
        <s v="ORD-11006"/>
        <s v="ORD-11007"/>
        <s v="ORD-11008"/>
        <s v="ORD-11009"/>
        <s v="ORD-11010"/>
        <s v="ORD-11011"/>
        <s v="ORD-11012"/>
        <s v="ORD-11013"/>
        <s v="ORD-11014"/>
        <s v="ORD-11015"/>
        <s v="ORD-11016"/>
        <s v="ORD-11017"/>
        <s v="ORD-11018"/>
        <s v="ORD-11019"/>
        <s v="ORD-11020"/>
        <s v="ORD-11021"/>
        <s v="ORD-11022"/>
        <s v="ORD-11023"/>
        <s v="ORD-11024"/>
        <s v="ORD-11025"/>
        <s v="ORD-11026"/>
        <s v="ORD-11027"/>
        <s v="ORD-11028"/>
        <s v="ORD-11029"/>
        <s v="ORD-11030"/>
        <s v="ORD-11031"/>
        <s v="ORD-11032"/>
        <s v="ORD-11033"/>
        <s v="ORD-11034"/>
        <s v="ORD-11035"/>
        <s v="ORD-11036"/>
        <s v="ORD-11037"/>
        <s v="ORD-11038"/>
        <s v="ORD-11039"/>
        <s v="ORD-11040"/>
        <s v="ORD-11041"/>
        <s v="ORD-11042"/>
        <s v="ORD-11043"/>
        <s v="ORD-11044"/>
        <s v="ORD-11045"/>
        <s v="ORD-11046"/>
        <s v="ORD-11047"/>
        <s v="ORD-11048"/>
        <s v="ORD-11049"/>
        <s v="ORD-11050"/>
        <s v="ORD-11051"/>
        <s v="ORD-11052"/>
        <s v="ORD-11053"/>
        <s v="ORD-11054"/>
        <s v="ORD-11055"/>
        <s v="ORD-11056"/>
        <s v="ORD-11057"/>
        <s v="ORD-11058"/>
        <s v="ORD-11059"/>
        <s v="ORD-11060"/>
        <s v="ORD-11061"/>
        <s v="ORD-11062"/>
        <s v="ORD-11063"/>
        <s v="ORD-11064"/>
        <s v="ORD-11065"/>
        <s v="ORD-11066"/>
        <s v="ORD-11067"/>
        <s v="ORD-11068"/>
        <s v="ORD-11069"/>
        <s v="ORD-11070"/>
        <s v="ORD-11071"/>
        <s v="ORD-11072"/>
        <s v="ORD-11073"/>
        <s v="ORD-11074"/>
        <s v="ORD-11075"/>
        <s v="ORD-11076"/>
        <s v="ORD-11077"/>
        <s v="ORD-11078"/>
        <s v="ORD-11079"/>
        <s v="ORD-11080"/>
        <s v="ORD-11081"/>
        <s v="ORD-11082"/>
        <s v="ORD-11083"/>
        <s v="ORD-11084"/>
        <s v="ORD-11085"/>
        <s v="ORD-11086"/>
        <s v="ORD-11087"/>
        <s v="ORD-11088"/>
        <s v="ORD-11089"/>
        <s v="ORD-11090"/>
        <s v="ORD-11091"/>
        <s v="ORD-11092"/>
        <s v="ORD-11093"/>
        <s v="ORD-11094"/>
        <s v="ORD-11095"/>
        <s v="ORD-11096"/>
        <s v="ORD-11097"/>
        <s v="ORD-11098"/>
        <s v="ORD-11099"/>
        <s v="ORD-11100"/>
        <s v="ORD-11101"/>
        <s v="ORD-11102"/>
        <s v="ORD-11103"/>
        <s v="ORD-11104"/>
        <s v="ORD-11105"/>
        <s v="ORD-11106"/>
        <s v="ORD-11107"/>
        <s v="ORD-11108"/>
        <s v="ORD-11109"/>
        <s v="ORD-11110"/>
        <s v="ORD-11111"/>
        <s v="ORD-11112"/>
        <s v="ORD-11113"/>
        <s v="ORD-11114"/>
        <s v="ORD-11115"/>
        <s v="ORD-11116"/>
        <s v="ORD-11117"/>
        <s v="ORD-11118"/>
        <s v="ORD-11119"/>
        <s v="ORD-11120"/>
        <s v="ORD-11121"/>
        <s v="ORD-11122"/>
        <s v="ORD-11123"/>
        <s v="ORD-11124"/>
        <s v="ORD-11125"/>
        <s v="ORD-11126"/>
        <s v="ORD-11127"/>
        <s v="ORD-11128"/>
        <s v="ORD-11129"/>
        <s v="ORD-11130"/>
        <s v="ORD-11131"/>
        <s v="ORD-11132"/>
        <s v="ORD-11133"/>
        <s v="ORD-11134"/>
        <s v="ORD-11135"/>
        <s v="ORD-11136"/>
        <s v="ORD-11137"/>
        <s v="ORD-11138"/>
        <s v="ORD-11139"/>
        <s v="ORD-11140"/>
        <s v="ORD-11141"/>
        <s v="ORD-11142"/>
        <s v="ORD-11143"/>
        <s v="ORD-11144"/>
        <s v="ORD-11145"/>
        <s v="ORD-11146"/>
        <s v="ORD-11147"/>
        <s v="ORD-11148"/>
        <s v="ORD-11149"/>
        <s v="ORD-11150"/>
        <s v="ORD-11151"/>
        <s v="ORD-11152"/>
        <s v="ORD-11153"/>
        <s v="ORD-11154"/>
        <s v="ORD-11155"/>
        <s v="ORD-11156"/>
        <s v="ORD-11157"/>
        <s v="ORD-11158"/>
        <s v="ORD-11159"/>
        <s v="ORD-11160"/>
        <s v="ORD-11161"/>
        <s v="ORD-11162"/>
        <s v="ORD-11163"/>
        <s v="ORD-11164"/>
        <s v="ORD-11165"/>
        <s v="ORD-11166"/>
        <s v="ORD-11167"/>
        <s v="ORD-11168"/>
        <s v="ORD-11169"/>
        <s v="ORD-11170"/>
        <s v="ORD-11171"/>
        <s v="ORD-11172"/>
        <s v="ORD-11173"/>
        <s v="ORD-11174"/>
        <s v="ORD-11175"/>
        <s v="ORD-11176"/>
        <s v="ORD-11177"/>
        <s v="ORD-11178"/>
        <s v="ORD-11179"/>
        <s v="ORD-11180"/>
        <s v="ORD-11181"/>
        <s v="ORD-11182"/>
        <s v="ORD-11183"/>
        <s v="ORD-11184"/>
        <s v="ORD-11185"/>
        <s v="ORD-11186"/>
        <s v="ORD-11187"/>
        <s v="ORD-11188"/>
        <s v="ORD-11189"/>
        <s v="ORD-11190"/>
        <s v="ORD-11191"/>
        <s v="ORD-11192"/>
        <s v="ORD-11193"/>
        <s v="ORD-11194"/>
        <s v="ORD-11195"/>
        <s v="ORD-11196"/>
        <s v="ORD-11197"/>
        <s v="ORD-11198"/>
        <s v="ORD-11199"/>
        <s v="ORD-11200"/>
        <s v="ORD-11201"/>
        <s v="ORD-11202"/>
        <s v="ORD-11203"/>
        <s v="ORD-11204"/>
        <s v="ORD-11205"/>
        <s v="ORD-11206"/>
        <s v="ORD-11207"/>
        <s v="ORD-11208"/>
        <s v="ORD-11209"/>
        <s v="ORD-11210"/>
        <s v="ORD-11211"/>
        <s v="ORD-11212"/>
        <s v="ORD-11213"/>
        <s v="ORD-11214"/>
        <s v="ORD-11215"/>
        <s v="ORD-11216"/>
        <s v="ORD-11217"/>
        <s v="ORD-11218"/>
        <s v="ORD-11219"/>
        <s v="ORD-11220"/>
        <s v="ORD-11221"/>
        <s v="ORD-11222"/>
        <s v="ORD-11223"/>
        <s v="ORD-11224"/>
        <s v="ORD-11225"/>
        <s v="ORD-11226"/>
        <s v="ORD-11227"/>
        <s v="ORD-11228"/>
        <s v="ORD-11229"/>
        <s v="ORD-11230"/>
        <s v="ORD-11231"/>
        <s v="ORD-11232"/>
        <s v="ORD-11233"/>
        <s v="ORD-11234"/>
        <s v="ORD-11235"/>
        <s v="ORD-11236"/>
        <s v="ORD-11237"/>
        <s v="ORD-11238"/>
        <s v="ORD-11239"/>
        <s v="ORD-11240"/>
        <s v="ORD-11241"/>
        <s v="ORD-11242"/>
        <s v="ORD-11243"/>
        <s v="ORD-11244"/>
        <s v="ORD-11245"/>
        <s v="ORD-11246"/>
        <s v="ORD-11247"/>
        <s v="ORD-11248"/>
        <s v="ORD-11249"/>
        <s v="ORD-11250"/>
        <s v="ORD-11251"/>
        <s v="ORD-11252"/>
        <s v="ORD-11253"/>
        <s v="ORD-11254"/>
        <s v="ORD-11255"/>
        <s v="ORD-11256"/>
        <s v="ORD-11257"/>
        <s v="ORD-11258"/>
        <s v="ORD-11259"/>
        <s v="ORD-11260"/>
        <s v="ORD-11261"/>
        <s v="ORD-11262"/>
        <s v="ORD-11263"/>
        <s v="ORD-11264"/>
        <s v="ORD-11265"/>
        <s v="ORD-11266"/>
        <s v="ORD-11267"/>
        <s v="ORD-11268"/>
        <s v="ORD-11269"/>
        <s v="ORD-11270"/>
        <s v="ORD-11271"/>
        <s v="ORD-11272"/>
        <s v="ORD-11273"/>
        <s v="ORD-11274"/>
        <s v="ORD-11275"/>
        <s v="ORD-11276"/>
        <s v="ORD-11277"/>
        <s v="ORD-11278"/>
        <s v="ORD-11279"/>
        <s v="ORD-11280"/>
        <s v="ORD-11281"/>
        <s v="ORD-11282"/>
        <s v="ORD-11283"/>
        <s v="ORD-11284"/>
        <s v="ORD-11285"/>
        <s v="ORD-11286"/>
        <s v="ORD-11287"/>
        <s v="ORD-11288"/>
        <s v="ORD-11289"/>
        <s v="ORD-11290"/>
        <s v="ORD-11291"/>
        <s v="ORD-11292"/>
        <s v="ORD-11293"/>
        <s v="ORD-11294"/>
        <s v="ORD-11295"/>
        <s v="ORD-11296"/>
        <s v="ORD-11297"/>
        <s v="ORD-11298"/>
        <s v="ORD-11299"/>
        <s v="ORD-11300"/>
        <s v="ORD-11301"/>
        <s v="ORD-11302"/>
        <s v="ORD-11303"/>
        <s v="ORD-11304"/>
        <s v="ORD-11305"/>
        <s v="ORD-11306"/>
        <s v="ORD-11307"/>
        <s v="ORD-11308"/>
        <s v="ORD-11309"/>
        <s v="ORD-11310"/>
        <s v="ORD-11311"/>
        <s v="ORD-11312"/>
        <s v="ORD-11313"/>
        <s v="ORD-11314"/>
        <s v="ORD-11315"/>
        <s v="ORD-11316"/>
        <s v="ORD-11317"/>
        <s v="ORD-11318"/>
        <s v="ORD-11319"/>
        <s v="ORD-11320"/>
        <s v="ORD-11321"/>
        <s v="ORD-11322"/>
        <s v="ORD-11323"/>
        <s v="ORD-11324"/>
        <s v="ORD-11325"/>
        <s v="ORD-11326"/>
        <s v="ORD-11327"/>
        <s v="ORD-11328"/>
        <s v="ORD-11329"/>
        <s v="ORD-11330"/>
        <s v="ORD-11331"/>
        <s v="ORD-11332"/>
        <s v="ORD-11333"/>
        <s v="ORD-11334"/>
        <s v="ORD-11335"/>
        <s v="ORD-11336"/>
        <s v="ORD-11337"/>
        <s v="ORD-11338"/>
        <s v="ORD-11339"/>
        <s v="ORD-11340"/>
        <s v="ORD-11341"/>
        <s v="ORD-11342"/>
        <s v="ORD-11343"/>
        <s v="ORD-11344"/>
        <s v="ORD-11345"/>
        <s v="ORD-11346"/>
        <s v="ORD-11347"/>
        <s v="ORD-11348"/>
        <s v="ORD-11349"/>
        <s v="ORD-11350"/>
        <s v="ORD-11351"/>
        <s v="ORD-11352"/>
        <s v="ORD-11353"/>
        <s v="ORD-11354"/>
        <s v="ORD-11355"/>
        <s v="ORD-11356"/>
        <s v="ORD-11357"/>
        <s v="ORD-11358"/>
        <s v="ORD-11359"/>
        <s v="ORD-11360"/>
        <s v="ORD-11361"/>
        <s v="ORD-11362"/>
        <s v="ORD-11363"/>
        <s v="ORD-11364"/>
        <s v="ORD-11365"/>
        <s v="ORD-11366"/>
        <s v="ORD-11367"/>
        <s v="ORD-11368"/>
        <s v="ORD-11369"/>
        <s v="ORD-11370"/>
        <s v="ORD-11371"/>
        <s v="ORD-11372"/>
        <s v="ORD-11373"/>
        <s v="ORD-11374"/>
        <s v="ORD-11375"/>
        <s v="ORD-11376"/>
        <s v="ORD-11377"/>
        <s v="ORD-11378"/>
        <s v="ORD-11379"/>
        <s v="ORD-11380"/>
        <s v="ORD-11381"/>
        <s v="ORD-11382"/>
        <s v="ORD-11383"/>
        <s v="ORD-11384"/>
        <s v="ORD-11385"/>
        <s v="ORD-11386"/>
        <s v="ORD-11387"/>
        <s v="ORD-11388"/>
        <s v="ORD-11389"/>
        <s v="ORD-11390"/>
        <s v="ORD-11391"/>
        <s v="ORD-11392"/>
        <s v="ORD-11393"/>
        <s v="ORD-11394"/>
        <s v="ORD-11395"/>
        <s v="ORD-11396"/>
        <s v="ORD-11397"/>
        <s v="ORD-11398"/>
        <s v="ORD-11399"/>
        <s v="ORD-11400"/>
        <s v="ORD-11401"/>
        <s v="ORD-11402"/>
        <s v="ORD-11403"/>
        <s v="ORD-11404"/>
        <s v="ORD-11405"/>
        <s v="ORD-11406"/>
        <s v="ORD-11407"/>
        <s v="ORD-11408"/>
        <s v="ORD-11409"/>
        <s v="ORD-11410"/>
        <s v="ORD-11411"/>
        <s v="ORD-11412"/>
        <s v="ORD-11413"/>
        <s v="ORD-11414"/>
        <s v="ORD-11415"/>
        <s v="ORD-11416"/>
        <s v="ORD-11417"/>
        <s v="ORD-11418"/>
        <s v="ORD-11419"/>
        <s v="ORD-11420"/>
        <s v="ORD-11421"/>
        <s v="ORD-11422"/>
        <s v="ORD-11423"/>
        <s v="ORD-11424"/>
        <s v="ORD-11425"/>
        <s v="ORD-11426"/>
        <s v="ORD-11427"/>
        <s v="ORD-11428"/>
        <s v="ORD-11429"/>
        <s v="ORD-11430"/>
        <s v="ORD-11431"/>
        <s v="ORD-11432"/>
        <s v="ORD-11433"/>
        <s v="ORD-11434"/>
        <s v="ORD-11435"/>
        <s v="ORD-11436"/>
        <s v="ORD-11437"/>
        <s v="ORD-11438"/>
        <s v="ORD-11439"/>
        <s v="ORD-11440"/>
        <s v="ORD-11441"/>
        <s v="ORD-11442"/>
        <s v="ORD-11443"/>
        <s v="ORD-11444"/>
        <s v="ORD-11445"/>
        <s v="ORD-11446"/>
        <s v="ORD-11447"/>
        <s v="ORD-11448"/>
        <s v="ORD-11449"/>
        <s v="ORD-11450"/>
        <s v="ORD-11451"/>
        <s v="ORD-11452"/>
        <s v="ORD-11453"/>
        <s v="ORD-11454"/>
        <s v="ORD-11455"/>
        <s v="ORD-11456"/>
        <s v="ORD-11457"/>
        <s v="ORD-11458"/>
        <s v="ORD-11459"/>
        <s v="ORD-11460"/>
        <s v="ORD-11461"/>
        <s v="ORD-11462"/>
        <s v="ORD-11463"/>
        <s v="ORD-11464"/>
        <s v="ORD-11465"/>
        <s v="ORD-11466"/>
        <s v="ORD-11467"/>
        <s v="ORD-11468"/>
        <s v="ORD-11469"/>
        <s v="ORD-11470"/>
        <s v="ORD-11471"/>
        <s v="ORD-11472"/>
        <s v="ORD-11473"/>
        <s v="ORD-11474"/>
        <s v="ORD-11475"/>
        <s v="ORD-11476"/>
        <s v="ORD-11477"/>
        <s v="ORD-11478"/>
        <s v="ORD-11479"/>
        <s v="ORD-11480"/>
        <s v="ORD-11481"/>
        <s v="ORD-11482"/>
        <s v="ORD-11483"/>
        <s v="ORD-11484"/>
        <s v="ORD-11485"/>
        <s v="ORD-11486"/>
        <s v="ORD-11487"/>
        <s v="ORD-11488"/>
        <s v="ORD-11489"/>
        <s v="ORD-11490"/>
        <s v="ORD-11491"/>
        <s v="ORD-11492"/>
        <s v="ORD-11493"/>
        <s v="ORD-11494"/>
        <s v="ORD-11495"/>
        <s v="ORD-11496"/>
        <s v="ORD-11497"/>
        <s v="ORD-11498"/>
        <s v="ORD-11499"/>
        <s v="ORD-11500"/>
        <s v="ORD-11501"/>
        <s v="ORD-11502"/>
        <s v="ORD-11503"/>
        <s v="ORD-11504"/>
        <s v="ORD-11505"/>
        <s v="ORD-11506"/>
        <s v="ORD-11507"/>
        <s v="ORD-11508"/>
        <s v="ORD-11509"/>
        <s v="ORD-11510"/>
        <s v="ORD-11511"/>
        <s v="ORD-11512"/>
        <s v="ORD-11513"/>
        <s v="ORD-11514"/>
        <s v="ORD-11515"/>
        <s v="ORD-11516"/>
        <s v="ORD-11517"/>
        <s v="ORD-11518"/>
        <s v="ORD-11519"/>
        <s v="ORD-11520"/>
        <s v="ORD-11521"/>
        <s v="ORD-11522"/>
        <s v="ORD-11523"/>
        <s v="ORD-11524"/>
        <s v="ORD-11525"/>
        <s v="ORD-11526"/>
        <s v="ORD-11527"/>
        <s v="ORD-11528"/>
        <s v="ORD-11529"/>
        <s v="ORD-11530"/>
        <s v="ORD-11531"/>
        <s v="ORD-11532"/>
        <s v="ORD-11533"/>
        <s v="ORD-11534"/>
        <s v="ORD-11535"/>
        <s v="ORD-11536"/>
        <s v="ORD-11537"/>
        <s v="ORD-11538"/>
        <s v="ORD-11539"/>
        <s v="ORD-11540"/>
        <s v="ORD-11541"/>
        <s v="ORD-11542"/>
        <s v="ORD-11543"/>
        <s v="ORD-11544"/>
        <s v="ORD-11545"/>
        <s v="ORD-11546"/>
        <s v="ORD-11547"/>
        <s v="ORD-11548"/>
        <s v="ORD-11549"/>
        <s v="ORD-11550"/>
        <s v="ORD-11551"/>
        <s v="ORD-11552"/>
        <s v="ORD-11553"/>
        <s v="ORD-11554"/>
        <s v="ORD-11555"/>
        <s v="ORD-11556"/>
        <s v="ORD-11557"/>
        <s v="ORD-11558"/>
        <s v="ORD-11559"/>
        <s v="ORD-11560"/>
        <s v="ORD-11561"/>
        <s v="ORD-11562"/>
        <s v="ORD-11563"/>
        <s v="ORD-11564"/>
        <s v="ORD-11565"/>
        <s v="ORD-11566"/>
        <s v="ORD-11567"/>
        <s v="ORD-11568"/>
        <s v="ORD-11569"/>
        <s v="ORD-11570"/>
        <s v="ORD-11571"/>
        <s v="ORD-11572"/>
        <s v="ORD-11573"/>
        <s v="ORD-11574"/>
        <s v="ORD-11575"/>
        <s v="ORD-11576"/>
        <s v="ORD-11577"/>
        <s v="ORD-11578"/>
        <s v="ORD-11579"/>
        <s v="ORD-11580"/>
        <s v="ORD-11581"/>
        <s v="ORD-11582"/>
        <s v="ORD-11583"/>
        <s v="ORD-11584"/>
        <s v="ORD-11585"/>
        <s v="ORD-11586"/>
        <s v="ORD-11587"/>
        <s v="ORD-11588"/>
        <s v="ORD-11589"/>
        <s v="ORD-11590"/>
        <s v="ORD-11591"/>
        <s v="ORD-11592"/>
        <s v="ORD-11593"/>
        <s v="ORD-11594"/>
        <s v="ORD-11595"/>
        <s v="ORD-11596"/>
        <s v="ORD-11597"/>
        <s v="ORD-11598"/>
        <s v="ORD-11599"/>
        <s v="ORD-11600"/>
        <s v="ORD-11601"/>
        <s v="ORD-11602"/>
        <s v="ORD-11603"/>
        <s v="ORD-11604"/>
        <s v="ORD-11605"/>
        <s v="ORD-11606"/>
        <s v="ORD-11607"/>
        <s v="ORD-11608"/>
        <s v="ORD-11609"/>
        <s v="ORD-11610"/>
        <s v="ORD-11611"/>
        <s v="ORD-11612"/>
        <s v="ORD-11613"/>
        <s v="ORD-11614"/>
        <s v="ORD-11615"/>
        <s v="ORD-11616"/>
        <s v="ORD-11617"/>
        <s v="ORD-11618"/>
        <s v="ORD-11619"/>
        <s v="ORD-11620"/>
        <s v="ORD-11621"/>
        <s v="ORD-11622"/>
        <s v="ORD-11623"/>
        <s v="ORD-11624"/>
        <s v="ORD-11625"/>
        <s v="ORD-11626"/>
        <s v="ORD-11627"/>
        <s v="ORD-11628"/>
        <s v="ORD-11629"/>
        <s v="ORD-11630"/>
        <s v="ORD-11631"/>
        <s v="ORD-11632"/>
        <s v="ORD-11633"/>
        <s v="ORD-11634"/>
        <s v="ORD-11635"/>
        <s v="ORD-11636"/>
        <s v="ORD-11637"/>
        <s v="ORD-11638"/>
        <s v="ORD-11639"/>
        <s v="ORD-11640"/>
        <s v="ORD-11641"/>
        <s v="ORD-11642"/>
        <s v="ORD-11643"/>
        <s v="ORD-11644"/>
        <s v="ORD-11645"/>
        <s v="ORD-11646"/>
        <s v="ORD-11647"/>
        <s v="ORD-11648"/>
        <s v="ORD-11649"/>
        <s v="ORD-11650"/>
        <s v="ORD-11651"/>
        <s v="ORD-11652"/>
        <s v="ORD-11653"/>
        <s v="ORD-11654"/>
        <s v="ORD-11655"/>
        <s v="ORD-11656"/>
        <s v="ORD-11657"/>
        <s v="ORD-11658"/>
        <s v="ORD-11659"/>
        <s v="ORD-11660"/>
        <s v="ORD-11661"/>
        <s v="ORD-11662"/>
        <s v="ORD-11663"/>
        <s v="ORD-11664"/>
        <s v="ORD-11665"/>
        <s v="ORD-11666"/>
        <s v="ORD-11667"/>
        <s v="ORD-11668"/>
        <s v="ORD-11669"/>
        <s v="ORD-11670"/>
        <s v="ORD-11671"/>
        <s v="ORD-11672"/>
        <s v="ORD-11673"/>
        <s v="ORD-11674"/>
        <s v="ORD-11675"/>
        <s v="ORD-11676"/>
        <s v="ORD-11677"/>
        <s v="ORD-11678"/>
        <s v="ORD-11679"/>
        <s v="ORD-11680"/>
        <s v="ORD-11681"/>
        <s v="ORD-11682"/>
        <s v="ORD-11683"/>
        <s v="ORD-11684"/>
        <s v="ORD-11685"/>
        <s v="ORD-11686"/>
        <s v="ORD-11687"/>
        <s v="ORD-11688"/>
        <s v="ORD-11689"/>
        <s v="ORD-11690"/>
        <s v="ORD-11691"/>
        <s v="ORD-11692"/>
        <s v="ORD-11693"/>
        <s v="ORD-11694"/>
        <s v="ORD-11695"/>
        <s v="ORD-11696"/>
        <s v="ORD-11697"/>
        <s v="ORD-11698"/>
        <s v="ORD-11699"/>
        <s v="ORD-11700"/>
        <s v="ORD-11701"/>
        <s v="ORD-11702"/>
        <s v="ORD-11703"/>
        <s v="ORD-11704"/>
        <s v="ORD-11705"/>
        <s v="ORD-11706"/>
        <s v="ORD-11707"/>
        <s v="ORD-11708"/>
        <s v="ORD-11709"/>
        <s v="ORD-11710"/>
        <s v="ORD-11711"/>
        <s v="ORD-11712"/>
        <s v="ORD-11713"/>
        <s v="ORD-11714"/>
        <s v="ORD-11715"/>
        <s v="ORD-11716"/>
        <s v="ORD-11717"/>
        <s v="ORD-11718"/>
        <s v="ORD-11719"/>
        <s v="ORD-11720"/>
        <s v="ORD-11721"/>
        <s v="ORD-11722"/>
        <s v="ORD-11723"/>
        <s v="ORD-11724"/>
        <s v="ORD-11725"/>
        <s v="ORD-11726"/>
        <s v="ORD-11727"/>
        <s v="ORD-11728"/>
        <s v="ORD-11729"/>
        <s v="ORD-11730"/>
        <s v="ORD-11731"/>
        <s v="ORD-11732"/>
        <s v="ORD-11733"/>
        <s v="ORD-11734"/>
        <s v="ORD-11735"/>
        <s v="ORD-11736"/>
        <s v="ORD-11737"/>
        <s v="ORD-11738"/>
        <s v="ORD-11739"/>
        <s v="ORD-11740"/>
        <s v="ORD-11741"/>
        <s v="ORD-11742"/>
        <s v="ORD-11743"/>
        <s v="ORD-11744"/>
        <s v="ORD-11745"/>
        <s v="ORD-11746"/>
        <s v="ORD-11747"/>
        <s v="ORD-11748"/>
        <s v="ORD-11749"/>
        <s v="ORD-11750"/>
        <s v="ORD-11751"/>
        <s v="ORD-11752"/>
        <s v="ORD-11753"/>
        <s v="ORD-11754"/>
        <s v="ORD-11755"/>
        <s v="ORD-11756"/>
        <s v="ORD-11757"/>
        <s v="ORD-11758"/>
        <s v="ORD-11759"/>
        <s v="ORD-11760"/>
        <s v="ORD-11761"/>
        <s v="ORD-11762"/>
        <s v="ORD-11763"/>
        <s v="ORD-11764"/>
        <s v="ORD-11765"/>
        <s v="ORD-11766"/>
        <s v="ORD-11767"/>
        <s v="ORD-11768"/>
        <s v="ORD-11769"/>
        <s v="ORD-11770"/>
        <s v="ORD-11771"/>
        <s v="ORD-11772"/>
        <s v="ORD-11773"/>
        <s v="ORD-11774"/>
        <s v="ORD-11775"/>
        <s v="ORD-11776"/>
        <s v="ORD-11777"/>
        <s v="ORD-11778"/>
        <s v="ORD-11779"/>
        <s v="ORD-11780"/>
        <s v="ORD-11781"/>
        <s v="ORD-11782"/>
        <s v="ORD-11783"/>
        <s v="ORD-11784"/>
        <s v="ORD-11785"/>
        <s v="ORD-11786"/>
        <s v="ORD-11787"/>
        <s v="ORD-11788"/>
        <s v="ORD-11789"/>
        <s v="ORD-11790"/>
        <s v="ORD-11791"/>
        <s v="ORD-11792"/>
        <s v="ORD-11793"/>
        <s v="ORD-11794"/>
        <s v="ORD-11795"/>
        <s v="ORD-11796"/>
        <s v="ORD-11797"/>
        <s v="ORD-11798"/>
        <s v="ORD-11799"/>
        <s v="ORD-11800"/>
        <s v="ORD-11801"/>
        <s v="ORD-11802"/>
        <s v="ORD-11803"/>
        <s v="ORD-11804"/>
        <s v="ORD-11805"/>
        <s v="ORD-11806"/>
        <s v="ORD-11807"/>
        <s v="ORD-11808"/>
        <s v="ORD-11809"/>
        <s v="ORD-11810"/>
        <s v="ORD-11811"/>
        <s v="ORD-11812"/>
        <s v="ORD-11813"/>
        <s v="ORD-11814"/>
        <s v="ORD-11815"/>
        <s v="ORD-11816"/>
        <s v="ORD-11817"/>
        <s v="ORD-11818"/>
        <s v="ORD-11819"/>
        <s v="ORD-11820"/>
        <s v="ORD-11821"/>
        <s v="ORD-11822"/>
        <s v="ORD-11823"/>
        <s v="ORD-11824"/>
        <s v="ORD-11825"/>
        <s v="ORD-11826"/>
        <s v="ORD-11827"/>
        <s v="ORD-11828"/>
        <s v="ORD-11829"/>
        <s v="ORD-11830"/>
        <s v="ORD-11831"/>
        <s v="ORD-11832"/>
        <s v="ORD-11833"/>
        <s v="ORD-11834"/>
        <s v="ORD-11835"/>
        <s v="ORD-11836"/>
        <s v="ORD-11837"/>
        <s v="ORD-11838"/>
        <s v="ORD-11839"/>
        <s v="ORD-11840"/>
        <s v="ORD-11841"/>
        <s v="ORD-11842"/>
        <s v="ORD-11843"/>
        <s v="ORD-11844"/>
        <s v="ORD-11845"/>
        <s v="ORD-11846"/>
        <s v="ORD-11847"/>
        <s v="ORD-11848"/>
        <s v="ORD-11849"/>
        <s v="ORD-11850"/>
        <s v="ORD-11851"/>
        <s v="ORD-11852"/>
        <s v="ORD-11853"/>
        <s v="ORD-11854"/>
        <s v="ORD-11855"/>
        <s v="ORD-11856"/>
        <s v="ORD-11857"/>
        <s v="ORD-11858"/>
        <s v="ORD-11859"/>
        <s v="ORD-11860"/>
        <s v="ORD-11861"/>
        <s v="ORD-11862"/>
        <s v="ORD-11863"/>
        <s v="ORD-11864"/>
        <s v="ORD-11865"/>
        <s v="ORD-11866"/>
        <s v="ORD-11867"/>
        <s v="ORD-11868"/>
        <s v="ORD-11869"/>
        <s v="ORD-11870"/>
        <s v="ORD-11871"/>
        <s v="ORD-11872"/>
        <s v="ORD-11873"/>
        <s v="ORD-11874"/>
        <s v="ORD-11875"/>
        <s v="ORD-11876"/>
        <s v="ORD-11877"/>
        <s v="ORD-11878"/>
        <s v="ORD-11879"/>
        <s v="ORD-11880"/>
        <s v="ORD-11881"/>
        <s v="ORD-11882"/>
        <s v="ORD-11883"/>
        <s v="ORD-11884"/>
        <s v="ORD-11885"/>
        <s v="ORD-11886"/>
        <s v="ORD-11887"/>
        <s v="ORD-11888"/>
        <s v="ORD-11889"/>
        <s v="ORD-11890"/>
        <s v="ORD-11891"/>
        <s v="ORD-11892"/>
        <s v="ORD-11893"/>
        <s v="ORD-11894"/>
        <s v="ORD-11895"/>
        <s v="ORD-11896"/>
        <s v="ORD-11897"/>
        <s v="ORD-11898"/>
        <s v="ORD-11899"/>
        <s v="ORD-11900"/>
        <s v="ORD-11901"/>
        <s v="ORD-11902"/>
        <s v="ORD-11903"/>
        <s v="ORD-11904"/>
        <s v="ORD-11905"/>
        <s v="ORD-11906"/>
        <s v="ORD-11907"/>
        <s v="ORD-11908"/>
        <s v="ORD-11909"/>
        <s v="ORD-11910"/>
        <s v="ORD-11911"/>
        <s v="ORD-11912"/>
        <s v="ORD-11913"/>
        <s v="ORD-11914"/>
        <s v="ORD-11915"/>
        <s v="ORD-11916"/>
        <s v="ORD-11917"/>
        <s v="ORD-11918"/>
        <s v="ORD-11919"/>
        <s v="ORD-11920"/>
        <s v="ORD-11921"/>
        <s v="ORD-11922"/>
        <s v="ORD-11923"/>
        <s v="ORD-11924"/>
        <s v="ORD-11925"/>
        <s v="ORD-11926"/>
        <s v="ORD-11927"/>
        <s v="ORD-11928"/>
        <s v="ORD-11929"/>
        <s v="ORD-11930"/>
        <s v="ORD-11931"/>
        <s v="ORD-11932"/>
        <s v="ORD-11933"/>
        <s v="ORD-11934"/>
        <s v="ORD-11935"/>
        <s v="ORD-11936"/>
        <s v="ORD-11937"/>
        <s v="ORD-11938"/>
        <s v="ORD-11939"/>
        <s v="ORD-11940"/>
        <s v="ORD-11941"/>
        <s v="ORD-11942"/>
        <s v="ORD-11943"/>
        <s v="ORD-11944"/>
        <s v="ORD-11945"/>
        <s v="ORD-11946"/>
        <s v="ORD-11947"/>
        <s v="ORD-11948"/>
        <s v="ORD-11949"/>
        <s v="ORD-11950"/>
        <s v="ORD-11951"/>
        <s v="ORD-11952"/>
        <s v="ORD-11953"/>
        <s v="ORD-11954"/>
        <s v="ORD-11955"/>
        <s v="ORD-11956"/>
        <s v="ORD-11957"/>
        <s v="ORD-11958"/>
        <s v="ORD-11959"/>
        <s v="ORD-11960"/>
        <s v="ORD-11961"/>
        <s v="ORD-11962"/>
        <s v="ORD-11963"/>
        <s v="ORD-11964"/>
        <s v="ORD-11965"/>
        <s v="ORD-11966"/>
        <s v="ORD-11967"/>
        <s v="ORD-11968"/>
        <s v="ORD-11969"/>
        <s v="ORD-11970"/>
        <s v="ORD-11971"/>
        <s v="ORD-11972"/>
        <s v="ORD-11973"/>
        <s v="ORD-11974"/>
        <s v="ORD-11975"/>
        <s v="ORD-11976"/>
        <s v="ORD-11977"/>
        <s v="ORD-11978"/>
        <s v="ORD-11979"/>
        <s v="ORD-11980"/>
        <s v="ORD-11981"/>
        <s v="ORD-11982"/>
        <s v="ORD-11983"/>
        <s v="ORD-11984"/>
        <s v="ORD-11985"/>
        <s v="ORD-11986"/>
        <s v="ORD-11987"/>
        <s v="ORD-11988"/>
        <s v="ORD-11989"/>
        <s v="ORD-11990"/>
        <s v="ORD-11991"/>
        <s v="ORD-11992"/>
        <s v="ORD-11993"/>
        <s v="ORD-11994"/>
        <s v="ORD-11995"/>
        <s v="ORD-11996"/>
        <s v="ORD-11997"/>
        <s v="ORD-11998"/>
        <s v="ORD-11999"/>
        <s v="ORD-12000"/>
        <s v="ORD-12001"/>
        <s v="ORD-12002"/>
        <s v="ORD-12003"/>
        <s v="ORD-12004"/>
        <s v="ORD-12005"/>
        <s v="ORD-12006"/>
        <s v="ORD-12007"/>
        <s v="ORD-12008"/>
        <s v="ORD-12009"/>
        <s v="ORD-12010"/>
        <s v="ORD-12011"/>
        <s v="ORD-12012"/>
        <s v="ORD-12013"/>
        <s v="ORD-12014"/>
        <s v="ORD-12015"/>
        <s v="ORD-12016"/>
        <s v="ORD-12017"/>
        <s v="ORD-12018"/>
        <s v="ORD-12019"/>
        <s v="ORD-12020"/>
        <s v="ORD-12021"/>
        <s v="ORD-12022"/>
        <s v="ORD-12023"/>
        <s v="ORD-12024"/>
        <s v="ORD-12025"/>
        <s v="ORD-12026"/>
        <s v="ORD-12027"/>
        <s v="ORD-12028"/>
        <s v="ORD-12029"/>
        <s v="ORD-12030"/>
        <s v="ORD-12031"/>
        <s v="ORD-12032"/>
        <s v="ORD-12033"/>
        <s v="ORD-12034"/>
        <s v="ORD-12035"/>
        <s v="ORD-12036"/>
        <s v="ORD-12037"/>
        <s v="ORD-12038"/>
        <s v="ORD-12039"/>
        <s v="ORD-12040"/>
        <s v="ORD-12041"/>
        <s v="ORD-12042"/>
        <s v="ORD-12043"/>
        <s v="ORD-12044"/>
        <s v="ORD-12045"/>
        <s v="ORD-12046"/>
        <s v="ORD-12047"/>
        <s v="ORD-12048"/>
        <s v="ORD-12049"/>
        <s v="ORD-12050"/>
        <s v="ORD-12051"/>
        <s v="ORD-12052"/>
        <s v="ORD-12053"/>
        <s v="ORD-12054"/>
        <s v="ORD-12055"/>
        <s v="ORD-12056"/>
        <s v="ORD-12057"/>
        <s v="ORD-12058"/>
        <s v="ORD-12059"/>
        <s v="ORD-12060"/>
        <s v="ORD-12061"/>
        <s v="ORD-12062"/>
        <s v="ORD-12063"/>
        <s v="ORD-12064"/>
        <s v="ORD-12065"/>
        <s v="ORD-12066"/>
        <s v="ORD-12067"/>
        <s v="ORD-12068"/>
        <s v="ORD-12069"/>
        <s v="ORD-12070"/>
        <s v="ORD-12071"/>
        <s v="ORD-12072"/>
        <s v="ORD-12073"/>
        <s v="ORD-12074"/>
        <s v="ORD-12075"/>
        <s v="ORD-12076"/>
        <s v="ORD-12077"/>
        <s v="ORD-12078"/>
        <s v="ORD-12079"/>
        <s v="ORD-12080"/>
        <s v="ORD-12081"/>
        <s v="ORD-12082"/>
        <s v="ORD-12083"/>
        <s v="ORD-12084"/>
        <s v="ORD-12085"/>
        <s v="ORD-12086"/>
        <s v="ORD-12087"/>
        <s v="ORD-12088"/>
        <s v="ORD-12089"/>
        <s v="ORD-12090"/>
        <s v="ORD-12091"/>
        <s v="ORD-12092"/>
        <s v="ORD-12093"/>
        <s v="ORD-12094"/>
        <s v="ORD-12095"/>
        <s v="ORD-12096"/>
        <s v="ORD-12097"/>
        <s v="ORD-12098"/>
        <s v="ORD-12099"/>
        <s v="ORD-12100"/>
        <s v="ORD-12101"/>
        <s v="ORD-12102"/>
        <s v="ORD-12103"/>
        <s v="ORD-12104"/>
        <s v="ORD-12105"/>
        <s v="ORD-12106"/>
        <s v="ORD-12107"/>
        <s v="ORD-12108"/>
        <s v="ORD-12109"/>
        <s v="ORD-12110"/>
        <s v="ORD-12111"/>
        <s v="ORD-12112"/>
        <s v="ORD-12113"/>
        <s v="ORD-12114"/>
        <s v="ORD-12115"/>
        <s v="ORD-12116"/>
        <s v="ORD-12117"/>
        <s v="ORD-12118"/>
        <s v="ORD-12119"/>
        <s v="ORD-12120"/>
        <s v="ORD-12121"/>
        <s v="ORD-12122"/>
        <s v="ORD-12123"/>
        <s v="ORD-12124"/>
        <s v="ORD-12125"/>
        <s v="ORD-12126"/>
        <s v="ORD-12127"/>
        <s v="ORD-12128"/>
        <s v="ORD-12129"/>
        <s v="ORD-12130"/>
        <s v="ORD-12131"/>
        <s v="ORD-12132"/>
        <s v="ORD-12133"/>
        <s v="ORD-12134"/>
        <s v="ORD-12135"/>
        <s v="ORD-12136"/>
        <s v="ORD-12137"/>
        <s v="ORD-12138"/>
        <s v="ORD-12139"/>
        <s v="ORD-12140"/>
        <s v="ORD-12141"/>
        <s v="ORD-12142"/>
        <s v="ORD-12143"/>
        <s v="ORD-12144"/>
        <s v="ORD-12145"/>
        <s v="ORD-12146"/>
        <s v="ORD-12147"/>
        <s v="ORD-12148"/>
        <s v="ORD-12149"/>
        <s v="ORD-12150"/>
        <s v="ORD-12151"/>
        <s v="ORD-12152"/>
        <s v="ORD-12153"/>
        <s v="ORD-12154"/>
        <s v="ORD-12155"/>
        <s v="ORD-12156"/>
        <s v="ORD-12157"/>
        <s v="ORD-12158"/>
        <s v="ORD-12159"/>
        <s v="ORD-12160"/>
        <s v="ORD-12161"/>
        <s v="ORD-12162"/>
        <s v="ORD-12163"/>
        <s v="ORD-12164"/>
        <s v="ORD-12165"/>
        <s v="ORD-12166"/>
        <s v="ORD-12167"/>
        <s v="ORD-12168"/>
        <s v="ORD-12169"/>
        <s v="ORD-12170"/>
        <s v="ORD-12171"/>
        <s v="ORD-12172"/>
        <s v="ORD-12173"/>
        <s v="ORD-12174"/>
        <s v="ORD-12175"/>
        <s v="ORD-12176"/>
        <s v="ORD-12177"/>
        <s v="ORD-12178"/>
        <s v="ORD-12179"/>
        <s v="ORD-12180"/>
        <s v="ORD-12181"/>
        <s v="ORD-12182"/>
        <s v="ORD-12183"/>
        <s v="ORD-12184"/>
        <s v="ORD-12185"/>
        <s v="ORD-12186"/>
        <s v="ORD-12187"/>
        <s v="ORD-12188"/>
        <s v="ORD-12189"/>
        <s v="ORD-12190"/>
        <s v="ORD-12191"/>
        <s v="ORD-12192"/>
        <s v="ORD-12193"/>
        <s v="ORD-12194"/>
        <s v="ORD-12195"/>
        <s v="ORD-12196"/>
        <s v="ORD-12197"/>
        <s v="ORD-12198"/>
        <s v="ORD-12199"/>
        <s v="ORD-12200"/>
        <s v="ORD-12201"/>
        <s v="ORD-12202"/>
        <s v="ORD-12203"/>
        <s v="ORD-12204"/>
        <s v="ORD-12205"/>
        <s v="ORD-12206"/>
        <s v="ORD-12207"/>
        <s v="ORD-12208"/>
        <s v="ORD-12209"/>
        <s v="ORD-12210"/>
        <s v="ORD-12211"/>
        <s v="ORD-12212"/>
        <s v="ORD-12213"/>
        <s v="ORD-12214"/>
        <s v="ORD-12215"/>
        <s v="ORD-12216"/>
        <s v="ORD-12217"/>
        <s v="ORD-12218"/>
        <s v="ORD-12219"/>
        <s v="ORD-12220"/>
        <s v="ORD-12221"/>
        <s v="ORD-12222"/>
        <s v="ORD-12223"/>
        <s v="ORD-12224"/>
        <s v="ORD-12225"/>
        <s v="ORD-12226"/>
        <s v="ORD-12227"/>
        <s v="ORD-12228"/>
        <s v="ORD-12229"/>
        <s v="ORD-12230"/>
        <s v="ORD-12231"/>
        <s v="ORD-12232"/>
        <s v="ORD-12233"/>
        <s v="ORD-12234"/>
        <s v="ORD-12235"/>
        <s v="ORD-12236"/>
        <s v="ORD-12237"/>
        <s v="ORD-12238"/>
        <s v="ORD-12239"/>
        <s v="ORD-12240"/>
        <s v="ORD-12241"/>
        <s v="ORD-12242"/>
        <s v="ORD-12243"/>
        <s v="ORD-12244"/>
        <s v="ORD-12245"/>
        <s v="ORD-12246"/>
        <s v="ORD-12247"/>
        <s v="ORD-12248"/>
        <s v="ORD-12249"/>
        <s v="ORD-12250"/>
        <s v="ORD-12251"/>
        <s v="ORD-12252"/>
        <s v="ORD-12253"/>
        <s v="ORD-12254"/>
        <s v="ORD-12255"/>
        <s v="ORD-12256"/>
        <s v="ORD-12257"/>
        <s v="ORD-12258"/>
        <s v="ORD-12259"/>
        <s v="ORD-12260"/>
        <s v="ORD-12261"/>
        <s v="ORD-12262"/>
        <s v="ORD-12263"/>
        <s v="ORD-12264"/>
        <s v="ORD-12265"/>
        <s v="ORD-12266"/>
        <s v="ORD-12267"/>
        <s v="ORD-12268"/>
        <s v="ORD-12269"/>
        <s v="ORD-12270"/>
        <s v="ORD-12271"/>
        <s v="ORD-12272"/>
        <s v="ORD-12273"/>
        <s v="ORD-12274"/>
        <s v="ORD-12275"/>
        <s v="ORD-12276"/>
        <s v="ORD-12277"/>
        <s v="ORD-12278"/>
        <s v="ORD-12279"/>
        <s v="ORD-12280"/>
        <s v="ORD-12281"/>
        <s v="ORD-12282"/>
        <s v="ORD-12283"/>
        <s v="ORD-12284"/>
        <s v="ORD-12285"/>
        <s v="ORD-12286"/>
        <s v="ORD-12287"/>
        <s v="ORD-12288"/>
        <s v="ORD-12289"/>
        <s v="ORD-12290"/>
        <s v="ORD-12291"/>
        <s v="ORD-12292"/>
        <s v="ORD-12293"/>
        <s v="ORD-12294"/>
        <s v="ORD-12295"/>
        <s v="ORD-12296"/>
        <s v="ORD-12297"/>
        <s v="ORD-12298"/>
        <s v="ORD-12299"/>
        <s v="ORD-12300"/>
        <s v="ORD-12301"/>
        <s v="ORD-12302"/>
        <s v="ORD-12303"/>
        <s v="ORD-12304"/>
        <s v="ORD-12305"/>
        <s v="ORD-12306"/>
        <s v="ORD-12307"/>
        <s v="ORD-12308"/>
        <s v="ORD-12309"/>
        <s v="ORD-12310"/>
        <s v="ORD-12311"/>
        <s v="ORD-12312"/>
        <s v="ORD-12313"/>
        <s v="ORD-12314"/>
        <s v="ORD-12315"/>
        <s v="ORD-12316"/>
        <s v="ORD-12317"/>
        <s v="ORD-12318"/>
        <s v="ORD-12319"/>
        <s v="ORD-12320"/>
        <s v="ORD-12321"/>
        <s v="ORD-12322"/>
        <s v="ORD-12323"/>
        <s v="ORD-12324"/>
        <s v="ORD-12325"/>
        <s v="ORD-12326"/>
        <s v="ORD-12327"/>
        <s v="ORD-12328"/>
        <s v="ORD-12329"/>
        <s v="ORD-12330"/>
        <s v="ORD-12331"/>
        <s v="ORD-12332"/>
        <s v="ORD-12333"/>
        <s v="ORD-12334"/>
        <s v="ORD-12335"/>
        <s v="ORD-12336"/>
        <s v="ORD-12337"/>
        <s v="ORD-12338"/>
        <s v="ORD-12339"/>
        <s v="ORD-12340"/>
        <s v="ORD-12341"/>
        <s v="ORD-12342"/>
        <s v="ORD-12343"/>
        <s v="ORD-12344"/>
        <s v="ORD-12345"/>
        <s v="ORD-12346"/>
        <s v="ORD-12347"/>
        <s v="ORD-12348"/>
        <s v="ORD-12349"/>
        <s v="ORD-12350"/>
        <s v="ORD-12351"/>
        <s v="ORD-12352"/>
        <s v="ORD-12353"/>
        <s v="ORD-12354"/>
        <s v="ORD-12355"/>
        <s v="ORD-12356"/>
        <s v="ORD-12357"/>
        <s v="ORD-12358"/>
        <s v="ORD-12359"/>
        <s v="ORD-12360"/>
        <s v="ORD-12361"/>
        <s v="ORD-12362"/>
        <s v="ORD-12363"/>
        <s v="ORD-12364"/>
        <s v="ORD-12365"/>
        <s v="ORD-12366"/>
        <s v="ORD-12367"/>
        <s v="ORD-12368"/>
        <s v="ORD-12369"/>
        <s v="ORD-12370"/>
        <s v="ORD-12371"/>
        <s v="ORD-12372"/>
        <s v="ORD-12373"/>
        <s v="ORD-12374"/>
        <s v="ORD-12375"/>
        <s v="ORD-12376"/>
        <s v="ORD-12377"/>
        <s v="ORD-12378"/>
        <s v="ORD-12379"/>
        <s v="ORD-12380"/>
        <s v="ORD-12381"/>
        <s v="ORD-12382"/>
        <s v="ORD-12383"/>
        <s v="ORD-12384"/>
        <s v="ORD-12385"/>
        <s v="ORD-12386"/>
        <s v="ORD-12387"/>
        <s v="ORD-12388"/>
        <s v="ORD-12389"/>
        <s v="ORD-12390"/>
        <s v="ORD-12391"/>
        <s v="ORD-12392"/>
        <s v="ORD-12393"/>
        <s v="ORD-12394"/>
        <s v="ORD-12395"/>
        <s v="ORD-12396"/>
        <s v="ORD-12397"/>
        <s v="ORD-12398"/>
        <s v="ORD-12399"/>
        <s v="ORD-12400"/>
        <s v="ORD-12401"/>
        <s v="ORD-12402"/>
        <s v="ORD-12403"/>
        <s v="ORD-12404"/>
        <s v="ORD-12405"/>
        <s v="ORD-12406"/>
        <s v="ORD-12407"/>
        <s v="ORD-12408"/>
        <s v="ORD-12409"/>
        <s v="ORD-12410"/>
        <s v="ORD-12411"/>
        <s v="ORD-12412"/>
        <s v="ORD-12413"/>
        <s v="ORD-12414"/>
        <s v="ORD-12415"/>
        <s v="ORD-12416"/>
        <s v="ORD-12417"/>
        <s v="ORD-12418"/>
        <s v="ORD-12419"/>
        <s v="ORD-12420"/>
        <s v="ORD-12421"/>
        <s v="ORD-12422"/>
        <s v="ORD-12423"/>
        <s v="ORD-12424"/>
        <s v="ORD-12425"/>
        <s v="ORD-12426"/>
        <s v="ORD-12427"/>
        <s v="ORD-12428"/>
        <s v="ORD-12429"/>
        <s v="ORD-12430"/>
        <s v="ORD-12431"/>
        <s v="ORD-12432"/>
        <s v="ORD-12433"/>
        <s v="ORD-12434"/>
        <s v="ORD-12435"/>
        <s v="ORD-12436"/>
        <s v="ORD-12437"/>
        <s v="ORD-12438"/>
        <s v="ORD-12439"/>
        <s v="ORD-12440"/>
        <s v="ORD-12441"/>
        <s v="ORD-12442"/>
        <s v="ORD-12443"/>
        <s v="ORD-12444"/>
        <s v="ORD-12445"/>
        <s v="ORD-12446"/>
        <s v="ORD-12447"/>
        <s v="ORD-12448"/>
        <s v="ORD-12449"/>
        <s v="ORD-12450"/>
        <s v="ORD-12451"/>
        <s v="ORD-12452"/>
        <s v="ORD-12453"/>
        <s v="ORD-12454"/>
        <s v="ORD-12455"/>
        <s v="ORD-12456"/>
        <s v="ORD-12457"/>
        <s v="ORD-12458"/>
        <s v="ORD-12459"/>
        <s v="ORD-12460"/>
        <s v="ORD-12461"/>
        <s v="ORD-12462"/>
        <s v="ORD-12463"/>
        <s v="ORD-12464"/>
        <s v="ORD-12465"/>
        <s v="ORD-12466"/>
        <s v="ORD-12467"/>
        <s v="ORD-12468"/>
        <s v="ORD-12469"/>
        <s v="ORD-12470"/>
        <s v="ORD-12471"/>
        <s v="ORD-12472"/>
        <s v="ORD-12473"/>
        <s v="ORD-12474"/>
        <s v="ORD-12475"/>
        <s v="ORD-12476"/>
        <s v="ORD-12477"/>
        <s v="ORD-12478"/>
        <s v="ORD-12479"/>
        <s v="ORD-12480"/>
        <s v="ORD-12481"/>
        <s v="ORD-12482"/>
        <s v="ORD-12483"/>
        <s v="ORD-12484"/>
        <s v="ORD-12485"/>
        <s v="ORD-12486"/>
        <s v="ORD-12487"/>
        <s v="ORD-12488"/>
        <s v="ORD-12489"/>
        <s v="ORD-12490"/>
        <s v="ORD-12491"/>
        <s v="ORD-12492"/>
        <s v="ORD-12493"/>
        <s v="ORD-12494"/>
        <s v="ORD-12495"/>
        <s v="ORD-12496"/>
        <s v="ORD-12497"/>
        <s v="ORD-12498"/>
        <s v="ORD-12499"/>
        <s v="ORD-12500"/>
        <s v="ORD-12501"/>
        <s v="ORD-12502"/>
        <s v="ORD-12503"/>
        <s v="ORD-12504"/>
        <s v="ORD-12505"/>
        <s v="ORD-12506"/>
        <s v="ORD-12507"/>
        <s v="ORD-12508"/>
        <s v="ORD-12509"/>
        <s v="ORD-12510"/>
        <s v="ORD-12511"/>
        <s v="ORD-12512"/>
        <s v="ORD-12513"/>
        <s v="ORD-12514"/>
        <s v="ORD-12515"/>
        <s v="ORD-12516"/>
        <s v="ORD-12517"/>
        <s v="ORD-12518"/>
        <s v="ORD-12519"/>
        <s v="ORD-12520"/>
        <s v="ORD-12521"/>
        <s v="ORD-12522"/>
        <s v="ORD-12523"/>
        <s v="ORD-12524"/>
        <s v="ORD-12525"/>
        <s v="ORD-12526"/>
        <s v="ORD-12527"/>
        <s v="ORD-12528"/>
        <s v="ORD-12529"/>
        <s v="ORD-12530"/>
        <s v="ORD-12531"/>
        <s v="ORD-12532"/>
        <s v="ORD-12533"/>
        <s v="ORD-12534"/>
        <s v="ORD-12535"/>
        <s v="ORD-12536"/>
        <s v="ORD-12537"/>
        <s v="ORD-12538"/>
        <s v="ORD-12539"/>
        <s v="ORD-12540"/>
        <s v="ORD-12541"/>
        <s v="ORD-12542"/>
        <s v="ORD-12543"/>
        <s v="ORD-12544"/>
        <s v="ORD-12545"/>
        <s v="ORD-12546"/>
        <s v="ORD-12547"/>
        <s v="ORD-12548"/>
        <s v="ORD-12549"/>
        <s v="ORD-12550"/>
        <s v="ORD-12551"/>
        <s v="ORD-12552"/>
        <s v="ORD-12553"/>
        <s v="ORD-12554"/>
        <s v="ORD-12555"/>
        <s v="ORD-12556"/>
        <s v="ORD-12557"/>
        <s v="ORD-12558"/>
        <s v="ORD-12559"/>
        <s v="ORD-12560"/>
        <s v="ORD-12561"/>
        <s v="ORD-12562"/>
        <s v="ORD-12563"/>
        <s v="ORD-12564"/>
        <s v="ORD-12565"/>
        <s v="ORD-12566"/>
        <s v="ORD-12567"/>
        <s v="ORD-12568"/>
        <s v="ORD-12569"/>
        <s v="ORD-12570"/>
        <s v="ORD-12571"/>
        <s v="ORD-12572"/>
        <s v="ORD-12573"/>
        <s v="ORD-12574"/>
        <s v="ORD-12575"/>
        <s v="ORD-12576"/>
        <s v="ORD-12577"/>
        <s v="ORD-12578"/>
        <s v="ORD-12579"/>
        <s v="ORD-12580"/>
        <s v="ORD-12581"/>
        <s v="ORD-12582"/>
        <s v="ORD-12583"/>
        <s v="ORD-12584"/>
        <s v="ORD-12585"/>
        <s v="ORD-12586"/>
        <s v="ORD-12587"/>
        <s v="ORD-12588"/>
        <s v="ORD-12589"/>
        <s v="ORD-12590"/>
        <s v="ORD-12591"/>
        <s v="ORD-12592"/>
        <s v="ORD-12593"/>
        <s v="ORD-12594"/>
        <s v="ORD-12595"/>
        <s v="ORD-12596"/>
        <s v="ORD-12597"/>
        <s v="ORD-12598"/>
        <s v="ORD-12599"/>
        <s v="ORD-12600"/>
        <s v="ORD-12601"/>
        <s v="ORD-12602"/>
        <s v="ORD-12603"/>
        <s v="ORD-12604"/>
        <s v="ORD-12605"/>
        <s v="ORD-12606"/>
        <s v="ORD-12607"/>
        <s v="ORD-12608"/>
        <s v="ORD-12609"/>
        <s v="ORD-12610"/>
        <s v="ORD-12611"/>
        <s v="ORD-12612"/>
        <s v="ORD-12613"/>
        <s v="ORD-12614"/>
        <s v="ORD-12615"/>
        <s v="ORD-12616"/>
        <s v="ORD-12617"/>
        <s v="ORD-12618"/>
        <s v="ORD-12619"/>
        <s v="ORD-12620"/>
        <s v="ORD-12621"/>
        <s v="ORD-12622"/>
        <s v="ORD-12623"/>
        <s v="ORD-12624"/>
        <s v="ORD-12625"/>
        <s v="ORD-12626"/>
        <s v="ORD-12627"/>
        <s v="ORD-12628"/>
        <s v="ORD-12629"/>
        <s v="ORD-12630"/>
        <s v="ORD-12631"/>
        <s v="ORD-12632"/>
        <s v="ORD-12633"/>
        <s v="ORD-12634"/>
        <s v="ORD-12635"/>
        <s v="ORD-12636"/>
        <s v="ORD-12637"/>
        <s v="ORD-12638"/>
        <s v="ORD-12639"/>
        <s v="ORD-12640"/>
        <s v="ORD-12641"/>
        <s v="ORD-12642"/>
        <s v="ORD-12643"/>
        <s v="ORD-12644"/>
        <s v="ORD-12645"/>
        <s v="ORD-12646"/>
        <s v="ORD-12647"/>
        <s v="ORD-12648"/>
        <s v="ORD-12649"/>
        <s v="ORD-12650"/>
        <s v="ORD-12651"/>
        <s v="ORD-12652"/>
        <s v="ORD-12653"/>
        <s v="ORD-12654"/>
        <s v="ORD-12655"/>
        <s v="ORD-12656"/>
        <s v="ORD-12657"/>
        <s v="ORD-12658"/>
        <s v="ORD-12659"/>
        <s v="ORD-12660"/>
        <s v="ORD-12661"/>
        <s v="ORD-12662"/>
        <s v="ORD-12663"/>
        <s v="ORD-12664"/>
        <s v="ORD-12665"/>
        <s v="ORD-12666"/>
        <s v="ORD-12667"/>
        <s v="ORD-12668"/>
        <s v="ORD-12669"/>
        <s v="ORD-12670"/>
        <s v="ORD-12671"/>
        <s v="ORD-12672"/>
        <s v="ORD-12673"/>
        <s v="ORD-12674"/>
        <s v="ORD-12675"/>
        <s v="ORD-12676"/>
        <s v="ORD-12677"/>
        <s v="ORD-12678"/>
        <s v="ORD-12679"/>
        <s v="ORD-12680"/>
        <s v="ORD-12681"/>
        <s v="ORD-12682"/>
        <s v="ORD-12683"/>
        <s v="ORD-12684"/>
        <s v="ORD-12685"/>
        <s v="ORD-12686"/>
        <s v="ORD-12687"/>
        <s v="ORD-12688"/>
        <s v="ORD-12689"/>
        <s v="ORD-12690"/>
        <s v="ORD-12691"/>
        <s v="ORD-12692"/>
        <s v="ORD-12693"/>
        <s v="ORD-12694"/>
        <s v="ORD-12695"/>
        <s v="ORD-12696"/>
        <s v="ORD-12697"/>
        <s v="ORD-12698"/>
        <s v="ORD-12699"/>
        <s v="ORD-12700"/>
        <s v="ORD-12701"/>
        <s v="ORD-12702"/>
        <s v="ORD-12703"/>
        <s v="ORD-12704"/>
        <s v="ORD-12705"/>
        <s v="ORD-12706"/>
        <s v="ORD-12707"/>
        <s v="ORD-12708"/>
        <s v="ORD-12709"/>
        <s v="ORD-12710"/>
        <s v="ORD-12711"/>
        <s v="ORD-12712"/>
        <s v="ORD-12713"/>
        <s v="ORD-12714"/>
        <s v="ORD-12715"/>
        <s v="ORD-12716"/>
        <s v="ORD-12717"/>
        <s v="ORD-12718"/>
        <s v="ORD-12719"/>
        <s v="ORD-12720"/>
        <s v="ORD-12721"/>
        <s v="ORD-12722"/>
        <s v="ORD-12723"/>
        <s v="ORD-12724"/>
        <s v="ORD-12725"/>
        <s v="ORD-12726"/>
        <s v="ORD-12727"/>
        <s v="ORD-12728"/>
        <s v="ORD-12729"/>
        <s v="ORD-12730"/>
        <s v="ORD-12731"/>
        <s v="ORD-12732"/>
        <s v="ORD-12733"/>
        <s v="ORD-12734"/>
        <s v="ORD-12735"/>
        <s v="ORD-12736"/>
        <s v="ORD-12737"/>
        <s v="ORD-12738"/>
        <s v="ORD-12739"/>
        <s v="ORD-12740"/>
        <s v="ORD-12741"/>
        <s v="ORD-12742"/>
        <s v="ORD-12743"/>
        <s v="ORD-12744"/>
        <s v="ORD-12745"/>
        <s v="ORD-12746"/>
        <s v="ORD-12747"/>
        <s v="ORD-12748"/>
        <s v="ORD-12749"/>
        <s v="ORD-12750"/>
        <s v="ORD-12751"/>
        <s v="ORD-12752"/>
        <s v="ORD-12753"/>
        <s v="ORD-12754"/>
        <s v="ORD-12755"/>
        <s v="ORD-12756"/>
        <s v="ORD-12757"/>
        <s v="ORD-12758"/>
        <s v="ORD-12759"/>
        <s v="ORD-12760"/>
        <s v="ORD-12761"/>
        <s v="ORD-12762"/>
        <s v="ORD-12763"/>
        <s v="ORD-12764"/>
        <s v="ORD-12765"/>
        <s v="ORD-12766"/>
        <s v="ORD-12767"/>
        <s v="ORD-12768"/>
        <s v="ORD-12769"/>
        <s v="ORD-12770"/>
        <s v="ORD-12771"/>
        <s v="ORD-12772"/>
        <s v="ORD-12773"/>
        <s v="ORD-12774"/>
        <s v="ORD-12775"/>
        <s v="ORD-12776"/>
        <s v="ORD-12777"/>
        <s v="ORD-12778"/>
        <s v="ORD-12779"/>
        <s v="ORD-12780"/>
        <s v="ORD-12781"/>
        <s v="ORD-12782"/>
        <s v="ORD-12783"/>
        <s v="ORD-12784"/>
        <s v="ORD-12785"/>
        <s v="ORD-12786"/>
        <s v="ORD-12787"/>
        <s v="ORD-12788"/>
        <s v="ORD-12789"/>
        <s v="ORD-12790"/>
        <s v="ORD-12791"/>
        <s v="ORD-12792"/>
        <s v="ORD-12793"/>
        <s v="ORD-12794"/>
        <s v="ORD-12795"/>
        <s v="ORD-12796"/>
        <s v="ORD-12797"/>
        <s v="ORD-12798"/>
        <s v="ORD-12799"/>
        <s v="ORD-12800"/>
        <s v="ORD-12801"/>
        <s v="ORD-12802"/>
        <s v="ORD-12803"/>
        <s v="ORD-12804"/>
        <s v="ORD-12805"/>
        <s v="ORD-12806"/>
        <s v="ORD-12807"/>
        <s v="ORD-12808"/>
        <s v="ORD-12809"/>
        <s v="ORD-12810"/>
        <s v="ORD-12811"/>
        <s v="ORD-12812"/>
        <s v="ORD-12813"/>
        <s v="ORD-12814"/>
        <s v="ORD-12815"/>
        <s v="ORD-12816"/>
        <s v="ORD-12817"/>
        <s v="ORD-12818"/>
        <s v="ORD-12819"/>
        <s v="ORD-12820"/>
        <s v="ORD-12821"/>
        <s v="ORD-12822"/>
        <s v="ORD-12823"/>
        <s v="ORD-12824"/>
        <s v="ORD-12825"/>
        <s v="ORD-12826"/>
        <s v="ORD-12827"/>
        <s v="ORD-12828"/>
        <s v="ORD-12829"/>
        <s v="ORD-12830"/>
        <s v="ORD-12831"/>
        <s v="ORD-12832"/>
        <s v="ORD-12833"/>
        <s v="ORD-12834"/>
        <s v="ORD-12835"/>
        <s v="ORD-12836"/>
        <s v="ORD-12837"/>
        <s v="ORD-12838"/>
        <s v="ORD-12839"/>
        <s v="ORD-12840"/>
        <s v="ORD-12841"/>
        <s v="ORD-12842"/>
        <s v="ORD-12843"/>
        <s v="ORD-12844"/>
        <s v="ORD-12845"/>
        <s v="ORD-12846"/>
        <s v="ORD-12847"/>
        <s v="ORD-12848"/>
        <s v="ORD-12849"/>
        <s v="ORD-12850"/>
        <s v="ORD-12851"/>
        <s v="ORD-12852"/>
        <s v="ORD-12853"/>
        <s v="ORD-12854"/>
        <s v="ORD-12855"/>
        <s v="ORD-12856"/>
        <s v="ORD-12857"/>
        <s v="ORD-12858"/>
        <s v="ORD-12859"/>
        <s v="ORD-12860"/>
        <s v="ORD-12861"/>
        <s v="ORD-12862"/>
        <s v="ORD-12863"/>
        <s v="ORD-12864"/>
        <s v="ORD-12865"/>
        <s v="ORD-12866"/>
        <s v="ORD-12867"/>
        <s v="ORD-12868"/>
        <s v="ORD-12869"/>
        <s v="ORD-12870"/>
        <s v="ORD-12871"/>
        <s v="ORD-12872"/>
        <s v="ORD-12873"/>
        <s v="ORD-12874"/>
        <s v="ORD-12875"/>
        <s v="ORD-12876"/>
        <s v="ORD-12877"/>
        <s v="ORD-12878"/>
        <s v="ORD-12879"/>
        <s v="ORD-12880"/>
        <s v="ORD-12881"/>
        <s v="ORD-12882"/>
        <s v="ORD-12883"/>
        <s v="ORD-12884"/>
        <s v="ORD-12885"/>
        <s v="ORD-12886"/>
        <s v="ORD-12887"/>
        <s v="ORD-12888"/>
        <s v="ORD-12889"/>
        <s v="ORD-12890"/>
        <s v="ORD-12891"/>
        <s v="ORD-12892"/>
        <s v="ORD-12893"/>
        <s v="ORD-12894"/>
        <s v="ORD-12895"/>
        <s v="ORD-12896"/>
        <s v="ORD-12897"/>
        <s v="ORD-12898"/>
        <s v="ORD-12899"/>
        <s v="ORD-12900"/>
        <s v="ORD-12901"/>
        <s v="ORD-12902"/>
        <s v="ORD-12903"/>
        <s v="ORD-12904"/>
        <s v="ORD-12905"/>
        <s v="ORD-12906"/>
        <s v="ORD-12907"/>
        <s v="ORD-12908"/>
        <s v="ORD-12909"/>
        <s v="ORD-12910"/>
        <s v="ORD-12911"/>
        <s v="ORD-12912"/>
        <s v="ORD-12913"/>
        <s v="ORD-12914"/>
        <s v="ORD-12915"/>
        <s v="ORD-12916"/>
        <s v="ORD-12917"/>
        <s v="ORD-12918"/>
        <s v="ORD-12919"/>
        <s v="ORD-12920"/>
        <s v="ORD-12921"/>
        <s v="ORD-12922"/>
        <s v="ORD-12923"/>
        <s v="ORD-12924"/>
        <s v="ORD-12925"/>
        <s v="ORD-12926"/>
        <s v="ORD-12927"/>
        <s v="ORD-12928"/>
        <s v="ORD-12929"/>
        <s v="ORD-12930"/>
        <s v="ORD-12931"/>
        <s v="ORD-12932"/>
        <s v="ORD-12933"/>
        <s v="ORD-12934"/>
        <s v="ORD-12935"/>
        <s v="ORD-12936"/>
        <s v="ORD-12937"/>
        <s v="ORD-12938"/>
        <s v="ORD-12939"/>
        <s v="ORD-12940"/>
        <s v="ORD-12941"/>
        <s v="ORD-12942"/>
        <s v="ORD-12943"/>
        <s v="ORD-12944"/>
        <s v="ORD-12945"/>
        <s v="ORD-12946"/>
        <s v="ORD-12947"/>
        <s v="ORD-12948"/>
        <s v="ORD-12949"/>
        <s v="ORD-12950"/>
        <s v="ORD-12951"/>
        <s v="ORD-12952"/>
        <s v="ORD-12953"/>
        <s v="ORD-12954"/>
        <s v="ORD-12955"/>
        <s v="ORD-12956"/>
        <s v="ORD-12957"/>
        <s v="ORD-12958"/>
        <s v="ORD-12959"/>
        <s v="ORD-12960"/>
        <s v="ORD-12961"/>
        <s v="ORD-12962"/>
        <s v="ORD-12963"/>
        <s v="ORD-12964"/>
        <s v="ORD-12965"/>
        <s v="ORD-12966"/>
        <s v="ORD-12967"/>
        <s v="ORD-12968"/>
        <s v="ORD-12969"/>
        <s v="ORD-12970"/>
        <s v="ORD-12971"/>
        <s v="ORD-12972"/>
        <s v="ORD-12973"/>
        <s v="ORD-12974"/>
        <s v="ORD-12975"/>
        <s v="ORD-12976"/>
        <s v="ORD-12977"/>
        <s v="ORD-12978"/>
        <s v="ORD-12979"/>
        <s v="ORD-12980"/>
        <s v="ORD-12981"/>
        <s v="ORD-12982"/>
        <s v="ORD-12983"/>
        <s v="ORD-12984"/>
        <s v="ORD-12985"/>
        <s v="ORD-12986"/>
        <s v="ORD-12987"/>
        <s v="ORD-12988"/>
        <s v="ORD-12989"/>
        <s v="ORD-12990"/>
        <s v="ORD-12991"/>
        <s v="ORD-12992"/>
        <s v="ORD-12993"/>
        <s v="ORD-12994"/>
        <s v="ORD-12995"/>
        <s v="ORD-12996"/>
        <s v="ORD-12997"/>
        <s v="ORD-12998"/>
        <s v="ORD-12999"/>
        <s v="ORD-13000"/>
        <s v="ORD-13001"/>
        <s v="ORD-13002"/>
        <s v="ORD-13003"/>
        <s v="ORD-13004"/>
        <s v="ORD-13005"/>
        <s v="ORD-13006"/>
        <s v="ORD-13007"/>
        <s v="ORD-13008"/>
        <s v="ORD-13009"/>
        <s v="ORD-13010"/>
        <s v="ORD-13011"/>
        <s v="ORD-13012"/>
        <s v="ORD-13013"/>
        <s v="ORD-13014"/>
        <s v="ORD-13015"/>
        <s v="ORD-13016"/>
        <s v="ORD-13017"/>
        <s v="ORD-13018"/>
        <s v="ORD-13019"/>
        <s v="ORD-13020"/>
        <s v="ORD-13021"/>
        <s v="ORD-13022"/>
        <s v="ORD-13023"/>
        <s v="ORD-13024"/>
        <s v="ORD-13025"/>
        <s v="ORD-13026"/>
        <s v="ORD-13027"/>
        <s v="ORD-13028"/>
        <s v="ORD-13029"/>
        <s v="ORD-13030"/>
        <s v="ORD-13031"/>
        <s v="ORD-13032"/>
        <s v="ORD-13033"/>
        <s v="ORD-13034"/>
        <s v="ORD-13035"/>
        <s v="ORD-13036"/>
        <s v="ORD-13037"/>
        <s v="ORD-13038"/>
        <s v="ORD-13039"/>
        <s v="ORD-13040"/>
        <s v="ORD-13041"/>
        <s v="ORD-13042"/>
        <s v="ORD-13043"/>
        <s v="ORD-13044"/>
        <s v="ORD-13045"/>
        <s v="ORD-13046"/>
        <s v="ORD-13047"/>
        <s v="ORD-13048"/>
        <s v="ORD-13049"/>
        <s v="ORD-13050"/>
        <s v="ORD-13051"/>
        <s v="ORD-13052"/>
        <s v="ORD-13053"/>
        <s v="ORD-13054"/>
        <s v="ORD-13055"/>
        <s v="ORD-13056"/>
        <s v="ORD-13057"/>
        <s v="ORD-13058"/>
        <s v="ORD-13059"/>
        <s v="ORD-13060"/>
        <s v="ORD-13061"/>
        <s v="ORD-13062"/>
        <s v="ORD-13063"/>
        <s v="ORD-13064"/>
        <s v="ORD-13065"/>
        <s v="ORD-13066"/>
        <s v="ORD-13067"/>
        <s v="ORD-13068"/>
        <s v="ORD-13069"/>
        <s v="ORD-13070"/>
        <s v="ORD-13071"/>
        <s v="ORD-13072"/>
        <s v="ORD-13073"/>
        <s v="ORD-13074"/>
        <s v="ORD-13075"/>
        <s v="ORD-13076"/>
        <s v="ORD-13077"/>
        <s v="ORD-13078"/>
        <s v="ORD-13079"/>
        <s v="ORD-13080"/>
        <s v="ORD-13081"/>
        <s v="ORD-13082"/>
        <s v="ORD-13083"/>
        <s v="ORD-13084"/>
        <s v="ORD-13085"/>
        <s v="ORD-13086"/>
        <s v="ORD-13087"/>
        <s v="ORD-13088"/>
        <s v="ORD-13089"/>
        <s v="ORD-13090"/>
        <s v="ORD-13091"/>
        <s v="ORD-13092"/>
        <s v="ORD-13093"/>
        <s v="ORD-13094"/>
        <s v="ORD-13095"/>
        <s v="ORD-13096"/>
        <s v="ORD-13097"/>
        <s v="ORD-13098"/>
        <s v="ORD-13099"/>
        <s v="ORD-13100"/>
        <s v="ORD-13101"/>
        <s v="ORD-13102"/>
        <s v="ORD-13103"/>
        <s v="ORD-13104"/>
        <s v="ORD-13105"/>
        <s v="ORD-13106"/>
        <s v="ORD-13107"/>
        <s v="ORD-13108"/>
        <s v="ORD-13109"/>
        <s v="ORD-13110"/>
        <s v="ORD-13111"/>
        <s v="ORD-13112"/>
        <s v="ORD-13113"/>
        <s v="ORD-13114"/>
        <s v="ORD-13115"/>
        <s v="ORD-13116"/>
        <s v="ORD-13117"/>
        <s v="ORD-13118"/>
        <s v="ORD-13119"/>
        <s v="ORD-13120"/>
        <s v="ORD-13121"/>
        <s v="ORD-13122"/>
        <s v="ORD-13123"/>
        <s v="ORD-13124"/>
        <s v="ORD-13125"/>
        <s v="ORD-13126"/>
        <s v="ORD-13127"/>
        <s v="ORD-13128"/>
        <s v="ORD-13129"/>
        <s v="ORD-13130"/>
        <s v="ORD-13131"/>
        <s v="ORD-13132"/>
        <s v="ORD-13133"/>
        <s v="ORD-13134"/>
        <s v="ORD-13135"/>
        <s v="ORD-13136"/>
        <s v="ORD-13137"/>
        <s v="ORD-13138"/>
        <s v="ORD-13139"/>
        <s v="ORD-13140"/>
        <s v="ORD-13141"/>
        <s v="ORD-13142"/>
        <s v="ORD-13143"/>
        <s v="ORD-13144"/>
        <s v="ORD-13145"/>
        <s v="ORD-13146"/>
        <s v="ORD-13147"/>
        <s v="ORD-13148"/>
        <s v="ORD-13149"/>
        <s v="ORD-13150"/>
        <s v="ORD-13151"/>
        <s v="ORD-13152"/>
        <s v="ORD-13153"/>
        <s v="ORD-13154"/>
        <s v="ORD-13155"/>
        <s v="ORD-13156"/>
        <s v="ORD-13157"/>
        <s v="ORD-13158"/>
        <s v="ORD-13159"/>
        <s v="ORD-13160"/>
        <s v="ORD-13161"/>
        <s v="ORD-13162"/>
        <s v="ORD-13163"/>
        <s v="ORD-13164"/>
        <s v="ORD-13165"/>
        <s v="ORD-13166"/>
        <s v="ORD-13167"/>
        <s v="ORD-13168"/>
        <s v="ORD-13169"/>
        <s v="ORD-13170"/>
        <s v="ORD-13171"/>
        <s v="ORD-13172"/>
        <s v="ORD-13173"/>
        <s v="ORD-13174"/>
        <s v="ORD-13175"/>
        <s v="ORD-13176"/>
        <s v="ORD-13177"/>
        <s v="ORD-13178"/>
        <s v="ORD-13179"/>
        <s v="ORD-13180"/>
        <s v="ORD-13181"/>
        <s v="ORD-13182"/>
        <s v="ORD-13183"/>
        <s v="ORD-13184"/>
        <s v="ORD-13185"/>
        <s v="ORD-13186"/>
        <s v="ORD-13187"/>
        <s v="ORD-13188"/>
        <s v="ORD-13189"/>
        <s v="ORD-13190"/>
        <s v="ORD-13191"/>
        <s v="ORD-13192"/>
        <s v="ORD-13193"/>
        <s v="ORD-13194"/>
        <s v="ORD-13195"/>
        <s v="ORD-13196"/>
        <s v="ORD-13197"/>
        <s v="ORD-13198"/>
        <s v="ORD-13199"/>
        <s v="ORD-13200"/>
        <s v="ORD-13201"/>
        <s v="ORD-13202"/>
        <s v="ORD-13203"/>
        <s v="ORD-13204"/>
        <s v="ORD-13205"/>
        <s v="ORD-13206"/>
        <s v="ORD-13207"/>
        <s v="ORD-13208"/>
        <s v="ORD-13209"/>
        <s v="ORD-13210"/>
        <s v="ORD-13211"/>
        <s v="ORD-13212"/>
        <s v="ORD-13213"/>
        <s v="ORD-13214"/>
        <s v="ORD-13215"/>
        <s v="ORD-13216"/>
        <s v="ORD-13217"/>
        <s v="ORD-13218"/>
        <s v="ORD-13219"/>
        <s v="ORD-13220"/>
        <s v="ORD-13221"/>
        <s v="ORD-13222"/>
        <s v="ORD-13223"/>
        <s v="ORD-13224"/>
        <s v="ORD-13225"/>
        <s v="ORD-13226"/>
        <s v="ORD-13227"/>
        <s v="ORD-13228"/>
        <s v="ORD-13229"/>
        <s v="ORD-13230"/>
        <s v="ORD-13231"/>
        <s v="ORD-13232"/>
        <s v="ORD-13233"/>
        <s v="ORD-13234"/>
        <s v="ORD-13235"/>
        <s v="ORD-13236"/>
        <s v="ORD-13237"/>
        <s v="ORD-13238"/>
        <s v="ORD-13239"/>
        <s v="ORD-13240"/>
        <s v="ORD-13241"/>
        <s v="ORD-13242"/>
        <s v="ORD-13243"/>
        <s v="ORD-13244"/>
        <s v="ORD-13245"/>
        <s v="ORD-13246"/>
        <s v="ORD-13247"/>
        <s v="ORD-13248"/>
        <s v="ORD-13249"/>
        <s v="ORD-13250"/>
        <s v="ORD-13251"/>
        <s v="ORD-13252"/>
        <s v="ORD-13253"/>
        <s v="ORD-13254"/>
        <s v="ORD-13255"/>
        <s v="ORD-13256"/>
        <s v="ORD-13257"/>
        <s v="ORD-13258"/>
        <s v="ORD-13259"/>
        <s v="ORD-13260"/>
        <s v="ORD-13261"/>
        <s v="ORD-13262"/>
        <s v="ORD-13263"/>
        <s v="ORD-13264"/>
        <s v="ORD-13265"/>
        <s v="ORD-13266"/>
        <s v="ORD-13267"/>
        <s v="ORD-13268"/>
        <s v="ORD-13269"/>
        <s v="ORD-13270"/>
        <s v="ORD-13271"/>
        <s v="ORD-13272"/>
        <s v="ORD-13273"/>
        <s v="ORD-13274"/>
        <s v="ORD-13275"/>
        <s v="ORD-13276"/>
        <s v="ORD-13277"/>
        <s v="ORD-13278"/>
        <s v="ORD-13279"/>
        <s v="ORD-13280"/>
        <s v="ORD-13281"/>
        <s v="ORD-13282"/>
        <s v="ORD-13283"/>
        <s v="ORD-13284"/>
        <s v="ORD-13285"/>
        <s v="ORD-13286"/>
        <s v="ORD-13287"/>
        <s v="ORD-13288"/>
        <s v="ORD-13289"/>
        <s v="ORD-13290"/>
        <s v="ORD-13291"/>
        <s v="ORD-13292"/>
        <s v="ORD-13293"/>
        <s v="ORD-13294"/>
        <s v="ORD-13295"/>
        <s v="ORD-13296"/>
        <s v="ORD-13297"/>
        <s v="ORD-13298"/>
        <s v="ORD-13299"/>
        <s v="ORD-13300"/>
        <s v="ORD-13301"/>
        <s v="ORD-13302"/>
        <s v="ORD-13303"/>
        <s v="ORD-13304"/>
        <s v="ORD-13305"/>
        <s v="ORD-13306"/>
        <s v="ORD-13307"/>
        <s v="ORD-13308"/>
        <s v="ORD-13309"/>
        <s v="ORD-13310"/>
        <s v="ORD-13311"/>
        <s v="ORD-13312"/>
        <s v="ORD-13313"/>
        <s v="ORD-13314"/>
        <s v="ORD-13315"/>
        <s v="ORD-13316"/>
        <s v="ORD-13317"/>
        <s v="ORD-13318"/>
        <s v="ORD-13319"/>
        <s v="ORD-13320"/>
        <s v="ORD-13321"/>
        <s v="ORD-13322"/>
        <s v="ORD-13323"/>
        <s v="ORD-13324"/>
        <s v="ORD-13325"/>
        <s v="ORD-13326"/>
        <s v="ORD-13327"/>
        <s v="ORD-13328"/>
        <s v="ORD-13329"/>
        <s v="ORD-13330"/>
        <s v="ORD-13331"/>
        <s v="ORD-13332"/>
        <s v="ORD-13333"/>
        <s v="ORD-13334"/>
        <s v="ORD-13335"/>
        <s v="ORD-13336"/>
        <s v="ORD-13337"/>
        <s v="ORD-13338"/>
        <s v="ORD-13339"/>
        <s v="ORD-13340"/>
        <s v="ORD-13341"/>
        <s v="ORD-13342"/>
        <s v="ORD-13343"/>
        <s v="ORD-13344"/>
        <s v="ORD-13345"/>
        <s v="ORD-13346"/>
        <s v="ORD-13347"/>
        <s v="ORD-13348"/>
        <s v="ORD-13349"/>
        <s v="ORD-13350"/>
        <s v="ORD-13351"/>
        <s v="ORD-13352"/>
        <s v="ORD-13353"/>
        <s v="ORD-13354"/>
        <s v="ORD-13355"/>
        <s v="ORD-13356"/>
        <s v="ORD-13357"/>
        <s v="ORD-13358"/>
        <s v="ORD-13359"/>
        <s v="ORD-13360"/>
        <s v="ORD-13361"/>
        <s v="ORD-13362"/>
        <s v="ORD-13363"/>
        <s v="ORD-13364"/>
        <s v="ORD-13365"/>
        <s v="ORD-13366"/>
        <s v="ORD-13367"/>
        <s v="ORD-13368"/>
        <s v="ORD-13369"/>
        <s v="ORD-13370"/>
        <s v="ORD-13371"/>
        <s v="ORD-13372"/>
        <s v="ORD-13373"/>
        <s v="ORD-13374"/>
        <s v="ORD-13375"/>
        <s v="ORD-13376"/>
        <s v="ORD-13377"/>
        <s v="ORD-13378"/>
        <s v="ORD-13379"/>
        <s v="ORD-13380"/>
        <s v="ORD-13381"/>
        <s v="ORD-13382"/>
        <s v="ORD-13383"/>
        <s v="ORD-13384"/>
        <s v="ORD-13385"/>
        <s v="ORD-13386"/>
        <s v="ORD-13387"/>
        <s v="ORD-13388"/>
        <s v="ORD-13389"/>
        <s v="ORD-13390"/>
        <s v="ORD-13391"/>
        <s v="ORD-13392"/>
        <s v="ORD-13393"/>
        <s v="ORD-13394"/>
        <s v="ORD-13395"/>
        <s v="ORD-13396"/>
        <s v="ORD-13397"/>
        <s v="ORD-13398"/>
        <s v="ORD-13399"/>
        <s v="ORD-13400"/>
        <s v="ORD-13401"/>
        <s v="ORD-13402"/>
        <s v="ORD-13403"/>
        <s v="ORD-13404"/>
        <s v="ORD-13405"/>
        <s v="ORD-13406"/>
        <s v="ORD-13407"/>
        <s v="ORD-13408"/>
        <s v="ORD-13409"/>
        <s v="ORD-13410"/>
        <s v="ORD-13411"/>
        <s v="ORD-13412"/>
        <s v="ORD-13413"/>
        <s v="ORD-13414"/>
        <s v="ORD-13415"/>
        <s v="ORD-13416"/>
        <s v="ORD-13417"/>
        <s v="ORD-13418"/>
        <s v="ORD-13419"/>
        <s v="ORD-13420"/>
        <s v="ORD-13421"/>
        <s v="ORD-13422"/>
        <s v="ORD-13423"/>
        <s v="ORD-13424"/>
        <s v="ORD-13425"/>
        <s v="ORD-13426"/>
        <s v="ORD-13427"/>
        <s v="ORD-13428"/>
        <s v="ORD-13429"/>
        <s v="ORD-13430"/>
        <s v="ORD-13431"/>
        <s v="ORD-13432"/>
        <s v="ORD-13433"/>
        <s v="ORD-13434"/>
        <s v="ORD-13435"/>
        <s v="ORD-13436"/>
        <s v="ORD-13437"/>
        <s v="ORD-13438"/>
        <s v="ORD-13439"/>
        <s v="ORD-13440"/>
        <s v="ORD-13441"/>
        <s v="ORD-13442"/>
        <s v="ORD-13443"/>
        <s v="ORD-13444"/>
        <s v="ORD-13445"/>
        <s v="ORD-13446"/>
        <s v="ORD-13447"/>
        <s v="ORD-13448"/>
        <s v="ORD-13449"/>
        <s v="ORD-13450"/>
        <s v="ORD-13451"/>
        <s v="ORD-13452"/>
        <s v="ORD-13453"/>
        <s v="ORD-13454"/>
        <s v="ORD-13455"/>
        <s v="ORD-13456"/>
        <s v="ORD-13457"/>
        <s v="ORD-13458"/>
        <s v="ORD-13459"/>
        <s v="ORD-13460"/>
        <s v="ORD-13461"/>
        <s v="ORD-13462"/>
        <s v="ORD-13463"/>
        <s v="ORD-13464"/>
        <s v="ORD-13465"/>
        <s v="ORD-13466"/>
        <s v="ORD-13467"/>
        <s v="ORD-13468"/>
        <s v="ORD-13469"/>
        <s v="ORD-13470"/>
        <s v="ORD-13471"/>
        <s v="ORD-13472"/>
        <s v="ORD-13473"/>
        <s v="ORD-13474"/>
        <s v="ORD-13475"/>
        <s v="ORD-13476"/>
        <s v="ORD-13477"/>
        <s v="ORD-13478"/>
        <s v="ORD-13479"/>
        <s v="ORD-13480"/>
        <s v="ORD-13481"/>
        <s v="ORD-13482"/>
        <s v="ORD-13483"/>
        <s v="ORD-13484"/>
        <s v="ORD-13485"/>
        <s v="ORD-13486"/>
        <s v="ORD-13487"/>
        <s v="ORD-13488"/>
        <s v="ORD-13489"/>
        <s v="ORD-13490"/>
        <s v="ORD-13491"/>
        <s v="ORD-13492"/>
        <s v="ORD-13493"/>
        <s v="ORD-13494"/>
        <s v="ORD-13495"/>
        <s v="ORD-13496"/>
        <s v="ORD-13497"/>
        <s v="ORD-13498"/>
        <s v="ORD-13499"/>
        <s v="ORD-13500"/>
        <s v="ORD-13501"/>
        <s v="ORD-13502"/>
        <s v="ORD-13503"/>
        <s v="ORD-13504"/>
        <s v="ORD-13505"/>
        <s v="ORD-13506"/>
        <s v="ORD-13507"/>
        <s v="ORD-13508"/>
        <s v="ORD-13509"/>
        <s v="ORD-13510"/>
        <s v="ORD-13511"/>
        <s v="ORD-13512"/>
        <s v="ORD-13513"/>
        <s v="ORD-13514"/>
        <s v="ORD-13515"/>
        <s v="ORD-13516"/>
        <s v="ORD-13517"/>
        <s v="ORD-13518"/>
        <s v="ORD-13519"/>
        <s v="ORD-13520"/>
        <s v="ORD-13521"/>
        <s v="ORD-13522"/>
        <s v="ORD-13523"/>
        <s v="ORD-13524"/>
        <s v="ORD-13525"/>
        <s v="ORD-13526"/>
        <s v="ORD-13527"/>
        <s v="ORD-13528"/>
        <s v="ORD-13529"/>
        <s v="ORD-13530"/>
        <s v="ORD-13531"/>
        <s v="ORD-13532"/>
        <s v="ORD-13533"/>
        <s v="ORD-13534"/>
        <s v="ORD-13535"/>
        <s v="ORD-13536"/>
        <s v="ORD-13537"/>
        <s v="ORD-13538"/>
        <s v="ORD-13539"/>
        <s v="ORD-13540"/>
        <s v="ORD-13541"/>
        <s v="ORD-13542"/>
        <s v="ORD-13543"/>
        <s v="ORD-13544"/>
        <s v="ORD-13545"/>
        <s v="ORD-13546"/>
        <s v="ORD-13547"/>
        <s v="ORD-13548"/>
        <s v="ORD-13549"/>
        <s v="ORD-13550"/>
        <s v="ORD-13551"/>
        <s v="ORD-13552"/>
        <s v="ORD-13553"/>
        <s v="ORD-13554"/>
        <s v="ORD-13555"/>
        <s v="ORD-13556"/>
        <s v="ORD-13557"/>
        <s v="ORD-13558"/>
        <s v="ORD-13559"/>
        <s v="ORD-13560"/>
        <s v="ORD-13561"/>
        <s v="ORD-13562"/>
        <s v="ORD-13563"/>
        <s v="ORD-13564"/>
        <s v="ORD-13565"/>
        <s v="ORD-13566"/>
        <s v="ORD-13567"/>
        <s v="ORD-13568"/>
        <s v="ORD-13569"/>
        <s v="ORD-13570"/>
        <s v="ORD-13571"/>
        <s v="ORD-13572"/>
        <s v="ORD-13573"/>
        <s v="ORD-13574"/>
        <s v="ORD-13575"/>
        <s v="ORD-13576"/>
        <s v="ORD-13577"/>
        <s v="ORD-13578"/>
        <s v="ORD-13579"/>
        <s v="ORD-13580"/>
        <s v="ORD-13581"/>
        <s v="ORD-13582"/>
        <s v="ORD-13583"/>
        <s v="ORD-13584"/>
        <s v="ORD-13585"/>
        <s v="ORD-13586"/>
        <s v="ORD-13587"/>
        <s v="ORD-13588"/>
        <s v="ORD-13589"/>
        <s v="ORD-13590"/>
        <s v="ORD-13591"/>
        <s v="ORD-13592"/>
        <s v="ORD-13593"/>
        <s v="ORD-13594"/>
        <s v="ORD-13595"/>
        <s v="ORD-13596"/>
        <s v="ORD-13597"/>
        <s v="ORD-13598"/>
        <s v="ORD-13599"/>
        <s v="ORD-13600"/>
        <s v="ORD-13601"/>
        <s v="ORD-13602"/>
        <s v="ORD-13603"/>
        <s v="ORD-13604"/>
        <s v="ORD-13605"/>
        <s v="ORD-13606"/>
        <s v="ORD-13607"/>
        <s v="ORD-13608"/>
        <s v="ORD-13609"/>
        <s v="ORD-13610"/>
        <s v="ORD-13611"/>
        <s v="ORD-13612"/>
        <s v="ORD-13613"/>
        <s v="ORD-13614"/>
        <s v="ORD-13615"/>
        <s v="ORD-13616"/>
        <s v="ORD-13617"/>
        <s v="ORD-13618"/>
        <s v="ORD-13619"/>
        <s v="ORD-13620"/>
        <s v="ORD-13621"/>
        <s v="ORD-13622"/>
        <s v="ORD-13623"/>
        <s v="ORD-13624"/>
        <s v="ORD-13625"/>
        <s v="ORD-13626"/>
        <s v="ORD-13627"/>
        <s v="ORD-13628"/>
        <s v="ORD-13629"/>
        <s v="ORD-13630"/>
        <s v="ORD-13631"/>
        <s v="ORD-13632"/>
        <s v="ORD-13633"/>
        <s v="ORD-13634"/>
        <s v="ORD-13635"/>
        <s v="ORD-13636"/>
        <s v="ORD-13637"/>
        <s v="ORD-13638"/>
        <s v="ORD-13639"/>
        <s v="ORD-13640"/>
        <s v="ORD-13641"/>
        <s v="ORD-13642"/>
        <s v="ORD-13643"/>
        <s v="ORD-13644"/>
        <s v="ORD-13645"/>
        <s v="ORD-13646"/>
        <s v="ORD-13647"/>
        <s v="ORD-13648"/>
        <s v="ORD-13649"/>
        <s v="ORD-13650"/>
        <s v="ORD-13651"/>
        <s v="ORD-13652"/>
        <s v="ORD-13653"/>
        <s v="ORD-13654"/>
        <s v="ORD-13655"/>
        <s v="ORD-13656"/>
        <s v="ORD-13657"/>
        <s v="ORD-13658"/>
        <s v="ORD-13659"/>
        <s v="ORD-13660"/>
        <s v="ORD-13661"/>
        <s v="ORD-13662"/>
        <s v="ORD-13663"/>
        <s v="ORD-13664"/>
        <s v="ORD-13665"/>
        <s v="ORD-13666"/>
        <s v="ORD-13667"/>
        <s v="ORD-13668"/>
        <s v="ORD-13669"/>
        <s v="ORD-13670"/>
        <s v="ORD-13671"/>
        <s v="ORD-13672"/>
        <s v="ORD-13673"/>
        <s v="ORD-13674"/>
        <s v="ORD-13675"/>
        <s v="ORD-13676"/>
        <s v="ORD-13677"/>
        <s v="ORD-13678"/>
        <s v="ORD-13679"/>
        <s v="ORD-13680"/>
        <s v="ORD-13681"/>
        <s v="ORD-13682"/>
        <s v="ORD-13683"/>
        <s v="ORD-13684"/>
        <s v="ORD-13685"/>
        <s v="ORD-13686"/>
        <s v="ORD-13687"/>
        <s v="ORD-13688"/>
        <s v="ORD-13689"/>
        <s v="ORD-13690"/>
        <s v="ORD-13691"/>
        <s v="ORD-13692"/>
        <s v="ORD-13693"/>
        <s v="ORD-13694"/>
        <s v="ORD-13695"/>
        <s v="ORD-13696"/>
        <s v="ORD-13697"/>
        <s v="ORD-13698"/>
        <s v="ORD-13699"/>
        <s v="ORD-13700"/>
        <s v="ORD-13701"/>
        <s v="ORD-13702"/>
        <s v="ORD-13703"/>
        <s v="ORD-13704"/>
        <s v="ORD-13705"/>
        <s v="ORD-13706"/>
        <s v="ORD-13707"/>
        <s v="ORD-13708"/>
        <s v="ORD-13709"/>
        <s v="ORD-13710"/>
        <s v="ORD-13711"/>
        <s v="ORD-13712"/>
        <s v="ORD-13713"/>
        <s v="ORD-13714"/>
        <s v="ORD-13715"/>
        <s v="ORD-13716"/>
        <s v="ORD-13717"/>
        <s v="ORD-13718"/>
        <s v="ORD-13719"/>
        <s v="ORD-13720"/>
        <s v="ORD-13721"/>
        <s v="ORD-13722"/>
        <s v="ORD-13723"/>
        <s v="ORD-13724"/>
        <s v="ORD-13725"/>
        <s v="ORD-13726"/>
        <s v="ORD-13727"/>
        <s v="ORD-13728"/>
        <s v="ORD-13729"/>
        <s v="ORD-13730"/>
        <s v="ORD-13731"/>
        <s v="ORD-13732"/>
        <s v="ORD-13733"/>
        <s v="ORD-13734"/>
        <s v="ORD-13735"/>
        <s v="ORD-13736"/>
        <s v="ORD-13737"/>
        <s v="ORD-13738"/>
        <s v="ORD-13739"/>
        <s v="ORD-13740"/>
        <s v="ORD-13741"/>
        <s v="ORD-13742"/>
        <s v="ORD-13743"/>
        <s v="ORD-13744"/>
        <s v="ORD-13745"/>
        <s v="ORD-13746"/>
        <s v="ORD-13747"/>
        <s v="ORD-13748"/>
        <s v="ORD-13749"/>
        <s v="ORD-13750"/>
        <s v="ORD-13751"/>
        <s v="ORD-13752"/>
        <s v="ORD-13753"/>
        <s v="ORD-13754"/>
        <s v="ORD-13755"/>
        <s v="ORD-13756"/>
        <s v="ORD-13757"/>
        <s v="ORD-13758"/>
        <s v="ORD-13759"/>
        <s v="ORD-13760"/>
        <s v="ORD-13761"/>
        <s v="ORD-13762"/>
        <s v="ORD-13763"/>
        <s v="ORD-13764"/>
        <s v="ORD-13765"/>
        <s v="ORD-13766"/>
        <s v="ORD-13767"/>
        <s v="ORD-13768"/>
        <s v="ORD-13769"/>
        <s v="ORD-13770"/>
        <s v="ORD-13771"/>
        <s v="ORD-13772"/>
        <s v="ORD-13773"/>
        <s v="ORD-13774"/>
        <s v="ORD-13775"/>
        <s v="ORD-13776"/>
        <s v="ORD-13777"/>
        <s v="ORD-13778"/>
        <s v="ORD-13779"/>
        <s v="ORD-13780"/>
        <s v="ORD-13781"/>
        <s v="ORD-13782"/>
        <s v="ORD-13783"/>
        <s v="ORD-13784"/>
        <s v="ORD-13785"/>
        <s v="ORD-13786"/>
        <s v="ORD-13787"/>
        <s v="ORD-13788"/>
        <s v="ORD-13789"/>
        <s v="ORD-13790"/>
        <s v="ORD-13791"/>
        <s v="ORD-13792"/>
        <s v="ORD-13793"/>
        <s v="ORD-13794"/>
        <s v="ORD-13795"/>
        <s v="ORD-13796"/>
        <s v="ORD-13797"/>
        <s v="ORD-13798"/>
        <s v="ORD-13799"/>
        <s v="ORD-13800"/>
        <s v="ORD-13801"/>
        <s v="ORD-13802"/>
        <s v="ORD-13803"/>
        <s v="ORD-13804"/>
        <s v="ORD-13805"/>
        <s v="ORD-13806"/>
        <s v="ORD-13807"/>
        <s v="ORD-13808"/>
        <s v="ORD-13809"/>
        <s v="ORD-13810"/>
        <s v="ORD-13811"/>
        <s v="ORD-13812"/>
        <s v="ORD-13813"/>
        <s v="ORD-13814"/>
        <s v="ORD-13815"/>
        <s v="ORD-13816"/>
        <s v="ORD-13817"/>
        <s v="ORD-13818"/>
        <s v="ORD-13819"/>
        <s v="ORD-13820"/>
        <s v="ORD-13821"/>
        <s v="ORD-13822"/>
        <s v="ORD-13823"/>
        <s v="ORD-13824"/>
        <s v="ORD-13825"/>
        <s v="ORD-13826"/>
        <s v="ORD-13827"/>
        <s v="ORD-13828"/>
        <s v="ORD-13829"/>
        <s v="ORD-13830"/>
        <s v="ORD-13831"/>
        <s v="ORD-13832"/>
        <s v="ORD-13833"/>
        <s v="ORD-13834"/>
        <s v="ORD-13835"/>
        <s v="ORD-13836"/>
        <s v="ORD-13837"/>
        <s v="ORD-13838"/>
        <s v="ORD-13839"/>
        <s v="ORD-13840"/>
        <s v="ORD-13841"/>
        <s v="ORD-13842"/>
        <s v="ORD-13843"/>
        <s v="ORD-13844"/>
        <s v="ORD-13845"/>
        <s v="ORD-13846"/>
        <s v="ORD-13847"/>
        <s v="ORD-13848"/>
        <s v="ORD-13849"/>
        <s v="ORD-13850"/>
        <s v="ORD-13851"/>
        <s v="ORD-13852"/>
        <s v="ORD-13853"/>
        <s v="ORD-13854"/>
        <s v="ORD-13855"/>
        <s v="ORD-13856"/>
        <s v="ORD-13857"/>
        <s v="ORD-13858"/>
        <s v="ORD-13859"/>
        <s v="ORD-13860"/>
        <s v="ORD-13861"/>
        <s v="ORD-13862"/>
        <s v="ORD-13863"/>
        <s v="ORD-13864"/>
        <s v="ORD-13865"/>
        <s v="ORD-13866"/>
        <s v="ORD-13867"/>
        <s v="ORD-13868"/>
        <s v="ORD-13869"/>
        <s v="ORD-13870"/>
        <s v="ORD-13871"/>
        <s v="ORD-13872"/>
        <s v="ORD-13873"/>
        <s v="ORD-13874"/>
        <s v="ORD-13875"/>
        <s v="ORD-13876"/>
        <s v="ORD-13877"/>
        <s v="ORD-13878"/>
        <s v="ORD-13879"/>
        <s v="ORD-13880"/>
        <s v="ORD-13881"/>
        <s v="ORD-13882"/>
        <s v="ORD-13883"/>
        <s v="ORD-13884"/>
        <s v="ORD-13885"/>
        <s v="ORD-13886"/>
        <s v="ORD-13887"/>
        <s v="ORD-13888"/>
        <s v="ORD-13889"/>
        <s v="ORD-13890"/>
        <s v="ORD-13891"/>
        <s v="ORD-13892"/>
        <s v="ORD-13893"/>
        <s v="ORD-13894"/>
        <s v="ORD-13895"/>
        <s v="ORD-13896"/>
        <s v="ORD-13897"/>
        <s v="ORD-13898"/>
        <s v="ORD-13899"/>
        <s v="ORD-13900"/>
        <s v="ORD-13901"/>
        <s v="ORD-13902"/>
        <s v="ORD-13903"/>
        <s v="ORD-13904"/>
        <s v="ORD-13905"/>
        <s v="ORD-13906"/>
        <s v="ORD-13907"/>
        <s v="ORD-13908"/>
        <s v="ORD-13909"/>
        <s v="ORD-13910"/>
        <s v="ORD-13911"/>
        <s v="ORD-13912"/>
        <s v="ORD-13913"/>
        <s v="ORD-13914"/>
        <s v="ORD-13915"/>
        <s v="ORD-13916"/>
        <s v="ORD-13917"/>
        <s v="ORD-13918"/>
        <s v="ORD-13919"/>
        <s v="ORD-13920"/>
        <s v="ORD-13921"/>
        <s v="ORD-13922"/>
        <s v="ORD-13923"/>
        <s v="ORD-13924"/>
        <s v="ORD-13925"/>
        <s v="ORD-13926"/>
        <s v="ORD-13927"/>
        <s v="ORD-13928"/>
        <s v="ORD-13929"/>
        <s v="ORD-13930"/>
        <s v="ORD-13931"/>
        <s v="ORD-13932"/>
        <s v="ORD-13933"/>
        <s v="ORD-13934"/>
        <s v="ORD-13935"/>
        <s v="ORD-13936"/>
        <s v="ORD-13937"/>
        <s v="ORD-13938"/>
        <s v="ORD-13939"/>
        <s v="ORD-13940"/>
        <s v="ORD-13941"/>
        <s v="ORD-13942"/>
        <s v="ORD-13943"/>
        <s v="ORD-13944"/>
        <s v="ORD-13945"/>
        <s v="ORD-13946"/>
        <s v="ORD-13947"/>
        <s v="ORD-13948"/>
        <s v="ORD-13949"/>
        <s v="ORD-13950"/>
        <s v="ORD-13951"/>
        <s v="ORD-13952"/>
        <s v="ORD-13953"/>
        <s v="ORD-13954"/>
        <s v="ORD-13955"/>
        <s v="ORD-13956"/>
        <s v="ORD-13957"/>
        <s v="ORD-13958"/>
        <s v="ORD-13959"/>
        <s v="ORD-13960"/>
        <s v="ORD-13961"/>
        <s v="ORD-13962"/>
        <s v="ORD-13963"/>
        <s v="ORD-13964"/>
        <s v="ORD-13965"/>
        <s v="ORD-13966"/>
        <s v="ORD-13967"/>
        <s v="ORD-13968"/>
        <s v="ORD-13969"/>
        <s v="ORD-13970"/>
        <s v="ORD-13971"/>
        <s v="ORD-13972"/>
        <s v="ORD-13973"/>
        <s v="ORD-13974"/>
        <s v="ORD-13975"/>
        <s v="ORD-13976"/>
        <s v="ORD-13977"/>
        <s v="ORD-13978"/>
        <s v="ORD-13979"/>
        <s v="ORD-13980"/>
        <s v="ORD-13981"/>
        <s v="ORD-13982"/>
        <s v="ORD-13983"/>
        <s v="ORD-13984"/>
        <s v="ORD-13985"/>
        <s v="ORD-13986"/>
        <s v="ORD-13987"/>
        <s v="ORD-13988"/>
        <s v="ORD-13989"/>
        <s v="ORD-13990"/>
        <s v="ORD-13991"/>
        <s v="ORD-13992"/>
        <s v="ORD-13993"/>
        <s v="ORD-13994"/>
        <s v="ORD-13995"/>
        <s v="ORD-13996"/>
        <s v="ORD-13997"/>
        <s v="ORD-13998"/>
        <s v="ORD-13999"/>
        <s v="ORD-14000"/>
        <s v="ORD-14001"/>
        <s v="ORD-14002"/>
        <s v="ORD-14003"/>
        <s v="ORD-14004"/>
        <s v="ORD-14005"/>
        <s v="ORD-14006"/>
        <s v="ORD-14007"/>
        <s v="ORD-14008"/>
        <s v="ORD-14009"/>
        <s v="ORD-14010"/>
        <s v="ORD-14011"/>
        <s v="ORD-14012"/>
        <s v="ORD-14013"/>
        <s v="ORD-14014"/>
        <s v="ORD-14015"/>
        <s v="ORD-14016"/>
        <s v="ORD-14017"/>
        <s v="ORD-14018"/>
        <s v="ORD-14019"/>
        <s v="ORD-14020"/>
        <s v="ORD-14021"/>
        <s v="ORD-14022"/>
        <s v="ORD-14023"/>
        <s v="ORD-14024"/>
        <s v="ORD-14025"/>
        <s v="ORD-14026"/>
        <s v="ORD-14027"/>
        <s v="ORD-14028"/>
        <s v="ORD-14029"/>
        <s v="ORD-14030"/>
        <s v="ORD-14031"/>
        <s v="ORD-14032"/>
        <s v="ORD-14033"/>
        <s v="ORD-14034"/>
        <s v="ORD-14035"/>
        <s v="ORD-14036"/>
        <s v="ORD-14037"/>
        <s v="ORD-14038"/>
        <s v="ORD-14039"/>
        <s v="ORD-14040"/>
        <s v="ORD-14041"/>
        <s v="ORD-14042"/>
        <s v="ORD-14043"/>
        <s v="ORD-14044"/>
        <s v="ORD-14045"/>
        <s v="ORD-14046"/>
        <s v="ORD-14047"/>
        <s v="ORD-14048"/>
        <s v="ORD-14049"/>
        <s v="ORD-14050"/>
        <s v="ORD-14051"/>
        <s v="ORD-14052"/>
        <s v="ORD-14053"/>
        <s v="ORD-14054"/>
        <s v="ORD-14055"/>
        <s v="ORD-14056"/>
        <s v="ORD-14057"/>
        <s v="ORD-14058"/>
        <s v="ORD-14059"/>
        <s v="ORD-14060"/>
        <s v="ORD-14061"/>
        <s v="ORD-14062"/>
        <s v="ORD-14063"/>
        <s v="ORD-14064"/>
        <s v="ORD-14065"/>
        <s v="ORD-14066"/>
        <s v="ORD-14067"/>
        <s v="ORD-14068"/>
        <s v="ORD-14069"/>
        <s v="ORD-14070"/>
        <s v="ORD-14071"/>
        <s v="ORD-14072"/>
        <s v="ORD-14073"/>
        <s v="ORD-14074"/>
        <s v="ORD-14075"/>
        <s v="ORD-14076"/>
        <s v="ORD-14077"/>
        <s v="ORD-14078"/>
        <s v="ORD-14079"/>
        <s v="ORD-14080"/>
        <s v="ORD-14081"/>
        <s v="ORD-14082"/>
        <s v="ORD-14083"/>
        <s v="ORD-14084"/>
        <s v="ORD-14085"/>
        <s v="ORD-14086"/>
        <s v="ORD-14087"/>
        <s v="ORD-14088"/>
        <s v="ORD-14089"/>
        <s v="ORD-14090"/>
        <s v="ORD-14091"/>
        <s v="ORD-14092"/>
        <s v="ORD-14093"/>
        <s v="ORD-14094"/>
        <s v="ORD-14095"/>
        <s v="ORD-14096"/>
        <s v="ORD-14097"/>
        <s v="ORD-14098"/>
        <s v="ORD-14099"/>
        <s v="ORD-14100"/>
        <s v="ORD-14101"/>
        <s v="ORD-14102"/>
        <s v="ORD-14103"/>
        <s v="ORD-14104"/>
        <s v="ORD-14105"/>
        <s v="ORD-14106"/>
        <s v="ORD-14107"/>
        <s v="ORD-14108"/>
        <s v="ORD-14109"/>
        <s v="ORD-14110"/>
        <s v="ORD-14111"/>
        <s v="ORD-14112"/>
        <s v="ORD-14113"/>
        <s v="ORD-14114"/>
        <s v="ORD-14115"/>
        <s v="ORD-14116"/>
        <s v="ORD-14117"/>
        <s v="ORD-14118"/>
        <s v="ORD-14119"/>
        <s v="ORD-14120"/>
        <s v="ORD-14121"/>
        <s v="ORD-14122"/>
        <s v="ORD-14123"/>
        <s v="ORD-14124"/>
        <s v="ORD-14125"/>
        <s v="ORD-14126"/>
        <s v="ORD-14127"/>
        <s v="ORD-14128"/>
        <s v="ORD-14129"/>
        <s v="ORD-14130"/>
        <s v="ORD-14131"/>
        <s v="ORD-14132"/>
        <s v="ORD-14133"/>
        <s v="ORD-14134"/>
        <s v="ORD-14135"/>
        <s v="ORD-14136"/>
        <s v="ORD-14137"/>
        <s v="ORD-14138"/>
        <s v="ORD-14139"/>
        <s v="ORD-14140"/>
        <s v="ORD-14141"/>
        <s v="ORD-14142"/>
        <s v="ORD-14143"/>
        <s v="ORD-14144"/>
        <s v="ORD-14145"/>
        <s v="ORD-14146"/>
        <s v="ORD-14147"/>
        <s v="ORD-14148"/>
        <s v="ORD-14149"/>
        <s v="ORD-14150"/>
        <s v="ORD-14151"/>
        <s v="ORD-14152"/>
        <s v="ORD-14153"/>
        <s v="ORD-14154"/>
        <s v="ORD-14155"/>
        <s v="ORD-14156"/>
        <s v="ORD-14157"/>
        <s v="ORD-14158"/>
        <s v="ORD-14159"/>
        <s v="ORD-14160"/>
        <s v="ORD-14161"/>
        <s v="ORD-14162"/>
        <s v="ORD-14163"/>
        <s v="ORD-14164"/>
        <s v="ORD-14165"/>
        <s v="ORD-14166"/>
        <s v="ORD-14167"/>
        <s v="ORD-14168"/>
        <s v="ORD-14169"/>
        <s v="ORD-14170"/>
        <s v="ORD-14171"/>
        <s v="ORD-14172"/>
        <s v="ORD-14173"/>
        <s v="ORD-14174"/>
        <s v="ORD-14175"/>
        <s v="ORD-14176"/>
        <s v="ORD-14177"/>
        <s v="ORD-14178"/>
        <s v="ORD-14179"/>
        <s v="ORD-14180"/>
        <s v="ORD-14181"/>
        <s v="ORD-14182"/>
        <s v="ORD-14183"/>
        <s v="ORD-14184"/>
        <s v="ORD-14185"/>
        <s v="ORD-14186"/>
        <s v="ORD-14187"/>
        <s v="ORD-14188"/>
        <s v="ORD-14189"/>
        <s v="ORD-14190"/>
        <s v="ORD-14191"/>
        <s v="ORD-14192"/>
        <s v="ORD-14193"/>
        <s v="ORD-14194"/>
        <s v="ORD-14195"/>
        <s v="ORD-14196"/>
        <s v="ORD-14197"/>
        <s v="ORD-14198"/>
        <s v="ORD-14199"/>
        <s v="ORD-14200"/>
        <s v="ORD-14201"/>
        <s v="ORD-14202"/>
        <s v="ORD-14203"/>
        <s v="ORD-14204"/>
        <s v="ORD-14205"/>
        <s v="ORD-14206"/>
        <s v="ORD-14207"/>
        <s v="ORD-14208"/>
        <s v="ORD-14209"/>
        <s v="ORD-14210"/>
        <s v="ORD-14211"/>
        <s v="ORD-14212"/>
        <s v="ORD-14213"/>
        <s v="ORD-14214"/>
        <s v="ORD-14215"/>
        <s v="ORD-14216"/>
        <s v="ORD-14217"/>
        <s v="ORD-14218"/>
        <s v="ORD-14219"/>
        <s v="ORD-14220"/>
        <s v="ORD-14221"/>
        <s v="ORD-14222"/>
        <s v="ORD-14223"/>
        <s v="ORD-14224"/>
        <s v="ORD-14225"/>
        <s v="ORD-14226"/>
        <s v="ORD-14227"/>
        <s v="ORD-14228"/>
        <s v="ORD-14229"/>
        <s v="ORD-14230"/>
        <s v="ORD-14231"/>
        <s v="ORD-14232"/>
        <s v="ORD-14233"/>
        <s v="ORD-14234"/>
        <s v="ORD-14235"/>
        <s v="ORD-14236"/>
        <s v="ORD-14237"/>
        <s v="ORD-14238"/>
        <s v="ORD-14239"/>
        <s v="ORD-14240"/>
        <s v="ORD-14241"/>
        <s v="ORD-14242"/>
        <s v="ORD-14243"/>
        <s v="ORD-14244"/>
        <s v="ORD-14245"/>
        <s v="ORD-14246"/>
        <s v="ORD-14247"/>
        <s v="ORD-14248"/>
        <s v="ORD-14249"/>
        <s v="ORD-14250"/>
        <s v="ORD-14251"/>
        <s v="ORD-14252"/>
        <s v="ORD-14253"/>
        <s v="ORD-14254"/>
        <s v="ORD-14255"/>
        <s v="ORD-14256"/>
        <s v="ORD-14257"/>
        <s v="ORD-14258"/>
        <s v="ORD-14259"/>
        <s v="ORD-14260"/>
        <s v="ORD-14261"/>
        <s v="ORD-14262"/>
        <s v="ORD-14263"/>
        <s v="ORD-14264"/>
        <s v="ORD-14265"/>
        <s v="ORD-14266"/>
        <s v="ORD-14267"/>
        <s v="ORD-14268"/>
        <s v="ORD-14269"/>
        <s v="ORD-14270"/>
        <s v="ORD-14271"/>
        <s v="ORD-14272"/>
        <s v="ORD-14273"/>
        <s v="ORD-14274"/>
        <s v="ORD-14275"/>
        <s v="ORD-14276"/>
        <s v="ORD-14277"/>
        <s v="ORD-14278"/>
        <s v="ORD-14279"/>
        <s v="ORD-14280"/>
        <s v="ORD-14281"/>
        <s v="ORD-14282"/>
        <s v="ORD-14283"/>
        <s v="ORD-14284"/>
        <s v="ORD-14285"/>
        <s v="ORD-14286"/>
        <s v="ORD-14287"/>
        <s v="ORD-14288"/>
        <s v="ORD-14289"/>
        <s v="ORD-14290"/>
        <s v="ORD-14291"/>
        <s v="ORD-14292"/>
        <s v="ORD-14293"/>
        <s v="ORD-14294"/>
        <s v="ORD-14295"/>
        <s v="ORD-14296"/>
        <s v="ORD-14297"/>
        <s v="ORD-14298"/>
        <s v="ORD-14299"/>
        <s v="ORD-14300"/>
        <s v="ORD-14301"/>
        <s v="ORD-14302"/>
        <s v="ORD-14303"/>
        <s v="ORD-14304"/>
        <s v="ORD-14305"/>
        <s v="ORD-14306"/>
        <s v="ORD-14307"/>
        <s v="ORD-14308"/>
        <s v="ORD-14309"/>
        <s v="ORD-14310"/>
        <s v="ORD-14311"/>
        <s v="ORD-14312"/>
        <s v="ORD-14313"/>
        <s v="ORD-14314"/>
        <s v="ORD-14315"/>
        <s v="ORD-14316"/>
        <s v="ORD-14317"/>
        <s v="ORD-14318"/>
        <s v="ORD-14319"/>
        <s v="ORD-14320"/>
        <s v="ORD-14321"/>
        <s v="ORD-14322"/>
        <s v="ORD-14323"/>
        <s v="ORD-14324"/>
        <s v="ORD-14325"/>
        <s v="ORD-14326"/>
        <s v="ORD-14327"/>
        <s v="ORD-14328"/>
        <s v="ORD-14329"/>
        <s v="ORD-14330"/>
        <s v="ORD-14331"/>
        <s v="ORD-14332"/>
        <s v="ORD-14333"/>
        <s v="ORD-14334"/>
        <s v="ORD-14335"/>
        <s v="ORD-14336"/>
        <s v="ORD-14337"/>
        <s v="ORD-14338"/>
        <s v="ORD-14339"/>
        <s v="ORD-14340"/>
        <s v="ORD-14341"/>
        <s v="ORD-14342"/>
        <s v="ORD-14343"/>
        <s v="ORD-14344"/>
        <s v="ORD-14345"/>
        <s v="ORD-14346"/>
        <s v="ORD-14347"/>
        <s v="ORD-14348"/>
        <s v="ORD-14349"/>
        <s v="ORD-14350"/>
        <s v="ORD-14351"/>
        <s v="ORD-14352"/>
        <s v="ORD-14353"/>
        <s v="ORD-14354"/>
        <s v="ORD-14355"/>
        <s v="ORD-14356"/>
        <s v="ORD-14357"/>
        <s v="ORD-14358"/>
        <s v="ORD-14359"/>
        <s v="ORD-14360"/>
        <s v="ORD-14361"/>
        <s v="ORD-14362"/>
        <s v="ORD-14363"/>
        <s v="ORD-14364"/>
        <s v="ORD-14365"/>
        <s v="ORD-14366"/>
        <s v="ORD-14367"/>
        <s v="ORD-14368"/>
        <s v="ORD-14369"/>
        <s v="ORD-14370"/>
        <s v="ORD-14371"/>
        <s v="ORD-14372"/>
        <s v="ORD-14373"/>
        <s v="ORD-14374"/>
        <s v="ORD-14375"/>
        <s v="ORD-14376"/>
        <s v="ORD-14377"/>
        <s v="ORD-14378"/>
        <s v="ORD-14379"/>
        <s v="ORD-14380"/>
        <s v="ORD-14381"/>
        <s v="ORD-14382"/>
        <s v="ORD-14383"/>
        <s v="ORD-14384"/>
        <s v="ORD-14385"/>
        <s v="ORD-14386"/>
        <s v="ORD-14387"/>
        <s v="ORD-14388"/>
        <s v="ORD-14389"/>
        <s v="ORD-14390"/>
        <s v="ORD-14391"/>
        <s v="ORD-14392"/>
        <s v="ORD-14393"/>
        <s v="ORD-14394"/>
        <s v="ORD-14395"/>
        <s v="ORD-14396"/>
        <s v="ORD-14397"/>
        <s v="ORD-14398"/>
        <s v="ORD-14399"/>
        <s v="ORD-14400"/>
        <s v="ORD-14401"/>
        <s v="ORD-14402"/>
        <s v="ORD-14403"/>
        <s v="ORD-14404"/>
        <s v="ORD-14405"/>
        <s v="ORD-14406"/>
        <s v="ORD-14407"/>
        <s v="ORD-14408"/>
        <s v="ORD-14409"/>
        <s v="ORD-14410"/>
        <s v="ORD-14411"/>
        <s v="ORD-14412"/>
        <s v="ORD-14413"/>
        <s v="ORD-14414"/>
        <s v="ORD-14415"/>
        <s v="ORD-14416"/>
        <s v="ORD-14417"/>
        <s v="ORD-14418"/>
        <s v="ORD-14419"/>
        <s v="ORD-14420"/>
        <s v="ORD-14421"/>
        <s v="ORD-14422"/>
        <s v="ORD-14423"/>
        <s v="ORD-14424"/>
        <s v="ORD-14425"/>
        <s v="ORD-14426"/>
        <s v="ORD-14427"/>
        <s v="ORD-14428"/>
        <s v="ORD-14429"/>
        <s v="ORD-14430"/>
        <s v="ORD-14431"/>
        <s v="ORD-14432"/>
        <s v="ORD-14433"/>
        <s v="ORD-14434"/>
        <s v="ORD-14435"/>
        <s v="ORD-14436"/>
        <s v="ORD-14437"/>
        <s v="ORD-14438"/>
        <s v="ORD-14439"/>
        <s v="ORD-14440"/>
        <s v="ORD-14441"/>
        <s v="ORD-14442"/>
        <s v="ORD-14443"/>
        <s v="ORD-14444"/>
        <s v="ORD-14445"/>
        <s v="ORD-14446"/>
        <s v="ORD-14447"/>
        <s v="ORD-14448"/>
        <s v="ORD-14449"/>
        <s v="ORD-14450"/>
        <s v="ORD-14451"/>
        <s v="ORD-14452"/>
        <s v="ORD-14453"/>
        <s v="ORD-14454"/>
        <s v="ORD-14455"/>
        <s v="ORD-14456"/>
        <s v="ORD-14457"/>
        <s v="ORD-14458"/>
        <s v="ORD-14459"/>
        <s v="ORD-14460"/>
        <s v="ORD-14461"/>
        <s v="ORD-14462"/>
        <s v="ORD-14463"/>
        <s v="ORD-14464"/>
        <s v="ORD-14465"/>
        <s v="ORD-14466"/>
        <s v="ORD-14467"/>
        <s v="ORD-14468"/>
        <s v="ORD-14469"/>
        <s v="ORD-14470"/>
        <s v="ORD-14471"/>
        <s v="ORD-14472"/>
        <s v="ORD-14473"/>
        <s v="ORD-14474"/>
        <s v="ORD-14475"/>
        <s v="ORD-14476"/>
        <s v="ORD-14477"/>
        <s v="ORD-14478"/>
        <s v="ORD-14479"/>
        <s v="ORD-14480"/>
        <s v="ORD-14481"/>
        <s v="ORD-14482"/>
        <s v="ORD-14483"/>
        <s v="ORD-14484"/>
        <s v="ORD-14485"/>
        <s v="ORD-14486"/>
        <s v="ORD-14487"/>
        <s v="ORD-14488"/>
        <s v="ORD-14489"/>
        <s v="ORD-14490"/>
        <s v="ORD-14491"/>
        <s v="ORD-14492"/>
        <s v="ORD-14493"/>
        <s v="ORD-14494"/>
        <s v="ORD-14495"/>
        <s v="ORD-14496"/>
        <s v="ORD-14497"/>
        <s v="ORD-14498"/>
        <s v="ORD-14499"/>
        <s v="ORD-14500"/>
        <s v="ORD-14501"/>
        <s v="ORD-14502"/>
        <s v="ORD-14503"/>
        <s v="ORD-14504"/>
        <s v="ORD-14505"/>
        <s v="ORD-14506"/>
        <s v="ORD-14507"/>
        <s v="ORD-14508"/>
        <s v="ORD-14509"/>
        <s v="ORD-14510"/>
        <s v="ORD-14511"/>
        <s v="ORD-14512"/>
        <s v="ORD-14513"/>
        <s v="ORD-14514"/>
        <s v="ORD-14515"/>
        <s v="ORD-14516"/>
        <s v="ORD-14517"/>
        <s v="ORD-14518"/>
        <s v="ORD-14519"/>
        <s v="ORD-14520"/>
        <s v="ORD-14521"/>
        <s v="ORD-14522"/>
        <s v="ORD-14523"/>
        <s v="ORD-14524"/>
        <s v="ORD-14525"/>
        <s v="ORD-14526"/>
        <s v="ORD-14527"/>
        <s v="ORD-14528"/>
        <s v="ORD-14529"/>
        <s v="ORD-14530"/>
        <s v="ORD-14531"/>
        <s v="ORD-14532"/>
        <s v="ORD-14533"/>
        <s v="ORD-14534"/>
        <s v="ORD-14535"/>
        <s v="ORD-14536"/>
        <s v="ORD-14537"/>
        <s v="ORD-14538"/>
        <s v="ORD-14539"/>
        <s v="ORD-14540"/>
        <s v="ORD-14541"/>
        <s v="ORD-14542"/>
        <s v="ORD-14543"/>
        <s v="ORD-14544"/>
        <s v="ORD-14545"/>
        <s v="ORD-14546"/>
        <s v="ORD-14547"/>
        <s v="ORD-14548"/>
        <s v="ORD-14549"/>
        <s v="ORD-14550"/>
        <s v="ORD-14551"/>
        <s v="ORD-14552"/>
        <s v="ORD-14553"/>
        <s v="ORD-14554"/>
        <s v="ORD-14555"/>
        <s v="ORD-14556"/>
        <s v="ORD-14557"/>
        <s v="ORD-14558"/>
        <s v="ORD-14559"/>
        <s v="ORD-14560"/>
        <s v="ORD-14561"/>
        <s v="ORD-14562"/>
        <s v="ORD-14563"/>
        <s v="ORD-14564"/>
        <s v="ORD-14565"/>
        <s v="ORD-14566"/>
        <s v="ORD-14567"/>
        <s v="ORD-14568"/>
        <s v="ORD-14569"/>
        <s v="ORD-14570"/>
        <s v="ORD-14571"/>
        <s v="ORD-14572"/>
        <s v="ORD-14573"/>
        <s v="ORD-14574"/>
        <s v="ORD-14575"/>
        <s v="ORD-14576"/>
        <s v="ORD-14577"/>
        <s v="ORD-14578"/>
        <s v="ORD-14579"/>
        <s v="ORD-14580"/>
        <s v="ORD-14581"/>
        <s v="ORD-14582"/>
        <s v="ORD-14583"/>
        <s v="ORD-14584"/>
        <s v="ORD-14585"/>
        <s v="ORD-14586"/>
        <s v="ORD-14587"/>
        <s v="ORD-14588"/>
        <s v="ORD-14589"/>
        <s v="ORD-14590"/>
        <s v="ORD-14591"/>
        <s v="ORD-14592"/>
        <s v="ORD-14593"/>
        <s v="ORD-14594"/>
        <s v="ORD-14595"/>
        <s v="ORD-14596"/>
        <s v="ORD-14597"/>
        <s v="ORD-14598"/>
        <s v="ORD-14599"/>
        <s v="ORD-14600"/>
        <s v="ORD-14601"/>
        <s v="ORD-14602"/>
        <s v="ORD-14603"/>
        <s v="ORD-14604"/>
        <s v="ORD-14605"/>
        <s v="ORD-14606"/>
        <s v="ORD-14607"/>
        <s v="ORD-14608"/>
        <s v="ORD-14609"/>
        <s v="ORD-14610"/>
        <s v="ORD-14611"/>
        <s v="ORD-14612"/>
        <s v="ORD-14613"/>
        <s v="ORD-14614"/>
        <s v="ORD-14615"/>
        <s v="ORD-14616"/>
        <s v="ORD-14617"/>
        <s v="ORD-14618"/>
        <s v="ORD-14619"/>
        <s v="ORD-14620"/>
        <s v="ORD-14621"/>
        <s v="ORD-14622"/>
        <s v="ORD-14623"/>
        <s v="ORD-14624"/>
        <s v="ORD-14625"/>
        <s v="ORD-14626"/>
        <s v="ORD-14627"/>
        <s v="ORD-14628"/>
        <s v="ORD-14629"/>
        <s v="ORD-14630"/>
        <s v="ORD-14631"/>
        <s v="ORD-14632"/>
        <s v="ORD-14633"/>
        <s v="ORD-14634"/>
        <s v="ORD-14635"/>
        <s v="ORD-14636"/>
        <s v="ORD-14637"/>
        <s v="ORD-14638"/>
        <s v="ORD-14639"/>
        <s v="ORD-14640"/>
        <s v="ORD-14641"/>
        <s v="ORD-14642"/>
        <s v="ORD-14643"/>
        <s v="ORD-14644"/>
        <s v="ORD-14645"/>
        <s v="ORD-14646"/>
        <s v="ORD-14647"/>
        <s v="ORD-14648"/>
        <s v="ORD-14649"/>
        <s v="ORD-14650"/>
        <s v="ORD-14651"/>
        <s v="ORD-14652"/>
        <s v="ORD-14653"/>
        <s v="ORD-14654"/>
        <s v="ORD-14655"/>
        <s v="ORD-14656"/>
        <s v="ORD-14657"/>
        <s v="ORD-14658"/>
        <s v="ORD-14659"/>
        <s v="ORD-14660"/>
        <s v="ORD-14661"/>
        <s v="ORD-14662"/>
        <s v="ORD-14663"/>
        <s v="ORD-14664"/>
        <s v="ORD-14665"/>
        <s v="ORD-14666"/>
        <s v="ORD-14667"/>
        <s v="ORD-14668"/>
        <s v="ORD-14669"/>
        <s v="ORD-14670"/>
        <s v="ORD-14671"/>
        <s v="ORD-14672"/>
        <s v="ORD-14673"/>
        <s v="ORD-14674"/>
        <s v="ORD-14675"/>
        <s v="ORD-14676"/>
        <s v="ORD-14677"/>
        <s v="ORD-14678"/>
        <s v="ORD-14679"/>
        <s v="ORD-14680"/>
        <s v="ORD-14681"/>
        <s v="ORD-14682"/>
        <s v="ORD-14683"/>
        <s v="ORD-14684"/>
        <s v="ORD-14685"/>
        <s v="ORD-14686"/>
        <s v="ORD-14687"/>
        <s v="ORD-14688"/>
        <s v="ORD-14689"/>
        <s v="ORD-14690"/>
        <s v="ORD-14691"/>
        <s v="ORD-14692"/>
        <s v="ORD-14693"/>
        <s v="ORD-14694"/>
        <s v="ORD-14695"/>
        <s v="ORD-14696"/>
        <s v="ORD-14697"/>
        <s v="ORD-14698"/>
        <s v="ORD-14699"/>
        <s v="ORD-14700"/>
        <s v="ORD-14701"/>
        <s v="ORD-14702"/>
        <s v="ORD-14703"/>
        <s v="ORD-14704"/>
        <s v="ORD-14705"/>
        <s v="ORD-14706"/>
        <s v="ORD-14707"/>
        <s v="ORD-14708"/>
        <s v="ORD-14709"/>
        <s v="ORD-14710"/>
        <s v="ORD-14711"/>
        <s v="ORD-14712"/>
        <s v="ORD-14713"/>
        <s v="ORD-14714"/>
        <s v="ORD-14715"/>
        <s v="ORD-14716"/>
        <s v="ORD-14717"/>
        <s v="ORD-14718"/>
        <s v="ORD-14719"/>
        <s v="ORD-14720"/>
        <s v="ORD-14721"/>
        <s v="ORD-14722"/>
        <s v="ORD-14723"/>
        <s v="ORD-14724"/>
        <s v="ORD-14725"/>
        <s v="ORD-14726"/>
        <s v="ORD-14727"/>
        <s v="ORD-14728"/>
        <s v="ORD-14729"/>
        <s v="ORD-14730"/>
        <s v="ORD-14731"/>
        <s v="ORD-14732"/>
        <s v="ORD-14733"/>
        <s v="ORD-14734"/>
        <s v="ORD-14735"/>
        <s v="ORD-14736"/>
        <s v="ORD-14737"/>
        <s v="ORD-14738"/>
        <s v="ORD-14739"/>
        <s v="ORD-14740"/>
        <s v="ORD-14741"/>
        <s v="ORD-14742"/>
        <s v="ORD-14743"/>
        <s v="ORD-14744"/>
        <s v="ORD-14745"/>
        <s v="ORD-14746"/>
        <s v="ORD-14747"/>
        <s v="ORD-14748"/>
        <s v="ORD-14749"/>
        <s v="ORD-14750"/>
        <s v="ORD-14751"/>
        <s v="ORD-14752"/>
        <s v="ORD-14753"/>
        <s v="ORD-14754"/>
        <s v="ORD-14755"/>
        <s v="ORD-14756"/>
        <s v="ORD-14757"/>
        <s v="ORD-14758"/>
        <s v="ORD-14759"/>
        <s v="ORD-14760"/>
        <s v="ORD-14761"/>
        <s v="ORD-14762"/>
        <s v="ORD-14763"/>
        <s v="ORD-14764"/>
        <s v="ORD-14765"/>
        <s v="ORD-14766"/>
        <s v="ORD-14767"/>
        <s v="ORD-14768"/>
        <s v="ORD-14769"/>
        <s v="ORD-14770"/>
        <s v="ORD-14771"/>
        <s v="ORD-14772"/>
        <s v="ORD-14773"/>
        <s v="ORD-14774"/>
        <s v="ORD-14775"/>
        <s v="ORD-14776"/>
        <s v="ORD-14777"/>
        <s v="ORD-14778"/>
        <s v="ORD-14779"/>
        <s v="ORD-14780"/>
        <s v="ORD-14781"/>
        <s v="ORD-14782"/>
        <s v="ORD-14783"/>
        <s v="ORD-14784"/>
        <s v="ORD-14785"/>
        <s v="ORD-14786"/>
        <s v="ORD-14787"/>
        <s v="ORD-14788"/>
        <s v="ORD-14789"/>
        <s v="ORD-14790"/>
        <s v="ORD-14791"/>
        <s v="ORD-14792"/>
        <s v="ORD-14793"/>
        <s v="ORD-14794"/>
        <s v="ORD-14795"/>
        <s v="ORD-14796"/>
        <s v="ORD-14797"/>
        <s v="ORD-14798"/>
        <s v="ORD-14799"/>
        <s v="ORD-14800"/>
        <s v="ORD-14801"/>
        <s v="ORD-14802"/>
        <s v="ORD-14803"/>
        <s v="ORD-14804"/>
        <s v="ORD-14805"/>
        <s v="ORD-14806"/>
        <s v="ORD-14807"/>
        <s v="ORD-14808"/>
        <s v="ORD-14809"/>
        <s v="ORD-14810"/>
        <s v="ORD-14811"/>
        <s v="ORD-14812"/>
        <s v="ORD-14813"/>
        <s v="ORD-14814"/>
        <s v="ORD-14815"/>
        <s v="ORD-14816"/>
        <s v="ORD-14817"/>
        <s v="ORD-14818"/>
        <s v="ORD-14819"/>
        <s v="ORD-14820"/>
        <s v="ORD-14821"/>
        <s v="ORD-14822"/>
        <s v="ORD-14823"/>
        <s v="ORD-14824"/>
        <s v="ORD-14825"/>
        <s v="ORD-14826"/>
        <s v="ORD-14827"/>
        <s v="ORD-14828"/>
        <s v="ORD-14829"/>
        <s v="ORD-14830"/>
        <s v="ORD-14831"/>
        <s v="ORD-14832"/>
        <s v="ORD-14833"/>
        <s v="ORD-14834"/>
        <s v="ORD-14835"/>
        <s v="ORD-14836"/>
        <s v="ORD-14837"/>
        <s v="ORD-14838"/>
        <s v="ORD-14839"/>
        <s v="ORD-14840"/>
        <s v="ORD-14841"/>
        <s v="ORD-14842"/>
        <s v="ORD-14843"/>
        <s v="ORD-14844"/>
        <s v="ORD-14845"/>
        <s v="ORD-14846"/>
        <s v="ORD-14847"/>
        <s v="ORD-14848"/>
        <s v="ORD-14849"/>
        <s v="ORD-14850"/>
        <s v="ORD-14851"/>
        <s v="ORD-14852"/>
        <s v="ORD-14853"/>
        <s v="ORD-14854"/>
        <s v="ORD-14855"/>
        <s v="ORD-14856"/>
        <s v="ORD-14857"/>
        <s v="ORD-14858"/>
        <s v="ORD-14859"/>
        <s v="ORD-14860"/>
        <s v="ORD-14861"/>
        <s v="ORD-14862"/>
        <s v="ORD-14863"/>
        <s v="ORD-14864"/>
        <s v="ORD-14865"/>
        <s v="ORD-14866"/>
        <s v="ORD-14867"/>
        <s v="ORD-14868"/>
        <s v="ORD-14869"/>
        <s v="ORD-14870"/>
        <s v="ORD-14871"/>
        <s v="ORD-14872"/>
        <s v="ORD-14873"/>
        <s v="ORD-14874"/>
        <s v="ORD-14875"/>
        <s v="ORD-14876"/>
        <s v="ORD-14877"/>
        <s v="ORD-14878"/>
        <s v="ORD-14879"/>
        <s v="ORD-14880"/>
        <s v="ORD-14881"/>
        <s v="ORD-14882"/>
        <s v="ORD-14883"/>
        <s v="ORD-14884"/>
        <s v="ORD-14885"/>
        <s v="ORD-14886"/>
        <s v="ORD-14887"/>
        <s v="ORD-14888"/>
        <s v="ORD-14889"/>
        <s v="ORD-14890"/>
        <s v="ORD-14891"/>
        <s v="ORD-14892"/>
        <s v="ORD-14893"/>
        <s v="ORD-14894"/>
        <s v="ORD-14895"/>
        <s v="ORD-14896"/>
        <s v="ORD-14897"/>
        <s v="ORD-14898"/>
        <s v="ORD-14899"/>
        <s v="ORD-14900"/>
        <s v="ORD-14901"/>
        <s v="ORD-14902"/>
        <s v="ORD-14903"/>
        <s v="ORD-14904"/>
        <s v="ORD-14905"/>
        <s v="ORD-14906"/>
        <s v="ORD-14907"/>
        <s v="ORD-14908"/>
        <s v="ORD-14909"/>
        <s v="ORD-14910"/>
        <s v="ORD-14911"/>
        <s v="ORD-14912"/>
        <s v="ORD-14913"/>
        <s v="ORD-14914"/>
        <s v="ORD-14915"/>
        <s v="ORD-14916"/>
        <s v="ORD-14917"/>
        <s v="ORD-14918"/>
        <s v="ORD-14919"/>
        <s v="ORD-14920"/>
        <s v="ORD-14921"/>
        <s v="ORD-14922"/>
        <s v="ORD-14923"/>
        <s v="ORD-14924"/>
        <s v="ORD-14925"/>
        <s v="ORD-14926"/>
        <s v="ORD-14927"/>
        <s v="ORD-14928"/>
        <s v="ORD-14929"/>
        <s v="ORD-14930"/>
        <s v="ORD-14931"/>
        <s v="ORD-14932"/>
        <s v="ORD-14933"/>
        <s v="ORD-14934"/>
        <s v="ORD-14935"/>
        <s v="ORD-14936"/>
        <s v="ORD-14937"/>
        <s v="ORD-14938"/>
        <s v="ORD-14939"/>
        <s v="ORD-14940"/>
        <s v="ORD-14941"/>
        <s v="ORD-14942"/>
        <s v="ORD-14943"/>
        <s v="ORD-14944"/>
        <s v="ORD-14945"/>
        <s v="ORD-14946"/>
        <s v="ORD-14947"/>
        <s v="ORD-14948"/>
        <s v="ORD-14949"/>
        <s v="ORD-14950"/>
        <s v="ORD-14951"/>
        <s v="ORD-14952"/>
        <s v="ORD-14953"/>
        <s v="ORD-14954"/>
        <s v="ORD-14955"/>
        <s v="ORD-14956"/>
        <s v="ORD-14957"/>
        <s v="ORD-14958"/>
        <s v="ORD-14959"/>
        <s v="ORD-14960"/>
        <s v="ORD-14961"/>
        <s v="ORD-14962"/>
        <s v="ORD-14963"/>
        <s v="ORD-14964"/>
        <s v="ORD-14965"/>
        <s v="ORD-14966"/>
        <s v="ORD-14967"/>
        <s v="ORD-14968"/>
        <s v="ORD-14969"/>
        <s v="ORD-14970"/>
        <s v="ORD-14971"/>
        <s v="ORD-14972"/>
        <s v="ORD-14973"/>
        <s v="ORD-14974"/>
        <s v="ORD-14975"/>
        <s v="ORD-14976"/>
        <s v="ORD-14977"/>
        <s v="ORD-14978"/>
        <s v="ORD-14979"/>
        <s v="ORD-14980"/>
        <s v="ORD-14981"/>
        <s v="ORD-14982"/>
        <s v="ORD-14983"/>
        <s v="ORD-14984"/>
        <s v="ORD-14985"/>
        <s v="ORD-14986"/>
        <s v="ORD-14987"/>
        <s v="ORD-14988"/>
        <s v="ORD-14989"/>
        <s v="ORD-14990"/>
        <s v="ORD-14991"/>
        <s v="ORD-14992"/>
        <s v="ORD-14993"/>
        <s v="ORD-14994"/>
        <s v="ORD-14995"/>
        <s v="ORD-14996"/>
        <s v="ORD-14997"/>
        <s v="ORD-14998"/>
        <s v="ORD-14999"/>
        <s v="ORD-15000"/>
        <s v="ORD-15001"/>
        <s v="ORD-15002"/>
        <s v="ORD-15003"/>
        <s v="ORD-15004"/>
        <s v="ORD-15005"/>
        <s v="ORD-15006"/>
        <s v="ORD-15007"/>
        <s v="ORD-15008"/>
        <s v="ORD-15009"/>
        <s v="ORD-15010"/>
        <s v="ORD-15011"/>
        <s v="ORD-15012"/>
        <s v="ORD-15013"/>
        <s v="ORD-15014"/>
        <s v="ORD-15015"/>
        <s v="ORD-15016"/>
        <s v="ORD-15017"/>
        <s v="ORD-15018"/>
        <s v="ORD-15019"/>
        <s v="ORD-15020"/>
        <s v="ORD-15021"/>
        <s v="ORD-15022"/>
        <s v="ORD-15023"/>
        <s v="ORD-15024"/>
        <s v="ORD-15025"/>
        <s v="ORD-15026"/>
        <s v="ORD-15027"/>
        <s v="ORD-15028"/>
        <s v="ORD-15029"/>
        <s v="ORD-15030"/>
        <s v="ORD-15031"/>
        <s v="ORD-15032"/>
        <s v="ORD-15033"/>
        <s v="ORD-15034"/>
        <s v="ORD-15035"/>
        <s v="ORD-15036"/>
        <s v="ORD-15037"/>
        <s v="ORD-15038"/>
        <s v="ORD-15039"/>
        <s v="ORD-15040"/>
        <s v="ORD-15041"/>
        <s v="ORD-15042"/>
        <s v="ORD-15043"/>
        <s v="ORD-15044"/>
        <s v="ORD-15045"/>
        <s v="ORD-15046"/>
        <s v="ORD-15047"/>
        <s v="ORD-15048"/>
        <s v="ORD-15049"/>
        <s v="ORD-15050"/>
        <s v="ORD-15051"/>
        <s v="ORD-15052"/>
        <s v="ORD-15053"/>
        <s v="ORD-15054"/>
        <s v="ORD-15055"/>
        <s v="ORD-15056"/>
        <s v="ORD-15057"/>
        <s v="ORD-15058"/>
        <s v="ORD-15059"/>
        <s v="ORD-15060"/>
        <s v="ORD-15061"/>
        <s v="ORD-15062"/>
        <s v="ORD-15063"/>
        <s v="ORD-15064"/>
        <s v="ORD-15065"/>
        <s v="ORD-15066"/>
        <s v="ORD-15067"/>
        <s v="ORD-15068"/>
        <s v="ORD-15069"/>
        <s v="ORD-15070"/>
        <s v="ORD-15071"/>
        <s v="ORD-15072"/>
        <s v="ORD-15073"/>
        <s v="ORD-15074"/>
        <s v="ORD-15075"/>
        <s v="ORD-15076"/>
        <s v="ORD-15077"/>
        <s v="ORD-15078"/>
        <s v="ORD-15079"/>
        <s v="ORD-15080"/>
        <s v="ORD-15081"/>
        <s v="ORD-15082"/>
        <s v="ORD-15083"/>
        <s v="ORD-15084"/>
        <s v="ORD-15085"/>
        <s v="ORD-15086"/>
        <s v="ORD-15087"/>
        <s v="ORD-15088"/>
        <s v="ORD-15089"/>
        <s v="ORD-15090"/>
        <s v="ORD-15091"/>
        <s v="ORD-15092"/>
        <s v="ORD-15093"/>
        <s v="ORD-15094"/>
        <s v="ORD-15095"/>
        <s v="ORD-15096"/>
        <s v="ORD-15097"/>
        <s v="ORD-15098"/>
        <s v="ORD-15099"/>
        <s v="ORD-15100"/>
        <s v="ORD-15101"/>
        <s v="ORD-15102"/>
        <s v="ORD-15103"/>
        <s v="ORD-15104"/>
        <s v="ORD-15105"/>
        <s v="ORD-15106"/>
        <s v="ORD-15107"/>
        <s v="ORD-15108"/>
        <s v="ORD-15109"/>
        <s v="ORD-15110"/>
        <s v="ORD-15111"/>
        <s v="ORD-15112"/>
        <s v="ORD-15113"/>
        <s v="ORD-15114"/>
        <s v="ORD-15115"/>
        <s v="ORD-15116"/>
        <s v="ORD-15117"/>
        <s v="ORD-15118"/>
        <s v="ORD-15119"/>
        <s v="ORD-15120"/>
        <s v="ORD-15121"/>
        <s v="ORD-15122"/>
        <s v="ORD-15123"/>
        <s v="ORD-15124"/>
        <s v="ORD-15125"/>
        <s v="ORD-15126"/>
        <s v="ORD-15127"/>
        <s v="ORD-15128"/>
        <s v="ORD-15129"/>
        <s v="ORD-15130"/>
        <s v="ORD-15131"/>
        <s v="ORD-15132"/>
        <s v="ORD-15133"/>
        <s v="ORD-15134"/>
        <s v="ORD-15135"/>
        <s v="ORD-15136"/>
        <s v="ORD-15137"/>
        <s v="ORD-15138"/>
        <s v="ORD-15139"/>
        <s v="ORD-15140"/>
        <s v="ORD-15141"/>
        <s v="ORD-15142"/>
        <s v="ORD-15143"/>
        <s v="ORD-15144"/>
        <s v="ORD-15145"/>
        <s v="ORD-15146"/>
        <s v="ORD-15147"/>
        <s v="ORD-15148"/>
        <s v="ORD-15149"/>
        <s v="ORD-15150"/>
        <s v="ORD-15151"/>
        <s v="ORD-15152"/>
        <s v="ORD-15153"/>
        <s v="ORD-15154"/>
        <s v="ORD-15155"/>
        <s v="ORD-15156"/>
        <s v="ORD-15157"/>
        <s v="ORD-15158"/>
        <s v="ORD-15159"/>
        <s v="ORD-15160"/>
        <s v="ORD-15161"/>
        <s v="ORD-15162"/>
        <s v="ORD-15163"/>
        <s v="ORD-15164"/>
        <s v="ORD-15165"/>
        <s v="ORD-15166"/>
        <s v="ORD-15167"/>
        <s v="ORD-15168"/>
        <s v="ORD-15169"/>
        <s v="ORD-15170"/>
        <s v="ORD-15171"/>
        <s v="ORD-15172"/>
        <s v="ORD-15173"/>
        <s v="ORD-15174"/>
        <s v="ORD-15175"/>
        <s v="ORD-15176"/>
        <s v="ORD-15177"/>
        <s v="ORD-15178"/>
        <s v="ORD-15179"/>
        <s v="ORD-15180"/>
        <s v="ORD-15181"/>
        <s v="ORD-15182"/>
        <s v="ORD-15183"/>
        <s v="ORD-15184"/>
        <s v="ORD-15185"/>
        <s v="ORD-15186"/>
        <s v="ORD-15187"/>
        <s v="ORD-15188"/>
        <s v="ORD-15189"/>
        <s v="ORD-15190"/>
        <s v="ORD-15191"/>
        <s v="ORD-15192"/>
        <s v="ORD-15193"/>
        <s v="ORD-15194"/>
        <s v="ORD-15195"/>
        <s v="ORD-15196"/>
        <s v="ORD-15197"/>
        <s v="ORD-15198"/>
        <s v="ORD-15199"/>
        <s v="ORD-15200"/>
        <s v="ORD-15201"/>
        <s v="ORD-15202"/>
        <s v="ORD-15203"/>
        <s v="ORD-15204"/>
        <s v="ORD-15205"/>
        <s v="ORD-15206"/>
        <s v="ORD-15207"/>
        <s v="ORD-15208"/>
        <s v="ORD-15209"/>
        <s v="ORD-15210"/>
        <s v="ORD-15211"/>
        <s v="ORD-15212"/>
        <s v="ORD-15213"/>
        <s v="ORD-15214"/>
        <s v="ORD-15215"/>
        <s v="ORD-15216"/>
        <s v="ORD-15217"/>
        <s v="ORD-15218"/>
        <s v="ORD-15219"/>
        <s v="ORD-15220"/>
        <s v="ORD-15221"/>
        <s v="ORD-15222"/>
        <s v="ORD-15223"/>
        <s v="ORD-15224"/>
        <s v="ORD-15225"/>
        <s v="ORD-15226"/>
        <s v="ORD-15227"/>
        <s v="ORD-15228"/>
        <s v="ORD-15229"/>
        <s v="ORD-15230"/>
        <s v="ORD-15231"/>
        <s v="ORD-15232"/>
        <s v="ORD-15233"/>
        <s v="ORD-15234"/>
        <s v="ORD-15235"/>
        <s v="ORD-15236"/>
        <s v="ORD-15237"/>
        <s v="ORD-15238"/>
        <s v="ORD-15239"/>
        <s v="ORD-15240"/>
        <s v="ORD-15241"/>
        <s v="ORD-15242"/>
        <s v="ORD-15243"/>
        <s v="ORD-15244"/>
        <s v="ORD-15245"/>
        <s v="ORD-15246"/>
        <s v="ORD-15247"/>
        <s v="ORD-15248"/>
        <s v="ORD-15249"/>
        <s v="ORD-15250"/>
        <s v="ORD-15251"/>
        <s v="ORD-15252"/>
        <s v="ORD-15253"/>
        <s v="ORD-15254"/>
        <s v="ORD-15255"/>
        <s v="ORD-15256"/>
        <s v="ORD-15257"/>
        <s v="ORD-15258"/>
        <s v="ORD-15259"/>
        <s v="ORD-15260"/>
        <s v="ORD-15261"/>
        <s v="ORD-15262"/>
        <s v="ORD-15263"/>
        <s v="ORD-15264"/>
        <s v="ORD-15265"/>
        <s v="ORD-15266"/>
        <s v="ORD-15267"/>
        <s v="ORD-15268"/>
        <s v="ORD-15269"/>
        <s v="ORD-15270"/>
        <s v="ORD-15271"/>
        <s v="ORD-15272"/>
        <s v="ORD-15273"/>
        <s v="ORD-15274"/>
        <s v="ORD-15275"/>
        <s v="ORD-15276"/>
        <s v="ORD-15277"/>
        <s v="ORD-15278"/>
        <s v="ORD-15279"/>
        <s v="ORD-15280"/>
        <s v="ORD-15281"/>
        <s v="ORD-15282"/>
        <s v="ORD-15283"/>
        <s v="ORD-15284"/>
        <s v="ORD-15285"/>
        <s v="ORD-15286"/>
        <s v="ORD-15287"/>
        <s v="ORD-15288"/>
        <s v="ORD-15289"/>
        <s v="ORD-15290"/>
        <s v="ORD-15291"/>
        <s v="ORD-15292"/>
        <s v="ORD-15293"/>
        <s v="ORD-15294"/>
        <s v="ORD-15295"/>
        <s v="ORD-15296"/>
        <s v="ORD-15297"/>
        <s v="ORD-15298"/>
        <s v="ORD-15299"/>
        <s v="ORD-15300"/>
        <s v="ORD-15301"/>
        <s v="ORD-15302"/>
        <s v="ORD-15303"/>
        <s v="ORD-15304"/>
        <s v="ORD-15305"/>
        <s v="ORD-15306"/>
        <s v="ORD-15307"/>
        <s v="ORD-15308"/>
        <s v="ORD-15309"/>
        <s v="ORD-15310"/>
        <s v="ORD-15311"/>
        <s v="ORD-15312"/>
        <s v="ORD-15313"/>
        <s v="ORD-15314"/>
        <s v="ORD-15315"/>
        <s v="ORD-15316"/>
        <s v="ORD-15317"/>
        <s v="ORD-15318"/>
        <s v="ORD-15319"/>
        <s v="ORD-15320"/>
        <s v="ORD-15321"/>
        <s v="ORD-15322"/>
        <s v="ORD-15323"/>
        <s v="ORD-15324"/>
        <s v="ORD-15325"/>
        <s v="ORD-15326"/>
        <s v="ORD-15327"/>
        <s v="ORD-15328"/>
        <s v="ORD-15329"/>
        <s v="ORD-15330"/>
        <s v="ORD-15331"/>
        <s v="ORD-15332"/>
        <s v="ORD-15333"/>
        <s v="ORD-15334"/>
        <s v="ORD-15335"/>
        <s v="ORD-15336"/>
        <s v="ORD-15337"/>
        <s v="ORD-15338"/>
        <s v="ORD-15339"/>
        <s v="ORD-15340"/>
        <s v="ORD-15341"/>
        <s v="ORD-15342"/>
        <s v="ORD-15343"/>
        <s v="ORD-15344"/>
        <s v="ORD-15345"/>
        <s v="ORD-15346"/>
        <s v="ORD-15347"/>
        <s v="ORD-15348"/>
        <s v="ORD-15349"/>
        <s v="ORD-15350"/>
        <s v="ORD-15351"/>
        <s v="ORD-15352"/>
        <s v="ORD-15353"/>
        <s v="ORD-15354"/>
        <s v="ORD-15355"/>
        <s v="ORD-15356"/>
        <s v="ORD-15357"/>
        <s v="ORD-15358"/>
        <s v="ORD-15359"/>
        <s v="ORD-15360"/>
        <s v="ORD-15361"/>
        <s v="ORD-15362"/>
        <s v="ORD-15363"/>
        <s v="ORD-15364"/>
        <s v="ORD-15365"/>
        <s v="ORD-15366"/>
        <s v="ORD-15367"/>
        <s v="ORD-15368"/>
        <s v="ORD-15369"/>
        <s v="ORD-15370"/>
        <s v="ORD-15371"/>
        <s v="ORD-15372"/>
        <s v="ORD-15373"/>
        <s v="ORD-15374"/>
        <s v="ORD-15375"/>
        <s v="ORD-15376"/>
        <s v="ORD-15377"/>
        <s v="ORD-15378"/>
        <s v="ORD-15379"/>
        <s v="ORD-15380"/>
        <s v="ORD-15381"/>
        <s v="ORD-15382"/>
        <s v="ORD-15383"/>
        <s v="ORD-15384"/>
        <s v="ORD-15385"/>
        <s v="ORD-15386"/>
        <s v="ORD-15387"/>
        <s v="ORD-15388"/>
        <s v="ORD-15389"/>
        <s v="ORD-15390"/>
        <s v="ORD-15391"/>
        <s v="ORD-15392"/>
        <s v="ORD-15393"/>
        <s v="ORD-15394"/>
        <s v="ORD-15395"/>
        <s v="ORD-15396"/>
        <s v="ORD-15397"/>
        <s v="ORD-15398"/>
        <s v="ORD-15399"/>
        <s v="ORD-15400"/>
        <s v="ORD-15401"/>
        <s v="ORD-15402"/>
        <s v="ORD-15403"/>
        <s v="ORD-15404"/>
        <s v="ORD-15405"/>
        <s v="ORD-15406"/>
        <s v="ORD-15407"/>
        <s v="ORD-15408"/>
        <s v="ORD-15409"/>
        <s v="ORD-15410"/>
        <s v="ORD-15411"/>
        <s v="ORD-15412"/>
        <s v="ORD-15413"/>
        <s v="ORD-15414"/>
        <s v="ORD-15415"/>
        <s v="ORD-15416"/>
        <s v="ORD-15417"/>
        <s v="ORD-15418"/>
        <s v="ORD-15419"/>
        <s v="ORD-15420"/>
        <s v="ORD-15421"/>
        <s v="ORD-15422"/>
        <s v="ORD-15423"/>
        <s v="ORD-15424"/>
        <s v="ORD-15425"/>
        <s v="ORD-15426"/>
        <s v="ORD-15427"/>
        <s v="ORD-15428"/>
        <s v="ORD-15429"/>
        <s v="ORD-15430"/>
        <s v="ORD-15431"/>
        <s v="ORD-15432"/>
        <s v="ORD-15433"/>
        <s v="ORD-15434"/>
        <s v="ORD-15435"/>
        <s v="ORD-15436"/>
        <s v="ORD-15437"/>
        <s v="ORD-15438"/>
        <s v="ORD-15439"/>
        <s v="ORD-15440"/>
        <s v="ORD-15441"/>
        <s v="ORD-15442"/>
        <s v="ORD-15443"/>
        <s v="ORD-15444"/>
        <s v="ORD-15445"/>
        <s v="ORD-15446"/>
        <s v="ORD-15447"/>
        <s v="ORD-15448"/>
        <s v="ORD-15449"/>
        <s v="ORD-15450"/>
        <s v="ORD-15451"/>
        <s v="ORD-15452"/>
        <s v="ORD-15453"/>
        <s v="ORD-15454"/>
        <s v="ORD-15455"/>
        <s v="ORD-15456"/>
        <s v="ORD-15457"/>
        <s v="ORD-15458"/>
        <s v="ORD-15459"/>
        <s v="ORD-15460"/>
        <s v="ORD-15461"/>
        <s v="ORD-15462"/>
        <s v="ORD-15463"/>
        <s v="ORD-15464"/>
        <s v="ORD-15465"/>
        <s v="ORD-15466"/>
        <s v="ORD-15467"/>
        <s v="ORD-15468"/>
        <s v="ORD-15469"/>
        <s v="ORD-15470"/>
        <s v="ORD-15471"/>
        <s v="ORD-15472"/>
        <s v="ORD-15473"/>
        <s v="ORD-15474"/>
        <s v="ORD-15475"/>
        <s v="ORD-15476"/>
        <s v="ORD-15477"/>
        <s v="ORD-15478"/>
        <s v="ORD-15479"/>
        <s v="ORD-15480"/>
        <s v="ORD-15481"/>
        <s v="ORD-15482"/>
        <s v="ORD-15483"/>
        <s v="ORD-15484"/>
        <s v="ORD-15485"/>
        <s v="ORD-15486"/>
        <s v="ORD-15487"/>
        <s v="ORD-15488"/>
        <s v="ORD-15489"/>
        <s v="ORD-15490"/>
        <s v="ORD-15491"/>
        <s v="ORD-15492"/>
        <s v="ORD-15493"/>
        <s v="ORD-15494"/>
        <s v="ORD-15495"/>
        <s v="ORD-15496"/>
        <s v="ORD-15497"/>
        <s v="ORD-15498"/>
        <s v="ORD-15499"/>
        <s v="ORD-15500"/>
        <s v="ORD-15501"/>
        <s v="ORD-15502"/>
        <s v="ORD-15503"/>
        <s v="ORD-15504"/>
        <s v="ORD-15505"/>
        <s v="ORD-15506"/>
        <s v="ORD-15507"/>
        <s v="ORD-15508"/>
        <s v="ORD-15509"/>
        <s v="ORD-15510"/>
        <s v="ORD-15511"/>
        <s v="ORD-15512"/>
        <s v="ORD-15513"/>
        <s v="ORD-15514"/>
        <s v="ORD-15515"/>
        <s v="ORD-15516"/>
        <s v="ORD-15517"/>
        <s v="ORD-15518"/>
        <s v="ORD-15519"/>
        <s v="ORD-15520"/>
        <s v="ORD-15521"/>
        <s v="ORD-15522"/>
        <s v="ORD-15523"/>
        <s v="ORD-15524"/>
        <s v="ORD-15525"/>
        <s v="ORD-15526"/>
        <s v="ORD-15527"/>
        <s v="ORD-15528"/>
        <s v="ORD-15529"/>
        <s v="ORD-15530"/>
        <s v="ORD-15531"/>
        <s v="ORD-15532"/>
        <s v="ORD-15533"/>
        <s v="ORD-15534"/>
        <s v="ORD-15535"/>
        <s v="ORD-15536"/>
        <s v="ORD-15537"/>
        <s v="ORD-15538"/>
        <s v="ORD-15539"/>
        <s v="ORD-15540"/>
        <s v="ORD-15541"/>
        <s v="ORD-15542"/>
        <s v="ORD-15543"/>
        <s v="ORD-15544"/>
        <s v="ORD-15545"/>
        <s v="ORD-15546"/>
        <s v="ORD-15547"/>
        <s v="ORD-15548"/>
        <s v="ORD-15549"/>
        <s v="ORD-15550"/>
        <s v="ORD-15551"/>
        <s v="ORD-15552"/>
        <s v="ORD-15553"/>
        <s v="ORD-15554"/>
        <s v="ORD-15555"/>
        <s v="ORD-15556"/>
        <s v="ORD-15557"/>
        <s v="ORD-15558"/>
        <s v="ORD-15559"/>
        <s v="ORD-15560"/>
        <s v="ORD-15561"/>
        <s v="ORD-15562"/>
        <s v="ORD-15563"/>
        <s v="ORD-15564"/>
        <s v="ORD-15565"/>
        <s v="ORD-15566"/>
        <s v="ORD-15567"/>
        <s v="ORD-15568"/>
        <s v="ORD-15569"/>
        <s v="ORD-15570"/>
        <s v="ORD-15571"/>
        <s v="ORD-15572"/>
        <s v="ORD-15573"/>
        <s v="ORD-15574"/>
        <s v="ORD-15575"/>
        <s v="ORD-15576"/>
        <s v="ORD-15577"/>
        <s v="ORD-15578"/>
        <s v="ORD-15579"/>
        <s v="ORD-15580"/>
        <s v="ORD-15581"/>
        <s v="ORD-15582"/>
        <s v="ORD-15583"/>
        <s v="ORD-15584"/>
        <s v="ORD-15585"/>
        <s v="ORD-15586"/>
        <s v="ORD-15587"/>
        <s v="ORD-15588"/>
        <s v="ORD-15589"/>
        <s v="ORD-15590"/>
        <s v="ORD-15591"/>
        <s v="ORD-15592"/>
        <s v="ORD-15593"/>
        <s v="ORD-15594"/>
        <s v="ORD-15595"/>
        <s v="ORD-15596"/>
        <s v="ORD-15597"/>
        <s v="ORD-15598"/>
        <s v="ORD-15599"/>
        <s v="ORD-15600"/>
        <s v="ORD-15601"/>
        <s v="ORD-15602"/>
        <s v="ORD-15603"/>
        <s v="ORD-15604"/>
        <s v="ORD-15605"/>
        <s v="ORD-15606"/>
        <s v="ORD-15607"/>
        <s v="ORD-15608"/>
        <s v="ORD-15609"/>
        <s v="ORD-15610"/>
        <s v="ORD-15611"/>
        <s v="ORD-15612"/>
        <s v="ORD-15613"/>
        <s v="ORD-15614"/>
        <s v="ORD-15615"/>
        <s v="ORD-15616"/>
        <s v="ORD-15617"/>
        <s v="ORD-15618"/>
        <s v="ORD-15619"/>
        <s v="ORD-15620"/>
        <s v="ORD-15621"/>
        <s v="ORD-15622"/>
        <s v="ORD-15623"/>
        <s v="ORD-15624"/>
        <s v="ORD-15625"/>
        <s v="ORD-15626"/>
        <s v="ORD-15627"/>
        <s v="ORD-15628"/>
        <s v="ORD-15629"/>
        <s v="ORD-15630"/>
        <s v="ORD-15631"/>
        <s v="ORD-15632"/>
        <s v="ORD-15633"/>
        <s v="ORD-15634"/>
        <s v="ORD-15635"/>
        <s v="ORD-15636"/>
        <s v="ORD-15637"/>
        <s v="ORD-15638"/>
        <s v="ORD-15639"/>
        <s v="ORD-15640"/>
        <s v="ORD-15641"/>
        <s v="ORD-15642"/>
        <s v="ORD-15643"/>
        <s v="ORD-15644"/>
        <s v="ORD-15645"/>
        <s v="ORD-15646"/>
        <s v="ORD-15647"/>
        <s v="ORD-15648"/>
        <s v="ORD-15649"/>
        <s v="ORD-15650"/>
        <s v="ORD-15651"/>
        <s v="ORD-15652"/>
        <s v="ORD-15653"/>
        <s v="ORD-15654"/>
        <s v="ORD-15655"/>
        <s v="ORD-15656"/>
        <s v="ORD-15657"/>
        <s v="ORD-15658"/>
        <s v="ORD-15659"/>
        <s v="ORD-15660"/>
        <s v="ORD-15661"/>
        <s v="ORD-15662"/>
        <s v="ORD-15663"/>
        <s v="ORD-15664"/>
        <s v="ORD-15665"/>
        <s v="ORD-15666"/>
        <s v="ORD-15667"/>
        <s v="ORD-15668"/>
        <s v="ORD-15669"/>
        <s v="ORD-15670"/>
        <s v="ORD-15671"/>
        <s v="ORD-15672"/>
        <s v="ORD-15673"/>
        <s v="ORD-15674"/>
        <s v="ORD-15675"/>
        <s v="ORD-15676"/>
        <s v="ORD-15677"/>
        <s v="ORD-15678"/>
        <s v="ORD-15679"/>
        <s v="ORD-15680"/>
        <s v="ORD-15681"/>
        <s v="ORD-15682"/>
        <s v="ORD-15683"/>
        <s v="ORD-15684"/>
        <s v="ORD-15685"/>
        <s v="ORD-15686"/>
        <s v="ORD-15687"/>
        <s v="ORD-15688"/>
        <s v="ORD-15689"/>
        <s v="ORD-15690"/>
        <s v="ORD-15691"/>
        <s v="ORD-15692"/>
        <s v="ORD-15693"/>
        <s v="ORD-15694"/>
        <s v="ORD-15695"/>
        <s v="ORD-15696"/>
        <s v="ORD-15697"/>
        <s v="ORD-15698"/>
        <s v="ORD-15699"/>
        <s v="ORD-15700"/>
        <s v="ORD-15701"/>
        <s v="ORD-15702"/>
        <s v="ORD-15703"/>
        <s v="ORD-15704"/>
        <s v="ORD-15705"/>
        <s v="ORD-15706"/>
        <s v="ORD-15707"/>
        <s v="ORD-15708"/>
        <s v="ORD-15709"/>
        <s v="ORD-15710"/>
        <s v="ORD-15711"/>
        <s v="ORD-15712"/>
        <s v="ORD-15713"/>
        <s v="ORD-15714"/>
        <s v="ORD-15715"/>
        <s v="ORD-15716"/>
        <s v="ORD-15717"/>
        <s v="ORD-15718"/>
        <s v="ORD-15719"/>
        <s v="ORD-15720"/>
        <s v="ORD-15721"/>
        <s v="ORD-15722"/>
        <s v="ORD-15723"/>
        <s v="ORD-15724"/>
        <s v="ORD-15725"/>
        <s v="ORD-15726"/>
        <s v="ORD-15727"/>
        <s v="ORD-15728"/>
        <s v="ORD-15729"/>
        <s v="ORD-15730"/>
        <s v="ORD-15731"/>
        <s v="ORD-15732"/>
        <s v="ORD-15733"/>
        <s v="ORD-15734"/>
        <s v="ORD-15735"/>
        <s v="ORD-15736"/>
        <s v="ORD-15737"/>
        <s v="ORD-15738"/>
        <s v="ORD-15739"/>
        <s v="ORD-15740"/>
        <s v="ORD-15741"/>
        <s v="ORD-15742"/>
        <s v="ORD-15743"/>
        <s v="ORD-15744"/>
        <s v="ORD-15745"/>
        <s v="ORD-15746"/>
        <s v="ORD-15747"/>
        <s v="ORD-15748"/>
        <s v="ORD-15749"/>
        <s v="ORD-15750"/>
        <s v="ORD-15751"/>
        <s v="ORD-15752"/>
        <s v="ORD-15753"/>
        <s v="ORD-15754"/>
        <s v="ORD-15755"/>
        <s v="ORD-15756"/>
        <s v="ORD-15757"/>
        <s v="ORD-15758"/>
        <s v="ORD-15759"/>
        <s v="ORD-15760"/>
        <s v="ORD-15761"/>
        <s v="ORD-15762"/>
        <s v="ORD-15763"/>
        <s v="ORD-15764"/>
        <s v="ORD-15765"/>
        <s v="ORD-15766"/>
        <s v="ORD-15767"/>
        <s v="ORD-15768"/>
        <s v="ORD-15769"/>
        <s v="ORD-15770"/>
        <s v="ORD-15771"/>
        <s v="ORD-15772"/>
        <s v="ORD-15773"/>
        <s v="ORD-15774"/>
        <s v="ORD-15775"/>
        <s v="ORD-15776"/>
        <s v="ORD-15777"/>
        <s v="ORD-15778"/>
        <s v="ORD-15779"/>
        <s v="ORD-15780"/>
        <s v="ORD-15781"/>
        <s v="ORD-15782"/>
        <s v="ORD-15783"/>
        <s v="ORD-15784"/>
        <s v="ORD-15785"/>
        <s v="ORD-15786"/>
        <s v="ORD-15787"/>
        <s v="ORD-15788"/>
        <s v="ORD-15789"/>
        <s v="ORD-15790"/>
        <s v="ORD-15791"/>
        <s v="ORD-15792"/>
        <s v="ORD-15793"/>
        <s v="ORD-15794"/>
        <s v="ORD-15795"/>
        <s v="ORD-15796"/>
        <s v="ORD-15797"/>
        <s v="ORD-15798"/>
        <s v="ORD-15799"/>
        <s v="ORD-15800"/>
        <s v="ORD-15801"/>
        <s v="ORD-15802"/>
        <s v="ORD-15803"/>
        <s v="ORD-15804"/>
        <s v="ORD-15805"/>
        <s v="ORD-15806"/>
        <s v="ORD-15807"/>
        <s v="ORD-15808"/>
        <s v="ORD-15809"/>
        <s v="ORD-15810"/>
        <s v="ORD-15811"/>
        <s v="ORD-15812"/>
        <s v="ORD-15813"/>
        <s v="ORD-15814"/>
        <s v="ORD-15815"/>
        <s v="ORD-15816"/>
        <s v="ORD-15817"/>
        <s v="ORD-15818"/>
        <s v="ORD-15819"/>
        <s v="ORD-15820"/>
        <s v="ORD-15821"/>
        <s v="ORD-15822"/>
        <s v="ORD-15823"/>
        <s v="ORD-15824"/>
        <s v="ORD-15825"/>
        <s v="ORD-15826"/>
        <s v="ORD-15827"/>
        <s v="ORD-15828"/>
        <s v="ORD-15829"/>
        <s v="ORD-15830"/>
        <s v="ORD-15831"/>
        <s v="ORD-15832"/>
        <s v="ORD-15833"/>
        <s v="ORD-15834"/>
        <s v="ORD-15835"/>
        <s v="ORD-15836"/>
        <s v="ORD-15837"/>
        <s v="ORD-15838"/>
        <s v="ORD-15839"/>
        <s v="ORD-15840"/>
        <s v="ORD-15841"/>
        <s v="ORD-15842"/>
        <s v="ORD-15843"/>
        <s v="ORD-15844"/>
        <s v="ORD-15845"/>
        <s v="ORD-15846"/>
        <s v="ORD-15847"/>
        <s v="ORD-15848"/>
        <s v="ORD-15849"/>
        <s v="ORD-15850"/>
        <s v="ORD-15851"/>
        <s v="ORD-15852"/>
        <s v="ORD-15853"/>
        <s v="ORD-15854"/>
        <s v="ORD-15855"/>
        <s v="ORD-15856"/>
        <s v="ORD-15857"/>
        <s v="ORD-15858"/>
        <s v="ORD-15859"/>
        <s v="ORD-15860"/>
        <s v="ORD-15861"/>
        <s v="ORD-15862"/>
        <s v="ORD-15863"/>
        <s v="ORD-15864"/>
        <s v="ORD-15865"/>
        <s v="ORD-15866"/>
        <s v="ORD-15867"/>
        <s v="ORD-15868"/>
        <s v="ORD-15869"/>
        <s v="ORD-15870"/>
        <s v="ORD-15871"/>
        <s v="ORD-15872"/>
        <s v="ORD-15873"/>
        <s v="ORD-15874"/>
        <s v="ORD-15875"/>
        <s v="ORD-15876"/>
        <s v="ORD-15877"/>
        <s v="ORD-15878"/>
        <s v="ORD-15879"/>
        <s v="ORD-15880"/>
        <s v="ORD-15881"/>
        <s v="ORD-15882"/>
        <s v="ORD-15883"/>
        <s v="ORD-15884"/>
        <s v="ORD-15885"/>
        <s v="ORD-15886"/>
        <s v="ORD-15887"/>
        <s v="ORD-15888"/>
        <s v="ORD-15889"/>
        <s v="ORD-15890"/>
        <s v="ORD-15891"/>
        <s v="ORD-15892"/>
        <s v="ORD-15893"/>
        <s v="ORD-15894"/>
        <s v="ORD-15895"/>
        <s v="ORD-15896"/>
        <s v="ORD-15897"/>
        <s v="ORD-15898"/>
        <s v="ORD-15899"/>
        <s v="ORD-15900"/>
        <s v="ORD-15901"/>
        <s v="ORD-15902"/>
        <s v="ORD-15903"/>
        <s v="ORD-15904"/>
        <s v="ORD-15905"/>
        <s v="ORD-15906"/>
        <s v="ORD-15907"/>
        <s v="ORD-15908"/>
        <s v="ORD-15909"/>
        <s v="ORD-15910"/>
        <s v="ORD-15911"/>
        <s v="ORD-15912"/>
        <s v="ORD-15913"/>
        <s v="ORD-15914"/>
        <s v="ORD-15915"/>
        <s v="ORD-15916"/>
        <s v="ORD-15917"/>
        <s v="ORD-15918"/>
        <s v="ORD-15919"/>
        <s v="ORD-15920"/>
        <s v="ORD-15921"/>
        <s v="ORD-15922"/>
        <s v="ORD-15923"/>
        <s v="ORD-15924"/>
        <s v="ORD-15925"/>
        <s v="ORD-15926"/>
        <s v="ORD-15927"/>
        <s v="ORD-15928"/>
        <s v="ORD-15929"/>
        <s v="ORD-15930"/>
        <s v="ORD-15931"/>
        <s v="ORD-15932"/>
        <s v="ORD-15933"/>
        <s v="ORD-15934"/>
        <s v="ORD-15935"/>
        <s v="ORD-15936"/>
        <s v="ORD-15937"/>
        <s v="ORD-15938"/>
        <s v="ORD-15939"/>
        <s v="ORD-15940"/>
        <s v="ORD-15941"/>
        <s v="ORD-15942"/>
        <s v="ORD-15943"/>
        <s v="ORD-15944"/>
        <s v="ORD-15945"/>
        <s v="ORD-15946"/>
        <s v="ORD-15947"/>
        <s v="ORD-15948"/>
        <s v="ORD-15949"/>
        <s v="ORD-15950"/>
        <s v="ORD-15951"/>
        <s v="ORD-15952"/>
        <s v="ORD-15953"/>
        <s v="ORD-15954"/>
        <s v="ORD-15955"/>
        <s v="ORD-15956"/>
        <s v="ORD-15957"/>
        <s v="ORD-15958"/>
        <s v="ORD-15959"/>
        <s v="ORD-15960"/>
        <s v="ORD-15961"/>
        <s v="ORD-15962"/>
        <s v="ORD-15963"/>
        <s v="ORD-15964"/>
        <s v="ORD-15965"/>
        <s v="ORD-15966"/>
        <s v="ORD-15967"/>
        <s v="ORD-15968"/>
        <s v="ORD-15969"/>
        <s v="ORD-15970"/>
        <s v="ORD-15971"/>
        <s v="ORD-15972"/>
        <s v="ORD-15973"/>
        <s v="ORD-15974"/>
        <s v="ORD-15975"/>
        <s v="ORD-15976"/>
        <s v="ORD-15977"/>
        <s v="ORD-15978"/>
        <s v="ORD-15979"/>
        <s v="ORD-15980"/>
        <s v="ORD-15981"/>
        <s v="ORD-15982"/>
        <s v="ORD-15983"/>
        <s v="ORD-15984"/>
        <s v="ORD-15985"/>
        <s v="ORD-15986"/>
        <s v="ORD-15987"/>
        <s v="ORD-15988"/>
        <s v="ORD-15989"/>
        <s v="ORD-15990"/>
        <s v="ORD-15991"/>
        <s v="ORD-15992"/>
        <s v="ORD-15993"/>
        <s v="ORD-15994"/>
        <s v="ORD-15995"/>
        <s v="ORD-15996"/>
        <s v="ORD-15997"/>
        <s v="ORD-15998"/>
        <s v="ORD-15999"/>
        <s v="ORD-16000"/>
        <s v="ORD-16001"/>
        <s v="ORD-16002"/>
        <s v="ORD-16003"/>
        <s v="ORD-16004"/>
        <s v="ORD-16005"/>
        <s v="ORD-16006"/>
        <s v="ORD-16007"/>
        <s v="ORD-16008"/>
        <s v="ORD-16009"/>
        <s v="ORD-16010"/>
        <s v="ORD-16011"/>
        <s v="ORD-16012"/>
        <s v="ORD-16013"/>
        <s v="ORD-16014"/>
        <s v="ORD-16015"/>
        <s v="ORD-16016"/>
        <s v="ORD-16017"/>
        <s v="ORD-16018"/>
        <s v="ORD-16019"/>
        <s v="ORD-16020"/>
        <s v="ORD-16021"/>
        <s v="ORD-16022"/>
        <s v="ORD-16023"/>
        <s v="ORD-16024"/>
        <s v="ORD-16025"/>
        <s v="ORD-16026"/>
        <s v="ORD-16027"/>
        <s v="ORD-16028"/>
        <s v="ORD-16029"/>
        <s v="ORD-16030"/>
        <s v="ORD-16031"/>
        <s v="ORD-16032"/>
        <s v="ORD-16033"/>
        <s v="ORD-16034"/>
        <s v="ORD-16035"/>
        <s v="ORD-16036"/>
        <s v="ORD-16037"/>
        <s v="ORD-16038"/>
        <s v="ORD-16039"/>
        <s v="ORD-16040"/>
        <s v="ORD-16041"/>
        <s v="ORD-16042"/>
        <s v="ORD-16043"/>
        <s v="ORD-16044"/>
        <s v="ORD-16045"/>
        <s v="ORD-16046"/>
        <s v="ORD-16047"/>
        <s v="ORD-16048"/>
        <s v="ORD-16049"/>
        <s v="ORD-16050"/>
        <s v="ORD-16051"/>
        <s v="ORD-16052"/>
        <s v="ORD-16053"/>
        <s v="ORD-16054"/>
        <s v="ORD-16055"/>
        <s v="ORD-16056"/>
        <s v="ORD-16057"/>
        <s v="ORD-16058"/>
        <s v="ORD-16059"/>
        <s v="ORD-16060"/>
        <s v="ORD-16061"/>
        <s v="ORD-16062"/>
        <s v="ORD-16063"/>
        <s v="ORD-16064"/>
        <s v="ORD-16065"/>
        <s v="ORD-16066"/>
        <s v="ORD-16067"/>
        <s v="ORD-16068"/>
        <s v="ORD-16069"/>
        <s v="ORD-16070"/>
        <s v="ORD-16071"/>
        <s v="ORD-16072"/>
        <s v="ORD-16073"/>
        <s v="ORD-16074"/>
        <s v="ORD-16075"/>
        <s v="ORD-16076"/>
        <s v="ORD-16077"/>
        <s v="ORD-16078"/>
        <s v="ORD-16079"/>
        <s v="ORD-16080"/>
        <s v="ORD-16081"/>
        <s v="ORD-16082"/>
        <s v="ORD-16083"/>
        <s v="ORD-16084"/>
        <s v="ORD-16085"/>
        <s v="ORD-16086"/>
        <s v="ORD-16087"/>
        <s v="ORD-16088"/>
        <s v="ORD-16089"/>
        <s v="ORD-16090"/>
        <s v="ORD-16091"/>
        <s v="ORD-16092"/>
        <s v="ORD-16093"/>
        <s v="ORD-16094"/>
        <s v="ORD-16095"/>
        <s v="ORD-16096"/>
        <s v="ORD-16097"/>
        <s v="ORD-16098"/>
        <s v="ORD-16099"/>
        <s v="ORD-16100"/>
        <s v="ORD-16101"/>
        <s v="ORD-16102"/>
        <s v="ORD-16103"/>
        <s v="ORD-16104"/>
        <s v="ORD-16105"/>
        <s v="ORD-16106"/>
        <s v="ORD-16107"/>
        <s v="ORD-16108"/>
        <s v="ORD-16109"/>
        <s v="ORD-16110"/>
        <s v="ORD-16111"/>
        <s v="ORD-16112"/>
        <s v="ORD-16113"/>
        <s v="ORD-16114"/>
        <s v="ORD-16115"/>
        <s v="ORD-16116"/>
        <s v="ORD-16117"/>
        <s v="ORD-16118"/>
        <s v="ORD-16119"/>
        <s v="ORD-16120"/>
        <s v="ORD-16121"/>
        <s v="ORD-16122"/>
        <s v="ORD-16123"/>
        <s v="ORD-16124"/>
        <s v="ORD-16125"/>
        <s v="ORD-16126"/>
        <s v="ORD-16127"/>
        <s v="ORD-16128"/>
        <s v="ORD-16129"/>
        <s v="ORD-16130"/>
        <s v="ORD-16131"/>
        <s v="ORD-16132"/>
        <s v="ORD-16133"/>
        <s v="ORD-16134"/>
        <s v="ORD-16135"/>
        <s v="ORD-16136"/>
        <s v="ORD-16137"/>
        <s v="ORD-16138"/>
        <s v="ORD-16139"/>
        <s v="ORD-16140"/>
        <s v="ORD-16141"/>
        <s v="ORD-16142"/>
        <s v="ORD-16143"/>
        <s v="ORD-16144"/>
        <s v="ORD-16145"/>
        <s v="ORD-16146"/>
        <s v="ORD-16147"/>
        <s v="ORD-16148"/>
        <s v="ORD-16149"/>
        <s v="ORD-16150"/>
        <s v="ORD-16151"/>
        <s v="ORD-16152"/>
        <s v="ORD-16153"/>
        <s v="ORD-16154"/>
        <s v="ORD-16155"/>
        <s v="ORD-16156"/>
        <s v="ORD-16157"/>
        <s v="ORD-16158"/>
        <s v="ORD-16159"/>
        <s v="ORD-16160"/>
        <s v="ORD-16161"/>
        <s v="ORD-16162"/>
        <s v="ORD-16163"/>
        <s v="ORD-16164"/>
        <s v="ORD-16165"/>
        <s v="ORD-16166"/>
        <s v="ORD-16167"/>
        <s v="ORD-16168"/>
        <s v="ORD-16169"/>
        <s v="ORD-16170"/>
        <s v="ORD-16171"/>
        <s v="ORD-16172"/>
        <s v="ORD-16173"/>
        <s v="ORD-16174"/>
        <s v="ORD-16175"/>
        <s v="ORD-16176"/>
        <s v="ORD-16177"/>
        <s v="ORD-16178"/>
        <s v="ORD-16179"/>
        <s v="ORD-16180"/>
        <s v="ORD-16181"/>
        <s v="ORD-16182"/>
        <s v="ORD-16183"/>
        <s v="ORD-16184"/>
        <s v="ORD-16185"/>
        <s v="ORD-16186"/>
        <s v="ORD-16187"/>
        <s v="ORD-16188"/>
        <s v="ORD-16189"/>
        <s v="ORD-16190"/>
        <s v="ORD-16191"/>
        <s v="ORD-16192"/>
        <s v="ORD-16193"/>
        <s v="ORD-16194"/>
        <s v="ORD-16195"/>
        <s v="ORD-16196"/>
        <s v="ORD-16197"/>
        <s v="ORD-16198"/>
        <s v="ORD-16199"/>
        <s v="ORD-16200"/>
        <s v="ORD-16201"/>
        <s v="ORD-16202"/>
        <s v="ORD-16203"/>
        <s v="ORD-16204"/>
        <s v="ORD-16205"/>
        <s v="ORD-16206"/>
        <s v="ORD-16207"/>
        <s v="ORD-16208"/>
        <s v="ORD-16209"/>
        <s v="ORD-16210"/>
        <s v="ORD-16211"/>
        <s v="ORD-16212"/>
        <s v="ORD-16213"/>
        <s v="ORD-16214"/>
        <s v="ORD-16215"/>
        <s v="ORD-16216"/>
        <s v="ORD-16217"/>
        <s v="ORD-16218"/>
        <s v="ORD-16219"/>
        <s v="ORD-16220"/>
        <s v="ORD-16221"/>
        <s v="ORD-16222"/>
        <s v="ORD-16223"/>
        <s v="ORD-16224"/>
        <s v="ORD-16225"/>
        <s v="ORD-16226"/>
        <s v="ORD-16227"/>
        <s v="ORD-16228"/>
        <s v="ORD-16229"/>
        <s v="ORD-16230"/>
        <s v="ORD-16231"/>
        <s v="ORD-16232"/>
        <s v="ORD-16233"/>
        <s v="ORD-16234"/>
        <s v="ORD-16235"/>
        <s v="ORD-16236"/>
        <s v="ORD-16237"/>
        <s v="ORD-16238"/>
        <s v="ORD-16239"/>
        <s v="ORD-16240"/>
        <s v="ORD-16241"/>
        <s v="ORD-16242"/>
        <s v="ORD-16243"/>
        <s v="ORD-16244"/>
        <s v="ORD-16245"/>
        <s v="ORD-16246"/>
        <s v="ORD-16247"/>
        <s v="ORD-16248"/>
        <s v="ORD-16249"/>
        <s v="ORD-16250"/>
        <s v="ORD-16251"/>
        <s v="ORD-16252"/>
        <s v="ORD-16253"/>
        <s v="ORD-16254"/>
        <s v="ORD-16255"/>
        <s v="ORD-16256"/>
        <s v="ORD-16257"/>
        <s v="ORD-16258"/>
        <s v="ORD-16259"/>
        <s v="ORD-16260"/>
        <s v="ORD-16261"/>
        <s v="ORD-16262"/>
        <s v="ORD-16263"/>
        <s v="ORD-16264"/>
        <s v="ORD-16265"/>
        <s v="ORD-16266"/>
        <s v="ORD-16267"/>
        <s v="ORD-16268"/>
        <s v="ORD-16269"/>
        <s v="ORD-16270"/>
        <s v="ORD-16271"/>
        <s v="ORD-16272"/>
        <s v="ORD-16273"/>
        <s v="ORD-16274"/>
        <s v="ORD-16275"/>
        <s v="ORD-16276"/>
        <s v="ORD-16277"/>
        <s v="ORD-16278"/>
        <s v="ORD-16279"/>
        <s v="ORD-16280"/>
        <s v="ORD-16281"/>
        <s v="ORD-16282"/>
        <s v="ORD-16283"/>
        <s v="ORD-16284"/>
        <s v="ORD-16285"/>
        <s v="ORD-16286"/>
        <s v="ORD-16287"/>
        <s v="ORD-16288"/>
        <s v="ORD-16289"/>
        <s v="ORD-16290"/>
        <s v="ORD-16291"/>
        <s v="ORD-16292"/>
        <s v="ORD-16293"/>
        <s v="ORD-16294"/>
        <s v="ORD-16295"/>
        <s v="ORD-16296"/>
        <s v="ORD-16297"/>
        <s v="ORD-16298"/>
        <s v="ORD-16299"/>
        <s v="ORD-16300"/>
        <s v="ORD-16301"/>
        <s v="ORD-16302"/>
        <s v="ORD-16303"/>
        <s v="ORD-16304"/>
        <s v="ORD-16305"/>
        <s v="ORD-16306"/>
        <s v="ORD-16307"/>
        <s v="ORD-16308"/>
        <s v="ORD-16309"/>
        <s v="ORD-16310"/>
        <s v="ORD-16311"/>
        <s v="ORD-16312"/>
        <s v="ORD-16313"/>
        <s v="ORD-16314"/>
        <s v="ORD-16315"/>
        <s v="ORD-16316"/>
        <s v="ORD-16317"/>
        <s v="ORD-16318"/>
        <s v="ORD-16319"/>
        <s v="ORD-16320"/>
        <s v="ORD-16321"/>
        <s v="ORD-16322"/>
        <s v="ORD-16323"/>
        <s v="ORD-16324"/>
        <s v="ORD-16325"/>
        <s v="ORD-16326"/>
        <s v="ORD-16327"/>
        <s v="ORD-16328"/>
        <s v="ORD-16329"/>
        <s v="ORD-16330"/>
        <s v="ORD-16331"/>
        <s v="ORD-16332"/>
        <s v="ORD-16333"/>
        <s v="ORD-16334"/>
        <s v="ORD-16335"/>
        <s v="ORD-16336"/>
        <s v="ORD-16337"/>
        <s v="ORD-16338"/>
        <s v="ORD-16339"/>
        <s v="ORD-16340"/>
        <s v="ORD-16341"/>
        <s v="ORD-16342"/>
        <s v="ORD-16343"/>
        <s v="ORD-16344"/>
        <s v="ORD-16345"/>
        <s v="ORD-16346"/>
        <s v="ORD-16347"/>
        <s v="ORD-16348"/>
        <s v="ORD-16349"/>
        <s v="ORD-16350"/>
        <s v="ORD-16351"/>
        <s v="ORD-16352"/>
        <s v="ORD-16353"/>
        <s v="ORD-16354"/>
        <s v="ORD-16355"/>
        <s v="ORD-16356"/>
        <s v="ORD-16357"/>
        <s v="ORD-16358"/>
        <s v="ORD-16359"/>
        <s v="ORD-16360"/>
        <s v="ORD-16361"/>
        <s v="ORD-16362"/>
        <s v="ORD-16363"/>
        <s v="ORD-16364"/>
        <s v="ORD-16365"/>
        <s v="ORD-16366"/>
        <s v="ORD-16367"/>
        <s v="ORD-16368"/>
        <s v="ORD-16369"/>
        <s v="ORD-16370"/>
        <s v="ORD-16371"/>
        <s v="ORD-16372"/>
        <s v="ORD-16373"/>
        <s v="ORD-16374"/>
        <s v="ORD-16375"/>
        <s v="ORD-16376"/>
        <s v="ORD-16377"/>
        <s v="ORD-16378"/>
        <s v="ORD-16379"/>
        <s v="ORD-16380"/>
        <s v="ORD-16381"/>
        <s v="ORD-16382"/>
        <s v="ORD-16383"/>
        <s v="ORD-16384"/>
        <s v="ORD-16385"/>
        <s v="ORD-16386"/>
        <s v="ORD-16387"/>
        <s v="ORD-16388"/>
        <s v="ORD-16389"/>
        <s v="ORD-16390"/>
        <s v="ORD-16391"/>
        <s v="ORD-16392"/>
        <s v="ORD-16393"/>
        <s v="ORD-16394"/>
        <s v="ORD-16395"/>
        <s v="ORD-16396"/>
        <s v="ORD-16397"/>
        <s v="ORD-16398"/>
        <s v="ORD-16399"/>
        <s v="ORD-16400"/>
        <s v="ORD-16401"/>
        <s v="ORD-16402"/>
        <s v="ORD-16403"/>
        <s v="ORD-16404"/>
        <s v="ORD-16405"/>
        <s v="ORD-16406"/>
        <s v="ORD-16407"/>
        <s v="ORD-16408"/>
        <s v="ORD-16409"/>
        <s v="ORD-16410"/>
        <s v="ORD-16411"/>
        <s v="ORD-16412"/>
        <s v="ORD-16413"/>
        <s v="ORD-16414"/>
        <s v="ORD-16415"/>
        <s v="ORD-16416"/>
        <s v="ORD-16417"/>
        <s v="ORD-16418"/>
        <s v="ORD-16419"/>
        <s v="ORD-16420"/>
        <s v="ORD-16421"/>
        <s v="ORD-16422"/>
        <s v="ORD-16423"/>
        <s v="ORD-16424"/>
        <s v="ORD-16425"/>
        <s v="ORD-16426"/>
        <s v="ORD-16427"/>
        <s v="ORD-16428"/>
        <s v="ORD-16429"/>
        <s v="ORD-16430"/>
        <s v="ORD-16431"/>
        <s v="ORD-16432"/>
        <s v="ORD-16433"/>
        <s v="ORD-16434"/>
        <s v="ORD-16435"/>
        <s v="ORD-16436"/>
        <s v="ORD-16437"/>
        <s v="ORD-16438"/>
        <s v="ORD-16439"/>
        <s v="ORD-16440"/>
        <s v="ORD-16441"/>
        <s v="ORD-16442"/>
        <s v="ORD-16443"/>
        <s v="ORD-16444"/>
        <s v="ORD-16445"/>
        <s v="ORD-16446"/>
        <s v="ORD-16447"/>
        <s v="ORD-16448"/>
        <s v="ORD-16449"/>
        <s v="ORD-16450"/>
        <s v="ORD-16451"/>
        <s v="ORD-16452"/>
        <s v="ORD-16453"/>
        <s v="ORD-16454"/>
        <s v="ORD-16455"/>
        <s v="ORD-16456"/>
        <s v="ORD-16457"/>
        <s v="ORD-16458"/>
        <s v="ORD-16459"/>
        <s v="ORD-16460"/>
        <s v="ORD-16461"/>
        <s v="ORD-16462"/>
        <s v="ORD-16463"/>
        <s v="ORD-16464"/>
        <s v="ORD-16465"/>
        <s v="ORD-16466"/>
        <s v="ORD-16467"/>
        <s v="ORD-16468"/>
        <s v="ORD-16469"/>
        <s v="ORD-16470"/>
        <s v="ORD-16471"/>
        <s v="ORD-16472"/>
        <s v="ORD-16473"/>
        <s v="ORD-16474"/>
        <s v="ORD-16475"/>
        <s v="ORD-16476"/>
        <s v="ORD-16477"/>
        <s v="ORD-16478"/>
        <s v="ORD-16479"/>
        <s v="ORD-16480"/>
        <s v="ORD-16481"/>
        <s v="ORD-16482"/>
        <s v="ORD-16483"/>
        <s v="ORD-16484"/>
        <s v="ORD-16485"/>
        <s v="ORD-16486"/>
        <s v="ORD-16487"/>
        <s v="ORD-16488"/>
        <s v="ORD-16489"/>
        <s v="ORD-16490"/>
        <s v="ORD-16491"/>
        <s v="ORD-16492"/>
        <s v="ORD-16493"/>
        <s v="ORD-16494"/>
        <s v="ORD-16495"/>
        <s v="ORD-16496"/>
        <s v="ORD-16497"/>
        <s v="ORD-16498"/>
        <s v="ORD-16499"/>
        <s v="ORD-16500"/>
        <s v="ORD-16501"/>
        <s v="ORD-16502"/>
        <s v="ORD-16503"/>
        <s v="ORD-16504"/>
        <s v="ORD-16505"/>
        <s v="ORD-16506"/>
        <s v="ORD-16507"/>
        <s v="ORD-16508"/>
        <s v="ORD-16509"/>
        <s v="ORD-16510"/>
        <s v="ORD-16511"/>
        <s v="ORD-16512"/>
        <s v="ORD-16513"/>
        <s v="ORD-16514"/>
        <s v="ORD-16515"/>
        <s v="ORD-16516"/>
        <s v="ORD-16517"/>
        <s v="ORD-16518"/>
        <s v="ORD-16519"/>
        <s v="ORD-16520"/>
        <s v="ORD-16521"/>
        <s v="ORD-16522"/>
        <s v="ORD-16523"/>
        <s v="ORD-16524"/>
        <s v="ORD-16525"/>
        <s v="ORD-16526"/>
        <s v="ORD-16527"/>
        <s v="ORD-16528"/>
        <s v="ORD-16529"/>
        <s v="ORD-16530"/>
        <s v="ORD-16531"/>
        <s v="ORD-16532"/>
        <s v="ORD-16533"/>
        <s v="ORD-16534"/>
        <s v="ORD-16535"/>
        <s v="ORD-16536"/>
        <s v="ORD-16537"/>
        <s v="ORD-16538"/>
        <s v="ORD-16539"/>
        <s v="ORD-16540"/>
        <s v="ORD-16541"/>
        <s v="ORD-16542"/>
        <s v="ORD-16543"/>
        <s v="ORD-16544"/>
        <s v="ORD-16545"/>
        <s v="ORD-16546"/>
        <s v="ORD-16547"/>
        <s v="ORD-16548"/>
        <s v="ORD-16549"/>
        <s v="ORD-16550"/>
        <s v="ORD-16551"/>
        <s v="ORD-16552"/>
        <s v="ORD-16553"/>
        <s v="ORD-16554"/>
        <s v="ORD-16555"/>
        <s v="ORD-16556"/>
        <s v="ORD-16557"/>
        <s v="ORD-16558"/>
        <s v="ORD-16559"/>
        <s v="ORD-16560"/>
        <s v="ORD-16561"/>
        <s v="ORD-16562"/>
        <s v="ORD-16563"/>
        <s v="ORD-16564"/>
        <s v="ORD-16565"/>
        <s v="ORD-16566"/>
        <s v="ORD-16567"/>
        <s v="ORD-16568"/>
        <s v="ORD-16569"/>
        <s v="ORD-16570"/>
        <s v="ORD-16571"/>
        <s v="ORD-16572"/>
        <s v="ORD-16573"/>
        <s v="ORD-16574"/>
        <s v="ORD-16575"/>
        <s v="ORD-16576"/>
        <s v="ORD-16577"/>
        <s v="ORD-16578"/>
        <s v="ORD-16579"/>
        <s v="ORD-16580"/>
        <s v="ORD-16581"/>
        <s v="ORD-16582"/>
        <s v="ORD-16583"/>
        <s v="ORD-16584"/>
        <s v="ORD-16585"/>
        <s v="ORD-16586"/>
        <s v="ORD-16587"/>
        <s v="ORD-16588"/>
        <s v="ORD-16589"/>
        <s v="ORD-16590"/>
        <s v="ORD-16591"/>
        <s v="ORD-16592"/>
        <s v="ORD-16593"/>
        <s v="ORD-16594"/>
        <s v="ORD-16595"/>
        <s v="ORD-16596"/>
        <s v="ORD-16597"/>
        <s v="ORD-16598"/>
        <s v="ORD-16599"/>
        <s v="ORD-16600"/>
        <s v="ORD-16601"/>
        <s v="ORD-16602"/>
        <s v="ORD-16603"/>
        <s v="ORD-16604"/>
        <s v="ORD-16605"/>
        <s v="ORD-16606"/>
        <s v="ORD-16607"/>
        <s v="ORD-16608"/>
        <s v="ORD-16609"/>
        <s v="ORD-16610"/>
        <s v="ORD-16611"/>
        <s v="ORD-16612"/>
        <s v="ORD-16613"/>
        <s v="ORD-16614"/>
        <s v="ORD-16615"/>
        <s v="ORD-16616"/>
        <s v="ORD-16617"/>
        <s v="ORD-16618"/>
        <s v="ORD-16619"/>
        <s v="ORD-16620"/>
        <s v="ORD-16621"/>
        <s v="ORD-16622"/>
        <s v="ORD-16623"/>
        <s v="ORD-16624"/>
        <s v="ORD-16625"/>
        <s v="ORD-16626"/>
        <s v="ORD-16627"/>
        <s v="ORD-16628"/>
        <s v="ORD-16629"/>
        <s v="ORD-16630"/>
        <s v="ORD-16631"/>
        <s v="ORD-16632"/>
        <s v="ORD-16633"/>
        <s v="ORD-16634"/>
        <s v="ORD-16635"/>
        <s v="ORD-16636"/>
        <s v="ORD-16637"/>
        <s v="ORD-16638"/>
        <s v="ORD-16639"/>
        <s v="ORD-16640"/>
        <s v="ORD-16641"/>
        <s v="ORD-16642"/>
        <s v="ORD-16643"/>
        <s v="ORD-16644"/>
        <s v="ORD-16645"/>
        <s v="ORD-16646"/>
        <s v="ORD-16647"/>
        <s v="ORD-16648"/>
        <s v="ORD-16649"/>
        <s v="ORD-16650"/>
        <s v="ORD-16651"/>
        <s v="ORD-16652"/>
        <s v="ORD-16653"/>
        <s v="ORD-16654"/>
        <s v="ORD-16655"/>
        <s v="ORD-16656"/>
        <s v="ORD-16657"/>
        <s v="ORD-16658"/>
        <s v="ORD-16659"/>
        <s v="ORD-16660"/>
        <s v="ORD-16661"/>
        <s v="ORD-16662"/>
        <s v="ORD-16663"/>
        <s v="ORD-16664"/>
        <s v="ORD-16665"/>
        <s v="ORD-16666"/>
        <s v="ORD-16667"/>
        <s v="ORD-16668"/>
        <s v="ORD-16669"/>
        <s v="ORD-16670"/>
        <s v="ORD-16671"/>
        <s v="ORD-16672"/>
        <s v="ORD-16673"/>
        <s v="ORD-16674"/>
        <s v="ORD-16675"/>
        <s v="ORD-16676"/>
        <s v="ORD-16677"/>
        <s v="ORD-16678"/>
        <s v="ORD-16679"/>
        <s v="ORD-16680"/>
        <s v="ORD-16681"/>
        <s v="ORD-16682"/>
        <s v="ORD-16683"/>
        <s v="ORD-16684"/>
        <s v="ORD-16685"/>
        <s v="ORD-16686"/>
        <s v="ORD-16687"/>
        <s v="ORD-16688"/>
        <s v="ORD-16689"/>
        <s v="ORD-16690"/>
        <s v="ORD-16691"/>
        <s v="ORD-16692"/>
        <s v="ORD-16693"/>
        <s v="ORD-16694"/>
        <s v="ORD-16695"/>
        <s v="ORD-16696"/>
        <s v="ORD-16697"/>
        <s v="ORD-16698"/>
        <s v="ORD-16699"/>
        <s v="ORD-16700"/>
        <s v="ORD-16701"/>
        <s v="ORD-16702"/>
        <s v="ORD-16703"/>
        <s v="ORD-16704"/>
        <s v="ORD-16705"/>
        <s v="ORD-16706"/>
        <s v="ORD-16707"/>
        <s v="ORD-16708"/>
        <s v="ORD-16709"/>
        <s v="ORD-16710"/>
        <s v="ORD-16711"/>
        <s v="ORD-16712"/>
        <s v="ORD-16713"/>
        <s v="ORD-16714"/>
        <s v="ORD-16715"/>
        <s v="ORD-16716"/>
        <s v="ORD-16717"/>
        <s v="ORD-16718"/>
        <s v="ORD-16719"/>
        <s v="ORD-16720"/>
        <s v="ORD-16721"/>
        <s v="ORD-16722"/>
        <s v="ORD-16723"/>
        <s v="ORD-16724"/>
        <s v="ORD-16725"/>
        <s v="ORD-16726"/>
        <s v="ORD-16727"/>
        <s v="ORD-16728"/>
        <s v="ORD-16729"/>
        <s v="ORD-16730"/>
        <s v="ORD-16731"/>
        <s v="ORD-16732"/>
        <s v="ORD-16733"/>
        <s v="ORD-16734"/>
        <s v="ORD-16735"/>
        <s v="ORD-16736"/>
        <s v="ORD-16737"/>
        <s v="ORD-16738"/>
        <s v="ORD-16739"/>
        <s v="ORD-16740"/>
        <s v="ORD-16741"/>
        <s v="ORD-16742"/>
        <s v="ORD-16743"/>
        <s v="ORD-16744"/>
        <s v="ORD-16745"/>
        <s v="ORD-16746"/>
        <s v="ORD-16747"/>
        <s v="ORD-16748"/>
        <s v="ORD-16749"/>
        <s v="ORD-16750"/>
        <s v="ORD-16751"/>
        <s v="ORD-16752"/>
        <s v="ORD-16753"/>
        <s v="ORD-16754"/>
        <s v="ORD-16755"/>
        <s v="ORD-16756"/>
        <s v="ORD-16757"/>
        <s v="ORD-16758"/>
        <s v="ORD-16759"/>
        <s v="ORD-16760"/>
        <s v="ORD-16761"/>
        <s v="ORD-16762"/>
        <s v="ORD-16763"/>
        <s v="ORD-16764"/>
        <s v="ORD-16765"/>
        <s v="ORD-16766"/>
        <s v="ORD-16767"/>
        <s v="ORD-16768"/>
        <s v="ORD-16769"/>
        <s v="ORD-16770"/>
        <s v="ORD-16771"/>
        <s v="ORD-16772"/>
        <s v="ORD-16773"/>
        <s v="ORD-16774"/>
        <s v="ORD-16775"/>
        <s v="ORD-16776"/>
        <s v="ORD-16777"/>
        <s v="ORD-16778"/>
        <s v="ORD-16779"/>
        <s v="ORD-16780"/>
        <s v="ORD-16781"/>
        <s v="ORD-16782"/>
        <s v="ORD-16783"/>
        <s v="ORD-16784"/>
        <s v="ORD-16785"/>
        <s v="ORD-16786"/>
        <s v="ORD-16787"/>
        <s v="ORD-16788"/>
        <s v="ORD-16789"/>
        <s v="ORD-16790"/>
        <s v="ORD-16791"/>
        <s v="ORD-16792"/>
        <s v="ORD-16793"/>
        <s v="ORD-16794"/>
        <s v="ORD-16795"/>
        <s v="ORD-16796"/>
        <s v="ORD-16797"/>
        <s v="ORD-16798"/>
        <s v="ORD-16799"/>
        <s v="ORD-16800"/>
        <s v="ORD-16801"/>
        <s v="ORD-16802"/>
        <s v="ORD-16803"/>
        <s v="ORD-16804"/>
        <s v="ORD-16805"/>
        <s v="ORD-16806"/>
        <s v="ORD-16807"/>
        <s v="ORD-16808"/>
        <s v="ORD-16809"/>
        <s v="ORD-16810"/>
        <s v="ORD-16811"/>
        <s v="ORD-16812"/>
        <s v="ORD-16813"/>
        <s v="ORD-16814"/>
        <s v="ORD-16815"/>
        <s v="ORD-16816"/>
        <s v="ORD-16817"/>
        <s v="ORD-16818"/>
        <s v="ORD-16819"/>
        <s v="ORD-16820"/>
        <s v="ORD-16821"/>
        <s v="ORD-16822"/>
        <s v="ORD-16823"/>
        <s v="ORD-16824"/>
        <s v="ORD-16825"/>
        <s v="ORD-16826"/>
        <s v="ORD-16827"/>
        <s v="ORD-16828"/>
        <s v="ORD-16829"/>
        <s v="ORD-16830"/>
        <s v="ORD-16831"/>
        <s v="ORD-16832"/>
        <s v="ORD-16833"/>
        <s v="ORD-16834"/>
        <s v="ORD-16835"/>
        <s v="ORD-16836"/>
        <s v="ORD-16837"/>
        <s v="ORD-16838"/>
        <s v="ORD-16839"/>
        <s v="ORD-16840"/>
        <s v="ORD-16841"/>
        <s v="ORD-16842"/>
        <s v="ORD-16843"/>
        <s v="ORD-16844"/>
        <s v="ORD-16845"/>
        <s v="ORD-16846"/>
        <s v="ORD-16847"/>
        <s v="ORD-16848"/>
        <s v="ORD-16849"/>
        <s v="ORD-16850"/>
        <s v="ORD-16851"/>
        <s v="ORD-16852"/>
        <s v="ORD-16853"/>
        <s v="ORD-16854"/>
        <s v="ORD-16855"/>
        <s v="ORD-16856"/>
        <s v="ORD-16857"/>
        <s v="ORD-16858"/>
        <s v="ORD-16859"/>
        <s v="ORD-16860"/>
        <s v="ORD-16861"/>
        <s v="ORD-16862"/>
        <s v="ORD-16863"/>
        <s v="ORD-16864"/>
        <s v="ORD-16865"/>
        <s v="ORD-16866"/>
        <s v="ORD-16867"/>
        <s v="ORD-16868"/>
        <s v="ORD-16869"/>
        <s v="ORD-16870"/>
        <s v="ORD-16871"/>
        <s v="ORD-16872"/>
        <s v="ORD-16873"/>
        <s v="ORD-16874"/>
        <s v="ORD-16875"/>
        <s v="ORD-16876"/>
        <s v="ORD-16877"/>
        <s v="ORD-16878"/>
        <s v="ORD-16879"/>
        <s v="ORD-16880"/>
        <s v="ORD-16881"/>
        <s v="ORD-16882"/>
        <s v="ORD-16883"/>
        <s v="ORD-16884"/>
        <s v="ORD-16885"/>
        <s v="ORD-16886"/>
        <s v="ORD-16887"/>
        <s v="ORD-16888"/>
        <s v="ORD-16889"/>
        <s v="ORD-16890"/>
        <s v="ORD-16891"/>
        <s v="ORD-16892"/>
        <s v="ORD-16893"/>
        <s v="ORD-16894"/>
        <s v="ORD-16895"/>
        <s v="ORD-16896"/>
        <s v="ORD-16897"/>
        <s v="ORD-16898"/>
        <s v="ORD-16899"/>
        <s v="ORD-16900"/>
        <s v="ORD-16901"/>
        <s v="ORD-16902"/>
        <s v="ORD-16903"/>
        <s v="ORD-16904"/>
        <s v="ORD-16905"/>
        <s v="ORD-16906"/>
        <s v="ORD-16907"/>
        <s v="ORD-16908"/>
        <s v="ORD-16909"/>
        <s v="ORD-16910"/>
        <s v="ORD-16911"/>
        <s v="ORD-16912"/>
        <s v="ORD-16913"/>
        <s v="ORD-16914"/>
        <s v="ORD-16915"/>
        <s v="ORD-16916"/>
        <s v="ORD-16917"/>
        <s v="ORD-16918"/>
        <s v="ORD-16919"/>
        <s v="ORD-16920"/>
        <s v="ORD-16921"/>
        <s v="ORD-16922"/>
        <s v="ORD-16923"/>
        <s v="ORD-16924"/>
        <s v="ORD-16925"/>
        <s v="ORD-16926"/>
        <s v="ORD-16927"/>
        <s v="ORD-16928"/>
        <s v="ORD-16929"/>
        <s v="ORD-16930"/>
        <s v="ORD-16931"/>
        <s v="ORD-16932"/>
        <s v="ORD-16933"/>
        <s v="ORD-16934"/>
        <s v="ORD-16935"/>
        <s v="ORD-16936"/>
        <s v="ORD-16937"/>
        <s v="ORD-16938"/>
        <s v="ORD-16939"/>
        <s v="ORD-16940"/>
        <s v="ORD-16941"/>
        <s v="ORD-16942"/>
        <s v="ORD-16943"/>
        <s v="ORD-16944"/>
        <s v="ORD-16945"/>
        <s v="ORD-16946"/>
        <s v="ORD-16947"/>
        <s v="ORD-16948"/>
        <s v="ORD-16949"/>
        <s v="ORD-16950"/>
        <s v="ORD-16951"/>
        <s v="ORD-16952"/>
        <s v="ORD-16953"/>
        <s v="ORD-16954"/>
        <s v="ORD-16955"/>
        <s v="ORD-16956"/>
        <s v="ORD-16957"/>
        <s v="ORD-16958"/>
        <s v="ORD-16959"/>
        <s v="ORD-16960"/>
        <s v="ORD-16961"/>
        <s v="ORD-16962"/>
        <s v="ORD-16963"/>
        <s v="ORD-16964"/>
        <s v="ORD-16965"/>
        <s v="ORD-16966"/>
        <s v="ORD-16967"/>
        <s v="ORD-16968"/>
        <s v="ORD-16969"/>
        <s v="ORD-16970"/>
        <s v="ORD-16971"/>
        <s v="ORD-16972"/>
        <s v="ORD-16973"/>
        <s v="ORD-16974"/>
        <s v="ORD-16975"/>
        <s v="ORD-16976"/>
        <s v="ORD-16977"/>
        <s v="ORD-16978"/>
        <s v="ORD-16979"/>
        <s v="ORD-16980"/>
        <s v="ORD-16981"/>
        <s v="ORD-16982"/>
        <s v="ORD-16983"/>
        <s v="ORD-16984"/>
        <s v="ORD-16985"/>
        <s v="ORD-16986"/>
        <s v="ORD-16987"/>
        <s v="ORD-16988"/>
        <s v="ORD-16989"/>
        <s v="ORD-16990"/>
        <s v="ORD-16991"/>
        <s v="ORD-16992"/>
        <s v="ORD-16993"/>
        <s v="ORD-16994"/>
        <s v="ORD-16995"/>
        <s v="ORD-16996"/>
        <s v="ORD-16997"/>
        <s v="ORD-16998"/>
        <s v="ORD-16999"/>
        <s v="ORD-17000"/>
        <s v="ORD-17001"/>
        <s v="ORD-17002"/>
        <s v="ORD-17003"/>
        <s v="ORD-17004"/>
        <s v="ORD-17005"/>
        <s v="ORD-17006"/>
        <s v="ORD-17007"/>
        <s v="ORD-17008"/>
        <s v="ORD-17009"/>
        <s v="ORD-17010"/>
        <s v="ORD-17011"/>
        <s v="ORD-17012"/>
        <s v="ORD-17013"/>
        <s v="ORD-17014"/>
        <s v="ORD-17015"/>
        <s v="ORD-17016"/>
        <s v="ORD-17017"/>
        <s v="ORD-17018"/>
        <s v="ORD-17019"/>
        <s v="ORD-17020"/>
        <s v="ORD-17021"/>
        <s v="ORD-17022"/>
        <s v="ORD-17023"/>
        <s v="ORD-17024"/>
        <s v="ORD-17025"/>
        <s v="ORD-17026"/>
        <s v="ORD-17027"/>
        <s v="ORD-17028"/>
        <s v="ORD-17029"/>
        <s v="ORD-17030"/>
        <s v="ORD-17031"/>
        <s v="ORD-17032"/>
        <s v="ORD-17033"/>
        <s v="ORD-17034"/>
        <s v="ORD-17035"/>
        <s v="ORD-17036"/>
        <s v="ORD-17037"/>
        <s v="ORD-17038"/>
        <s v="ORD-17039"/>
        <s v="ORD-17040"/>
        <s v="ORD-17041"/>
        <s v="ORD-17042"/>
        <s v="ORD-17043"/>
        <s v="ORD-17044"/>
        <s v="ORD-17045"/>
        <s v="ORD-17046"/>
        <s v="ORD-17047"/>
        <s v="ORD-17048"/>
        <s v="ORD-17049"/>
        <s v="ORD-17050"/>
        <s v="ORD-17051"/>
        <s v="ORD-17052"/>
        <s v="ORD-17053"/>
        <s v="ORD-17054"/>
        <s v="ORD-17055"/>
        <s v="ORD-17056"/>
        <s v="ORD-17057"/>
        <s v="ORD-17058"/>
        <s v="ORD-17059"/>
        <s v="ORD-17060"/>
        <s v="ORD-17061"/>
        <s v="ORD-17062"/>
        <s v="ORD-17063"/>
        <s v="ORD-17064"/>
        <s v="ORD-17065"/>
        <s v="ORD-17066"/>
        <s v="ORD-17067"/>
        <s v="ORD-17068"/>
        <s v="ORD-17069"/>
        <s v="ORD-17070"/>
        <s v="ORD-17071"/>
        <s v="ORD-17072"/>
        <s v="ORD-17073"/>
        <s v="ORD-17074"/>
        <s v="ORD-17075"/>
        <s v="ORD-17076"/>
        <s v="ORD-17077"/>
        <s v="ORD-17078"/>
        <s v="ORD-17079"/>
        <s v="ORD-17080"/>
        <s v="ORD-17081"/>
        <s v="ORD-17082"/>
        <s v="ORD-17083"/>
        <s v="ORD-17084"/>
        <s v="ORD-17085"/>
        <s v="ORD-17086"/>
        <s v="ORD-17087"/>
        <s v="ORD-17088"/>
        <s v="ORD-17089"/>
        <s v="ORD-17090"/>
        <s v="ORD-17091"/>
        <s v="ORD-17092"/>
        <s v="ORD-17093"/>
        <s v="ORD-17094"/>
        <s v="ORD-17095"/>
        <s v="ORD-17096"/>
        <s v="ORD-17097"/>
        <s v="ORD-17098"/>
        <s v="ORD-17099"/>
        <s v="ORD-17100"/>
        <s v="ORD-17101"/>
        <s v="ORD-17102"/>
        <s v="ORD-17103"/>
        <s v="ORD-17104"/>
        <s v="ORD-17105"/>
        <s v="ORD-17106"/>
        <s v="ORD-17107"/>
        <s v="ORD-17108"/>
        <s v="ORD-17109"/>
        <s v="ORD-17110"/>
        <s v="ORD-17111"/>
        <s v="ORD-17112"/>
        <s v="ORD-17113"/>
        <s v="ORD-17114"/>
        <s v="ORD-17115"/>
        <s v="ORD-17116"/>
        <s v="ORD-17117"/>
        <s v="ORD-17118"/>
        <s v="ORD-17119"/>
        <s v="ORD-17120"/>
        <s v="ORD-17121"/>
        <s v="ORD-17122"/>
        <s v="ORD-17123"/>
        <s v="ORD-17124"/>
        <s v="ORD-17125"/>
        <s v="ORD-17126"/>
        <s v="ORD-17127"/>
        <s v="ORD-17128"/>
        <s v="ORD-17129"/>
        <s v="ORD-17130"/>
        <s v="ORD-17131"/>
        <s v="ORD-17132"/>
        <s v="ORD-17133"/>
        <s v="ORD-17134"/>
        <s v="ORD-17135"/>
        <s v="ORD-17136"/>
        <s v="ORD-17137"/>
        <s v="ORD-17138"/>
        <s v="ORD-17139"/>
        <s v="ORD-17140"/>
        <s v="ORD-17141"/>
        <s v="ORD-17142"/>
        <s v="ORD-17143"/>
        <s v="ORD-17144"/>
        <s v="ORD-17145"/>
        <s v="ORD-17146"/>
        <s v="ORD-17147"/>
        <s v="ORD-17148"/>
        <s v="ORD-17149"/>
        <s v="ORD-17150"/>
        <s v="ORD-17151"/>
        <s v="ORD-17152"/>
        <s v="ORD-17153"/>
        <s v="ORD-17154"/>
        <s v="ORD-17155"/>
        <s v="ORD-17156"/>
        <s v="ORD-17157"/>
        <s v="ORD-17158"/>
        <s v="ORD-17159"/>
        <s v="ORD-17160"/>
        <s v="ORD-17161"/>
        <s v="ORD-17162"/>
        <s v="ORD-17163"/>
        <s v="ORD-17164"/>
        <s v="ORD-17165"/>
        <s v="ORD-17166"/>
        <s v="ORD-17167"/>
        <s v="ORD-17168"/>
        <s v="ORD-17169"/>
        <s v="ORD-17170"/>
        <s v="ORD-17171"/>
        <s v="ORD-17172"/>
        <s v="ORD-17173"/>
        <s v="ORD-17174"/>
        <s v="ORD-17175"/>
        <s v="ORD-17176"/>
        <s v="ORD-17177"/>
        <s v="ORD-17178"/>
        <s v="ORD-17179"/>
        <s v="ORD-17180"/>
        <s v="ORD-17181"/>
        <s v="ORD-17182"/>
        <s v="ORD-17183"/>
        <s v="ORD-17184"/>
        <s v="ORD-17185"/>
        <s v="ORD-17186"/>
        <s v="ORD-17187"/>
        <s v="ORD-17188"/>
        <s v="ORD-17189"/>
        <s v="ORD-17190"/>
        <s v="ORD-17191"/>
        <s v="ORD-17192"/>
        <s v="ORD-17193"/>
        <s v="ORD-17194"/>
        <s v="ORD-17195"/>
        <s v="ORD-17196"/>
        <s v="ORD-17197"/>
        <s v="ORD-17198"/>
        <s v="ORD-17199"/>
        <s v="ORD-17200"/>
        <s v="ORD-17201"/>
        <s v="ORD-17202"/>
        <s v="ORD-17203"/>
        <s v="ORD-17204"/>
        <s v="ORD-17205"/>
        <s v="ORD-17206"/>
        <s v="ORD-17207"/>
        <s v="ORD-17208"/>
        <s v="ORD-17209"/>
        <s v="ORD-17210"/>
        <s v="ORD-17211"/>
        <s v="ORD-17212"/>
        <s v="ORD-17213"/>
        <s v="ORD-17214"/>
        <s v="ORD-17215"/>
        <s v="ORD-17216"/>
        <s v="ORD-17217"/>
        <s v="ORD-17218"/>
        <s v="ORD-17219"/>
        <s v="ORD-17220"/>
        <s v="ORD-17221"/>
        <s v="ORD-17222"/>
        <s v="ORD-17223"/>
        <s v="ORD-17224"/>
        <s v="ORD-17225"/>
        <s v="ORD-17226"/>
        <s v="ORD-17227"/>
        <s v="ORD-17228"/>
        <s v="ORD-17229"/>
        <s v="ORD-17230"/>
        <s v="ORD-17231"/>
        <s v="ORD-17232"/>
        <s v="ORD-17233"/>
        <s v="ORD-17234"/>
        <s v="ORD-17235"/>
        <s v="ORD-17236"/>
        <s v="ORD-17237"/>
        <s v="ORD-17238"/>
        <s v="ORD-17239"/>
        <s v="ORD-17240"/>
        <s v="ORD-17241"/>
        <s v="ORD-17242"/>
        <s v="ORD-17243"/>
        <s v="ORD-17244"/>
        <s v="ORD-17245"/>
        <s v="ORD-17246"/>
        <s v="ORD-17247"/>
        <s v="ORD-17248"/>
        <s v="ORD-17249"/>
        <s v="ORD-17250"/>
        <s v="ORD-17251"/>
        <s v="ORD-17252"/>
        <s v="ORD-17253"/>
        <s v="ORD-17254"/>
        <s v="ORD-17255"/>
        <s v="ORD-17256"/>
        <s v="ORD-17257"/>
        <s v="ORD-17258"/>
        <s v="ORD-17259"/>
        <s v="ORD-17260"/>
        <s v="ORD-17261"/>
        <s v="ORD-17262"/>
        <s v="ORD-17263"/>
        <s v="ORD-17264"/>
        <s v="ORD-17265"/>
        <s v="ORD-17266"/>
        <s v="ORD-17267"/>
        <s v="ORD-17268"/>
        <s v="ORD-17269"/>
        <s v="ORD-17270"/>
        <s v="ORD-17271"/>
        <s v="ORD-17272"/>
        <s v="ORD-17273"/>
        <s v="ORD-17274"/>
        <s v="ORD-17275"/>
        <s v="ORD-17276"/>
        <s v="ORD-17277"/>
        <s v="ORD-17278"/>
        <s v="ORD-17279"/>
        <s v="ORD-17280"/>
        <s v="ORD-17281"/>
        <s v="ORD-17282"/>
        <s v="ORD-17283"/>
        <s v="ORD-17284"/>
        <s v="ORD-17285"/>
        <s v="ORD-17286"/>
        <s v="ORD-17287"/>
        <s v="ORD-17288"/>
        <s v="ORD-17289"/>
        <s v="ORD-17290"/>
        <s v="ORD-17291"/>
        <s v="ORD-17292"/>
        <s v="ORD-17293"/>
        <s v="ORD-17294"/>
        <s v="ORD-17295"/>
        <s v="ORD-17296"/>
        <s v="ORD-17297"/>
        <s v="ORD-17298"/>
        <s v="ORD-17299"/>
        <s v="ORD-17300"/>
        <s v="ORD-17301"/>
        <s v="ORD-17302"/>
        <s v="ORD-17303"/>
        <s v="ORD-17304"/>
        <s v="ORD-17305"/>
        <s v="ORD-17306"/>
        <s v="ORD-17307"/>
        <s v="ORD-17308"/>
        <s v="ORD-17309"/>
        <s v="ORD-17310"/>
        <s v="ORD-17311"/>
        <s v="ORD-17312"/>
        <s v="ORD-17313"/>
        <s v="ORD-17314"/>
        <s v="ORD-17315"/>
        <s v="ORD-17316"/>
        <s v="ORD-17317"/>
        <s v="ORD-17318"/>
        <s v="ORD-17319"/>
        <s v="ORD-17320"/>
        <s v="ORD-17321"/>
        <s v="ORD-17322"/>
        <s v="ORD-17323"/>
        <s v="ORD-17324"/>
        <s v="ORD-17325"/>
        <s v="ORD-17326"/>
        <s v="ORD-17327"/>
        <s v="ORD-17328"/>
        <s v="ORD-17329"/>
        <s v="ORD-17330"/>
        <s v="ORD-17331"/>
        <s v="ORD-17332"/>
        <s v="ORD-17333"/>
        <s v="ORD-17334"/>
        <s v="ORD-17335"/>
        <s v="ORD-17336"/>
        <s v="ORD-17337"/>
        <s v="ORD-17338"/>
        <s v="ORD-17339"/>
        <s v="ORD-17340"/>
        <s v="ORD-17341"/>
        <s v="ORD-17342"/>
        <s v="ORD-17343"/>
        <s v="ORD-17344"/>
        <s v="ORD-17345"/>
        <s v="ORD-17346"/>
        <s v="ORD-17347"/>
        <s v="ORD-17348"/>
        <s v="ORD-17349"/>
        <s v="ORD-17350"/>
        <s v="ORD-17351"/>
        <s v="ORD-17352"/>
        <s v="ORD-17353"/>
        <s v="ORD-17354"/>
        <s v="ORD-17355"/>
        <s v="ORD-17356"/>
        <s v="ORD-17357"/>
        <s v="ORD-17358"/>
        <s v="ORD-17359"/>
        <s v="ORD-17360"/>
        <s v="ORD-17361"/>
        <s v="ORD-17362"/>
        <s v="ORD-17363"/>
        <s v="ORD-17364"/>
        <s v="ORD-17365"/>
        <s v="ORD-17366"/>
        <s v="ORD-17367"/>
        <s v="ORD-17368"/>
        <s v="ORD-17369"/>
        <s v="ORD-17370"/>
        <s v="ORD-17371"/>
        <s v="ORD-17372"/>
        <s v="ORD-17373"/>
        <s v="ORD-17374"/>
        <s v="ORD-17375"/>
        <s v="ORD-17376"/>
        <s v="ORD-17377"/>
        <s v="ORD-17378"/>
        <s v="ORD-17379"/>
        <s v="ORD-17380"/>
        <s v="ORD-17381"/>
        <s v="ORD-17382"/>
        <s v="ORD-17383"/>
        <s v="ORD-17384"/>
        <s v="ORD-17385"/>
        <s v="ORD-17386"/>
        <s v="ORD-17387"/>
        <s v="ORD-17388"/>
        <s v="ORD-17389"/>
        <s v="ORD-17390"/>
        <s v="ORD-17391"/>
        <s v="ORD-17392"/>
        <s v="ORD-17393"/>
        <s v="ORD-17394"/>
        <s v="ORD-17395"/>
        <s v="ORD-17396"/>
        <s v="ORD-17397"/>
        <s v="ORD-17398"/>
        <s v="ORD-17399"/>
        <s v="ORD-17400"/>
        <s v="ORD-17401"/>
        <s v="ORD-17402"/>
        <s v="ORD-17403"/>
        <s v="ORD-17404"/>
        <s v="ORD-17405"/>
        <s v="ORD-17406"/>
        <s v="ORD-17407"/>
        <s v="ORD-17408"/>
        <s v="ORD-17409"/>
        <s v="ORD-17410"/>
        <s v="ORD-17411"/>
        <s v="ORD-17412"/>
        <s v="ORD-17413"/>
        <s v="ORD-17414"/>
        <s v="ORD-17415"/>
        <s v="ORD-17416"/>
        <s v="ORD-17417"/>
        <s v="ORD-17418"/>
        <s v="ORD-17419"/>
        <s v="ORD-17420"/>
        <s v="ORD-17421"/>
        <s v="ORD-17422"/>
        <s v="ORD-17423"/>
        <s v="ORD-17424"/>
        <s v="ORD-17425"/>
        <s v="ORD-17426"/>
        <s v="ORD-17427"/>
        <s v="ORD-17428"/>
        <s v="ORD-17429"/>
        <s v="ORD-17430"/>
        <s v="ORD-17431"/>
        <s v="ORD-17432"/>
        <s v="ORD-17433"/>
        <s v="ORD-17434"/>
        <s v="ORD-17435"/>
        <s v="ORD-17436"/>
        <s v="ORD-17437"/>
        <s v="ORD-17438"/>
        <s v="ORD-17439"/>
        <s v="ORD-17440"/>
        <s v="ORD-17441"/>
        <s v="ORD-17442"/>
        <s v="ORD-17443"/>
        <s v="ORD-17444"/>
        <s v="ORD-17445"/>
        <s v="ORD-17446"/>
        <s v="ORD-17447"/>
        <s v="ORD-17448"/>
        <s v="ORD-17449"/>
        <s v="ORD-17450"/>
        <s v="ORD-17451"/>
        <s v="ORD-17452"/>
        <s v="ORD-17453"/>
        <s v="ORD-17454"/>
        <s v="ORD-17455"/>
        <s v="ORD-17456"/>
        <s v="ORD-17457"/>
        <s v="ORD-17458"/>
        <s v="ORD-17459"/>
        <s v="ORD-17460"/>
        <s v="ORD-17461"/>
        <s v="ORD-17462"/>
        <s v="ORD-17463"/>
        <s v="ORD-17464"/>
        <s v="ORD-17465"/>
        <s v="ORD-17466"/>
        <s v="ORD-17467"/>
        <s v="ORD-17468"/>
        <s v="ORD-17469"/>
        <s v="ORD-17470"/>
        <s v="ORD-17471"/>
        <s v="ORD-17472"/>
        <s v="ORD-17473"/>
        <s v="ORD-17474"/>
        <s v="ORD-17475"/>
        <s v="ORD-17476"/>
        <s v="ORD-17477"/>
        <s v="ORD-17478"/>
        <s v="ORD-17479"/>
        <s v="ORD-17480"/>
        <s v="ORD-17481"/>
        <s v="ORD-17482"/>
        <s v="ORD-17483"/>
        <s v="ORD-17484"/>
        <s v="ORD-17485"/>
        <s v="ORD-17486"/>
        <s v="ORD-17487"/>
        <s v="ORD-17488"/>
        <s v="ORD-17489"/>
        <s v="ORD-17490"/>
        <s v="ORD-17491"/>
        <s v="ORD-17492"/>
        <s v="ORD-17493"/>
        <s v="ORD-17494"/>
        <s v="ORD-17495"/>
        <s v="ORD-17496"/>
        <s v="ORD-17497"/>
        <s v="ORD-17498"/>
        <s v="ORD-17499"/>
        <s v="ORD-17500"/>
        <s v="ORD-17501"/>
        <s v="ORD-17502"/>
        <s v="ORD-17503"/>
        <s v="ORD-17504"/>
        <s v="ORD-17505"/>
        <s v="ORD-17506"/>
        <s v="ORD-17507"/>
        <s v="ORD-17508"/>
        <s v="ORD-17509"/>
        <s v="ORD-17510"/>
        <s v="ORD-17511"/>
        <s v="ORD-17512"/>
        <s v="ORD-17513"/>
        <s v="ORD-17514"/>
        <s v="ORD-17515"/>
        <s v="ORD-17516"/>
        <s v="ORD-17517"/>
        <s v="ORD-17518"/>
        <s v="ORD-17519"/>
        <s v="ORD-17520"/>
        <s v="ORD-17521"/>
        <s v="ORD-17522"/>
        <s v="ORD-17523"/>
        <s v="ORD-17524"/>
        <s v="ORD-17525"/>
        <s v="ORD-17526"/>
        <s v="ORD-17527"/>
        <s v="ORD-17528"/>
        <s v="ORD-17529"/>
        <s v="ORD-17530"/>
        <s v="ORD-17531"/>
        <s v="ORD-17532"/>
        <s v="ORD-17533"/>
        <s v="ORD-17534"/>
        <s v="ORD-17535"/>
        <s v="ORD-17536"/>
        <s v="ORD-17537"/>
        <s v="ORD-17538"/>
        <s v="ORD-17539"/>
        <s v="ORD-17540"/>
        <s v="ORD-17541"/>
        <s v="ORD-17542"/>
        <s v="ORD-17543"/>
        <s v="ORD-17544"/>
        <s v="ORD-17545"/>
        <s v="ORD-17546"/>
        <s v="ORD-17547"/>
        <s v="ORD-17548"/>
        <s v="ORD-17549"/>
        <s v="ORD-17550"/>
        <s v="ORD-17551"/>
        <s v="ORD-17552"/>
        <s v="ORD-17553"/>
        <s v="ORD-17554"/>
        <s v="ORD-17555"/>
        <s v="ORD-17556"/>
        <s v="ORD-17557"/>
        <s v="ORD-17558"/>
        <s v="ORD-17559"/>
        <s v="ORD-17560"/>
        <s v="ORD-17561"/>
        <s v="ORD-17562"/>
        <s v="ORD-17563"/>
        <s v="ORD-17564"/>
        <s v="ORD-17565"/>
        <s v="ORD-17566"/>
        <s v="ORD-17567"/>
        <s v="ORD-17568"/>
        <s v="ORD-17569"/>
        <s v="ORD-17570"/>
        <s v="ORD-17571"/>
        <s v="ORD-17572"/>
        <s v="ORD-17573"/>
        <s v="ORD-17574"/>
        <s v="ORD-17575"/>
        <s v="ORD-17576"/>
        <s v="ORD-17577"/>
        <s v="ORD-17578"/>
        <s v="ORD-17579"/>
        <s v="ORD-17580"/>
        <s v="ORD-17581"/>
        <s v="ORD-17582"/>
        <s v="ORD-17583"/>
        <s v="ORD-17584"/>
        <s v="ORD-17585"/>
        <s v="ORD-17586"/>
        <s v="ORD-17587"/>
        <s v="ORD-17588"/>
        <s v="ORD-17589"/>
        <s v="ORD-17590"/>
        <s v="ORD-17591"/>
        <s v="ORD-17592"/>
        <s v="ORD-17593"/>
        <s v="ORD-17594"/>
        <s v="ORD-17595"/>
        <s v="ORD-17596"/>
        <s v="ORD-17597"/>
        <s v="ORD-17598"/>
        <s v="ORD-17599"/>
        <s v="ORD-17600"/>
        <s v="ORD-17601"/>
        <s v="ORD-17602"/>
        <s v="ORD-17603"/>
        <s v="ORD-17604"/>
        <s v="ORD-17605"/>
        <s v="ORD-17606"/>
        <s v="ORD-17607"/>
        <s v="ORD-17608"/>
        <s v="ORD-17609"/>
        <s v="ORD-17610"/>
        <s v="ORD-17611"/>
        <s v="ORD-17612"/>
        <s v="ORD-17613"/>
        <s v="ORD-17614"/>
        <s v="ORD-17615"/>
        <s v="ORD-17616"/>
        <s v="ORD-17617"/>
        <s v="ORD-17618"/>
        <s v="ORD-17619"/>
        <s v="ORD-17620"/>
        <s v="ORD-17621"/>
        <s v="ORD-17622"/>
        <s v="ORD-17623"/>
        <s v="ORD-17624"/>
        <s v="ORD-17625"/>
        <s v="ORD-17626"/>
        <s v="ORD-17627"/>
        <s v="ORD-17628"/>
        <s v="ORD-17629"/>
        <s v="ORD-17630"/>
        <s v="ORD-17631"/>
        <s v="ORD-17632"/>
        <s v="ORD-17633"/>
        <s v="ORD-17634"/>
        <s v="ORD-17635"/>
        <s v="ORD-17636"/>
        <s v="ORD-17637"/>
        <s v="ORD-17638"/>
        <s v="ORD-17639"/>
        <s v="ORD-17640"/>
        <s v="ORD-17641"/>
        <s v="ORD-17642"/>
        <s v="ORD-17643"/>
        <s v="ORD-17644"/>
        <s v="ORD-17645"/>
        <s v="ORD-17646"/>
        <s v="ORD-17647"/>
        <s v="ORD-17648"/>
        <s v="ORD-17649"/>
        <s v="ORD-17650"/>
        <s v="ORD-17651"/>
        <s v="ORD-17652"/>
        <s v="ORD-17653"/>
        <s v="ORD-17654"/>
        <s v="ORD-17655"/>
        <s v="ORD-17656"/>
        <s v="ORD-17657"/>
        <s v="ORD-17658"/>
        <s v="ORD-17659"/>
        <s v="ORD-17660"/>
        <s v="ORD-17661"/>
        <s v="ORD-17662"/>
        <s v="ORD-17663"/>
        <s v="ORD-17664"/>
        <s v="ORD-17665"/>
        <s v="ORD-17666"/>
        <s v="ORD-17667"/>
        <s v="ORD-17668"/>
        <s v="ORD-17669"/>
        <s v="ORD-17670"/>
        <s v="ORD-17671"/>
        <s v="ORD-17672"/>
        <s v="ORD-17673"/>
        <s v="ORD-17674"/>
        <s v="ORD-17675"/>
        <s v="ORD-17676"/>
        <s v="ORD-17677"/>
        <s v="ORD-17678"/>
        <s v="ORD-17679"/>
        <s v="ORD-17680"/>
        <s v="ORD-17681"/>
        <s v="ORD-17682"/>
        <s v="ORD-17683"/>
        <s v="ORD-17684"/>
        <s v="ORD-17685"/>
        <s v="ORD-17686"/>
        <s v="ORD-17687"/>
        <s v="ORD-17688"/>
        <s v="ORD-17689"/>
        <s v="ORD-17690"/>
        <s v="ORD-17691"/>
        <s v="ORD-17692"/>
        <s v="ORD-17693"/>
        <s v="ORD-17694"/>
        <s v="ORD-17695"/>
        <s v="ORD-17696"/>
        <s v="ORD-17697"/>
        <s v="ORD-17698"/>
        <s v="ORD-17699"/>
        <s v="ORD-17700"/>
        <s v="ORD-17701"/>
        <s v="ORD-17702"/>
        <s v="ORD-17703"/>
        <s v="ORD-17704"/>
        <s v="ORD-17705"/>
        <s v="ORD-17706"/>
        <s v="ORD-17707"/>
        <s v="ORD-17708"/>
        <s v="ORD-17709"/>
        <s v="ORD-17710"/>
        <s v="ORD-17711"/>
        <s v="ORD-17712"/>
        <s v="ORD-17713"/>
        <s v="ORD-17714"/>
        <s v="ORD-17715"/>
        <s v="ORD-17716"/>
        <s v="ORD-17717"/>
        <s v="ORD-17718"/>
        <s v="ORD-17719"/>
        <s v="ORD-17720"/>
        <s v="ORD-17721"/>
        <s v="ORD-17722"/>
        <s v="ORD-17723"/>
        <s v="ORD-17724"/>
        <s v="ORD-17725"/>
        <s v="ORD-17726"/>
        <s v="ORD-17727"/>
        <s v="ORD-17728"/>
        <s v="ORD-17729"/>
        <s v="ORD-17730"/>
        <s v="ORD-17731"/>
        <s v="ORD-17732"/>
        <s v="ORD-17733"/>
        <s v="ORD-17734"/>
        <s v="ORD-17735"/>
        <s v="ORD-17736"/>
        <s v="ORD-17737"/>
        <s v="ORD-17738"/>
        <s v="ORD-17739"/>
        <s v="ORD-17740"/>
        <s v="ORD-17741"/>
        <s v="ORD-17742"/>
        <s v="ORD-17743"/>
        <s v="ORD-17744"/>
        <s v="ORD-17745"/>
        <s v="ORD-17746"/>
        <s v="ORD-17747"/>
        <s v="ORD-17748"/>
        <s v="ORD-17749"/>
        <s v="ORD-17750"/>
        <s v="ORD-17751"/>
        <s v="ORD-17752"/>
        <s v="ORD-17753"/>
        <s v="ORD-17754"/>
        <s v="ORD-17755"/>
        <s v="ORD-17756"/>
        <s v="ORD-17757"/>
        <s v="ORD-17758"/>
        <s v="ORD-17759"/>
        <s v="ORD-17760"/>
        <s v="ORD-17761"/>
        <s v="ORD-17762"/>
        <s v="ORD-17763"/>
        <s v="ORD-17764"/>
        <s v="ORD-17765"/>
        <s v="ORD-17766"/>
        <s v="ORD-17767"/>
        <s v="ORD-17768"/>
        <s v="ORD-17769"/>
        <s v="ORD-17770"/>
        <s v="ORD-17771"/>
        <s v="ORD-17772"/>
        <s v="ORD-17773"/>
        <s v="ORD-17774"/>
        <s v="ORD-17775"/>
        <s v="ORD-17776"/>
        <s v="ORD-17777"/>
        <s v="ORD-17778"/>
        <s v="ORD-17779"/>
        <s v="ORD-17780"/>
        <s v="ORD-17781"/>
        <s v="ORD-17782"/>
        <s v="ORD-17783"/>
        <s v="ORD-17784"/>
        <s v="ORD-17785"/>
        <s v="ORD-17786"/>
        <s v="ORD-17787"/>
        <s v="ORD-17788"/>
        <s v="ORD-17789"/>
        <s v="ORD-17790"/>
        <s v="ORD-17791"/>
        <s v="ORD-17792"/>
        <s v="ORD-17793"/>
        <s v="ORD-17794"/>
        <s v="ORD-17795"/>
        <s v="ORD-17796"/>
        <s v="ORD-17797"/>
        <s v="ORD-17798"/>
        <s v="ORD-17799"/>
        <s v="ORD-17800"/>
        <s v="ORD-17801"/>
        <s v="ORD-17802"/>
        <s v="ORD-17803"/>
        <s v="ORD-17804"/>
        <s v="ORD-17805"/>
        <s v="ORD-17806"/>
        <s v="ORD-17807"/>
        <s v="ORD-17808"/>
        <s v="ORD-17809"/>
        <s v="ORD-17810"/>
        <s v="ORD-17811"/>
        <s v="ORD-17812"/>
        <s v="ORD-17813"/>
        <s v="ORD-17814"/>
        <s v="ORD-17815"/>
        <s v="ORD-17816"/>
        <s v="ORD-17817"/>
        <s v="ORD-17818"/>
        <s v="ORD-17819"/>
        <s v="ORD-17820"/>
        <s v="ORD-17821"/>
        <s v="ORD-17822"/>
        <s v="ORD-17823"/>
        <s v="ORD-17824"/>
        <s v="ORD-17825"/>
        <s v="ORD-17826"/>
        <s v="ORD-17827"/>
        <s v="ORD-17828"/>
        <s v="ORD-17829"/>
        <s v="ORD-17830"/>
        <s v="ORD-17831"/>
        <s v="ORD-17832"/>
        <s v="ORD-17833"/>
        <s v="ORD-17834"/>
        <s v="ORD-17835"/>
        <s v="ORD-17836"/>
        <s v="ORD-17837"/>
        <s v="ORD-17838"/>
        <s v="ORD-17839"/>
        <s v="ORD-17840"/>
        <s v="ORD-17841"/>
        <s v="ORD-17842"/>
        <s v="ORD-17843"/>
        <s v="ORD-17844"/>
        <s v="ORD-17845"/>
        <s v="ORD-17846"/>
        <s v="ORD-17847"/>
        <s v="ORD-17848"/>
        <s v="ORD-17849"/>
        <s v="ORD-17850"/>
        <s v="ORD-17851"/>
        <s v="ORD-17852"/>
        <s v="ORD-17853"/>
        <s v="ORD-17854"/>
        <s v="ORD-17855"/>
        <s v="ORD-17856"/>
        <s v="ORD-17857"/>
        <s v="ORD-17858"/>
        <s v="ORD-17859"/>
        <s v="ORD-17860"/>
        <s v="ORD-17861"/>
        <s v="ORD-17862"/>
        <s v="ORD-17863"/>
        <s v="ORD-17864"/>
        <s v="ORD-17865"/>
        <s v="ORD-17866"/>
        <s v="ORD-17867"/>
        <s v="ORD-17868"/>
        <s v="ORD-17869"/>
        <s v="ORD-17870"/>
        <s v="ORD-17871"/>
        <s v="ORD-17872"/>
        <s v="ORD-17873"/>
        <s v="ORD-17874"/>
        <s v="ORD-17875"/>
        <s v="ORD-17876"/>
        <s v="ORD-17877"/>
        <s v="ORD-17878"/>
        <s v="ORD-17879"/>
        <s v="ORD-17880"/>
        <s v="ORD-17881"/>
        <s v="ORD-17882"/>
        <s v="ORD-17883"/>
        <s v="ORD-17884"/>
        <s v="ORD-17885"/>
        <s v="ORD-17886"/>
        <s v="ORD-17887"/>
        <s v="ORD-17888"/>
        <s v="ORD-17889"/>
        <s v="ORD-17890"/>
        <s v="ORD-17891"/>
        <s v="ORD-17892"/>
        <s v="ORD-17893"/>
        <s v="ORD-17894"/>
        <s v="ORD-17895"/>
        <s v="ORD-17896"/>
        <s v="ORD-17897"/>
        <s v="ORD-17898"/>
        <s v="ORD-17899"/>
        <s v="ORD-17900"/>
        <s v="ORD-17901"/>
        <s v="ORD-17902"/>
        <s v="ORD-17903"/>
        <s v="ORD-17904"/>
        <s v="ORD-17905"/>
        <s v="ORD-17906"/>
        <s v="ORD-17907"/>
        <s v="ORD-17908"/>
        <s v="ORD-17909"/>
        <s v="ORD-17910"/>
        <s v="ORD-17911"/>
        <s v="ORD-17912"/>
        <s v="ORD-17913"/>
        <s v="ORD-17914"/>
        <s v="ORD-17915"/>
        <s v="ORD-17916"/>
        <s v="ORD-17917"/>
        <s v="ORD-17918"/>
        <s v="ORD-17919"/>
        <s v="ORD-17920"/>
        <s v="ORD-17921"/>
        <s v="ORD-17922"/>
        <s v="ORD-17923"/>
        <s v="ORD-17924"/>
        <s v="ORD-17925"/>
        <s v="ORD-17926"/>
        <s v="ORD-17927"/>
        <s v="ORD-17928"/>
        <s v="ORD-17929"/>
        <s v="ORD-17930"/>
        <s v="ORD-17931"/>
        <s v="ORD-17932"/>
        <s v="ORD-17933"/>
        <s v="ORD-17934"/>
        <s v="ORD-17935"/>
        <s v="ORD-17936"/>
        <s v="ORD-17937"/>
        <s v="ORD-17938"/>
        <s v="ORD-17939"/>
        <s v="ORD-17940"/>
        <s v="ORD-17941"/>
        <s v="ORD-17942"/>
        <s v="ORD-17943"/>
        <s v="ORD-17944"/>
        <s v="ORD-17945"/>
        <s v="ORD-17946"/>
        <s v="ORD-17947"/>
        <s v="ORD-17948"/>
        <s v="ORD-17949"/>
        <s v="ORD-17950"/>
        <s v="ORD-17951"/>
        <s v="ORD-17952"/>
        <s v="ORD-17953"/>
        <s v="ORD-17954"/>
        <s v="ORD-17955"/>
        <s v="ORD-17956"/>
        <s v="ORD-17957"/>
        <s v="ORD-17958"/>
        <s v="ORD-17959"/>
        <s v="ORD-17960"/>
        <s v="ORD-17961"/>
        <s v="ORD-17962"/>
        <s v="ORD-17963"/>
        <s v="ORD-17964"/>
        <s v="ORD-17965"/>
        <s v="ORD-17966"/>
        <s v="ORD-17967"/>
        <s v="ORD-17968"/>
        <s v="ORD-17969"/>
        <s v="ORD-17970"/>
        <s v="ORD-17971"/>
        <s v="ORD-17972"/>
        <s v="ORD-17973"/>
        <s v="ORD-17974"/>
        <s v="ORD-17975"/>
        <s v="ORD-17976"/>
        <s v="ORD-17977"/>
        <s v="ORD-17978"/>
        <s v="ORD-17979"/>
        <s v="ORD-17980"/>
        <s v="ORD-17981"/>
        <s v="ORD-17982"/>
        <s v="ORD-17983"/>
        <s v="ORD-17984"/>
        <s v="ORD-17985"/>
        <s v="ORD-17986"/>
        <s v="ORD-17987"/>
        <s v="ORD-17988"/>
        <s v="ORD-17989"/>
        <s v="ORD-17990"/>
        <s v="ORD-17991"/>
        <s v="ORD-17992"/>
        <s v="ORD-17993"/>
        <s v="ORD-17994"/>
        <s v="ORD-17995"/>
        <s v="ORD-17996"/>
        <s v="ORD-17997"/>
        <s v="ORD-17998"/>
        <s v="ORD-17999"/>
        <s v="ORD-18000"/>
      </sharedItems>
    </cacheField>
    <cacheField name="Order Date" numFmtId="164">
      <sharedItems containsSemiMixedTypes="0" containsDate="1" containsString="0">
        <d v="2023-06-25T00:00:00Z"/>
        <d v="2021-09-26T00:00:00Z"/>
        <d v="2022-05-24T00:00:00Z"/>
        <d v="2021-04-30T00:00:00Z"/>
        <d v="2022-04-21T00:00:00Z"/>
        <d v="2022-08-27T00:00:00Z"/>
        <d v="2022-08-13T00:00:00Z"/>
        <d v="2023-08-19T00:00:00Z"/>
        <d v="2022-06-04T00:00:00Z"/>
        <d v="2023-04-04T00:00:00Z"/>
        <d v="2022-10-14T00:00:00Z"/>
        <d v="2022-07-04T00:00:00Z"/>
        <d v="2023-02-04T00:00:00Z"/>
        <d v="2021-07-11T00:00:00Z"/>
        <d v="2023-08-27T00:00:00Z"/>
        <d v="2023-05-04T00:00:00Z"/>
        <d v="2023-03-14T00:00:00Z"/>
        <d v="2023-07-16T00:00:00Z"/>
        <d v="2022-11-10T00:00:00Z"/>
        <d v="2022-10-22T00:00:00Z"/>
        <d v="2023-04-09T00:00:00Z"/>
        <d v="2023-09-29T00:00:00Z"/>
        <d v="2021-10-17T00:00:00Z"/>
        <d v="2022-05-16T00:00:00Z"/>
        <d v="2022-11-06T00:00:00Z"/>
        <d v="2023-01-05T00:00:00Z"/>
        <d v="2022-02-16T00:00:00Z"/>
        <d v="2023-09-28T00:00:00Z"/>
        <d v="2022-09-10T00:00:00Z"/>
        <d v="2021-07-15T00:00:00Z"/>
        <d v="2022-01-13T00:00:00Z"/>
        <d v="2022-09-06T00:00:00Z"/>
        <d v="2023-01-12T00:00:00Z"/>
        <d v="2023-08-06T00:00:00Z"/>
        <d v="2023-12-02T00:00:00Z"/>
        <d v="2022-12-14T00:00:00Z"/>
        <d v="2022-05-17T00:00:00Z"/>
        <d v="2022-04-09T00:00:00Z"/>
        <d v="2023-10-21T00:00:00Z"/>
        <d v="2022-05-18T00:00:00Z"/>
        <d v="2021-03-01T00:00:00Z"/>
        <d v="2022-04-20T00:00:00Z"/>
        <d v="2023-11-26T00:00:00Z"/>
        <d v="2023-06-22T00:00:00Z"/>
        <d v="2021-06-12T00:00:00Z"/>
        <d v="2022-03-02T00:00:00Z"/>
        <d v="2021-10-02T00:00:00Z"/>
        <d v="2023-04-11T00:00:00Z"/>
        <d v="2021-09-13T00:00:00Z"/>
        <d v="2023-01-15T00:00:00Z"/>
        <d v="2022-12-19T00:00:00Z"/>
        <d v="2023-10-18T00:00:00Z"/>
        <d v="2022-10-30T00:00:00Z"/>
        <d v="2021-02-07T00:00:00Z"/>
        <d v="2023-05-01T00:00:00Z"/>
        <d v="2024-01-01T00:00:00Z"/>
        <d v="2022-05-26T00:00:00Z"/>
        <d v="2023-03-24T00:00:00Z"/>
        <d v="2021-07-03T00:00:00Z"/>
        <d v="2023-10-31T00:00:00Z"/>
        <d v="2022-12-23T00:00:00Z"/>
        <d v="2021-07-14T00:00:00Z"/>
        <d v="2023-11-07T00:00:00Z"/>
        <d v="2022-01-19T00:00:00Z"/>
        <d v="2021-05-19T00:00:00Z"/>
        <d v="2021-04-05T00:00:00Z"/>
        <d v="2023-10-12T00:00:00Z"/>
        <d v="2022-06-03T00:00:00Z"/>
        <d v="2021-10-03T00:00:00Z"/>
        <d v="2022-06-20T00:00:00Z"/>
        <d v="2021-09-02T00:00:00Z"/>
        <d v="2021-05-31T00:00:00Z"/>
        <d v="2023-08-14T00:00:00Z"/>
        <d v="2021-02-28T00:00:00Z"/>
        <d v="2023-06-04T00:00:00Z"/>
        <d v="2022-11-21T00:00:00Z"/>
        <d v="2022-01-25T00:00:00Z"/>
        <d v="2022-12-31T00:00:00Z"/>
        <d v="2022-10-20T00:00:00Z"/>
        <d v="2022-01-31T00:00:00Z"/>
        <d v="2022-01-02T00:00:00Z"/>
        <d v="2022-09-22T00:00:00Z"/>
        <d v="2021-10-21T00:00:00Z"/>
        <d v="2021-12-22T00:00:00Z"/>
        <d v="2022-04-19T00:00:00Z"/>
        <d v="2023-07-11T00:00:00Z"/>
        <d v="2021-06-15T00:00:00Z"/>
        <d v="2022-01-01T00:00:00Z"/>
        <d v="2023-06-20T00:00:00Z"/>
        <d v="2021-03-26T00:00:00Z"/>
        <d v="2022-10-05T00:00:00Z"/>
        <d v="2022-09-28T00:00:00Z"/>
        <d v="2023-08-26T00:00:00Z"/>
        <d v="2021-10-23T00:00:00Z"/>
        <d v="2023-12-11T00:00:00Z"/>
        <d v="2023-09-16T00:00:00Z"/>
        <d v="2023-05-07T00:00:00Z"/>
        <d v="2023-10-07T00:00:00Z"/>
        <d v="2022-01-23T00:00:00Z"/>
        <d v="2021-03-28T00:00:00Z"/>
        <d v="2023-04-25T00:00:00Z"/>
        <d v="2023-10-23T00:00:00Z"/>
        <d v="2022-09-17T00:00:00Z"/>
        <d v="2022-06-25T00:00:00Z"/>
        <d v="2021-01-18T00:00:00Z"/>
        <d v="2022-07-08T00:00:00Z"/>
        <d v="2022-11-15T00:00:00Z"/>
        <d v="2023-07-13T00:00:00Z"/>
        <d v="2021-07-22T00:00:00Z"/>
        <d v="2023-11-04T00:00:00Z"/>
        <d v="2021-05-22T00:00:00Z"/>
        <d v="2021-11-29T00:00:00Z"/>
        <d v="2022-11-23T00:00:00Z"/>
        <d v="2021-10-22T00:00:00Z"/>
        <d v="2022-09-02T00:00:00Z"/>
        <d v="2022-12-02T00:00:00Z"/>
        <d v="2023-09-13T00:00:00Z"/>
        <d v="2021-05-15T00:00:00Z"/>
        <d v="2023-12-24T00:00:00Z"/>
        <d v="2021-09-19T00:00:00Z"/>
        <d v="2022-04-15T00:00:00Z"/>
        <d v="2022-07-30T00:00:00Z"/>
        <d v="2022-07-07T00:00:00Z"/>
        <d v="2021-03-04T00:00:00Z"/>
        <d v="2022-03-30T00:00:00Z"/>
        <d v="2021-01-15T00:00:00Z"/>
        <d v="2023-01-21T00:00:00Z"/>
        <d v="2023-11-18T00:00:00Z"/>
        <d v="2023-02-27T00:00:00Z"/>
        <d v="2023-03-12T00:00:00Z"/>
        <d v="2022-05-01T00:00:00Z"/>
        <d v="2022-10-09T00:00:00Z"/>
        <d v="2021-10-12T00:00:00Z"/>
        <d v="2022-08-14T00:00:00Z"/>
        <d v="2023-12-06T00:00:00Z"/>
        <d v="2023-03-18T00:00:00Z"/>
        <d v="2023-08-08T00:00:00Z"/>
        <d v="2023-08-17T00:00:00Z"/>
        <d v="2021-01-17T00:00:00Z"/>
        <d v="2022-11-22T00:00:00Z"/>
        <d v="2021-03-25T00:00:00Z"/>
        <d v="2023-10-15T00:00:00Z"/>
        <d v="2021-02-25T00:00:00Z"/>
        <d v="2021-02-27T00:00:00Z"/>
        <d v="2022-12-05T00:00:00Z"/>
        <d v="2023-03-16T00:00:00Z"/>
        <d v="2023-05-15T00:00:00Z"/>
        <d v="2023-06-15T00:00:00Z"/>
        <d v="2022-10-16T00:00:00Z"/>
        <d v="2023-02-22T00:00:00Z"/>
        <d v="2022-04-06T00:00:00Z"/>
        <d v="2021-09-11T00:00:00Z"/>
        <d v="2021-03-24T00:00:00Z"/>
        <d v="2022-04-13T00:00:00Z"/>
        <d v="2022-09-16T00:00:00Z"/>
        <d v="2022-02-25T00:00:00Z"/>
        <d v="2021-03-23T00:00:00Z"/>
        <d v="2022-11-13T00:00:00Z"/>
        <d v="2023-01-20T00:00:00Z"/>
        <d v="2022-04-27T00:00:00Z"/>
        <d v="2023-12-30T00:00:00Z"/>
        <d v="2021-06-01T00:00:00Z"/>
        <d v="2022-05-06T00:00:00Z"/>
        <d v="2022-07-14T00:00:00Z"/>
        <d v="2022-02-02T00:00:00Z"/>
        <d v="2022-06-05T00:00:00Z"/>
        <d v="2021-09-03T00:00:00Z"/>
        <d v="2022-12-10T00:00:00Z"/>
        <d v="2022-05-19T00:00:00Z"/>
        <d v="2021-06-23T00:00:00Z"/>
        <d v="2023-07-03T00:00:00Z"/>
        <d v="2023-01-29T00:00:00Z"/>
        <d v="2021-12-28T00:00:00Z"/>
        <d v="2022-06-18T00:00:00Z"/>
        <d v="2023-02-16T00:00:00Z"/>
        <d v="2022-08-10T00:00:00Z"/>
        <d v="2021-07-25T00:00:00Z"/>
        <d v="2021-07-01T00:00:00Z"/>
        <d v="2021-07-06T00:00:00Z"/>
        <d v="2021-11-25T00:00:00Z"/>
        <d v="2021-01-12T00:00:00Z"/>
        <d v="2021-06-08T00:00:00Z"/>
        <d v="2022-02-05T00:00:00Z"/>
        <d v="2021-05-01T00:00:00Z"/>
        <d v="2023-07-23T00:00:00Z"/>
        <d v="2022-07-28T00:00:00Z"/>
        <d v="2022-10-10T00:00:00Z"/>
        <d v="2021-02-24T00:00:00Z"/>
        <d v="2021-08-10T00:00:00Z"/>
        <d v="2021-01-13T00:00:00Z"/>
        <d v="2022-04-28T00:00:00Z"/>
        <d v="2021-08-24T00:00:00Z"/>
        <d v="2023-02-12T00:00:00Z"/>
        <d v="2023-12-27T00:00:00Z"/>
        <d v="2021-03-21T00:00:00Z"/>
        <d v="2022-03-10T00:00:00Z"/>
        <d v="2022-03-04T00:00:00Z"/>
        <d v="2022-11-26T00:00:00Z"/>
        <d v="2023-08-16T00:00:00Z"/>
        <d v="2021-07-05T00:00:00Z"/>
        <d v="2022-08-19T00:00:00Z"/>
        <d v="2021-08-28T00:00:00Z"/>
        <d v="2023-09-11T00:00:00Z"/>
        <d v="2021-05-12T00:00:00Z"/>
        <d v="2021-12-04T00:00:00Z"/>
        <d v="2021-08-31T00:00:00Z"/>
        <d v="2023-07-09T00:00:00Z"/>
        <d v="2022-01-27T00:00:00Z"/>
        <d v="2022-06-02T00:00:00Z"/>
        <d v="2023-01-16T00:00:00Z"/>
        <d v="2022-03-13T00:00:00Z"/>
        <d v="2023-02-25T00:00:00Z"/>
        <d v="2023-09-09T00:00:00Z"/>
        <d v="2021-12-24T00:00:00Z"/>
        <d v="2021-09-09T00:00:00Z"/>
        <d v="2021-05-07T00:00:00Z"/>
        <d v="2023-06-24T00:00:00Z"/>
        <d v="2023-05-03T00:00:00Z"/>
        <d v="2022-02-12T00:00:00Z"/>
        <d v="2023-12-28T00:00:00Z"/>
        <d v="2022-07-10T00:00:00Z"/>
        <d v="2022-07-01T00:00:00Z"/>
        <d v="2023-05-09T00:00:00Z"/>
        <d v="2022-04-26T00:00:00Z"/>
        <d v="2021-12-08T00:00:00Z"/>
        <d v="2021-06-26T00:00:00Z"/>
        <d v="2022-04-22T00:00:00Z"/>
        <d v="2023-01-19T00:00:00Z"/>
        <d v="2021-11-18T00:00:00Z"/>
        <d v="2022-07-24T00:00:00Z"/>
        <d v="2022-01-09T00:00:00Z"/>
        <d v="2021-06-28T00:00:00Z"/>
        <d v="2022-10-25T00:00:00Z"/>
        <d v="2021-01-08T00:00:00Z"/>
        <d v="2021-11-17T00:00:00Z"/>
        <d v="2023-10-24T00:00:00Z"/>
        <d v="2021-09-20T00:00:00Z"/>
        <d v="2023-10-29T00:00:00Z"/>
        <d v="2023-02-18T00:00:00Z"/>
        <d v="2021-02-06T00:00:00Z"/>
        <d v="2021-08-19T00:00:00Z"/>
        <d v="2023-08-04T00:00:00Z"/>
        <d v="2021-06-03T00:00:00Z"/>
        <d v="2022-02-14T00:00:00Z"/>
        <d v="2023-04-13T00:00:00Z"/>
        <d v="2021-03-20T00:00:00Z"/>
        <d v="2022-08-12T00:00:00Z"/>
        <d v="2021-05-30T00:00:00Z"/>
        <d v="2022-11-14T00:00:00Z"/>
        <d v="2023-02-24T00:00:00Z"/>
        <d v="2023-03-07T00:00:00Z"/>
        <d v="2023-12-20T00:00:00Z"/>
        <d v="2022-09-30T00:00:00Z"/>
        <d v="2023-04-06T00:00:00Z"/>
        <d v="2022-02-13T00:00:00Z"/>
        <d v="2023-02-15T00:00:00Z"/>
        <d v="2021-07-08T00:00:00Z"/>
        <d v="2021-03-11T00:00:00Z"/>
        <d v="2023-06-30T00:00:00Z"/>
        <d v="2021-10-16T00:00:00Z"/>
        <d v="2021-12-01T00:00:00Z"/>
        <d v="2021-12-18T00:00:00Z"/>
        <d v="2022-03-16T00:00:00Z"/>
        <d v="2022-05-27T00:00:00Z"/>
        <d v="2023-04-12T00:00:00Z"/>
        <d v="2021-10-14T00:00:00Z"/>
        <d v="2023-04-02T00:00:00Z"/>
        <d v="2022-07-22T00:00:00Z"/>
        <d v="2023-08-01T00:00:00Z"/>
        <d v="2021-01-07T00:00:00Z"/>
        <d v="2022-08-26T00:00:00Z"/>
        <d v="2023-10-26T00:00:00Z"/>
        <d v="2023-07-14T00:00:00Z"/>
        <d v="2023-04-20T00:00:00Z"/>
        <d v="2022-06-13T00:00:00Z"/>
        <d v="2021-09-10T00:00:00Z"/>
        <d v="2022-11-25T00:00:00Z"/>
        <d v="2023-08-25T00:00:00Z"/>
        <d v="2021-04-23T00:00:00Z"/>
        <d v="2021-12-13T00:00:00Z"/>
        <d v="2023-03-08T00:00:00Z"/>
        <d v="2021-05-05T00:00:00Z"/>
        <d v="2021-11-27T00:00:00Z"/>
        <d v="2023-04-26T00:00:00Z"/>
        <d v="2022-03-17T00:00:00Z"/>
        <d v="2021-11-07T00:00:00Z"/>
        <d v="2021-09-17T00:00:00Z"/>
        <d v="2023-03-15T00:00:00Z"/>
        <d v="2022-09-18T00:00:00Z"/>
        <d v="2022-01-10T00:00:00Z"/>
        <d v="2021-01-27T00:00:00Z"/>
        <d v="2022-03-28T00:00:00Z"/>
        <d v="2021-10-06T00:00:00Z"/>
        <d v="2021-08-07T00:00:00Z"/>
        <d v="2021-08-17T00:00:00Z"/>
        <d v="2023-04-08T00:00:00Z"/>
        <d v="2022-06-09T00:00:00Z"/>
        <d v="2022-11-19T00:00:00Z"/>
        <d v="2022-05-02T00:00:00Z"/>
        <d v="2021-06-29T00:00:00Z"/>
        <d v="2023-11-28T00:00:00Z"/>
        <d v="2021-10-18T00:00:00Z"/>
        <d v="2022-02-01T00:00:00Z"/>
        <d v="2021-09-14T00:00:00Z"/>
        <d v="2021-04-19T00:00:00Z"/>
        <d v="2021-10-27T00:00:00Z"/>
        <d v="2022-01-21T00:00:00Z"/>
        <d v="2021-04-22T00:00:00Z"/>
        <d v="2023-03-23T00:00:00Z"/>
        <d v="2023-11-02T00:00:00Z"/>
        <d v="2021-05-04T00:00:00Z"/>
        <d v="2023-06-11T00:00:00Z"/>
        <d v="2023-09-14T00:00:00Z"/>
        <d v="2022-11-16T00:00:00Z"/>
        <d v="2021-06-18T00:00:00Z"/>
        <d v="2023-12-23T00:00:00Z"/>
        <d v="2021-11-21T00:00:00Z"/>
        <d v="2022-07-16T00:00:00Z"/>
        <d v="2022-11-20T00:00:00Z"/>
        <d v="2023-09-25T00:00:00Z"/>
        <d v="2022-08-28T00:00:00Z"/>
        <d v="2021-04-28T00:00:00Z"/>
        <d v="2023-04-23T00:00:00Z"/>
        <d v="2022-09-03T00:00:00Z"/>
        <d v="2021-01-09T00:00:00Z"/>
        <d v="2021-11-30T00:00:00Z"/>
        <d v="2023-02-06T00:00:00Z"/>
        <d v="2023-10-11T00:00:00Z"/>
        <d v="2021-02-13T00:00:00Z"/>
        <d v="2022-12-29T00:00:00Z"/>
        <d v="2023-12-26T00:00:00Z"/>
        <d v="2021-06-11T00:00:00Z"/>
        <d v="2021-07-13T00:00:00Z"/>
        <d v="2021-10-04T00:00:00Z"/>
        <d v="2023-01-14T00:00:00Z"/>
        <d v="2022-09-23T00:00:00Z"/>
        <d v="2021-12-02T00:00:00Z"/>
        <d v="2022-07-26T00:00:00Z"/>
        <d v="2021-07-12T00:00:00Z"/>
        <d v="2021-06-27T00:00:00Z"/>
        <d v="2022-10-12T00:00:00Z"/>
        <d v="2022-05-21T00:00:00Z"/>
        <d v="2021-03-13T00:00:00Z"/>
        <d v="2023-07-06T00:00:00Z"/>
        <d v="2021-03-14T00:00:00Z"/>
        <d v="2021-10-24T00:00:00Z"/>
        <d v="2023-08-22T00:00:00Z"/>
        <d v="2022-06-15T00:00:00Z"/>
        <d v="2021-12-09T00:00:00Z"/>
        <d v="2022-06-29T00:00:00Z"/>
        <d v="2022-11-05T00:00:00Z"/>
        <d v="2022-03-05T00:00:00Z"/>
        <d v="2023-07-25T00:00:00Z"/>
        <d v="2023-12-25T00:00:00Z"/>
        <d v="2021-10-09T00:00:00Z"/>
        <d v="2023-01-08T00:00:00Z"/>
        <d v="2023-04-30T00:00:00Z"/>
        <d v="2022-06-24T00:00:00Z"/>
        <d v="2021-08-21T00:00:00Z"/>
        <d v="2022-08-02T00:00:00Z"/>
        <d v="2022-12-04T00:00:00Z"/>
        <d v="2023-01-13T00:00:00Z"/>
        <d v="2021-01-23T00:00:00Z"/>
        <d v="2023-03-29T00:00:00Z"/>
        <d v="2022-12-24T00:00:00Z"/>
        <d v="2021-07-31T00:00:00Z"/>
        <d v="2023-12-21T00:00:00Z"/>
        <d v="2023-01-24T00:00:00Z"/>
        <d v="2023-11-09T00:00:00Z"/>
        <d v="2023-11-01T00:00:00Z"/>
        <d v="2021-04-13T00:00:00Z"/>
        <d v="2023-05-11T00:00:00Z"/>
        <d v="2021-01-14T00:00:00Z"/>
        <d v="2022-09-13T00:00:00Z"/>
        <d v="2023-02-07T00:00:00Z"/>
        <d v="2021-11-26T00:00:00Z"/>
        <d v="2022-06-16T00:00:00Z"/>
        <d v="2023-11-17T00:00:00Z"/>
        <d v="2022-05-04T00:00:00Z"/>
        <d v="2023-06-06T00:00:00Z"/>
        <d v="2023-06-09T00:00:00Z"/>
        <d v="2021-09-04T00:00:00Z"/>
        <d v="2022-09-29T00:00:00Z"/>
        <d v="2023-09-08T00:00:00Z"/>
        <d v="2021-09-23T00:00:00Z"/>
        <d v="2022-11-02T00:00:00Z"/>
        <d v="2022-12-25T00:00:00Z"/>
        <d v="2022-10-26T00:00:00Z"/>
        <d v="2021-07-28T00:00:00Z"/>
        <d v="2021-09-06T00:00:00Z"/>
        <d v="2022-06-22T00:00:00Z"/>
        <d v="2023-12-29T00:00:00Z"/>
        <d v="2023-09-19T00:00:00Z"/>
        <d v="2023-03-13T00:00:00Z"/>
        <d v="2023-10-02T00:00:00Z"/>
        <d v="2023-05-02T00:00:00Z"/>
        <d v="2023-03-01T00:00:00Z"/>
        <d v="2021-01-21T00:00:00Z"/>
        <d v="2021-01-30T00:00:00Z"/>
        <d v="2021-11-09T00:00:00Z"/>
        <d v="2022-06-19T00:00:00Z"/>
        <d v="2022-01-30T00:00:00Z"/>
        <d v="2023-08-05T00:00:00Z"/>
        <d v="2022-04-11T00:00:00Z"/>
        <d v="2022-11-30T00:00:00Z"/>
        <d v="2022-09-26T00:00:00Z"/>
        <d v="2022-05-15T00:00:00Z"/>
        <d v="2022-12-30T00:00:00Z"/>
        <d v="2022-06-12T00:00:00Z"/>
        <d v="2022-10-24T00:00:00Z"/>
        <d v="2023-09-18T00:00:00Z"/>
        <d v="2023-08-13T00:00:00Z"/>
        <d v="2023-11-25T00:00:00Z"/>
        <d v="2022-02-21T00:00:00Z"/>
        <d v="2022-02-09T00:00:00Z"/>
        <d v="2023-01-17T00:00:00Z"/>
        <d v="2023-04-18T00:00:00Z"/>
        <d v="2021-04-20T00:00:00Z"/>
        <d v="2022-11-09T00:00:00Z"/>
        <d v="2022-01-12T00:00:00Z"/>
        <d v="2023-05-23T00:00:00Z"/>
        <d v="2021-10-05T00:00:00Z"/>
        <d v="2021-12-14T00:00:00Z"/>
        <d v="2021-01-29T00:00:00Z"/>
        <d v="2023-05-20T00:00:00Z"/>
        <d v="2021-05-29T00:00:00Z"/>
        <d v="2022-08-06T00:00:00Z"/>
        <d v="2023-07-24T00:00:00Z"/>
        <d v="2023-02-21T00:00:00Z"/>
        <d v="2021-07-30T00:00:00Z"/>
        <d v="2023-02-13T00:00:00Z"/>
        <d v="2023-02-11T00:00:00Z"/>
        <d v="2023-12-16T00:00:00Z"/>
        <d v="2022-11-24T00:00:00Z"/>
        <d v="2022-02-22T00:00:00Z"/>
        <d v="2023-03-04T00:00:00Z"/>
        <d v="2022-09-12T00:00:00Z"/>
        <d v="2023-01-30T00:00:00Z"/>
        <d v="2023-08-07T00:00:00Z"/>
        <d v="2023-08-12T00:00:00Z"/>
        <d v="2023-02-28T00:00:00Z"/>
        <d v="2023-02-01T00:00:00Z"/>
        <d v="2023-02-08T00:00:00Z"/>
        <d v="2023-05-17T00:00:00Z"/>
        <d v="2021-07-17T00:00:00Z"/>
        <d v="2022-01-20T00:00:00Z"/>
        <d v="2023-06-08T00:00:00Z"/>
        <d v="2022-11-17T00:00:00Z"/>
        <d v="2021-08-30T00:00:00Z"/>
        <d v="2021-04-21T00:00:00Z"/>
        <d v="2021-08-16T00:00:00Z"/>
        <d v="2022-04-14T00:00:00Z"/>
        <d v="2022-08-25T00:00:00Z"/>
        <d v="2021-02-21T00:00:00Z"/>
        <d v="2022-03-31T00:00:00Z"/>
        <d v="2021-09-18T00:00:00Z"/>
        <d v="2023-11-10T00:00:00Z"/>
        <d v="2023-01-27T00:00:00Z"/>
        <d v="2021-07-24T00:00:00Z"/>
        <d v="2022-05-25T00:00:00Z"/>
        <d v="2023-10-06T00:00:00Z"/>
        <d v="2021-04-14T00:00:00Z"/>
        <d v="2023-09-27T00:00:00Z"/>
        <d v="2022-07-02T00:00:00Z"/>
        <d v="2023-11-23T00:00:00Z"/>
        <d v="2021-11-05T00:00:00Z"/>
        <d v="2023-11-27T00:00:00Z"/>
        <d v="2023-07-08T00:00:00Z"/>
        <d v="2021-11-10T00:00:00Z"/>
        <d v="2022-03-22T00:00:00Z"/>
        <d v="2022-03-07T00:00:00Z"/>
        <d v="2022-08-23T00:00:00Z"/>
        <d v="2022-02-11T00:00:00Z"/>
        <d v="2023-07-18T00:00:00Z"/>
        <d v="2021-04-06T00:00:00Z"/>
        <d v="2023-03-28T00:00:00Z"/>
        <d v="2022-03-27T00:00:00Z"/>
        <d v="2022-03-25T00:00:00Z"/>
        <d v="2021-02-14T00:00:00Z"/>
        <d v="2022-01-17T00:00:00Z"/>
        <d v="2023-01-04T00:00:00Z"/>
        <d v="2023-10-30T00:00:00Z"/>
        <d v="2023-05-12T00:00:00Z"/>
        <d v="2022-05-30T00:00:00Z"/>
        <d v="2023-12-08T00:00:00Z"/>
        <d v="2021-01-06T00:00:00Z"/>
        <d v="2022-11-27T00:00:00Z"/>
        <d v="2023-02-20T00:00:00Z"/>
        <d v="2022-07-20T00:00:00Z"/>
        <d v="2023-12-07T00:00:00Z"/>
        <d v="2022-05-31T00:00:00Z"/>
        <d v="2023-01-31T00:00:00Z"/>
        <d v="2023-03-02T00:00:00Z"/>
        <d v="2023-08-15T00:00:00Z"/>
        <d v="2022-02-08T00:00:00Z"/>
        <d v="2023-09-02T00:00:00Z"/>
        <d v="2021-05-24T00:00:00Z"/>
        <d v="2021-04-24T00:00:00Z"/>
        <d v="2021-08-29T00:00:00Z"/>
        <d v="2021-12-06T00:00:00Z"/>
        <d v="2022-11-08T00:00:00Z"/>
        <d v="2023-10-03T00:00:00Z"/>
        <d v="2021-10-29T00:00:00Z"/>
        <d v="2023-06-02T00:00:00Z"/>
        <d v="2021-03-05T00:00:00Z"/>
        <d v="2023-04-21T00:00:00Z"/>
        <d v="2022-05-09T00:00:00Z"/>
        <d v="2022-04-29T00:00:00Z"/>
        <d v="2023-06-26T00:00:00Z"/>
        <d v="2021-12-10T00:00:00Z"/>
        <d v="2022-05-23T00:00:00Z"/>
        <d v="2023-06-05T00:00:00Z"/>
        <d v="2023-09-24T00:00:00Z"/>
        <d v="2022-01-15T00:00:00Z"/>
        <d v="2023-05-31T00:00:00Z"/>
        <d v="2022-04-01T00:00:00Z"/>
        <d v="2021-10-15T00:00:00Z"/>
        <d v="2021-03-09T00:00:00Z"/>
        <d v="2021-07-04T00:00:00Z"/>
        <d v="2022-06-06T00:00:00Z"/>
        <d v="2021-04-16T00:00:00Z"/>
        <d v="2021-05-18T00:00:00Z"/>
        <d v="2021-05-28T00:00:00Z"/>
        <d v="2023-10-25T00:00:00Z"/>
        <d v="2021-08-02T00:00:00Z"/>
        <d v="2023-06-01T00:00:00Z"/>
        <d v="2021-11-11T00:00:00Z"/>
        <d v="2022-08-01T00:00:00Z"/>
        <d v="2021-04-11T00:00:00Z"/>
        <d v="2021-01-01T00:00:00Z"/>
        <d v="2022-01-28T00:00:00Z"/>
        <d v="2023-07-15T00:00:00Z"/>
        <d v="2021-06-20T00:00:00Z"/>
        <d v="2023-06-18T00:00:00Z"/>
        <d v="2021-08-12T00:00:00Z"/>
        <d v="2022-05-08T00:00:00Z"/>
        <d v="2023-01-18T00:00:00Z"/>
        <d v="2023-06-28T00:00:00Z"/>
        <d v="2023-10-27T00:00:00Z"/>
        <d v="2022-09-14T00:00:00Z"/>
        <d v="2021-11-19T00:00:00Z"/>
        <d v="2023-07-02T00:00:00Z"/>
        <d v="2021-06-02T00:00:00Z"/>
        <d v="2021-01-26T00:00:00Z"/>
        <d v="2022-10-02T00:00:00Z"/>
        <d v="2022-04-30T00:00:00Z"/>
        <d v="2021-11-20T00:00:00Z"/>
        <d v="2022-04-16T00:00:00Z"/>
        <d v="2023-08-31T00:00:00Z"/>
        <d v="2022-12-22T00:00:00Z"/>
        <d v="2021-03-22T00:00:00Z"/>
        <d v="2023-06-13T00:00:00Z"/>
        <d v="2021-06-14T00:00:00Z"/>
        <d v="2021-12-12T00:00:00Z"/>
        <d v="2022-09-21T00:00:00Z"/>
        <d v="2022-03-09T00:00:00Z"/>
        <d v="2023-07-12T00:00:00Z"/>
        <d v="2023-04-28T00:00:00Z"/>
        <d v="2021-09-29T00:00:00Z"/>
        <d v="2022-03-21T00:00:00Z"/>
        <d v="2022-02-10T00:00:00Z"/>
        <d v="2022-07-11T00:00:00Z"/>
        <d v="2023-12-17T00:00:00Z"/>
        <d v="2021-01-31T00:00:00Z"/>
        <d v="2023-05-19T00:00:00Z"/>
        <d v="2021-05-26T00:00:00Z"/>
        <d v="2022-06-28T00:00:00Z"/>
        <d v="2023-10-17T00:00:00Z"/>
        <d v="2022-02-18T00:00:00Z"/>
        <d v="2022-01-08T00:00:00Z"/>
        <d v="2022-02-15T00:00:00Z"/>
        <d v="2023-12-03T00:00:00Z"/>
        <d v="2021-12-17T00:00:00Z"/>
        <d v="2022-12-28T00:00:00Z"/>
        <d v="2023-08-09T00:00:00Z"/>
        <d v="2022-03-15T00:00:00Z"/>
        <d v="2021-04-08T00:00:00Z"/>
        <d v="2023-07-04T00:00:00Z"/>
        <d v="2023-12-01T00:00:00Z"/>
        <d v="2022-12-16T00:00:00Z"/>
        <d v="2023-12-18T00:00:00Z"/>
        <d v="2023-09-26T00:00:00Z"/>
        <d v="2022-10-23T00:00:00Z"/>
        <d v="2022-11-29T00:00:00Z"/>
        <d v="2022-03-01T00:00:00Z"/>
        <d v="2023-11-08T00:00:00Z"/>
        <d v="2021-04-09T00:00:00Z"/>
        <d v="2023-10-19T00:00:00Z"/>
        <d v="2022-05-22T00:00:00Z"/>
        <d v="2021-02-20T00:00:00Z"/>
        <d v="2023-11-30T00:00:00Z"/>
        <d v="2021-12-23T00:00:00Z"/>
        <d v="2023-11-19T00:00:00Z"/>
        <d v="2023-07-10T00:00:00Z"/>
        <d v="2021-04-26T00:00:00Z"/>
        <d v="2022-04-17T00:00:00Z"/>
        <d v="2023-07-20T00:00:00Z"/>
        <d v="2022-09-15T00:00:00Z"/>
        <d v="2021-04-04T00:00:00Z"/>
        <d v="2023-11-06T00:00:00Z"/>
        <d v="2022-07-25T00:00:00Z"/>
        <d v="2022-05-12T00:00:00Z"/>
        <d v="2021-10-08T00:00:00Z"/>
        <d v="2021-10-07T00:00:00Z"/>
        <d v="2023-03-20T00:00:00Z"/>
        <d v="2022-08-17T00:00:00Z"/>
        <d v="2021-12-29T00:00:00Z"/>
        <d v="2021-07-19T00:00:00Z"/>
        <d v="2021-06-04T00:00:00Z"/>
        <d v="2021-09-12T00:00:00Z"/>
        <d v="2023-09-12T00:00:00Z"/>
        <d v="2021-07-20T00:00:00Z"/>
        <d v="2023-05-26T00:00:00Z"/>
        <d v="2023-02-10T00:00:00Z"/>
        <d v="2023-01-11T00:00:00Z"/>
        <d v="2023-08-20T00:00:00Z"/>
        <d v="2022-05-10T00:00:00Z"/>
        <d v="2022-01-07T00:00:00Z"/>
        <d v="2023-02-17T00:00:00Z"/>
        <d v="2023-04-01T00:00:00Z"/>
        <d v="2022-05-13T00:00:00Z"/>
        <d v="2022-02-19T00:00:00Z"/>
        <d v="2021-08-20T00:00:00Z"/>
        <d v="2023-05-05T00:00:00Z"/>
        <d v="2022-03-11T00:00:00Z"/>
        <d v="2023-03-22T00:00:00Z"/>
        <d v="2022-09-04T00:00:00Z"/>
        <d v="2022-03-29T00:00:00Z"/>
        <d v="2021-04-01T00:00:00Z"/>
        <d v="2021-12-20T00:00:00Z"/>
        <d v="2023-07-22T00:00:00Z"/>
        <d v="2023-09-06T00:00:00Z"/>
        <d v="2022-08-16T00:00:00Z"/>
        <d v="2023-10-08T00:00:00Z"/>
        <d v="2022-09-25T00:00:00Z"/>
        <d v="2022-10-28T00:00:00Z"/>
        <d v="2022-10-13T00:00:00Z"/>
        <d v="2022-12-20T00:00:00Z"/>
        <d v="2023-01-07T00:00:00Z"/>
        <d v="2021-05-23T00:00:00Z"/>
        <d v="2023-04-05T00:00:00Z"/>
        <d v="2022-12-15T00:00:00Z"/>
        <d v="2022-07-27T00:00:00Z"/>
        <d v="2021-12-03T00:00:00Z"/>
        <d v="2021-01-25T00:00:00Z"/>
        <d v="2022-02-28T00:00:00Z"/>
        <d v="2023-05-24T00:00:00Z"/>
        <d v="2021-04-07T00:00:00Z"/>
        <d v="2021-10-01T00:00:00Z"/>
        <d v="2023-12-19T00:00:00Z"/>
        <d v="2023-11-14T00:00:00Z"/>
        <d v="2023-03-25T00:00:00Z"/>
        <d v="2021-03-30T00:00:00Z"/>
        <d v="2021-09-15T00:00:00Z"/>
        <d v="2021-08-26T00:00:00Z"/>
        <d v="2021-02-09T00:00:00Z"/>
        <d v="2021-02-17T00:00:00Z"/>
        <d v="2023-11-03T00:00:00Z"/>
        <d v="2023-06-27T00:00:00Z"/>
        <d v="2023-02-26T00:00:00Z"/>
        <d v="2022-06-21T00:00:00Z"/>
        <d v="2021-09-16T00:00:00Z"/>
        <d v="2023-02-14T00:00:00Z"/>
        <d v="2021-06-13T00:00:00Z"/>
        <d v="2023-05-13T00:00:00Z"/>
        <d v="2023-10-04T00:00:00Z"/>
        <d v="2021-11-15T00:00:00Z"/>
        <d v="2023-07-30T00:00:00Z"/>
        <d v="2022-11-28T00:00:00Z"/>
        <d v="2022-08-03T00:00:00Z"/>
        <d v="2021-03-02T00:00:00Z"/>
        <d v="2022-07-15T00:00:00Z"/>
        <d v="2021-03-17T00:00:00Z"/>
        <d v="2022-11-04T00:00:00Z"/>
        <d v="2022-01-05T00:00:00Z"/>
        <d v="2022-02-27T00:00:00Z"/>
        <d v="2021-05-14T00:00:00Z"/>
        <d v="2023-05-08T00:00:00Z"/>
        <d v="2021-02-16T00:00:00Z"/>
        <d v="2022-12-08T00:00:00Z"/>
        <d v="2022-10-04T00:00:00Z"/>
        <d v="2021-02-12T00:00:00Z"/>
        <d v="2022-07-19T00:00:00Z"/>
        <d v="2021-09-24T00:00:00Z"/>
        <d v="2021-11-06T00:00:00Z"/>
        <d v="2021-03-18T00:00:00Z"/>
        <d v="2023-05-18T00:00:00Z"/>
        <d v="2022-10-11T00:00:00Z"/>
        <d v="2022-05-20T00:00:00Z"/>
        <d v="2023-09-17T00:00:00Z"/>
        <d v="2021-10-19T00:00:00Z"/>
        <d v="2021-02-23T00:00:00Z"/>
        <d v="2021-02-22T00:00:00Z"/>
        <d v="2021-05-27T00:00:00Z"/>
        <d v="2021-09-22T00:00:00Z"/>
        <d v="2023-09-20T00:00:00Z"/>
        <d v="2022-12-17T00:00:00Z"/>
        <d v="2023-09-05T00:00:00Z"/>
        <d v="2023-07-26T00:00:00Z"/>
        <d v="2022-04-05T00:00:00Z"/>
        <d v="2021-06-25T00:00:00Z"/>
        <d v="2023-06-19T00:00:00Z"/>
        <d v="2021-06-19T00:00:00Z"/>
        <d v="2023-10-13T00:00:00Z"/>
        <d v="2023-08-29T00:00:00Z"/>
        <d v="2023-03-06T00:00:00Z"/>
        <d v="2021-06-05T00:00:00Z"/>
        <d v="2022-08-09T00:00:00Z"/>
        <d v="2021-04-02T00:00:00Z"/>
        <d v="2022-05-03T00:00:00Z"/>
        <d v="2023-12-31T00:00:00Z"/>
        <d v="2021-01-22T00:00:00Z"/>
        <d v="2023-12-22T00:00:00Z"/>
        <d v="2023-05-22T00:00:00Z"/>
        <d v="2022-01-29T00:00:00Z"/>
        <d v="2021-03-19T00:00:00Z"/>
        <d v="2023-11-20T00:00:00Z"/>
        <d v="2022-10-27T00:00:00Z"/>
        <d v="2022-09-27T00:00:00Z"/>
        <d v="2023-03-19T00:00:00Z"/>
        <d v="2023-07-21T00:00:00Z"/>
        <d v="2023-08-24T00:00:00Z"/>
        <d v="2022-01-22T00:00:00Z"/>
        <d v="2021-03-06T00:00:00Z"/>
        <d v="2023-01-10T00:00:00Z"/>
        <d v="2021-08-15T00:00:00Z"/>
        <d v="2023-05-28T00:00:00Z"/>
        <d v="2021-04-15T00:00:00Z"/>
        <d v="2021-03-16T00:00:00Z"/>
        <d v="2021-02-18T00:00:00Z"/>
        <d v="2022-09-07T00:00:00Z"/>
        <d v="2023-06-17T00:00:00Z"/>
        <d v="2021-05-21T00:00:00Z"/>
        <d v="2021-03-31T00:00:00Z"/>
        <d v="2021-04-18T00:00:00Z"/>
        <d v="2021-04-17T00:00:00Z"/>
        <d v="2022-10-08T00:00:00Z"/>
        <d v="2022-04-25T00:00:00Z"/>
        <d v="2023-10-22T00:00:00Z"/>
        <d v="2023-03-17T00:00:00Z"/>
        <d v="2021-09-30T00:00:00Z"/>
        <d v="2023-12-09T00:00:00Z"/>
        <d v="2022-09-20T00:00:00Z"/>
        <d v="2022-07-13T00:00:00Z"/>
        <d v="2021-03-08T00:00:00Z"/>
        <d v="2022-07-31T00:00:00Z"/>
        <d v="2022-09-09T00:00:00Z"/>
        <d v="2022-04-18T00:00:00Z"/>
        <d v="2021-12-21T00:00:00Z"/>
        <d v="2023-01-28T00:00:00Z"/>
        <d v="2022-07-18T00:00:00Z"/>
        <d v="2023-01-25T00:00:00Z"/>
        <d v="2022-10-21T00:00:00Z"/>
        <d v="2023-07-31T00:00:00Z"/>
        <d v="2022-05-07T00:00:00Z"/>
        <d v="2021-09-27T00:00:00Z"/>
        <d v="2021-01-16T00:00:00Z"/>
        <d v="2023-02-03T00:00:00Z"/>
        <d v="2023-12-15T00:00:00Z"/>
        <d v="2023-08-03T00:00:00Z"/>
        <d v="2023-09-30T00:00:00Z"/>
        <d v="2022-04-23T00:00:00Z"/>
        <d v="2021-04-10T00:00:00Z"/>
        <d v="2022-10-07T00:00:00Z"/>
        <d v="2023-07-05T00:00:00Z"/>
        <d v="2021-02-08T00:00:00Z"/>
        <d v="2022-12-18T00:00:00Z"/>
        <d v="2021-07-07T00:00:00Z"/>
        <d v="2021-09-01T00:00:00Z"/>
        <d v="2021-03-29T00:00:00Z"/>
        <d v="2023-09-04T00:00:00Z"/>
        <d v="2021-07-09T00:00:00Z"/>
        <d v="2023-07-17T00:00:00Z"/>
        <d v="2022-10-06T00:00:00Z"/>
        <d v="2023-04-22T00:00:00Z"/>
        <d v="2021-10-28T00:00:00Z"/>
        <d v="2023-07-29T00:00:00Z"/>
        <d v="2022-01-26T00:00:00Z"/>
        <d v="2022-02-07T00:00:00Z"/>
        <d v="2023-06-07T00:00:00Z"/>
        <d v="2022-06-17T00:00:00Z"/>
        <d v="2022-09-01T00:00:00Z"/>
        <d v="2021-07-16T00:00:00Z"/>
        <d v="2023-12-04T00:00:00Z"/>
        <d v="2021-07-18T00:00:00Z"/>
        <d v="2023-12-12T00:00:00Z"/>
        <d v="2022-03-24T00:00:00Z"/>
        <d v="2021-11-24T00:00:00Z"/>
        <d v="2021-05-02T00:00:00Z"/>
        <d v="2022-06-23T00:00:00Z"/>
        <d v="2023-08-23T00:00:00Z"/>
        <d v="2021-11-01T00:00:00Z"/>
        <d v="2022-01-03T00:00:00Z"/>
        <d v="2023-09-23T00:00:00Z"/>
        <d v="2021-03-12T00:00:00Z"/>
        <d v="2023-09-07T00:00:00Z"/>
        <d v="2023-06-03T00:00:00Z"/>
        <d v="2021-11-28T00:00:00Z"/>
        <d v="2022-08-21T00:00:00Z"/>
        <d v="2023-10-14T00:00:00Z"/>
        <d v="2023-05-25T00:00:00Z"/>
        <d v="2021-09-25T00:00:00Z"/>
        <d v="2023-07-01T00:00:00Z"/>
        <d v="2023-05-29T00:00:00Z"/>
        <d v="2022-07-21T00:00:00Z"/>
        <d v="2023-01-09T00:00:00Z"/>
        <d v="2022-02-17T00:00:00Z"/>
        <d v="2021-10-10T00:00:00Z"/>
        <d v="2022-07-06T00:00:00Z"/>
        <d v="2023-11-15T00:00:00Z"/>
        <d v="2021-09-21T00:00:00Z"/>
        <d v="2021-04-29T00:00:00Z"/>
        <d v="2021-05-10T00:00:00Z"/>
        <d v="2021-08-08T00:00:00Z"/>
        <d v="2021-08-11T00:00:00Z"/>
        <d v="2022-06-01T00:00:00Z"/>
        <d v="2022-12-11T00:00:00Z"/>
        <d v="2023-11-12T00:00:00Z"/>
        <d v="2022-02-04T00:00:00Z"/>
        <d v="2023-11-29T00:00:00Z"/>
        <d v="2023-05-27T00:00:00Z"/>
        <d v="2021-02-11T00:00:00Z"/>
        <d v="2022-08-08T00:00:00Z"/>
        <d v="2023-02-09T00:00:00Z"/>
        <d v="2021-01-19T00:00:00Z"/>
        <d v="2022-06-26T00:00:00Z"/>
        <d v="2021-12-30T00:00:00Z"/>
        <d v="2021-11-16T00:00:00Z"/>
        <d v="2022-09-05T00:00:00Z"/>
        <d v="2022-02-03T00:00:00Z"/>
        <d v="2022-06-11T00:00:00Z"/>
        <d v="2022-04-08T00:00:00Z"/>
        <d v="2023-09-15T00:00:00Z"/>
        <d v="2022-08-07T00:00:00Z"/>
        <d v="2021-06-06T00:00:00Z"/>
        <d v="2022-06-07T00:00:00Z"/>
        <d v="2021-08-14T00:00:00Z"/>
        <d v="2021-05-20T00:00:00Z"/>
        <d v="2023-01-23T00:00:00Z"/>
        <d v="2023-01-06T00:00:00Z"/>
        <d v="2022-08-22T00:00:00Z"/>
        <d v="2021-06-07T00:00:00Z"/>
        <d v="2021-11-08T00:00:00Z"/>
        <d v="2021-12-15T00:00:00Z"/>
        <d v="2022-04-24T00:00:00Z"/>
        <d v="2023-09-10T00:00:00Z"/>
        <d v="2021-05-11T00:00:00Z"/>
        <d v="2021-03-07T00:00:00Z"/>
        <d v="2021-10-25T00:00:00Z"/>
        <d v="2022-12-03T00:00:00Z"/>
        <d v="2023-09-03T00:00:00Z"/>
        <d v="2022-10-01T00:00:00Z"/>
        <d v="2023-05-16T00:00:00Z"/>
        <d v="2021-07-29T00:00:00Z"/>
        <d v="2021-02-05T00:00:00Z"/>
        <d v="2022-01-14T00:00:00Z"/>
        <d v="2021-02-15T00:00:00Z"/>
        <d v="2021-11-13T00:00:00Z"/>
        <d v="2023-11-05T00:00:00Z"/>
        <d v="2021-07-10T00:00:00Z"/>
        <d v="2023-05-30T00:00:00Z"/>
        <d v="2023-02-02T00:00:00Z"/>
        <d v="2022-07-03T00:00:00Z"/>
        <d v="2023-07-07T00:00:00Z"/>
        <d v="2022-08-29T00:00:00Z"/>
        <d v="2021-10-30T00:00:00Z"/>
        <d v="2021-01-28T00:00:00Z"/>
        <d v="2022-08-31T00:00:00Z"/>
        <d v="2023-03-26T00:00:00Z"/>
        <d v="2021-01-10T00:00:00Z"/>
        <d v="2022-11-03T00:00:00Z"/>
        <d v="2022-12-06T00:00:00Z"/>
        <d v="2021-09-05T00:00:00Z"/>
        <d v="2021-04-03T00:00:00Z"/>
        <d v="2023-04-03T00:00:00Z"/>
        <d v="2021-12-25T00:00:00Z"/>
        <d v="2021-11-04T00:00:00Z"/>
        <d v="2023-11-21T00:00:00Z"/>
        <d v="2022-01-11T00:00:00Z"/>
        <d v="2022-08-15T00:00:00Z"/>
        <d v="2021-08-27T00:00:00Z"/>
        <d v="2023-04-29T00:00:00Z"/>
        <d v="2022-04-07T00:00:00Z"/>
        <d v="2023-07-27T00:00:00Z"/>
        <d v="2023-10-05T00:00:00Z"/>
        <d v="2023-08-28T00:00:00Z"/>
        <d v="2022-03-26T00:00:00Z"/>
        <d v="2021-12-26T00:00:00Z"/>
        <d v="2021-09-07T00:00:00Z"/>
        <d v="2022-11-07T00:00:00Z"/>
        <d v="2023-04-14T00:00:00Z"/>
        <d v="2021-11-12T00:00:00Z"/>
        <d v="2021-12-19T00:00:00Z"/>
        <d v="2023-10-16T00:00:00Z"/>
        <d v="2022-05-11T00:00:00Z"/>
        <d v="2021-04-27T00:00:00Z"/>
        <d v="2022-03-14T00:00:00Z"/>
        <d v="2023-08-21T00:00:00Z"/>
        <d v="2022-10-19T00:00:00Z"/>
        <d v="2022-05-29T00:00:00Z"/>
        <d v="2022-11-12T00:00:00Z"/>
        <d v="2023-06-16T00:00:00Z"/>
        <d v="2023-10-10T00:00:00Z"/>
        <d v="2021-02-10T00:00:00Z"/>
        <d v="2023-06-23T00:00:00Z"/>
        <d v="2021-12-05T00:00:00Z"/>
        <d v="2023-06-21T00:00:00Z"/>
        <d v="2021-10-20T00:00:00Z"/>
        <d v="2021-01-05T00:00:00Z"/>
        <d v="2023-01-02T00:00:00Z"/>
        <d v="2022-03-23T00:00:00Z"/>
        <d v="2021-08-23T00:00:00Z"/>
        <d v="2022-08-18T00:00:00Z"/>
        <d v="2021-08-22T00:00:00Z"/>
        <d v="2023-10-28T00:00:00Z"/>
        <d v="2022-10-03T00:00:00Z"/>
        <d v="2022-12-27T00:00:00Z"/>
        <d v="2023-04-24T00:00:00Z"/>
        <d v="2023-12-05T00:00:00Z"/>
        <d v="2021-05-16T00:00:00Z"/>
        <d v="2021-08-01T00:00:00Z"/>
        <d v="2022-05-14T00:00:00Z"/>
        <d v="2022-08-24T00:00:00Z"/>
        <d v="2022-10-15T00:00:00Z"/>
        <d v="2022-10-29T00:00:00Z"/>
        <d v="2023-06-14T00:00:00Z"/>
        <d v="2021-05-13T00:00:00Z"/>
        <d v="2022-07-23T00:00:00Z"/>
        <d v="2021-01-04T00:00:00Z"/>
        <d v="2021-11-02T00:00:00Z"/>
        <d v="2022-07-05T00:00:00Z"/>
        <d v="2022-09-19T00:00:00Z"/>
        <d v="2023-03-03T00:00:00Z"/>
        <d v="2023-10-20T00:00:00Z"/>
        <d v="2023-02-23T00:00:00Z"/>
        <d v="2022-03-08T00:00:00Z"/>
        <d v="2021-05-25T00:00:00Z"/>
        <d v="2022-11-01T00:00:00Z"/>
        <d v="2021-03-15T00:00:00Z"/>
        <d v="2022-06-08T00:00:00Z"/>
        <d v="2023-11-22T00:00:00Z"/>
        <d v="2023-08-30T00:00:00Z"/>
        <d v="2022-06-30T00:00:00Z"/>
        <d v="2021-08-04T00:00:00Z"/>
        <d v="2022-07-17T00:00:00Z"/>
        <d v="2023-08-11T00:00:00Z"/>
        <d v="2022-08-04T00:00:00Z"/>
        <d v="2022-10-18T00:00:00Z"/>
        <d v="2023-05-21T00:00:00Z"/>
        <d v="2021-01-24T00:00:00Z"/>
        <d v="2022-06-14T00:00:00Z"/>
        <d v="2022-01-18T00:00:00Z"/>
        <d v="2021-10-26T00:00:00Z"/>
        <d v="2021-06-09T00:00:00Z"/>
        <d v="2022-12-13T00:00:00Z"/>
        <d v="2021-07-02T00:00:00Z"/>
        <d v="2023-07-28T00:00:00Z"/>
        <d v="2021-06-30T00:00:00Z"/>
        <d v="2021-04-25T00:00:00Z"/>
        <d v="2022-12-12T00:00:00Z"/>
        <d v="2021-02-19T00:00:00Z"/>
        <d v="2021-12-27T00:00:00Z"/>
        <d v="2021-08-18T00:00:00Z"/>
        <d v="2023-04-10T00:00:00Z"/>
        <d v="2022-03-06T00:00:00Z"/>
        <d v="2021-01-20T00:00:00Z"/>
        <d v="2021-10-11T00:00:00Z"/>
        <d v="2023-04-27T00:00:00Z"/>
        <d v="2021-05-09T00:00:00Z"/>
        <d v="2022-03-12T00:00:00Z"/>
        <d v="2023-04-16T00:00:00Z"/>
        <d v="2023-11-13T00:00:00Z"/>
        <d v="2023-11-24T00:00:00Z"/>
        <d v="2021-10-13T00:00:00Z"/>
        <d v="2022-06-10T00:00:00Z"/>
        <d v="2021-12-07T00:00:00Z"/>
        <d v="2021-11-23T00:00:00Z"/>
        <d v="2022-09-11T00:00:00Z"/>
        <d v="2021-08-05T00:00:00Z"/>
        <d v="2022-05-28T00:00:00Z"/>
        <d v="2023-08-10T00:00:00Z"/>
        <d v="2021-09-28T00:00:00Z"/>
        <d v="2021-11-22T00:00:00Z"/>
        <d v="2023-10-01T00:00:00Z"/>
        <d v="2021-08-09T00:00:00Z"/>
        <d v="2022-11-11T00:00:00Z"/>
        <d v="2021-02-02T00:00:00Z"/>
        <d v="2021-01-03T00:00:00Z"/>
        <d v="2022-04-10T00:00:00Z"/>
        <d v="2023-05-06T00:00:00Z"/>
        <d v="2022-03-18T00:00:00Z"/>
        <d v="2023-06-10T00:00:00Z"/>
        <d v="2022-08-30T00:00:00Z"/>
        <d v="2021-02-04T00:00:00Z"/>
        <d v="2022-02-26T00:00:00Z"/>
        <d v="2021-12-16T00:00:00Z"/>
        <d v="2023-12-10T00:00:00Z"/>
        <d v="2022-02-24T00:00:00Z"/>
        <d v="2022-12-07T00:00:00Z"/>
        <d v="2021-06-24T00:00:00Z"/>
        <d v="2023-01-03T00:00:00Z"/>
        <d v="2022-03-19T00:00:00Z"/>
        <d v="2023-03-11T00:00:00Z"/>
        <d v="2022-01-16T00:00:00Z"/>
        <d v="2021-06-10T00:00:00Z"/>
        <d v="2023-04-19T00:00:00Z"/>
        <d v="2022-12-26T00:00:00Z"/>
        <d v="2021-06-21T00:00:00Z"/>
        <d v="2023-03-10T00:00:00Z"/>
        <d v="2023-12-13T00:00:00Z"/>
        <d v="2021-11-03T00:00:00Z"/>
        <d v="2022-12-21T00:00:00Z"/>
        <d v="2021-02-01T00:00:00Z"/>
        <d v="2021-09-08T00:00:00Z"/>
        <d v="2021-12-11T00:00:00Z"/>
        <d v="2021-06-16T00:00:00Z"/>
        <d v="2023-03-05T00:00:00Z"/>
        <d v="2022-01-06T00:00:00Z"/>
        <d v="2023-01-26T00:00:00Z"/>
        <d v="2023-02-19T00:00:00Z"/>
        <d v="2022-08-11T00:00:00Z"/>
        <d v="2023-12-14T00:00:00Z"/>
        <d v="2023-05-14T00:00:00Z"/>
        <d v="2021-05-03T00:00:00Z"/>
        <d v="2021-01-02T00:00:00Z"/>
        <d v="2021-07-27T00:00:00Z"/>
        <d v="2022-03-20T00:00:00Z"/>
        <d v="2022-08-20T00:00:00Z"/>
        <d v="2021-08-13T00:00:00Z"/>
        <d v="2022-12-09T00:00:00Z"/>
        <d v="2022-11-18T00:00:00Z"/>
        <d v="2022-05-05T00:00:00Z"/>
        <d v="2021-06-22T00:00:00Z"/>
        <d v="2021-08-03T00:00:00Z"/>
        <d v="2021-08-25T00:00:00Z"/>
        <d v="2022-02-20T00:00:00Z"/>
        <d v="2022-09-08T00:00:00Z"/>
        <d v="2022-07-29T00:00:00Z"/>
        <d v="2021-11-14T00:00:00Z"/>
        <d v="2022-09-24T00:00:00Z"/>
        <d v="2023-06-29T00:00:00Z"/>
        <d v="2023-04-15T00:00:00Z"/>
        <d v="2022-01-04T00:00:00Z"/>
        <d v="2023-08-18T00:00:00Z"/>
        <d v="2022-07-12T00:00:00Z"/>
        <d v="2023-11-16T00:00:00Z"/>
        <d v="2023-06-12T00:00:00Z"/>
        <d v="2021-07-21T00:00:00Z"/>
        <d v="2022-02-06T00:00:00Z"/>
        <d v="2022-03-03T00:00:00Z"/>
        <d v="2023-11-11T00:00:00Z"/>
        <d v="2022-04-03T00:00:00Z"/>
        <d v="2021-02-26T00:00:00Z"/>
        <d v="2022-01-24T00:00:00Z"/>
        <d v="2023-09-22T00:00:00Z"/>
        <d v="2023-09-01T00:00:00Z"/>
        <d v="2023-03-30T00:00:00Z"/>
        <d v="2022-02-23T00:00:00Z"/>
        <d v="2021-05-06T00:00:00Z"/>
        <d v="2021-03-10T00:00:00Z"/>
        <d v="2021-05-17T00:00:00Z"/>
        <d v="2022-04-12T00:00:00Z"/>
        <d v="2021-05-08T00:00:00Z"/>
        <d v="2021-02-03T00:00:00Z"/>
        <d v="2021-12-31T00:00:00Z"/>
        <d v="2023-08-02T00:00:00Z"/>
        <d v="2023-02-05T00:00:00Z"/>
        <d v="2021-03-27T00:00:00Z"/>
        <d v="2023-04-07T00:00:00Z"/>
        <d v="2021-07-26T00:00:00Z"/>
        <d v="2021-08-06T00:00:00Z"/>
        <d v="2023-10-09T00:00:00Z"/>
        <d v="2023-03-27T00:00:00Z"/>
        <d v="2021-07-23T00:00:00Z"/>
        <d v="2023-09-21T00:00:00Z"/>
        <d v="2022-06-27T00:00:00Z"/>
        <d v="2021-01-11T00:00:00Z"/>
        <d v="2023-03-21T00:00:00Z"/>
        <d v="2021-03-03T00:00:00Z"/>
        <d v="2021-06-17T00:00:00Z"/>
        <d v="2023-05-10T00:00:00Z"/>
        <d v="2023-03-31T00:00:00Z"/>
        <d v="2022-08-05T00:00:00Z"/>
        <d v="2023-07-19T00:00:00Z"/>
        <d v="2022-04-02T00:00:00Z"/>
        <d v="2023-03-09T00:00:00Z"/>
        <d v="2022-10-17T00:00:00Z"/>
        <d v="2022-07-09T00:00:00Z"/>
        <d v="2021-10-31T00:00:00Z"/>
        <d v="2022-10-31T00:00:00Z"/>
        <d v="2021-04-12T00:00:00Z"/>
        <d v="2023-04-17T00:00:00Z"/>
        <d v="2023-01-22T00:00:00Z"/>
        <d v="2022-12-01T00:00:00Z"/>
        <d v="2022-04-04T00:00:00Z"/>
      </sharedItems>
    </cacheField>
    <cacheField name="Region" numFmtId="0">
      <sharedItems>
        <s v="East"/>
        <s v="West"/>
        <s v="South"/>
        <s v="Central"/>
      </sharedItems>
    </cacheField>
    <cacheField name="Category" numFmtId="0">
      <sharedItems>
        <s v="Furniture"/>
        <s v="Technology"/>
        <s v="Office Supplies"/>
      </sharedItems>
    </cacheField>
    <cacheField name="Sub-Category" numFmtId="0">
      <sharedItems>
        <s v="Tables"/>
        <s v="Accessories"/>
        <s v="Binders"/>
        <s v="Bookcases"/>
        <s v="Paper"/>
        <s v="Phones"/>
        <s v="Storage"/>
        <s v="Chairs"/>
        <s v="Machines"/>
      </sharedItems>
    </cacheField>
    <cacheField name="Sales" numFmtId="0">
      <sharedItems containsSemiMixedTypes="0" containsString="0" containsNumber="1">
        <n v="434.15"/>
        <n v="774.67"/>
        <n v="350.49"/>
        <n v="512.19"/>
        <n v="315.43"/>
        <n v="916.14"/>
        <n v="276.35"/>
        <n v="966.6"/>
        <n v="229.31"/>
        <n v="184.58"/>
        <n v="887.74"/>
        <n v="247.85"/>
        <n v="222.5"/>
        <n v="256.57"/>
        <n v="759.86"/>
        <n v="255.71"/>
        <n v="531.17"/>
        <n v="908.89"/>
        <n v="344.16"/>
        <n v="932.3"/>
        <n v="971.3"/>
        <n v="322.3"/>
        <n v="136.2"/>
        <n v="23.89"/>
        <n v="628.01"/>
        <n v="494.95"/>
        <n v="513.28"/>
        <n v="734.48"/>
        <n v="798.12"/>
        <n v="495.86"/>
        <n v="23.83"/>
        <n v="231.97"/>
        <n v="22.56"/>
        <n v="374.62"/>
        <n v="897.13"/>
        <n v="961.23"/>
        <n v="866.29"/>
        <n v="349.55"/>
        <n v="765.38"/>
        <n v="657.16"/>
        <n v="529.5"/>
        <n v="839.34"/>
        <n v="132.02"/>
        <n v="571.01"/>
        <n v="731.46"/>
        <n v="150.49"/>
        <n v="503.3"/>
        <n v="830.76"/>
        <n v="956.04"/>
        <n v="404.0"/>
        <n v="661.52"/>
        <n v="101.91"/>
        <n v="675.02"/>
        <n v="25.0"/>
        <n v="765.49"/>
        <n v="78.01"/>
        <n v="278.68"/>
        <n v="989.72"/>
        <n v="334.65"/>
        <n v="479.22"/>
        <n v="235.38"/>
        <n v="249.79"/>
        <n v="995.09"/>
        <n v="350.6"/>
        <n v="375.94"/>
        <n v="256.31"/>
        <n v="78.65"/>
        <n v="444.13"/>
        <n v="296.88"/>
        <n v="430.43"/>
        <n v="712.89"/>
        <n v="225.99"/>
        <n v="817.45"/>
        <n v="421.23"/>
        <n v="604.49"/>
        <n v="317.54"/>
        <n v="962.65"/>
        <n v="135.0"/>
        <n v="980.96"/>
        <n v="77.94"/>
        <n v="625.21"/>
        <n v="538.13"/>
        <n v="716.91"/>
        <n v="201.82"/>
        <n v="539.38"/>
        <n v="504.45"/>
        <n v="540.44"/>
        <n v="896.04"/>
        <n v="934.41"/>
        <n v="165.21"/>
        <n v="312.14"/>
        <n v="538.76"/>
        <n v="377.05"/>
        <n v="72.37"/>
        <n v="478.16"/>
        <n v="922.83"/>
        <n v="929.27"/>
        <n v="571.32"/>
        <n v="885.99"/>
        <n v="728.53"/>
        <n v="749.66"/>
        <n v="766.2"/>
        <n v="595.14"/>
        <n v="113.93"/>
        <n v="440.53"/>
        <n v="94.91"/>
        <n v="417.76"/>
        <n v="938.74"/>
        <n v="312.81"/>
        <n v="518.65"/>
        <n v="761.83"/>
        <n v="508.94"/>
        <n v="921.86"/>
        <n v="866.62"/>
        <n v="291.15"/>
        <n v="370.59"/>
        <n v="394.31"/>
        <n v="853.85"/>
        <n v="834.1"/>
        <n v="262.28"/>
        <n v="708.47"/>
        <n v="650.34"/>
        <n v="817.23"/>
        <n v="671.63"/>
        <n v="984.51"/>
        <n v="817.95"/>
        <n v="111.86"/>
        <n v="903.89"/>
        <n v="362.04"/>
        <n v="722.63"/>
        <n v="696.58"/>
        <n v="995.5"/>
        <n v="190.81"/>
        <n v="590.21"/>
        <n v="618.17"/>
        <n v="591.31"/>
        <n v="279.61"/>
        <n v="120.04"/>
        <n v="909.01"/>
        <n v="613.06"/>
        <n v="307.01"/>
        <n v="999.58"/>
        <n v="70.25"/>
        <n v="771.51"/>
        <n v="84.3"/>
        <n v="231.49"/>
        <n v="474.13"/>
        <n v="752.42"/>
        <n v="678.22"/>
        <n v="840.42"/>
        <n v="238.85"/>
        <n v="271.99"/>
        <n v="679.64"/>
        <n v="218.74"/>
        <n v="597.65"/>
        <n v="256.99"/>
        <n v="987.87"/>
        <n v="906.35"/>
        <n v="934.47"/>
        <n v="519.33"/>
        <n v="666.69"/>
        <n v="854.83"/>
        <n v="812.28"/>
        <n v="982.36"/>
        <n v="398.85"/>
        <n v="309.04"/>
        <n v="650.72"/>
        <n v="705.31"/>
        <n v="947.6"/>
        <n v="578.15"/>
        <n v="632.41"/>
        <n v="51.04"/>
        <n v="899.32"/>
        <n v="714.83"/>
        <n v="45.01"/>
        <n v="474.75"/>
        <n v="916.74"/>
        <n v="700.54"/>
        <n v="796.98"/>
        <n v="246.66"/>
        <n v="254.47"/>
        <n v="487.67"/>
        <n v="278.3"/>
        <n v="55.33"/>
        <n v="500.33"/>
        <n v="123.13"/>
        <n v="731.62"/>
        <n v="549.5"/>
        <n v="930.25"/>
        <n v="103.95"/>
        <n v="142.06"/>
        <n v="57.09"/>
        <n v="667.64"/>
        <n v="305.75"/>
        <n v="504.91"/>
        <n v="440.24"/>
        <n v="708.11"/>
        <n v="516.79"/>
        <n v="953.57"/>
        <n v="544.63"/>
        <n v="528.13"/>
        <n v="406.44"/>
        <n v="79.7"/>
        <n v="795.47"/>
        <n v="602.25"/>
        <n v="418.97"/>
        <n v="366.97"/>
        <n v="694.84"/>
        <n v="335.88"/>
        <n v="141.05"/>
        <n v="363.41"/>
        <n v="997.54"/>
        <n v="630.38"/>
        <n v="635.25"/>
        <n v="333.2"/>
        <n v="242.85"/>
        <n v="254.24"/>
        <n v="59.13"/>
        <n v="911.06"/>
        <n v="698.58"/>
        <n v="222.03"/>
        <n v="119.29"/>
        <n v="455.12"/>
        <n v="391.47"/>
        <n v="200.52"/>
        <n v="887.0"/>
        <n v="149.98"/>
        <n v="801.7"/>
        <n v="598.51"/>
        <n v="560.82"/>
        <n v="91.01"/>
        <n v="411.78"/>
        <n v="338.1"/>
        <n v="82.18"/>
        <n v="369.66"/>
        <n v="828.34"/>
        <n v="327.14"/>
        <n v="333.92"/>
        <n v="70.23"/>
        <n v="786.3"/>
        <n v="39.27"/>
        <n v="67.6"/>
        <n v="150.36"/>
        <n v="772.89"/>
        <n v="990.85"/>
        <n v="570.91"/>
        <n v="679.33"/>
        <n v="139.5"/>
        <n v="903.24"/>
        <n v="730.18"/>
        <n v="476.97"/>
        <n v="54.11"/>
        <n v="26.15"/>
        <n v="542.99"/>
        <n v="527.14"/>
        <n v="463.39"/>
        <n v="842.57"/>
        <n v="85.3"/>
        <n v="520.02"/>
        <n v="889.3"/>
        <n v="727.33"/>
        <n v="726.1"/>
        <n v="303.72"/>
        <n v="750.92"/>
        <n v="305.72"/>
        <n v="495.26"/>
        <n v="905.58"/>
        <n v="942.51"/>
        <n v="112.29"/>
        <n v="34.13"/>
        <n v="864.62"/>
        <n v="411.23"/>
        <n v="584.14"/>
        <n v="320.4"/>
        <n v="167.07"/>
        <n v="26.3"/>
        <n v="222.45"/>
        <n v="563.28"/>
        <n v="484.96"/>
        <n v="459.55"/>
        <n v="756.81"/>
        <n v="234.87"/>
        <n v="268.8"/>
        <n v="758.89"/>
        <n v="753.31"/>
        <n v="712.06"/>
        <n v="969.94"/>
        <n v="306.45"/>
        <n v="105.65"/>
        <n v="228.26"/>
        <n v="953.24"/>
        <n v="680.87"/>
        <n v="179.14"/>
        <n v="961.69"/>
        <n v="969.12"/>
        <n v="902.1"/>
        <n v="967.19"/>
        <n v="974.05"/>
        <n v="788.61"/>
        <n v="790.4"/>
        <n v="540.62"/>
        <n v="988.78"/>
        <n v="66.97"/>
        <n v="887.26"/>
        <n v="566.15"/>
        <n v="390.31"/>
        <n v="376.54"/>
        <n v="47.05"/>
        <n v="150.74"/>
        <n v="853.66"/>
        <n v="261.09"/>
        <n v="461.64"/>
        <n v="837.28"/>
        <n v="236.67"/>
        <n v="472.01"/>
        <n v="392.09"/>
        <n v="127.98"/>
        <n v="104.67"/>
        <n v="637.08"/>
        <n v="237.31"/>
        <n v="184.34"/>
        <n v="598.07"/>
        <n v="945.99"/>
        <n v="655.76"/>
        <n v="331.48"/>
        <n v="706.84"/>
        <n v="747.16"/>
        <n v="518.48"/>
        <n v="733.06"/>
        <n v="793.26"/>
        <n v="206.22"/>
        <n v="591.1"/>
        <n v="844.09"/>
        <n v="226.01"/>
        <n v="391.14"/>
        <n v="115.53"/>
        <n v="812.64"/>
        <n v="965.8"/>
        <n v="915.52"/>
        <n v="584.37"/>
        <n v="238.34"/>
        <n v="182.89"/>
        <n v="897.1"/>
        <n v="780.17"/>
        <n v="200.94"/>
        <n v="160.65"/>
        <n v="152.02"/>
        <n v="395.64"/>
        <n v="91.81"/>
        <n v="493.55"/>
        <n v="389.16"/>
        <n v="804.17"/>
        <n v="527.42"/>
        <n v="680.41"/>
        <n v="219.88"/>
        <n v="306.14"/>
        <n v="278.71"/>
        <n v="310.22"/>
        <n v="851.5"/>
        <n v="983.37"/>
        <n v="942.37"/>
        <n v="650.93"/>
        <n v="507.57"/>
        <n v="51.06"/>
        <n v="43.35"/>
        <n v="993.32"/>
        <n v="801.74"/>
        <n v="683.23"/>
        <n v="621.99"/>
        <n v="562.73"/>
        <n v="844.12"/>
        <n v="783.97"/>
        <n v="568.94"/>
        <n v="85.12"/>
        <n v="950.39"/>
        <n v="673.28"/>
        <n v="334.98"/>
        <n v="98.7"/>
        <n v="358.63"/>
        <n v="519.35"/>
        <n v="101.74"/>
        <n v="457.82"/>
        <n v="809.77"/>
        <n v="167.26"/>
        <n v="97.0"/>
        <n v="203.19"/>
        <n v="532.9"/>
        <n v="71.37"/>
        <n v="611.58"/>
        <n v="161.83"/>
        <n v="904.15"/>
        <n v="236.15"/>
        <n v="752.83"/>
        <n v="110.3"/>
        <n v="786.53"/>
        <n v="535.9"/>
        <n v="267.93"/>
        <n v="634.36"/>
        <n v="539.25"/>
        <n v="565.92"/>
        <n v="457.43"/>
        <n v="320.02"/>
        <n v="132.92"/>
        <n v="878.21"/>
        <n v="176.88"/>
        <n v="929.92"/>
        <n v="977.52"/>
        <n v="294.72"/>
        <n v="941.17"/>
        <n v="140.86"/>
        <n v="701.33"/>
        <n v="481.94"/>
        <n v="640.29"/>
        <n v="948.07"/>
        <n v="927.05"/>
        <n v="273.01"/>
        <n v="961.41"/>
        <n v="941.42"/>
        <n v="663.65"/>
        <n v="672.59"/>
        <n v="520.83"/>
        <n v="845.21"/>
        <n v="885.3"/>
        <n v="266.58"/>
        <n v="954.82"/>
        <n v="548.58"/>
        <n v="737.17"/>
        <n v="469.62"/>
        <n v="555.37"/>
        <n v="127.81"/>
        <n v="165.91"/>
        <n v="361.61"/>
        <n v="988.1"/>
        <n v="613.47"/>
        <n v="75.91"/>
        <n v="299.63"/>
        <n v="302.18"/>
        <n v="573.61"/>
        <n v="826.11"/>
        <n v="272.03"/>
        <n v="764.26"/>
        <n v="254.62"/>
        <n v="544.85"/>
        <n v="373.57"/>
        <n v="590.41"/>
        <n v="924.77"/>
        <n v="375.2"/>
        <n v="861.95"/>
        <n v="487.94"/>
        <n v="63.74"/>
        <n v="582.58"/>
        <n v="682.06"/>
        <n v="259.68"/>
        <n v="789.16"/>
        <n v="118.75"/>
        <n v="219.46"/>
        <n v="829.69"/>
        <n v="887.49"/>
        <n v="567.4"/>
        <n v="428.88"/>
        <n v="470.7"/>
        <n v="344.2"/>
        <n v="397.33"/>
        <n v="291.8"/>
        <n v="230.34"/>
        <n v="472.24"/>
        <n v="690.57"/>
        <n v="144.74"/>
        <n v="191.06"/>
        <n v="829.81"/>
        <n v="480.39"/>
        <n v="499.67"/>
        <n v="483.57"/>
        <n v="319.87"/>
        <n v="26.26"/>
        <n v="684.35"/>
        <n v="256.05"/>
        <n v="809.22"/>
        <n v="426.67"/>
        <n v="514.05"/>
        <n v="915.19"/>
        <n v="894.04"/>
        <n v="887.02"/>
        <n v="233.55"/>
        <n v="647.99"/>
        <n v="70.86"/>
        <n v="481.21"/>
        <n v="188.67"/>
        <n v="178.67"/>
        <n v="63.8"/>
        <n v="52.58"/>
        <n v="706.45"/>
        <n v="766.93"/>
        <n v="370.94"/>
        <n v="677.19"/>
        <n v="740.78"/>
        <n v="62.42"/>
        <n v="422.3"/>
        <n v="146.92"/>
        <n v="957.02"/>
        <n v="306.39"/>
        <n v="115.39"/>
        <n v="711.11"/>
        <n v="347.51"/>
        <n v="598.2"/>
        <n v="111.04"/>
        <n v="956.02"/>
        <n v="970.28"/>
        <n v="542.52"/>
        <n v="631.71"/>
        <n v="59.59"/>
        <n v="630.23"/>
        <n v="822.27"/>
        <n v="684.23"/>
        <n v="167.2"/>
        <n v="558.55"/>
        <n v="171.99"/>
        <n v="487.75"/>
        <n v="200.58"/>
        <n v="475.86"/>
        <n v="736.41"/>
        <n v="907.3"/>
        <n v="179.09"/>
        <n v="975.79"/>
        <n v="334.45"/>
        <n v="21.89"/>
        <n v="385.52"/>
        <n v="247.93"/>
        <n v="150.69"/>
        <n v="919.17"/>
        <n v="894.55"/>
        <n v="763.91"/>
        <n v="613.65"/>
        <n v="888.84"/>
        <n v="295.31"/>
        <n v="51.83"/>
        <n v="577.82"/>
        <n v="316.41"/>
        <n v="423.68"/>
        <n v="739.71"/>
        <n v="365.89"/>
        <n v="645.44"/>
        <n v="517.55"/>
        <n v="261.18"/>
        <n v="855.24"/>
        <n v="121.79"/>
        <n v="518.85"/>
        <n v="802.14"/>
        <n v="50.08"/>
        <n v="970.65"/>
        <n v="557.97"/>
        <n v="532.91"/>
        <n v="827.54"/>
        <n v="615.43"/>
        <n v="910.41"/>
        <n v="175.35"/>
        <n v="112.0"/>
        <n v="337.76"/>
        <n v="38.84"/>
        <n v="424.82"/>
        <n v="561.81"/>
        <n v="673.22"/>
        <n v="66.98"/>
        <n v="36.98"/>
        <n v="75.17"/>
        <n v="919.41"/>
        <n v="375.26"/>
        <n v="326.55"/>
        <n v="770.75"/>
        <n v="601.92"/>
        <n v="935.15"/>
        <n v="455.56"/>
        <n v="576.05"/>
        <n v="458.35"/>
        <n v="302.82"/>
        <n v="457.86"/>
        <n v="508.61"/>
        <n v="116.23"/>
        <n v="634.35"/>
        <n v="867.15"/>
        <n v="329.44"/>
        <n v="672.38"/>
        <n v="375.12"/>
        <n v="882.1"/>
        <n v="893.14"/>
        <n v="950.58"/>
        <n v="835.99"/>
        <n v="552.41"/>
        <n v="32.42"/>
        <n v="678.44"/>
        <n v="693.69"/>
        <n v="489.8"/>
        <n v="865.1"/>
        <n v="839.07"/>
        <n v="573.3"/>
        <n v="880.0"/>
        <n v="480.5"/>
        <n v="385.06"/>
        <n v="276.14"/>
        <n v="270.99"/>
        <n v="536.25"/>
        <n v="129.76"/>
        <n v="998.54"/>
        <n v="779.51"/>
        <n v="284.96"/>
        <n v="676.9"/>
        <n v="531.75"/>
        <n v="126.11"/>
        <n v="408.95"/>
        <n v="715.1"/>
        <n v="229.88"/>
        <n v="513.56"/>
        <n v="547.08"/>
        <n v="833.89"/>
        <n v="790.03"/>
        <n v="604.52"/>
        <n v="518.63"/>
        <n v="218.22"/>
        <n v="999.33"/>
        <n v="369.05"/>
        <n v="802.3"/>
        <n v="510.36"/>
        <n v="936.11"/>
        <n v="126.47"/>
        <n v="210.17"/>
        <n v="871.2"/>
        <n v="189.06"/>
        <n v="317.37"/>
        <n v="339.1"/>
        <n v="537.45"/>
        <n v="285.26"/>
        <n v="294.16"/>
        <n v="283.7"/>
        <n v="110.89"/>
        <n v="673.62"/>
        <n v="991.6"/>
        <n v="647.58"/>
        <n v="706.08"/>
        <n v="628.38"/>
        <n v="939.33"/>
        <n v="552.42"/>
        <n v="721.36"/>
        <n v="141.25"/>
        <n v="366.7"/>
        <n v="503.96"/>
        <n v="658.09"/>
        <n v="499.1"/>
        <n v="108.01"/>
        <n v="117.21"/>
        <n v="748.44"/>
        <n v="190.64"/>
        <n v="676.93"/>
        <n v="673.33"/>
        <n v="396.75"/>
        <n v="43.28"/>
        <n v="104.52"/>
        <n v="606.9"/>
        <n v="344.77"/>
        <n v="220.46"/>
        <n v="223.01"/>
        <n v="313.27"/>
        <n v="155.01"/>
        <n v="59.07"/>
        <n v="121.73"/>
        <n v="42.42"/>
        <n v="237.45"/>
        <n v="129.18"/>
        <n v="489.5"/>
        <n v="629.85"/>
        <n v="308.55"/>
        <n v="654.68"/>
        <n v="482.76"/>
        <n v="483.29"/>
        <n v="938.2"/>
        <n v="880.69"/>
        <n v="644.8"/>
        <n v="302.5"/>
        <n v="469.56"/>
        <n v="218.8"/>
        <n v="494.47"/>
        <n v="64.34"/>
        <n v="811.18"/>
        <n v="332.08"/>
        <n v="964.91"/>
        <n v="95.42"/>
        <n v="584.24"/>
        <n v="129.2"/>
        <n v="88.81"/>
        <n v="699.81"/>
        <n v="504.27"/>
        <n v="914.61"/>
        <n v="730.04"/>
        <n v="490.69"/>
        <n v="109.28"/>
        <n v="725.91"/>
        <n v="239.25"/>
        <n v="880.7"/>
        <n v="229.35"/>
        <n v="379.88"/>
        <n v="351.6"/>
        <n v="159.52"/>
        <n v="781.87"/>
        <n v="251.62"/>
        <n v="350.62"/>
        <n v="203.38"/>
        <n v="333.66"/>
        <n v="172.98"/>
        <n v="113.58"/>
        <n v="721.14"/>
        <n v="813.13"/>
        <n v="423.21"/>
        <n v="643.16"/>
        <n v="375.55"/>
        <n v="651.96"/>
        <n v="158.49"/>
        <n v="440.28"/>
        <n v="759.94"/>
        <n v="20.17"/>
        <n v="681.28"/>
        <n v="243.88"/>
        <n v="608.89"/>
        <n v="789.27"/>
        <n v="659.76"/>
        <n v="475.85"/>
        <n v="119.66"/>
        <n v="545.96"/>
        <n v="229.29"/>
        <n v="700.38"/>
        <n v="442.6"/>
        <n v="573.28"/>
        <n v="404.76"/>
        <n v="159.37"/>
        <n v="140.46"/>
        <n v="612.76"/>
        <n v="486.83"/>
        <n v="58.18"/>
        <n v="140.45"/>
        <n v="581.79"/>
        <n v="487.85"/>
        <n v="152.28"/>
        <n v="146.21"/>
        <n v="54.68"/>
        <n v="325.85"/>
        <n v="279.77"/>
        <n v="322.63"/>
        <n v="514.79"/>
        <n v="446.9"/>
        <n v="943.23"/>
        <n v="318.19"/>
        <n v="208.6"/>
        <n v="746.98"/>
        <n v="959.52"/>
        <n v="279.1"/>
        <n v="300.92"/>
        <n v="745.59"/>
        <n v="111.76"/>
        <n v="463.46"/>
        <n v="20.13"/>
        <n v="763.84"/>
        <n v="594.83"/>
        <n v="684.99"/>
        <n v="527.11"/>
        <n v="480.68"/>
        <n v="252.7"/>
        <n v="418.52"/>
        <n v="642.6"/>
        <n v="430.57"/>
        <n v="428.33"/>
        <n v="889.57"/>
        <n v="227.17"/>
        <n v="393.72"/>
        <n v="105.37"/>
        <n v="637.0"/>
        <n v="278.01"/>
        <n v="640.36"/>
        <n v="347.45"/>
        <n v="658.8"/>
        <n v="622.55"/>
        <n v="975.82"/>
        <n v="199.29"/>
        <n v="791.65"/>
        <n v="805.62"/>
        <n v="568.29"/>
        <n v="744.73"/>
        <n v="48.93"/>
        <n v="603.49"/>
        <n v="869.82"/>
        <n v="532.45"/>
        <n v="455.57"/>
        <n v="613.28"/>
        <n v="637.5"/>
        <n v="105.4"/>
        <n v="527.17"/>
        <n v="596.53"/>
        <n v="71.98"/>
        <n v="503.93"/>
        <n v="55.49"/>
        <n v="775.15"/>
        <n v="140.71"/>
        <n v="617.95"/>
        <n v="171.83"/>
        <n v="958.5"/>
        <n v="324.39"/>
        <n v="550.83"/>
        <n v="286.13"/>
        <n v="75.51"/>
        <n v="351.56"/>
        <n v="779.11"/>
        <n v="926.06"/>
        <n v="821.02"/>
        <n v="827.31"/>
        <n v="342.92"/>
        <n v="961.8"/>
        <n v="510.33"/>
        <n v="152.88"/>
        <n v="738.05"/>
        <n v="46.17"/>
        <n v="681.67"/>
        <n v="302.11"/>
        <n v="994.56"/>
        <n v="822.46"/>
        <n v="419.92"/>
        <n v="31.18"/>
        <n v="739.37"/>
        <n v="706.26"/>
        <n v="496.95"/>
        <n v="375.95"/>
        <n v="684.33"/>
        <n v="675.61"/>
        <n v="328.37"/>
        <n v="133.34"/>
        <n v="592.37"/>
        <n v="73.17"/>
        <n v="261.19"/>
        <n v="396.57"/>
        <n v="441.25"/>
        <n v="578.22"/>
        <n v="356.9"/>
        <n v="615.42"/>
        <n v="694.03"/>
        <n v="63.88"/>
        <n v="530.76"/>
        <n v="501.32"/>
        <n v="506.76"/>
        <n v="136.58"/>
        <n v="263.41"/>
        <n v="972.68"/>
        <n v="783.51"/>
        <n v="215.1"/>
        <n v="961.35"/>
        <n v="303.64"/>
        <n v="66.68"/>
        <n v="268.73"/>
        <n v="991.89"/>
        <n v="613.41"/>
        <n v="420.0"/>
        <n v="387.81"/>
        <n v="762.6"/>
        <n v="939.15"/>
        <n v="230.24"/>
        <n v="320.06"/>
        <n v="797.05"/>
        <n v="886.94"/>
        <n v="186.91"/>
        <n v="45.49"/>
        <n v="694.29"/>
        <n v="593.03"/>
        <n v="909.0"/>
        <n v="976.81"/>
        <n v="345.1"/>
        <n v="845.36"/>
        <n v="445.08"/>
        <n v="181.36"/>
        <n v="376.59"/>
        <n v="102.71"/>
        <n v="800.38"/>
        <n v="59.17"/>
        <n v="666.54"/>
        <n v="536.82"/>
        <n v="972.34"/>
        <n v="94.13"/>
        <n v="372.19"/>
        <n v="506.84"/>
        <n v="480.15"/>
        <n v="996.53"/>
        <n v="311.49"/>
        <n v="595.92"/>
        <n v="598.57"/>
        <n v="38.28"/>
        <n v="237.04"/>
        <n v="870.37"/>
        <n v="258.35"/>
        <n v="488.02"/>
        <n v="905.55"/>
        <n v="991.53"/>
        <n v="733.5"/>
        <n v="442.06"/>
        <n v="869.64"/>
        <n v="91.99"/>
        <n v="555.86"/>
        <n v="182.03"/>
        <n v="188.05"/>
        <n v="550.84"/>
        <n v="779.13"/>
        <n v="98.73"/>
        <n v="400.69"/>
        <n v="967.02"/>
        <n v="86.66"/>
        <n v="219.16"/>
        <n v="431.6"/>
        <n v="791.61"/>
        <n v="390.6"/>
        <n v="768.47"/>
        <n v="233.61"/>
        <n v="676.51"/>
        <n v="652.98"/>
        <n v="695.87"/>
        <n v="592.29"/>
        <n v="646.9"/>
        <n v="515.1"/>
        <n v="587.49"/>
        <n v="913.49"/>
        <n v="159.61"/>
        <n v="295.82"/>
        <n v="791.6"/>
        <n v="333.37"/>
        <n v="482.57"/>
        <n v="933.53"/>
        <n v="53.43"/>
        <n v="292.71"/>
        <n v="402.13"/>
        <n v="899.44"/>
        <n v="864.18"/>
        <n v="443.8"/>
        <n v="485.61"/>
        <n v="793.87"/>
        <n v="978.53"/>
        <n v="774.14"/>
        <n v="543.64"/>
        <n v="51.15"/>
        <n v="584.8"/>
        <n v="949.77"/>
        <n v="280.79"/>
        <n v="920.32"/>
        <n v="713.19"/>
        <n v="200.51"/>
        <n v="686.33"/>
        <n v="862.88"/>
        <n v="861.92"/>
        <n v="753.25"/>
        <n v="600.16"/>
        <n v="540.56"/>
        <n v="603.51"/>
        <n v="406.38"/>
        <n v="546.03"/>
        <n v="947.09"/>
        <n v="919.43"/>
        <n v="558.08"/>
        <n v="679.6"/>
        <n v="319.67"/>
        <n v="671.54"/>
        <n v="581.72"/>
        <n v="395.05"/>
        <n v="944.38"/>
        <n v="464.98"/>
        <n v="272.96"/>
        <n v="402.24"/>
        <n v="174.33"/>
        <n v="759.82"/>
        <n v="972.83"/>
        <n v="310.69"/>
        <n v="395.57"/>
        <n v="268.84"/>
        <n v="840.85"/>
        <n v="628.42"/>
        <n v="829.6"/>
        <n v="921.71"/>
        <n v="735.75"/>
        <n v="244.7"/>
        <n v="739.89"/>
        <n v="167.15"/>
        <n v="799.69"/>
        <n v="957.56"/>
        <n v="143.79"/>
        <n v="229.7"/>
        <n v="586.87"/>
        <n v="993.18"/>
        <n v="165.83"/>
        <n v="981.61"/>
        <n v="40.41"/>
        <n v="338.8"/>
        <n v="914.43"/>
        <n v="841.71"/>
        <n v="819.68"/>
        <n v="524.02"/>
        <n v="674.62"/>
        <n v="354.97"/>
        <n v="837.65"/>
        <n v="231.2"/>
        <n v="206.91"/>
        <n v="761.01"/>
        <n v="509.46"/>
        <n v="172.22"/>
        <n v="303.12"/>
        <n v="379.69"/>
        <n v="728.38"/>
        <n v="287.33"/>
        <n v="403.59"/>
        <n v="647.96"/>
        <n v="262.44"/>
        <n v="969.83"/>
        <n v="644.94"/>
        <n v="616.22"/>
        <n v="189.01"/>
        <n v="487.61"/>
        <n v="677.42"/>
        <n v="705.64"/>
        <n v="455.64"/>
        <n v="798.17"/>
        <n v="885.91"/>
        <n v="708.08"/>
        <n v="556.6"/>
        <n v="296.47"/>
        <n v="648.39"/>
        <n v="405.14"/>
        <n v="800.41"/>
        <n v="613.62"/>
        <n v="818.85"/>
        <n v="507.19"/>
        <n v="461.86"/>
        <n v="493.34"/>
        <n v="881.21"/>
        <n v="632.29"/>
        <n v="862.96"/>
        <n v="661.62"/>
        <n v="915.12"/>
        <n v="597.41"/>
        <n v="865.62"/>
        <n v="924.17"/>
        <n v="248.19"/>
        <n v="356.27"/>
        <n v="139.08"/>
        <n v="582.38"/>
        <n v="268.94"/>
        <n v="349.52"/>
        <n v="48.9"/>
        <n v="419.02"/>
        <n v="598.1"/>
        <n v="429.72"/>
        <n v="449.37"/>
        <n v="853.31"/>
        <n v="88.95"/>
        <n v="395.48"/>
        <n v="449.76"/>
        <n v="696.62"/>
        <n v="513.8"/>
        <n v="342.45"/>
        <n v="438.55"/>
        <n v="999.29"/>
        <n v="249.41"/>
        <n v="430.45"/>
        <n v="380.63"/>
        <n v="995.49"/>
        <n v="354.92"/>
        <n v="402.99"/>
        <n v="749.72"/>
        <n v="781.75"/>
        <n v="664.69"/>
        <n v="75.56"/>
        <n v="422.85"/>
        <n v="360.22"/>
        <n v="165.75"/>
        <n v="674.36"/>
        <n v="606.91"/>
        <n v="758.11"/>
        <n v="459.76"/>
        <n v="317.03"/>
        <n v="245.46"/>
        <n v="183.63"/>
        <n v="429.59"/>
        <n v="838.08"/>
        <n v="933.61"/>
        <n v="154.1"/>
        <n v="267.26"/>
        <n v="293.57"/>
        <n v="736.6"/>
        <n v="735.51"/>
        <n v="884.15"/>
        <n v="809.32"/>
        <n v="234.92"/>
        <n v="56.62"/>
        <n v="160.91"/>
        <n v="703.72"/>
        <n v="111.78"/>
        <n v="512.13"/>
        <n v="993.37"/>
        <n v="886.06"/>
        <n v="652.56"/>
        <n v="714.84"/>
        <n v="302.79"/>
        <n v="752.0"/>
        <n v="841.81"/>
        <n v="179.64"/>
        <n v="878.17"/>
        <n v="31.0"/>
        <n v="901.95"/>
        <n v="475.41"/>
        <n v="955.75"/>
        <n v="589.36"/>
        <n v="962.22"/>
        <n v="994.97"/>
        <n v="245.92"/>
        <n v="22.73"/>
        <n v="208.43"/>
        <n v="155.75"/>
        <n v="562.54"/>
        <n v="602.5"/>
        <n v="88.4"/>
        <n v="375.71"/>
        <n v="442.56"/>
        <n v="617.73"/>
        <n v="846.27"/>
        <n v="416.95"/>
        <n v="612.73"/>
        <n v="457.98"/>
        <n v="170.13"/>
        <n v="461.67"/>
        <n v="291.36"/>
        <n v="756.47"/>
        <n v="926.43"/>
        <n v="259.98"/>
        <n v="659.62"/>
        <n v="482.8"/>
        <n v="122.8"/>
        <n v="74.78"/>
        <n v="681.31"/>
        <n v="341.56"/>
        <n v="654.71"/>
        <n v="33.31"/>
        <n v="407.51"/>
        <n v="304.15"/>
        <n v="465.45"/>
        <n v="403.65"/>
        <n v="414.85"/>
        <n v="470.54"/>
        <n v="749.67"/>
        <n v="235.65"/>
        <n v="733.25"/>
        <n v="548.49"/>
        <n v="185.06"/>
        <n v="241.24"/>
        <n v="197.8"/>
        <n v="897.83"/>
        <n v="935.3"/>
        <n v="577.71"/>
        <n v="25.22"/>
        <n v="104.43"/>
        <n v="63.64"/>
        <n v="877.89"/>
        <n v="836.14"/>
        <n v="959.5"/>
        <n v="528.21"/>
        <n v="156.08"/>
        <n v="917.91"/>
        <n v="881.37"/>
        <n v="179.13"/>
        <n v="278.69"/>
        <n v="42.03"/>
        <n v="26.31"/>
        <n v="146.54"/>
        <n v="836.72"/>
        <n v="337.93"/>
        <n v="592.48"/>
        <n v="646.14"/>
        <n v="634.46"/>
        <n v="926.85"/>
        <n v="850.98"/>
        <n v="333.85"/>
        <n v="539.05"/>
        <n v="385.97"/>
        <n v="885.79"/>
        <n v="793.24"/>
        <n v="821.91"/>
        <n v="974.87"/>
        <n v="237.77"/>
        <n v="223.31"/>
        <n v="732.19"/>
        <n v="842.62"/>
        <n v="541.57"/>
        <n v="546.6"/>
        <n v="317.47"/>
        <n v="862.27"/>
        <n v="756.71"/>
        <n v="643.1"/>
        <n v="151.96"/>
        <n v="992.3"/>
        <n v="468.08"/>
        <n v="830.53"/>
        <n v="110.86"/>
        <n v="220.74"/>
        <n v="277.07"/>
        <n v="600.13"/>
        <n v="881.71"/>
        <n v="768.27"/>
        <n v="530.57"/>
        <n v="744.83"/>
        <n v="230.16"/>
        <n v="693.73"/>
        <n v="555.45"/>
        <n v="290.43"/>
        <n v="59.32"/>
        <n v="234.4"/>
        <n v="105.67"/>
        <n v="150.23"/>
        <n v="640.3"/>
        <n v="959.68"/>
        <n v="71.8"/>
        <n v="964.64"/>
        <n v="240.48"/>
        <n v="667.43"/>
        <n v="261.51"/>
        <n v="288.65"/>
        <n v="292.58"/>
        <n v="88.17"/>
        <n v="528.32"/>
        <n v="960.13"/>
        <n v="909.79"/>
        <n v="217.11"/>
        <n v="85.39"/>
        <n v="44.52"/>
        <n v="26.19"/>
        <n v="215.67"/>
        <n v="317.62"/>
        <n v="933.03"/>
        <n v="563.87"/>
        <n v="518.68"/>
        <n v="992.27"/>
        <n v="549.12"/>
        <n v="966.34"/>
        <n v="149.2"/>
        <n v="519.91"/>
        <n v="293.56"/>
        <n v="615.91"/>
        <n v="524.8"/>
        <n v="982.16"/>
        <n v="604.72"/>
        <n v="956.37"/>
        <n v="266.67"/>
        <n v="841.76"/>
        <n v="634.0"/>
        <n v="747.6"/>
        <n v="85.72"/>
        <n v="460.97"/>
        <n v="591.09"/>
        <n v="29.53"/>
        <n v="270.67"/>
        <n v="835.58"/>
        <n v="225.76"/>
        <n v="844.16"/>
        <n v="650.75"/>
        <n v="934.39"/>
        <n v="685.4"/>
        <n v="477.41"/>
        <n v="171.8"/>
        <n v="697.31"/>
        <n v="998.43"/>
        <n v="327.58"/>
        <n v="987.9"/>
        <n v="166.78"/>
        <n v="238.75"/>
        <n v="336.68"/>
        <n v="816.97"/>
        <n v="856.96"/>
        <n v="88.53"/>
        <n v="478.93"/>
        <n v="360.93"/>
        <n v="401.36"/>
        <n v="932.56"/>
        <n v="108.48"/>
        <n v="821.18"/>
        <n v="273.71"/>
        <n v="348.53"/>
        <n v="21.45"/>
        <n v="395.03"/>
        <n v="628.2"/>
        <n v="454.32"/>
        <n v="304.93"/>
        <n v="415.39"/>
        <n v="393.44"/>
        <n v="625.57"/>
        <n v="24.32"/>
        <n v="963.63"/>
        <n v="725.48"/>
        <n v="822.94"/>
        <n v="715.15"/>
        <n v="832.54"/>
        <n v="121.55"/>
        <n v="25.04"/>
        <n v="837.61"/>
        <n v="959.32"/>
        <n v="282.37"/>
        <n v="314.49"/>
        <n v="524.68"/>
        <n v="291.95"/>
        <n v="46.12"/>
        <n v="793.0"/>
        <n v="315.27"/>
        <n v="533.81"/>
        <n v="600.11"/>
        <n v="26.04"/>
        <n v="705.85"/>
        <n v="779.88"/>
        <n v="821.26"/>
        <n v="128.02"/>
        <n v="266.54"/>
        <n v="432.89"/>
        <n v="550.51"/>
        <n v="997.35"/>
        <n v="830.56"/>
        <n v="931.27"/>
        <n v="757.02"/>
        <n v="511.03"/>
        <n v="729.57"/>
        <n v="233.52"/>
        <n v="804.42"/>
        <n v="895.15"/>
        <n v="837.77"/>
        <n v="803.27"/>
        <n v="852.36"/>
        <n v="860.41"/>
        <n v="942.46"/>
        <n v="301.3"/>
        <n v="726.79"/>
        <n v="785.44"/>
        <n v="384.09"/>
        <n v="302.14"/>
        <n v="474.66"/>
        <n v="274.51"/>
        <n v="63.48"/>
        <n v="627.23"/>
        <n v="136.68"/>
        <n v="542.73"/>
        <n v="781.71"/>
        <n v="431.89"/>
        <n v="283.07"/>
        <n v="482.36"/>
        <n v="415.2"/>
        <n v="600.93"/>
        <n v="673.11"/>
        <n v="425.8"/>
        <n v="750.38"/>
        <n v="637.73"/>
        <n v="720.18"/>
        <n v="663.89"/>
        <n v="820.2"/>
        <n v="314.37"/>
        <n v="847.98"/>
        <n v="626.51"/>
        <n v="332.88"/>
        <n v="910.56"/>
        <n v="658.67"/>
        <n v="756.52"/>
        <n v="469.26"/>
        <n v="53.4"/>
        <n v="552.66"/>
        <n v="192.02"/>
        <n v="671.75"/>
        <n v="102.33"/>
        <n v="399.04"/>
        <n v="638.03"/>
        <n v="148.91"/>
        <n v="946.01"/>
        <n v="246.79"/>
        <n v="983.72"/>
        <n v="125.23"/>
        <n v="785.93"/>
        <n v="629.31"/>
        <n v="935.63"/>
        <n v="220.41"/>
        <n v="449.09"/>
        <n v="876.27"/>
        <n v="429.61"/>
        <n v="833.71"/>
        <n v="879.67"/>
        <n v="785.41"/>
        <n v="668.34"/>
        <n v="833.59"/>
        <n v="256.97"/>
        <n v="800.63"/>
        <n v="284.01"/>
        <n v="385.24"/>
        <n v="419.97"/>
        <n v="318.88"/>
        <n v="49.84"/>
        <n v="277.83"/>
        <n v="216.67"/>
        <n v="604.66"/>
        <n v="170.98"/>
        <n v="714.91"/>
        <n v="766.78"/>
        <n v="396.92"/>
        <n v="49.44"/>
        <n v="926.07"/>
        <n v="774.41"/>
        <n v="881.13"/>
        <n v="416.4"/>
        <n v="74.37"/>
        <n v="731.09"/>
        <n v="749.69"/>
        <n v="614.04"/>
        <n v="765.93"/>
        <n v="557.09"/>
        <n v="528.66"/>
        <n v="499.31"/>
        <n v="935.24"/>
        <n v="816.91"/>
        <n v="372.18"/>
        <n v="218.75"/>
        <n v="820.37"/>
        <n v="842.48"/>
        <n v="442.81"/>
        <n v="610.07"/>
        <n v="761.57"/>
        <n v="314.35"/>
        <n v="946.39"/>
        <n v="933.07"/>
        <n v="26.39"/>
        <n v="59.65"/>
        <n v="609.3"/>
        <n v="219.2"/>
        <n v="310.75"/>
        <n v="947.5"/>
        <n v="378.6"/>
        <n v="449.24"/>
        <n v="778.0"/>
        <n v="548.62"/>
        <n v="766.26"/>
        <n v="582.63"/>
        <n v="838.28"/>
        <n v="126.19"/>
        <n v="229.19"/>
        <n v="102.98"/>
        <n v="479.64"/>
        <n v="722.45"/>
        <n v="569.64"/>
        <n v="765.74"/>
        <n v="24.39"/>
        <n v="163.3"/>
        <n v="797.58"/>
        <n v="159.07"/>
        <n v="256.01"/>
        <n v="268.64"/>
        <n v="733.16"/>
        <n v="931.85"/>
        <n v="823.72"/>
        <n v="363.68"/>
        <n v="241.18"/>
        <n v="463.48"/>
        <n v="473.65"/>
        <n v="828.47"/>
        <n v="223.58"/>
        <n v="118.41"/>
        <n v="509.09"/>
        <n v="818.05"/>
        <n v="988.94"/>
        <n v="160.54"/>
        <n v="798.45"/>
        <n v="389.68"/>
        <n v="678.42"/>
        <n v="324.64"/>
        <n v="354.26"/>
        <n v="500.69"/>
        <n v="800.36"/>
        <n v="216.77"/>
        <n v="560.56"/>
        <n v="129.62"/>
        <n v="676.64"/>
        <n v="295.92"/>
        <n v="860.83"/>
        <n v="617.29"/>
        <n v="220.09"/>
        <n v="105.35"/>
        <n v="680.66"/>
        <n v="887.05"/>
        <n v="829.0"/>
        <n v="100.62"/>
        <n v="462.23"/>
        <n v="358.38"/>
        <n v="89.1"/>
        <n v="172.09"/>
        <n v="723.94"/>
        <n v="230.93"/>
        <n v="303.38"/>
        <n v="163.01"/>
        <n v="221.03"/>
        <n v="743.19"/>
        <n v="915.44"/>
        <n v="850.13"/>
        <n v="321.42"/>
        <n v="637.31"/>
        <n v="461.97"/>
        <n v="755.68"/>
        <n v="601.86"/>
        <n v="788.47"/>
        <n v="155.32"/>
        <n v="496.13"/>
        <n v="864.04"/>
        <n v="236.26"/>
        <n v="276.63"/>
        <n v="58.52"/>
        <n v="464.92"/>
        <n v="55.08"/>
        <n v="301.94"/>
        <n v="65.06"/>
        <n v="662.17"/>
        <n v="203.08"/>
        <n v="879.04"/>
        <n v="891.21"/>
        <n v="687.15"/>
        <n v="809.21"/>
        <n v="282.99"/>
        <n v="194.67"/>
        <n v="322.17"/>
        <n v="950.8"/>
        <n v="74.11"/>
        <n v="606.2"/>
        <n v="963.24"/>
        <n v="966.83"/>
        <n v="538.02"/>
        <n v="703.47"/>
        <n v="142.85"/>
        <n v="530.08"/>
        <n v="591.35"/>
        <n v="160.52"/>
        <n v="243.17"/>
        <n v="736.86"/>
        <n v="534.73"/>
        <n v="337.85"/>
        <n v="651.83"/>
        <n v="285.28"/>
        <n v="700.02"/>
        <n v="942.02"/>
        <n v="677.9"/>
        <n v="64.56"/>
        <n v="550.63"/>
        <n v="259.29"/>
        <n v="598.35"/>
        <n v="527.06"/>
        <n v="132.33"/>
        <n v="659.04"/>
        <n v="231.44"/>
        <n v="157.66"/>
        <n v="874.64"/>
        <n v="753.24"/>
        <n v="361.37"/>
        <n v="36.29"/>
        <n v="991.34"/>
        <n v="556.1"/>
        <n v="766.07"/>
        <n v="591.25"/>
        <n v="438.8"/>
        <n v="294.7"/>
        <n v="72.2"/>
        <n v="923.87"/>
        <n v="782.0"/>
        <n v="512.85"/>
        <n v="241.05"/>
        <n v="655.19"/>
        <n v="860.69"/>
        <n v="631.93"/>
        <n v="162.06"/>
        <n v="104.98"/>
        <n v="666.94"/>
        <n v="873.74"/>
        <n v="864.22"/>
        <n v="286.64"/>
        <n v="498.14"/>
        <n v="265.18"/>
        <n v="231.08"/>
        <n v="104.15"/>
        <n v="819.2"/>
        <n v="36.34"/>
        <n v="454.71"/>
        <n v="20.37"/>
        <n v="712.58"/>
        <n v="966.91"/>
        <n v="34.59"/>
        <n v="480.65"/>
        <n v="595.28"/>
        <n v="748.04"/>
        <n v="349.02"/>
        <n v="185.95"/>
        <n v="990.63"/>
        <n v="371.34"/>
        <n v="911.2"/>
        <n v="725.59"/>
        <n v="401.75"/>
        <n v="429.57"/>
        <n v="87.03"/>
        <n v="520.74"/>
        <n v="665.64"/>
        <n v="880.49"/>
        <n v="971.64"/>
        <n v="439.13"/>
        <n v="883.77"/>
        <n v="913.42"/>
        <n v="233.91"/>
        <n v="139.29"/>
        <n v="249.95"/>
        <n v="445.43"/>
        <n v="171.01"/>
        <n v="231.8"/>
        <n v="639.46"/>
        <n v="116.02"/>
        <n v="938.63"/>
        <n v="286.74"/>
        <n v="960.92"/>
        <n v="882.78"/>
        <n v="988.12"/>
        <n v="90.61"/>
        <n v="24.4"/>
        <n v="825.58"/>
        <n v="507.7"/>
        <n v="278.89"/>
        <n v="652.67"/>
        <n v="204.56"/>
        <n v="354.56"/>
        <n v="177.64"/>
        <n v="928.97"/>
        <n v="843.52"/>
        <n v="273.08"/>
        <n v="836.7"/>
        <n v="972.23"/>
        <n v="86.71"/>
        <n v="702.37"/>
        <n v="218.16"/>
        <n v="659.93"/>
        <n v="387.72"/>
        <n v="537.69"/>
        <n v="556.31"/>
        <n v="183.64"/>
        <n v="286.36"/>
        <n v="525.01"/>
        <n v="729.25"/>
        <n v="901.54"/>
        <n v="554.72"/>
        <n v="332.44"/>
        <n v="409.6"/>
        <n v="802.25"/>
        <n v="671.84"/>
        <n v="869.47"/>
        <n v="549.97"/>
        <n v="215.52"/>
        <n v="170.36"/>
        <n v="507.87"/>
        <n v="101.11"/>
        <n v="426.19"/>
        <n v="916.56"/>
        <n v="111.05"/>
        <n v="228.06"/>
        <n v="47.84"/>
        <n v="505.22"/>
        <n v="570.03"/>
        <n v="491.0"/>
        <n v="380.79"/>
        <n v="488.09"/>
        <n v="505.17"/>
        <n v="679.32"/>
        <n v="629.29"/>
        <n v="90.33"/>
        <n v="346.87"/>
        <n v="132.73"/>
        <n v="278.27"/>
        <n v="739.51"/>
        <n v="164.65"/>
        <n v="229.99"/>
        <n v="895.89"/>
        <n v="304.47"/>
        <n v="757.58"/>
        <n v="880.85"/>
        <n v="176.38"/>
        <n v="536.08"/>
        <n v="405.46"/>
        <n v="847.35"/>
        <n v="901.89"/>
        <n v="524.7"/>
        <n v="332.86"/>
        <n v="565.29"/>
        <n v="37.99"/>
        <n v="778.11"/>
        <n v="276.95"/>
        <n v="970.42"/>
        <n v="978.99"/>
        <n v="997.82"/>
        <n v="128.12"/>
        <n v="218.58"/>
        <n v="804.97"/>
        <n v="284.76"/>
        <n v="958.93"/>
        <n v="727.0"/>
        <n v="114.37"/>
        <n v="324.9"/>
        <n v="138.4"/>
        <n v="93.9"/>
        <n v="366.17"/>
        <n v="397.65"/>
        <n v="130.77"/>
        <n v="58.58"/>
        <n v="927.55"/>
        <n v="129.33"/>
        <n v="636.71"/>
        <n v="502.55"/>
        <n v="96.82"/>
        <n v="142.14"/>
        <n v="849.59"/>
        <n v="857.23"/>
        <n v="785.96"/>
        <n v="816.33"/>
        <n v="855.05"/>
        <n v="752.3"/>
        <n v="774.57"/>
        <n v="253.29"/>
        <n v="88.99"/>
        <n v="112.13"/>
        <n v="879.0"/>
        <n v="31.44"/>
        <n v="983.52"/>
        <n v="784.86"/>
        <n v="58.56"/>
        <n v="639.96"/>
        <n v="414.82"/>
        <n v="339.89"/>
        <n v="571.9"/>
        <n v="131.69"/>
        <n v="66.93"/>
        <n v="645.9"/>
        <n v="906.62"/>
        <n v="353.68"/>
        <n v="655.39"/>
        <n v="588.03"/>
        <n v="481.29"/>
        <n v="504.19"/>
        <n v="334.48"/>
        <n v="202.67"/>
        <n v="949.59"/>
        <n v="610.92"/>
        <n v="479.57"/>
        <n v="334.7"/>
        <n v="525.14"/>
        <n v="250.51"/>
        <n v="555.23"/>
        <n v="872.6"/>
        <n v="642.42"/>
        <n v="476.22"/>
        <n v="767.94"/>
        <n v="202.25"/>
        <n v="785.3"/>
        <n v="386.95"/>
        <n v="25.3"/>
        <n v="284.27"/>
        <n v="620.91"/>
        <n v="542.47"/>
        <n v="125.04"/>
        <n v="558.03"/>
        <n v="35.98"/>
        <n v="434.42"/>
        <n v="712.25"/>
        <n v="235.61"/>
        <n v="202.37"/>
        <n v="415.62"/>
        <n v="22.69"/>
        <n v="806.55"/>
        <n v="849.31"/>
        <n v="255.5"/>
        <n v="577.92"/>
        <n v="374.57"/>
        <n v="423.83"/>
        <n v="826.77"/>
        <n v="561.52"/>
        <n v="721.19"/>
        <n v="388.98"/>
        <n v="97.38"/>
        <n v="357.13"/>
        <n v="732.65"/>
        <n v="185.62"/>
        <n v="830.31"/>
        <n v="909.46"/>
        <n v="78.88"/>
        <n v="547.45"/>
        <n v="546.47"/>
        <n v="793.76"/>
        <n v="357.42"/>
        <n v="476.45"/>
        <n v="56.91"/>
        <n v="786.32"/>
        <n v="728.15"/>
        <n v="508.81"/>
        <n v="289.22"/>
        <n v="301.64"/>
        <n v="354.02"/>
        <n v="969.23"/>
        <n v="829.66"/>
        <n v="623.11"/>
        <n v="411.03"/>
        <n v="926.46"/>
        <n v="956.29"/>
        <n v="968.2"/>
        <n v="283.52"/>
        <n v="785.51"/>
        <n v="974.94"/>
        <n v="736.34"/>
        <n v="277.17"/>
        <n v="172.16"/>
        <n v="596.98"/>
        <n v="312.11"/>
        <n v="612.89"/>
        <n v="792.5"/>
        <n v="826.74"/>
        <n v="626.03"/>
        <n v="489.02"/>
        <n v="611.47"/>
        <n v="260.25"/>
        <n v="527.02"/>
        <n v="526.23"/>
        <n v="526.14"/>
        <n v="535.01"/>
        <n v="379.73"/>
        <n v="493.13"/>
        <n v="444.66"/>
        <n v="284.88"/>
        <n v="495.83"/>
        <n v="640.68"/>
        <n v="917.84"/>
        <n v="506.72"/>
        <n v="402.78"/>
        <n v="426.96"/>
        <n v="859.76"/>
        <n v="383.28"/>
        <n v="385.91"/>
        <n v="187.64"/>
        <n v="392.38"/>
        <n v="480.38"/>
        <n v="442.77"/>
        <n v="471.91"/>
        <n v="175.52"/>
        <n v="35.59"/>
        <n v="387.04"/>
        <n v="233.73"/>
        <n v="115.79"/>
        <n v="422.44"/>
        <n v="199.69"/>
        <n v="575.97"/>
        <n v="134.26"/>
        <n v="226.24"/>
        <n v="459.34"/>
        <n v="386.13"/>
        <n v="621.36"/>
        <n v="20.31"/>
        <n v="427.78"/>
        <n v="548.71"/>
        <n v="393.07"/>
        <n v="397.42"/>
        <n v="360.43"/>
        <n v="278.54"/>
        <n v="748.84"/>
        <n v="453.91"/>
        <n v="92.34"/>
        <n v="94.42"/>
        <n v="883.98"/>
        <n v="371.96"/>
        <n v="353.9"/>
        <n v="722.97"/>
        <n v="544.15"/>
        <n v="79.9"/>
        <n v="457.89"/>
        <n v="768.25"/>
        <n v="108.75"/>
        <n v="281.06"/>
        <n v="503.97"/>
        <n v="101.5"/>
        <n v="735.77"/>
        <n v="623.83"/>
        <n v="817.91"/>
        <n v="386.34"/>
        <n v="728.58"/>
        <n v="464.57"/>
        <n v="537.99"/>
        <n v="849.61"/>
        <n v="451.64"/>
        <n v="396.69"/>
        <n v="255.09"/>
        <n v="363.36"/>
        <n v="989.63"/>
        <n v="231.03"/>
        <n v="225.45"/>
        <n v="860.27"/>
        <n v="195.1"/>
        <n v="219.15"/>
        <n v="91.56"/>
        <n v="655.43"/>
        <n v="69.78"/>
        <n v="490.86"/>
        <n v="617.55"/>
        <n v="688.38"/>
        <n v="555.83"/>
        <n v="999.83"/>
        <n v="730.83"/>
        <n v="870.92"/>
        <n v="464.85"/>
        <n v="832.74"/>
        <n v="978.71"/>
        <n v="385.15"/>
        <n v="36.6"/>
        <n v="694.69"/>
        <n v="65.41"/>
        <n v="961.92"/>
        <n v="687.59"/>
        <n v="783.8"/>
        <n v="185.93"/>
        <n v="580.5"/>
        <n v="798.61"/>
        <n v="254.1"/>
        <n v="602.69"/>
        <n v="647.79"/>
        <n v="426.63"/>
        <n v="516.03"/>
        <n v="798.09"/>
        <n v="290.84"/>
        <n v="959.36"/>
        <n v="946.7"/>
        <n v="356.86"/>
        <n v="996.02"/>
        <n v="130.1"/>
        <n v="53.27"/>
        <n v="219.83"/>
        <n v="760.89"/>
        <n v="308.89"/>
        <n v="270.54"/>
        <n v="489.28"/>
        <n v="824.72"/>
        <n v="784.93"/>
        <n v="663.07"/>
        <n v="772.68"/>
        <n v="301.6"/>
        <n v="249.72"/>
        <n v="95.14"/>
        <n v="851.83"/>
        <n v="60.58"/>
        <n v="658.82"/>
        <n v="567.1"/>
        <n v="85.8"/>
        <n v="959.77"/>
        <n v="132.12"/>
        <n v="414.3"/>
        <n v="861.19"/>
        <n v="774.5"/>
        <n v="808.3"/>
        <n v="391.0"/>
        <n v="150.48"/>
        <n v="854.95"/>
        <n v="111.08"/>
        <n v="318.51"/>
        <n v="761.69"/>
        <n v="113.37"/>
        <n v="285.75"/>
        <n v="233.69"/>
        <n v="928.5"/>
        <n v="444.61"/>
        <n v="231.4"/>
        <n v="820.01"/>
        <n v="155.7"/>
        <n v="589.53"/>
        <n v="631.63"/>
        <n v="984.52"/>
        <n v="389.11"/>
        <n v="669.16"/>
        <n v="455.09"/>
        <n v="361.03"/>
        <n v="302.51"/>
        <n v="122.14"/>
        <n v="924.63"/>
        <n v="892.76"/>
        <n v="492.6"/>
        <n v="666.99"/>
        <n v="806.09"/>
        <n v="757.01"/>
        <n v="46.01"/>
        <n v="679.57"/>
        <n v="461.75"/>
        <n v="761.44"/>
        <n v="991.25"/>
        <n v="382.56"/>
        <n v="866.52"/>
        <n v="333.95"/>
        <n v="155.78"/>
        <n v="738.79"/>
        <n v="361.41"/>
        <n v="966.81"/>
        <n v="671.78"/>
        <n v="112.36"/>
        <n v="374.23"/>
        <n v="836.35"/>
        <n v="275.63"/>
        <n v="339.25"/>
        <n v="603.72"/>
        <n v="935.47"/>
        <n v="443.49"/>
        <n v="598.93"/>
        <n v="196.29"/>
        <n v="467.41"/>
        <n v="136.8"/>
        <n v="730.21"/>
        <n v="849.15"/>
        <n v="144.33"/>
        <n v="750.89"/>
        <n v="65.3"/>
        <n v="963.75"/>
        <n v="511.7"/>
        <n v="126.07"/>
        <n v="119.34"/>
        <n v="65.12"/>
        <n v="693.94"/>
        <n v="979.55"/>
        <n v="796.47"/>
        <n v="937.07"/>
        <n v="832.57"/>
        <n v="500.16"/>
        <n v="86.55"/>
        <n v="680.09"/>
        <n v="791.31"/>
        <n v="455.53"/>
        <n v="947.05"/>
        <n v="471.93"/>
        <n v="402.07"/>
        <n v="658.89"/>
        <n v="20.16"/>
        <n v="819.17"/>
        <n v="802.88"/>
        <n v="547.11"/>
        <n v="816.68"/>
        <n v="202.38"/>
        <n v="797.19"/>
        <n v="33.5"/>
        <n v="988.39"/>
        <n v="311.52"/>
        <n v="660.16"/>
        <n v="854.42"/>
        <n v="262.03"/>
        <n v="287.61"/>
        <n v="174.78"/>
        <n v="196.43"/>
        <n v="391.28"/>
        <n v="189.13"/>
        <n v="123.12"/>
        <n v="209.55"/>
        <n v="224.52"/>
        <n v="867.85"/>
        <n v="61.8"/>
        <n v="520.91"/>
        <n v="710.16"/>
        <n v="932.82"/>
        <n v="29.13"/>
        <n v="134.28"/>
        <n v="216.26"/>
        <n v="475.01"/>
        <n v="865.45"/>
        <n v="908.69"/>
        <n v="778.36"/>
        <n v="802.76"/>
        <n v="574.41"/>
        <n v="404.21"/>
        <n v="846.0"/>
        <n v="154.05"/>
        <n v="748.67"/>
        <n v="547.14"/>
        <n v="793.59"/>
        <n v="531.89"/>
        <n v="689.19"/>
        <n v="591.88"/>
        <n v="70.17"/>
        <n v="656.1"/>
        <n v="305.48"/>
        <n v="38.06"/>
        <n v="425.76"/>
        <n v="83.61"/>
        <n v="573.02"/>
        <n v="444.41"/>
        <n v="733.54"/>
        <n v="268.06"/>
        <n v="625.88"/>
        <n v="500.0"/>
        <n v="139.88"/>
        <n v="677.16"/>
        <n v="315.25"/>
        <n v="590.48"/>
        <n v="346.32"/>
        <n v="757.73"/>
        <n v="879.35"/>
        <n v="909.04"/>
        <n v="66.19"/>
        <n v="775.35"/>
        <n v="428.85"/>
        <n v="919.1"/>
        <n v="215.61"/>
        <n v="442.63"/>
        <n v="546.25"/>
        <n v="625.76"/>
        <n v="657.59"/>
        <n v="700.2"/>
        <n v="758.17"/>
        <n v="724.59"/>
        <n v="942.54"/>
        <n v="730.0"/>
        <n v="180.17"/>
        <n v="35.0"/>
        <n v="228.27"/>
        <n v="858.21"/>
        <n v="273.45"/>
        <n v="807.4"/>
        <n v="343.08"/>
        <n v="768.17"/>
        <n v="654.07"/>
        <n v="957.41"/>
        <n v="388.01"/>
        <n v="427.68"/>
        <n v="844.26"/>
        <n v="595.49"/>
        <n v="489.75"/>
        <n v="35.12"/>
        <n v="367.34"/>
        <n v="443.11"/>
        <n v="230.73"/>
        <n v="448.74"/>
        <n v="928.23"/>
        <n v="178.75"/>
        <n v="397.6"/>
        <n v="917.95"/>
        <n v="606.75"/>
        <n v="78.34"/>
        <n v="350.3"/>
        <n v="644.43"/>
        <n v="435.8"/>
        <n v="489.11"/>
        <n v="297.19"/>
        <n v="646.63"/>
        <n v="861.32"/>
        <n v="374.31"/>
        <n v="895.31"/>
        <n v="494.44"/>
        <n v="282.57"/>
        <n v="350.48"/>
        <n v="815.4"/>
        <n v="632.36"/>
        <n v="111.31"/>
        <n v="908.07"/>
        <n v="509.83"/>
        <n v="301.69"/>
        <n v="515.11"/>
        <n v="660.36"/>
        <n v="420.84"/>
        <n v="833.83"/>
        <n v="92.22"/>
        <n v="827.93"/>
        <n v="727.41"/>
        <n v="878.34"/>
        <n v="97.63"/>
        <n v="727.28"/>
        <n v="924.38"/>
        <n v="412.97"/>
        <n v="119.85"/>
        <n v="48.99"/>
        <n v="426.11"/>
        <n v="775.85"/>
        <n v="970.75"/>
        <n v="73.63"/>
        <n v="856.84"/>
        <n v="884.53"/>
        <n v="767.3"/>
        <n v="465.22"/>
        <n v="509.13"/>
        <n v="140.37"/>
        <n v="358.33"/>
        <n v="712.66"/>
        <n v="187.37"/>
        <n v="215.07"/>
        <n v="853.61"/>
        <n v="192.38"/>
        <n v="877.25"/>
        <n v="279.04"/>
        <n v="971.27"/>
        <n v="504.67"/>
        <n v="324.06"/>
        <n v="168.58"/>
        <n v="395.65"/>
        <n v="881.41"/>
        <n v="692.64"/>
        <n v="505.25"/>
        <n v="287.07"/>
        <n v="219.11"/>
        <n v="906.68"/>
        <n v="160.1"/>
        <n v="702.42"/>
        <n v="445.0"/>
        <n v="378.22"/>
        <n v="479.18"/>
        <n v="116.35"/>
        <n v="94.84"/>
        <n v="263.49"/>
        <n v="597.88"/>
        <n v="83.93"/>
        <n v="380.15"/>
        <n v="289.17"/>
        <n v="371.19"/>
        <n v="751.92"/>
        <n v="178.51"/>
        <n v="32.55"/>
        <n v="455.08"/>
        <n v="307.05"/>
        <n v="154.87"/>
        <n v="228.62"/>
        <n v="783.99"/>
        <n v="485.47"/>
        <n v="569.12"/>
        <n v="133.58"/>
        <n v="235.97"/>
        <n v="825.69"/>
        <n v="619.29"/>
        <n v="708.44"/>
        <n v="543.14"/>
        <n v="344.3"/>
        <n v="620.0"/>
        <n v="926.04"/>
        <n v="850.74"/>
        <n v="574.21"/>
        <n v="211.9"/>
        <n v="728.16"/>
        <n v="909.39"/>
        <n v="691.6"/>
        <n v="107.28"/>
        <n v="104.81"/>
        <n v="793.61"/>
        <n v="837.36"/>
        <n v="125.8"/>
        <n v="694.02"/>
        <n v="262.73"/>
        <n v="82.4"/>
        <n v="437.09"/>
        <n v="211.04"/>
        <n v="695.6"/>
        <n v="782.74"/>
        <n v="759.01"/>
        <n v="24.73"/>
        <n v="591.46"/>
        <n v="193.27"/>
        <n v="572.88"/>
        <n v="489.54"/>
        <n v="289.83"/>
        <n v="379.17"/>
        <n v="260.67"/>
        <n v="798.62"/>
        <n v="744.55"/>
        <n v="50.84"/>
        <n v="206.04"/>
        <n v="146.45"/>
        <n v="768.79"/>
        <n v="388.77"/>
        <n v="319.23"/>
        <n v="387.99"/>
        <n v="518.7"/>
        <n v="827.98"/>
        <n v="666.2"/>
        <n v="989.34"/>
        <n v="276.67"/>
        <n v="355.81"/>
        <n v="440.39"/>
        <n v="100.32"/>
        <n v="581.95"/>
        <n v="947.53"/>
        <n v="101.96"/>
        <n v="978.21"/>
        <n v="920.97"/>
        <n v="697.75"/>
        <n v="769.24"/>
        <n v="134.67"/>
        <n v="254.89"/>
        <n v="161.14"/>
        <n v="22.67"/>
        <n v="349.98"/>
        <n v="539.14"/>
        <n v="500.11"/>
        <n v="354.88"/>
        <n v="721.37"/>
        <n v="780.16"/>
        <n v="280.71"/>
        <n v="218.52"/>
        <n v="899.01"/>
        <n v="654.29"/>
        <n v="391.76"/>
        <n v="689.57"/>
        <n v="39.95"/>
        <n v="597.59"/>
        <n v="915.41"/>
        <n v="794.52"/>
        <n v="223.26"/>
        <n v="908.46"/>
        <n v="346.52"/>
        <n v="612.01"/>
        <n v="265.45"/>
        <n v="743.9"/>
        <n v="197.38"/>
        <n v="651.58"/>
        <n v="466.17"/>
        <n v="296.53"/>
        <n v="289.98"/>
        <n v="119.37"/>
        <n v="211.57"/>
        <n v="624.68"/>
        <n v="81.76"/>
        <n v="124.23"/>
        <n v="512.72"/>
        <n v="376.26"/>
        <n v="628.75"/>
        <n v="977.74"/>
        <n v="448.44"/>
        <n v="531.57"/>
        <n v="206.06"/>
        <n v="293.61"/>
        <n v="501.18"/>
        <n v="38.69"/>
        <n v="782.87"/>
        <n v="70.41"/>
        <n v="204.91"/>
        <n v="602.15"/>
        <n v="836.43"/>
        <n v="492.66"/>
        <n v="291.52"/>
        <n v="304.79"/>
        <n v="257.49"/>
        <n v="264.53"/>
        <n v="483.93"/>
        <n v="283.5"/>
        <n v="869.11"/>
        <n v="240.08"/>
        <n v="410.79"/>
        <n v="498.61"/>
        <n v="807.23"/>
        <n v="687.13"/>
        <n v="158.78"/>
        <n v="849.37"/>
        <n v="59.97"/>
        <n v="842.69"/>
        <n v="86.54"/>
        <n v="508.78"/>
        <n v="125.68"/>
        <n v="425.84"/>
        <n v="522.47"/>
        <n v="404.03"/>
        <n v="865.27"/>
        <n v="958.43"/>
        <n v="598.34"/>
        <n v="705.7"/>
        <n v="840.82"/>
        <n v="641.22"/>
        <n v="678.26"/>
        <n v="377.71"/>
        <n v="896.98"/>
        <n v="272.61"/>
        <n v="866.73"/>
        <n v="156.11"/>
        <n v="875.24"/>
        <n v="340.02"/>
        <n v="146.56"/>
        <n v="302.58"/>
        <n v="167.66"/>
        <n v="323.64"/>
        <n v="796.39"/>
        <n v="543.49"/>
        <n v="330.16"/>
        <n v="672.27"/>
        <n v="613.56"/>
        <n v="276.83"/>
        <n v="897.51"/>
        <n v="414.19"/>
        <n v="566.07"/>
        <n v="953.67"/>
        <n v="801.92"/>
        <n v="647.84"/>
        <n v="741.74"/>
        <n v="382.58"/>
        <n v="556.3"/>
        <n v="786.09"/>
        <n v="992.04"/>
        <n v="59.28"/>
        <n v="366.29"/>
        <n v="656.71"/>
        <n v="886.69"/>
        <n v="303.27"/>
        <n v="587.86"/>
        <n v="841.11"/>
        <n v="985.24"/>
        <n v="687.11"/>
        <n v="462.18"/>
        <n v="202.11"/>
        <n v="527.99"/>
        <n v="429.45"/>
        <n v="446.14"/>
        <n v="391.23"/>
        <n v="395.1"/>
        <n v="776.18"/>
        <n v="416.28"/>
        <n v="528.78"/>
        <n v="385.59"/>
        <n v="260.05"/>
        <n v="678.57"/>
        <n v="61.11"/>
        <n v="288.34"/>
        <n v="729.75"/>
        <n v="814.84"/>
        <n v="199.05"/>
        <n v="372.98"/>
        <n v="185.36"/>
        <n v="247.32"/>
        <n v="280.42"/>
        <n v="821.69"/>
        <n v="252.5"/>
        <n v="211.59"/>
        <n v="86.94"/>
        <n v="182.55"/>
        <n v="255.27"/>
        <n v="516.82"/>
        <n v="585.38"/>
        <n v="867.92"/>
        <n v="881.49"/>
        <n v="555.43"/>
        <n v="218.51"/>
        <n v="914.93"/>
        <n v="458.01"/>
        <n v="90.38"/>
        <n v="754.16"/>
        <n v="780.48"/>
        <n v="247.98"/>
        <n v="619.86"/>
        <n v="169.2"/>
        <n v="698.41"/>
        <n v="620.4"/>
        <n v="96.71"/>
        <n v="52.0"/>
        <n v="667.5"/>
        <n v="495.1"/>
        <n v="317.78"/>
        <n v="511.17"/>
        <n v="194.94"/>
        <n v="301.5"/>
        <n v="281.04"/>
        <n v="214.29"/>
        <n v="45.7"/>
        <n v="786.61"/>
        <n v="118.35"/>
        <n v="98.44"/>
        <n v="584.07"/>
        <n v="552.27"/>
        <n v="119.54"/>
        <n v="477.49"/>
        <n v="188.37"/>
        <n v="67.54"/>
        <n v="119.25"/>
        <n v="467.3"/>
        <n v="370.4"/>
        <n v="621.13"/>
        <n v="815.81"/>
        <n v="60.59"/>
        <n v="304.31"/>
        <n v="991.83"/>
        <n v="845.2"/>
        <n v="578.95"/>
        <n v="240.53"/>
        <n v="148.39"/>
        <n v="989.29"/>
        <n v="157.46"/>
        <n v="430.49"/>
        <n v="449.65"/>
        <n v="526.42"/>
        <n v="838.26"/>
        <n v="705.59"/>
        <n v="26.81"/>
        <n v="852.2"/>
        <n v="878.28"/>
        <n v="795.16"/>
        <n v="598.64"/>
        <n v="130.02"/>
        <n v="741.02"/>
        <n v="748.68"/>
        <n v="900.03"/>
        <n v="558.94"/>
        <n v="586.07"/>
        <n v="916.47"/>
        <n v="259.07"/>
        <n v="650.19"/>
        <n v="677.15"/>
        <n v="837.45"/>
        <n v="729.86"/>
        <n v="716.27"/>
        <n v="992.08"/>
        <n v="644.27"/>
        <n v="403.38"/>
        <n v="206.81"/>
        <n v="590.72"/>
        <n v="839.97"/>
        <n v="127.86"/>
        <n v="527.43"/>
        <n v="896.26"/>
        <n v="384.2"/>
        <n v="131.78"/>
        <n v="685.54"/>
        <n v="712.71"/>
        <n v="951.83"/>
        <n v="63.92"/>
        <n v="627.06"/>
        <n v="315.13"/>
        <n v="126.66"/>
        <n v="634.48"/>
        <n v="565.62"/>
        <n v="609.62"/>
        <n v="985.56"/>
        <n v="514.19"/>
        <n v="422.57"/>
        <n v="971.71"/>
        <n v="925.69"/>
        <n v="793.49"/>
        <n v="921.06"/>
        <n v="474.01"/>
        <n v="870.93"/>
        <n v="61.52"/>
        <n v="545.89"/>
        <n v="477.43"/>
        <n v="573.12"/>
        <n v="511.9"/>
        <n v="779.84"/>
        <n v="419.65"/>
        <n v="326.76"/>
        <n v="928.04"/>
        <n v="564.52"/>
        <n v="624.53"/>
        <n v="999.24"/>
        <n v="260.51"/>
        <n v="254.22"/>
        <n v="677.53"/>
        <n v="274.74"/>
        <n v="62.87"/>
        <n v="880.94"/>
        <n v="948.33"/>
        <n v="389.97"/>
        <n v="865.31"/>
        <n v="266.14"/>
        <n v="514.69"/>
        <n v="753.95"/>
        <n v="49.56"/>
        <n v="712.57"/>
        <n v="535.78"/>
        <n v="890.24"/>
        <n v="26.12"/>
        <n v="732.32"/>
        <n v="867.32"/>
        <n v="765.61"/>
        <n v="398.15"/>
        <n v="924.0"/>
        <n v="565.17"/>
        <n v="659.25"/>
        <n v="541.66"/>
        <n v="968.53"/>
        <n v="716.37"/>
        <n v="655.86"/>
        <n v="508.5"/>
        <n v="217.46"/>
        <n v="990.53"/>
        <n v="859.06"/>
        <n v="406.33"/>
        <n v="842.6"/>
        <n v="989.78"/>
        <n v="352.27"/>
        <n v="378.51"/>
        <n v="533.42"/>
        <n v="955.62"/>
        <n v="832.38"/>
        <n v="737.89"/>
        <n v="364.49"/>
        <n v="800.3"/>
        <n v="699.43"/>
        <n v="919.32"/>
        <n v="82.95"/>
        <n v="659.48"/>
        <n v="990.04"/>
        <n v="525.16"/>
        <n v="245.14"/>
        <n v="686.41"/>
        <n v="695.59"/>
        <n v="325.29"/>
        <n v="811.62"/>
        <n v="640.53"/>
        <n v="465.18"/>
        <n v="779.47"/>
        <n v="949.19"/>
        <n v="477.74"/>
        <n v="329.92"/>
        <n v="322.66"/>
        <n v="364.79"/>
        <n v="904.53"/>
        <n v="267.75"/>
        <n v="987.99"/>
        <n v="389.55"/>
        <n v="290.8"/>
        <n v="308.48"/>
        <n v="671.8"/>
        <n v="553.93"/>
        <n v="822.75"/>
        <n v="190.73"/>
        <n v="354.94"/>
        <n v="31.89"/>
        <n v="518.83"/>
        <n v="510.83"/>
        <n v="180.29"/>
        <n v="858.38"/>
        <n v="292.79"/>
        <n v="286.46"/>
        <n v="510.94"/>
        <n v="550.28"/>
        <n v="445.17"/>
        <n v="343.9"/>
        <n v="499.81"/>
        <n v="366.95"/>
        <n v="175.72"/>
        <n v="59.24"/>
        <n v="69.04"/>
        <n v="157.72"/>
        <n v="884.14"/>
        <n v="380.6"/>
        <n v="724.05"/>
        <n v="118.11"/>
        <n v="966.45"/>
        <n v="704.34"/>
        <n v="930.33"/>
        <n v="121.68"/>
        <n v="862.02"/>
        <n v="160.37"/>
        <n v="60.04"/>
        <n v="497.71"/>
        <n v="762.32"/>
        <n v="851.24"/>
        <n v="582.8"/>
        <n v="869.22"/>
        <n v="67.53"/>
        <n v="781.0"/>
        <n v="128.75"/>
        <n v="45.72"/>
        <n v="454.83"/>
        <n v="765.42"/>
        <n v="885.98"/>
        <n v="99.54"/>
        <n v="291.41"/>
        <n v="690.23"/>
        <n v="711.67"/>
        <n v="460.23"/>
        <n v="330.47"/>
        <n v="652.61"/>
        <n v="169.83"/>
        <n v="788.25"/>
        <n v="774.2"/>
        <n v="555.7"/>
        <n v="904.84"/>
        <n v="120.14"/>
        <n v="335.87"/>
        <n v="860.0"/>
        <n v="571.79"/>
        <n v="965.6"/>
        <n v="576.8"/>
        <n v="137.17"/>
        <n v="794.99"/>
        <n v="99.13"/>
        <n v="401.3"/>
        <n v="900.55"/>
        <n v="91.13"/>
        <n v="673.6"/>
        <n v="845.29"/>
        <n v="328.1"/>
        <n v="618.23"/>
        <n v="545.69"/>
        <n v="99.66"/>
        <n v="775.3"/>
        <n v="370.5"/>
        <n v="65.19"/>
        <n v="762.48"/>
        <n v="767.51"/>
        <n v="374.58"/>
        <n v="301.62"/>
        <n v="606.52"/>
        <n v="368.31"/>
        <n v="606.43"/>
        <n v="863.91"/>
        <n v="763.13"/>
        <n v="901.75"/>
        <n v="356.41"/>
        <n v="938.53"/>
        <n v="560.91"/>
        <n v="172.88"/>
        <n v="513.75"/>
        <n v="519.77"/>
        <n v="237.78"/>
        <n v="162.51"/>
        <n v="583.78"/>
        <n v="305.94"/>
        <n v="513.53"/>
        <n v="253.03"/>
        <n v="468.78"/>
        <n v="614.9"/>
        <n v="488.93"/>
        <n v="944.35"/>
        <n v="835.57"/>
        <n v="570.4"/>
        <n v="862.74"/>
        <n v="851.3"/>
        <n v="604.17"/>
        <n v="616.82"/>
        <n v="317.43"/>
        <n v="453.71"/>
        <n v="24.06"/>
        <n v="509.54"/>
        <n v="230.53"/>
        <n v="662.24"/>
        <n v="797.72"/>
        <n v="627.5"/>
        <n v="512.88"/>
        <n v="725.6"/>
        <n v="833.38"/>
        <n v="711.7"/>
        <n v="700.91"/>
        <n v="265.1"/>
        <n v="862.19"/>
        <n v="776.8"/>
        <n v="606.98"/>
        <n v="217.39"/>
        <n v="426.64"/>
        <n v="583.96"/>
        <n v="29.01"/>
        <n v="47.75"/>
        <n v="221.16"/>
        <n v="687.54"/>
        <n v="151.6"/>
        <n v="316.92"/>
        <n v="406.9"/>
        <n v="257.3"/>
        <n v="777.45"/>
        <n v="878.26"/>
        <n v="234.18"/>
        <n v="579.92"/>
        <n v="21.82"/>
        <n v="210.41"/>
        <n v="542.53"/>
        <n v="215.82"/>
        <n v="766.48"/>
        <n v="732.64"/>
        <n v="481.64"/>
        <n v="102.43"/>
        <n v="760.32"/>
        <n v="296.26"/>
        <n v="711.75"/>
        <n v="25.51"/>
        <n v="69.25"/>
        <n v="115.3"/>
        <n v="560.54"/>
        <n v="327.48"/>
        <n v="830.25"/>
        <n v="313.62"/>
        <n v="742.34"/>
        <n v="723.6"/>
        <n v="596.43"/>
        <n v="29.94"/>
        <n v="528.63"/>
        <n v="646.56"/>
        <n v="397.24"/>
        <n v="60.95"/>
        <n v="246.89"/>
        <n v="815.48"/>
        <n v="320.87"/>
        <n v="138.02"/>
        <n v="34.47"/>
        <n v="332.28"/>
        <n v="487.05"/>
        <n v="867.91"/>
        <n v="481.9"/>
        <n v="31.96"/>
        <n v="179.57"/>
        <n v="589.44"/>
        <n v="78.7"/>
        <n v="487.69"/>
        <n v="319.61"/>
        <n v="407.13"/>
        <n v="300.98"/>
        <n v="153.97"/>
        <n v="54.06"/>
        <n v="413.97"/>
        <n v="385.11"/>
        <n v="89.38"/>
        <n v="689.22"/>
        <n v="65.13"/>
        <n v="459.35"/>
        <n v="802.58"/>
        <n v="93.16"/>
        <n v="92.75"/>
        <n v="645.04"/>
        <n v="214.4"/>
        <n v="40.49"/>
        <n v="882.24"/>
        <n v="892.64"/>
        <n v="124.84"/>
        <n v="320.38"/>
        <n v="141.47"/>
        <n v="114.89"/>
        <n v="441.07"/>
        <n v="574.78"/>
        <n v="42.59"/>
        <n v="909.07"/>
        <n v="785.32"/>
        <n v="899.51"/>
        <n v="317.71"/>
        <n v="590.0"/>
        <n v="751.03"/>
        <n v="28.33"/>
        <n v="459.59"/>
        <n v="303.01"/>
        <n v="419.59"/>
        <n v="645.01"/>
        <n v="87.27"/>
        <n v="835.85"/>
        <n v="225.72"/>
        <n v="990.8"/>
        <n v="971.42"/>
        <n v="457.31"/>
        <n v="276.11"/>
        <n v="508.66"/>
        <n v="943.18"/>
        <n v="273.2"/>
        <n v="581.89"/>
        <n v="763.24"/>
        <n v="109.55"/>
        <n v="70.64"/>
        <n v="568.76"/>
        <n v="563.56"/>
        <n v="754.45"/>
        <n v="122.45"/>
        <n v="874.53"/>
        <n v="783.86"/>
        <n v="598.99"/>
        <n v="668.94"/>
        <n v="830.16"/>
        <n v="782.97"/>
        <n v="555.6"/>
        <n v="984.19"/>
        <n v="321.95"/>
        <n v="676.08"/>
        <n v="97.01"/>
        <n v="861.53"/>
        <n v="643.78"/>
        <n v="162.68"/>
        <n v="354.72"/>
        <n v="60.15"/>
        <n v="568.2"/>
        <n v="240.98"/>
        <n v="401.98"/>
        <n v="114.44"/>
        <n v="622.33"/>
        <n v="356.94"/>
        <n v="883.72"/>
        <n v="705.91"/>
        <n v="465.17"/>
        <n v="545.48"/>
        <n v="816.41"/>
        <n v="530.0"/>
        <n v="321.89"/>
        <n v="645.42"/>
        <n v="110.83"/>
        <n v="747.63"/>
        <n v="247.79"/>
        <n v="152.36"/>
        <n v="900.88"/>
        <n v="781.58"/>
        <n v="546.82"/>
        <n v="243.5"/>
        <n v="837.92"/>
        <n v="453.23"/>
        <n v="114.25"/>
        <n v="708.74"/>
        <n v="834.44"/>
        <n v="288.11"/>
        <n v="689.65"/>
        <n v="34.73"/>
        <n v="666.39"/>
        <n v="257.39"/>
        <n v="720.95"/>
        <n v="806.79"/>
        <n v="885.39"/>
        <n v="505.71"/>
        <n v="531.25"/>
        <n v="823.37"/>
        <n v="110.55"/>
        <n v="195.41"/>
        <n v="218.76"/>
        <n v="588.25"/>
        <n v="745.8"/>
        <n v="424.01"/>
        <n v="264.83"/>
        <n v="447.0"/>
        <n v="798.2"/>
        <n v="475.23"/>
        <n v="719.11"/>
        <n v="600.74"/>
        <n v="618.7"/>
        <n v="147.11"/>
        <n v="896.12"/>
        <n v="801.07"/>
        <n v="400.14"/>
        <n v="997.89"/>
        <n v="298.41"/>
        <n v="260.77"/>
        <n v="491.51"/>
        <n v="391.87"/>
        <n v="32.95"/>
        <n v="270.27"/>
        <n v="274.97"/>
        <n v="596.31"/>
        <n v="858.96"/>
        <n v="545.85"/>
        <n v="748.51"/>
        <n v="53.82"/>
        <n v="160.8"/>
        <n v="219.58"/>
        <n v="61.86"/>
        <n v="617.0"/>
        <n v="630.16"/>
        <n v="427.46"/>
        <n v="118.42"/>
        <n v="792.48"/>
        <n v="691.94"/>
        <n v="511.39"/>
        <n v="772.12"/>
        <n v="669.81"/>
        <n v="268.04"/>
        <n v="114.79"/>
        <n v="395.7"/>
        <n v="169.28"/>
        <n v="764.59"/>
        <n v="290.75"/>
        <n v="212.87"/>
        <n v="931.95"/>
        <n v="900.6"/>
        <n v="308.56"/>
        <n v="887.01"/>
        <n v="391.12"/>
        <n v="376.6"/>
        <n v="697.53"/>
        <n v="858.03"/>
        <n v="84.56"/>
        <n v="87.52"/>
        <n v="556.73"/>
        <n v="868.71"/>
        <n v="116.26"/>
        <n v="99.8"/>
        <n v="239.67"/>
        <n v="268.71"/>
        <n v="940.01"/>
        <n v="377.15"/>
        <n v="332.8"/>
        <n v="340.0"/>
        <n v="737.39"/>
        <n v="751.05"/>
        <n v="821.01"/>
        <n v="494.21"/>
        <n v="430.37"/>
        <n v="153.84"/>
        <n v="356.77"/>
        <n v="465.81"/>
        <n v="821.86"/>
        <n v="292.94"/>
        <n v="283.97"/>
        <n v="674.51"/>
        <n v="438.35"/>
        <n v="645.91"/>
        <n v="532.73"/>
        <n v="791.68"/>
        <n v="72.44"/>
        <n v="181.56"/>
        <n v="395.07"/>
        <n v="932.95"/>
        <n v="52.22"/>
        <n v="199.3"/>
        <n v="86.84"/>
        <n v="454.93"/>
        <n v="358.7"/>
        <n v="311.1"/>
        <n v="860.19"/>
        <n v="186.28"/>
        <n v="881.77"/>
        <n v="684.44"/>
        <n v="592.23"/>
        <n v="961.88"/>
        <n v="674.72"/>
        <n v="300.88"/>
        <n v="390.79"/>
        <n v="166.94"/>
        <n v="791.33"/>
        <n v="63.11"/>
        <n v="69.86"/>
        <n v="507.22"/>
        <n v="126.9"/>
        <n v="843.86"/>
        <n v="148.02"/>
        <n v="587.91"/>
        <n v="185.04"/>
        <n v="221.5"/>
        <n v="624.98"/>
        <n v="717.52"/>
        <n v="544.16"/>
        <n v="232.27"/>
        <n v="214.77"/>
        <n v="723.87"/>
        <n v="416.73"/>
        <n v="449.61"/>
        <n v="534.68"/>
        <n v="518.53"/>
        <n v="387.39"/>
        <n v="804.63"/>
        <n v="166.21"/>
        <n v="181.54"/>
        <n v="115.41"/>
        <n v="40.56"/>
        <n v="561.84"/>
        <n v="873.22"/>
        <n v="136.72"/>
        <n v="711.31"/>
        <n v="415.1"/>
        <n v="928.62"/>
        <n v="23.09"/>
        <n v="112.83"/>
        <n v="594.25"/>
        <n v="540.25"/>
        <n v="719.33"/>
        <n v="155.73"/>
        <n v="380.55"/>
        <n v="706.4"/>
        <n v="323.28"/>
        <n v="733.24"/>
        <n v="384.65"/>
        <n v="389.7"/>
        <n v="41.28"/>
        <n v="90.23"/>
        <n v="502.62"/>
        <n v="748.73"/>
        <n v="658.45"/>
        <n v="687.27"/>
        <n v="883.47"/>
        <n v="873.16"/>
        <n v="548.04"/>
        <n v="565.19"/>
        <n v="877.08"/>
        <n v="669.54"/>
        <n v="865.64"/>
        <n v="93.22"/>
        <n v="876.6"/>
        <n v="511.34"/>
        <n v="450.08"/>
        <n v="706.5"/>
        <n v="383.97"/>
        <n v="838.31"/>
        <n v="971.96"/>
        <n v="562.08"/>
        <n v="321.03"/>
        <n v="221.17"/>
        <n v="655.13"/>
        <n v="561.27"/>
        <n v="472.44"/>
        <n v="974.04"/>
        <n v="236.58"/>
        <n v="837.15"/>
        <n v="819.91"/>
        <n v="643.15"/>
        <n v="85.35"/>
        <n v="78.31"/>
        <n v="913.87"/>
        <n v="202.59"/>
        <n v="418.65"/>
        <n v="141.03"/>
        <n v="270.16"/>
        <n v="271.8"/>
        <n v="159.17"/>
        <n v="497.37"/>
        <n v="552.99"/>
        <n v="54.66"/>
        <n v="330.93"/>
        <n v="214.66"/>
        <n v="448.72"/>
        <n v="298.0"/>
        <n v="830.52"/>
        <n v="169.44"/>
        <n v="709.0"/>
        <n v="626.82"/>
        <n v="99.52"/>
        <n v="918.94"/>
        <n v="440.83"/>
        <n v="37.96"/>
        <n v="361.13"/>
        <n v="338.34"/>
        <n v="690.3"/>
        <n v="915.49"/>
        <n v="260.39"/>
        <n v="160.49"/>
        <n v="800.0"/>
        <n v="762.67"/>
        <n v="956.91"/>
        <n v="34.8"/>
        <n v="639.61"/>
        <n v="545.0"/>
        <n v="904.02"/>
        <n v="120.59"/>
        <n v="577.48"/>
        <n v="888.42"/>
        <n v="495.72"/>
        <n v="704.33"/>
        <n v="632.55"/>
        <n v="772.54"/>
        <n v="833.04"/>
        <n v="754.62"/>
        <n v="307.44"/>
        <n v="435.75"/>
        <n v="537.52"/>
        <n v="432.35"/>
        <n v="861.0"/>
        <n v="115.55"/>
        <n v="425.54"/>
        <n v="424.2"/>
        <n v="644.66"/>
        <n v="699.85"/>
        <n v="726.39"/>
        <n v="510.97"/>
        <n v="900.93"/>
        <n v="499.5"/>
        <n v="318.82"/>
        <n v="751.61"/>
        <n v="888.76"/>
        <n v="48.64"/>
        <n v="385.32"/>
        <n v="769.56"/>
        <n v="189.83"/>
        <n v="256.22"/>
        <n v="434.38"/>
        <n v="654.47"/>
        <n v="527.18"/>
        <n v="787.17"/>
        <n v="161.19"/>
        <n v="566.44"/>
        <n v="278.11"/>
        <n v="345.18"/>
        <n v="567.9"/>
        <n v="635.9"/>
        <n v="832.03"/>
        <n v="318.5"/>
        <n v="866.02"/>
        <n v="553.57"/>
        <n v="730.45"/>
        <n v="400.32"/>
        <n v="359.22"/>
        <n v="959.26"/>
        <n v="961.44"/>
        <n v="685.81"/>
        <n v="734.69"/>
        <n v="554.96"/>
        <n v="165.34"/>
        <n v="266.34"/>
        <n v="905.31"/>
        <n v="500.51"/>
        <n v="782.7"/>
        <n v="832.92"/>
        <n v="604.84"/>
        <n v="182.78"/>
        <n v="457.56"/>
        <n v="336.42"/>
        <n v="271.6"/>
        <n v="387.67"/>
        <n v="858.14"/>
        <n v="63.67"/>
        <n v="819.24"/>
        <n v="536.13"/>
        <n v="745.47"/>
        <n v="728.03"/>
        <n v="886.82"/>
        <n v="249.35"/>
        <n v="951.67"/>
        <n v="162.78"/>
        <n v="411.21"/>
        <n v="628.12"/>
        <n v="338.97"/>
        <n v="535.72"/>
        <n v="163.27"/>
        <n v="334.26"/>
        <n v="385.8"/>
        <n v="889.68"/>
        <n v="478.63"/>
        <n v="478.69"/>
        <n v="557.62"/>
        <n v="76.01"/>
        <n v="714.45"/>
        <n v="947.69"/>
        <n v="719.77"/>
        <n v="750.14"/>
        <n v="463.75"/>
        <n v="386.19"/>
        <n v="286.95"/>
        <n v="441.79"/>
        <n v="422.23"/>
        <n v="728.61"/>
        <n v="302.25"/>
        <n v="461.38"/>
        <n v="113.77"/>
        <n v="761.66"/>
        <n v="404.17"/>
        <n v="223.12"/>
        <n v="141.29"/>
        <n v="256.56"/>
        <n v="994.28"/>
        <n v="249.83"/>
        <n v="913.2"/>
        <n v="819.3"/>
        <n v="719.14"/>
        <n v="43.75"/>
        <n v="63.95"/>
        <n v="124.4"/>
        <n v="264.45"/>
        <n v="449.23"/>
        <n v="969.05"/>
        <n v="443.91"/>
        <n v="822.57"/>
        <n v="584.99"/>
        <n v="374.32"/>
        <n v="223.83"/>
        <n v="660.44"/>
        <n v="711.3"/>
        <n v="101.44"/>
        <n v="886.19"/>
        <n v="89.63"/>
        <n v="533.93"/>
        <n v="526.51"/>
        <n v="925.42"/>
        <n v="94.36"/>
        <n v="661.55"/>
        <n v="484.31"/>
        <n v="26.71"/>
        <n v="419.19"/>
        <n v="694.5"/>
        <n v="853.5"/>
        <n v="120.65"/>
        <n v="613.0"/>
        <n v="717.42"/>
        <n v="176.81"/>
        <n v="794.0"/>
        <n v="63.35"/>
        <n v="815.21"/>
        <n v="169.33"/>
        <n v="118.58"/>
        <n v="385.38"/>
        <n v="122.17"/>
        <n v="634.45"/>
        <n v="641.37"/>
        <n v="384.16"/>
        <n v="317.63"/>
        <n v="617.61"/>
        <n v="350.04"/>
        <n v="824.0"/>
        <n v="981.04"/>
        <n v="788.11"/>
        <n v="648.35"/>
        <n v="794.9"/>
        <n v="534.96"/>
        <n v="356.93"/>
        <n v="996.43"/>
        <n v="822.66"/>
        <n v="261.21"/>
        <n v="910.91"/>
        <n v="732.37"/>
        <n v="488.69"/>
        <n v="907.32"/>
        <n v="330.95"/>
        <n v="61.18"/>
        <n v="604.35"/>
        <n v="663.37"/>
        <n v="825.0"/>
        <n v="739.79"/>
        <n v="88.43"/>
        <n v="595.24"/>
        <n v="387.11"/>
        <n v="500.46"/>
        <n v="471.61"/>
        <n v="494.52"/>
        <n v="285.06"/>
        <n v="93.1"/>
        <n v="792.57"/>
        <n v="526.63"/>
        <n v="773.49"/>
        <n v="823.84"/>
        <n v="208.08"/>
        <n v="469.69"/>
        <n v="433.69"/>
        <n v="409.45"/>
        <n v="337.69"/>
        <n v="199.11"/>
        <n v="384.97"/>
        <n v="190.95"/>
        <n v="652.35"/>
        <n v="892.05"/>
        <n v="520.87"/>
        <n v="931.75"/>
        <n v="738.72"/>
        <n v="747.19"/>
        <n v="886.96"/>
        <n v="509.86"/>
        <n v="844.94"/>
        <n v="206.64"/>
        <n v="935.52"/>
        <n v="591.23"/>
        <n v="596.48"/>
        <n v="183.99"/>
        <n v="668.33"/>
        <n v="759.25"/>
        <n v="745.19"/>
        <n v="511.4"/>
        <n v="813.7"/>
        <n v="260.8"/>
        <n v="249.46"/>
        <n v="609.05"/>
        <n v="707.95"/>
        <n v="607.85"/>
        <n v="576.31"/>
        <n v="173.45"/>
        <n v="763.77"/>
        <n v="979.77"/>
        <n v="63.22"/>
        <n v="561.56"/>
        <n v="99.71"/>
        <n v="134.1"/>
        <n v="406.2"/>
        <n v="519.36"/>
        <n v="488.11"/>
        <n v="537.43"/>
        <n v="680.62"/>
        <n v="290.24"/>
        <n v="45.2"/>
        <n v="131.18"/>
        <n v="260.65"/>
        <n v="148.01"/>
        <n v="39.64"/>
        <n v="827.7"/>
        <n v="567.62"/>
        <n v="874.94"/>
        <n v="397.85"/>
        <n v="272.26"/>
        <n v="735.54"/>
        <n v="599.23"/>
        <n v="731.82"/>
        <n v="545.11"/>
        <n v="807.13"/>
        <n v="48.01"/>
        <n v="899.98"/>
        <n v="212.92"/>
        <n v="447.14"/>
        <n v="517.48"/>
        <n v="513.44"/>
        <n v="546.84"/>
        <n v="363.95"/>
        <n v="191.81"/>
        <n v="851.79"/>
        <n v="931.74"/>
        <n v="685.47"/>
        <n v="168.05"/>
        <n v="672.11"/>
        <n v="522.79"/>
        <n v="564.58"/>
        <n v="22.86"/>
        <n v="544.64"/>
        <n v="31.93"/>
        <n v="345.58"/>
        <n v="643.38"/>
        <n v="76.92"/>
        <n v="694.22"/>
        <n v="109.5"/>
        <n v="460.24"/>
        <n v="896.57"/>
        <n v="276.06"/>
        <n v="63.4"/>
        <n v="595.02"/>
        <n v="511.67"/>
        <n v="342.01"/>
        <n v="711.9"/>
        <n v="242.17"/>
        <n v="91.27"/>
        <n v="258.8"/>
        <n v="105.29"/>
        <n v="747.95"/>
        <n v="946.06"/>
        <n v="990.21"/>
        <n v="343.53"/>
        <n v="639.73"/>
        <n v="986.57"/>
        <n v="624.63"/>
        <n v="485.96"/>
        <n v="474.15"/>
        <n v="789.78"/>
        <n v="605.88"/>
        <n v="152.51"/>
        <n v="721.24"/>
        <n v="545.97"/>
        <n v="920.87"/>
        <n v="375.02"/>
        <n v="409.62"/>
        <n v="723.65"/>
        <n v="323.05"/>
        <n v="789.51"/>
        <n v="415.45"/>
        <n v="719.98"/>
        <n v="788.82"/>
        <n v="889.33"/>
        <n v="765.26"/>
        <n v="128.01"/>
        <n v="362.59"/>
        <n v="83.98"/>
        <n v="330.35"/>
        <n v="27.86"/>
        <n v="534.25"/>
        <n v="453.7"/>
        <n v="987.85"/>
        <n v="88.14"/>
        <n v="431.86"/>
        <n v="700.94"/>
        <n v="914.57"/>
        <n v="284.38"/>
        <n v="453.07"/>
        <n v="76.54"/>
        <n v="260.84"/>
        <n v="890.32"/>
        <n v="275.21"/>
        <n v="747.94"/>
        <n v="928.94"/>
        <n v="880.01"/>
        <n v="574.46"/>
        <n v="574.77"/>
        <n v="961.24"/>
        <n v="702.45"/>
        <n v="525.79"/>
        <n v="212.03"/>
        <n v="517.69"/>
        <n v="191.16"/>
        <n v="491.37"/>
        <n v="421.92"/>
        <n v="79.68"/>
        <n v="67.81"/>
        <n v="268.56"/>
        <n v="706.62"/>
        <n v="278.93"/>
        <n v="806.35"/>
        <n v="190.38"/>
        <n v="344.4"/>
        <n v="377.43"/>
        <n v="392.23"/>
        <n v="166.81"/>
        <n v="118.81"/>
        <n v="376.88"/>
        <n v="117.32"/>
        <n v="399.87"/>
        <n v="49.42"/>
        <n v="720.24"/>
        <n v="639.68"/>
        <n v="826.02"/>
        <n v="51.38"/>
        <n v="736.09"/>
        <n v="193.8"/>
        <n v="218.24"/>
        <n v="429.73"/>
        <n v="470.67"/>
        <n v="779.43"/>
        <n v="977.05"/>
        <n v="801.97"/>
        <n v="395.73"/>
        <n v="216.15"/>
        <n v="71.33"/>
        <n v="56.92"/>
        <n v="973.66"/>
        <n v="660.67"/>
        <n v="569.56"/>
        <n v="734.66"/>
        <n v="435.42"/>
        <n v="970.14"/>
        <n v="738.84"/>
        <n v="42.71"/>
        <n v="180.48"/>
        <n v="275.69"/>
        <n v="266.48"/>
        <n v="484.08"/>
        <n v="134.62"/>
        <n v="381.01"/>
        <n v="884.92"/>
        <n v="396.41"/>
        <n v="724.61"/>
        <n v="677.09"/>
        <n v="917.58"/>
        <n v="349.29"/>
        <n v="703.12"/>
        <n v="313.25"/>
        <n v="43.71"/>
        <n v="946.46"/>
        <n v="40.29"/>
        <n v="595.2"/>
        <n v="228.48"/>
        <n v="269.79"/>
        <n v="362.12"/>
        <n v="263.63"/>
        <n v="29.07"/>
        <n v="237.73"/>
        <n v="239.33"/>
        <n v="634.75"/>
        <n v="491.86"/>
        <n v="291.91"/>
        <n v="777.04"/>
        <n v="562.14"/>
        <n v="219.93"/>
        <n v="109.4"/>
        <n v="354.37"/>
        <n v="889.56"/>
        <n v="514.72"/>
        <n v="377.77"/>
        <n v="46.35"/>
        <n v="176.54"/>
        <n v="345.83"/>
        <n v="496.12"/>
        <n v="305.46"/>
        <n v="937.95"/>
        <n v="473.44"/>
        <n v="901.18"/>
        <n v="400.36"/>
        <n v="505.91"/>
        <n v="869.49"/>
        <n v="331.06"/>
        <n v="89.99"/>
        <n v="128.77"/>
        <n v="621.87"/>
        <n v="543.02"/>
        <n v="440.48"/>
        <n v="676.96"/>
        <n v="516.83"/>
        <n v="963.94"/>
        <n v="381.1"/>
        <n v="336.08"/>
        <n v="646.67"/>
        <n v="781.84"/>
        <n v="990.34"/>
        <n v="423.58"/>
        <n v="582.34"/>
        <n v="89.16"/>
        <n v="136.89"/>
        <n v="304.19"/>
        <n v="66.43"/>
        <n v="541.92"/>
        <n v="567.08"/>
        <n v="698.29"/>
        <n v="75.97"/>
        <n v="466.16"/>
        <n v="616.14"/>
        <n v="101.25"/>
        <n v="668.42"/>
        <n v="971.6"/>
        <n v="660.13"/>
        <n v="635.83"/>
        <n v="327.31"/>
        <n v="657.3"/>
        <n v="746.54"/>
        <n v="801.25"/>
        <n v="99.12"/>
        <n v="926.22"/>
        <n v="556.94"/>
        <n v="180.19"/>
        <n v="631.73"/>
        <n v="471.88"/>
        <n v="412.36"/>
        <n v="622.17"/>
        <n v="866.58"/>
        <n v="609.0"/>
        <n v="252.35"/>
        <n v="286.6"/>
        <n v="452.09"/>
        <n v="911.02"/>
        <n v="316.03"/>
        <n v="44.17"/>
        <n v="734.57"/>
        <n v="126.39"/>
        <n v="749.65"/>
        <n v="49.46"/>
        <n v="599.45"/>
        <n v="840.92"/>
        <n v="200.88"/>
        <n v="943.05"/>
        <n v="725.02"/>
        <n v="454.94"/>
        <n v="579.54"/>
        <n v="614.1"/>
        <n v="485.01"/>
        <n v="908.27"/>
        <n v="896.11"/>
        <n v="332.0"/>
        <n v="348.94"/>
        <n v="783.14"/>
        <n v="144.44"/>
        <n v="258.13"/>
        <n v="177.85"/>
        <n v="770.74"/>
        <n v="660.0"/>
        <n v="664.74"/>
        <n v="510.24"/>
        <n v="885.07"/>
        <n v="654.6"/>
        <n v="221.55"/>
        <n v="482.81"/>
        <n v="294.66"/>
        <n v="137.03"/>
        <n v="800.21"/>
        <n v="856.6"/>
        <n v="81.13"/>
        <n v="843.13"/>
        <n v="385.17"/>
        <n v="685.35"/>
        <n v="435.83"/>
        <n v="584.83"/>
        <n v="437.73"/>
        <n v="146.6"/>
        <n v="386.2"/>
        <n v="136.36"/>
        <n v="346.61"/>
        <n v="61.6"/>
        <n v="326.42"/>
        <n v="201.24"/>
        <n v="662.11"/>
        <n v="383.65"/>
        <n v="174.53"/>
        <n v="354.89"/>
        <n v="99.76"/>
        <n v="716.24"/>
        <n v="793.7"/>
        <n v="777.26"/>
        <n v="580.1"/>
        <n v="363.79"/>
        <n v="315.53"/>
        <n v="958.1"/>
        <n v="332.66"/>
        <n v="992.83"/>
        <n v="863.74"/>
        <n v="507.1"/>
        <n v="570.66"/>
        <n v="996.68"/>
        <n v="541.47"/>
        <n v="314.01"/>
        <n v="93.12"/>
        <n v="584.44"/>
        <n v="920.76"/>
        <n v="937.9"/>
        <n v="180.44"/>
        <n v="120.98"/>
        <n v="562.3"/>
        <n v="649.85"/>
        <n v="616.84"/>
        <n v="563.84"/>
        <n v="578.1"/>
        <n v="235.25"/>
        <n v="408.96"/>
        <n v="499.18"/>
        <n v="413.72"/>
        <n v="667.2"/>
        <n v="678.04"/>
        <n v="977.04"/>
        <n v="373.49"/>
        <n v="571.95"/>
        <n v="767.17"/>
        <n v="256.95"/>
        <n v="215.05"/>
        <n v="544.36"/>
        <n v="583.62"/>
        <n v="859.55"/>
        <n v="981.24"/>
        <n v="305.43"/>
        <n v="885.94"/>
        <n v="94.32"/>
        <n v="815.99"/>
        <n v="315.2"/>
        <n v="738.86"/>
        <n v="51.91"/>
        <n v="89.57"/>
        <n v="266.3"/>
        <n v="981.77"/>
        <n v="540.14"/>
        <n v="414.06"/>
        <n v="152.63"/>
        <n v="978.78"/>
        <n v="912.19"/>
        <n v="223.81"/>
        <n v="438.13"/>
        <n v="204.1"/>
        <n v="990.44"/>
        <n v="493.0"/>
        <n v="303.31"/>
        <n v="708.78"/>
        <n v="230.68"/>
        <n v="39.24"/>
        <n v="411.94"/>
        <n v="920.98"/>
        <n v="350.97"/>
        <n v="704.46"/>
        <n v="328.95"/>
        <n v="297.06"/>
        <n v="607.63"/>
        <n v="694.88"/>
        <n v="569.04"/>
        <n v="606.69"/>
        <n v="504.57"/>
        <n v="424.97"/>
        <n v="469.3"/>
        <n v="445.49"/>
        <n v="189.74"/>
        <n v="120.23"/>
        <n v="793.55"/>
        <n v="65.72"/>
        <n v="862.29"/>
        <n v="263.92"/>
        <n v="885.66"/>
        <n v="908.98"/>
        <n v="536.32"/>
        <n v="662.1"/>
        <n v="870.8"/>
        <n v="854.21"/>
        <n v="33.36"/>
        <n v="794.71"/>
        <n v="765.23"/>
        <n v="376.91"/>
        <n v="451.16"/>
        <n v="57.32"/>
        <n v="734.38"/>
        <n v="952.09"/>
        <n v="609.45"/>
        <n v="834.77"/>
        <n v="382.71"/>
        <n v="810.28"/>
        <n v="424.45"/>
        <n v="438.86"/>
        <n v="655.54"/>
        <n v="537.92"/>
        <n v="970.33"/>
        <n v="46.03"/>
        <n v="855.16"/>
        <n v="434.61"/>
        <n v="64.36"/>
        <n v="493.99"/>
        <n v="335.86"/>
        <n v="594.95"/>
        <n v="390.76"/>
        <n v="251.06"/>
        <n v="876.97"/>
        <n v="138.87"/>
        <n v="833.66"/>
        <n v="848.63"/>
        <n v="269.6"/>
        <n v="890.74"/>
        <n v="516.59"/>
        <n v="273.12"/>
        <n v="370.13"/>
        <n v="265.61"/>
        <n v="933.0"/>
        <n v="44.37"/>
        <n v="989.2"/>
        <n v="745.66"/>
        <n v="487.4"/>
        <n v="498.44"/>
        <n v="562.06"/>
        <n v="42.21"/>
        <n v="229.78"/>
        <n v="958.67"/>
        <n v="466.54"/>
        <n v="741.57"/>
        <n v="166.87"/>
        <n v="873.52"/>
        <n v="146.9"/>
        <n v="210.0"/>
        <n v="419.8"/>
        <n v="815.22"/>
        <n v="440.01"/>
        <n v="632.13"/>
        <n v="39.93"/>
        <n v="307.66"/>
        <n v="116.22"/>
        <n v="238.38"/>
        <n v="391.61"/>
        <n v="123.74"/>
        <n v="770.1"/>
        <n v="271.46"/>
        <n v="372.29"/>
        <n v="873.5"/>
        <n v="148.05"/>
        <n v="649.11"/>
        <n v="532.58"/>
        <n v="758.94"/>
        <n v="648.43"/>
        <n v="264.8"/>
        <n v="190.91"/>
        <n v="694.83"/>
        <n v="685.53"/>
        <n v="237.57"/>
        <n v="713.24"/>
        <n v="566.78"/>
        <n v="563.27"/>
        <n v="405.53"/>
        <n v="938.25"/>
        <n v="515.08"/>
        <n v="169.62"/>
        <n v="185.09"/>
        <n v="681.6"/>
        <n v="767.27"/>
        <n v="937.74"/>
        <n v="443.54"/>
        <n v="815.84"/>
        <n v="815.33"/>
        <n v="846.84"/>
        <n v="932.64"/>
        <n v="269.07"/>
        <n v="348.92"/>
        <n v="530.82"/>
        <n v="781.96"/>
        <n v="141.08"/>
        <n v="801.86"/>
        <n v="74.87"/>
        <n v="671.62"/>
        <n v="806.01"/>
        <n v="123.37"/>
        <n v="722.27"/>
        <n v="996.25"/>
        <n v="73.36"/>
        <n v="180.26"/>
        <n v="624.62"/>
        <n v="226.09"/>
        <n v="874.58"/>
        <n v="262.0"/>
        <n v="424.79"/>
        <n v="107.11"/>
        <n v="437.9"/>
        <n v="398.36"/>
        <n v="373.31"/>
        <n v="970.39"/>
        <n v="42.84"/>
        <n v="492.24"/>
        <n v="835.73"/>
        <n v="496.62"/>
        <n v="885.59"/>
        <n v="214.18"/>
        <n v="343.25"/>
        <n v="35.28"/>
        <n v="676.14"/>
        <n v="127.22"/>
        <n v="720.65"/>
        <n v="461.13"/>
        <n v="567.66"/>
        <n v="230.75"/>
        <n v="569.5"/>
        <n v="524.67"/>
        <n v="57.27"/>
        <n v="699.01"/>
        <n v="486.37"/>
        <n v="592.13"/>
        <n v="736.3"/>
        <n v="877.69"/>
        <n v="422.62"/>
        <n v="750.49"/>
        <n v="981.96"/>
        <n v="279.9"/>
        <n v="964.39"/>
        <n v="648.5"/>
        <n v="697.26"/>
        <n v="103.51"/>
        <n v="113.08"/>
        <n v="617.07"/>
        <n v="642.03"/>
        <n v="712.22"/>
        <n v="182.46"/>
        <n v="256.29"/>
        <n v="436.6"/>
        <n v="442.91"/>
        <n v="268.19"/>
        <n v="58.38"/>
        <n v="925.89"/>
        <n v="249.47"/>
        <n v="261.97"/>
        <n v="186.85"/>
        <n v="524.39"/>
        <n v="852.44"/>
        <n v="856.12"/>
        <n v="447.11"/>
        <n v="646.36"/>
        <n v="208.15"/>
        <n v="161.04"/>
        <n v="680.32"/>
        <n v="849.43"/>
        <n v="507.93"/>
        <n v="721.45"/>
        <n v="222.97"/>
        <n v="359.85"/>
        <n v="87.56"/>
        <n v="512.65"/>
        <n v="896.16"/>
        <n v="269.53"/>
        <n v="855.72"/>
        <n v="77.57"/>
        <n v="897.63"/>
        <n v="819.92"/>
        <n v="353.24"/>
        <n v="281.97"/>
        <n v="313.18"/>
        <n v="718.39"/>
        <n v="370.95"/>
        <n v="342.36"/>
        <n v="881.44"/>
        <n v="632.01"/>
        <n v="630.04"/>
        <n v="867.8"/>
        <n v="194.1"/>
        <n v="185.53"/>
        <n v="254.33"/>
        <n v="360.15"/>
        <n v="553.12"/>
        <n v="103.02"/>
        <n v="935.97"/>
        <n v="914.9"/>
        <n v="479.97"/>
        <n v="890.16"/>
        <n v="342.21"/>
        <n v="37.79"/>
        <n v="945.88"/>
        <n v="829.06"/>
        <n v="88.88"/>
        <n v="315.32"/>
        <n v="246.46"/>
        <n v="567.46"/>
        <n v="280.48"/>
        <n v="883.4"/>
        <n v="664.78"/>
        <n v="328.46"/>
        <n v="125.64"/>
        <n v="454.67"/>
        <n v="261.85"/>
        <n v="904.97"/>
        <n v="583.44"/>
        <n v="932.43"/>
        <n v="357.97"/>
        <n v="937.24"/>
        <n v="816.19"/>
        <n v="162.18"/>
        <n v="542.02"/>
        <n v="734.61"/>
        <n v="939.38"/>
        <n v="457.39"/>
        <n v="313.26"/>
        <n v="367.9"/>
        <n v="489.27"/>
        <n v="80.84"/>
        <n v="176.05"/>
        <n v="237.06"/>
        <n v="922.94"/>
        <n v="301.72"/>
        <n v="260.02"/>
        <n v="30.72"/>
        <n v="354.29"/>
        <n v="414.17"/>
        <n v="687.35"/>
        <n v="926.97"/>
        <n v="602.45"/>
        <n v="939.09"/>
        <n v="547.24"/>
        <n v="255.36"/>
        <n v="478.71"/>
        <n v="89.52"/>
        <n v="435.07"/>
        <n v="927.92"/>
        <n v="747.2"/>
        <n v="447.69"/>
        <n v="919.98"/>
        <n v="150.28"/>
        <n v="469.04"/>
        <n v="225.2"/>
        <n v="952.89"/>
        <n v="511.92"/>
        <n v="89.01"/>
        <n v="588.13"/>
        <n v="109.77"/>
        <n v="274.06"/>
        <n v="887.69"/>
        <n v="159.72"/>
        <n v="932.31"/>
        <n v="652.72"/>
        <n v="352.34"/>
        <n v="428.47"/>
        <n v="633.55"/>
        <n v="46.23"/>
        <n v="826.87"/>
        <n v="218.61"/>
        <n v="808.41"/>
        <n v="481.52"/>
        <n v="979.84"/>
        <n v="883.05"/>
        <n v="484.64"/>
        <n v="134.81"/>
        <n v="325.0"/>
        <n v="197.36"/>
        <n v="548.26"/>
        <n v="806.41"/>
        <n v="27.81"/>
        <n v="563.13"/>
        <n v="722.25"/>
        <n v="643.47"/>
        <n v="388.88"/>
        <n v="188.9"/>
        <n v="298.28"/>
        <n v="570.43"/>
        <n v="358.29"/>
        <n v="680.7"/>
        <n v="645.23"/>
        <n v="636.34"/>
        <n v="99.42"/>
        <n v="197.34"/>
        <n v="867.48"/>
        <n v="56.13"/>
        <n v="605.06"/>
        <n v="709.49"/>
        <n v="131.57"/>
        <n v="419.03"/>
        <n v="616.41"/>
        <n v="511.27"/>
        <n v="283.81"/>
        <n v="893.99"/>
        <n v="334.0"/>
        <n v="195.15"/>
        <n v="636.76"/>
        <n v="61.97"/>
        <n v="183.18"/>
        <n v="364.31"/>
        <n v="608.57"/>
        <n v="646.21"/>
        <n v="358.53"/>
        <n v="377.13"/>
        <n v="23.59"/>
        <n v="120.91"/>
        <n v="331.13"/>
        <n v="935.36"/>
        <n v="376.74"/>
        <n v="395.12"/>
        <n v="764.69"/>
        <n v="866.92"/>
        <n v="889.81"/>
        <n v="365.82"/>
        <n v="108.53"/>
        <n v="175.18"/>
        <n v="490.75"/>
        <n v="218.07"/>
        <n v="559.39"/>
        <n v="971.08"/>
        <n v="522.55"/>
        <n v="260.49"/>
        <n v="245.01"/>
        <n v="466.21"/>
        <n v="742.73"/>
        <n v="761.93"/>
        <n v="491.11"/>
        <n v="300.07"/>
        <n v="455.69"/>
        <n v="750.84"/>
        <n v="477.28"/>
        <n v="859.97"/>
        <n v="44.27"/>
        <n v="668.35"/>
        <n v="300.49"/>
        <n v="111.14"/>
        <n v="74.18"/>
        <n v="461.46"/>
        <n v="824.74"/>
        <n v="535.35"/>
        <n v="71.82"/>
        <n v="558.39"/>
        <n v="127.48"/>
        <n v="303.89"/>
        <n v="956.48"/>
        <n v="214.08"/>
        <n v="195.08"/>
        <n v="272.35"/>
        <n v="704.65"/>
        <n v="306.47"/>
        <n v="959.84"/>
        <n v="792.4"/>
        <n v="508.2"/>
        <n v="263.28"/>
        <n v="186.25"/>
        <n v="846.32"/>
        <n v="688.6"/>
        <n v="697.02"/>
        <n v="215.75"/>
        <n v="953.5"/>
        <n v="625.98"/>
        <n v="296.51"/>
        <n v="718.29"/>
        <n v="104.9"/>
        <n v="902.21"/>
        <n v="950.44"/>
        <n v="873.99"/>
        <n v="710.51"/>
        <n v="36.93"/>
        <n v="284.43"/>
        <n v="678.27"/>
        <n v="314.31"/>
        <n v="308.34"/>
        <n v="992.96"/>
        <n v="60.66"/>
        <n v="446.52"/>
        <n v="67.87"/>
        <n v="881.38"/>
        <n v="933.15"/>
        <n v="823.54"/>
        <n v="838.81"/>
        <n v="469.89"/>
        <n v="48.47"/>
        <n v="23.28"/>
        <n v="268.41"/>
        <n v="549.04"/>
        <n v="63.68"/>
        <n v="312.41"/>
        <n v="565.56"/>
        <n v="138.47"/>
        <n v="298.09"/>
        <n v="398.44"/>
        <n v="608.47"/>
        <n v="456.76"/>
        <n v="252.97"/>
        <n v="701.84"/>
        <n v="332.24"/>
        <n v="472.39"/>
        <n v="346.31"/>
        <n v="901.25"/>
        <n v="530.94"/>
        <n v="881.11"/>
        <n v="83.4"/>
        <n v="459.63"/>
        <n v="912.72"/>
        <n v="795.19"/>
        <n v="837.7"/>
        <n v="228.15"/>
        <n v="918.84"/>
        <n v="576.22"/>
        <n v="809.08"/>
        <n v="716.79"/>
        <n v="568.4"/>
        <n v="575.12"/>
        <n v="211.96"/>
        <n v="954.99"/>
        <n v="188.83"/>
        <n v="384.05"/>
        <n v="439.54"/>
        <n v="738.96"/>
        <n v="798.68"/>
        <n v="312.66"/>
        <n v="735.53"/>
        <n v="581.11"/>
        <n v="217.69"/>
        <n v="982.57"/>
        <n v="64.82"/>
        <n v="652.1"/>
        <n v="310.71"/>
        <n v="334.52"/>
        <n v="680.72"/>
        <n v="912.67"/>
        <n v="734.01"/>
        <n v="593.57"/>
        <n v="402.74"/>
        <n v="527.89"/>
        <n v="441.1"/>
        <n v="272.39"/>
        <n v="523.41"/>
        <n v="606.27"/>
        <n v="235.2"/>
        <n v="407.44"/>
        <n v="601.05"/>
        <n v="279.01"/>
        <n v="655.79"/>
        <n v="712.45"/>
        <n v="808.7"/>
        <n v="220.29"/>
        <n v="806.33"/>
        <n v="449.82"/>
        <n v="739.97"/>
        <n v="328.11"/>
        <n v="46.42"/>
        <n v="796.12"/>
        <n v="528.82"/>
        <n v="692.49"/>
        <n v="715.28"/>
        <n v="428.82"/>
        <n v="980.77"/>
        <n v="221.4"/>
        <n v="573.73"/>
        <n v="180.69"/>
        <n v="667.03"/>
        <n v="491.56"/>
        <n v="896.61"/>
        <n v="105.16"/>
        <n v="191.73"/>
        <n v="307.55"/>
        <n v="671.17"/>
        <n v="168.3"/>
        <n v="947.87"/>
        <n v="486.05"/>
        <n v="937.43"/>
        <n v="77.47"/>
        <n v="245.63"/>
        <n v="388.85"/>
        <n v="901.31"/>
        <n v="896.08"/>
        <n v="659.69"/>
        <n v="567.75"/>
        <n v="809.38"/>
        <n v="639.63"/>
        <n v="412.15"/>
        <n v="339.94"/>
        <n v="188.93"/>
        <n v="172.75"/>
        <n v="601.37"/>
        <n v="172.0"/>
        <n v="808.16"/>
        <n v="704.13"/>
        <n v="181.7"/>
        <n v="730.1"/>
        <n v="783.63"/>
        <n v="102.41"/>
        <n v="256.25"/>
        <n v="665.78"/>
        <n v="783.74"/>
        <n v="217.78"/>
        <n v="831.52"/>
        <n v="71.79"/>
        <n v="428.48"/>
        <n v="720.77"/>
        <n v="800.2"/>
        <n v="942.52"/>
        <n v="915.35"/>
        <n v="295.54"/>
        <n v="461.04"/>
        <n v="854.45"/>
        <n v="176.84"/>
        <n v="787.35"/>
        <n v="673.18"/>
        <n v="670.57"/>
        <n v="548.99"/>
        <n v="996.73"/>
        <n v="490.98"/>
        <n v="590.62"/>
        <n v="810.96"/>
        <n v="185.11"/>
        <n v="882.86"/>
        <n v="227.21"/>
        <n v="243.86"/>
        <n v="657.18"/>
        <n v="304.7"/>
        <n v="978.2"/>
        <n v="559.8"/>
        <n v="522.92"/>
        <n v="70.9"/>
        <n v="540.86"/>
        <n v="617.02"/>
        <n v="931.7"/>
        <n v="979.29"/>
        <n v="266.69"/>
        <n v="162.96"/>
        <n v="241.43"/>
        <n v="491.89"/>
        <n v="195.35"/>
        <n v="473.06"/>
        <n v="773.96"/>
        <n v="230.47"/>
        <n v="247.71"/>
        <n v="187.01"/>
        <n v="641.83"/>
        <n v="472.9"/>
        <n v="221.68"/>
        <n v="660.91"/>
        <n v="514.56"/>
        <n v="993.11"/>
        <n v="844.91"/>
        <n v="95.58"/>
        <n v="552.08"/>
        <n v="645.02"/>
        <n v="354.9"/>
        <n v="108.49"/>
        <n v="25.63"/>
        <n v="897.93"/>
        <n v="668.01"/>
        <n v="129.95"/>
        <n v="86.43"/>
        <n v="185.1"/>
        <n v="525.66"/>
        <n v="979.87"/>
        <n v="570.62"/>
        <n v="63.55"/>
        <n v="281.56"/>
        <n v="146.36"/>
        <n v="978.54"/>
        <n v="31.39"/>
        <n v="867.93"/>
        <n v="655.87"/>
        <n v="185.17"/>
        <n v="839.46"/>
        <n v="235.69"/>
        <n v="662.08"/>
        <n v="133.6"/>
        <n v="203.71"/>
        <n v="489.91"/>
        <n v="201.26"/>
        <n v="430.63"/>
        <n v="326.66"/>
        <n v="466.63"/>
        <n v="449.94"/>
        <n v="359.88"/>
        <n v="249.34"/>
        <n v="921.38"/>
        <n v="955.55"/>
        <n v="593.48"/>
        <n v="927.4"/>
        <n v="919.85"/>
        <n v="386.65"/>
        <n v="283.34"/>
        <n v="393.96"/>
        <n v="900.29"/>
        <n v="43.74"/>
        <n v="822.91"/>
        <n v="986.71"/>
        <n v="33.87"/>
        <n v="791.02"/>
        <n v="174.56"/>
        <n v="576.42"/>
        <n v="493.68"/>
        <n v="824.99"/>
        <n v="562.55"/>
        <n v="941.78"/>
        <n v="347.92"/>
        <n v="357.9"/>
        <n v="723.67"/>
        <n v="176.61"/>
        <n v="563.59"/>
        <n v="579.7"/>
        <n v="522.58"/>
        <n v="706.9"/>
        <n v="816.83"/>
        <n v="605.62"/>
        <n v="259.44"/>
        <n v="783.73"/>
        <n v="434.71"/>
        <n v="184.02"/>
        <n v="924.62"/>
        <n v="178.0"/>
        <n v="553.18"/>
        <n v="495.64"/>
        <n v="704.54"/>
        <n v="979.45"/>
        <n v="777.44"/>
        <n v="896.37"/>
        <n v="665.2"/>
        <n v="508.06"/>
        <n v="239.49"/>
        <n v="82.99"/>
        <n v="887.65"/>
        <n v="421.48"/>
        <n v="702.1"/>
        <n v="167.46"/>
        <n v="820.86"/>
        <n v="769.73"/>
        <n v="867.83"/>
        <n v="144.38"/>
        <n v="505.43"/>
        <n v="919.97"/>
        <n v="379.04"/>
        <n v="467.75"/>
        <n v="640.16"/>
        <n v="228.36"/>
        <n v="154.46"/>
        <n v="302.32"/>
        <n v="233.93"/>
        <n v="202.0"/>
        <n v="945.53"/>
        <n v="386.22"/>
        <n v="778.48"/>
        <n v="686.95"/>
        <n v="830.95"/>
        <n v="918.47"/>
        <n v="460.4"/>
        <n v="785.08"/>
        <n v="240.67"/>
        <n v="381.15"/>
        <n v="307.89"/>
        <n v="734.89"/>
        <n v="574.22"/>
        <n v="83.96"/>
        <n v="312.1"/>
        <n v="814.31"/>
        <n v="619.96"/>
        <n v="60.96"/>
        <n v="203.46"/>
        <n v="110.78"/>
        <n v="582.14"/>
        <n v="502.58"/>
        <n v="431.13"/>
        <n v="246.02"/>
        <n v="409.67"/>
        <n v="598.13"/>
        <n v="969.29"/>
        <n v="652.99"/>
        <n v="509.32"/>
        <n v="54.37"/>
        <n v="316.91"/>
        <n v="216.99"/>
        <n v="404.6"/>
        <n v="812.59"/>
        <n v="764.53"/>
        <n v="167.89"/>
        <n v="581.38"/>
        <n v="436.38"/>
        <n v="92.09"/>
        <n v="991.85"/>
        <n v="170.21"/>
        <n v="975.89"/>
        <n v="268.25"/>
        <n v="375.64"/>
        <n v="243.14"/>
        <n v="385.89"/>
        <n v="969.78"/>
        <n v="486.74"/>
        <n v="778.72"/>
        <n v="955.23"/>
        <n v="869.31"/>
        <n v="857.36"/>
        <n v="959.18"/>
        <n v="22.29"/>
        <n v="715.66"/>
        <n v="182.23"/>
        <n v="741.6"/>
        <n v="361.34"/>
        <n v="622.87"/>
        <n v="503.16"/>
        <n v="22.05"/>
        <n v="185.54"/>
        <n v="599.95"/>
        <n v="741.52"/>
        <n v="30.42"/>
        <n v="27.69"/>
        <n v="573.03"/>
        <n v="785.06"/>
        <n v="389.03"/>
        <n v="264.68"/>
        <n v="74.65"/>
        <n v="420.72"/>
        <n v="740.1"/>
        <n v="203.6"/>
        <n v="285.56"/>
        <n v="151.09"/>
        <n v="644.7"/>
        <n v="243.75"/>
        <n v="336.41"/>
        <n v="33.88"/>
        <n v="649.39"/>
        <n v="609.63"/>
        <n v="237.43"/>
        <n v="956.49"/>
        <n v="578.55"/>
        <n v="897.79"/>
        <n v="859.91"/>
        <n v="420.65"/>
        <n v="617.04"/>
        <n v="968.59"/>
        <n v="934.38"/>
        <n v="677.31"/>
        <n v="450.98"/>
        <n v="306.91"/>
        <n v="474.24"/>
        <n v="42.5"/>
        <n v="513.15"/>
        <n v="219.85"/>
        <n v="414.83"/>
        <n v="106.66"/>
        <n v="995.1"/>
        <n v="846.43"/>
        <n v="262.89"/>
        <n v="119.18"/>
        <n v="269.96"/>
        <n v="722.66"/>
        <n v="837.23"/>
        <n v="552.48"/>
        <n v="153.08"/>
        <n v="422.4"/>
        <n v="946.93"/>
        <n v="213.41"/>
        <n v="706.05"/>
        <n v="584.78"/>
        <n v="699.49"/>
        <n v="228.55"/>
        <n v="220.07"/>
        <n v="781.37"/>
        <n v="921.77"/>
        <n v="676.45"/>
        <n v="805.34"/>
        <n v="546.52"/>
        <n v="982.9"/>
        <n v="483.82"/>
        <n v="178.68"/>
        <n v="275.81"/>
        <n v="922.58"/>
        <n v="621.15"/>
        <n v="680.58"/>
        <n v="799.76"/>
        <n v="645.12"/>
        <n v="657.06"/>
        <n v="961.47"/>
        <n v="538.45"/>
        <n v="519.73"/>
        <n v="783.79"/>
        <n v="445.19"/>
        <n v="467.47"/>
        <n v="790.29"/>
        <n v="528.41"/>
        <n v="83.15"/>
        <n v="194.33"/>
        <n v="842.54"/>
        <n v="722.72"/>
        <n v="131.81"/>
        <n v="488.26"/>
        <n v="282.74"/>
        <n v="506.57"/>
        <n v="605.1"/>
        <n v="341.22"/>
        <n v="680.98"/>
        <n v="729.54"/>
        <n v="617.2"/>
        <n v="860.08"/>
        <n v="561.83"/>
        <n v="396.66"/>
        <n v="376.36"/>
        <n v="516.19"/>
        <n v="391.22"/>
        <n v="436.66"/>
        <n v="905.45"/>
        <n v="695.9"/>
        <n v="783.5"/>
        <n v="62.28"/>
        <n v="814.99"/>
        <n v="274.46"/>
        <n v="387.94"/>
        <n v="838.23"/>
        <n v="412.84"/>
        <n v="666.77"/>
        <n v="363.62"/>
        <n v="167.53"/>
        <n v="70.62"/>
        <n v="278.02"/>
        <n v="718.2"/>
        <n v="691.96"/>
        <n v="963.47"/>
        <n v="638.05"/>
        <n v="643.23"/>
        <n v="468.32"/>
        <n v="482.13"/>
        <n v="327.2"/>
        <n v="594.93"/>
        <n v="665.92"/>
        <n v="387.68"/>
        <n v="620.68"/>
        <n v="463.64"/>
        <n v="412.31"/>
        <n v="644.26"/>
        <n v="882.07"/>
        <n v="700.76"/>
        <n v="812.12"/>
        <n v="684.02"/>
        <n v="619.04"/>
        <n v="401.71"/>
        <n v="340.45"/>
        <n v="612.07"/>
        <n v="896.01"/>
        <n v="984.95"/>
        <n v="441.69"/>
        <n v="311.68"/>
        <n v="55.48"/>
        <n v="694.04"/>
        <n v="289.32"/>
        <n v="235.59"/>
        <n v="827.35"/>
        <n v="772.23"/>
        <n v="627.25"/>
        <n v="64.49"/>
        <n v="788.79"/>
        <n v="147.03"/>
        <n v="504.41"/>
        <n v="162.43"/>
        <n v="368.5"/>
        <n v="907.72"/>
        <n v="493.66"/>
        <n v="581.45"/>
        <n v="591.68"/>
        <n v="612.3"/>
        <n v="562.05"/>
        <n v="354.03"/>
        <n v="441.0"/>
        <n v="538.85"/>
        <n v="990.55"/>
        <n v="608.14"/>
        <n v="912.51"/>
        <n v="651.33"/>
        <n v="463.38"/>
        <n v="827.26"/>
        <n v="419.36"/>
        <n v="133.37"/>
        <n v="382.83"/>
        <n v="667.07"/>
        <n v="71.69"/>
        <n v="610.4"/>
        <n v="59.73"/>
        <n v="826.66"/>
        <n v="285.77"/>
        <n v="404.29"/>
        <n v="880.93"/>
        <n v="211.45"/>
        <n v="888.74"/>
        <n v="644.42"/>
        <n v="479.77"/>
        <n v="826.5"/>
        <n v="580.49"/>
        <n v="452.1"/>
        <n v="844.54"/>
        <n v="874.15"/>
        <n v="994.22"/>
        <n v="244.9"/>
        <n v="38.46"/>
        <n v="321.37"/>
        <n v="748.56"/>
        <n v="832.77"/>
        <n v="889.29"/>
        <n v="390.78"/>
        <n v="874.36"/>
        <n v="187.05"/>
        <n v="290.85"/>
        <n v="850.24"/>
        <n v="486.33"/>
        <n v="577.62"/>
        <n v="650.01"/>
        <n v="203.58"/>
        <n v="958.35"/>
        <n v="180.6"/>
        <n v="672.13"/>
        <n v="350.02"/>
        <n v="845.64"/>
        <n v="203.89"/>
        <n v="473.66"/>
        <n v="97.25"/>
        <n v="875.28"/>
        <n v="629.06"/>
        <n v="702.85"/>
        <n v="84.18"/>
        <n v="924.92"/>
        <n v="276.25"/>
        <n v="524.86"/>
        <n v="150.59"/>
        <n v="38.57"/>
        <n v="159.36"/>
        <n v="406.42"/>
        <n v="593.74"/>
        <n v="186.5"/>
        <n v="818.29"/>
        <n v="48.45"/>
        <n v="786.98"/>
        <n v="59.84"/>
        <n v="150.1"/>
        <n v="682.2"/>
        <n v="504.82"/>
        <n v="44.33"/>
        <n v="823.68"/>
        <n v="894.32"/>
        <n v="382.65"/>
        <n v="757.03"/>
        <n v="405.48"/>
        <n v="224.55"/>
        <n v="559.4"/>
        <n v="878.54"/>
        <n v="822.81"/>
        <n v="319.95"/>
        <n v="514.71"/>
        <n v="74.71"/>
        <n v="38.92"/>
        <n v="864.48"/>
        <n v="326.38"/>
        <n v="316.98"/>
        <n v="973.34"/>
        <n v="765.43"/>
        <n v="665.95"/>
        <n v="207.73"/>
        <n v="713.83"/>
        <n v="204.72"/>
        <n v="890.51"/>
        <n v="158.98"/>
        <n v="141.6"/>
        <n v="237.03"/>
        <n v="969.69"/>
        <n v="161.61"/>
        <n v="440.55"/>
        <n v="380.32"/>
        <n v="196.63"/>
        <n v="541.68"/>
        <n v="41.59"/>
        <n v="760.52"/>
        <n v="188.08"/>
        <n v="377.48"/>
        <n v="175.53"/>
        <n v="47.65"/>
        <n v="238.64"/>
        <n v="292.22"/>
        <n v="96.39"/>
        <n v="891.01"/>
        <n v="284.62"/>
        <n v="506.05"/>
        <n v="533.76"/>
        <n v="335.45"/>
        <n v="306.4"/>
        <n v="873.72"/>
        <n v="461.47"/>
        <n v="682.02"/>
        <n v="898.7"/>
        <n v="391.15"/>
        <n v="960.9"/>
        <n v="808.35"/>
        <n v="134.04"/>
        <n v="466.05"/>
        <n v="862.26"/>
        <n v="713.38"/>
        <n v="284.23"/>
        <n v="432.2"/>
        <n v="427.58"/>
        <n v="283.21"/>
        <n v="237.21"/>
        <n v="386.3"/>
        <n v="858.8"/>
        <n v="289.3"/>
        <n v="816.96"/>
        <n v="896.47"/>
        <n v="159.41"/>
        <n v="664.34"/>
        <n v="932.85"/>
        <n v="360.66"/>
        <n v="260.76"/>
        <n v="851.59"/>
        <n v="337.57"/>
        <n v="465.65"/>
        <n v="621.1"/>
        <n v="885.52"/>
        <n v="965.58"/>
        <n v="292.06"/>
        <n v="138.64"/>
        <n v="411.01"/>
        <n v="541.97"/>
        <n v="304.71"/>
        <n v="444.68"/>
        <n v="508.44"/>
        <n v="348.61"/>
        <n v="527.72"/>
        <n v="141.67"/>
        <n v="397.64"/>
        <n v="83.92"/>
        <n v="133.35"/>
        <n v="900.26"/>
        <n v="993.24"/>
        <n v="465.55"/>
        <n v="273.13"/>
        <n v="63.3"/>
        <n v="395.32"/>
        <n v="367.47"/>
        <n v="712.64"/>
        <n v="756.46"/>
        <n v="173.21"/>
        <n v="276.17"/>
        <n v="923.37"/>
        <n v="593.56"/>
        <n v="830.24"/>
        <n v="697.23"/>
        <n v="289.58"/>
        <n v="471.43"/>
        <n v="276.76"/>
        <n v="251.42"/>
        <n v="993.58"/>
        <n v="314.02"/>
        <n v="976.95"/>
        <n v="874.18"/>
        <n v="345.84"/>
        <n v="437.89"/>
        <n v="844.07"/>
        <n v="444.64"/>
        <n v="385.55"/>
        <n v="154.21"/>
        <n v="481.51"/>
        <n v="105.59"/>
        <n v="676.48"/>
        <n v="566.71"/>
        <n v="661.74"/>
        <n v="919.87"/>
        <n v="618.68"/>
        <n v="543.99"/>
        <n v="263.38"/>
        <n v="109.74"/>
        <n v="173.96"/>
        <n v="831.58"/>
        <n v="934.9"/>
        <n v="815.47"/>
        <n v="761.14"/>
        <n v="787.62"/>
        <n v="792.3"/>
        <n v="163.44"/>
        <n v="148.6"/>
        <n v="443.24"/>
        <n v="252.05"/>
        <n v="23.92"/>
        <n v="446.44"/>
        <n v="62.43"/>
        <n v="289.43"/>
        <n v="930.26"/>
        <n v="600.48"/>
        <n v="579.83"/>
        <n v="552.72"/>
        <n v="55.37"/>
        <n v="375.19"/>
        <n v="170.12"/>
        <n v="778.85"/>
        <n v="120.97"/>
        <n v="760.62"/>
        <n v="577.72"/>
        <n v="377.04"/>
        <n v="151.1"/>
        <n v="421.5"/>
        <n v="442.61"/>
        <n v="898.77"/>
        <n v="730.85"/>
        <n v="594.58"/>
        <n v="777.05"/>
        <n v="631.7"/>
        <n v="451.69"/>
        <n v="521.86"/>
        <n v="704.2"/>
        <n v="576.02"/>
        <n v="33.98"/>
        <n v="346.88"/>
        <n v="40.73"/>
        <n v="928.75"/>
        <n v="64.83"/>
        <n v="259.1"/>
        <n v="714.56"/>
        <n v="421.87"/>
        <n v="845.59"/>
        <n v="43.85"/>
        <n v="156.44"/>
        <n v="580.08"/>
        <n v="447.58"/>
        <n v="725.55"/>
        <n v="730.93"/>
        <n v="387.77"/>
        <n v="103.69"/>
        <n v="584.71"/>
        <n v="160.84"/>
        <n v="63.33"/>
        <n v="209.0"/>
        <n v="798.11"/>
        <n v="877.73"/>
        <n v="230.85"/>
        <n v="910.51"/>
        <n v="231.7"/>
        <n v="489.38"/>
        <n v="649.45"/>
        <n v="515.17"/>
        <n v="51.12"/>
        <n v="856.52"/>
        <n v="523.73"/>
        <n v="529.24"/>
        <n v="318.85"/>
        <n v="981.81"/>
        <n v="334.19"/>
        <n v="658.34"/>
        <n v="344.39"/>
        <n v="100.47"/>
        <n v="410.85"/>
        <n v="562.96"/>
        <n v="138.54"/>
        <n v="117.31"/>
        <n v="251.43"/>
        <n v="771.81"/>
        <n v="948.14"/>
        <n v="234.79"/>
        <n v="362.15"/>
        <n v="975.36"/>
        <n v="639.6"/>
        <n v="365.81"/>
        <n v="959.9"/>
        <n v="224.82"/>
        <n v="66.36"/>
        <n v="337.87"/>
        <n v="793.83"/>
        <n v="101.57"/>
        <n v="824.16"/>
        <n v="336.89"/>
        <n v="283.95"/>
        <n v="695.66"/>
        <n v="991.68"/>
        <n v="436.9"/>
        <n v="580.46"/>
        <n v="731.05"/>
        <n v="150.15"/>
        <n v="639.8"/>
        <n v="836.48"/>
        <n v="122.62"/>
        <n v="175.81"/>
        <n v="892.52"/>
        <n v="444.36"/>
        <n v="143.44"/>
        <n v="361.3"/>
        <n v="820.62"/>
        <n v="369.73"/>
        <n v="594.71"/>
        <n v="766.22"/>
        <n v="302.6"/>
        <n v="448.16"/>
        <n v="53.56"/>
        <n v="372.41"/>
        <n v="659.37"/>
        <n v="311.4"/>
        <n v="969.17"/>
        <n v="794.08"/>
        <n v="64.95"/>
        <n v="71.01"/>
        <n v="540.35"/>
        <n v="895.01"/>
        <n v="658.88"/>
        <n v="822.87"/>
        <n v="770.56"/>
        <n v="43.54"/>
        <n v="58.69"/>
        <n v="849.73"/>
        <n v="728.56"/>
        <n v="379.43"/>
        <n v="994.53"/>
        <n v="46.77"/>
        <n v="666.85"/>
        <n v="976.41"/>
        <n v="956.74"/>
        <n v="734.09"/>
        <n v="774.28"/>
        <n v="926.44"/>
        <n v="317.52"/>
        <n v="641.54"/>
        <n v="815.85"/>
        <n v="37.35"/>
        <n v="215.12"/>
        <n v="840.56"/>
        <n v="943.32"/>
        <n v="667.89"/>
        <n v="491.13"/>
        <n v="186.54"/>
        <n v="913.08"/>
        <n v="76.41"/>
        <n v="512.71"/>
        <n v="515.51"/>
        <n v="346.84"/>
        <n v="387.28"/>
        <n v="218.84"/>
        <n v="79.2"/>
        <n v="461.54"/>
        <n v="481.62"/>
        <n v="617.25"/>
        <n v="992.79"/>
        <n v="96.87"/>
        <n v="775.51"/>
        <n v="601.69"/>
        <n v="989.95"/>
        <n v="222.56"/>
        <n v="341.73"/>
        <n v="972.28"/>
        <n v="793.65"/>
        <n v="781.22"/>
        <n v="500.7"/>
        <n v="285.7"/>
        <n v="941.87"/>
        <n v="60.92"/>
        <n v="222.05"/>
        <n v="853.79"/>
        <n v="222.18"/>
        <n v="701.27"/>
        <n v="490.91"/>
        <n v="674.76"/>
        <n v="677.35"/>
        <n v="71.23"/>
        <n v="471.65"/>
        <n v="441.53"/>
        <n v="203.9"/>
        <n v="945.57"/>
        <n v="195.95"/>
        <n v="67.04"/>
        <n v="290.49"/>
        <n v="168.17"/>
        <n v="910.58"/>
        <n v="155.29"/>
        <n v="468.05"/>
        <n v="357.2"/>
        <n v="719.69"/>
        <n v="928.0"/>
        <n v="314.28"/>
        <n v="415.52"/>
        <n v="69.48"/>
        <n v="359.44"/>
        <n v="20.52"/>
        <n v="344.95"/>
        <n v="428.73"/>
        <n v="783.02"/>
        <n v="503.56"/>
        <n v="684.63"/>
        <n v="793.15"/>
        <n v="283.89"/>
        <n v="728.33"/>
        <n v="970.89"/>
        <n v="213.99"/>
        <n v="388.73"/>
        <n v="987.75"/>
        <n v="131.02"/>
        <n v="955.15"/>
        <n v="305.62"/>
        <n v="213.81"/>
        <n v="665.33"/>
        <n v="871.94"/>
        <n v="33.08"/>
        <n v="274.36"/>
        <n v="818.54"/>
        <n v="573.33"/>
        <n v="133.9"/>
        <n v="112.19"/>
        <n v="716.12"/>
        <n v="159.88"/>
        <n v="670.58"/>
        <n v="216.54"/>
        <n v="231.67"/>
        <n v="621.81"/>
        <n v="707.44"/>
        <n v="50.46"/>
        <n v="549.53"/>
        <n v="720.28"/>
        <n v="276.1"/>
        <n v="98.79"/>
        <n v="323.46"/>
        <n v="618.45"/>
        <n v="283.9"/>
        <n v="124.58"/>
        <n v="204.36"/>
        <n v="891.84"/>
        <n v="384.01"/>
        <n v="126.81"/>
        <n v="235.85"/>
        <n v="547.99"/>
        <n v="427.24"/>
        <n v="673.46"/>
        <n v="400.22"/>
        <n v="204.69"/>
        <n v="611.84"/>
        <n v="269.9"/>
        <n v="758.95"/>
        <n v="432.67"/>
        <n v="588.92"/>
        <n v="873.24"/>
        <n v="842.23"/>
        <n v="452.74"/>
        <n v="472.26"/>
        <n v="716.2"/>
        <n v="317.29"/>
        <n v="87.64"/>
        <n v="632.93"/>
        <n v="483.73"/>
        <n v="63.63"/>
        <n v="390.17"/>
        <n v="752.65"/>
        <n v="56.14"/>
        <n v="97.66"/>
        <n v="524.94"/>
        <n v="146.69"/>
        <n v="434.08"/>
        <n v="587.27"/>
        <n v="743.57"/>
        <n v="164.23"/>
        <n v="45.93"/>
        <n v="79.58"/>
        <n v="816.42"/>
        <n v="195.48"/>
        <n v="62.67"/>
        <n v="252.13"/>
        <n v="988.33"/>
        <n v="866.31"/>
        <n v="549.14"/>
        <n v="521.15"/>
        <n v="536.55"/>
        <n v="517.47"/>
        <n v="466.47"/>
        <n v="524.45"/>
        <n v="325.94"/>
        <n v="320.35"/>
        <n v="620.23"/>
        <n v="360.19"/>
        <n v="933.5"/>
        <n v="33.33"/>
        <n v="100.41"/>
        <n v="541.65"/>
        <n v="597.04"/>
        <n v="980.84"/>
        <n v="154.61"/>
        <n v="749.06"/>
        <n v="715.36"/>
        <n v="716.21"/>
        <n v="635.67"/>
        <n v="830.98"/>
        <n v="156.85"/>
        <n v="951.51"/>
        <n v="621.63"/>
        <n v="98.15"/>
        <n v="135.08"/>
        <n v="269.77"/>
        <n v="699.37"/>
        <n v="341.31"/>
        <n v="453.82"/>
        <n v="409.83"/>
        <n v="389.01"/>
        <n v="737.94"/>
        <n v="874.66"/>
        <n v="399.03"/>
        <n v="345.0"/>
        <n v="315.54"/>
        <n v="254.85"/>
        <n v="332.21"/>
        <n v="966.65"/>
        <n v="56.44"/>
        <n v="567.35"/>
        <n v="669.52"/>
        <n v="533.1"/>
        <n v="137.13"/>
        <n v="754.32"/>
        <n v="485.21"/>
        <n v="359.21"/>
        <n v="259.25"/>
        <n v="695.73"/>
        <n v="568.88"/>
        <n v="630.3"/>
        <n v="951.98"/>
        <n v="374.61"/>
        <n v="260.42"/>
        <n v="606.32"/>
        <n v="447.95"/>
        <n v="881.17"/>
        <n v="472.4"/>
        <n v="843.15"/>
        <n v="796.25"/>
        <n v="766.02"/>
        <n v="432.63"/>
        <n v="344.8"/>
        <n v="477.07"/>
        <n v="920.41"/>
        <n v="636.99"/>
        <n v="229.47"/>
        <n v="266.76"/>
        <n v="142.98"/>
        <n v="265.56"/>
        <n v="380.94"/>
        <n v="885.48"/>
        <n v="877.07"/>
        <n v="528.81"/>
        <n v="288.52"/>
        <n v="680.19"/>
        <n v="241.33"/>
        <n v="629.87"/>
        <n v="603.03"/>
        <n v="757.6"/>
        <n v="547.04"/>
        <n v="172.05"/>
        <n v="620.28"/>
        <n v="67.31"/>
        <n v="538.43"/>
        <n v="519.9"/>
        <n v="216.73"/>
        <n v="288.04"/>
        <n v="327.9"/>
        <n v="428.37"/>
        <n v="860.97"/>
        <n v="565.47"/>
        <n v="637.1"/>
        <n v="687.25"/>
        <n v="591.53"/>
        <n v="256.43"/>
        <n v="948.68"/>
        <n v="689.69"/>
        <n v="444.21"/>
        <n v="62.9"/>
        <n v="898.36"/>
        <n v="979.61"/>
        <n v="270.96"/>
        <n v="75.8"/>
        <n v="592.88"/>
        <n v="900.34"/>
        <n v="251.56"/>
        <n v="456.89"/>
        <n v="981.88"/>
        <n v="473.73"/>
        <n v="136.23"/>
        <n v="977.42"/>
        <n v="205.06"/>
        <n v="962.16"/>
        <n v="75.22"/>
        <n v="654.74"/>
        <n v="561.41"/>
        <n v="419.48"/>
        <n v="270.06"/>
        <n v="206.24"/>
        <n v="569.81"/>
        <n v="363.56"/>
        <n v="402.81"/>
        <n v="344.66"/>
        <n v="799.18"/>
        <n v="262.78"/>
        <n v="733.14"/>
        <n v="633.85"/>
        <n v="68.05"/>
        <n v="860.36"/>
        <n v="821.93"/>
        <n v="695.49"/>
        <n v="565.23"/>
        <n v="860.52"/>
        <n v="464.82"/>
        <n v="478.47"/>
        <n v="463.8"/>
        <n v="983.94"/>
        <n v="537.86"/>
        <n v="354.55"/>
        <n v="923.59"/>
        <n v="941.96"/>
        <n v="82.33"/>
        <n v="860.23"/>
        <n v="941.2"/>
        <n v="238.55"/>
        <n v="477.92"/>
        <n v="814.34"/>
        <n v="339.33"/>
        <n v="193.63"/>
        <n v="217.0"/>
        <n v="953.06"/>
        <n v="35.39"/>
        <n v="401.74"/>
        <n v="931.61"/>
        <n v="985.48"/>
        <n v="683.36"/>
        <n v="104.71"/>
        <n v="604.18"/>
        <n v="563.02"/>
        <n v="549.29"/>
        <n v="620.7"/>
        <n v="634.43"/>
        <n v="638.07"/>
        <n v="210.18"/>
        <n v="120.62"/>
        <n v="61.76"/>
        <n v="315.15"/>
        <n v="708.77"/>
        <n v="949.89"/>
        <n v="25.99"/>
        <n v="949.26"/>
        <n v="342.27"/>
        <n v="443.15"/>
        <n v="558.9"/>
        <n v="230.56"/>
        <n v="203.94"/>
        <n v="761.88"/>
        <n v="346.79"/>
        <n v="592.99"/>
        <n v="569.34"/>
        <n v="387.44"/>
        <n v="969.85"/>
        <n v="879.75"/>
        <n v="791.58"/>
        <n v="260.69"/>
        <n v="166.46"/>
        <n v="875.48"/>
        <n v="786.68"/>
        <n v="603.33"/>
        <n v="278.9"/>
        <n v="489.9"/>
        <n v="359.99"/>
        <n v="648.44"/>
        <n v="677.95"/>
        <n v="927.47"/>
        <n v="567.24"/>
        <n v="727.55"/>
        <n v="425.0"/>
        <n v="373.34"/>
        <n v="305.29"/>
        <n v="486.18"/>
        <n v="979.69"/>
        <n v="355.88"/>
        <n v="565.48"/>
        <n v="185.24"/>
        <n v="643.77"/>
        <n v="883.45"/>
        <n v="919.88"/>
        <n v="189.2"/>
        <n v="94.25"/>
        <n v="550.39"/>
        <n v="561.74"/>
        <n v="781.93"/>
        <n v="744.65"/>
        <n v="907.44"/>
        <n v="300.76"/>
        <n v="105.15"/>
        <n v="196.68"/>
        <n v="409.33"/>
        <n v="639.79"/>
        <n v="338.41"/>
        <n v="334.47"/>
        <n v="364.0"/>
        <n v="922.16"/>
        <n v="406.51"/>
        <n v="774.86"/>
        <n v="152.05"/>
        <n v="164.3"/>
        <n v="55.21"/>
        <n v="802.61"/>
        <n v="562.37"/>
        <n v="221.36"/>
        <n v="345.97"/>
        <n v="978.95"/>
        <n v="200.83"/>
        <n v="306.59"/>
        <n v="642.71"/>
        <n v="942.68"/>
        <n v="603.53"/>
        <n v="902.58"/>
        <n v="985.97"/>
        <n v="579.94"/>
        <n v="867.96"/>
        <n v="740.06"/>
        <n v="450.71"/>
        <n v="534.93"/>
        <n v="757.97"/>
        <n v="334.37"/>
        <n v="680.65"/>
        <n v="399.88"/>
        <n v="876.44"/>
        <n v="795.13"/>
        <n v="828.23"/>
        <n v="257.9"/>
        <n v="554.69"/>
        <n v="79.06"/>
        <n v="980.25"/>
        <n v="20.87"/>
        <n v="729.24"/>
        <n v="916.33"/>
        <n v="913.98"/>
        <n v="787.1"/>
        <n v="472.35"/>
        <n v="218.99"/>
        <n v="718.05"/>
        <n v="227.91"/>
        <n v="811.72"/>
        <n v="40.98"/>
        <n v="608.22"/>
        <n v="135.79"/>
        <n v="689.54"/>
        <n v="769.19"/>
        <n v="329.91"/>
        <n v="524.82"/>
        <n v="502.03"/>
        <n v="388.51"/>
        <n v="156.75"/>
        <n v="107.1"/>
        <n v="859.1"/>
        <n v="20.76"/>
        <n v="92.97"/>
        <n v="118.85"/>
        <n v="900.19"/>
        <n v="238.04"/>
        <n v="53.45"/>
        <n v="80.17"/>
        <n v="463.06"/>
        <n v="147.63"/>
        <n v="192.47"/>
        <n v="415.34"/>
        <n v="150.47"/>
        <n v="627.95"/>
        <n v="466.83"/>
        <n v="426.02"/>
        <n v="838.47"/>
        <n v="767.44"/>
        <n v="614.37"/>
        <n v="668.48"/>
        <n v="747.59"/>
        <n v="422.19"/>
        <n v="260.45"/>
        <n v="356.03"/>
        <n v="459.14"/>
        <n v="78.42"/>
        <n v="824.12"/>
        <n v="628.83"/>
        <n v="392.08"/>
        <n v="578.12"/>
        <n v="804.92"/>
        <n v="521.49"/>
        <n v="734.28"/>
        <n v="906.75"/>
        <n v="441.64"/>
        <n v="392.52"/>
        <n v="796.68"/>
        <n v="313.04"/>
        <n v="651.28"/>
        <n v="681.75"/>
        <n v="232.51"/>
        <n v="490.01"/>
        <n v="55.28"/>
        <n v="800.9"/>
        <n v="112.4"/>
        <n v="739.31"/>
        <n v="767.39"/>
        <n v="92.44"/>
        <n v="776.97"/>
        <n v="708.32"/>
        <n v="892.94"/>
        <n v="487.29"/>
        <n v="115.33"/>
        <n v="739.22"/>
        <n v="194.84"/>
        <n v="537.38"/>
        <n v="592.86"/>
        <n v="793.93"/>
        <n v="215.15"/>
        <n v="911.66"/>
        <n v="545.12"/>
        <n v="719.74"/>
        <n v="897.3"/>
        <n v="813.49"/>
        <n v="251.98"/>
        <n v="45.47"/>
        <n v="610.75"/>
        <n v="963.52"/>
        <n v="763.45"/>
        <n v="59.39"/>
        <n v="829.1"/>
        <n v="28.1"/>
        <n v="524.78"/>
        <n v="128.96"/>
        <n v="627.81"/>
        <n v="652.04"/>
        <n v="68.44"/>
        <n v="282.63"/>
        <n v="270.1"/>
        <n v="933.4"/>
        <n v="160.53"/>
        <n v="55.14"/>
        <n v="279.87"/>
        <n v="651.46"/>
        <n v="789.5"/>
        <n v="191.18"/>
        <n v="733.74"/>
        <n v="302.74"/>
        <n v="413.69"/>
        <n v="91.52"/>
        <n v="540.7"/>
        <n v="592.0"/>
        <n v="350.24"/>
        <n v="791.47"/>
        <n v="596.12"/>
        <n v="717.26"/>
        <n v="755.0"/>
        <n v="590.1"/>
        <n v="172.95"/>
        <n v="400.91"/>
        <n v="759.9"/>
        <n v="294.46"/>
        <n v="917.1"/>
        <n v="342.37"/>
        <n v="163.33"/>
        <n v="786.81"/>
        <n v="985.3"/>
        <n v="350.13"/>
        <n v="827.41"/>
        <n v="583.93"/>
        <n v="904.38"/>
        <n v="763.63"/>
        <n v="67.22"/>
        <n v="477.16"/>
        <n v="453.27"/>
        <n v="647.17"/>
        <n v="63.79"/>
        <n v="574.35"/>
        <n v="34.36"/>
        <n v="360.12"/>
        <n v="256.49"/>
        <n v="544.32"/>
        <n v="956.13"/>
        <n v="570.59"/>
        <n v="57.88"/>
        <n v="257.94"/>
        <n v="406.19"/>
        <n v="64.43"/>
        <n v="470.11"/>
        <n v="593.29"/>
        <n v="601.85"/>
        <n v="365.52"/>
        <n v="904.16"/>
        <n v="636.28"/>
        <n v="950.93"/>
        <n v="780.42"/>
        <n v="165.71"/>
        <n v="464.37"/>
        <n v="773.21"/>
        <n v="796.82"/>
        <n v="88.52"/>
        <n v="592.71"/>
        <n v="864.39"/>
        <n v="386.38"/>
        <n v="252.39"/>
        <n v="579.4"/>
        <n v="170.37"/>
        <n v="27.22"/>
        <n v="298.74"/>
        <n v="728.59"/>
        <n v="234.5"/>
        <n v="293.18"/>
        <n v="979.83"/>
        <n v="45.78"/>
        <n v="594.88"/>
        <n v="554.87"/>
        <n v="327.65"/>
        <n v="228.91"/>
        <n v="540.72"/>
        <n v="474.88"/>
        <n v="591.74"/>
        <n v="128.61"/>
        <n v="713.75"/>
        <n v="358.26"/>
        <n v="719.45"/>
        <n v="699.07"/>
        <n v="410.78"/>
        <n v="295.15"/>
        <n v="166.15"/>
        <n v="933.11"/>
        <n v="46.55"/>
        <n v="953.46"/>
        <n v="312.26"/>
        <n v="472.74"/>
        <n v="34.07"/>
        <n v="674.39"/>
        <n v="697.04"/>
        <n v="498.23"/>
        <n v="378.28"/>
        <n v="530.96"/>
        <n v="428.31"/>
        <n v="598.0"/>
        <n v="199.94"/>
        <n v="903.93"/>
        <n v="645.32"/>
        <n v="895.3"/>
        <n v="677.52"/>
        <n v="374.44"/>
        <n v="950.47"/>
        <n v="96.06"/>
        <n v="603.05"/>
        <n v="185.89"/>
        <n v="850.18"/>
        <n v="782.33"/>
        <n v="837.74"/>
        <n v="963.13"/>
        <n v="458.82"/>
        <n v="366.77"/>
        <n v="60.11"/>
        <n v="471.3"/>
        <n v="149.33"/>
        <n v="480.3"/>
        <n v="345.22"/>
        <n v="444.7"/>
        <n v="572.23"/>
        <n v="803.43"/>
        <n v="794.44"/>
        <n v="689.92"/>
        <n v="102.16"/>
        <n v="582.43"/>
        <n v="529.51"/>
        <n v="188.57"/>
        <n v="686.46"/>
        <n v="561.96"/>
        <n v="63.12"/>
        <n v="771.68"/>
        <n v="592.62"/>
        <n v="964.37"/>
        <n v="824.34"/>
        <n v="85.6"/>
        <n v="742.03"/>
        <n v="362.28"/>
        <n v="489.1"/>
        <n v="304.32"/>
        <n v="790.04"/>
        <n v="144.36"/>
        <n v="640.43"/>
        <n v="153.76"/>
        <n v="927.93"/>
        <n v="930.83"/>
        <n v="180.37"/>
        <n v="160.05"/>
        <n v="869.38"/>
        <n v="458.81"/>
        <n v="333.29"/>
        <n v="633.52"/>
        <n v="160.36"/>
        <n v="68.58"/>
        <n v="52.2"/>
        <n v="610.79"/>
        <n v="765.72"/>
        <n v="586.38"/>
        <n v="677.66"/>
        <n v="789.53"/>
        <n v="113.1"/>
        <n v="795.75"/>
        <n v="916.15"/>
        <n v="826.08"/>
        <n v="485.77"/>
        <n v="802.73"/>
        <n v="817.51"/>
        <n v="243.09"/>
        <n v="829.04"/>
        <n v="991.04"/>
        <n v="402.03"/>
        <n v="998.49"/>
        <n v="358.43"/>
        <n v="311.61"/>
        <n v="239.29"/>
        <n v="784.54"/>
        <n v="630.87"/>
        <n v="936.51"/>
        <n v="848.83"/>
        <n v="496.44"/>
        <n v="34.53"/>
        <n v="179.65"/>
        <n v="186.17"/>
        <n v="493.65"/>
        <n v="842.61"/>
        <n v="554.1"/>
        <n v="94.27"/>
        <n v="637.12"/>
        <n v="480.33"/>
        <n v="253.23"/>
        <n v="27.73"/>
        <n v="220.33"/>
        <n v="840.52"/>
        <n v="751.85"/>
        <n v="970.47"/>
        <n v="427.79"/>
        <n v="373.75"/>
        <n v="795.12"/>
        <n v="647.7"/>
        <n v="657.94"/>
        <n v="359.76"/>
        <n v="548.08"/>
        <n v="22.13"/>
        <n v="503.48"/>
        <n v="326.9"/>
        <n v="588.55"/>
        <n v="897.92"/>
        <n v="342.11"/>
        <n v="699.25"/>
        <n v="74.28"/>
        <n v="32.41"/>
        <n v="855.21"/>
        <n v="244.28"/>
        <n v="994.39"/>
        <n v="71.31"/>
        <n v="462.22"/>
        <n v="865.95"/>
        <n v="226.66"/>
        <n v="502.04"/>
        <n v="366.21"/>
        <n v="528.34"/>
        <n v="208.26"/>
        <n v="732.9"/>
        <n v="472.93"/>
        <n v="766.6"/>
        <n v="117.14"/>
        <n v="375.17"/>
        <n v="666.98"/>
        <n v="666.92"/>
        <n v="619.55"/>
        <n v="667.21"/>
        <n v="418.33"/>
        <n v="70.59"/>
        <n v="94.54"/>
        <n v="429.66"/>
        <n v="511.19"/>
        <n v="467.68"/>
        <n v="519.51"/>
        <n v="471.26"/>
        <n v="348.76"/>
        <n v="118.49"/>
        <n v="550.43"/>
        <n v="810.64"/>
        <n v="941.7"/>
        <n v="395.85"/>
        <n v="93.2"/>
        <n v="477.71"/>
        <n v="204.58"/>
        <n v="169.21"/>
        <n v="354.31"/>
        <n v="118.15"/>
        <n v="400.21"/>
        <n v="749.36"/>
        <n v="426.4"/>
        <n v="890.46"/>
        <n v="418.61"/>
        <n v="271.63"/>
        <n v="21.38"/>
        <n v="711.01"/>
        <n v="679.12"/>
        <n v="558.85"/>
        <n v="189.71"/>
        <n v="676.87"/>
        <n v="862.38"/>
        <n v="601.81"/>
        <n v="977.01"/>
        <n v="515.0"/>
        <n v="705.65"/>
        <n v="646.37"/>
        <n v="813.84"/>
        <n v="744.2"/>
        <n v="397.8"/>
        <n v="269.69"/>
        <n v="562.56"/>
        <n v="66.96"/>
        <n v="46.49"/>
        <n v="646.75"/>
        <n v="404.49"/>
        <n v="974.66"/>
        <n v="349.09"/>
        <n v="137.69"/>
        <n v="951.2"/>
        <n v="564.67"/>
        <n v="937.25"/>
        <n v="469.41"/>
        <n v="254.54"/>
        <n v="357.39"/>
        <n v="64.62"/>
        <n v="494.0"/>
        <n v="182.1"/>
        <n v="891.65"/>
        <n v="825.59"/>
        <n v="431.35"/>
        <n v="125.63"/>
        <n v="491.92"/>
        <n v="566.31"/>
        <n v="236.78"/>
        <n v="954.93"/>
        <n v="858.49"/>
        <n v="560.53"/>
        <n v="852.46"/>
        <n v="353.37"/>
        <n v="255.52"/>
        <n v="188.07"/>
        <n v="68.18"/>
        <n v="551.66"/>
        <n v="458.04"/>
        <n v="32.7"/>
        <n v="515.8"/>
        <n v="467.78"/>
        <n v="654.15"/>
        <n v="459.75"/>
        <n v="557.14"/>
        <n v="442.82"/>
        <n v="298.67"/>
        <n v="35.14"/>
        <n v="267.79"/>
        <n v="588.41"/>
        <n v="391.42"/>
        <n v="776.17"/>
        <n v="963.85"/>
        <n v="343.49"/>
        <n v="162.6"/>
        <n v="641.34"/>
        <n v="296.32"/>
        <n v="965.75"/>
        <n v="629.76"/>
        <n v="680.42"/>
        <n v="184.32"/>
        <n v="273.16"/>
        <n v="960.53"/>
        <n v="762.49"/>
        <n v="978.11"/>
        <n v="303.26"/>
        <n v="485.45"/>
        <n v="78.68"/>
        <n v="275.17"/>
        <n v="429.97"/>
        <n v="542.9"/>
        <n v="453.06"/>
        <n v="373.74"/>
        <n v="167.24"/>
        <n v="233.87"/>
        <n v="94.3"/>
        <n v="600.49"/>
        <n v="454.63"/>
        <n v="527.1"/>
        <n v="801.3"/>
        <n v="717.17"/>
        <n v="543.08"/>
        <n v="323.67"/>
        <n v="796.19"/>
        <n v="608.02"/>
        <n v="24.01"/>
        <n v="632.19"/>
        <n v="340.67"/>
        <n v="294.95"/>
        <n v="625.25"/>
        <n v="803.08"/>
        <n v="414.32"/>
        <n v="556.14"/>
        <n v="376.73"/>
        <n v="88.45"/>
        <n v="888.25"/>
        <n v="226.92"/>
        <n v="150.25"/>
        <n v="837.05"/>
        <n v="723.25"/>
        <n v="878.59"/>
        <n v="443.06"/>
        <n v="519.79"/>
        <n v="96.13"/>
        <n v="952.11"/>
        <n v="517.0"/>
        <n v="874.85"/>
        <n v="984.01"/>
        <n v="228.64"/>
        <n v="913.44"/>
        <n v="405.73"/>
        <n v="542.39"/>
        <n v="403.21"/>
        <n v="872.52"/>
        <n v="588.2"/>
        <n v="517.02"/>
        <n v="922.07"/>
        <n v="261.04"/>
        <n v="206.86"/>
        <n v="288.4"/>
        <n v="657.0"/>
        <n v="609.28"/>
        <n v="350.17"/>
        <n v="681.37"/>
        <n v="266.86"/>
        <n v="321.32"/>
        <n v="968.64"/>
        <n v="144.86"/>
        <n v="141.9"/>
        <n v="387.43"/>
        <n v="44.9"/>
        <n v="908.49"/>
        <n v="889.01"/>
        <n v="219.31"/>
        <n v="214.03"/>
        <n v="119.11"/>
        <n v="885.31"/>
        <n v="853.73"/>
        <n v="479.7"/>
        <n v="97.36"/>
        <n v="565.08"/>
        <n v="860.99"/>
        <n v="999.7"/>
        <n v="113.41"/>
        <n v="375.61"/>
        <n v="544.27"/>
        <n v="690.43"/>
        <n v="332.22"/>
        <n v="682.0"/>
        <n v="158.67"/>
        <n v="980.04"/>
        <n v="30.6"/>
        <n v="118.22"/>
        <n v="953.48"/>
        <n v="660.68"/>
        <n v="436.87"/>
        <n v="441.37"/>
        <n v="98.69"/>
        <n v="164.44"/>
        <n v="490.11"/>
        <n v="279.93"/>
        <n v="640.61"/>
        <n v="557.75"/>
        <n v="509.39"/>
        <n v="508.37"/>
        <n v="642.37"/>
        <n v="131.83"/>
        <n v="693.98"/>
        <n v="692.01"/>
        <n v="214.57"/>
        <n v="847.13"/>
        <n v="734.45"/>
        <n v="683.34"/>
        <n v="539.39"/>
        <n v="934.62"/>
        <n v="888.9"/>
        <n v="520.28"/>
        <n v="770.16"/>
        <n v="903.66"/>
        <n v="619.74"/>
        <n v="215.2"/>
        <n v="87.26"/>
        <n v="540.58"/>
        <n v="120.73"/>
        <n v="85.5"/>
        <n v="945.55"/>
        <n v="200.34"/>
        <n v="522.18"/>
        <n v="278.25"/>
        <n v="656.94"/>
        <n v="653.65"/>
        <n v="652.74"/>
        <n v="950.08"/>
        <n v="140.67"/>
        <n v="395.77"/>
        <n v="763.5"/>
        <n v="45.67"/>
        <n v="849.12"/>
        <n v="773.45"/>
        <n v="291.73"/>
        <n v="420.62"/>
        <n v="439.03"/>
        <n v="768.91"/>
        <n v="723.86"/>
        <n v="484.3"/>
        <n v="763.35"/>
        <n v="22.88"/>
        <n v="681.97"/>
        <n v="280.14"/>
        <n v="324.21"/>
        <n v="953.88"/>
        <n v="759.26"/>
        <n v="409.42"/>
        <n v="686.28"/>
        <n v="118.69"/>
        <n v="882.61"/>
        <n v="864.17"/>
        <n v="77.13"/>
        <n v="701.21"/>
        <n v="483.76"/>
        <n v="119.2"/>
        <n v="275.31"/>
        <n v="904.75"/>
        <n v="937.02"/>
        <n v="527.57"/>
        <n v="309.73"/>
        <n v="168.5"/>
        <n v="69.14"/>
        <n v="594.68"/>
        <n v="148.25"/>
        <n v="976.82"/>
        <n v="484.17"/>
        <n v="917.18"/>
        <n v="778.31"/>
        <n v="462.5"/>
        <n v="272.3"/>
        <n v="283.56"/>
        <n v="24.8"/>
        <n v="237.67"/>
        <n v="184.29"/>
        <n v="389.53"/>
        <n v="463.72"/>
        <n v="860.78"/>
        <n v="873.39"/>
        <n v="577.75"/>
        <n v="758.64"/>
        <n v="272.32"/>
        <n v="542.1"/>
        <n v="935.75"/>
        <n v="235.56"/>
        <n v="278.94"/>
        <n v="616.37"/>
        <n v="840.43"/>
        <n v="133.03"/>
        <n v="621.71"/>
        <n v="349.73"/>
        <n v="528.8"/>
        <n v="618.18"/>
        <n v="445.33"/>
        <n v="359.55"/>
        <n v="453.69"/>
        <n v="831.32"/>
        <n v="739.32"/>
        <n v="612.36"/>
        <n v="687.34"/>
        <n v="379.94"/>
        <n v="970.86"/>
        <n v="202.44"/>
        <n v="172.7"/>
        <n v="60.94"/>
        <n v="195.36"/>
        <n v="181.91"/>
        <n v="483.5"/>
        <n v="44.43"/>
        <n v="590.85"/>
        <n v="180.54"/>
        <n v="757.08"/>
        <n v="579.51"/>
        <n v="585.33"/>
        <n v="741.14"/>
        <n v="531.96"/>
        <n v="820.56"/>
        <n v="705.83"/>
        <n v="273.74"/>
        <n v="610.77"/>
        <n v="93.49"/>
        <n v="664.16"/>
        <n v="630.36"/>
        <n v="136.02"/>
        <n v="134.9"/>
        <n v="337.31"/>
        <n v="265.95"/>
        <n v="51.47"/>
        <n v="993.96"/>
        <n v="28.04"/>
        <n v="257.71"/>
        <n v="65.68"/>
        <n v="618.25"/>
        <n v="918.25"/>
        <n v="624.02"/>
        <n v="869.5"/>
        <n v="494.08"/>
        <n v="447.87"/>
        <n v="835.78"/>
        <n v="959.17"/>
        <n v="824.7"/>
        <n v="756.18"/>
        <n v="756.62"/>
        <n v="267.87"/>
        <n v="229.04"/>
        <n v="586.88"/>
        <n v="293.35"/>
        <n v="802.8"/>
        <n v="759.18"/>
        <n v="578.67"/>
        <n v="172.46"/>
        <n v="548.38"/>
        <n v="631.95"/>
        <n v="443.57"/>
        <n v="725.2"/>
        <n v="921.95"/>
        <n v="140.6"/>
        <n v="385.08"/>
        <n v="557.76"/>
        <n v="851.51"/>
        <n v="498.5"/>
        <n v="810.59"/>
        <n v="477.05"/>
        <n v="575.93"/>
        <n v="849.8"/>
        <n v="806.03"/>
        <n v="389.32"/>
        <n v="53.44"/>
        <n v="391.93"/>
        <n v="261.17"/>
        <n v="61.91"/>
        <n v="533.41"/>
        <n v="182.15"/>
        <n v="817.49"/>
        <n v="327.02"/>
        <n v="23.43"/>
        <n v="73.39"/>
        <n v="132.26"/>
        <n v="542.41"/>
        <n v="702.78"/>
        <n v="813.66"/>
        <n v="411.1"/>
        <n v="420.16"/>
        <n v="511.54"/>
        <n v="67.01"/>
        <n v="132.4"/>
        <n v="295.17"/>
        <n v="802.21"/>
        <n v="521.54"/>
        <n v="190.29"/>
        <n v="604.69"/>
        <n v="713.35"/>
        <n v="427.59"/>
        <n v="403.35"/>
        <n v="853.74"/>
        <n v="617.34"/>
        <n v="867.09"/>
        <n v="534.06"/>
        <n v="162.55"/>
        <n v="704.06"/>
        <n v="86.5"/>
        <n v="651.63"/>
        <n v="555.36"/>
        <n v="927.42"/>
        <n v="168.25"/>
        <n v="45.17"/>
        <n v="489.37"/>
        <n v="253.06"/>
        <n v="540.03"/>
        <n v="930.4"/>
        <n v="880.73"/>
        <n v="602.02"/>
        <n v="703.18"/>
        <n v="92.26"/>
        <n v="484.79"/>
        <n v="35.89"/>
        <n v="522.11"/>
        <n v="689.17"/>
        <n v="658.4"/>
        <n v="659.51"/>
        <n v="471.04"/>
        <n v="267.44"/>
        <n v="821.23"/>
        <n v="873.6"/>
        <n v="69.93"/>
        <n v="228.39"/>
        <n v="862.61"/>
        <n v="795.14"/>
        <n v="436.22"/>
        <n v="469.14"/>
        <n v="822.39"/>
        <n v="34.87"/>
        <n v="373.99"/>
        <n v="664.42"/>
        <n v="971.73"/>
        <n v="839.28"/>
        <n v="372.15"/>
        <n v="906.14"/>
        <n v="96.27"/>
        <n v="533.86"/>
        <n v="229.26"/>
        <n v="820.84"/>
        <n v="344.87"/>
        <n v="343.21"/>
        <n v="468.52"/>
        <n v="570.0"/>
        <n v="623.52"/>
        <n v="899.27"/>
        <n v="214.39"/>
        <n v="876.25"/>
        <n v="218.46"/>
        <n v="267.85"/>
        <n v="75.6"/>
        <n v="692.4"/>
        <n v="540.12"/>
        <n v="225.98"/>
        <n v="708.4"/>
        <n v="939.7"/>
        <n v="101.56"/>
        <n v="523.96"/>
        <n v="995.85"/>
        <n v="988.84"/>
        <n v="401.92"/>
        <n v="916.84"/>
        <n v="86.08"/>
        <n v="190.09"/>
        <n v="309.12"/>
        <n v="258.78"/>
        <n v="404.15"/>
        <n v="184.9"/>
        <n v="414.62"/>
        <n v="507.28"/>
        <n v="102.04"/>
        <n v="81.38"/>
        <n v="220.27"/>
        <n v="304.95"/>
        <n v="946.72"/>
        <n v="192.64"/>
        <n v="475.36"/>
        <n v="632.56"/>
        <n v="394.78"/>
        <n v="765.37"/>
        <n v="119.36"/>
        <n v="900.04"/>
        <n v="121.8"/>
        <n v="764.09"/>
        <n v="117.4"/>
        <n v="517.62"/>
        <n v="857.51"/>
        <n v="472.46"/>
        <n v="670.89"/>
        <n v="414.64"/>
        <n v="728.76"/>
        <n v="805.58"/>
        <n v="503.86"/>
        <n v="119.32"/>
        <n v="59.42"/>
        <n v="207.38"/>
        <n v="715.67"/>
        <n v="127.93"/>
        <n v="618.6"/>
        <n v="126.73"/>
        <n v="830.71"/>
        <n v="40.34"/>
        <n v="780.41"/>
        <n v="440.16"/>
        <n v="787.55"/>
        <n v="962.51"/>
        <n v="501.43"/>
        <n v="656.3"/>
        <n v="257.74"/>
        <n v="728.29"/>
        <n v="517.21"/>
        <n v="897.62"/>
        <n v="996.62"/>
        <n v="471.18"/>
        <n v="104.16"/>
        <n v="221.95"/>
        <n v="508.52"/>
        <n v="587.63"/>
        <n v="428.63"/>
        <n v="811.16"/>
        <n v="881.56"/>
        <n v="407.58"/>
        <n v="609.21"/>
        <n v="792.12"/>
        <n v="900.92"/>
        <n v="587.1"/>
        <n v="554.78"/>
        <n v="894.9"/>
        <n v="122.04"/>
        <n v="984.74"/>
        <n v="317.42"/>
        <n v="724.65"/>
        <n v="206.13"/>
        <n v="180.23"/>
        <n v="639.52"/>
        <n v="975.04"/>
        <n v="350.64"/>
        <n v="50.91"/>
        <n v="365.37"/>
        <n v="609.02"/>
        <n v="893.95"/>
        <n v="492.7"/>
        <n v="227.73"/>
        <n v="918.91"/>
        <n v="221.47"/>
        <n v="780.64"/>
        <n v="34.58"/>
        <n v="677.75"/>
        <n v="836.16"/>
        <n v="153.23"/>
        <n v="107.24"/>
        <n v="646.24"/>
        <n v="115.82"/>
        <n v="53.32"/>
        <n v="860.02"/>
        <n v="225.51"/>
        <n v="705.37"/>
        <n v="412.41"/>
        <n v="676.52"/>
        <n v="712.56"/>
        <n v="499.7"/>
        <n v="841.37"/>
        <n v="474.05"/>
        <n v="412.17"/>
        <n v="394.29"/>
        <n v="954.22"/>
        <n v="128.17"/>
        <n v="687.33"/>
        <n v="82.22"/>
        <n v="572.84"/>
        <n v="683.65"/>
        <n v="941.15"/>
        <n v="487.14"/>
        <n v="113.3"/>
        <n v="449.73"/>
        <n v="938.87"/>
        <n v="380.01"/>
        <n v="735.18"/>
        <n v="353.54"/>
        <n v="337.02"/>
        <n v="214.91"/>
        <n v="401.91"/>
        <n v="566.82"/>
        <n v="452.68"/>
        <n v="469.0"/>
        <n v="806.05"/>
        <n v="144.22"/>
        <n v="782.03"/>
        <n v="814.78"/>
        <n v="618.29"/>
        <n v="902.07"/>
        <n v="845.87"/>
        <n v="899.68"/>
        <n v="229.27"/>
        <n v="860.42"/>
        <n v="697.55"/>
        <n v="961.97"/>
        <n v="337.88"/>
        <n v="723.43"/>
        <n v="726.4"/>
        <n v="599.55"/>
        <n v="39.33"/>
        <n v="206.07"/>
        <n v="891.05"/>
        <n v="936.3"/>
        <n v="292.13"/>
        <n v="888.14"/>
        <n v="905.29"/>
        <n v="433.6"/>
        <n v="691.52"/>
        <n v="251.8"/>
        <n v="979.8"/>
        <n v="588.35"/>
        <n v="313.82"/>
        <n v="517.87"/>
        <n v="82.75"/>
        <n v="389.58"/>
        <n v="563.43"/>
        <n v="128.27"/>
        <n v="995.31"/>
        <n v="191.33"/>
        <n v="628.58"/>
        <n v="712.28"/>
        <n v="782.71"/>
        <n v="452.15"/>
        <n v="568.42"/>
        <n v="678.34"/>
        <n v="779.38"/>
        <n v="238.74"/>
        <n v="913.93"/>
        <n v="999.9"/>
        <n v="907.93"/>
        <n v="794.76"/>
        <n v="590.67"/>
        <n v="147.66"/>
        <n v="416.93"/>
        <n v="301.04"/>
        <n v="357.66"/>
        <n v="203.48"/>
        <n v="54.15"/>
        <n v="197.43"/>
        <n v="121.38"/>
        <n v="590.93"/>
        <n v="956.57"/>
        <n v="106.36"/>
        <n v="363.63"/>
        <n v="452.9"/>
        <n v="105.07"/>
        <n v="953.89"/>
        <n v="279.34"/>
        <n v="604.14"/>
        <n v="784.24"/>
        <n v="688.68"/>
        <n v="530.71"/>
        <n v="921.83"/>
        <n v="809.79"/>
        <n v="785.8"/>
        <n v="986.58"/>
        <n v="580.43"/>
        <n v="780.74"/>
        <n v="966.72"/>
        <n v="786.97"/>
        <n v="886.45"/>
        <n v="285.98"/>
        <n v="894.15"/>
        <n v="921.29"/>
        <n v="167.06"/>
        <n v="871.19"/>
        <n v="432.82"/>
        <n v="990.61"/>
        <n v="271.29"/>
        <n v="26.01"/>
        <n v="857.48"/>
        <n v="398.92"/>
        <n v="647.49"/>
        <n v="864.84"/>
        <n v="915.83"/>
        <n v="493.01"/>
        <n v="832.96"/>
        <n v="591.18"/>
        <n v="780.33"/>
        <n v="368.23"/>
        <n v="185.32"/>
        <n v="361.8"/>
        <n v="499.61"/>
        <n v="526.91"/>
        <n v="405.78"/>
        <n v="328.22"/>
        <n v="962.29"/>
        <n v="702.08"/>
        <n v="483.08"/>
        <n v="152.24"/>
        <n v="333.84"/>
        <n v="605.24"/>
        <n v="555.26"/>
        <n v="765.17"/>
        <n v="285.82"/>
        <n v="911.03"/>
        <n v="35.56"/>
        <n v="49.66"/>
        <n v="375.89"/>
        <n v="550.82"/>
        <n v="418.75"/>
        <n v="699.83"/>
        <n v="103.44"/>
        <n v="951.33"/>
        <n v="564.37"/>
        <n v="310.99"/>
        <n v="52.34"/>
        <n v="227.54"/>
        <n v="971.36"/>
        <n v="815.39"/>
        <n v="423.82"/>
        <n v="884.09"/>
        <n v="168.04"/>
        <n v="934.28"/>
        <n v="135.26"/>
        <n v="994.51"/>
        <n v="32.43"/>
        <n v="672.91"/>
        <n v="570.51"/>
        <n v="28.87"/>
        <n v="673.52"/>
        <n v="998.01"/>
        <n v="462.43"/>
        <n v="507.68"/>
        <n v="84.89"/>
        <n v="140.73"/>
        <n v="473.02"/>
        <n v="505.4"/>
        <n v="412.65"/>
        <n v="489.96"/>
        <n v="229.54"/>
        <n v="104.01"/>
        <n v="50.82"/>
        <n v="554.91"/>
        <n v="208.55"/>
        <n v="852.23"/>
        <n v="71.13"/>
        <n v="687.57"/>
        <n v="712.94"/>
        <n v="979.93"/>
        <n v="908.75"/>
        <n v="960.07"/>
        <n v="45.61"/>
        <n v="30.47"/>
        <n v="715.06"/>
        <n v="807.5"/>
        <n v="884.84"/>
        <n v="595.96"/>
        <n v="130.75"/>
        <n v="315.92"/>
        <n v="658.57"/>
        <n v="605.61"/>
        <n v="805.6"/>
        <n v="511.32"/>
        <n v="377.14"/>
        <n v="474.61"/>
        <n v="236.84"/>
        <n v="821.65"/>
        <n v="217.07"/>
        <n v="583.47"/>
        <n v="855.26"/>
        <n v="251.13"/>
        <n v="538.29"/>
        <n v="732.14"/>
        <n v="783.13"/>
        <n v="279.85"/>
        <n v="170.38"/>
        <n v="540.77"/>
        <n v="337.52"/>
        <n v="55.54"/>
        <n v="393.61"/>
        <n v="541.46"/>
        <n v="677.01"/>
        <n v="135.33"/>
        <n v="903.39"/>
        <n v="322.67"/>
        <n v="90.99"/>
        <n v="121.61"/>
        <n v="820.29"/>
        <n v="179.02"/>
        <n v="717.64"/>
        <n v="791.77"/>
        <n v="819.62"/>
        <n v="32.67"/>
        <n v="382.66"/>
        <n v="763.43"/>
        <n v="854.34"/>
        <n v="976.24"/>
        <n v="287.84"/>
        <n v="98.95"/>
        <n v="688.49"/>
        <n v="123.66"/>
        <n v="371.57"/>
        <n v="652.03"/>
        <n v="725.92"/>
        <n v="293.06"/>
        <n v="529.59"/>
        <n v="236.38"/>
        <n v="335.96"/>
        <n v="483.88"/>
        <n v="798.06"/>
        <n v="944.5"/>
        <n v="327.68"/>
        <n v="765.52"/>
        <n v="287.93"/>
        <n v="513.66"/>
        <n v="252.15"/>
        <n v="706.55"/>
        <n v="143.94"/>
        <n v="237.07"/>
        <n v="980.27"/>
        <n v="533.7"/>
        <n v="222.36"/>
        <n v="294.36"/>
        <n v="25.72"/>
        <n v="103.77"/>
        <n v="117.25"/>
        <n v="747.49"/>
        <n v="650.68"/>
        <n v="220.18"/>
        <n v="205.3"/>
        <n v="136.1"/>
        <n v="31.88"/>
        <n v="804.55"/>
        <n v="456.27"/>
        <n v="854.03"/>
        <n v="656.41"/>
        <n v="51.89"/>
        <n v="649.94"/>
        <n v="528.74"/>
        <n v="635.35"/>
        <n v="272.48"/>
        <n v="846.79"/>
        <n v="566.01"/>
        <n v="798.37"/>
        <n v="157.97"/>
        <n v="554.35"/>
        <n v="681.29"/>
        <n v="417.32"/>
        <n v="284.17"/>
        <n v="478.07"/>
        <n v="854.91"/>
        <n v="175.24"/>
        <n v="819.65"/>
        <n v="527.28"/>
        <n v="935.1"/>
        <n v="997.47"/>
        <n v="103.6"/>
        <n v="588.61"/>
        <n v="982.04"/>
        <n v="986.34"/>
        <n v="589.18"/>
        <n v="349.16"/>
        <n v="261.68"/>
        <n v="277.21"/>
        <n v="70.05"/>
        <n v="991.52"/>
        <n v="252.95"/>
        <n v="965.57"/>
        <n v="764.03"/>
        <n v="483.48"/>
        <n v="467.61"/>
        <n v="439.53"/>
        <n v="649.34"/>
        <n v="573.1"/>
        <n v="809.2"/>
        <n v="791.38"/>
        <n v="273.19"/>
        <n v="471.69"/>
        <n v="477.64"/>
        <n v="812.63"/>
        <n v="247.21"/>
        <n v="923.7"/>
        <n v="527.58"/>
        <n v="716.53"/>
        <n v="640.77"/>
        <n v="330.6"/>
        <n v="220.58"/>
        <n v="606.96"/>
        <n v="949.21"/>
        <n v="158.3"/>
        <n v="405.01"/>
        <n v="247.72"/>
        <n v="28.66"/>
        <n v="469.81"/>
        <n v="184.84"/>
        <n v="453.48"/>
        <n v="820.4"/>
        <n v="103.57"/>
        <n v="82.85"/>
        <n v="83.84"/>
        <n v="703.83"/>
        <n v="173.89"/>
        <n v="937.46"/>
        <n v="528.99"/>
        <n v="506.65"/>
        <n v="587.19"/>
        <n v="941.18"/>
        <n v="399.08"/>
        <n v="993.25"/>
        <n v="925.94"/>
        <n v="374.45"/>
        <n v="536.4"/>
        <n v="312.03"/>
        <n v="765.16"/>
        <n v="52.63"/>
        <n v="556.87"/>
        <n v="291.84"/>
        <n v="185.05"/>
        <n v="895.04"/>
        <n v="349.77"/>
        <n v="284.26"/>
        <n v="471.92"/>
        <n v="116.5"/>
        <n v="226.86"/>
        <n v="769.4"/>
        <n v="852.42"/>
        <n v="440.97"/>
        <n v="649.55"/>
        <n v="25.93"/>
        <n v="839.98"/>
        <n v="215.48"/>
        <n v="164.97"/>
        <n v="357.77"/>
        <n v="676.19"/>
        <n v="590.59"/>
        <n v="344.96"/>
        <n v="501.62"/>
        <n v="457.32"/>
        <n v="526.81"/>
        <n v="285.43"/>
        <n v="737.33"/>
        <n v="483.06"/>
        <n v="533.77"/>
        <n v="756.73"/>
        <n v="24.84"/>
        <n v="59.08"/>
        <n v="51.14"/>
        <n v="760.06"/>
        <n v="976.83"/>
        <n v="597.6"/>
        <n v="294.24"/>
        <n v="542.06"/>
        <n v="598.73"/>
        <n v="981.63"/>
        <n v="696.44"/>
        <n v="486.7"/>
        <n v="909.27"/>
        <n v="506.07"/>
        <n v="623.5"/>
        <n v="726.38"/>
        <n v="984.1"/>
        <n v="242.35"/>
        <n v="988.59"/>
        <n v="871.47"/>
        <n v="242.48"/>
        <n v="231.52"/>
        <n v="977.88"/>
        <n v="854.06"/>
        <n v="945.08"/>
        <n v="611.66"/>
        <n v="251.97"/>
        <n v="635.74"/>
        <n v="36.15"/>
        <n v="462.1"/>
        <n v="551.53"/>
        <n v="812.26"/>
        <n v="840.96"/>
        <n v="170.58"/>
        <n v="514.75"/>
        <n v="648.15"/>
        <n v="565.86"/>
        <n v="562.47"/>
        <n v="724.43"/>
        <n v="131.97"/>
        <n v="900.65"/>
        <n v="244.27"/>
        <n v="957.24"/>
        <n v="754.46"/>
        <n v="79.81"/>
        <n v="712.93"/>
        <n v="113.73"/>
        <n v="389.89"/>
        <n v="855.46"/>
        <n v="492.96"/>
        <n v="583.22"/>
        <n v="315.77"/>
        <n v="976.3"/>
        <n v="540.32"/>
        <n v="532.28"/>
        <n v="149.92"/>
        <n v="144.87"/>
        <n v="675.39"/>
        <n v="190.62"/>
        <n v="682.6"/>
        <n v="858.72"/>
        <n v="794.51"/>
        <n v="379.49"/>
        <n v="62.8"/>
        <n v="622.63"/>
        <n v="545.22"/>
        <n v="397.83"/>
        <n v="387.66"/>
        <n v="647.52"/>
        <n v="603.01"/>
        <n v="732.35"/>
        <n v="203.83"/>
        <n v="640.39"/>
        <n v="716.46"/>
        <n v="566.03"/>
        <n v="566.47"/>
        <n v="812.79"/>
        <n v="391.43"/>
        <n v="47.83"/>
        <n v="200.19"/>
        <n v="259.28"/>
        <n v="878.43"/>
        <n v="117.84"/>
        <n v="452.51"/>
        <n v="434.12"/>
        <n v="671.73"/>
        <n v="166.25"/>
        <n v="301.88"/>
        <n v="379.0"/>
        <n v="602.53"/>
        <n v="579.43"/>
        <n v="305.66"/>
        <n v="849.07"/>
        <n v="845.43"/>
        <n v="322.2"/>
        <n v="140.04"/>
        <n v="538.5"/>
        <n v="957.18"/>
        <n v="323.01"/>
        <n v="745.82"/>
        <n v="685.26"/>
        <n v="340.5"/>
        <n v="842.34"/>
        <n v="904.25"/>
        <n v="623.56"/>
        <n v="266.52"/>
        <n v="510.64"/>
        <n v="954.63"/>
        <n v="640.33"/>
        <n v="852.73"/>
        <n v="663.14"/>
        <n v="110.12"/>
        <n v="865.83"/>
        <n v="183.02"/>
        <n v="443.34"/>
        <n v="892.42"/>
        <n v="269.31"/>
        <n v="592.77"/>
        <n v="837.44"/>
        <n v="965.98"/>
        <n v="251.2"/>
        <n v="263.35"/>
        <n v="675.22"/>
        <n v="28.95"/>
        <n v="285.59"/>
        <n v="241.8"/>
        <n v="143.99"/>
        <n v="810.98"/>
        <n v="413.44"/>
        <n v="492.08"/>
        <n v="102.54"/>
        <n v="980.23"/>
        <n v="42.52"/>
        <n v="129.82"/>
        <n v="620.77"/>
        <n v="118.0"/>
        <n v="147.21"/>
        <n v="773.34"/>
        <n v="476.52"/>
        <n v="89.84"/>
        <n v="767.77"/>
        <n v="809.13"/>
        <n v="992.54"/>
        <n v="618.01"/>
        <n v="323.72"/>
        <n v="802.11"/>
        <n v="891.37"/>
        <n v="115.35"/>
        <n v="482.93"/>
        <n v="529.87"/>
        <n v="543.22"/>
        <n v="894.42"/>
        <n v="124.62"/>
        <n v="457.02"/>
        <n v="648.6"/>
        <n v="182.82"/>
        <n v="738.53"/>
        <n v="234.12"/>
        <n v="625.68"/>
        <n v="64.32"/>
        <n v="755.86"/>
        <n v="893.46"/>
        <n v="621.42"/>
        <n v="738.32"/>
        <n v="776.77"/>
        <n v="984.02"/>
        <n v="133.41"/>
        <n v="793.74"/>
        <n v="930.11"/>
        <n v="625.79"/>
        <n v="631.3"/>
        <n v="969.16"/>
        <n v="727.23"/>
        <n v="258.28"/>
        <n v="364.68"/>
        <n v="34.23"/>
        <n v="488.74"/>
        <n v="970.67"/>
        <n v="344.78"/>
        <n v="943.57"/>
        <n v="747.01"/>
        <n v="847.04"/>
        <n v="220.78"/>
        <n v="288.31"/>
        <n v="54.69"/>
        <n v="675.44"/>
        <n v="481.68"/>
        <n v="424.32"/>
        <n v="415.79"/>
        <n v="779.92"/>
        <n v="275.15"/>
        <n v="896.65"/>
        <n v="598.84"/>
        <n v="970.02"/>
        <n v="626.73"/>
        <n v="365.62"/>
        <n v="440.65"/>
        <n v="334.16"/>
        <n v="587.76"/>
        <n v="232.68"/>
        <n v="490.45"/>
        <n v="936.94"/>
        <n v="626.14"/>
        <n v="141.75"/>
        <n v="797.34"/>
        <n v="424.46"/>
        <n v="486.51"/>
        <n v="835.55"/>
        <n v="814.2"/>
        <n v="62.65"/>
        <n v="657.79"/>
        <n v="904.79"/>
        <n v="989.71"/>
        <n v="848.12"/>
        <n v="408.24"/>
        <n v="317.83"/>
        <n v="760.75"/>
        <n v="124.47"/>
        <n v="114.27"/>
        <n v="431.93"/>
        <n v="533.88"/>
        <n v="697.61"/>
        <n v="123.87"/>
        <n v="593.84"/>
        <n v="93.89"/>
        <n v="733.36"/>
        <n v="529.98"/>
        <n v="356.13"/>
        <n v="590.47"/>
        <n v="418.53"/>
        <n v="370.58"/>
        <n v="50.64"/>
        <n v="533.13"/>
        <n v="69.19"/>
        <n v="401.51"/>
        <n v="922.66"/>
        <n v="987.01"/>
        <n v="864.96"/>
        <n v="719.79"/>
        <n v="244.74"/>
        <n v="551.73"/>
        <n v="914.59"/>
        <n v="826.93"/>
        <n v="357.86"/>
        <n v="340.04"/>
        <n v="420.52"/>
        <n v="644.92"/>
        <n v="383.84"/>
        <n v="976.16"/>
        <n v="854.28"/>
        <n v="443.84"/>
        <n v="187.14"/>
        <n v="812.53"/>
        <n v="314.3"/>
        <n v="515.12"/>
        <n v="804.23"/>
        <n v="464.23"/>
        <n v="664.55"/>
        <n v="356.95"/>
        <n v="886.03"/>
        <n v="610.46"/>
        <n v="650.46"/>
        <n v="650.57"/>
        <n v="622.64"/>
        <n v="491.7"/>
        <n v="714.33"/>
        <n v="244.02"/>
        <n v="512.23"/>
        <n v="850.53"/>
        <n v="383.83"/>
        <n v="348.95"/>
        <n v="545.16"/>
        <n v="141.26"/>
        <n v="170.45"/>
        <n v="856.56"/>
        <n v="172.49"/>
        <n v="745.35"/>
        <n v="389.29"/>
        <n v="540.3"/>
        <n v="289.71"/>
        <n v="695.01"/>
        <n v="33.93"/>
        <n v="779.61"/>
        <n v="938.11"/>
        <n v="805.93"/>
        <n v="54.12"/>
        <n v="50.86"/>
        <n v="579.58"/>
        <n v="557.79"/>
        <n v="563.2"/>
        <n v="115.62"/>
        <n v="907.26"/>
        <n v="287.11"/>
        <n v="755.6"/>
        <n v="221.24"/>
        <n v="277.04"/>
        <n v="348.24"/>
        <n v="994.63"/>
        <n v="314.15"/>
        <n v="983.6"/>
        <n v="510.84"/>
        <n v="97.84"/>
        <n v="454.86"/>
        <n v="674.42"/>
        <n v="918.48"/>
        <n v="239.72"/>
        <n v="805.1"/>
        <n v="668.61"/>
        <n v="517.89"/>
        <n v="102.79"/>
        <n v="982.29"/>
        <n v="807.55"/>
        <n v="186.95"/>
        <n v="957.44"/>
        <n v="320.31"/>
        <n v="120.96"/>
        <n v="854.62"/>
        <n v="738.13"/>
        <n v="68.64"/>
        <n v="963.72"/>
        <n v="932.76"/>
        <n v="857.42"/>
        <n v="659.64"/>
        <n v="673.82"/>
        <n v="227.87"/>
        <n v="93.93"/>
        <n v="618.28"/>
        <n v="161.29"/>
        <n v="294.34"/>
        <n v="511.37"/>
        <n v="480.08"/>
        <n v="430.59"/>
        <n v="82.29"/>
        <n v="597.74"/>
        <n v="488.6"/>
        <n v="604.38"/>
        <n v="553.08"/>
        <n v="42.3"/>
        <n v="467.82"/>
        <n v="980.94"/>
        <n v="813.73"/>
        <n v="607.47"/>
        <n v="75.79"/>
        <n v="658.48"/>
        <n v="926.4"/>
        <n v="489.48"/>
        <n v="134.89"/>
        <n v="29.37"/>
        <n v="917.92"/>
        <n v="528.22"/>
        <n v="969.55"/>
        <n v="631.68"/>
        <n v="302.7"/>
        <n v="179.98"/>
        <n v="815.35"/>
        <n v="643.6"/>
        <n v="436.49"/>
        <n v="456.78"/>
        <n v="403.49"/>
        <n v="290.39"/>
        <n v="678.61"/>
        <n v="498.04"/>
        <n v="865.82"/>
        <n v="444.4"/>
        <n v="500.75"/>
        <n v="646.65"/>
        <n v="343.01"/>
        <n v="24.98"/>
        <n v="214.19"/>
        <n v="540.33"/>
        <n v="890.05"/>
        <n v="500.62"/>
        <n v="324.7"/>
        <n v="705.29"/>
        <n v="523.51"/>
        <n v="872.83"/>
        <n v="915.54"/>
        <n v="310.59"/>
        <n v="405.37"/>
        <n v="499.82"/>
        <n v="707.18"/>
        <n v="774.04"/>
        <n v="808.85"/>
        <n v="109.31"/>
        <n v="581.61"/>
        <n v="430.02"/>
        <n v="926.37"/>
        <n v="882.29"/>
        <n v="889.97"/>
        <n v="577.1"/>
        <n v="666.16"/>
        <n v="69.17"/>
        <n v="572.21"/>
        <n v="823.61"/>
        <n v="28.44"/>
        <n v="92.42"/>
        <n v="992.38"/>
        <n v="680.73"/>
        <n v="98.42"/>
        <n v="339.37"/>
        <n v="158.08"/>
        <n v="714.29"/>
        <n v="544.45"/>
        <n v="89.77"/>
        <n v="300.47"/>
        <n v="189.96"/>
        <n v="974.45"/>
        <n v="913.89"/>
        <n v="258.26"/>
        <n v="789.14"/>
        <n v="656.72"/>
        <n v="490.64"/>
        <n v="656.79"/>
        <n v="216.06"/>
        <n v="166.36"/>
        <n v="526.96"/>
        <n v="225.06"/>
        <n v="85.56"/>
        <n v="770.83"/>
        <n v="830.91"/>
        <n v="219.71"/>
        <n v="258.68"/>
        <n v="384.35"/>
        <n v="962.61"/>
        <n v="907.95"/>
        <n v="319.82"/>
        <n v="815.43"/>
        <n v="548.64"/>
        <n v="863.43"/>
        <n v="101.79"/>
        <n v="560.01"/>
        <n v="930.44"/>
        <n v="898.93"/>
        <n v="719.84"/>
        <n v="876.07"/>
        <n v="901.09"/>
        <n v="901.64"/>
        <n v="975.15"/>
        <n v="934.34"/>
        <n v="151.55"/>
        <n v="65.33"/>
        <n v="698.98"/>
        <n v="858.3"/>
        <n v="357.62"/>
        <n v="271.4"/>
        <n v="725.85"/>
        <n v="324.32"/>
        <n v="795.29"/>
        <n v="457.24"/>
        <n v="82.54"/>
        <n v="389.2"/>
        <n v="723.72"/>
        <n v="425.47"/>
        <n v="951.45"/>
        <n v="187.94"/>
        <n v="24.78"/>
        <n v="393.51"/>
        <n v="554.17"/>
        <n v="132.19"/>
        <n v="867.14"/>
        <n v="986.92"/>
        <n v="730.53"/>
        <n v="191.5"/>
        <n v="835.89"/>
        <n v="306.67"/>
        <n v="234.58"/>
        <n v="49.0"/>
        <n v="505.31"/>
        <n v="702.03"/>
        <n v="750.11"/>
        <n v="386.24"/>
        <n v="688.99"/>
        <n v="109.94"/>
        <n v="900.8"/>
        <n v="420.36"/>
        <n v="370.29"/>
        <n v="332.58"/>
        <n v="932.32"/>
        <n v="21.52"/>
        <n v="423.33"/>
        <n v="99.79"/>
        <n v="518.36"/>
        <n v="266.25"/>
        <n v="936.47"/>
        <n v="210.38"/>
        <n v="460.43"/>
        <n v="193.35"/>
        <n v="686.01"/>
        <n v="210.25"/>
        <n v="520.35"/>
        <n v="606.38"/>
        <n v="860.37"/>
        <n v="969.6"/>
        <n v="598.37"/>
        <n v="443.36"/>
        <n v="332.14"/>
        <n v="694.18"/>
        <n v="601.12"/>
        <n v="650.61"/>
        <n v="689.55"/>
        <n v="661.49"/>
        <n v="162.2"/>
        <n v="35.2"/>
        <n v="902.7"/>
        <n v="814.9"/>
        <n v="51.18"/>
        <n v="735.48"/>
        <n v="875.92"/>
        <n v="804.35"/>
        <n v="312.88"/>
        <n v="182.39"/>
        <n v="219.3"/>
        <n v="695.21"/>
        <n v="421.11"/>
        <n v="152.97"/>
        <n v="693.46"/>
        <n v="44.89"/>
        <n v="818.89"/>
        <n v="95.16"/>
        <n v="295.67"/>
        <n v="920.31"/>
        <n v="844.49"/>
        <n v="342.55"/>
        <n v="957.0"/>
        <n v="373.58"/>
        <n v="910.37"/>
        <n v="282.33"/>
        <n v="987.86"/>
        <n v="164.05"/>
        <n v="626.29"/>
        <n v="770.23"/>
        <n v="332.04"/>
        <n v="235.41"/>
        <n v="472.18"/>
        <n v="648.88"/>
        <n v="567.74"/>
        <n v="92.01"/>
        <n v="793.85"/>
        <n v="412.06"/>
        <n v="978.27"/>
        <n v="872.18"/>
        <n v="761.22"/>
        <n v="277.8"/>
        <n v="975.16"/>
        <n v="650.25"/>
        <n v="427.96"/>
        <n v="998.22"/>
        <n v="574.03"/>
        <n v="635.01"/>
        <n v="37.46"/>
        <n v="23.93"/>
        <n v="811.56"/>
        <n v="667.56"/>
        <n v="640.78"/>
        <n v="457.58"/>
        <n v="795.34"/>
        <n v="98.78"/>
        <n v="723.93"/>
        <n v="686.36"/>
        <n v="146.86"/>
        <n v="172.15"/>
        <n v="122.09"/>
        <n v="634.51"/>
        <n v="857.09"/>
        <n v="308.92"/>
        <n v="971.46"/>
        <n v="191.51"/>
        <n v="73.31"/>
        <n v="378.98"/>
        <n v="503.18"/>
        <n v="831.37"/>
        <n v="700.59"/>
        <n v="895.29"/>
        <n v="525.18"/>
        <n v="203.76"/>
        <n v="974.27"/>
        <n v="96.6"/>
        <n v="496.6"/>
        <n v="560.37"/>
        <n v="194.46"/>
        <n v="675.89"/>
        <n v="868.89"/>
        <n v="345.35"/>
        <n v="503.47"/>
        <n v="160.21"/>
        <n v="478.1"/>
        <n v="483.19"/>
        <n v="817.32"/>
        <n v="347.65"/>
        <n v="459.98"/>
        <n v="306.69"/>
        <n v="168.12"/>
        <n v="279.8"/>
        <n v="873.2"/>
        <n v="286.34"/>
        <n v="795.18"/>
        <n v="506.91"/>
        <n v="862.5"/>
        <n v="792.53"/>
        <n v="311.42"/>
        <n v="98.14"/>
        <n v="162.48"/>
        <n v="182.26"/>
        <n v="313.06"/>
        <n v="428.78"/>
        <n v="538.7"/>
        <n v="670.9"/>
        <n v="172.07"/>
        <n v="815.42"/>
        <n v="844.41"/>
        <n v="904.45"/>
        <n v="797.56"/>
        <n v="954.32"/>
        <n v="642.4"/>
        <n v="42.37"/>
        <n v="280.26"/>
        <n v="923.38"/>
        <n v="487.48"/>
        <n v="152.13"/>
        <n v="871.5"/>
        <n v="152.49"/>
        <n v="142.2"/>
        <n v="878.99"/>
        <n v="991.55"/>
        <n v="391.45"/>
        <n v="525.71"/>
        <n v="135.44"/>
        <n v="139.06"/>
        <n v="48.94"/>
        <n v="129.92"/>
        <n v="526.97"/>
        <n v="558.27"/>
        <n v="486.88"/>
        <n v="552.69"/>
        <n v="359.84"/>
        <n v="78.98"/>
        <n v="676.97"/>
        <n v="913.28"/>
        <n v="775.45"/>
        <n v="368.49"/>
        <n v="244.84"/>
        <n v="951.15"/>
        <n v="582.07"/>
        <n v="778.03"/>
        <n v="353.94"/>
        <n v="943.89"/>
        <n v="947.95"/>
        <n v="131.96"/>
        <n v="590.66"/>
        <n v="870.1"/>
        <n v="778.87"/>
        <n v="865.12"/>
        <n v="741.99"/>
        <n v="702.2"/>
        <n v="52.45"/>
        <n v="42.88"/>
        <n v="591.65"/>
        <n v="663.53"/>
        <n v="248.29"/>
        <n v="363.97"/>
        <n v="394.43"/>
        <n v="624.67"/>
        <n v="923.9"/>
        <n v="391.98"/>
        <n v="874.08"/>
        <n v="148.97"/>
        <n v="689.51"/>
        <n v="76.4"/>
        <n v="783.59"/>
        <n v="875.84"/>
        <n v="53.94"/>
        <n v="899.94"/>
        <n v="230.21"/>
        <n v="571.59"/>
        <n v="698.99"/>
        <n v="718.94"/>
        <n v="638.83"/>
        <n v="820.0"/>
        <n v="847.84"/>
        <n v="698.59"/>
        <n v="553.32"/>
        <n v="121.24"/>
        <n v="992.49"/>
        <n v="155.06"/>
        <n v="691.62"/>
        <n v="659.77"/>
        <n v="399.39"/>
        <n v="404.36"/>
        <n v="645.09"/>
        <n v="696.0"/>
        <n v="613.92"/>
        <n v="975.34"/>
        <n v="536.7"/>
        <n v="399.64"/>
        <n v="766.72"/>
        <n v="198.26"/>
        <n v="858.15"/>
        <n v="406.8"/>
        <n v="123.84"/>
        <n v="598.12"/>
        <n v="415.36"/>
        <n v="816.54"/>
        <n v="583.77"/>
        <n v="938.3"/>
        <n v="458.71"/>
        <n v="488.57"/>
        <n v="397.45"/>
        <n v="585.39"/>
        <n v="353.36"/>
        <n v="409.12"/>
        <n v="82.89"/>
        <n v="753.68"/>
        <n v="110.21"/>
        <n v="990.87"/>
        <n v="372.48"/>
        <n v="141.94"/>
        <n v="986.56"/>
        <n v="124.56"/>
        <n v="236.44"/>
        <n v="845.6"/>
        <n v="49.37"/>
        <n v="565.34"/>
        <n v="245.37"/>
        <n v="341.78"/>
        <n v="956.05"/>
        <n v="496.58"/>
        <n v="403.25"/>
        <n v="358.57"/>
        <n v="557.67"/>
        <n v="557.72"/>
        <n v="25.94"/>
        <n v="608.52"/>
        <n v="574.24"/>
        <n v="25.92"/>
        <n v="966.68"/>
        <n v="885.5"/>
        <n v="251.69"/>
        <n v="708.31"/>
        <n v="941.31"/>
        <n v="240.28"/>
        <n v="743.67"/>
        <n v="309.46"/>
        <n v="433.13"/>
        <n v="345.61"/>
        <n v="355.33"/>
        <n v="607.94"/>
        <n v="378.75"/>
        <n v="141.28"/>
        <n v="349.75"/>
        <n v="933.36"/>
        <n v="911.55"/>
        <n v="689.24"/>
        <n v="573.94"/>
        <n v="406.76"/>
        <n v="551.5"/>
        <n v="912.14"/>
        <n v="519.11"/>
        <n v="485.41"/>
        <n v="744.93"/>
        <n v="156.31"/>
        <n v="302.93"/>
        <n v="932.58"/>
        <n v="253.7"/>
        <n v="998.2"/>
        <n v="872.02"/>
        <n v="892.11"/>
        <n v="39.8"/>
        <n v="346.36"/>
        <n v="469.35"/>
        <n v="142.32"/>
        <n v="606.83"/>
        <n v="842.83"/>
        <n v="844.8"/>
        <n v="594.02"/>
        <n v="350.65"/>
        <n v="458.88"/>
        <n v="980.71"/>
        <n v="615.92"/>
        <n v="683.53"/>
        <n v="290.25"/>
        <n v="683.68"/>
        <n v="217.86"/>
        <n v="986.91"/>
        <n v="518.54"/>
        <n v="64.2"/>
        <n v="715.34"/>
        <n v="389.07"/>
        <n v="510.5"/>
        <n v="267.68"/>
        <n v="109.36"/>
        <n v="858.22"/>
        <n v="948.4"/>
        <n v="634.16"/>
        <n v="817.01"/>
        <n v="582.92"/>
        <n v="93.67"/>
        <n v="596.51"/>
        <n v="285.45"/>
        <n v="425.1"/>
        <n v="144.26"/>
        <n v="388.59"/>
        <n v="905.72"/>
        <n v="413.94"/>
        <n v="389.71"/>
        <n v="722.31"/>
        <n v="866.38"/>
        <n v="453.5"/>
        <n v="94.44"/>
        <n v="902.53"/>
        <n v="797.5"/>
        <n v="929.3"/>
        <n v="43.58"/>
        <n v="787.31"/>
        <n v="970.23"/>
        <n v="423.46"/>
        <n v="589.9"/>
        <n v="316.29"/>
        <n v="706.0"/>
        <n v="286.15"/>
        <n v="478.95"/>
        <n v="288.88"/>
        <n v="451.07"/>
        <n v="214.98"/>
        <n v="973.8"/>
        <n v="330.66"/>
        <n v="37.36"/>
        <n v="210.12"/>
        <n v="368.19"/>
        <n v="815.56"/>
        <n v="433.03"/>
        <n v="932.0"/>
        <n v="539.34"/>
        <n v="60.53"/>
        <n v="766.34"/>
        <n v="707.28"/>
        <n v="706.89"/>
        <n v="274.94"/>
        <n v="338.66"/>
        <n v="751.76"/>
        <n v="23.98"/>
        <n v="970.94"/>
        <n v="918.51"/>
        <n v="917.35"/>
        <n v="610.94"/>
        <n v="987.38"/>
        <n v="29.48"/>
        <n v="985.47"/>
        <n v="878.93"/>
        <n v="817.25"/>
        <n v="61.54"/>
        <n v="912.86"/>
        <n v="928.59"/>
        <n v="547.34"/>
        <n v="646.64"/>
        <n v="966.43"/>
        <n v="37.52"/>
        <n v="569.51"/>
        <n v="525.07"/>
        <n v="505.13"/>
        <n v="589.91"/>
        <n v="615.11"/>
        <n v="489.13"/>
        <n v="667.77"/>
        <n v="636.54"/>
        <n v="755.23"/>
        <n v="870.47"/>
        <n v="37.23"/>
        <n v="853.62"/>
        <n v="623.49"/>
        <n v="274.71"/>
        <n v="821.98"/>
        <n v="86.88"/>
        <n v="457.3"/>
        <n v="283.17"/>
        <n v="341.03"/>
        <n v="619.11"/>
        <n v="504.16"/>
        <n v="161.53"/>
        <n v="629.07"/>
        <n v="458.53"/>
        <n v="409.84"/>
        <n v="406.6"/>
        <n v="407.29"/>
        <n v="967.7"/>
        <n v="330.15"/>
        <n v="935.26"/>
        <n v="828.33"/>
        <n v="116.81"/>
        <n v="764.24"/>
        <n v="923.63"/>
        <n v="886.27"/>
        <n v="664.68"/>
        <n v="872.82"/>
        <n v="160.26"/>
        <n v="262.15"/>
        <n v="639.01"/>
        <n v="777.7"/>
        <n v="685.31"/>
        <n v="422.84"/>
        <n v="77.07"/>
        <n v="836.38"/>
        <n v="379.74"/>
        <n v="698.52"/>
        <n v="843.55"/>
        <n v="628.65"/>
        <n v="693.21"/>
        <n v="368.25"/>
        <n v="700.81"/>
        <n v="502.79"/>
        <n v="898.18"/>
        <n v="871.57"/>
        <n v="680.3"/>
        <n v="839.02"/>
        <n v="621.88"/>
        <n v="588.95"/>
        <n v="802.59"/>
        <n v="315.59"/>
        <n v="660.83"/>
        <n v="123.36"/>
        <n v="742.12"/>
        <n v="656.61"/>
        <n v="928.48"/>
        <n v="320.65"/>
        <n v="804.24"/>
        <n v="105.7"/>
        <n v="383.4"/>
        <n v="722.74"/>
        <n v="613.89"/>
        <n v="621.6"/>
        <n v="349.2"/>
        <n v="436.52"/>
        <n v="669.76"/>
        <n v="546.21"/>
        <n v="725.57"/>
        <n v="996.07"/>
        <n v="588.09"/>
        <n v="175.49"/>
        <n v="71.0"/>
        <n v="813.25"/>
        <n v="109.86"/>
        <n v="708.58"/>
        <n v="781.4"/>
        <n v="514.83"/>
        <n v="862.07"/>
        <n v="333.22"/>
        <n v="683.46"/>
        <n v="91.66"/>
        <n v="46.57"/>
        <n v="384.68"/>
        <n v="175.99"/>
        <n v="159.28"/>
        <n v="595.51"/>
        <n v="264.07"/>
        <n v="541.06"/>
        <n v="959.0"/>
        <n v="353.69"/>
        <n v="386.35"/>
        <n v="736.72"/>
        <n v="451.04"/>
        <n v="428.06"/>
        <n v="255.65"/>
        <n v="80.25"/>
        <n v="355.23"/>
        <n v="112.76"/>
        <n v="745.05"/>
        <n v="29.66"/>
        <n v="730.5"/>
        <n v="537.85"/>
        <n v="225.48"/>
        <n v="592.52"/>
        <n v="985.07"/>
        <n v="944.86"/>
        <n v="39.02"/>
        <n v="897.56"/>
        <n v="531.97"/>
        <n v="168.67"/>
        <n v="751.44"/>
        <n v="566.72"/>
        <n v="351.69"/>
        <n v="957.01"/>
        <n v="213.43"/>
        <n v="757.1"/>
        <n v="835.19"/>
        <n v="671.05"/>
        <n v="797.45"/>
        <n v="455.94"/>
        <n v="123.62"/>
        <n v="193.0"/>
        <n v="453.84"/>
        <n v="972.05"/>
        <n v="361.43"/>
        <n v="104.74"/>
        <n v="470.05"/>
        <n v="743.74"/>
        <n v="900.85"/>
        <n v="468.73"/>
        <n v="956.42"/>
        <n v="741.33"/>
        <n v="632.97"/>
        <n v="634.92"/>
        <n v="306.65"/>
        <n v="955.31"/>
        <n v="949.98"/>
        <n v="453.44"/>
        <n v="104.03"/>
        <n v="299.42"/>
        <n v="911.42"/>
        <n v="587.15"/>
        <n v="159.11"/>
        <n v="356.36"/>
        <n v="475.26"/>
        <n v="611.77"/>
        <n v="123.47"/>
        <n v="349.24"/>
        <n v="170.75"/>
        <n v="972.01"/>
        <n v="636.49"/>
        <n v="495.75"/>
        <n v="479.06"/>
        <n v="88.61"/>
        <n v="990.33"/>
        <n v="937.34"/>
        <n v="840.98"/>
        <n v="439.99"/>
        <n v="248.0"/>
        <n v="150.7"/>
        <n v="122.18"/>
        <n v="349.13"/>
        <n v="225.96"/>
        <n v="52.83"/>
        <n v="275.83"/>
        <n v="322.41"/>
        <n v="572.9"/>
        <n v="22.75"/>
        <n v="643.56"/>
        <n v="917.54"/>
        <n v="862.49"/>
        <n v="209.29"/>
        <n v="561.68"/>
        <n v="363.46"/>
        <n v="908.79"/>
        <n v="497.51"/>
        <n v="665.02"/>
        <n v="392.64"/>
      </sharedItems>
    </cacheField>
    <cacheField name="Profit" numFmtId="0">
      <sharedItems containsSemiMixedTypes="0" containsString="0" containsNumber="1">
        <n v="118.09"/>
        <n v="18.91"/>
        <n v="-82.03"/>
        <n v="-161.38"/>
        <n v="174.9"/>
        <n v="-21.84"/>
        <n v="-105.17"/>
        <n v="234.39"/>
        <n v="92.84"/>
        <n v="90.9"/>
        <n v="237.13"/>
        <n v="56.01"/>
        <n v="19.25"/>
        <n v="-7.78"/>
        <n v="167.52"/>
        <n v="253.78"/>
        <n v="-110.1"/>
        <n v="76.69"/>
        <n v="168.82"/>
        <n v="210.24"/>
        <n v="82.06"/>
        <n v="-96.31"/>
        <n v="-69.55"/>
        <n v="-140.39"/>
        <n v="1.64"/>
        <n v="264.37"/>
        <n v="109.94"/>
        <n v="155.21"/>
        <n v="-149.14"/>
        <n v="-79.95"/>
        <n v="17.07"/>
        <n v="125.02"/>
        <n v="-43.57"/>
        <n v="4.13"/>
        <n v="100.07"/>
        <n v="-105.11"/>
        <n v="-18.12"/>
        <n v="136.67"/>
        <n v="299.74"/>
        <n v="-149.4"/>
        <n v="-136.38"/>
        <n v="243.75"/>
        <n v="-29.17"/>
        <n v="-167.1"/>
        <n v="-36.72"/>
        <n v="-11.87"/>
        <n v="183.05"/>
        <n v="-56.95"/>
        <n v="-94.85"/>
        <n v="-16.1"/>
        <n v="-61.66"/>
        <n v="-186.83"/>
        <n v="43.41"/>
        <n v="-172.94"/>
        <n v="-68.39"/>
        <n v="238.02"/>
        <n v="157.94"/>
        <n v="291.62"/>
        <n v="232.56"/>
        <n v="219.31"/>
        <n v="215.7"/>
        <n v="-155.79"/>
        <n v="261.88"/>
        <n v="151.07"/>
        <n v="10.18"/>
        <n v="-195.82"/>
        <n v="211.52"/>
        <n v="74.56"/>
        <n v="-59.62"/>
        <n v="-145.98"/>
        <n v="-43.06"/>
        <n v="-149.54"/>
        <n v="-85.18"/>
        <n v="-56.04"/>
        <n v="177.95"/>
        <n v="201.93"/>
        <n v="260.7"/>
        <n v="-96.29"/>
        <n v="91.62"/>
        <n v="-163.36"/>
        <n v="-174.88"/>
        <n v="50.3"/>
        <n v="-63.12"/>
        <n v="24.83"/>
        <n v="168.18"/>
        <n v="-31.14"/>
        <n v="-134.04"/>
        <n v="-33.19"/>
        <n v="-63.8"/>
        <n v="-48.0"/>
        <n v="-153.94"/>
        <n v="-189.36"/>
        <n v="134.85"/>
        <n v="240.36"/>
        <n v="141.42"/>
        <n v="-19.07"/>
        <n v="142.57"/>
        <n v="73.36"/>
        <n v="228.54"/>
        <n v="143.13"/>
        <n v="-73.0"/>
        <n v="-4.66"/>
        <n v="-46.19"/>
        <n v="256.36"/>
        <n v="-13.51"/>
        <n v="-188.5"/>
        <n v="62.7"/>
        <n v="-25.4"/>
        <n v="21.93"/>
        <n v="160.39"/>
        <n v="-3.82"/>
        <n v="14.69"/>
        <n v="-163.4"/>
        <n v="-54.39"/>
        <n v="140.51"/>
        <n v="297.63"/>
        <n v="-30.59"/>
        <n v="-108.93"/>
        <n v="-85.94"/>
        <n v="263.9"/>
        <n v="195.72"/>
        <n v="177.77"/>
        <n v="231.64"/>
        <n v="155.37"/>
        <n v="292.1"/>
        <n v="-15.92"/>
        <n v="248.41"/>
        <n v="-43.59"/>
        <n v="145.73"/>
        <n v="135.59"/>
        <n v="220.94"/>
        <n v="244.4"/>
        <n v="205.07"/>
        <n v="-67.5"/>
        <n v="58.58"/>
        <n v="3.28"/>
        <n v="-160.46"/>
        <n v="225.36"/>
        <n v="231.13"/>
        <n v="69.22"/>
        <n v="93.97"/>
        <n v="22.43"/>
        <n v="-13.7"/>
        <n v="211.34"/>
        <n v="161.75"/>
        <n v="255.3"/>
        <n v="262.24"/>
        <n v="194.45"/>
        <n v="-151.02"/>
        <n v="-36.86"/>
        <n v="144.15"/>
        <n v="-41.34"/>
        <n v="61.56"/>
        <n v="184.82"/>
        <n v="260.82"/>
        <n v="-122.5"/>
        <n v="-135.55"/>
        <n v="273.39"/>
        <n v="151.29"/>
        <n v="-56.15"/>
        <n v="-114.48"/>
        <n v="59.46"/>
        <n v="152.8"/>
        <n v="260.5"/>
        <n v="-98.69"/>
        <n v="116.04"/>
        <n v="-195.86"/>
        <n v="164.66"/>
        <n v="241.35"/>
        <n v="137.31"/>
        <n v="-25.87"/>
        <n v="-135.52"/>
        <n v="244.25"/>
        <n v="-44.65"/>
        <n v="-26.76"/>
        <n v="126.81"/>
        <n v="-102.91"/>
        <n v="197.33"/>
        <n v="-21.67"/>
        <n v="-154.91"/>
        <n v="105.51"/>
        <n v="171.66"/>
        <n v="98.06"/>
        <n v="-111.44"/>
        <n v="254.2"/>
        <n v="37.48"/>
        <n v="-140.8"/>
        <n v="8.12"/>
        <n v="-28.8"/>
        <n v="-180.12"/>
        <n v="274.02"/>
        <n v="199.2"/>
        <n v="66.69"/>
        <n v="164.56"/>
        <n v="1.49"/>
        <n v="29.83"/>
        <n v="201.63"/>
        <n v="233.76"/>
        <n v="-162.64"/>
        <n v="-170.89"/>
        <n v="-39.4"/>
        <n v="103.65"/>
        <n v="114.02"/>
        <n v="92.79"/>
        <n v="168.81"/>
        <n v="-104.82"/>
        <n v="-132.0"/>
        <n v="-26.93"/>
        <n v="261.56"/>
        <n v="68.87"/>
        <n v="279.79"/>
        <n v="-126.49"/>
        <n v="-175.17"/>
        <n v="-50.44"/>
        <n v="110.84"/>
        <n v="-97.16"/>
        <n v="-9.27"/>
        <n v="124.17"/>
        <n v="-134.56"/>
        <n v="-192.53"/>
        <n v="-164.01"/>
        <n v="-29.38"/>
        <n v="44.3"/>
        <n v="-60.66"/>
        <n v="202.01"/>
        <n v="39.39"/>
        <n v="-144.31"/>
        <n v="146.56"/>
        <n v="278.57"/>
        <n v="-70.47"/>
        <n v="192.71"/>
        <n v="243.03"/>
        <n v="274.43"/>
        <n v="203.72"/>
        <n v="22.8"/>
        <n v="-64.08"/>
        <n v="-183.73"/>
        <n v="-76.38"/>
        <n v="72.62"/>
        <n v="201.44"/>
        <n v="183.15"/>
        <n v="209.06"/>
        <n v="-196.7"/>
        <n v="-123.86"/>
        <n v="-66.1"/>
        <n v="-54.23"/>
        <n v="-58.89"/>
        <n v="181.31"/>
        <n v="-175.41"/>
        <n v="-20.63"/>
        <n v="-103.69"/>
        <n v="263.97"/>
        <n v="-150.65"/>
        <n v="110.46"/>
        <n v="299.29"/>
        <n v="249.45"/>
        <n v="-85.23"/>
        <n v="109.45"/>
        <n v="271.41"/>
        <n v="-47.63"/>
        <n v="51.98"/>
        <n v="-187.96"/>
        <n v="124.62"/>
        <n v="1.89"/>
        <n v="255.8"/>
        <n v="149.53"/>
        <n v="36.26"/>
        <n v="-94.9"/>
        <n v="104.64"/>
        <n v="-29.16"/>
        <n v="-153.0"/>
        <n v="-67.98"/>
        <n v="130.87"/>
        <n v="-76.12"/>
        <n v="85.84"/>
        <n v="60.28"/>
        <n v="276.63"/>
        <n v="280.86"/>
        <n v="140.86"/>
        <n v="267.61"/>
        <n v="-71.93"/>
        <n v="114.25"/>
        <n v="247.58"/>
        <n v="196.7"/>
        <n v="-54.45"/>
        <n v="41.62"/>
        <n v="131.41"/>
        <n v="43.83"/>
        <n v="34.13"/>
        <n v="201.45"/>
        <n v="101.29"/>
        <n v="69.81"/>
        <n v="251.64"/>
        <n v="109.4"/>
        <n v="-31.15"/>
        <n v="161.93"/>
        <n v="256.19"/>
        <n v="-28.65"/>
        <n v="124.7"/>
        <n v="-42.86"/>
        <n v="175.13"/>
        <n v="53.47"/>
        <n v="-151.88"/>
        <n v="150.66"/>
        <n v="142.82"/>
        <n v="-93.64"/>
        <n v="-54.4"/>
        <n v="37.66"/>
        <n v="240.39"/>
        <n v="-52.88"/>
        <n v="82.19"/>
        <n v="-34.24"/>
        <n v="146.18"/>
        <n v="-107.53"/>
        <n v="-133.45"/>
        <n v="-121.99"/>
        <n v="135.73"/>
        <n v="6.2"/>
        <n v="32.9"/>
        <n v="-35.23"/>
        <n v="91.69"/>
        <n v="55.17"/>
        <n v="-194.07"/>
        <n v="249.63"/>
        <n v="113.95"/>
        <n v="75.57"/>
        <n v="223.67"/>
        <n v="-128.02"/>
        <n v="297.97"/>
        <n v="74.48"/>
        <n v="-136.59"/>
        <n v="-144.09"/>
        <n v="0.0"/>
        <n v="-194.82"/>
        <n v="214.0"/>
        <n v="265.64"/>
        <n v="-172.32"/>
        <n v="24.27"/>
        <n v="132.37"/>
        <n v="293.82"/>
        <n v="-64.15"/>
        <n v="-159.07"/>
        <n v="18.73"/>
        <n v="97.22"/>
        <n v="147.44"/>
        <n v="-188.88"/>
        <n v="14.62"/>
        <n v="280.13"/>
        <n v="201.54"/>
        <n v="27.08"/>
        <n v="-132.13"/>
        <n v="208.91"/>
        <n v="160.44"/>
        <n v="141.83"/>
        <n v="109.09"/>
        <n v="245.88"/>
        <n v="-31.82"/>
        <n v="93.12"/>
        <n v="-150.27"/>
        <n v="-75.22"/>
        <n v="-190.62"/>
        <n v="0.69"/>
        <n v="-180.96"/>
        <n v="115.38"/>
        <n v="-192.94"/>
        <n v="-180.18"/>
        <n v="-66.16"/>
        <n v="278.01"/>
        <n v="-69.73"/>
        <n v="10.8"/>
        <n v="9.71"/>
        <n v="-136.69"/>
        <n v="85.12"/>
        <n v="-180.54"/>
        <n v="-173.34"/>
        <n v="-89.64"/>
        <n v="-134.18"/>
        <n v="87.83"/>
        <n v="223.27"/>
        <n v="-83.12"/>
        <n v="84.96"/>
        <n v="-64.13"/>
        <n v="84.24"/>
        <n v="-60.0"/>
        <n v="180.74"/>
        <n v="153.35"/>
        <n v="169.76"/>
        <n v="164.27"/>
        <n v="153.29"/>
        <n v="84.99"/>
        <n v="91.29"/>
        <n v="63.97"/>
        <n v="209.19"/>
        <n v="118.08"/>
        <n v="289.85"/>
        <n v="-48.2"/>
        <n v="75.44"/>
        <n v="-33.57"/>
        <n v="-35.24"/>
        <n v="137.55"/>
        <n v="76.12"/>
        <n v="-3.76"/>
        <n v="-45.49"/>
        <n v="-28.02"/>
        <n v="134.33"/>
        <n v="184.08"/>
        <n v="-143.55"/>
        <n v="166.3"/>
        <n v="207.6"/>
        <n v="58.32"/>
        <n v="-113.54"/>
        <n v="73.08"/>
        <n v="155.3"/>
        <n v="13.93"/>
        <n v="118.69"/>
        <n v="-3.0"/>
        <n v="109.31"/>
        <n v="251.29"/>
        <n v="80.44"/>
        <n v="251.01"/>
        <n v="127.91"/>
        <n v="-80.26"/>
        <n v="-168.05"/>
        <n v="-88.82"/>
        <n v="-75.28"/>
        <n v="16.21"/>
        <n v="-157.43"/>
        <n v="78.42"/>
        <n v="2.3"/>
        <n v="236.48"/>
        <n v="270.65"/>
        <n v="191.81"/>
        <n v="-178.63"/>
        <n v="151.64"/>
        <n v="0.26"/>
        <n v="-66.43"/>
        <n v="-175.36"/>
        <n v="179.4"/>
        <n v="-190.51"/>
        <n v="241.75"/>
        <n v="195.39"/>
        <n v="-182.27"/>
        <n v="-59.67"/>
        <n v="195.77"/>
        <n v="-102.06"/>
        <n v="35.88"/>
        <n v="230.24"/>
        <n v="155.5"/>
        <n v="82.82"/>
        <n v="176.41"/>
        <n v="292.08"/>
        <n v="138.88"/>
        <n v="219.44"/>
        <n v="113.35"/>
        <n v="129.48"/>
        <n v="-26.29"/>
        <n v="205.4"/>
        <n v="257.36"/>
        <n v="-106.54"/>
        <n v="-180.91"/>
        <n v="66.84"/>
        <n v="238.24"/>
        <n v="88.7"/>
        <n v="-118.09"/>
        <n v="16.38"/>
        <n v="236.01"/>
        <n v="-128.14"/>
        <n v="180.16"/>
        <n v="-146.16"/>
        <n v="-134.25"/>
        <n v="267.03"/>
        <n v="180.54"/>
        <n v="168.46"/>
        <n v="-31.78"/>
        <n v="-175.03"/>
        <n v="25.26"/>
        <n v="122.37"/>
        <n v="-35.91"/>
        <n v="-44.09"/>
        <n v="142.9"/>
        <n v="9.56"/>
        <n v="19.52"/>
        <n v="0.42"/>
        <n v="201.5"/>
        <n v="185.2"/>
        <n v="-65.0"/>
        <n v="-127.81"/>
        <n v="149.09"/>
        <n v="23.66"/>
        <n v="-110.77"/>
        <n v="291.46"/>
        <n v="66.43"/>
        <n v="-75.68"/>
        <n v="-135.28"/>
        <n v="44.61"/>
        <n v="-155.32"/>
        <n v="-25.53"/>
        <n v="8.51"/>
        <n v="171.31"/>
        <n v="86.31"/>
        <n v="38.5"/>
        <n v="-155.38"/>
        <n v="111.88"/>
        <n v="-154.97"/>
        <n v="24.47"/>
        <n v="285.96"/>
        <n v="-111.07"/>
        <n v="-183.02"/>
        <n v="10.28"/>
        <n v="73.96"/>
        <n v="-191.64"/>
        <n v="-120.37"/>
        <n v="226.72"/>
        <n v="117.84"/>
        <n v="178.14"/>
        <n v="198.45"/>
        <n v="33.2"/>
        <n v="-64.01"/>
        <n v="64.22"/>
        <n v="105.23"/>
        <n v="67.99"/>
        <n v="230.99"/>
        <n v="158.3"/>
        <n v="264.76"/>
        <n v="153.45"/>
        <n v="28.84"/>
        <n v="282.71"/>
        <n v="-173.15"/>
        <n v="-43.31"/>
        <n v="17.15"/>
        <n v="201.16"/>
        <n v="-195.39"/>
        <n v="90.52"/>
        <n v="132.03"/>
        <n v="-158.43"/>
        <n v="276.88"/>
        <n v="-151.71"/>
        <n v="-84.07"/>
        <n v="-89.42"/>
        <n v="-137.87"/>
        <n v="122.52"/>
        <n v="149.19"/>
        <n v="-65.99"/>
        <n v="234.36"/>
        <n v="103.33"/>
        <n v="-142.71"/>
        <n v="-159.98"/>
        <n v="68.37"/>
        <n v="45.18"/>
        <n v="87.02"/>
        <n v="163.96"/>
        <n v="-93.86"/>
        <n v="176.5"/>
        <n v="-27.05"/>
        <n v="-144.22"/>
        <n v="124.16"/>
        <n v="191.83"/>
        <n v="224.31"/>
        <n v="286.23"/>
        <n v="175.63"/>
        <n v="299.27"/>
        <n v="-11.59"/>
        <n v="-100.57"/>
        <n v="-67.27"/>
        <n v="-139.83"/>
        <n v="9.34"/>
        <n v="18.51"/>
        <n v="100.87"/>
        <n v="-44.07"/>
        <n v="212.9"/>
        <n v="-132.21"/>
        <n v="192.59"/>
        <n v="33.04"/>
        <n v="51.53"/>
        <n v="165.83"/>
        <n v="291.11"/>
        <n v="269.47"/>
        <n v="-81.15"/>
        <n v="156.69"/>
        <n v="-28.64"/>
        <n v="66.17"/>
        <n v="-83.18"/>
        <n v="78.92"/>
        <n v="-139.64"/>
        <n v="-177.85"/>
        <n v="-5.15"/>
        <n v="42.95"/>
        <n v="-189.68"/>
        <n v="-119.09"/>
        <n v="38.39"/>
        <n v="-38.71"/>
        <n v="-123.3"/>
        <n v="166.98"/>
        <n v="46.76"/>
        <n v="280.37"/>
        <n v="-129.83"/>
        <n v="-25.24"/>
        <n v="-79.21"/>
        <n v="-171.53"/>
        <n v="111.58"/>
        <n v="-186.54"/>
        <n v="2.27"/>
        <n v="-128.54"/>
        <n v="20.53"/>
        <n v="262.91"/>
        <n v="40.55"/>
        <n v="54.78"/>
        <n v="194.47"/>
        <n v="49.39"/>
        <n v="-86.11"/>
        <n v="-73.49"/>
        <n v="-104.18"/>
        <n v="94.37"/>
        <n v="113.34"/>
        <n v="-1.88"/>
        <n v="-33.1"/>
        <n v="-1.2"/>
        <n v="-41.0"/>
        <n v="299.55"/>
        <n v="100.55"/>
        <n v="-63.64"/>
        <n v="-11.67"/>
        <n v="257.88"/>
        <n v="214.34"/>
        <n v="197.8"/>
        <n v="55.08"/>
        <n v="253.82"/>
        <n v="23.86"/>
        <n v="-129.04"/>
        <n v="-152.61"/>
        <n v="47.87"/>
        <n v="209.66"/>
        <n v="100.75"/>
        <n v="196.61"/>
        <n v="-153.48"/>
        <n v="-135.25"/>
        <n v="219.98"/>
        <n v="-115.27"/>
        <n v="194.37"/>
        <n v="186.46"/>
        <n v="20.04"/>
        <n v="261.93"/>
        <n v="-140.09"/>
        <n v="-56.93"/>
        <n v="165.89"/>
        <n v="270.21"/>
        <n v="-126.45"/>
        <n v="154.13"/>
        <n v="-139.18"/>
        <n v="284.2"/>
        <n v="297.96"/>
        <n v="29.59"/>
        <n v="228.61"/>
        <n v="193.06"/>
        <n v="-193.25"/>
        <n v="-86.63"/>
        <n v="-142.59"/>
        <n v="-61.95"/>
        <n v="285.28"/>
        <n v="253.75"/>
        <n v="223.14"/>
        <n v="141.52"/>
        <n v="136.04"/>
        <n v="279.25"/>
        <n v="-184.25"/>
        <n v="156.14"/>
        <n v="211.06"/>
        <n v="-21.85"/>
        <n v="-76.28"/>
        <n v="-11.77"/>
        <n v="21.68"/>
        <n v="170.03"/>
        <n v="-64.22"/>
        <n v="-49.33"/>
        <n v="269.89"/>
        <n v="197.04"/>
        <n v="277.77"/>
        <n v="-15.43"/>
        <n v="150.86"/>
        <n v="-35.7"/>
        <n v="-68.17"/>
        <n v="62.96"/>
        <n v="-144.98"/>
        <n v="31.6"/>
        <n v="55.25"/>
        <n v="-126.84"/>
        <n v="168.4"/>
        <n v="190.55"/>
        <n v="-41.74"/>
        <n v="296.08"/>
        <n v="-22.66"/>
        <n v="-194.65"/>
        <n v="-192.47"/>
        <n v="-37.54"/>
        <n v="30.93"/>
        <n v="148.41"/>
        <n v="-144.82"/>
        <n v="154.38"/>
        <n v="-126.59"/>
        <n v="232.55"/>
        <n v="118.93"/>
        <n v="67.29"/>
        <n v="232.85"/>
        <n v="160.19"/>
        <n v="-55.55"/>
        <n v="48.38"/>
        <n v="-136.23"/>
        <n v="-59.97"/>
        <n v="-146.19"/>
        <n v="-43.65"/>
        <n v="75.46"/>
        <n v="141.36"/>
        <n v="195.62"/>
        <n v="-113.03"/>
        <n v="-115.45"/>
        <n v="277.3"/>
        <n v="156.04"/>
        <n v="-30.93"/>
        <n v="-124.29"/>
        <n v="-156.96"/>
        <n v="-51.74"/>
        <n v="-174.0"/>
        <n v="14.72"/>
        <n v="147.68"/>
        <n v="-23.84"/>
        <n v="-3.35"/>
        <n v="-75.77"/>
        <n v="37.99"/>
        <n v="-165.58"/>
        <n v="-5.12"/>
        <n v="-22.51"/>
        <n v="133.19"/>
        <n v="-53.85"/>
        <n v="112.15"/>
        <n v="-6.53"/>
        <n v="-134.94"/>
        <n v="141.06"/>
        <n v="210.03"/>
        <n v="74.4"/>
        <n v="-58.97"/>
        <n v="241.71"/>
        <n v="140.36"/>
        <n v="-164.16"/>
        <n v="-65.94"/>
        <n v="251.85"/>
        <n v="-97.42"/>
        <n v="67.48"/>
        <n v="-24.1"/>
        <n v="-83.99"/>
        <n v="247.39"/>
        <n v="-177.44"/>
        <n v="211.9"/>
        <n v="241.18"/>
        <n v="-110.07"/>
        <n v="272.14"/>
        <n v="-29.54"/>
        <n v="26.71"/>
        <n v="-18.53"/>
        <n v="40.86"/>
        <n v="-27.6"/>
        <n v="-160.85"/>
        <n v="-52.24"/>
        <n v="-77.52"/>
        <n v="-26.48"/>
        <n v="31.81"/>
        <n v="-25.73"/>
        <n v="244.06"/>
        <n v="115.28"/>
        <n v="13.29"/>
        <n v="48.4"/>
        <n v="165.51"/>
        <n v="-118.24"/>
        <n v="172.85"/>
        <n v="168.09"/>
        <n v="207.22"/>
        <n v="60.11"/>
        <n v="8.57"/>
        <n v="-29.93"/>
        <n v="169.97"/>
        <n v="246.3"/>
        <n v="-156.3"/>
        <n v="-46.24"/>
        <n v="-198.98"/>
        <n v="186.54"/>
        <n v="-119.25"/>
        <n v="263.26"/>
        <n v="-23.12"/>
        <n v="-88.83"/>
        <n v="78.34"/>
        <n v="228.45"/>
        <n v="-45.34"/>
        <n v="-26.37"/>
        <n v="9.04"/>
        <n v="-171.86"/>
        <n v="-86.13"/>
        <n v="-13.54"/>
        <n v="-22.72"/>
        <n v="200.47"/>
        <n v="-131.06"/>
        <n v="-103.44"/>
        <n v="241.81"/>
        <n v="293.81"/>
        <n v="258.16"/>
        <n v="-17.16"/>
        <n v="136.56"/>
        <n v="-197.41"/>
        <n v="-88.12"/>
        <n v="-18.07"/>
        <n v="207.31"/>
        <n v="144.41"/>
        <n v="-129.93"/>
        <n v="272.41"/>
        <n v="167.98"/>
        <n v="41.14"/>
        <n v="-109.31"/>
        <n v="1.76"/>
        <n v="17.37"/>
        <n v="118.64"/>
        <n v="182.94"/>
        <n v="59.3"/>
        <n v="239.63"/>
        <n v="-61.17"/>
        <n v="138.43"/>
        <n v="64.73"/>
        <n v="275.32"/>
        <n v="252.47"/>
        <n v="52.14"/>
        <n v="-145.94"/>
        <n v="-104.3"/>
        <n v="9.97"/>
        <n v="83.16"/>
        <n v="-24.88"/>
        <n v="72.0"/>
        <n v="-99.57"/>
        <n v="205.98"/>
        <n v="-119.48"/>
        <n v="-138.18"/>
        <n v="-31.79"/>
        <n v="-81.86"/>
        <n v="269.51"/>
        <n v="278.55"/>
        <n v="80.86"/>
        <n v="68.72"/>
        <n v="-148.18"/>
        <n v="-137.35"/>
        <n v="92.12"/>
        <n v="-59.74"/>
        <n v="9.42"/>
        <n v="243.91"/>
        <n v="-38.92"/>
        <n v="256.99"/>
        <n v="56.61"/>
        <n v="64.21"/>
        <n v="-56.62"/>
        <n v="139.05"/>
        <n v="-141.57"/>
        <n v="280.47"/>
        <n v="69.83"/>
        <n v="-119.99"/>
        <n v="24.86"/>
        <n v="179.64"/>
        <n v="81.58"/>
        <n v="182.43"/>
        <n v="238.5"/>
        <n v="-37.04"/>
        <n v="-153.74"/>
        <n v="-45.01"/>
        <n v="5.59"/>
        <n v="225.44"/>
        <n v="183.25"/>
        <n v="-95.47"/>
        <n v="-107.14"/>
        <n v="290.61"/>
        <n v="-129.51"/>
        <n v="-7.32"/>
        <n v="252.11"/>
        <n v="-84.64"/>
        <n v="171.62"/>
        <n v="138.82"/>
        <n v="210.48"/>
        <n v="17.66"/>
        <n v="-106.69"/>
        <n v="31.1"/>
        <n v="280.32"/>
        <n v="-45.09"/>
        <n v="-47.28"/>
        <n v="248.82"/>
        <n v="201.78"/>
        <n v="-180.16"/>
        <n v="196.34"/>
        <n v="64.29"/>
        <n v="274.24"/>
        <n v="103.37"/>
        <n v="-52.52"/>
        <n v="42.16"/>
        <n v="164.8"/>
        <n v="162.13"/>
        <n v="-133.48"/>
        <n v="-145.82"/>
        <n v="-140.49"/>
        <n v="-116.97"/>
        <n v="-64.03"/>
        <n v="-189.76"/>
        <n v="279.21"/>
        <n v="284.05"/>
        <n v="60.3"/>
        <n v="-97.55"/>
        <n v="105.12"/>
        <n v="-116.49"/>
        <n v="151.65"/>
        <n v="102.01"/>
        <n v="-36.23"/>
        <n v="-189.89"/>
        <n v="-186.42"/>
        <n v="26.01"/>
        <n v="158.82"/>
        <n v="258.88"/>
        <n v="2.4"/>
        <n v="233.82"/>
        <n v="70.7"/>
        <n v="-57.99"/>
        <n v="212.62"/>
        <n v="-109.61"/>
        <n v="-127.23"/>
        <n v="169.19"/>
        <n v="290.7"/>
        <n v="252.83"/>
        <n v="182.97"/>
        <n v="281.58"/>
        <n v="219.64"/>
        <n v="177.07"/>
        <n v="-181.24"/>
        <n v="59.53"/>
        <n v="-98.92"/>
        <n v="1.03"/>
        <n v="-161.16"/>
        <n v="199.75"/>
        <n v="-34.9"/>
        <n v="46.85"/>
        <n v="98.36"/>
        <n v="-194.99"/>
        <n v="78.05"/>
        <n v="-65.46"/>
        <n v="31.01"/>
        <n v="4.79"/>
        <n v="-41.51"/>
        <n v="156.33"/>
        <n v="-3.54"/>
        <n v="288.53"/>
        <n v="-150.58"/>
        <n v="-2.9"/>
        <n v="167.16"/>
        <n v="205.22"/>
        <n v="-145.77"/>
        <n v="-195.52"/>
        <n v="-163.33"/>
        <n v="77.85"/>
        <n v="143.47"/>
        <n v="-90.99"/>
        <n v="-72.9"/>
        <n v="-26.0"/>
        <n v="-186.37"/>
        <n v="-155.27"/>
        <n v="231.51"/>
        <n v="62.41"/>
        <n v="-82.5"/>
        <n v="-152.52"/>
        <n v="5.83"/>
        <n v="-44.46"/>
        <n v="177.99"/>
        <n v="257.07"/>
        <n v="-161.59"/>
        <n v="-32.43"/>
        <n v="97.84"/>
        <n v="-144.77"/>
        <n v="160.71"/>
        <n v="3.58"/>
        <n v="83.83"/>
        <n v="-154.67"/>
        <n v="-65.11"/>
        <n v="-157.96"/>
        <n v="131.2"/>
        <n v="181.75"/>
        <n v="-121.26"/>
        <n v="177.26"/>
        <n v="-153.83"/>
        <n v="47.89"/>
        <n v="20.88"/>
        <n v="15.29"/>
        <n v="295.97"/>
        <n v="26.12"/>
        <n v="-72.53"/>
        <n v="167.36"/>
        <n v="-65.89"/>
        <n v="222.89"/>
        <n v="273.13"/>
        <n v="159.14"/>
        <n v="-112.33"/>
        <n v="-161.28"/>
        <n v="-159.11"/>
        <n v="-29.84"/>
        <n v="212.17"/>
        <n v="-178.28"/>
        <n v="-50.92"/>
        <n v="210.1"/>
        <n v="240.8"/>
        <n v="72.35"/>
        <n v="40.83"/>
        <n v="0.61"/>
        <n v="-187.52"/>
        <n v="119.92"/>
        <n v="-95.49"/>
        <n v="-190.71"/>
        <n v="126.84"/>
        <n v="-89.53"/>
        <n v="82.64"/>
        <n v="259.46"/>
        <n v="161.8"/>
        <n v="88.77"/>
        <n v="276.67"/>
        <n v="-147.36"/>
        <n v="32.44"/>
        <n v="133.58"/>
        <n v="255.88"/>
        <n v="-32.49"/>
        <n v="296.49"/>
        <n v="-88.54"/>
        <n v="-127.09"/>
        <n v="125.13"/>
        <n v="271.81"/>
        <n v="-144.59"/>
        <n v="-103.85"/>
        <n v="-104.58"/>
        <n v="-196.25"/>
        <n v="-4.3"/>
        <n v="-118.52"/>
        <n v="162.95"/>
        <n v="100.92"/>
        <n v="-70.69"/>
        <n v="-172.09"/>
        <n v="-12.41"/>
        <n v="86.2"/>
        <n v="-145.23"/>
        <n v="34.12"/>
        <n v="-157.34"/>
        <n v="248.93"/>
        <n v="-109.4"/>
        <n v="-108.0"/>
        <n v="25.77"/>
        <n v="69.95"/>
        <n v="43.4"/>
        <n v="251.57"/>
        <n v="-101.08"/>
        <n v="172.91"/>
        <n v="-40.17"/>
        <n v="191.02"/>
        <n v="240.93"/>
        <n v="-135.08"/>
        <n v="23.82"/>
        <n v="-135.13"/>
        <n v="141.04"/>
        <n v="-64.25"/>
        <n v="-118.78"/>
        <n v="-2.52"/>
        <n v="98.08"/>
        <n v="163.18"/>
        <n v="49.52"/>
        <n v="12.95"/>
        <n v="206.32"/>
        <n v="18.69"/>
        <n v="-158.56"/>
        <n v="-141.21"/>
        <n v="-53.75"/>
        <n v="-178.52"/>
        <n v="-57.89"/>
        <n v="85.52"/>
        <n v="106.94"/>
        <n v="-149.05"/>
        <n v="96.86"/>
        <n v="-99.05"/>
        <n v="47.98"/>
        <n v="-140.44"/>
        <n v="298.65"/>
        <n v="273.9"/>
        <n v="214.71"/>
        <n v="119.08"/>
        <n v="-161.63"/>
        <n v="-190.77"/>
        <n v="275.33"/>
        <n v="-74.01"/>
        <n v="-191.99"/>
        <n v="-154.93"/>
        <n v="-57.56"/>
        <n v="208.37"/>
        <n v="282.07"/>
        <n v="97.77"/>
        <n v="231.43"/>
        <n v="-152.82"/>
        <n v="206.53"/>
        <n v="-96.87"/>
        <n v="81.6"/>
        <n v="-112.7"/>
        <n v="263.19"/>
        <n v="223.48"/>
        <n v="128.16"/>
        <n v="156.77"/>
        <n v="161.94"/>
        <n v="29.68"/>
        <n v="21.27"/>
        <n v="40.41"/>
        <n v="17.97"/>
        <n v="-16.58"/>
        <n v="-192.97"/>
        <n v="-189.14"/>
        <n v="-166.03"/>
        <n v="47.4"/>
        <n v="270.07"/>
        <n v="277.52"/>
        <n v="-163.7"/>
        <n v="91.25"/>
        <n v="91.96"/>
        <n v="263.43"/>
        <n v="241.85"/>
        <n v="243.69"/>
        <n v="89.01"/>
        <n v="34.92"/>
        <n v="269.61"/>
        <n v="159.99"/>
        <n v="-155.2"/>
        <n v="25.35"/>
        <n v="-77.12"/>
        <n v="-142.95"/>
        <n v="222.0"/>
        <n v="29.62"/>
        <n v="125.38"/>
        <n v="-84.74"/>
        <n v="25.95"/>
        <n v="-46.03"/>
        <n v="-110.78"/>
        <n v="-61.9"/>
        <n v="158.13"/>
        <n v="157.04"/>
        <n v="121.84"/>
        <n v="159.08"/>
        <n v="97.03"/>
        <n v="223.16"/>
        <n v="-33.71"/>
        <n v="235.54"/>
        <n v="220.36"/>
        <n v="3.49"/>
        <n v="-108.82"/>
        <n v="271.28"/>
        <n v="271.04"/>
        <n v="259.06"/>
        <n v="-185.82"/>
        <n v="-45.41"/>
        <n v="57.94"/>
        <n v="44.03"/>
        <n v="-125.01"/>
        <n v="-70.23"/>
        <n v="229.93"/>
        <n v="194.57"/>
        <n v="211.02"/>
        <n v="110.49"/>
        <n v="285.86"/>
        <n v="129.36"/>
        <n v="43.1"/>
        <n v="219.94"/>
        <n v="-31.76"/>
        <n v="-58.79"/>
        <n v="193.89"/>
        <n v="-76.16"/>
        <n v="225.35"/>
        <n v="282.77"/>
        <n v="-123.23"/>
        <n v="-159.13"/>
        <n v="-165.12"/>
        <n v="93.47"/>
        <n v="-175.53"/>
        <n v="-133.15"/>
        <n v="116.93"/>
        <n v="104.15"/>
        <n v="227.81"/>
        <n v="-9.61"/>
        <n v="-34.88"/>
        <n v="277.93"/>
        <n v="202.82"/>
        <n v="-56.07"/>
        <n v="113.92"/>
        <n v="-159.77"/>
        <n v="293.34"/>
        <n v="-51.5"/>
        <n v="65.73"/>
        <n v="-152.77"/>
        <n v="290.67"/>
        <n v="78.81"/>
        <n v="-190.63"/>
        <n v="226.91"/>
        <n v="-152.27"/>
        <n v="173.16"/>
        <n v="104.85"/>
        <n v="-30.95"/>
        <n v="-1.75"/>
        <n v="79.66"/>
        <n v="39.06"/>
        <n v="287.21"/>
        <n v="142.42"/>
        <n v="-1.56"/>
        <n v="240.1"/>
        <n v="-172.62"/>
        <n v="-34.32"/>
        <n v="-178.65"/>
        <n v="-57.18"/>
        <n v="-3.38"/>
        <n v="138.07"/>
        <n v="201.13"/>
        <n v="-127.33"/>
        <n v="67.03"/>
        <n v="123.25"/>
        <n v="134.01"/>
        <n v="-68.24"/>
        <n v="268.46"/>
        <n v="196.36"/>
        <n v="17.35"/>
        <n v="-22.49"/>
        <n v="101.74"/>
        <n v="-112.05"/>
        <n v="85.88"/>
        <n v="126.52"/>
        <n v="-60.4"/>
        <n v="206.44"/>
        <n v="35.65"/>
        <n v="217.11"/>
        <n v="-189.83"/>
        <n v="-20.42"/>
        <n v="-63.06"/>
        <n v="-20.32"/>
        <n v="115.82"/>
        <n v="192.46"/>
        <n v="254.94"/>
        <n v="-182.23"/>
        <n v="68.74"/>
        <n v="94.81"/>
        <n v="-145.92"/>
        <n v="173.67"/>
        <n v="203.7"/>
        <n v="263.38"/>
        <n v="136.51"/>
        <n v="48.82"/>
        <n v="284.47"/>
        <n v="90.19"/>
        <n v="245.87"/>
        <n v="256.62"/>
        <n v="-127.34"/>
        <n v="25.07"/>
        <n v="101.18"/>
        <n v="288.8"/>
        <n v="266.36"/>
        <n v="281.48"/>
        <n v="-41.97"/>
        <n v="-197.89"/>
        <n v="20.72"/>
        <n v="-94.77"/>
        <n v="-179.76"/>
        <n v="-62.45"/>
        <n v="-124.72"/>
        <n v="-129.92"/>
        <n v="221.93"/>
        <n v="-188.07"/>
        <n v="85.79"/>
        <n v="-32.7"/>
        <n v="-54.06"/>
        <n v="252.84"/>
        <n v="-126.05"/>
        <n v="-77.55"/>
        <n v="-132.5"/>
        <n v="127.69"/>
        <n v="48.19"/>
        <n v="188.16"/>
        <n v="163.72"/>
        <n v="156.3"/>
        <n v="222.96"/>
        <n v="-141.6"/>
        <n v="-173.27"/>
        <n v="-142.63"/>
        <n v="79.35"/>
        <n v="-126.3"/>
        <n v="-180.65"/>
        <n v="78.0"/>
        <n v="153.25"/>
        <n v="166.61"/>
        <n v="125.64"/>
        <n v="139.93"/>
        <n v="93.88"/>
        <n v="223.58"/>
        <n v="299.58"/>
        <n v="-73.15"/>
        <n v="264.64"/>
        <n v="-113.72"/>
        <n v="69.99"/>
        <n v="208.62"/>
        <n v="7.78"/>
        <n v="-1.27"/>
        <n v="-185.1"/>
        <n v="-31.88"/>
        <n v="-108.08"/>
        <n v="54.88"/>
        <n v="160.4"/>
        <n v="249.74"/>
        <n v="250.77"/>
        <n v="170.9"/>
        <n v="184.31"/>
        <n v="-176.46"/>
        <n v="-169.36"/>
        <n v="99.17"/>
        <n v="160.04"/>
        <n v="264.8"/>
        <n v="42.72"/>
        <n v="77.7"/>
        <n v="170.02"/>
        <n v="-150.68"/>
        <n v="-108.03"/>
        <n v="278.76"/>
        <n v="297.0"/>
        <n v="-106.89"/>
        <n v="-23.8"/>
        <n v="-193.04"/>
        <n v="193.49"/>
        <n v="113.23"/>
        <n v="227.21"/>
        <n v="-73.71"/>
        <n v="-90.18"/>
        <n v="287.2"/>
        <n v="32.25"/>
        <n v="-165.39"/>
        <n v="-136.76"/>
        <n v="81.07"/>
        <n v="112.81"/>
        <n v="52.39"/>
        <n v="-24.53"/>
        <n v="-142.78"/>
        <n v="174.72"/>
        <n v="12.47"/>
        <n v="-92.5"/>
        <n v="-78.76"/>
        <n v="94.3"/>
        <n v="28.12"/>
        <n v="-99.23"/>
        <n v="1.32"/>
        <n v="153.89"/>
        <n v="264.84"/>
        <n v="287.44"/>
        <n v="204.41"/>
        <n v="-22.35"/>
        <n v="120.18"/>
        <n v="130.89"/>
        <n v="148.86"/>
        <n v="25.61"/>
        <n v="128.71"/>
        <n v="246.2"/>
        <n v="-57.12"/>
        <n v="192.67"/>
        <n v="-139.53"/>
        <n v="172.26"/>
        <n v="-18.43"/>
        <n v="-130.04"/>
        <n v="-175.09"/>
        <n v="146.83"/>
        <n v="-101.97"/>
        <n v="5.54"/>
        <n v="185.42"/>
        <n v="218.37"/>
        <n v="202.9"/>
        <n v="-135.84"/>
        <n v="289.99"/>
        <n v="86.86"/>
        <n v="201.68"/>
        <n v="281.71"/>
        <n v="265.76"/>
        <n v="-74.91"/>
        <n v="-34.47"/>
        <n v="-45.27"/>
        <n v="255.99"/>
        <n v="-193.37"/>
        <n v="44.74"/>
        <n v="-47.98"/>
        <n v="291.92"/>
        <n v="-93.27"/>
        <n v="-151.96"/>
        <n v="64.65"/>
        <n v="134.27"/>
        <n v="174.06"/>
        <n v="64.62"/>
        <n v="-158.09"/>
        <n v="147.86"/>
        <n v="228.92"/>
        <n v="33.96"/>
        <n v="244.19"/>
        <n v="155.73"/>
        <n v="-48.5"/>
        <n v="223.6"/>
        <n v="160.88"/>
        <n v="-175.6"/>
        <n v="92.18"/>
        <n v="-130.45"/>
        <n v="164.54"/>
        <n v="-146.89"/>
        <n v="61.06"/>
        <n v="55.23"/>
        <n v="-126.91"/>
        <n v="-198.8"/>
        <n v="153.26"/>
        <n v="-150.17"/>
        <n v="281.36"/>
        <n v="20.89"/>
        <n v="29.57"/>
        <n v="-55.56"/>
        <n v="262.69"/>
        <n v="93.54"/>
        <n v="60.68"/>
        <n v="-33.97"/>
        <n v="-120.5"/>
        <n v="208.28"/>
        <n v="7.33"/>
        <n v="-143.12"/>
        <n v="-156.4"/>
        <n v="22.66"/>
        <n v="-184.96"/>
        <n v="198.7"/>
        <n v="233.3"/>
        <n v="-45.84"/>
        <n v="-163.68"/>
        <n v="67.87"/>
        <n v="-31.84"/>
        <n v="248.79"/>
        <n v="218.4"/>
        <n v="-37.1"/>
        <n v="-163.89"/>
        <n v="-191.89"/>
        <n v="67.56"/>
        <n v="219.4"/>
        <n v="-27.29"/>
        <n v="-184.65"/>
        <n v="195.61"/>
        <n v="258.08"/>
        <n v="-51.44"/>
        <n v="49.24"/>
        <n v="180.69"/>
        <n v="299.46"/>
        <n v="-167.29"/>
        <n v="-146.32"/>
        <n v="-22.97"/>
        <n v="-22.64"/>
        <n v="-81.53"/>
        <n v="240.07"/>
        <n v="184.55"/>
        <n v="-152.39"/>
        <n v="201.62"/>
        <n v="138.03"/>
        <n v="-136.52"/>
        <n v="181.45"/>
        <n v="39.27"/>
        <n v="173.33"/>
        <n v="33.06"/>
        <n v="259.01"/>
        <n v="37.45"/>
        <n v="86.82"/>
        <n v="-165.83"/>
        <n v="-74.27"/>
        <n v="98.64"/>
        <n v="18.33"/>
        <n v="219.58"/>
        <n v="-154.65"/>
        <n v="222.74"/>
        <n v="-20.92"/>
        <n v="8.15"/>
        <n v="17.84"/>
        <n v="66.67"/>
        <n v="-1.77"/>
        <n v="212.79"/>
        <n v="287.03"/>
        <n v="-99.75"/>
        <n v="5.17"/>
        <n v="-139.02"/>
        <n v="-54.58"/>
        <n v="-85.02"/>
        <n v="-6.74"/>
        <n v="-182.91"/>
        <n v="-80.62"/>
        <n v="237.56"/>
        <n v="20.47"/>
        <n v="180.46"/>
        <n v="-4.0"/>
        <n v="73.51"/>
        <n v="-61.76"/>
        <n v="-44.76"/>
        <n v="62.88"/>
        <n v="183.37"/>
        <n v="138.79"/>
        <n v="294.13"/>
        <n v="92.94"/>
        <n v="-34.51"/>
        <n v="213.58"/>
        <n v="-40.73"/>
        <n v="-10.51"/>
        <n v="-162.3"/>
        <n v="-42.64"/>
        <n v="-142.08"/>
        <n v="-169.93"/>
        <n v="-103.26"/>
        <n v="18.95"/>
        <n v="189.39"/>
        <n v="-47.72"/>
        <n v="-9.39"/>
        <n v="217.54"/>
        <n v="210.25"/>
        <n v="152.95"/>
        <n v="132.07"/>
        <n v="-110.27"/>
        <n v="-149.38"/>
        <n v="112.65"/>
        <n v="-121.9"/>
        <n v="-113.32"/>
        <n v="76.05"/>
        <n v="266.68"/>
        <n v="168.73"/>
        <n v="36.85"/>
        <n v="6.59"/>
        <n v="233.55"/>
        <n v="-76.32"/>
        <n v="-63.35"/>
        <n v="147.51"/>
        <n v="-118.31"/>
        <n v="-133.46"/>
        <n v="23.88"/>
        <n v="-151.99"/>
        <n v="94.4"/>
        <n v="186.71"/>
        <n v="-50.97"/>
        <n v="-160.53"/>
        <n v="199.29"/>
        <n v="-67.54"/>
        <n v="-195.76"/>
        <n v="179.42"/>
        <n v="-93.21"/>
        <n v="-93.18"/>
        <n v="-114.61"/>
        <n v="141.19"/>
        <n v="52.77"/>
        <n v="286.66"/>
        <n v="-147.94"/>
        <n v="56.53"/>
        <n v="-195.55"/>
        <n v="-127.39"/>
        <n v="77.77"/>
        <n v="-154.82"/>
        <n v="-107.83"/>
        <n v="108.64"/>
        <n v="-142.57"/>
        <n v="157.44"/>
        <n v="-100.74"/>
        <n v="9.1"/>
        <n v="-62.92"/>
        <n v="223.33"/>
        <n v="112.78"/>
        <n v="262.61"/>
        <n v="-181.41"/>
        <n v="69.82"/>
        <n v="242.37"/>
        <n v="36.62"/>
        <n v="-177.62"/>
        <n v="-94.81"/>
        <n v="-15.01"/>
        <n v="9.92"/>
        <n v="19.31"/>
        <n v="10.97"/>
        <n v="23.7"/>
        <n v="194.99"/>
        <n v="237.1"/>
        <n v="-65.76"/>
        <n v="13.85"/>
        <n v="-152.97"/>
        <n v="287.36"/>
        <n v="-134.99"/>
        <n v="-94.89"/>
        <n v="-55.18"/>
        <n v="-15.34"/>
        <n v="-24.32"/>
        <n v="174.14"/>
        <n v="63.25"/>
        <n v="283.19"/>
        <n v="-16.05"/>
        <n v="-93.59"/>
        <n v="263.65"/>
        <n v="254.84"/>
        <n v="217.6"/>
        <n v="136.44"/>
        <n v="-1.59"/>
        <n v="118.79"/>
        <n v="-101.27"/>
        <n v="261.12"/>
        <n v="-198.76"/>
        <n v="43.93"/>
        <n v="38.8"/>
        <n v="103.12"/>
        <n v="-21.65"/>
        <n v="277.4"/>
        <n v="-39.13"/>
        <n v="-112.66"/>
        <n v="-82.97"/>
        <n v="-172.8"/>
        <n v="229.78"/>
        <n v="-16.61"/>
        <n v="176.62"/>
        <n v="9.49"/>
        <n v="229.16"/>
        <n v="-28.2"/>
        <n v="296.21"/>
        <n v="-156.56"/>
        <n v="174.49"/>
        <n v="-179.05"/>
        <n v="55.0"/>
        <n v="85.62"/>
        <n v="166.37"/>
        <n v="-164.78"/>
        <n v="277.59"/>
        <n v="-105.97"/>
        <n v="-27.04"/>
        <n v="248.08"/>
        <n v="-58.2"/>
        <n v="263.2"/>
        <n v="94.16"/>
        <n v="125.28"/>
        <n v="45.01"/>
        <n v="-46.83"/>
        <n v="-16.2"/>
        <n v="104.36"/>
        <n v="-95.94"/>
        <n v="-147.12"/>
        <n v="114.12"/>
        <n v="-104.41"/>
        <n v="-50.52"/>
        <n v="-135.73"/>
        <n v="-85.78"/>
        <n v="132.22"/>
        <n v="-11.85"/>
        <n v="145.01"/>
        <n v="54.15"/>
        <n v="236.63"/>
        <n v="18.09"/>
        <n v="60.39"/>
        <n v="-57.94"/>
        <n v="143.66"/>
        <n v="-137.63"/>
        <n v="198.1"/>
        <n v="39.55"/>
        <n v="25.17"/>
        <n v="-98.47"/>
        <n v="87.36"/>
        <n v="42.12"/>
        <n v="-51.22"/>
        <n v="99.08"/>
        <n v="-132.63"/>
        <n v="55.68"/>
        <n v="-186.92"/>
        <n v="99.95"/>
        <n v="237.61"/>
        <n v="234.15"/>
        <n v="262.63"/>
        <n v="287.87"/>
        <n v="23.62"/>
        <n v="-152.81"/>
        <n v="191.96"/>
        <n v="-123.68"/>
        <n v="-147.03"/>
        <n v="-115.24"/>
        <n v="41.37"/>
        <n v="30.35"/>
        <n v="-184.43"/>
        <n v="-48.84"/>
        <n v="157.91"/>
        <n v="212.28"/>
        <n v="280.97"/>
        <n v="258.38"/>
        <n v="269.79"/>
        <n v="148.6"/>
        <n v="48.06"/>
        <n v="-53.15"/>
        <n v="-58.71"/>
        <n v="20.03"/>
        <n v="260.72"/>
        <n v="147.41"/>
        <n v="-63.99"/>
        <n v="191.97"/>
        <n v="-148.46"/>
        <n v="213.81"/>
        <n v="251.76"/>
        <n v="21.89"/>
        <n v="59.08"/>
        <n v="-56.98"/>
        <n v="158.49"/>
        <n v="108.93"/>
        <n v="-183.48"/>
        <n v="129.21"/>
        <n v="-164.14"/>
        <n v="-49.94"/>
        <n v="188.43"/>
        <n v="61.29"/>
        <n v="206.08"/>
        <n v="-137.82"/>
        <n v="-7.5"/>
        <n v="-181.42"/>
        <n v="-130.46"/>
        <n v="173.75"/>
        <n v="1.67"/>
        <n v="74.39"/>
        <n v="126.91"/>
        <n v="-164.87"/>
        <n v="-2.43"/>
        <n v="155.99"/>
        <n v="-144.91"/>
        <n v="225.07"/>
        <n v="119.56"/>
        <n v="73.26"/>
        <n v="9.47"/>
        <n v="-128.07"/>
        <n v="-110.2"/>
        <n v="290.5"/>
        <n v="-126.6"/>
        <n v="57.35"/>
        <n v="232.76"/>
        <n v="-6.07"/>
        <n v="151.96"/>
        <n v="-134.49"/>
        <n v="37.38"/>
        <n v="-14.29"/>
        <n v="96.22"/>
        <n v="103.66"/>
        <n v="-40.1"/>
        <n v="-187.31"/>
        <n v="-158.8"/>
        <n v="122.32"/>
        <n v="22.94"/>
        <n v="243.54"/>
        <n v="2.71"/>
        <n v="182.81"/>
        <n v="-11.84"/>
        <n v="10.01"/>
        <n v="-4.85"/>
        <n v="-43.45"/>
        <n v="199.77"/>
        <n v="287.88"/>
        <n v="253.81"/>
        <n v="45.58"/>
        <n v="36.84"/>
        <n v="-16.0"/>
        <n v="-32.48"/>
        <n v="-157.8"/>
        <n v="49.19"/>
        <n v="-172.04"/>
        <n v="-119.11"/>
        <n v="-178.12"/>
        <n v="224.6"/>
        <n v="34.46"/>
        <n v="-105.85"/>
        <n v="12.07"/>
        <n v="246.62"/>
        <n v="-133.36"/>
        <n v="-74.2"/>
        <n v="-16.36"/>
        <n v="-177.6"/>
        <n v="-29.14"/>
        <n v="119.55"/>
        <n v="284.35"/>
        <n v="252.56"/>
        <n v="82.31"/>
        <n v="-101.85"/>
        <n v="147.39"/>
        <n v="181.06"/>
        <n v="-143.89"/>
        <n v="29.61"/>
        <n v="-162.58"/>
        <n v="210.2"/>
        <n v="-90.49"/>
        <n v="78.41"/>
        <n v="113.64"/>
        <n v="-71.49"/>
        <n v="85.99"/>
        <n v="-0.13"/>
        <n v="52.24"/>
        <n v="-193.31"/>
        <n v="99.76"/>
        <n v="112.56"/>
        <n v="-127.29"/>
        <n v="-110.14"/>
        <n v="169.22"/>
        <n v="102.18"/>
        <n v="-21.44"/>
        <n v="51.86"/>
        <n v="107.49"/>
        <n v="273.63"/>
        <n v="213.95"/>
        <n v="-60.63"/>
        <n v="243.49"/>
        <n v="243.72"/>
        <n v="177.32"/>
        <n v="-122.05"/>
        <n v="-77.24"/>
        <n v="136.39"/>
        <n v="130.93"/>
        <n v="292.07"/>
        <n v="51.51"/>
        <n v="40.47"/>
        <n v="86.96"/>
        <n v="-62.72"/>
        <n v="54.7"/>
        <n v="187.19"/>
        <n v="-123.12"/>
        <n v="-71.5"/>
        <n v="-136.55"/>
        <n v="-74.81"/>
        <n v="-187.51"/>
        <n v="94.57"/>
        <n v="127.71"/>
        <n v="31.02"/>
        <n v="169.15"/>
        <n v="-101.34"/>
        <n v="-161.64"/>
        <n v="137.82"/>
        <n v="239.45"/>
        <n v="22.61"/>
        <n v="-127.66"/>
        <n v="-142.41"/>
        <n v="-98.24"/>
        <n v="278.16"/>
        <n v="202.27"/>
        <n v="-124.06"/>
        <n v="229.81"/>
        <n v="136.13"/>
        <n v="95.06"/>
        <n v="96.12"/>
        <n v="72.95"/>
        <n v="158.96"/>
        <n v="119.0"/>
        <n v="59.59"/>
        <n v="296.81"/>
        <n v="184.72"/>
        <n v="-166.97"/>
        <n v="140.59"/>
        <n v="103.46"/>
        <n v="62.52"/>
        <n v="-6.32"/>
        <n v="-179.6"/>
        <n v="-49.96"/>
        <n v="117.18"/>
        <n v="-175.74"/>
        <n v="263.87"/>
        <n v="61.98"/>
        <n v="-68.78"/>
        <n v="109.7"/>
        <n v="-36.21"/>
        <n v="-112.28"/>
        <n v="-81.64"/>
        <n v="-103.18"/>
        <n v="-107.97"/>
        <n v="-170.49"/>
        <n v="-195.32"/>
        <n v="-189.54"/>
        <n v="-180.68"/>
        <n v="-94.83"/>
        <n v="-70.42"/>
        <n v="186.3"/>
        <n v="28.01"/>
        <n v="106.53"/>
        <n v="-62.84"/>
        <n v="18.26"/>
        <n v="280.23"/>
        <n v="35.79"/>
        <n v="-196.04"/>
        <n v="-124.87"/>
        <n v="257.84"/>
        <n v="87.52"/>
        <n v="-148.07"/>
        <n v="56.44"/>
        <n v="162.69"/>
        <n v="180.91"/>
        <n v="166.41"/>
        <n v="14.65"/>
        <n v="-179.67"/>
        <n v="-185.76"/>
        <n v="-58.54"/>
        <n v="-63.91"/>
        <n v="42.75"/>
        <n v="-52.96"/>
        <n v="-118.13"/>
        <n v="169.46"/>
        <n v="-8.03"/>
        <n v="201.29"/>
        <n v="252.42"/>
        <n v="-111.14"/>
        <n v="102.04"/>
        <n v="292.62"/>
        <n v="256.31"/>
        <n v="75.29"/>
        <n v="284.64"/>
        <n v="61.78"/>
        <n v="-148.56"/>
        <n v="203.47"/>
        <n v="27.34"/>
        <n v="-125.86"/>
        <n v="-24.89"/>
        <n v="-186.77"/>
        <n v="19.74"/>
        <n v="-64.42"/>
        <n v="66.4"/>
        <n v="-113.87"/>
        <n v="-31.4"/>
        <n v="-108.8"/>
        <n v="109.23"/>
        <n v="237.07"/>
        <n v="255.09"/>
        <n v="242.16"/>
        <n v="-64.45"/>
        <n v="105.14"/>
        <n v="10.46"/>
        <n v="-191.41"/>
        <n v="-80.25"/>
        <n v="212.61"/>
        <n v="202.06"/>
        <n v="-177.81"/>
        <n v="108.71"/>
        <n v="125.05"/>
        <n v="119.2"/>
        <n v="-54.61"/>
        <n v="-125.6"/>
        <n v="-114.35"/>
        <n v="-126.56"/>
        <n v="-197.59"/>
        <n v="244.66"/>
        <n v="198.03"/>
        <n v="196.16"/>
        <n v="163.12"/>
        <n v="256.7"/>
        <n v="285.72"/>
        <n v="3.8"/>
        <n v="33.8"/>
        <n v="-156.15"/>
        <n v="229.17"/>
        <n v="36.06"/>
        <n v="-177.84"/>
        <n v="111.99"/>
        <n v="-145.57"/>
        <n v="202.1"/>
        <n v="-63.86"/>
        <n v="152.81"/>
        <n v="-31.55"/>
        <n v="275.16"/>
        <n v="291.32"/>
        <n v="92.9"/>
        <n v="32.43"/>
        <n v="104.87"/>
        <n v="223.45"/>
        <n v="-159.76"/>
        <n v="-170.31"/>
        <n v="134.45"/>
        <n v="85.82"/>
        <n v="-176.54"/>
        <n v="-1.99"/>
        <n v="114.82"/>
        <n v="81.22"/>
        <n v="36.95"/>
        <n v="78.94"/>
        <n v="-15.52"/>
        <n v="192.42"/>
        <n v="129.04"/>
        <n v="292.34"/>
        <n v="-32.18"/>
        <n v="82.42"/>
        <n v="85.26"/>
        <n v="294.57"/>
        <n v="4.81"/>
        <n v="133.51"/>
        <n v="22.48"/>
        <n v="277.07"/>
        <n v="296.63"/>
        <n v="272.32"/>
        <n v="110.55"/>
        <n v="-14.56"/>
        <n v="103.64"/>
        <n v="-149.04"/>
        <n v="268.2"/>
        <n v="115.01"/>
        <n v="15.34"/>
        <n v="-95.76"/>
        <n v="101.42"/>
        <n v="290.82"/>
        <n v="154.33"/>
        <n v="11.09"/>
        <n v="213.41"/>
        <n v="-95.87"/>
        <n v="291.47"/>
        <n v="82.48"/>
        <n v="118.13"/>
        <n v="-97.5"/>
        <n v="-96.89"/>
        <n v="140.5"/>
        <n v="169.38"/>
        <n v="171.02"/>
        <n v="56.47"/>
        <n v="268.79"/>
        <n v="274.73"/>
        <n v="-67.65"/>
        <n v="190.83"/>
        <n v="50.26"/>
        <n v="291.9"/>
        <n v="143.78"/>
        <n v="90.92"/>
        <n v="-178.29"/>
        <n v="-138.89"/>
        <n v="-133.01"/>
        <n v="-125.7"/>
        <n v="185.82"/>
        <n v="89.34"/>
        <n v="250.61"/>
        <n v="4.39"/>
        <n v="129.68"/>
        <n v="191.88"/>
        <n v="160.86"/>
        <n v="179.93"/>
        <n v="-112.89"/>
        <n v="-144.0"/>
        <n v="-38.94"/>
        <n v="-130.09"/>
        <n v="-193.17"/>
        <n v="17.92"/>
        <n v="78.52"/>
        <n v="155.07"/>
        <n v="-180.61"/>
        <n v="75.7"/>
        <n v="-4.93"/>
        <n v="296.14"/>
        <n v="146.48"/>
        <n v="283.91"/>
        <n v="44.96"/>
        <n v="61.89"/>
        <n v="181.64"/>
        <n v="231.16"/>
        <n v="-185.59"/>
        <n v="132.7"/>
        <n v="49.7"/>
        <n v="-60.35"/>
        <n v="229.54"/>
        <n v="289.22"/>
        <n v="-172.02"/>
        <n v="84.46"/>
        <n v="169.81"/>
        <n v="284.74"/>
        <n v="122.43"/>
        <n v="71.99"/>
        <n v="-149.58"/>
        <n v="-66.06"/>
        <n v="143.19"/>
        <n v="239.13"/>
        <n v="203.11"/>
        <n v="-165.46"/>
        <n v="-21.31"/>
        <n v="-83.97"/>
        <n v="273.83"/>
        <n v="185.21"/>
        <n v="141.98"/>
        <n v="-28.34"/>
        <n v="2.03"/>
        <n v="-114.28"/>
        <n v="-144.8"/>
        <n v="-32.91"/>
        <n v="297.89"/>
        <n v="116.86"/>
        <n v="236.54"/>
        <n v="-13.07"/>
        <n v="131.07"/>
        <n v="281.34"/>
        <n v="261.68"/>
        <n v="-78.27"/>
        <n v="40.49"/>
        <n v="-24.06"/>
        <n v="12.05"/>
        <n v="34.54"/>
        <n v="-82.4"/>
        <n v="-39.45"/>
        <n v="196.78"/>
        <n v="-132.46"/>
        <n v="-86.52"/>
        <n v="257.16"/>
        <n v="228.29"/>
        <n v="260.92"/>
        <n v="288.21"/>
        <n v="74.87"/>
        <n v="166.57"/>
        <n v="165.47"/>
        <n v="109.96"/>
        <n v="93.57"/>
        <n v="105.27"/>
        <n v="143.54"/>
        <n v="249.59"/>
        <n v="87.95"/>
        <n v="225.61"/>
        <n v="278.56"/>
        <n v="40.0"/>
        <n v="152.71"/>
        <n v="-15.38"/>
        <n v="-100.54"/>
        <n v="-103.36"/>
        <n v="116.76"/>
        <n v="138.27"/>
        <n v="-3.33"/>
        <n v="297.76"/>
        <n v="125.86"/>
        <n v="42.78"/>
        <n v="211.98"/>
        <n v="-83.69"/>
        <n v="-37.2"/>
        <n v="-118.51"/>
        <n v="-134.12"/>
        <n v="-147.13"/>
        <n v="112.45"/>
        <n v="224.06"/>
        <n v="221.15"/>
        <n v="21.69"/>
        <n v="179.99"/>
        <n v="-97.08"/>
        <n v="244.54"/>
        <n v="14.34"/>
        <n v="250.53"/>
        <n v="249.82"/>
        <n v="-93.22"/>
        <n v="-36.44"/>
        <n v="-67.34"/>
        <n v="97.14"/>
        <n v="286.93"/>
        <n v="-124.63"/>
        <n v="230.93"/>
        <n v="77.27"/>
        <n v="-6.51"/>
        <n v="161.56"/>
        <n v="70.44"/>
        <n v="-23.76"/>
        <n v="-115.03"/>
        <n v="170.14"/>
        <n v="108.29"/>
        <n v="217.52"/>
        <n v="25.85"/>
        <n v="-191.85"/>
        <n v="-175.65"/>
        <n v="227.11"/>
        <n v="-0.41"/>
        <n v="37.9"/>
        <n v="-2.11"/>
        <n v="190.82"/>
        <n v="132.33"/>
        <n v="238.99"/>
        <n v="-149.16"/>
        <n v="204.77"/>
        <n v="18.32"/>
        <n v="167.17"/>
        <n v="-53.19"/>
        <n v="-75.15"/>
        <n v="71.92"/>
        <n v="132.27"/>
        <n v="-171.84"/>
        <n v="232.41"/>
        <n v="205.39"/>
        <n v="135.11"/>
        <n v="-67.2"/>
        <n v="-37.08"/>
        <n v="-54.98"/>
        <n v="-5.21"/>
        <n v="169.51"/>
        <n v="28.26"/>
        <n v="-14.32"/>
        <n v="-139.9"/>
        <n v="-161.08"/>
        <n v="-150.25"/>
        <n v="188.8"/>
        <n v="177.1"/>
        <n v="-145.47"/>
        <n v="154.41"/>
        <n v="4.28"/>
        <n v="131.16"/>
        <n v="258.4"/>
        <n v="253.49"/>
        <n v="119.42"/>
        <n v="136.85"/>
        <n v="172.39"/>
        <n v="-43.49"/>
        <n v="101.52"/>
        <n v="-88.77"/>
        <n v="247.66"/>
        <n v="187.64"/>
        <n v="72.02"/>
        <n v="180.64"/>
        <n v="88.74"/>
        <n v="267.64"/>
        <n v="173.1"/>
        <n v="262.85"/>
        <n v="171.6"/>
        <n v="-8.55"/>
        <n v="115.5"/>
        <n v="258.98"/>
        <n v="232.08"/>
        <n v="115.48"/>
        <n v="224.49"/>
        <n v="-5.63"/>
        <n v="264.15"/>
        <n v="18.4"/>
        <n v="-86.57"/>
        <n v="33.12"/>
        <n v="178.24"/>
        <n v="-143.88"/>
        <n v="54.52"/>
        <n v="261.24"/>
        <n v="119.57"/>
        <n v="56.68"/>
        <n v="229.04"/>
        <n v="193.75"/>
        <n v="-92.11"/>
        <n v="298.58"/>
        <n v="66.51"/>
        <n v="124.44"/>
        <n v="206.65"/>
        <n v="-189.62"/>
        <n v="24.88"/>
        <n v="106.07"/>
        <n v="198.8"/>
        <n v="-98.4"/>
        <n v="-127.97"/>
        <n v="184.5"/>
        <n v="72.2"/>
        <n v="-61.71"/>
        <n v="-57.54"/>
        <n v="170.39"/>
        <n v="216.05"/>
        <n v="37.71"/>
        <n v="123.55"/>
        <n v="226.03"/>
        <n v="77.57"/>
        <n v="188.45"/>
        <n v="40.19"/>
        <n v="284.28"/>
        <n v="198.31"/>
        <n v="42.43"/>
        <n v="-178.23"/>
        <n v="108.8"/>
        <n v="72.92"/>
        <n v="172.92"/>
        <n v="249.16"/>
        <n v="204.16"/>
        <n v="49.45"/>
        <n v="294.4"/>
        <n v="-99.29"/>
        <n v="-169.22"/>
        <n v="276.23"/>
        <n v="252.82"/>
        <n v="-28.45"/>
        <n v="-134.05"/>
        <n v="125.2"/>
        <n v="129.83"/>
        <n v="252.35"/>
        <n v="67.96"/>
        <n v="-109.64"/>
        <n v="126.14"/>
        <n v="-7.22"/>
        <n v="146.15"/>
        <n v="233.9"/>
        <n v="293.16"/>
        <n v="-140.11"/>
        <n v="-79.73"/>
        <n v="191.25"/>
        <n v="-138.63"/>
        <n v="-124.61"/>
        <n v="260.33"/>
        <n v="-123.73"/>
        <n v="207.84"/>
        <n v="-105.35"/>
        <n v="168.32"/>
        <n v="213.84"/>
        <n v="165.18"/>
        <n v="11.44"/>
        <n v="-104.14"/>
        <n v="186.77"/>
        <n v="23.0"/>
        <n v="170.48"/>
        <n v="19.88"/>
        <n v="44.4"/>
        <n v="273.28"/>
        <n v="204.39"/>
        <n v="1.44"/>
        <n v="76.5"/>
        <n v="-11.52"/>
        <n v="-134.62"/>
        <n v="22.11"/>
        <n v="-12.22"/>
        <n v="-156.87"/>
        <n v="-158.92"/>
        <n v="-114.45"/>
        <n v="44.23"/>
        <n v="175.4"/>
        <n v="189.16"/>
        <n v="39.94"/>
        <n v="-134.67"/>
        <n v="42.24"/>
        <n v="-171.87"/>
        <n v="25.42"/>
        <n v="-198.43"/>
        <n v="-66.92"/>
        <n v="20.58"/>
        <n v="-177.57"/>
        <n v="226.51"/>
        <n v="-13.25"/>
        <n v="79.3"/>
        <n v="-17.55"/>
        <n v="166.75"/>
        <n v="68.93"/>
        <n v="0.73"/>
        <n v="2.75"/>
        <n v="-77.72"/>
        <n v="-93.68"/>
        <n v="121.52"/>
        <n v="186.83"/>
        <n v="-85.01"/>
        <n v="-137.17"/>
        <n v="126.72"/>
        <n v="0.22"/>
        <n v="-197.86"/>
        <n v="-147.59"/>
        <n v="-34.81"/>
        <n v="161.13"/>
        <n v="-33.18"/>
        <n v="-101.6"/>
        <n v="72.82"/>
        <n v="100.65"/>
        <n v="6.01"/>
        <n v="-17.3"/>
        <n v="-191.09"/>
        <n v="81.13"/>
        <n v="-37.53"/>
        <n v="-196.26"/>
        <n v="-70.9"/>
        <n v="152.54"/>
        <n v="-58.32"/>
        <n v="269.97"/>
        <n v="228.69"/>
        <n v="280.09"/>
        <n v="215.23"/>
        <n v="127.74"/>
        <n v="22.41"/>
        <n v="-181.43"/>
        <n v="-100.77"/>
        <n v="206.8"/>
        <n v="-48.61"/>
        <n v="222.73"/>
        <n v="286.57"/>
        <n v="53.65"/>
        <n v="-51.37"/>
        <n v="3.44"/>
        <n v="253.97"/>
        <n v="284.91"/>
        <n v="-132.51"/>
        <n v="68.84"/>
        <n v="-73.2"/>
        <n v="225.37"/>
        <n v="-87.22"/>
        <n v="164.13"/>
        <n v="231.61"/>
        <n v="132.15"/>
        <n v="9.33"/>
        <n v="8.65"/>
        <n v="256.15"/>
        <n v="-113.26"/>
        <n v="-177.64"/>
        <n v="170.08"/>
        <n v="151.78"/>
        <n v="273.15"/>
        <n v="-126.54"/>
        <n v="-99.0"/>
        <n v="187.9"/>
        <n v="208.49"/>
        <n v="34.22"/>
        <n v="-6.22"/>
        <n v="91.85"/>
        <n v="-78.36"/>
        <n v="-105.36"/>
        <n v="-35.48"/>
        <n v="-58.5"/>
        <n v="-72.82"/>
        <n v="-125.37"/>
        <n v="100.18"/>
        <n v="-12.55"/>
        <n v="168.04"/>
        <n v="27.55"/>
        <n v="298.53"/>
        <n v="70.11"/>
        <n v="298.67"/>
        <n v="-80.47"/>
        <n v="166.73"/>
        <n v="39.0"/>
        <n v="-180.22"/>
        <n v="195.37"/>
        <n v="262.94"/>
        <n v="45.29"/>
        <n v="6.96"/>
        <n v="-129.27"/>
        <n v="-42.98"/>
        <n v="271.38"/>
        <n v="-116.28"/>
        <n v="163.39"/>
        <n v="-129.9"/>
        <n v="154.29"/>
        <n v="-50.5"/>
        <n v="-83.73"/>
        <n v="159.46"/>
        <n v="127.56"/>
        <n v="-133.5"/>
        <n v="-189.01"/>
        <n v="-113.66"/>
        <n v="238.92"/>
        <n v="57.27"/>
        <n v="-193.14"/>
        <n v="-102.65"/>
        <n v="-37.76"/>
        <n v="-70.89"/>
        <n v="293.09"/>
        <n v="-66.64"/>
        <n v="-90.19"/>
        <n v="-90.46"/>
        <n v="173.85"/>
        <n v="84.45"/>
        <n v="285.78"/>
        <n v="199.56"/>
        <n v="201.09"/>
        <n v="180.05"/>
        <n v="72.3"/>
        <n v="142.51"/>
        <n v="-30.09"/>
        <n v="166.91"/>
        <n v="-147.31"/>
        <n v="-19.67"/>
        <n v="-109.77"/>
        <n v="51.25"/>
        <n v="-136.13"/>
        <n v="-115.65"/>
        <n v="-15.56"/>
        <n v="-140.52"/>
        <n v="20.55"/>
        <n v="5.96"/>
        <n v="-42.59"/>
        <n v="109.3"/>
        <n v="-42.61"/>
        <n v="-91.63"/>
        <n v="168.69"/>
        <n v="-50.91"/>
        <n v="151.25"/>
        <n v="-48.85"/>
        <n v="130.12"/>
        <n v="-106.8"/>
        <n v="87.09"/>
        <n v="125.77"/>
        <n v="133.98"/>
        <n v="246.18"/>
        <n v="95.73"/>
        <n v="53.9"/>
        <n v="88.35"/>
        <n v="11.35"/>
        <n v="-112.85"/>
        <n v="83.77"/>
        <n v="-191.04"/>
        <n v="257.5"/>
        <n v="-65.71"/>
        <n v="115.42"/>
        <n v="202.3"/>
        <n v="-144.27"/>
        <n v="113.25"/>
        <n v="150.23"/>
        <n v="206.06"/>
        <n v="299.39"/>
        <n v="75.01"/>
        <n v="158.94"/>
        <n v="224.35"/>
        <n v="232.06"/>
        <n v="182.83"/>
        <n v="-165.68"/>
        <n v="-62.5"/>
        <n v="178.72"/>
        <n v="63.28"/>
        <n v="130.86"/>
        <n v="39.88"/>
        <n v="-16.92"/>
        <n v="167.31"/>
        <n v="-12.1"/>
        <n v="68.41"/>
        <n v="227.22"/>
        <n v="55.51"/>
        <n v="17.76"/>
        <n v="-13.34"/>
        <n v="196.57"/>
        <n v="-32.85"/>
        <n v="99.49"/>
        <n v="-197.17"/>
        <n v="254.61"/>
        <n v="7.65"/>
        <n v="-84.2"/>
        <n v="122.11"/>
        <n v="260.44"/>
        <n v="-166.74"/>
        <n v="190.66"/>
        <n v="-166.08"/>
        <n v="-75.86"/>
        <n v="-145.6"/>
        <n v="-167.8"/>
        <n v="274.32"/>
        <n v="-156.17"/>
        <n v="168.13"/>
        <n v="252.85"/>
        <n v="95.36"/>
        <n v="43.92"/>
        <n v="267.42"/>
        <n v="264.31"/>
        <n v="39.85"/>
        <n v="211.6"/>
        <n v="-93.32"/>
        <n v="277.75"/>
        <n v="230.76"/>
        <n v="88.21"/>
        <n v="-105.42"/>
        <n v="86.39"/>
        <n v="-192.17"/>
        <n v="66.75"/>
        <n v="194.32"/>
        <n v="-30.47"/>
        <n v="-71.91"/>
        <n v="-131.54"/>
        <n v="275.11"/>
        <n v="-118.38"/>
        <n v="123.22"/>
        <n v="286.13"/>
        <n v="47.42"/>
        <n v="23.44"/>
        <n v="273.88"/>
        <n v="-117.03"/>
        <n v="60.4"/>
        <n v="-185.74"/>
        <n v="-98.43"/>
        <n v="50.74"/>
        <n v="-187.88"/>
        <n v="187.34"/>
        <n v="-129.99"/>
        <n v="299.25"/>
        <n v="-39.27"/>
        <n v="57.36"/>
        <n v="-21.98"/>
        <n v="134.76"/>
        <n v="14.09"/>
        <n v="-92.42"/>
        <n v="22.09"/>
        <n v="155.8"/>
        <n v="-135.38"/>
        <n v="36.71"/>
        <n v="228.34"/>
        <n v="-140.79"/>
        <n v="101.46"/>
        <n v="-189.17"/>
        <n v="-131.66"/>
        <n v="94.82"/>
        <n v="-12.88"/>
        <n v="-28.52"/>
        <n v="144.18"/>
        <n v="-104.4"/>
        <n v="-66.34"/>
        <n v="-176.24"/>
        <n v="-164.91"/>
        <n v="35.16"/>
        <n v="246.73"/>
        <n v="133.28"/>
        <n v="-14.0"/>
        <n v="54.0"/>
        <n v="131.11"/>
        <n v="196.13"/>
        <n v="201.57"/>
        <n v="142.55"/>
        <n v="148.68"/>
        <n v="-195.78"/>
        <n v="69.96"/>
        <n v="56.86"/>
        <n v="-144.73"/>
        <n v="147.24"/>
        <n v="-140.38"/>
        <n v="220.54"/>
        <n v="187.29"/>
        <n v="151.03"/>
        <n v="-39.98"/>
        <n v="8.54"/>
        <n v="284.16"/>
        <n v="104.7"/>
        <n v="276.7"/>
        <n v="-173.78"/>
        <n v="-182.08"/>
        <n v="-163.18"/>
        <n v="-163.26"/>
        <n v="142.03"/>
        <n v="-80.49"/>
        <n v="-10.85"/>
        <n v="-110.95"/>
        <n v="200.35"/>
        <n v="192.91"/>
        <n v="97.24"/>
        <n v="245.69"/>
        <n v="182.88"/>
        <n v="234.43"/>
        <n v="160.33"/>
        <n v="237.62"/>
        <n v="30.72"/>
        <n v="-78.42"/>
        <n v="28.24"/>
        <n v="293.77"/>
        <n v="-70.41"/>
        <n v="252.58"/>
        <n v="176.75"/>
        <n v="-50.8"/>
        <n v="-60.91"/>
        <n v="104.18"/>
        <n v="296.55"/>
        <n v="176.83"/>
        <n v="-73.74"/>
        <n v="-165.56"/>
        <n v="182.22"/>
        <n v="233.65"/>
        <n v="4.95"/>
        <n v="-48.72"/>
        <n v="-24.16"/>
        <n v="59.76"/>
        <n v="-95.3"/>
        <n v="125.69"/>
        <n v="218.63"/>
        <n v="-64.55"/>
        <n v="206.83"/>
        <n v="81.47"/>
        <n v="281.19"/>
        <n v="132.4"/>
        <n v="-18.32"/>
        <n v="107.73"/>
        <n v="-100.31"/>
        <n v="56.97"/>
        <n v="159.47"/>
        <n v="203.41"/>
        <n v="168.02"/>
        <n v="-50.56"/>
        <n v="254.02"/>
        <n v="129.13"/>
        <n v="194.5"/>
        <n v="-10.54"/>
        <n v="-151.91"/>
        <n v="72.9"/>
        <n v="-12.52"/>
        <n v="-61.1"/>
        <n v="-139.6"/>
        <n v="-184.77"/>
        <n v="29.24"/>
        <n v="-166.25"/>
        <n v="-89.36"/>
        <n v="34.26"/>
        <n v="95.44"/>
        <n v="-17.39"/>
        <n v="-113.07"/>
        <n v="-42.5"/>
        <n v="-22.1"/>
        <n v="-31.18"/>
        <n v="75.34"/>
        <n v="-171.95"/>
        <n v="292.57"/>
        <n v="-188.76"/>
        <n v="-23.13"/>
        <n v="224.32"/>
        <n v="293.04"/>
        <n v="-171.47"/>
        <n v="253.13"/>
        <n v="-62.67"/>
        <n v="-156.7"/>
        <n v="211.46"/>
        <n v="-60.8"/>
        <n v="36.58"/>
        <n v="-152.99"/>
        <n v="185.77"/>
        <n v="51.52"/>
        <n v="-0.52"/>
        <n v="226.89"/>
        <n v="48.05"/>
        <n v="205.0"/>
        <n v="-105.15"/>
        <n v="-146.48"/>
        <n v="294.1"/>
        <n v="-37.29"/>
        <n v="-101.68"/>
        <n v="273.62"/>
        <n v="86.74"/>
        <n v="184.9"/>
        <n v="-60.7"/>
        <n v="152.08"/>
        <n v="107.06"/>
        <n v="239.38"/>
        <n v="-37.77"/>
        <n v="128.89"/>
        <n v="-59.29"/>
        <n v="-21.29"/>
        <n v="-74.95"/>
        <n v="67.3"/>
        <n v="-94.76"/>
        <n v="211.38"/>
        <n v="-169.31"/>
        <n v="173.77"/>
        <n v="45.87"/>
        <n v="-89.97"/>
        <n v="-6.56"/>
        <n v="252.98"/>
        <n v="-151.34"/>
        <n v="209.0"/>
        <n v="170.42"/>
        <n v="-65.68"/>
        <n v="42.1"/>
        <n v="259.15"/>
        <n v="32.84"/>
        <n v="-171.13"/>
        <n v="65.0"/>
        <n v="-45.06"/>
        <n v="-149.21"/>
        <n v="-185.93"/>
        <n v="-113.85"/>
        <n v="-17.46"/>
        <n v="-64.54"/>
        <n v="285.23"/>
        <n v="62.16"/>
        <n v="98.87"/>
        <n v="-188.08"/>
        <n v="231.49"/>
        <n v="284.39"/>
        <n v="-93.85"/>
        <n v="-27.35"/>
        <n v="-198.21"/>
        <n v="-78.91"/>
        <n v="-145.25"/>
        <n v="164.17"/>
        <n v="47.77"/>
        <n v="145.34"/>
        <n v="-158.87"/>
        <n v="37.88"/>
        <n v="274.53"/>
        <n v="-120.63"/>
        <n v="72.87"/>
        <n v="53.66"/>
        <n v="175.07"/>
        <n v="289.26"/>
        <n v="113.81"/>
        <n v="-0.42"/>
        <n v="126.86"/>
        <n v="-30.27"/>
        <n v="-152.44"/>
        <n v="-60.24"/>
        <n v="187.67"/>
        <n v="128.23"/>
        <n v="219.12"/>
        <n v="-75.78"/>
        <n v="-89.74"/>
        <n v="129.25"/>
        <n v="117.06"/>
        <n v="-66.18"/>
        <n v="54.1"/>
        <n v="248.39"/>
        <n v="-68.28"/>
        <n v="293.48"/>
        <n v="-122.76"/>
        <n v="57.0"/>
        <n v="227.04"/>
        <n v="260.51"/>
        <n v="-13.73"/>
        <n v="241.42"/>
        <n v="148.16"/>
        <n v="-191.81"/>
        <n v="208.55"/>
        <n v="245.77"/>
        <n v="130.22"/>
        <n v="22.23"/>
        <n v="252.24"/>
        <n v="47.26"/>
        <n v="-137.21"/>
        <n v="155.36"/>
        <n v="195.1"/>
        <n v="160.32"/>
        <n v="184.24"/>
        <n v="107.07"/>
        <n v="-120.64"/>
        <n v="-152.32"/>
        <n v="159.35"/>
        <n v="-172.13"/>
        <n v="-146.05"/>
        <n v="-172.78"/>
        <n v="-68.0"/>
        <n v="233.77"/>
        <n v="263.5"/>
        <n v="-137.89"/>
        <n v="-81.99"/>
        <n v="166.76"/>
        <n v="67.5"/>
        <n v="20.42"/>
        <n v="-95.01"/>
        <n v="53.26"/>
        <n v="-5.45"/>
        <n v="-30.23"/>
        <n v="-172.31"/>
        <n v="68.16"/>
        <n v="10.11"/>
        <n v="-88.99"/>
        <n v="291.38"/>
        <n v="178.18"/>
        <n v="92.37"/>
        <n v="35.97"/>
        <n v="-92.63"/>
        <n v="-133.97"/>
        <n v="30.42"/>
        <n v="-90.97"/>
        <n v="297.07"/>
        <n v="-71.62"/>
        <n v="269.62"/>
        <n v="-191.5"/>
        <n v="-2.96"/>
        <n v="194.88"/>
        <n v="-164.17"/>
        <n v="-11.76"/>
        <n v="-67.16"/>
        <n v="-57.55"/>
        <n v="-30.52"/>
        <n v="-13.81"/>
        <n v="-45.29"/>
        <n v="191.78"/>
        <n v="247.0"/>
        <n v="-184.3"/>
        <n v="-116.73"/>
        <n v="83.38"/>
        <n v="216.24"/>
        <n v="126.22"/>
        <n v="105.86"/>
        <n v="94.08"/>
        <n v="148.03"/>
        <n v="71.05"/>
        <n v="242.38"/>
        <n v="81.52"/>
        <n v="113.17"/>
        <n v="-157.35"/>
        <n v="85.09"/>
        <n v="291.09"/>
        <n v="73.39"/>
        <n v="138.0"/>
        <n v="24.93"/>
        <n v="163.19"/>
        <n v="8.22"/>
        <n v="248.69"/>
        <n v="165.82"/>
        <n v="28.96"/>
        <n v="91.3"/>
        <n v="207.57"/>
        <n v="55.62"/>
        <n v="135.38"/>
        <n v="188.12"/>
        <n v="206.22"/>
        <n v="250.87"/>
        <n v="-1.73"/>
        <n v="-79.65"/>
        <n v="-77.2"/>
        <n v="191.42"/>
        <n v="192.78"/>
        <n v="-157.65"/>
        <n v="58.64"/>
        <n v="138.71"/>
        <n v="-63.25"/>
        <n v="192.04"/>
        <n v="270.44"/>
        <n v="-1.13"/>
        <n v="-39.41"/>
        <n v="152.82"/>
        <n v="255.23"/>
        <n v="-70.03"/>
        <n v="282.03"/>
        <n v="235.59"/>
        <n v="-52.97"/>
        <n v="-49.97"/>
        <n v="-150.79"/>
        <n v="23.43"/>
        <n v="-108.44"/>
        <n v="196.92"/>
        <n v="295.85"/>
        <n v="41.47"/>
        <n v="228.77"/>
        <n v="146.44"/>
        <n v="265.7"/>
        <n v="295.74"/>
        <n v="-140.25"/>
        <n v="276.48"/>
        <n v="279.28"/>
        <n v="-194.98"/>
        <n v="-160.83"/>
        <n v="76.29"/>
        <n v="12.67"/>
        <n v="-122.12"/>
        <n v="259.73"/>
        <n v="242.03"/>
        <n v="-160.38"/>
        <n v="-186.97"/>
        <n v="-75.9"/>
        <n v="156.86"/>
        <n v="-79.17"/>
        <n v="223.11"/>
        <n v="-87.41"/>
        <n v="24.57"/>
        <n v="199.32"/>
        <n v="185.47"/>
        <n v="270.96"/>
        <n v="290.03"/>
        <n v="-148.0"/>
        <n v="-30.87"/>
        <n v="171.86"/>
        <n v="26.27"/>
        <n v="281.25"/>
        <n v="120.29"/>
        <n v="158.09"/>
        <n v="-65.74"/>
        <n v="-188.43"/>
        <n v="-93.65"/>
        <n v="-198.36"/>
        <n v="-17.29"/>
        <n v="288.34"/>
        <n v="61.66"/>
        <n v="62.07"/>
        <n v="254.99"/>
        <n v="-160.69"/>
        <n v="-101.66"/>
        <n v="270.47"/>
        <n v="-152.03"/>
        <n v="183.17"/>
        <n v="16.9"/>
        <n v="-159.83"/>
        <n v="-36.1"/>
        <n v="272.51"/>
        <n v="175.66"/>
        <n v="191.37"/>
        <n v="-153.64"/>
        <n v="80.04"/>
        <n v="160.01"/>
        <n v="-138.56"/>
        <n v="-191.37"/>
        <n v="33.73"/>
        <n v="-9.79"/>
        <n v="47.58"/>
        <n v="-178.15"/>
        <n v="192.84"/>
        <n v="-181.12"/>
        <n v="-199.11"/>
        <n v="202.95"/>
        <n v="130.06"/>
        <n v="-101.61"/>
        <n v="-120.98"/>
        <n v="-64.21"/>
        <n v="120.61"/>
        <n v="-111.25"/>
        <n v="6.9"/>
        <n v="-62.99"/>
        <n v="-78.05"/>
        <n v="194.95"/>
        <n v="195.94"/>
        <n v="-116.91"/>
        <n v="97.55"/>
        <n v="78.1"/>
        <n v="-83.79"/>
        <n v="39.65"/>
        <n v="-169.33"/>
        <n v="-196.63"/>
        <n v="-76.5"/>
        <n v="36.7"/>
        <n v="-161.19"/>
        <n v="93.68"/>
        <n v="-124.8"/>
        <n v="144.19"/>
        <n v="35.05"/>
        <n v="282.02"/>
        <n v="286.12"/>
        <n v="-125.8"/>
        <n v="196.46"/>
        <n v="177.47"/>
        <n v="58.34"/>
        <n v="247.91"/>
        <n v="-52.86"/>
        <n v="214.72"/>
        <n v="-64.0"/>
        <n v="171.47"/>
        <n v="-20.59"/>
        <n v="40.34"/>
        <n v="124.12"/>
        <n v="280.12"/>
        <n v="-145.36"/>
        <n v="106.83"/>
        <n v="4.48"/>
        <n v="102.58"/>
        <n v="34.06"/>
        <n v="-127.5"/>
        <n v="-139.43"/>
        <n v="58.78"/>
        <n v="177.02"/>
        <n v="-188.58"/>
        <n v="98.89"/>
        <n v="-177.09"/>
        <n v="-24.7"/>
        <n v="257.85"/>
        <n v="-43.4"/>
        <n v="-10.19"/>
        <n v="62.0"/>
        <n v="-109.8"/>
        <n v="155.23"/>
        <n v="39.09"/>
        <n v="-159.88"/>
        <n v="-44.2"/>
        <n v="126.51"/>
        <n v="43.67"/>
        <n v="-85.0"/>
        <n v="170.85"/>
        <n v="113.47"/>
        <n v="133.05"/>
        <n v="101.61"/>
        <n v="-114.16"/>
        <n v="-174.96"/>
        <n v="259.26"/>
        <n v="80.57"/>
        <n v="-84.42"/>
        <n v="-152.63"/>
        <n v="158.15"/>
        <n v="17.5"/>
        <n v="-11.22"/>
        <n v="153.81"/>
        <n v="-129.08"/>
        <n v="209.34"/>
        <n v="191.13"/>
        <n v="-74.92"/>
        <n v="125.6"/>
        <n v="139.89"/>
        <n v="186.0"/>
        <n v="-138.25"/>
        <n v="110.19"/>
        <n v="10.89"/>
        <n v="215.17"/>
        <n v="-104.94"/>
        <n v="-111.43"/>
        <n v="53.76"/>
        <n v="111.22"/>
        <n v="124.75"/>
        <n v="-76.71"/>
        <n v="46.0"/>
        <n v="73.65"/>
        <n v="179.0"/>
        <n v="-37.42"/>
        <n v="-48.04"/>
        <n v="269.77"/>
        <n v="86.7"/>
        <n v="77.83"/>
        <n v="71.01"/>
        <n v="177.01"/>
        <n v="-13.03"/>
        <n v="-43.11"/>
        <n v="-174.28"/>
        <n v="138.21"/>
        <n v="-57.57"/>
        <n v="18.63"/>
        <n v="-146.53"/>
        <n v="156.9"/>
        <n v="203.09"/>
        <n v="86.21"/>
        <n v="-114.18"/>
        <n v="-158.42"/>
        <n v="278.64"/>
        <n v="9.36"/>
        <n v="0.98"/>
        <n v="141.78"/>
        <n v="123.81"/>
        <n v="-44.4"/>
        <n v="39.82"/>
        <n v="287.82"/>
        <n v="187.79"/>
        <n v="237.94"/>
        <n v="-100.98"/>
        <n v="-155.28"/>
        <n v="-134.13"/>
        <n v="27.31"/>
        <n v="136.7"/>
        <n v="100.85"/>
        <n v="-47.38"/>
        <n v="-29.92"/>
        <n v="-124.33"/>
        <n v="-75.91"/>
        <n v="242.97"/>
        <n v="260.67"/>
        <n v="29.73"/>
        <n v="276.33"/>
        <n v="-70.05"/>
        <n v="189.11"/>
        <n v="156.61"/>
        <n v="-83.65"/>
        <n v="18.27"/>
        <n v="-27.8"/>
        <n v="19.65"/>
        <n v="80.47"/>
        <n v="-170.94"/>
        <n v="-124.17"/>
        <n v="104.9"/>
        <n v="35.51"/>
        <n v="-56.68"/>
        <n v="-87.55"/>
        <n v="-148.25"/>
        <n v="-60.3"/>
        <n v="15.49"/>
        <n v="93.19"/>
        <n v="140.42"/>
        <n v="-104.63"/>
        <n v="286.81"/>
        <n v="-180.56"/>
        <n v="238.06"/>
        <n v="75.94"/>
        <n v="203.68"/>
        <n v="39.59"/>
        <n v="-163.62"/>
        <n v="274.12"/>
        <n v="-132.23"/>
        <n v="233.31"/>
        <n v="158.48"/>
        <n v="28.02"/>
        <n v="94.34"/>
        <n v="-151.41"/>
        <n v="-151.76"/>
        <n v="147.06"/>
        <n v="-161.22"/>
        <n v="-82.09"/>
        <n v="64.52"/>
        <n v="93.59"/>
        <n v="123.91"/>
        <n v="137.41"/>
        <n v="100.35"/>
        <n v="65.45"/>
        <n v="104.76"/>
        <n v="131.48"/>
        <n v="79.34"/>
        <n v="23.96"/>
        <n v="245.54"/>
        <n v="-113.52"/>
        <n v="228.7"/>
        <n v="274.49"/>
        <n v="-189.08"/>
        <n v="-60.18"/>
        <n v="206.03"/>
        <n v="129.34"/>
        <n v="-116.88"/>
        <n v="-144.47"/>
        <n v="-65.67"/>
        <n v="-137.27"/>
        <n v="48.16"/>
        <n v="53.8"/>
        <n v="149.54"/>
        <n v="-134.8"/>
        <n v="286.77"/>
        <n v="292.63"/>
        <n v="-15.69"/>
        <n v="-195.28"/>
        <n v="-58.03"/>
        <n v="2.83"/>
        <n v="-137.53"/>
        <n v="-104.25"/>
        <n v="249.89"/>
        <n v="-165.67"/>
        <n v="5.14"/>
        <n v="89.04"/>
        <n v="32.34"/>
        <n v="-180.46"/>
        <n v="269.87"/>
        <n v="125.23"/>
        <n v="290.45"/>
        <n v="11.51"/>
        <n v="236.73"/>
        <n v="157.38"/>
        <n v="-95.25"/>
        <n v="128.01"/>
        <n v="-100.59"/>
        <n v="79.05"/>
        <n v="18.2"/>
        <n v="203.03"/>
        <n v="123.68"/>
        <n v="-59.82"/>
        <n v="-69.75"/>
        <n v="-128.9"/>
        <n v="-22.04"/>
        <n v="-50.28"/>
        <n v="268.51"/>
        <n v="190.5"/>
        <n v="-129.31"/>
        <n v="-137.05"/>
        <n v="-91.39"/>
        <n v="173.0"/>
        <n v="-174.51"/>
        <n v="80.35"/>
        <n v="52.47"/>
        <n v="3.02"/>
        <n v="-1.39"/>
        <n v="173.49"/>
        <n v="-61.73"/>
        <n v="-72.99"/>
        <n v="268.17"/>
        <n v="207.81"/>
        <n v="133.84"/>
        <n v="-151.03"/>
        <n v="-186.17"/>
        <n v="-138.08"/>
        <n v="-188.63"/>
        <n v="256.59"/>
        <n v="191.87"/>
        <n v="181.38"/>
        <n v="102.83"/>
        <n v="178.2"/>
        <n v="-14.4"/>
        <n v="-26.82"/>
        <n v="30.73"/>
        <n v="114.08"/>
        <n v="-113.2"/>
        <n v="-169.69"/>
        <n v="35.72"/>
        <n v="39.6"/>
        <n v="85.96"/>
        <n v="-115.54"/>
        <n v="83.61"/>
        <n v="156.58"/>
        <n v="63.87"/>
        <n v="-194.15"/>
        <n v="174.6"/>
        <n v="-7.89"/>
        <n v="212.92"/>
        <n v="32.98"/>
        <n v="-36.93"/>
        <n v="248.92"/>
        <n v="-39.61"/>
        <n v="-194.74"/>
        <n v="148.12"/>
        <n v="-60.42"/>
        <n v="6.89"/>
        <n v="7.66"/>
        <n v="52.0"/>
        <n v="216.35"/>
        <n v="-11.62"/>
        <n v="-169.9"/>
        <n v="-49.82"/>
        <n v="-154.25"/>
        <n v="293.84"/>
        <n v="-85.56"/>
        <n v="-149.66"/>
        <n v="292.69"/>
        <n v="270.48"/>
        <n v="141.47"/>
        <n v="-173.86"/>
        <n v="-67.58"/>
        <n v="-42.76"/>
        <n v="-170.11"/>
        <n v="-125.82"/>
        <n v="-102.25"/>
        <n v="158.19"/>
        <n v="173.38"/>
        <n v="-109.9"/>
        <n v="96.54"/>
        <n v="226.12"/>
        <n v="293.64"/>
        <n v="153.4"/>
        <n v="-153.99"/>
        <n v="-183.07"/>
        <n v="60.19"/>
        <n v="-16.29"/>
        <n v="109.04"/>
        <n v="-103.31"/>
        <n v="-175.72"/>
        <n v="-123.58"/>
        <n v="-60.45"/>
        <n v="218.98"/>
        <n v="103.11"/>
        <n v="182.4"/>
        <n v="165.5"/>
        <n v="64.91"/>
        <n v="-160.28"/>
        <n v="37.89"/>
        <n v="142.25"/>
        <n v="-50.01"/>
        <n v="73.32"/>
        <n v="-79.34"/>
        <n v="169.35"/>
        <n v="76.31"/>
        <n v="106.2"/>
        <n v="212.72"/>
        <n v="-59.2"/>
        <n v="-187.2"/>
        <n v="262.99"/>
        <n v="292.01"/>
        <n v="113.62"/>
        <n v="163.93"/>
        <n v="16.36"/>
        <n v="98.18"/>
        <n v="57.49"/>
        <n v="15.28"/>
        <n v="-55.12"/>
        <n v="-129.22"/>
        <n v="40.06"/>
        <n v="129.73"/>
        <n v="48.04"/>
        <n v="110.11"/>
        <n v="-102.31"/>
        <n v="-46.23"/>
        <n v="-132.91"/>
        <n v="-55.97"/>
        <n v="-67.66"/>
        <n v="-126.21"/>
        <n v="-51.26"/>
        <n v="83.68"/>
        <n v="-42.32"/>
        <n v="-176.82"/>
        <n v="144.37"/>
        <n v="26.63"/>
        <n v="118.97"/>
        <n v="239.33"/>
        <n v="296.67"/>
        <n v="-41.82"/>
        <n v="148.89"/>
        <n v="-192.77"/>
        <n v="-10.65"/>
        <n v="78.59"/>
        <n v="-71.4"/>
        <n v="-125.03"/>
        <n v="-186.28"/>
        <n v="-160.75"/>
        <n v="0.11"/>
        <n v="-27.12"/>
        <n v="173.25"/>
        <n v="-52.13"/>
        <n v="-102.64"/>
        <n v="106.92"/>
        <n v="225.55"/>
        <n v="193.29"/>
        <n v="214.19"/>
        <n v="-188.59"/>
        <n v="135.54"/>
        <n v="-94.02"/>
        <n v="59.67"/>
        <n v="-19.37"/>
        <n v="285.93"/>
        <n v="-106.55"/>
        <n v="-75.7"/>
        <n v="119.98"/>
        <n v="-19.9"/>
        <n v="-138.58"/>
        <n v="-107.99"/>
        <n v="-123.42"/>
        <n v="294.11"/>
        <n v="234.02"/>
        <n v="9.74"/>
        <n v="-97.12"/>
        <n v="-120.95"/>
        <n v="-116.93"/>
        <n v="-49.74"/>
        <n v="-77.53"/>
        <n v="284.21"/>
        <n v="-57.75"/>
        <n v="-172.3"/>
        <n v="213.09"/>
        <n v="128.63"/>
        <n v="-91.84"/>
        <n v="239.57"/>
        <n v="-105.07"/>
        <n v="189.36"/>
        <n v="243.38"/>
        <n v="197.34"/>
        <n v="294.63"/>
        <n v="32.36"/>
        <n v="-90.01"/>
        <n v="254.79"/>
        <n v="43.34"/>
        <n v="235.24"/>
        <n v="137.86"/>
        <n v="90.53"/>
        <n v="-110.76"/>
        <n v="241.89"/>
        <n v="240.28"/>
        <n v="52.04"/>
        <n v="-64.28"/>
        <n v="203.88"/>
        <n v="178.53"/>
        <n v="-70.82"/>
        <n v="112.26"/>
        <n v="-141.15"/>
        <n v="-121.07"/>
        <n v="-80.33"/>
        <n v="37.8"/>
        <n v="161.52"/>
        <n v="186.73"/>
        <n v="-85.83"/>
        <n v="46.73"/>
        <n v="127.27"/>
        <n v="76.64"/>
        <n v="-72.59"/>
        <n v="-74.76"/>
        <n v="267.59"/>
        <n v="168.12"/>
        <n v="31.67"/>
        <n v="-2.49"/>
        <n v="-196.1"/>
        <n v="110.29"/>
        <n v="19.69"/>
        <n v="-88.68"/>
        <n v="172.72"/>
        <n v="52.13"/>
        <n v="-66.24"/>
        <n v="-21.43"/>
        <n v="-141.03"/>
        <n v="-90.57"/>
        <n v="184.0"/>
        <n v="291.02"/>
        <n v="271.74"/>
        <n v="234.97"/>
        <n v="56.02"/>
        <n v="-165.86"/>
        <n v="295.92"/>
        <n v="-176.79"/>
        <n v="188.86"/>
        <n v="187.98"/>
        <n v="296.41"/>
        <n v="12.4"/>
        <n v="232.82"/>
        <n v="270.08"/>
        <n v="-144.92"/>
        <n v="-150.06"/>
        <n v="-192.59"/>
        <n v="18.41"/>
        <n v="110.87"/>
        <n v="57.02"/>
        <n v="79.67"/>
        <n v="145.24"/>
        <n v="-170.1"/>
        <n v="-76.44"/>
        <n v="125.92"/>
        <n v="-22.54"/>
        <n v="-196.52"/>
        <n v="-7.23"/>
        <n v="183.2"/>
        <n v="222.43"/>
        <n v="297.81"/>
        <n v="132.34"/>
        <n v="126.11"/>
        <n v="85.21"/>
        <n v="-30.1"/>
        <n v="-28.81"/>
        <n v="249.52"/>
        <n v="222.62"/>
        <n v="-0.36"/>
        <n v="233.38"/>
        <n v="245.76"/>
        <n v="210.05"/>
        <n v="225.39"/>
        <n v="275.1"/>
        <n v="106.79"/>
        <n v="144.58"/>
        <n v="181.96"/>
        <n v="50.02"/>
        <n v="-124.05"/>
        <n v="122.94"/>
        <n v="189.66"/>
        <n v="212.15"/>
        <n v="-135.76"/>
        <n v="257.08"/>
        <n v="243.52"/>
        <n v="173.68"/>
        <n v="73.66"/>
        <n v="79.48"/>
        <n v="128.18"/>
        <n v="255.71"/>
        <n v="-108.19"/>
        <n v="149.33"/>
        <n v="-66.15"/>
        <n v="144.98"/>
        <n v="280.72"/>
        <n v="270.32"/>
        <n v="23.4"/>
        <n v="117.71"/>
        <n v="77.48"/>
        <n v="7.05"/>
        <n v="-178.83"/>
        <n v="-26.55"/>
        <n v="-16.35"/>
        <n v="135.64"/>
        <n v="41.84"/>
        <n v="-6.44"/>
        <n v="83.67"/>
        <n v="200.41"/>
        <n v="-95.72"/>
        <n v="-181.61"/>
        <n v="151.06"/>
        <n v="-174.32"/>
        <n v="-162.63"/>
        <n v="237.79"/>
        <n v="237.96"/>
        <n v="12.85"/>
        <n v="267.14"/>
        <n v="124.29"/>
        <n v="64.61"/>
        <n v="-145.84"/>
        <n v="-180.66"/>
        <n v="-146.37"/>
        <n v="-13.98"/>
        <n v="293.85"/>
        <n v="27.61"/>
        <n v="3.76"/>
        <n v="226.31"/>
        <n v="180.1"/>
        <n v="53.24"/>
        <n v="15.25"/>
        <n v="-139.13"/>
        <n v="-21.87"/>
        <n v="-157.87"/>
        <n v="8.61"/>
        <n v="-153.52"/>
        <n v="-92.34"/>
        <n v="248.61"/>
        <n v="141.15"/>
        <n v="-170.87"/>
        <n v="47.59"/>
        <n v="197.18"/>
        <n v="-182.24"/>
        <n v="-36.96"/>
        <n v="234.03"/>
        <n v="42.4"/>
        <n v="-162.5"/>
        <n v="-46.89"/>
        <n v="-2.64"/>
        <n v="-40.15"/>
        <n v="155.63"/>
        <n v="102.57"/>
        <n v="147.5"/>
        <n v="-108.97"/>
        <n v="179.79"/>
        <n v="-174.05"/>
        <n v="178.96"/>
        <n v="-117.8"/>
        <n v="291.29"/>
        <n v="-27.69"/>
        <n v="171.48"/>
        <n v="242.49"/>
        <n v="26.42"/>
        <n v="252.2"/>
        <n v="234.95"/>
        <n v="39.98"/>
        <n v="299.16"/>
        <n v="-191.83"/>
        <n v="-83.45"/>
        <n v="25.9"/>
        <n v="-66.66"/>
        <n v="18.67"/>
        <n v="-73.11"/>
        <n v="-46.78"/>
        <n v="-52.95"/>
        <n v="-42.49"/>
        <n v="-113.9"/>
        <n v="75.06"/>
        <n v="-46.49"/>
        <n v="47.73"/>
        <n v="-86.7"/>
        <n v="-199.07"/>
        <n v="2.5"/>
        <n v="264.16"/>
        <n v="160.35"/>
        <n v="128.51"/>
        <n v="168.93"/>
        <n v="-87.46"/>
        <n v="159.69"/>
        <n v="-127.89"/>
        <n v="71.61"/>
        <n v="-171.35"/>
        <n v="-150.59"/>
        <n v="265.25"/>
        <n v="4.93"/>
        <n v="-7.92"/>
        <n v="-51.75"/>
        <n v="49.67"/>
        <n v="-55.19"/>
        <n v="49.16"/>
        <n v="194.41"/>
        <n v="-1.83"/>
        <n v="-129.7"/>
        <n v="114.79"/>
        <n v="154.05"/>
        <n v="36.5"/>
        <n v="-140.43"/>
        <n v="-166.63"/>
        <n v="284.52"/>
        <n v="20.91"/>
        <n v="-25.34"/>
        <n v="172.64"/>
        <n v="69.93"/>
        <n v="265.36"/>
        <n v="47.47"/>
        <n v="-105.82"/>
        <n v="-70.09"/>
        <n v="73.0"/>
        <n v="7.39"/>
        <n v="213.74"/>
        <n v="289.7"/>
        <n v="-55.85"/>
        <n v="5.0"/>
        <n v="-28.37"/>
        <n v="191.17"/>
        <n v="-105.27"/>
        <n v="14.19"/>
        <n v="-117.69"/>
        <n v="-186.43"/>
        <n v="34.73"/>
        <n v="-141.3"/>
        <n v="-26.78"/>
        <n v="268.31"/>
        <n v="299.4"/>
        <n v="38.2"/>
        <n v="92.38"/>
        <n v="-97.9"/>
        <n v="106.64"/>
        <n v="-39.49"/>
        <n v="72.66"/>
        <n v="-155.56"/>
        <n v="270.58"/>
        <n v="289.45"/>
        <n v="-71.11"/>
        <n v="114.19"/>
        <n v="229.49"/>
        <n v="-93.33"/>
        <n v="225.08"/>
        <n v="-174.78"/>
        <n v="294.38"/>
        <n v="58.7"/>
        <n v="105.2"/>
        <n v="-17.75"/>
        <n v="197.6"/>
        <n v="139.92"/>
        <n v="110.75"/>
        <n v="-175.8"/>
        <n v="55.45"/>
        <n v="250.07"/>
        <n v="-144.79"/>
        <n v="-43.35"/>
        <n v="175.52"/>
        <n v="147.53"/>
        <n v="3.64"/>
        <n v="107.42"/>
        <n v="237.38"/>
        <n v="299.32"/>
        <n v="-64.6"/>
        <n v="133.1"/>
        <n v="127.99"/>
        <n v="125.66"/>
        <n v="251.42"/>
        <n v="231.78"/>
        <n v="249.51"/>
        <n v="-92.93"/>
        <n v="165.95"/>
        <n v="-163.53"/>
        <n v="269.66"/>
        <n v="214.33"/>
        <n v="-141.54"/>
        <n v="-115.36"/>
        <n v="60.36"/>
        <n v="-150.74"/>
        <n v="-129.12"/>
        <n v="294.02"/>
        <n v="217.05"/>
        <n v="210.74"/>
        <n v="54.55"/>
        <n v="-125.11"/>
        <n v="290.33"/>
        <n v="164.38"/>
        <n v="-82.86"/>
        <n v="58.71"/>
        <n v="188.36"/>
        <n v="-15.58"/>
        <n v="-128.55"/>
        <n v="21.3"/>
        <n v="231.83"/>
        <n v="-98.89"/>
        <n v="-40.29"/>
        <n v="-88.22"/>
        <n v="-21.76"/>
        <n v="-27.62"/>
        <n v="-121.45"/>
        <n v="15.69"/>
        <n v="-29.74"/>
        <n v="172.63"/>
        <n v="42.01"/>
        <n v="284.82"/>
        <n v="127.77"/>
        <n v="110.63"/>
        <n v="-113.29"/>
        <n v="-165.32"/>
        <n v="2.59"/>
        <n v="-134.5"/>
        <n v="-44.5"/>
        <n v="138.62"/>
        <n v="132.26"/>
        <n v="89.06"/>
        <n v="40.35"/>
        <n v="275.09"/>
        <n v="-25.35"/>
        <n v="-35.28"/>
        <n v="299.86"/>
        <n v="-165.65"/>
        <n v="178.55"/>
        <n v="-143.72"/>
        <n v="-47.47"/>
        <n v="62.55"/>
        <n v="174.25"/>
        <n v="-16.02"/>
        <n v="131.33"/>
        <n v="108.27"/>
        <n v="160.67"/>
        <n v="46.6"/>
        <n v="295.12"/>
        <n v="192.89"/>
        <n v="45.45"/>
        <n v="-147.53"/>
        <n v="126.49"/>
        <n v="85.53"/>
        <n v="72.19"/>
        <n v="-44.47"/>
        <n v="255.06"/>
        <n v="-123.92"/>
        <n v="261.51"/>
        <n v="-23.32"/>
        <n v="109.11"/>
        <n v="69.67"/>
        <n v="-82.18"/>
        <n v="-64.89"/>
        <n v="278.36"/>
        <n v="-47.4"/>
        <n v="265.24"/>
        <n v="-56.66"/>
        <n v="-75.89"/>
        <n v="241.45"/>
        <n v="164.16"/>
        <n v="42.92"/>
        <n v="283.65"/>
        <n v="236.96"/>
        <n v="0.16"/>
        <n v="65.65"/>
        <n v="8.97"/>
        <n v="-87.32"/>
        <n v="-108.47"/>
        <n v="-55.74"/>
        <n v="-61.75"/>
        <n v="79.85"/>
        <n v="-4.73"/>
        <n v="97.5"/>
        <n v="253.51"/>
        <n v="-44.42"/>
        <n v="156.38"/>
        <n v="254.12"/>
        <n v="231.52"/>
        <n v="242.77"/>
        <n v="139.5"/>
        <n v="0.12"/>
        <n v="-110.58"/>
        <n v="280.6"/>
        <n v="40.31"/>
        <n v="-90.15"/>
        <n v="-104.11"/>
        <n v="172.93"/>
        <n v="8.96"/>
        <n v="32.73"/>
        <n v="-163.98"/>
        <n v="47.79"/>
        <n v="31.03"/>
        <n v="-12.48"/>
        <n v="-100.99"/>
        <n v="187.33"/>
        <n v="99.12"/>
        <n v="131.54"/>
        <n v="36.67"/>
        <n v="235.4"/>
        <n v="-111.93"/>
        <n v="-155.22"/>
        <n v="196.9"/>
        <n v="290.31"/>
        <n v="165.06"/>
        <n v="-161.99"/>
        <n v="-191.66"/>
        <n v="-42.56"/>
        <n v="-188.71"/>
        <n v="223.03"/>
        <n v="172.83"/>
        <n v="-193.95"/>
        <n v="298.97"/>
        <n v="73.95"/>
        <n v="238.98"/>
        <n v="-99.46"/>
        <n v="-107.7"/>
        <n v="-82.34"/>
        <n v="200.08"/>
        <n v="192.16"/>
        <n v="-68.66"/>
        <n v="55.47"/>
        <n v="28.39"/>
        <n v="12.0"/>
        <n v="-156.68"/>
        <n v="-48.69"/>
        <n v="71.58"/>
        <n v="-154.2"/>
        <n v="215.82"/>
        <n v="201.98"/>
        <n v="-125.14"/>
        <n v="57.57"/>
        <n v="240.19"/>
        <n v="-158.82"/>
        <n v="-32.57"/>
        <n v="-17.0"/>
        <n v="75.56"/>
        <n v="-157.44"/>
        <n v="285.49"/>
        <n v="60.27"/>
        <n v="-158.68"/>
        <n v="88.56"/>
        <n v="83.59"/>
        <n v="10.14"/>
        <n v="-164.65"/>
        <n v="-156.13"/>
        <n v="49.41"/>
        <n v="293.08"/>
        <n v="208.68"/>
        <n v="38.99"/>
        <n v="283.61"/>
        <n v="257.42"/>
        <n v="113.96"/>
        <n v="-152.07"/>
        <n v="46.64"/>
        <n v="257.25"/>
        <n v="-85.22"/>
        <n v="-141.49"/>
        <n v="101.79"/>
        <n v="194.66"/>
        <n v="-44.56"/>
        <n v="23.61"/>
        <n v="109.89"/>
        <n v="-62.19"/>
        <n v="173.09"/>
        <n v="-101.01"/>
        <n v="-151.08"/>
        <n v="-185.47"/>
        <n v="-86.8"/>
        <n v="63.66"/>
        <n v="-117.57"/>
        <n v="53.31"/>
        <n v="-35.9"/>
        <n v="126.9"/>
        <n v="259.25"/>
        <n v="-29.47"/>
        <n v="49.42"/>
        <n v="-108.05"/>
        <n v="267.46"/>
        <n v="245.98"/>
        <n v="115.32"/>
        <n v="155.65"/>
        <n v="-80.65"/>
        <n v="-64.81"/>
        <n v="5.68"/>
        <n v="-10.98"/>
        <n v="-158.6"/>
        <n v="290.13"/>
        <n v="41.67"/>
        <n v="-105.05"/>
        <n v="126.95"/>
        <n v="241.09"/>
        <n v="-92.88"/>
        <n v="-66.59"/>
        <n v="-23.85"/>
        <n v="195.99"/>
        <n v="51.49"/>
        <n v="-116.03"/>
        <n v="-5.23"/>
        <n v="266.92"/>
        <n v="129.96"/>
        <n v="-75.87"/>
        <n v="-167.12"/>
        <n v="186.32"/>
        <n v="-152.59"/>
        <n v="-107.56"/>
        <n v="-109.74"/>
        <n v="154.66"/>
        <n v="-100.92"/>
        <n v="117.19"/>
        <n v="80.82"/>
        <n v="97.61"/>
        <n v="222.22"/>
        <n v="151.44"/>
        <n v="19.6"/>
        <n v="218.68"/>
        <n v="-33.84"/>
        <n v="-12.33"/>
        <n v="81.31"/>
        <n v="64.58"/>
        <n v="-93.47"/>
        <n v="182.37"/>
        <n v="-123.18"/>
        <n v="20.54"/>
        <n v="-118.0"/>
        <n v="-183.01"/>
        <n v="78.13"/>
        <n v="-172.85"/>
        <n v="6.5"/>
        <n v="-108.06"/>
        <n v="119.66"/>
        <n v="168.08"/>
        <n v="-46.04"/>
        <n v="218.39"/>
        <n v="179.32"/>
        <n v="-108.64"/>
        <n v="181.41"/>
        <n v="227.17"/>
        <n v="-130.93"/>
        <n v="20.34"/>
        <n v="15.96"/>
        <n v="-65.6"/>
        <n v="-106.29"/>
        <n v="-59.64"/>
        <n v="-155.34"/>
        <n v="187.71"/>
        <n v="236.46"/>
        <n v="267.98"/>
        <n v="-96.27"/>
        <n v="-179.83"/>
        <n v="6.88"/>
        <n v="7.88"/>
        <n v="-101.2"/>
        <n v="-119.59"/>
        <n v="-84.04"/>
        <n v="257.19"/>
        <n v="266.39"/>
        <n v="137.52"/>
        <n v="117.96"/>
        <n v="139.43"/>
        <n v="52.22"/>
        <n v="94.67"/>
        <n v="-148.01"/>
        <n v="-138.45"/>
        <n v="-168.1"/>
        <n v="77.88"/>
        <n v="33.72"/>
        <n v="177.97"/>
        <n v="70.82"/>
        <n v="-185.07"/>
        <n v="277.26"/>
        <n v="-62.41"/>
        <n v="171.15"/>
        <n v="71.02"/>
        <n v="188.08"/>
        <n v="8.02"/>
        <n v="1.05"/>
        <n v="-31.62"/>
        <n v="-142.09"/>
        <n v="274.33"/>
        <n v="159.85"/>
        <n v="171.69"/>
        <n v="32.55"/>
        <n v="287.58"/>
        <n v="44.71"/>
        <n v="178.91"/>
        <n v="175.74"/>
        <n v="-29.94"/>
        <n v="97.54"/>
        <n v="9.29"/>
        <n v="86.09"/>
        <n v="89.35"/>
        <n v="252.17"/>
        <n v="-2.08"/>
        <n v="-42.99"/>
        <n v="-103.98"/>
        <n v="274.65"/>
        <n v="65.23"/>
        <n v="-150.98"/>
        <n v="-113.36"/>
        <n v="150.81"/>
        <n v="-182.25"/>
        <n v="71.67"/>
        <n v="85.17"/>
        <n v="283.87"/>
        <n v="53.07"/>
        <n v="-87.18"/>
        <n v="45.63"/>
        <n v="-142.32"/>
        <n v="-69.76"/>
        <n v="-50.35"/>
        <n v="-35.44"/>
        <n v="-58.1"/>
        <n v="-88.63"/>
        <n v="281.94"/>
        <n v="-15.65"/>
        <n v="146.54"/>
        <n v="81.36"/>
        <n v="-87.73"/>
        <n v="30.07"/>
        <n v="-188.4"/>
        <n v="106.59"/>
        <n v="50.17"/>
        <n v="226.1"/>
        <n v="149.05"/>
        <n v="-156.01"/>
        <n v="-108.04"/>
        <n v="107.78"/>
        <n v="265.97"/>
        <n v="-146.46"/>
        <n v="127.37"/>
        <n v="285.6"/>
        <n v="80.97"/>
        <n v="-140.03"/>
        <n v="34.9"/>
        <n v="21.13"/>
        <n v="131.85"/>
        <n v="283.37"/>
        <n v="-56.3"/>
        <n v="-5.13"/>
        <n v="-159.58"/>
        <n v="200.57"/>
        <n v="280.3"/>
        <n v="254.04"/>
        <n v="153.34"/>
        <n v="248.16"/>
        <n v="41.4"/>
        <n v="275.85"/>
        <n v="70.43"/>
        <n v="-70.15"/>
        <n v="99.48"/>
        <n v="-74.35"/>
        <n v="260.59"/>
        <n v="225.56"/>
        <n v="279.66"/>
        <n v="-144.52"/>
        <n v="-179.38"/>
        <n v="229.25"/>
        <n v="264.65"/>
        <n v="291.43"/>
        <n v="191.55"/>
        <n v="-40.4"/>
        <n v="137.85"/>
        <n v="93.96"/>
        <n v="69.79"/>
        <n v="109.67"/>
        <n v="170.61"/>
        <n v="-199.87"/>
        <n v="-94.42"/>
        <n v="-157.73"/>
        <n v="-143.51"/>
        <n v="-135.71"/>
        <n v="158.58"/>
        <n v="5.27"/>
        <n v="-167.87"/>
        <n v="109.63"/>
        <n v="-137.68"/>
        <n v="153.91"/>
        <n v="-81.32"/>
        <n v="-197.61"/>
        <n v="265.91"/>
        <n v="281.64"/>
        <n v="10.09"/>
        <n v="185.86"/>
        <n v="-13.89"/>
        <n v="109.21"/>
        <n v="-10.2"/>
        <n v="-31.99"/>
        <n v="-199.1"/>
        <n v="-54.81"/>
        <n v="-25.5"/>
        <n v="145.96"/>
        <n v="243.18"/>
        <n v="-117.26"/>
        <n v="109.26"/>
        <n v="-195.84"/>
        <n v="-120.17"/>
        <n v="-62.71"/>
        <n v="123.7"/>
        <n v="241.54"/>
        <n v="-80.79"/>
        <n v="281.59"/>
        <n v="-44.25"/>
        <n v="252.05"/>
        <n v="1.93"/>
        <n v="83.84"/>
        <n v="226.24"/>
        <n v="54.91"/>
        <n v="-135.46"/>
        <n v="181.92"/>
        <n v="-157.13"/>
        <n v="3.5"/>
        <n v="-119.87"/>
        <n v="94.94"/>
        <n v="233.19"/>
        <n v="-170.19"/>
        <n v="-125.36"/>
        <n v="286.27"/>
        <n v="-106.49"/>
        <n v="139.08"/>
        <n v="19.18"/>
        <n v="-171.64"/>
        <n v="94.98"/>
        <n v="200.87"/>
        <n v="93.81"/>
        <n v="-62.36"/>
        <n v="13.78"/>
        <n v="33.85"/>
        <n v="-19.4"/>
        <n v="-194.61"/>
        <n v="-157.31"/>
        <n v="85.5"/>
        <n v="-172.7"/>
        <n v="-138.03"/>
        <n v="-94.92"/>
        <n v="4.66"/>
        <n v="-21.07"/>
        <n v="29.65"/>
        <n v="235.37"/>
        <n v="65.97"/>
        <n v="298.22"/>
        <n v="-157.2"/>
        <n v="-149.18"/>
        <n v="6.25"/>
        <n v="48.74"/>
        <n v="133.53"/>
        <n v="-67.37"/>
        <n v="16.58"/>
        <n v="190.09"/>
        <n v="-103.37"/>
        <n v="-7.44"/>
        <n v="48.61"/>
        <n v="-69.06"/>
        <n v="237.73"/>
        <n v="291.54"/>
        <n v="-121.19"/>
        <n v="95.66"/>
        <n v="186.05"/>
        <n v="99.91"/>
        <n v="64.71"/>
        <n v="105.19"/>
        <n v="168.26"/>
        <n v="-196.51"/>
        <n v="252.74"/>
        <n v="156.84"/>
        <n v="85.73"/>
        <n v="268.93"/>
        <n v="78.51"/>
        <n v="71.66"/>
        <n v="110.26"/>
        <n v="-130.95"/>
        <n v="23.47"/>
        <n v="-147.54"/>
        <n v="267.25"/>
        <n v="-79.2"/>
        <n v="183.18"/>
        <n v="-190.68"/>
        <n v="121.09"/>
        <n v="-136.86"/>
        <n v="48.23"/>
        <n v="-158.18"/>
        <n v="65.44"/>
        <n v="-114.22"/>
        <n v="210.78"/>
        <n v="125.27"/>
        <n v="-130.07"/>
        <n v="257.39"/>
        <n v="246.48"/>
        <n v="17.45"/>
        <n v="-172.39"/>
        <n v="-143.57"/>
        <n v="-122.36"/>
        <n v="43.77"/>
        <n v="60.09"/>
        <n v="78.76"/>
        <n v="221.61"/>
        <n v="150.13"/>
        <n v="-156.39"/>
        <n v="117.77"/>
        <n v="104.47"/>
        <n v="235.42"/>
        <n v="21.54"/>
        <n v="88.26"/>
        <n v="91.93"/>
        <n v="-53.82"/>
        <n v="234.6"/>
        <n v="68.77"/>
        <n v="-104.93"/>
        <n v="241.69"/>
        <n v="-45.16"/>
        <n v="50.71"/>
        <n v="272.85"/>
        <n v="-1.79"/>
        <n v="49.47"/>
        <n v="126.23"/>
        <n v="191.49"/>
        <n v="-5.49"/>
        <n v="106.01"/>
        <n v="56.31"/>
        <n v="129.88"/>
        <n v="119.33"/>
        <n v="153.03"/>
        <n v="276.71"/>
        <n v="289.64"/>
        <n v="-41.19"/>
        <n v="55.22"/>
        <n v="278.77"/>
        <n v="-30.77"/>
        <n v="-166.13"/>
        <n v="276.64"/>
        <n v="126.12"/>
        <n v="44.12"/>
        <n v="-37.59"/>
        <n v="118.66"/>
        <n v="102.37"/>
        <n v="-12.17"/>
        <n v="-62.94"/>
        <n v="5.06"/>
        <n v="-34.23"/>
        <n v="20.23"/>
        <n v="10.41"/>
        <n v="256.25"/>
        <n v="235.94"/>
        <n v="19.29"/>
        <n v="103.2"/>
        <n v="78.15"/>
        <n v="295.31"/>
        <n v="-101.1"/>
        <n v="147.16"/>
        <n v="268.36"/>
        <n v="-92.81"/>
        <n v="76.9"/>
        <n v="111.73"/>
        <n v="-59.77"/>
        <n v="58.85"/>
        <n v="-26.44"/>
        <n v="-196.82"/>
        <n v="176.18"/>
        <n v="-5.03"/>
        <n v="-154.24"/>
        <n v="22.03"/>
        <n v="-71.2"/>
        <n v="48.2"/>
        <n v="93.9"/>
        <n v="-16.39"/>
        <n v="186.44"/>
        <n v="89.11"/>
        <n v="-137.44"/>
        <n v="223.94"/>
        <n v="-131.15"/>
        <n v="-75.11"/>
        <n v="-168.19"/>
        <n v="-57.31"/>
        <n v="-102.55"/>
        <n v="-169.63"/>
        <n v="-8.1"/>
        <n v="-186.76"/>
        <n v="255.92"/>
        <n v="-8.93"/>
        <n v="-174.65"/>
        <n v="25.41"/>
        <n v="247.1"/>
        <n v="-88.94"/>
        <n v="-163.29"/>
        <n v="4.24"/>
        <n v="179.86"/>
        <n v="121.68"/>
        <n v="115.12"/>
        <n v="114.58"/>
        <n v="155.22"/>
        <n v="-162.04"/>
        <n v="157.13"/>
        <n v="-95.08"/>
        <n v="242.39"/>
        <n v="286.46"/>
        <n v="-24.75"/>
        <n v="-1.07"/>
        <n v="-51.98"/>
        <n v="184.94"/>
        <n v="2.63"/>
        <n v="-52.84"/>
        <n v="164.46"/>
        <n v="206.11"/>
        <n v="238.47"/>
        <n v="-173.02"/>
        <n v="256.05"/>
        <n v="106.69"/>
        <n v="268.97"/>
        <n v="-171.12"/>
        <n v="291.24"/>
        <n v="-24.11"/>
        <n v="151.54"/>
        <n v="231.21"/>
        <n v="180.97"/>
        <n v="174.12"/>
        <n v="-186.36"/>
        <n v="28.37"/>
        <n v="95.71"/>
        <n v="76.19"/>
        <n v="137.28"/>
        <n v="46.84"/>
        <n v="65.39"/>
        <n v="164.94"/>
        <n v="276.59"/>
        <n v="180.42"/>
        <n v="155.66"/>
        <n v="-40.33"/>
        <n v="97.96"/>
        <n v="279.97"/>
        <n v="271.63"/>
        <n v="184.48"/>
        <n v="250.28"/>
        <n v="132.63"/>
        <n v="216.13"/>
        <n v="-79.4"/>
        <n v="82.77"/>
        <n v="-85.99"/>
        <n v="107.47"/>
        <n v="55.79"/>
        <n v="130.94"/>
        <n v="199.13"/>
        <n v="275.29"/>
        <n v="-190.57"/>
        <n v="55.71"/>
        <n v="-39.6"/>
        <n v="-17.04"/>
        <n v="-186.39"/>
        <n v="250.55"/>
        <n v="-30.26"/>
        <n v="-186.16"/>
        <n v="41.5"/>
        <n v="-28.79"/>
        <n v="179.09"/>
        <n v="266.14"/>
        <n v="140.12"/>
        <n v="284.85"/>
        <n v="-34.27"/>
        <n v="64.86"/>
        <n v="225.89"/>
        <n v="145.02"/>
        <n v="-89.63"/>
        <n v="252.77"/>
        <n v="282.09"/>
        <n v="-152.64"/>
        <n v="298.74"/>
        <n v="61.72"/>
        <n v="6.6"/>
        <n v="223.3"/>
        <n v="14.54"/>
        <n v="1.62"/>
        <n v="17.39"/>
        <n v="46.21"/>
        <n v="-45.31"/>
        <n v="-60.75"/>
        <n v="122.53"/>
        <n v="70.48"/>
        <n v="190.2"/>
        <n v="221.11"/>
        <n v="42.41"/>
        <n v="-118.19"/>
        <n v="185.95"/>
        <n v="9.43"/>
        <n v="169.75"/>
        <n v="145.37"/>
        <n v="-6.17"/>
        <n v="-123.02"/>
        <n v="122.46"/>
        <n v="263.68"/>
        <n v="-44.32"/>
        <n v="-76.36"/>
        <n v="-96.56"/>
        <n v="84.85"/>
        <n v="256.42"/>
        <n v="-185.08"/>
        <n v="283.36"/>
        <n v="-74.62"/>
        <n v="-80.03"/>
        <n v="187.06"/>
        <n v="120.0"/>
        <n v="59.85"/>
        <n v="225.0"/>
        <n v="229.51"/>
        <n v="-163.39"/>
        <n v="203.81"/>
        <n v="-72.18"/>
        <n v="119.22"/>
        <n v="141.53"/>
        <n v="133.31"/>
        <n v="-38.99"/>
        <n v="-155.92"/>
        <n v="-18.45"/>
        <n v="287.12"/>
        <n v="192.21"/>
        <n v="-133.53"/>
        <n v="108.02"/>
        <n v="34.43"/>
        <n v="-26.57"/>
        <n v="227.69"/>
        <n v="101.15"/>
        <n v="96.96"/>
        <n v="119.39"/>
        <n v="172.48"/>
        <n v="240.23"/>
        <n v="153.77"/>
        <n v="234.12"/>
        <n v="299.97"/>
        <n v="179.03"/>
        <n v="-197.63"/>
        <n v="102.05"/>
        <n v="-181.25"/>
        <n v="7.54"/>
        <n v="256.13"/>
        <n v="-56.96"/>
        <n v="129.5"/>
        <n v="51.17"/>
        <n v="-90.44"/>
        <n v="-22.59"/>
        <n v="264.09"/>
        <n v="54.35"/>
        <n v="-64.74"/>
        <n v="-89.26"/>
        <n v="-174.52"/>
        <n v="-154.42"/>
        <n v="-84.05"/>
        <n v="93.86"/>
        <n v="-96.17"/>
        <n v="197.62"/>
        <n v="-105.71"/>
        <n v="214.52"/>
        <n v="-187.14"/>
        <n v="66.33"/>
        <n v="-3.01"/>
        <n v="56.14"/>
        <n v="224.93"/>
        <n v="-169.92"/>
        <n v="58.86"/>
        <n v="-102.96"/>
        <n v="-146.21"/>
        <n v="160.29"/>
        <n v="-95.05"/>
        <n v="101.13"/>
        <n v="170.87"/>
        <n v="-103.25"/>
        <n v="38.97"/>
        <n v="-60.2"/>
        <n v="-74.57"/>
        <n v="-68.06"/>
        <n v="-102.68"/>
        <n v="5.71"/>
        <n v="36.19"/>
        <n v="166.95"/>
        <n v="-20.67"/>
        <n v="224.98"/>
        <n v="134.44"/>
        <n v="-75.57"/>
        <n v="105.72"/>
        <n v="-151.56"/>
        <n v="-32.1"/>
        <n v="-24.99"/>
        <n v="-41.93"/>
        <n v="-96.77"/>
        <n v="-25.21"/>
        <n v="226.77"/>
        <n v="74.86"/>
        <n v="-59.7"/>
        <n v="-75.3"/>
        <n v="197.43"/>
        <n v="242.33"/>
        <n v="294.72"/>
        <n v="-12.98"/>
        <n v="-184.52"/>
        <n v="243.24"/>
        <n v="195.7"/>
        <n v="-78.26"/>
        <n v="214.43"/>
        <n v="124.73"/>
        <n v="-88.9"/>
        <n v="247.5"/>
        <n v="-27.0"/>
        <n v="122.31"/>
        <n v="-8.57"/>
        <n v="240.41"/>
        <n v="-22.78"/>
        <n v="247.83"/>
        <n v="-94.2"/>
        <n v="229.6"/>
        <n v="267.04"/>
        <n v="-129.49"/>
        <n v="263.92"/>
        <n v="-38.03"/>
        <n v="291.55"/>
        <n v="52.89"/>
        <n v="-137.88"/>
        <n v="-154.75"/>
        <n v="5.77"/>
        <n v="-144.42"/>
        <n v="138.09"/>
        <n v="-187.16"/>
        <n v="-11.45"/>
        <n v="113.04"/>
        <n v="40.05"/>
        <n v="-105.5"/>
        <n v="232.99"/>
        <n v="97.83"/>
        <n v="-15.04"/>
        <n v="-20.09"/>
        <n v="-188.95"/>
        <n v="277.53"/>
        <n v="76.15"/>
        <n v="79.0"/>
        <n v="-177.92"/>
        <n v="68.95"/>
        <n v="33.01"/>
        <n v="187.27"/>
        <n v="-167.65"/>
        <n v="80.15"/>
        <n v="205.63"/>
        <n v="-48.12"/>
        <n v="232.62"/>
        <n v="76.88"/>
        <n v="-59.04"/>
        <n v="177.37"/>
        <n v="-31.91"/>
        <n v="22.5"/>
        <n v="291.25"/>
        <n v="-139.23"/>
        <n v="18.43"/>
        <n v="163.47"/>
        <n v="289.38"/>
        <n v="-192.1"/>
        <n v="-120.91"/>
        <n v="-166.07"/>
        <n v="287.93"/>
        <n v="-199.67"/>
        <n v="-84.82"/>
        <n v="29.45"/>
        <n v="230.44"/>
        <n v="-19.72"/>
        <n v="-78.72"/>
        <n v="255.84"/>
        <n v="274.66"/>
        <n v="61.26"/>
        <n v="-169.68"/>
        <n v="-169.07"/>
        <n v="15.3"/>
        <n v="-71.63"/>
        <n v="51.96"/>
        <n v="20.29"/>
        <n v="171.67"/>
        <n v="-63.39"/>
        <n v="-13.8"/>
        <n v="290.1"/>
        <n v="-142.26"/>
        <n v="-36.65"/>
        <n v="280.92"/>
        <n v="49.4"/>
        <n v="-38.59"/>
        <n v="132.62"/>
        <n v="261.2"/>
        <n v="49.34"/>
        <n v="-37.63"/>
        <n v="-185.9"/>
        <n v="138.16"/>
        <n v="-62.51"/>
        <n v="-19.99"/>
        <n v="-29.71"/>
        <n v="-11.75"/>
        <n v="-55.42"/>
        <n v="-161.76"/>
        <n v="-61.77"/>
        <n v="13.98"/>
        <n v="-130.11"/>
        <n v="-98.46"/>
        <n v="75.07"/>
        <n v="73.48"/>
        <n v="-167.78"/>
        <n v="72.63"/>
        <n v="33.94"/>
        <n v="55.57"/>
        <n v="171.14"/>
        <n v="294.81"/>
        <n v="76.66"/>
        <n v="289.18"/>
        <n v="-37.43"/>
        <n v="-2.84"/>
        <n v="264.51"/>
        <n v="-172.47"/>
        <n v="185.94"/>
        <n v="216.9"/>
        <n v="-65.56"/>
        <n v="120.95"/>
        <n v="249.91"/>
        <n v="-40.83"/>
        <n v="-12.94"/>
        <n v="119.7"/>
        <n v="-140.99"/>
        <n v="-63.62"/>
        <n v="-40.99"/>
        <n v="83.09"/>
        <n v="-47.14"/>
        <n v="-182.49"/>
        <n v="99.82"/>
        <n v="-185.05"/>
        <n v="112.59"/>
        <n v="85.95"/>
        <n v="297.61"/>
        <n v="-6.76"/>
        <n v="-25.85"/>
        <n v="124.42"/>
        <n v="258.61"/>
        <n v="275.04"/>
        <n v="10.44"/>
        <n v="-180.87"/>
        <n v="249.85"/>
        <n v="201.4"/>
        <n v="97.43"/>
        <n v="85.15"/>
        <n v="233.83"/>
        <n v="64.39"/>
        <n v="-123.26"/>
        <n v="-67.43"/>
        <n v="167.48"/>
        <n v="172.47"/>
        <n v="-95.15"/>
        <n v="228.5"/>
        <n v="-37.34"/>
        <n v="178.48"/>
        <n v="-47.15"/>
        <n v="-13.18"/>
        <n v="-170.18"/>
        <n v="73.93"/>
        <n v="-7.56"/>
        <n v="123.33"/>
        <n v="208.48"/>
        <n v="199.63"/>
        <n v="9.03"/>
        <n v="-125.07"/>
        <n v="82.25"/>
        <n v="24.63"/>
        <n v="71.71"/>
        <n v="-13.66"/>
        <n v="190.94"/>
        <n v="192.57"/>
        <n v="268.04"/>
        <n v="-165.81"/>
        <n v="271.97"/>
        <n v="96.94"/>
        <n v="-74.11"/>
        <n v="-16.57"/>
        <n v="98.63"/>
        <n v="194.39"/>
        <n v="299.83"/>
        <n v="64.31"/>
        <n v="236.7"/>
        <n v="106.28"/>
        <n v="200.36"/>
        <n v="138.91"/>
        <n v="245.71"/>
        <n v="69.01"/>
        <n v="-30.64"/>
        <n v="-57.82"/>
        <n v="-147.71"/>
        <n v="152.0"/>
        <n v="242.42"/>
        <n v="-166.28"/>
        <n v="-25.97"/>
        <n v="-24.51"/>
        <n v="281.61"/>
        <n v="294.82"/>
        <n v="46.97"/>
        <n v="112.41"/>
        <n v="17.48"/>
        <n v="181.81"/>
        <n v="-124.1"/>
        <n v="-22.71"/>
        <n v="266.07"/>
        <n v="227.05"/>
        <n v="-91.67"/>
        <n v="-94.04"/>
        <n v="4.73"/>
        <n v="253.4"/>
        <n v="-182.34"/>
        <n v="-194.2"/>
        <n v="130.54"/>
        <n v="-127.58"/>
        <n v="-40.27"/>
        <n v="99.62"/>
        <n v="61.87"/>
        <n v="-37.7"/>
        <n v="-56.94"/>
        <n v="296.32"/>
        <n v="159.98"/>
        <n v="-72.48"/>
        <n v="114.84"/>
        <n v="59.13"/>
        <n v="-9.9"/>
        <n v="-123.41"/>
        <n v="-162.05"/>
        <n v="73.24"/>
        <n v="-69.31"/>
        <n v="63.53"/>
        <n v="-112.31"/>
        <n v="137.78"/>
        <n v="77.66"/>
        <n v="262.02"/>
        <n v="279.26"/>
        <n v="-21.64"/>
        <n v="266.75"/>
        <n v="213.14"/>
        <n v="-112.54"/>
        <n v="194.63"/>
        <n v="-171.41"/>
        <n v="145.08"/>
        <n v="31.97"/>
        <n v="129.63"/>
        <n v="-40.03"/>
        <n v="-23.18"/>
        <n v="75.74"/>
        <n v="293.06"/>
        <n v="57.61"/>
        <n v="265.5"/>
        <n v="27.33"/>
        <n v="16.12"/>
        <n v="-172.24"/>
        <n v="80.02"/>
        <n v="-53.79"/>
        <n v="55.27"/>
        <n v="123.8"/>
        <n v="50.85"/>
        <n v="45.8"/>
        <n v="-3.46"/>
        <n v="-167.61"/>
        <n v="-128.33"/>
        <n v="76.84"/>
        <n v="103.9"/>
        <n v="-48.78"/>
        <n v="-150.83"/>
        <n v="-5.81"/>
        <n v="-99.08"/>
        <n v="-163.65"/>
        <n v="285.62"/>
        <n v="216.99"/>
        <n v="97.64"/>
        <n v="118.31"/>
        <n v="34.14"/>
        <n v="-146.2"/>
        <n v="47.85"/>
        <n v="299.37"/>
        <n v="-187.98"/>
        <n v="-140.68"/>
        <n v="47.02"/>
        <n v="95.09"/>
        <n v="-77.28"/>
        <n v="-197.91"/>
        <n v="148.97"/>
        <n v="-110.75"/>
        <n v="-0.38"/>
        <n v="179.13"/>
        <n v="42.13"/>
        <n v="208.47"/>
        <n v="180.61"/>
        <n v="228.73"/>
        <n v="-176.95"/>
        <n v="119.65"/>
        <n v="-48.08"/>
        <n v="248.32"/>
        <n v="130.34"/>
        <n v="159.33"/>
        <n v="150.18"/>
        <n v="137.24"/>
        <n v="148.61"/>
        <n v="-187.5"/>
        <n v="32.64"/>
        <n v="-18.62"/>
        <n v="29.79"/>
        <n v="-102.46"/>
        <n v="-162.78"/>
        <n v="-9.5"/>
        <n v="-50.95"/>
        <n v="212.89"/>
        <n v="75.73"/>
        <n v="218.53"/>
        <n v="-29.22"/>
        <n v="263.67"/>
        <n v="10.61"/>
        <n v="130.74"/>
        <n v="178.44"/>
        <n v="115.25"/>
        <n v="244.74"/>
        <n v="173.15"/>
        <n v="244.5"/>
        <n v="3.68"/>
        <n v="-80.98"/>
        <n v="-195.09"/>
        <n v="120.66"/>
        <n v="82.12"/>
        <n v="-126.79"/>
        <n v="-162.27"/>
        <n v="237.47"/>
        <n v="156.0"/>
        <n v="32.07"/>
        <n v="-30.6"/>
        <n v="-97.19"/>
        <n v="154.55"/>
        <n v="-105.31"/>
        <n v="214.6"/>
        <n v="-101.02"/>
        <n v="138.23"/>
        <n v="-102.88"/>
        <n v="279.9"/>
        <n v="-109.28"/>
        <n v="-17.25"/>
        <n v="59.98"/>
        <n v="-74.9"/>
        <n v="-182.12"/>
        <n v="-61.46"/>
        <n v="174.69"/>
        <n v="-163.46"/>
        <n v="55.84"/>
        <n v="187.37"/>
        <n v="215.84"/>
        <n v="-17.33"/>
        <n v="-71.67"/>
        <n v="-31.05"/>
        <n v="44.21"/>
        <n v="-54.74"/>
        <n v="1.39"/>
        <n v="-130.34"/>
        <n v="35.26"/>
        <n v="23.48"/>
        <n v="75.31"/>
        <n v="219.08"/>
        <n v="-79.18"/>
        <n v="299.84"/>
        <n v="148.81"/>
        <n v="-70.76"/>
        <n v="126.19"/>
        <n v="166.03"/>
        <n v="-122.08"/>
        <n v="135.31"/>
        <n v="35.06"/>
        <n v="192.34"/>
        <n v="221.18"/>
        <n v="177.31"/>
        <n v="-124.11"/>
        <n v="163.15"/>
        <n v="51.81"/>
        <n v="257.52"/>
        <n v="89.49"/>
        <n v="-7.0"/>
        <n v="135.58"/>
        <n v="103.89"/>
        <n v="-13.29"/>
        <n v="-54.34"/>
        <n v="185.35"/>
        <n v="-39.48"/>
        <n v="264.58"/>
        <n v="53.15"/>
        <n v="49.85"/>
        <n v="225.13"/>
        <n v="219.19"/>
        <n v="-55.07"/>
        <n v="-132.81"/>
        <n v="295.96"/>
        <n v="245.64"/>
        <n v="21.09"/>
        <n v="75.04"/>
        <n v="266.57"/>
        <n v="-84.71"/>
        <n v="121.98"/>
        <n v="298.41"/>
        <n v="-190.28"/>
        <n v="262.22"/>
        <n v="-196.28"/>
        <n v="-37.44"/>
        <n v="-16.88"/>
        <n v="-21.72"/>
        <n v="-162.7"/>
        <n v="60.94"/>
        <n v="-39.39"/>
        <n v="103.62"/>
        <n v="-173.13"/>
        <n v="76.55"/>
        <n v="238.28"/>
        <n v="282.15"/>
        <n v="244.39"/>
        <n v="-59.26"/>
        <n v="-25.88"/>
        <n v="-173.18"/>
        <n v="-32.19"/>
        <n v="225.03"/>
        <n v="136.17"/>
        <n v="264.41"/>
        <n v="93.32"/>
        <n v="-7.33"/>
        <n v="-103.99"/>
        <n v="163.76"/>
        <n v="204.06"/>
        <n v="-159.1"/>
        <n v="-16.38"/>
        <n v="159.49"/>
        <n v="217.37"/>
        <n v="-38.28"/>
        <n v="-194.17"/>
        <n v="82.89"/>
        <n v="-64.95"/>
        <n v="71.75"/>
        <n v="170.44"/>
        <n v="-183.5"/>
        <n v="277.48"/>
        <n v="-25.57"/>
        <n v="21.95"/>
        <n v="120.79"/>
        <n v="-52.22"/>
        <n v="-179.91"/>
        <n v="105.87"/>
        <n v="-38.9"/>
        <n v="47.24"/>
        <n v="224.36"/>
        <n v="159.78"/>
        <n v="-11.93"/>
        <n v="-80.52"/>
        <n v="-11.36"/>
        <n v="-83.75"/>
        <n v="172.71"/>
        <n v="-79.96"/>
        <n v="-142.16"/>
        <n v="161.45"/>
        <n v="-104.49"/>
        <n v="96.97"/>
        <n v="75.41"/>
        <n v="108.78"/>
        <n v="111.97"/>
        <n v="199.26"/>
        <n v="11.42"/>
        <n v="-66.89"/>
        <n v="181.84"/>
        <n v="-4.22"/>
        <n v="-88.61"/>
        <n v="-5.56"/>
        <n v="-49.09"/>
        <n v="130.62"/>
        <n v="-13.14"/>
        <n v="260.38"/>
        <n v="122.84"/>
        <n v="115.67"/>
        <n v="208.66"/>
        <n v="183.89"/>
        <n v="122.02"/>
        <n v="111.11"/>
        <n v="100.42"/>
        <n v="-192.38"/>
        <n v="-29.0"/>
        <n v="105.36"/>
        <n v="193.53"/>
        <n v="-80.66"/>
        <n v="63.88"/>
        <n v="179.9"/>
        <n v="291.99"/>
        <n v="165.4"/>
        <n v="-190.82"/>
        <n v="1.71"/>
        <n v="85.68"/>
        <n v="135.9"/>
        <n v="121.96"/>
        <n v="-102.48"/>
        <n v="77.87"/>
        <n v="31.45"/>
        <n v="-61.23"/>
        <n v="-165.69"/>
        <n v="283.96"/>
        <n v="237.58"/>
        <n v="31.8"/>
        <n v="116.95"/>
        <n v="223.15"/>
        <n v="217.8"/>
        <n v="-93.08"/>
        <n v="-138.59"/>
        <n v="-134.96"/>
        <n v="189.97"/>
        <n v="225.51"/>
        <n v="273.04"/>
        <n v="-139.2"/>
        <n v="15.23"/>
        <n v="170.95"/>
        <n v="167.85"/>
        <n v="-93.09"/>
        <n v="290.72"/>
        <n v="84.05"/>
        <n v="-78.34"/>
        <n v="-148.22"/>
        <n v="29.58"/>
        <n v="-143.67"/>
        <n v="-90.0"/>
        <n v="-156.55"/>
        <n v="77.26"/>
        <n v="244.37"/>
        <n v="-55.33"/>
        <n v="-122.58"/>
        <n v="266.32"/>
        <n v="-67.06"/>
        <n v="-15.08"/>
        <n v="-183.52"/>
        <n v="147.95"/>
        <n v="-62.4"/>
        <n v="-1.34"/>
        <n v="-37.81"/>
        <n v="-109.75"/>
        <n v="-111.08"/>
        <n v="169.86"/>
        <n v="-177.73"/>
        <n v="145.97"/>
        <n v="286.02"/>
        <n v="-114.15"/>
        <n v="32.42"/>
        <n v="224.8"/>
        <n v="-153.25"/>
        <n v="163.9"/>
        <n v="-7.95"/>
        <n v="-177.47"/>
        <n v="-143.19"/>
        <n v="94.87"/>
        <n v="151.49"/>
        <n v="17.93"/>
        <n v="-102.0"/>
        <n v="51.22"/>
        <n v="92.27"/>
        <n v="3.46"/>
        <n v="93.09"/>
        <n v="7.62"/>
        <n v="3.78"/>
        <n v="59.55"/>
        <n v="-72.68"/>
        <n v="-162.02"/>
        <n v="257.55"/>
        <n v="-31.19"/>
        <n v="-64.47"/>
        <n v="230.91"/>
        <n v="194.38"/>
        <n v="10.59"/>
        <n v="99.78"/>
        <n v="-198.6"/>
        <n v="274.19"/>
        <n v="-137.11"/>
        <n v="-126.24"/>
        <n v="136.42"/>
        <n v="-4.27"/>
        <n v="174.44"/>
        <n v="-13.71"/>
        <n v="146.49"/>
        <n v="-68.42"/>
        <n v="-153.58"/>
        <n v="-131.77"/>
        <n v="11.86"/>
        <n v="-113.47"/>
        <n v="128.73"/>
        <n v="244.88"/>
        <n v="-193.13"/>
        <n v="273.64"/>
        <n v="-83.33"/>
        <n v="-131.65"/>
        <n v="-51.93"/>
        <n v="85.07"/>
        <n v="-160.51"/>
        <n v="-47.03"/>
        <n v="157.73"/>
        <n v="82.73"/>
        <n v="198.83"/>
        <n v="-45.94"/>
        <n v="120.04"/>
        <n v="110.91"/>
        <n v="55.65"/>
        <n v="-44.39"/>
        <n v="45.47"/>
        <n v="48.09"/>
        <n v="-198.46"/>
        <n v="206.77"/>
        <n v="-196.71"/>
        <n v="-84.21"/>
        <n v="-183.03"/>
        <n v="-4.35"/>
        <n v="287.05"/>
        <n v="-87.72"/>
        <n v="-161.58"/>
        <n v="26.21"/>
        <n v="259.77"/>
        <n v="-117.93"/>
        <n v="-110.41"/>
        <n v="10.73"/>
        <n v="-23.72"/>
        <n v="-154.21"/>
        <n v="113.58"/>
        <n v="-183.89"/>
        <n v="1.91"/>
        <n v="128.39"/>
        <n v="-47.05"/>
        <n v="18.24"/>
        <n v="71.31"/>
        <n v="-47.85"/>
        <n v="99.27"/>
        <n v="287.6"/>
        <n v="156.55"/>
        <n v="282.85"/>
        <n v="215.16"/>
        <n v="163.97"/>
        <n v="-75.81"/>
        <n v="224.13"/>
        <n v="46.09"/>
        <n v="-133.99"/>
        <n v="69.73"/>
        <n v="-111.77"/>
        <n v="-18.23"/>
        <n v="-86.46"/>
        <n v="-119.42"/>
        <n v="139.58"/>
        <n v="-40.26"/>
        <n v="160.92"/>
        <n v="251.67"/>
        <n v="-184.1"/>
        <n v="-171.79"/>
        <n v="41.13"/>
        <n v="67.76"/>
        <n v="202.07"/>
        <n v="257.49"/>
        <n v="287.1"/>
        <n v="201.19"/>
        <n v="-168.53"/>
        <n v="-49.29"/>
        <n v="180.92"/>
        <n v="-102.36"/>
        <n v="129.91"/>
        <n v="156.37"/>
        <n v="-172.27"/>
        <n v="29.54"/>
        <n v="-140.98"/>
        <n v="263.36"/>
        <n v="-55.26"/>
        <n v="-3.27"/>
        <n v="131.96"/>
        <n v="249.36"/>
        <n v="259.66"/>
        <n v="58.8"/>
        <n v="13.58"/>
        <n v="269.14"/>
        <n v="210.95"/>
        <n v="-122.02"/>
        <n v="160.98"/>
        <n v="143.51"/>
        <n v="213.57"/>
        <n v="-142.94"/>
        <n v="192.19"/>
        <n v="202.2"/>
        <n v="-154.61"/>
        <n v="-45.67"/>
        <n v="-148.72"/>
        <n v="194.12"/>
        <n v="96.37"/>
        <n v="-70.57"/>
        <n v="-91.64"/>
        <n v="157.78"/>
        <n v="-115.57"/>
        <n v="-188.35"/>
        <n v="171.87"/>
        <n v="-23.71"/>
        <n v="156.93"/>
        <n v="44.55"/>
        <n v="-161.9"/>
        <n v="90.35"/>
        <n v="-183.61"/>
        <n v="102.76"/>
        <n v="45.76"/>
        <n v="32.29"/>
        <n v="-29.68"/>
        <n v="271.79"/>
        <n v="115.69"/>
        <n v="76.4"/>
        <n v="237.12"/>
        <n v="212.49"/>
        <n v="-82.44"/>
        <n v="87.1"/>
        <n v="-9.88"/>
        <n v="202.14"/>
        <n v="117.78"/>
        <n v="54.96"/>
        <n v="34.63"/>
        <n v="235.86"/>
        <n v="86.01"/>
        <n v="166.89"/>
        <n v="272.77"/>
        <n v="-79.48"/>
        <n v="-52.79"/>
        <n v="-179.31"/>
        <n v="248.54"/>
        <n v="-20.43"/>
        <n v="104.54"/>
        <n v="66.7"/>
        <n v="104.94"/>
        <n v="-11.6"/>
        <n v="26.16"/>
        <n v="-176.16"/>
        <n v="-170.08"/>
        <n v="-57.76"/>
        <n v="-51.63"/>
        <n v="222.05"/>
        <n v="-142.44"/>
        <n v="-103.38"/>
        <n v="-98.79"/>
        <n v="120.31"/>
        <n v="211.14"/>
        <n v="-102.47"/>
        <n v="-177.22"/>
        <n v="278.74"/>
        <n v="117.64"/>
        <n v="108.28"/>
        <n v="-116.89"/>
        <n v="165.07"/>
        <n v="-91.55"/>
        <n v="194.01"/>
        <n v="218.42"/>
        <n v="256.37"/>
        <n v="28.28"/>
        <n v="-127.32"/>
        <n v="-128.71"/>
        <n v="193.44"/>
        <n v="84.33"/>
        <n v="160.82"/>
        <n v="-6.71"/>
        <n v="293.99"/>
        <n v="151.22"/>
        <n v="231.75"/>
        <n v="-75.47"/>
        <n v="57.95"/>
        <n v="221.54"/>
        <n v="196.65"/>
        <n v="106.67"/>
        <n v="-113.89"/>
        <n v="222.87"/>
        <n v="36.08"/>
        <n v="-147.26"/>
        <n v="-168.37"/>
        <n v="-78.81"/>
        <n v="288.49"/>
        <n v="277.87"/>
        <n v="252.23"/>
        <n v="-61.3"/>
        <n v="219.52"/>
        <n v="237.78"/>
        <n v="-80.76"/>
        <n v="-60.69"/>
        <n v="175.08"/>
        <n v="-47.18"/>
        <n v="3.23"/>
        <n v="9.58"/>
        <n v="138.49"/>
        <n v="229.09"/>
        <n v="210.85"/>
        <n v="295.5"/>
        <n v="-176.35"/>
        <n v="-160.26"/>
        <n v="31.75"/>
        <n v="245.0"/>
        <n v="-29.3"/>
        <n v="138.14"/>
        <n v="60.44"/>
        <n v="-38.56"/>
        <n v="171.1"/>
        <n v="201.15"/>
        <n v="-145.62"/>
        <n v="119.45"/>
        <n v="202.85"/>
        <n v="-179.87"/>
        <n v="87.38"/>
        <n v="108.3"/>
        <n v="98.91"/>
        <n v="123.93"/>
        <n v="177.05"/>
        <n v="198.15"/>
        <n v="-162.72"/>
        <n v="-42.25"/>
        <n v="188.27"/>
        <n v="188.33"/>
        <n v="203.29"/>
        <n v="-5.83"/>
        <n v="-154.88"/>
        <n v="103.27"/>
        <n v="157.97"/>
        <n v="-17.64"/>
        <n v="154.26"/>
        <n v="135.32"/>
        <n v="-156.42"/>
        <n v="-43.96"/>
        <n v="-167.6"/>
        <n v="128.98"/>
        <n v="-63.46"/>
        <n v="221.3"/>
        <n v="-16.48"/>
        <n v="244.48"/>
        <n v="282.93"/>
        <n v="-85.79"/>
        <n v="-198.56"/>
        <n v="129.67"/>
        <n v="112.96"/>
        <n v="-137.94"/>
        <n v="39.66"/>
        <n v="265.3"/>
        <n v="-116.07"/>
        <n v="-28.3"/>
        <n v="-7.71"/>
        <n v="246.31"/>
        <n v="-141.98"/>
        <n v="186.92"/>
        <n v="-129.88"/>
        <n v="180.01"/>
        <n v="-136.02"/>
        <n v="-38.95"/>
        <n v="272.6"/>
        <n v="81.66"/>
        <n v="-113.73"/>
        <n v="58.77"/>
        <n v="-99.24"/>
        <n v="-78.17"/>
        <n v="19.56"/>
        <n v="-61.74"/>
        <n v="277.46"/>
        <n v="292.49"/>
        <n v="88.33"/>
        <n v="178.15"/>
        <n v="75.96"/>
        <n v="-177.76"/>
        <n v="61.63"/>
        <n v="230.62"/>
        <n v="143.34"/>
        <n v="85.19"/>
        <n v="159.44"/>
        <n v="35.59"/>
        <n v="208.72"/>
        <n v="0.87"/>
        <n v="138.85"/>
        <n v="286.65"/>
        <n v="228.53"/>
        <n v="85.4"/>
        <n v="-85.04"/>
        <n v="61.38"/>
        <n v="199.89"/>
        <n v="27.29"/>
        <n v="57.46"/>
        <n v="-165.28"/>
        <n v="70.64"/>
        <n v="-87.19"/>
        <n v="90.73"/>
        <n v="-163.25"/>
        <n v="-86.86"/>
        <n v="77.02"/>
        <n v="-129.19"/>
        <n v="185.58"/>
        <n v="99.46"/>
        <n v="69.18"/>
        <n v="-10.95"/>
        <n v="-90.86"/>
        <n v="123.06"/>
        <n v="160.28"/>
        <n v="65.82"/>
        <n v="-83.81"/>
        <n v="-70.27"/>
        <n v="139.46"/>
        <n v="137.32"/>
        <n v="89.59"/>
        <n v="193.93"/>
        <n v="289.03"/>
        <n v="-6.88"/>
        <n v="99.16"/>
        <n v="52.01"/>
        <n v="-164.77"/>
        <n v="148.3"/>
        <n v="214.48"/>
        <n v="283.5"/>
        <n v="-120.11"/>
        <n v="202.5"/>
        <n v="102.73"/>
        <n v="18.45"/>
        <n v="-58.62"/>
        <n v="274.97"/>
        <n v="90.68"/>
        <n v="72.55"/>
        <n v="-133.56"/>
        <n v="24.33"/>
        <n v="153.66"/>
        <n v="-134.71"/>
        <n v="166.6"/>
        <n v="108.0"/>
        <n v="184.61"/>
        <n v="-120.79"/>
        <n v="-150.53"/>
        <n v="-163.03"/>
        <n v="231.15"/>
        <n v="-180.32"/>
        <n v="254.08"/>
        <n v="-75.92"/>
        <n v="272.06"/>
        <n v="295.83"/>
        <n v="71.57"/>
        <n v="-68.95"/>
        <n v="254.05"/>
        <n v="-124.53"/>
        <n v="238.42"/>
        <n v="98.49"/>
        <n v="93.84"/>
        <n v="-170.63"/>
        <n v="142.65"/>
        <n v="-184.32"/>
        <n v="235.44"/>
        <n v="-126.42"/>
        <n v="186.82"/>
        <n v="-93.12"/>
        <n v="-171.48"/>
        <n v="-100.0"/>
        <n v="-68.96"/>
        <n v="-36.84"/>
        <n v="-72.49"/>
        <n v="131.53"/>
        <n v="-188.21"/>
        <n v="218.03"/>
        <n v="33.58"/>
        <n v="-1.32"/>
        <n v="13.28"/>
        <n v="-148.67"/>
        <n v="47.5"/>
        <n v="-100.26"/>
        <n v="60.32"/>
        <n v="257.63"/>
        <n v="-82.94"/>
        <n v="-20.22"/>
        <n v="58.97"/>
        <n v="-126.7"/>
        <n v="262.5"/>
        <n v="-147.58"/>
        <n v="45.54"/>
        <n v="-138.27"/>
        <n v="271.02"/>
        <n v="110.04"/>
        <n v="149.06"/>
        <n v="32.12"/>
        <n v="144.86"/>
        <n v="-38.55"/>
        <n v="-170.25"/>
        <n v="108.62"/>
        <n v="-70.32"/>
        <n v="298.13"/>
        <n v="-10.01"/>
        <n v="-39.35"/>
        <n v="94.64"/>
        <n v="136.87"/>
        <n v="-107.89"/>
        <n v="3.47"/>
        <n v="89.03"/>
        <n v="129.95"/>
        <n v="124.63"/>
        <n v="49.3"/>
        <n v="4.32"/>
        <n v="116.35"/>
        <n v="-111.6"/>
        <n v="179.17"/>
        <n v="-1.97"/>
        <n v="-132.65"/>
        <n v="43.49"/>
        <n v="292.05"/>
        <n v="8.43"/>
        <n v="146.01"/>
        <n v="286.6"/>
        <n v="-129.73"/>
        <n v="-155.59"/>
        <n v="253.34"/>
        <n v="-87.5"/>
        <n v="-95.11"/>
        <n v="-184.87"/>
        <n v="10.31"/>
        <n v="100.11"/>
        <n v="239.02"/>
        <n v="-36.49"/>
        <n v="96.81"/>
        <n v="32.51"/>
        <n v="286.17"/>
        <n v="203.73"/>
        <n v="-104.31"/>
        <n v="208.75"/>
        <n v="63.79"/>
        <n v="24.04"/>
        <n v="185.93"/>
        <n v="-126.99"/>
        <n v="-47.26"/>
        <n v="109.47"/>
        <n v="50.8"/>
        <n v="15.92"/>
        <n v="289.75"/>
        <n v="-120.28"/>
        <n v="111.95"/>
        <n v="241.24"/>
        <n v="68.43"/>
        <n v="275.35"/>
        <n v="-28.87"/>
        <n v="167.8"/>
        <n v="-135.72"/>
        <n v="23.01"/>
        <n v="-91.16"/>
        <n v="-172.56"/>
        <n v="239.3"/>
        <n v="-135.77"/>
        <n v="-119.31"/>
        <n v="224.19"/>
        <n v="222.33"/>
        <n v="114.96"/>
        <n v="102.07"/>
        <n v="-168.91"/>
        <n v="232.09"/>
        <n v="96.13"/>
        <n v="-102.53"/>
        <n v="150.17"/>
        <n v="-34.09"/>
        <n v="-182.14"/>
        <n v="284.77"/>
        <n v="121.81"/>
        <n v="288.54"/>
        <n v="-148.8"/>
        <n v="65.71"/>
        <n v="-26.9"/>
        <n v="-24.15"/>
        <n v="-155.09"/>
        <n v="232.6"/>
        <n v="-146.96"/>
        <n v="-102.3"/>
        <n v="29.33"/>
        <n v="26.09"/>
        <n v="14.81"/>
        <n v="134.78"/>
        <n v="176.49"/>
        <n v="85.04"/>
        <n v="88.62"/>
        <n v="225.1"/>
        <n v="181.7"/>
        <n v="-147.17"/>
        <n v="42.08"/>
        <n v="-93.71"/>
        <n v="41.2"/>
        <n v="294.84"/>
        <n v="143.41"/>
        <n v="-136.17"/>
        <n v="299.9"/>
        <n v="94.26"/>
        <n v="-107.21"/>
        <n v="-183.81"/>
        <n v="261.58"/>
        <n v="244.47"/>
        <n v="-78.31"/>
        <n v="68.15"/>
        <n v="62.85"/>
        <n v="181.88"/>
        <n v="-164.18"/>
        <n v="-193.51"/>
        <n v="265.26"/>
        <n v="275.26"/>
        <n v="233.89"/>
        <n v="12.55"/>
        <n v="190.59"/>
        <n v="229.58"/>
        <n v="-88.32"/>
        <n v="-74.1"/>
        <n v="-199.71"/>
        <n v="119.01"/>
        <n v="0.13"/>
        <n v="-183.84"/>
        <n v="250.27"/>
        <n v="237.97"/>
        <n v="-45.54"/>
        <n v="-134.35"/>
        <n v="-39.05"/>
        <n v="-168.56"/>
        <n v="151.55"/>
        <n v="224.12"/>
        <n v="158.04"/>
        <n v="28.72"/>
        <n v="265.65"/>
        <n v="-185.17"/>
        <n v="205.2"/>
        <n v="247.99"/>
        <n v="251.47"/>
        <n v="-31.64"/>
        <n v="-189.79"/>
        <n v="29.7"/>
        <n v="174.28"/>
        <n v="92.83"/>
        <n v="-13.67"/>
        <n v="103.54"/>
        <n v="-27.99"/>
        <n v="142.84"/>
        <n v="20.49"/>
        <n v="207.35"/>
        <n v="37.55"/>
        <n v="-152.11"/>
        <n v="-122.0"/>
        <n v="-55.66"/>
        <n v="-171.58"/>
        <n v="-113.37"/>
        <n v="68.02"/>
        <n v="-75.79"/>
        <n v="101.32"/>
        <n v="295.06"/>
        <n v="-48.76"/>
        <n v="-27.16"/>
        <n v="37.0"/>
        <n v="70.84"/>
        <n v="-116.09"/>
        <n v="-36.11"/>
        <n v="39.62"/>
        <n v="82.78"/>
        <n v="-181.83"/>
        <n v="163.62"/>
        <n v="13.12"/>
        <n v="-52.82"/>
        <n v="49.91"/>
        <n v="69.9"/>
        <n v="132.05"/>
        <n v="156.03"/>
        <n v="70.91"/>
        <n v="238.4"/>
        <n v="167.93"/>
        <n v="207.44"/>
        <n v="-68.85"/>
        <n v="48.17"/>
        <n v="-62.7"/>
        <n v="214.36"/>
        <n v="10.72"/>
        <n v="101.99"/>
        <n v="-178.68"/>
        <n v="-50.6"/>
        <n v="-23.26"/>
        <n v="-88.3"/>
        <n v="-9.62"/>
        <n v="268.99"/>
        <n v="220.82"/>
        <n v="89.13"/>
        <n v="234.06"/>
        <n v="-29.87"/>
        <n v="192.86"/>
        <n v="143.99"/>
        <n v="250.91"/>
        <n v="159.11"/>
        <n v="107.32"/>
        <n v="123.15"/>
        <n v="271.2"/>
        <n v="256.52"/>
        <n v="-78.47"/>
        <n v="142.45"/>
        <n v="50.51"/>
        <n v="187.26"/>
        <n v="31.39"/>
        <n v="181.71"/>
        <n v="229.88"/>
        <n v="-14.28"/>
        <n v="165.9"/>
        <n v="218.0"/>
        <n v="148.11"/>
        <n v="273.73"/>
        <n v="-147.1"/>
        <n v="-194.03"/>
        <n v="293.05"/>
        <n v="22.97"/>
        <n v="25.69"/>
        <n v="-150.23"/>
        <n v="-149.84"/>
        <n v="252.25"/>
        <n v="-1.35"/>
        <n v="-14.48"/>
        <n v="54.3"/>
        <n v="194.17"/>
        <n v="-171.06"/>
        <n v="68.29"/>
        <n v="26.84"/>
        <n v="-157.99"/>
        <n v="-31.95"/>
        <n v="-127.52"/>
        <n v="-66.46"/>
        <n v="241.48"/>
        <n v="-161.25"/>
        <n v="-65.38"/>
        <n v="-61.94"/>
        <n v="151.79"/>
        <n v="-85.77"/>
        <n v="225.92"/>
        <n v="-21.94"/>
        <n v="235.06"/>
        <n v="203.25"/>
        <n v="197.41"/>
        <n v="8.59"/>
        <n v="-168.89"/>
        <n v="-193.03"/>
        <n v="-185.75"/>
        <n v="71.54"/>
        <n v="-54.01"/>
        <n v="-111.04"/>
        <n v="-151.95"/>
        <n v="227.95"/>
        <n v="-77.17"/>
        <n v="-177.32"/>
        <n v="120.9"/>
        <n v="-170.22"/>
        <n v="239.97"/>
        <n v="-172.87"/>
        <n v="101.98"/>
        <n v="182.3"/>
        <n v="-13.0"/>
        <n v="225.2"/>
        <n v="201.65"/>
        <n v="213.97"/>
        <n v="3.87"/>
        <n v="37.1"/>
        <n v="200.33"/>
        <n v="-147.76"/>
        <n v="-129.75"/>
        <n v="60.71"/>
        <n v="-193.91"/>
        <n v="81.24"/>
        <n v="-12.11"/>
        <n v="99.54"/>
        <n v="-160.19"/>
        <n v="81.45"/>
        <n v="25.75"/>
        <n v="62.6"/>
        <n v="182.17"/>
        <n v="56.99"/>
        <n v="124.61"/>
        <n v="-68.14"/>
        <n v="0.89"/>
        <n v="236.02"/>
        <n v="-96.08"/>
        <n v="142.93"/>
        <n v="92.28"/>
        <n v="17.54"/>
        <n v="15.51"/>
        <n v="193.14"/>
        <n v="151.34"/>
        <n v="138.59"/>
        <n v="282.54"/>
        <n v="205.72"/>
        <n v="64.69"/>
        <n v="88.34"/>
        <n v="-105.23"/>
        <n v="245.39"/>
        <n v="199.86"/>
        <n v="134.7"/>
        <n v="-25.42"/>
        <n v="-186.59"/>
        <n v="116.8"/>
        <n v="44.05"/>
        <n v="189.18"/>
        <n v="-109.69"/>
        <n v="97.15"/>
        <n v="108.97"/>
        <n v="-189.42"/>
        <n v="286.42"/>
        <n v="91.05"/>
        <n v="-178.44"/>
        <n v="-44.66"/>
        <n v="22.81"/>
        <n v="22.02"/>
        <n v="230.88"/>
        <n v="103.5"/>
        <n v="159.54"/>
        <n v="-119.58"/>
        <n v="151.92"/>
        <n v="-189.7"/>
        <n v="265.32"/>
        <n v="-71.39"/>
        <n v="-53.23"/>
        <n v="-87.01"/>
        <n v="-192.71"/>
        <n v="10.39"/>
        <n v="-48.28"/>
        <n v="44.65"/>
        <n v="-154.37"/>
        <n v="263.78"/>
        <n v="79.97"/>
        <n v="194.19"/>
        <n v="37.77"/>
        <n v="-5.5"/>
        <n v="-88.71"/>
        <n v="162.36"/>
        <n v="82.83"/>
        <n v="-84.79"/>
        <n v="111.25"/>
        <n v="-129.2"/>
        <n v="261.87"/>
        <n v="-50.65"/>
        <n v="-70.24"/>
        <n v="234.76"/>
        <n v="-87.26"/>
        <n v="48.24"/>
        <n v="-106.37"/>
        <n v="157.56"/>
        <n v="222.14"/>
        <n v="86.52"/>
        <n v="-19.83"/>
        <n v="216.82"/>
        <n v="79.54"/>
        <n v="167.78"/>
        <n v="-5.75"/>
        <n v="146.3"/>
        <n v="57.78"/>
        <n v="-69.3"/>
        <n v="284.63"/>
        <n v="105.24"/>
        <n v="-171.54"/>
        <n v="257.34"/>
        <n v="-5.58"/>
        <n v="150.39"/>
        <n v="21.5"/>
        <n v="-89.08"/>
        <n v="27.8"/>
        <n v="-49.36"/>
        <n v="90.58"/>
        <n v="250.32"/>
        <n v="-8.47"/>
        <n v="66.3"/>
        <n v="-145.04"/>
        <n v="158.23"/>
        <n v="188.65"/>
        <n v="190.6"/>
        <n v="150.87"/>
        <n v="-80.57"/>
        <n v="-108.69"/>
        <n v="80.83"/>
        <n v="119.19"/>
        <n v="210.92"/>
        <n v="97.46"/>
        <n v="143.04"/>
        <n v="-26.13"/>
        <n v="-114.71"/>
        <n v="174.36"/>
        <n v="-83.0"/>
        <n v="-83.94"/>
        <n v="87.23"/>
        <n v="95.37"/>
        <n v="-191.91"/>
        <n v="104.38"/>
        <n v="-55.88"/>
        <n v="197.22"/>
        <n v="253.53"/>
        <n v="-44.36"/>
        <n v="-3.02"/>
        <n v="287.78"/>
        <n v="4.49"/>
        <n v="-185.06"/>
        <n v="-28.48"/>
        <n v="-75.42"/>
        <n v="-177.37"/>
        <n v="44.25"/>
        <n v="228.86"/>
        <n v="31.92"/>
        <n v="-63.27"/>
        <n v="-101.59"/>
        <n v="26.73"/>
        <n v="242.56"/>
        <n v="-26.39"/>
        <n v="237.39"/>
        <n v="224.64"/>
        <n v="275.18"/>
        <n v="94.77"/>
        <n v="284.96"/>
        <n v="211.16"/>
        <n v="-165.71"/>
        <n v="21.76"/>
        <n v="206.55"/>
        <n v="-25.9"/>
        <n v="193.76"/>
        <n v="-134.28"/>
        <n v="187.99"/>
        <n v="-138.12"/>
        <n v="-103.83"/>
        <n v="-138.74"/>
        <n v="48.73"/>
        <n v="-23.73"/>
        <n v="-106.05"/>
        <n v="-32.66"/>
        <n v="281.09"/>
        <n v="29.49"/>
        <n v="-37.57"/>
        <n v="40.65"/>
        <n v="45.41"/>
        <n v="32.83"/>
        <n v="0.88"/>
        <n v="80.4"/>
        <n v="-139.21"/>
        <n v="295.99"/>
        <n v="38.77"/>
        <n v="45.53"/>
        <n v="117.66"/>
        <n v="-96.51"/>
        <n v="-88.18"/>
        <n v="238.29"/>
        <n v="283.18"/>
        <n v="220.91"/>
        <n v="-102.18"/>
        <n v="292.9"/>
        <n v="175.82"/>
        <n v="89.83"/>
        <n v="292.36"/>
        <n v="41.05"/>
        <n v="158.45"/>
        <n v="79.95"/>
        <n v="-156.02"/>
        <n v="14.79"/>
        <n v="196.79"/>
        <n v="-136.31"/>
        <n v="58.74"/>
        <n v="-55.3"/>
        <n v="262.65"/>
        <n v="-88.51"/>
        <n v="94.35"/>
        <n v="189.37"/>
        <n v="70.32"/>
        <n v="274.05"/>
        <n v="-50.93"/>
        <n v="-132.26"/>
        <n v="185.31"/>
        <n v="-26.74"/>
        <n v="-130.01"/>
        <n v="-141.33"/>
        <n v="138.22"/>
        <n v="9.79"/>
        <n v="289.07"/>
        <n v="254.7"/>
        <n v="255.78"/>
        <n v="-37.28"/>
        <n v="125.94"/>
        <n v="-37.09"/>
        <n v="-143.74"/>
        <n v="254.54"/>
        <n v="-131.41"/>
        <n v="234.85"/>
        <n v="142.34"/>
        <n v="131.57"/>
        <n v="188.82"/>
        <n v="187.49"/>
        <n v="-144.17"/>
        <n v="36.15"/>
        <n v="-122.52"/>
        <n v="-44.19"/>
        <n v="-88.08"/>
        <n v="147.82"/>
        <n v="-52.73"/>
        <n v="197.45"/>
        <n v="-33.32"/>
        <n v="-1.1"/>
        <n v="173.59"/>
        <n v="115.71"/>
        <n v="239.52"/>
        <n v="247.67"/>
        <n v="285.15"/>
        <n v="-93.29"/>
        <n v="-176.48"/>
        <n v="238.82"/>
        <n v="-70.1"/>
        <n v="19.49"/>
        <n v="244.44"/>
        <n v="80.7"/>
        <n v="35.01"/>
        <n v="272.61"/>
        <n v="167.66"/>
        <n v="236.29"/>
        <n v="64.94"/>
        <n v="-157.06"/>
        <n v="-85.43"/>
        <n v="84.43"/>
        <n v="-188.62"/>
        <n v="-152.94"/>
        <n v="-27.71"/>
        <n v="-23.6"/>
        <n v="143.64"/>
        <n v="-159.64"/>
        <n v="203.62"/>
        <n v="211.29"/>
        <n v="114.69"/>
        <n v="63.05"/>
        <n v="-72.93"/>
        <n v="282.36"/>
        <n v="256.33"/>
        <n v="156.5"/>
        <n v="-60.99"/>
        <n v="-141.25"/>
        <n v="82.28"/>
        <n v="-192.68"/>
        <n v="35.3"/>
        <n v="84.26"/>
        <n v="-14.07"/>
        <n v="-92.94"/>
        <n v="239.9"/>
        <n v="-40.51"/>
        <n v="182.41"/>
        <n v="-138.65"/>
        <n v="-147.23"/>
        <n v="57.04"/>
        <n v="-23.1"/>
        <n v="298.95"/>
        <n v="160.23"/>
        <n v="-186.86"/>
        <n v="82.53"/>
        <n v="227.53"/>
        <n v="-53.41"/>
        <n v="194.46"/>
        <n v="-21.89"/>
        <n v="261.28"/>
        <n v="-147.6"/>
        <n v="-33.95"/>
        <n v="-24.91"/>
        <n v="94.58"/>
        <n v="-167.98"/>
        <n v="62.08"/>
        <n v="281.02"/>
        <n v="-19.13"/>
        <n v="254.32"/>
        <n v="253.55"/>
        <n v="10.0"/>
        <n v="64.97"/>
        <n v="235.32"/>
        <n v="171.57"/>
        <n v="-136.3"/>
        <n v="216.64"/>
        <n v="237.69"/>
        <n v="37.13"/>
        <n v="-109.97"/>
        <n v="-38.07"/>
        <n v="59.95"/>
        <n v="202.05"/>
        <n v="-7.75"/>
        <n v="172.61"/>
        <n v="-42.07"/>
        <n v="12.63"/>
        <n v="-186.06"/>
        <n v="162.53"/>
        <n v="91.26"/>
        <n v="258.72"/>
        <n v="145.3"/>
        <n v="283.29"/>
        <n v="93.94"/>
        <n v="-36.41"/>
        <n v="208.53"/>
        <n v="180.31"/>
        <n v="-105.78"/>
        <n v="243.34"/>
        <n v="95.65"/>
        <n v="236.9"/>
        <n v="158.51"/>
        <n v="-73.66"/>
        <n v="-93.03"/>
        <n v="77.31"/>
        <n v="-187.77"/>
        <n v="130.04"/>
        <n v="-19.55"/>
        <n v="238.23"/>
        <n v="204.01"/>
        <n v="12.16"/>
        <n v="-33.85"/>
        <n v="-137.66"/>
        <n v="230.12"/>
        <n v="121.61"/>
        <n v="-149.82"/>
        <n v="70.41"/>
        <n v="-55.16"/>
        <n v="-128.01"/>
        <n v="64.26"/>
        <n v="294.59"/>
        <n v="258.43"/>
        <n v="198.92"/>
        <n v="249.93"/>
        <n v="-147.27"/>
        <n v="-37.67"/>
        <n v="-186.95"/>
        <n v="76.27"/>
        <n v="112.3"/>
        <n v="236.42"/>
        <n v="277.43"/>
        <n v="-82.66"/>
        <n v="-165.61"/>
        <n v="-198.53"/>
        <n v="-127.78"/>
        <n v="-76.6"/>
        <n v="265.41"/>
        <n v="203.97"/>
        <n v="157.76"/>
        <n v="-90.71"/>
        <n v="188.41"/>
        <n v="-9.85"/>
        <n v="-178.0"/>
        <n v="-32.24"/>
        <n v="-122.2"/>
        <n v="-62.89"/>
        <n v="-90.88"/>
        <n v="85.71"/>
        <n v="256.9"/>
        <n v="-94.99"/>
        <n v="95.5"/>
        <n v="267.23"/>
        <n v="-110.87"/>
        <n v="103.25"/>
        <n v="-135.42"/>
        <n v="125.04"/>
        <n v="102.14"/>
        <n v="-150.88"/>
        <n v="-80.45"/>
        <n v="-194.75"/>
        <n v="-37.74"/>
        <n v="70.07"/>
        <n v="-151.65"/>
        <n v="217.62"/>
        <n v="185.91"/>
        <n v="-24.85"/>
        <n v="-192.27"/>
        <n v="107.43"/>
        <n v="180.53"/>
        <n v="-187.23"/>
        <n v="-173.83"/>
        <n v="278.03"/>
        <n v="205.77"/>
        <n v="189.01"/>
        <n v="278.84"/>
        <n v="-135.0"/>
        <n v="51.56"/>
        <n v="-166.55"/>
        <n v="213.6"/>
        <n v="43.15"/>
        <n v="288.6"/>
        <n v="-126.69"/>
        <n v="169.16"/>
        <n v="222.8"/>
        <n v="-190.41"/>
        <n v="43.39"/>
        <n v="205.74"/>
        <n v="215.3"/>
        <n v="189.68"/>
        <n v="-85.54"/>
        <n v="-154.35"/>
        <n v="-120.73"/>
        <n v="-79.47"/>
        <n v="208.06"/>
        <n v="-172.95"/>
        <n v="-132.42"/>
        <n v="-121.24"/>
        <n v="269.75"/>
        <n v="-190.23"/>
        <n v="182.09"/>
        <n v="-51.08"/>
        <n v="232.65"/>
        <n v="-81.22"/>
        <n v="-20.69"/>
        <n v="-132.74"/>
        <n v="207.37"/>
        <n v="298.38"/>
        <n v="214.28"/>
        <n v="-126.27"/>
        <n v="-175.82"/>
        <n v="241.16"/>
        <n v="-64.88"/>
        <n v="63.54"/>
        <n v="16.52"/>
        <n v="226.98"/>
        <n v="49.56"/>
        <n v="-65.59"/>
        <n v="87.69"/>
        <n v="-37.66"/>
        <n v="149.02"/>
        <n v="-124.37"/>
        <n v="-193.7"/>
        <n v="125.47"/>
        <n v="-15.41"/>
        <n v="98.96"/>
        <n v="-179.96"/>
        <n v="151.35"/>
        <n v="-2.73"/>
        <n v="230.31"/>
        <n v="210.88"/>
        <n v="265.13"/>
        <n v="-114.32"/>
        <n v="-116.54"/>
        <n v="152.91"/>
        <n v="122.72"/>
        <n v="-64.5"/>
        <n v="273.26"/>
        <n v="-115.56"/>
        <n v="126.54"/>
        <n v="69.42"/>
        <n v="198.35"/>
        <n v="65.29"/>
        <n v="240.22"/>
        <n v="27.97"/>
        <n v="150.44"/>
        <n v="-11.31"/>
        <n v="242.87"/>
        <n v="-179.93"/>
        <n v="-177.1"/>
        <n v="-121.16"/>
        <n v="119.18"/>
        <n v="-185.91"/>
        <n v="195.33"/>
        <n v="-52.04"/>
        <n v="79.6"/>
        <n v="101.36"/>
        <n v="44.07"/>
        <n v="191.72"/>
        <n v="189.88"/>
        <n v="-75.26"/>
        <n v="29.66"/>
        <n v="158.18"/>
        <n v="273.09"/>
        <n v="141.58"/>
        <n v="36.47"/>
        <n v="-181.01"/>
        <n v="291.68"/>
        <n v="-74.32"/>
        <n v="87.9"/>
        <n v="-176.61"/>
        <n v="234.1"/>
        <n v="112.02"/>
        <n v="-183.54"/>
        <n v="130.97"/>
        <n v="-151.33"/>
        <n v="-98.82"/>
        <n v="-191.58"/>
        <n v="157.08"/>
        <n v="42.81"/>
        <n v="168.5"/>
        <n v="-65.09"/>
        <n v="-178.57"/>
        <n v="81.84"/>
        <n v="245.18"/>
        <n v="12.18"/>
        <n v="22.78"/>
        <n v="176.09"/>
        <n v="-13.53"/>
        <n v="158.89"/>
        <n v="221.99"/>
        <n v="1.08"/>
        <n v="171.0"/>
        <n v="-81.17"/>
        <n v="-169.97"/>
        <n v="-66.42"/>
        <n v="60.56"/>
        <n v="289.44"/>
        <n v="-21.12"/>
        <n v="152.24"/>
        <n v="-107.0"/>
        <n v="-24.81"/>
        <n v="-109.37"/>
        <n v="-72.83"/>
        <n v="30.16"/>
        <n v="75.09"/>
        <n v="-119.96"/>
        <n v="252.89"/>
        <n v="-102.74"/>
        <n v="-138.51"/>
        <n v="-140.96"/>
        <n v="112.27"/>
        <n v="-149.47"/>
        <n v="59.89"/>
        <n v="-95.98"/>
        <n v="108.12"/>
        <n v="111.8"/>
        <n v="147.38"/>
        <n v="139.98"/>
        <n v="-118.82"/>
        <n v="-170.38"/>
        <n v="26.28"/>
        <n v="-28.69"/>
        <n v="-136.11"/>
        <n v="83.02"/>
        <n v="96.88"/>
        <n v="38.71"/>
        <n v="24.68"/>
        <n v="-182.66"/>
        <n v="40.51"/>
        <n v="52.29"/>
        <n v="106.5"/>
        <n v="98.1"/>
        <n v="-67.91"/>
        <n v="5.56"/>
        <n v="233.87"/>
        <n v="-7.31"/>
        <n v="-34.63"/>
        <n v="-151.23"/>
        <n v="190.62"/>
        <n v="-158.31"/>
        <n v="-84.35"/>
        <n v="283.89"/>
        <n v="-100.02"/>
        <n v="11.3"/>
        <n v="-12.27"/>
        <n v="-22.24"/>
        <n v="272.42"/>
        <n v="210.07"/>
        <n v="93.26"/>
        <n v="-56.29"/>
        <n v="-116.37"/>
        <n v="-184.84"/>
        <n v="33.3"/>
        <n v="249.54"/>
        <n v="102.9"/>
        <n v="-4.84"/>
        <n v="-83.11"/>
        <n v="-55.5"/>
        <n v="228.74"/>
        <n v="27.18"/>
        <n v="264.01"/>
        <n v="8.41"/>
        <n v="166.99"/>
        <n v="-179.68"/>
        <n v="163.75"/>
        <n v="-175.66"/>
        <n v="116.82"/>
        <n v="-31.94"/>
        <n v="238.33"/>
        <n v="-178.61"/>
        <n v="-195.49"/>
        <n v="13.48"/>
        <n v="76.46"/>
        <n v="-193.96"/>
        <n v="-192.19"/>
        <n v="164.97"/>
        <n v="43.18"/>
        <n v="127.53"/>
        <n v="65.17"/>
        <n v="41.26"/>
        <n v="-40.56"/>
        <n v="130.39"/>
        <n v="51.8"/>
        <n v="-169.94"/>
        <n v="132.14"/>
        <n v="19.79"/>
        <n v="124.5"/>
        <n v="245.85"/>
        <n v="-22.18"/>
        <n v="109.5"/>
        <n v="-64.64"/>
        <n v="-137.12"/>
        <n v="-110.55"/>
        <n v="-27.17"/>
        <n v="7.93"/>
        <n v="78.69"/>
        <n v="-32.52"/>
        <n v="-125.54"/>
        <n v="47.63"/>
        <n v="162.92"/>
        <n v="212.77"/>
        <n v="163.27"/>
        <n v="193.36"/>
        <n v="-16.7"/>
        <n v="36.54"/>
        <n v="223.29"/>
        <n v="-111.42"/>
        <n v="80.25"/>
        <n v="-101.52"/>
        <n v="223.98"/>
        <n v="259.72"/>
        <n v="-143.62"/>
        <n v="166.07"/>
        <n v="176.51"/>
        <n v="-173.24"/>
        <n v="-4.5"/>
        <n v="125.7"/>
        <n v="251.31"/>
        <n v="246.01"/>
        <n v="16.42"/>
        <n v="183.84"/>
        <n v="-31.87"/>
        <n v="126.29"/>
        <n v="221.09"/>
        <n v="254.82"/>
        <n v="208.79"/>
        <n v="141.82"/>
        <n v="30.79"/>
        <n v="140.32"/>
        <n v="-192.34"/>
        <n v="-4.31"/>
        <n v="241.1"/>
        <n v="133.94"/>
        <n v="-41.39"/>
        <n v="270.81"/>
        <n v="182.89"/>
        <n v="-196.5"/>
        <n v="50.88"/>
        <n v="-74.69"/>
        <n v="124.67"/>
        <n v="-25.1"/>
        <n v="-79.58"/>
        <n v="48.14"/>
        <n v="92.11"/>
        <n v="-104.15"/>
        <n v="76.2"/>
        <n v="48.08"/>
        <n v="189.41"/>
        <n v="-8.4"/>
        <n v="92.49"/>
        <n v="232.81"/>
        <n v="166.5"/>
        <n v="116.56"/>
        <n v="32.2"/>
        <n v="50.94"/>
        <n v="140.54"/>
        <n v="-55.6"/>
        <n v="-35.87"/>
        <n v="101.71"/>
        <n v="249.1"/>
        <n v="-33.4"/>
        <n v="-41.15"/>
        <n v="228.72"/>
        <n v="-113.68"/>
        <n v="293.37"/>
        <n v="-181.91"/>
        <n v="50.07"/>
        <n v="40.6"/>
        <n v="-68.51"/>
        <n v="237.57"/>
        <n v="242.91"/>
        <n v="261.92"/>
        <n v="139.85"/>
        <n v="16.25"/>
        <n v="215.73"/>
        <n v="16.57"/>
        <n v="-46.81"/>
        <n v="211.7"/>
        <n v="-100.23"/>
        <n v="-89.84"/>
        <n v="-187.65"/>
        <n v="-101.69"/>
        <n v="112.24"/>
        <n v="193.59"/>
        <n v="16.61"/>
        <n v="1.07"/>
        <n v="250.99"/>
        <n v="117.58"/>
        <n v="258.01"/>
        <n v="15.38"/>
        <n v="91.18"/>
        <n v="64.6"/>
        <n v="-61.62"/>
        <n v="272.97"/>
        <n v="-26.09"/>
        <n v="8.38"/>
        <n v="-10.84"/>
        <n v="204.34"/>
        <n v="-133.8"/>
        <n v="-128.28"/>
        <n v="-33.52"/>
        <n v="289.46"/>
        <n v="49.61"/>
        <n v="228.12"/>
        <n v="131.84"/>
        <n v="108.01"/>
        <n v="8.91"/>
        <n v="-181.32"/>
        <n v="-54.69"/>
        <n v="-31.04"/>
        <n v="-25.61"/>
        <n v="234.71"/>
        <n v="-7.42"/>
        <n v="279.5"/>
        <n v="102.3"/>
        <n v="238.57"/>
        <n v="-28.92"/>
        <n v="243.29"/>
        <n v="-85.07"/>
        <n v="135.4"/>
        <n v="83.39"/>
        <n v="191.61"/>
        <n v="119.96"/>
        <n v="231.79"/>
        <n v="-74.51"/>
        <n v="98.3"/>
        <n v="49.49"/>
        <n v="-183.35"/>
        <n v="175.94"/>
        <n v="294.67"/>
        <n v="233.43"/>
        <n v="128.66"/>
        <n v="-175.55"/>
        <n v="-154.56"/>
        <n v="-130.1"/>
        <n v="256.44"/>
        <n v="253.38"/>
        <n v="291.42"/>
        <n v="-2.0"/>
        <n v="217.04"/>
        <n v="250.15"/>
        <n v="228.79"/>
        <n v="-168.24"/>
        <n v="38.29"/>
        <n v="270.41"/>
        <n v="70.68"/>
        <n v="-21.46"/>
        <n v="289.61"/>
        <n v="232.92"/>
        <n v="34.1"/>
        <n v="-120.87"/>
        <n v="-60.03"/>
        <n v="87.74"/>
        <n v="55.5"/>
        <n v="-191.88"/>
        <n v="8.48"/>
        <n v="146.95"/>
        <n v="9.89"/>
        <n v="-122.77"/>
        <n v="-183.47"/>
        <n v="-23.35"/>
        <n v="292.71"/>
        <n v="-17.15"/>
        <n v="-14.06"/>
        <n v="280.58"/>
        <n v="-105.18"/>
        <n v="-68.92"/>
        <n v="15.83"/>
        <n v="-167.76"/>
        <n v="274.82"/>
        <n v="-109.84"/>
        <n v="-124.48"/>
        <n v="-127.38"/>
        <n v="205.02"/>
        <n v="162.42"/>
        <n v="-74.87"/>
        <n v="-60.28"/>
        <n v="87.84"/>
        <n v="-43.0"/>
        <n v="19.38"/>
        <n v="72.6"/>
        <n v="-159.96"/>
        <n v="58.57"/>
        <n v="174.05"/>
        <n v="-74.48"/>
        <n v="-44.94"/>
        <n v="278.79"/>
        <n v="-148.4"/>
        <n v="9.37"/>
        <n v="-107.3"/>
        <n v="-37.78"/>
        <n v="84.1"/>
        <n v="-91.66"/>
        <n v="102.97"/>
        <n v="111.05"/>
        <n v="114.29"/>
        <n v="171.09"/>
        <n v="87.41"/>
        <n v="-128.76"/>
        <n v="-156.67"/>
        <n v="-172.06"/>
        <n v="-4.26"/>
        <n v="230.85"/>
        <n v="-133.09"/>
        <n v="255.57"/>
        <n v="-167.86"/>
        <n v="236.04"/>
        <n v="-140.93"/>
        <n v="213.42"/>
        <n v="104.58"/>
        <n v="-74.09"/>
        <n v="299.28"/>
        <n v="267.24"/>
        <n v="48.89"/>
        <n v="-194.41"/>
        <n v="110.77"/>
        <n v="-169.51"/>
        <n v="59.38"/>
        <n v="-135.56"/>
        <n v="-40.59"/>
        <n v="-87.78"/>
        <n v="255.68"/>
        <n v="-126.34"/>
        <n v="252.07"/>
        <n v="-120.61"/>
        <n v="137.16"/>
        <n v="33.79"/>
        <n v="293.93"/>
        <n v="-195.72"/>
        <n v="-101.39"/>
        <n v="188.01"/>
        <n v="123.08"/>
        <n v="237.99"/>
        <n v="146.52"/>
        <n v="82.94"/>
        <n v="-54.12"/>
        <n v="-168.61"/>
        <n v="99.32"/>
        <n v="127.01"/>
        <n v="-32.01"/>
        <n v="-119.34"/>
        <n v="-13.91"/>
        <n v="-28.51"/>
        <n v="266.33"/>
        <n v="17.75"/>
        <n v="-177.4"/>
        <n v="7.98"/>
        <n v="257.31"/>
        <n v="64.7"/>
        <n v="-35.05"/>
        <n v="76.72"/>
        <n v="50.16"/>
        <n v="189.56"/>
        <n v="13.21"/>
        <n v="65.3"/>
        <n v="-50.61"/>
        <n v="263.45"/>
        <n v="139.54"/>
        <n v="-14.19"/>
        <n v="-111.95"/>
        <n v="71.8"/>
        <n v="-52.02"/>
        <n v="-27.73"/>
        <n v="-19.35"/>
        <n v="-74.13"/>
        <n v="-46.68"/>
        <n v="-17.49"/>
        <n v="-171.82"/>
        <n v="-150.3"/>
        <n v="-108.87"/>
        <n v="272.11"/>
        <n v="109.61"/>
        <n v="-40.47"/>
        <n v="251.2"/>
        <n v="183.72"/>
        <n v="-65.51"/>
        <n v="59.64"/>
        <n v="-70.64"/>
        <n v="274.86"/>
        <n v="237.72"/>
        <n v="192.66"/>
        <n v="78.12"/>
        <n v="240.65"/>
        <n v="-188.16"/>
        <n v="-97.72"/>
        <n v="254.24"/>
        <n v="217.68"/>
        <n v="75.85"/>
        <n v="204.33"/>
        <n v="-191.18"/>
        <n v="-121.43"/>
        <n v="170.96"/>
        <n v="-134.42"/>
        <n v="-68.71"/>
        <n v="103.95"/>
        <n v="-31.69"/>
        <n v="98.75"/>
        <n v="-39.34"/>
        <n v="-55.67"/>
        <n v="-38.02"/>
        <n v="65.69"/>
        <n v="145.15"/>
        <n v="-53.48"/>
        <n v="188.84"/>
        <n v="219.45"/>
        <n v="-93.26"/>
        <n v="-143.59"/>
        <n v="94.68"/>
        <n v="183.4"/>
        <n v="197.28"/>
        <n v="-82.87"/>
        <n v="4.19"/>
        <n v="123.05"/>
        <n v="202.79"/>
        <n v="158.74"/>
        <n v="208.88"/>
        <n v="-180.09"/>
        <n v="65.01"/>
        <n v="109.32"/>
        <n v="249.87"/>
        <n v="-135.06"/>
        <n v="40.22"/>
        <n v="-126.29"/>
        <n v="-141.56"/>
        <n v="-48.17"/>
        <n v="-180.0"/>
        <n v="272.62"/>
        <n v="52.05"/>
        <n v="-144.19"/>
        <n v="160.27"/>
        <n v="13.7"/>
        <n v="245.19"/>
        <n v="27.62"/>
        <n v="-49.85"/>
        <n v="28.32"/>
        <n v="120.13"/>
        <n v="221.38"/>
        <n v="199.23"/>
        <n v="81.63"/>
        <n v="-141.19"/>
        <n v="-68.11"/>
        <n v="45.94"/>
        <n v="-150.9"/>
        <n v="185.71"/>
        <n v="-58.21"/>
        <n v="137.43"/>
        <n v="114.95"/>
        <n v="-128.97"/>
        <n v="-96.24"/>
        <n v="129.54"/>
        <n v="25.8"/>
        <n v="221.07"/>
        <n v="68.57"/>
        <n v="44.72"/>
        <n v="248.2"/>
        <n v="65.7"/>
        <n v="122.51"/>
        <n v="206.37"/>
        <n v="-8.46"/>
        <n v="-21.6"/>
        <n v="42.03"/>
        <n v="17.98"/>
        <n v="-25.06"/>
        <n v="131.06"/>
        <n v="13.26"/>
        <n v="131.95"/>
        <n v="-101.75"/>
        <n v="270.62"/>
        <n v="-44.53"/>
        <n v="-42.44"/>
        <n v="69.8"/>
        <n v="104.52"/>
        <n v="35.29"/>
        <n v="158.8"/>
        <n v="226.8"/>
        <n v="205.03"/>
        <n v="22.58"/>
        <n v="193.61"/>
        <n v="-125.33"/>
        <n v="221.37"/>
        <n v="57.58"/>
        <n v="-34.72"/>
        <n v="-145.8"/>
        <n v="-35.35"/>
        <n v="94.32"/>
        <n v="155.61"/>
        <n v="39.33"/>
        <n v="206.35"/>
        <n v="-185.02"/>
        <n v="259.6"/>
        <n v="100.54"/>
        <n v="-24.4"/>
        <n v="56.82"/>
        <n v="212.18"/>
        <n v="58.2"/>
        <n v="297.2"/>
        <n v="-155.16"/>
        <n v="197.75"/>
        <n v="-184.27"/>
        <n v="193.92"/>
        <n v="-86.19"/>
        <n v="-118.9"/>
        <n v="145.36"/>
        <n v="59.71"/>
        <n v="-174.84"/>
        <n v="267.06"/>
        <n v="174.88"/>
        <n v="246.69"/>
        <n v="-38.2"/>
        <n v="245.34"/>
        <n v="-133.38"/>
        <n v="270.0"/>
        <n v="115.47"/>
        <n v="198.82"/>
        <n v="-15.72"/>
        <n v="178.73"/>
        <n v="-93.16"/>
        <n v="145.2"/>
        <n v="-20.03"/>
        <n v="74.57"/>
        <n v="-43.53"/>
        <n v="6.71"/>
        <n v="-61.07"/>
        <n v="82.08"/>
        <n v="76.75"/>
        <n v="134.64"/>
        <n v="266.87"/>
        <n v="97.06"/>
        <n v="30.75"/>
        <n v="-42.67"/>
        <n v="-48.22"/>
        <n v="-149.81"/>
        <n v="8.33"/>
        <n v="-91.69"/>
        <n v="140.63"/>
        <n v="140.41"/>
        <n v="-54.04"/>
        <n v="24.25"/>
        <n v="100.99"/>
        <n v="138.86"/>
        <n v="264.22"/>
        <n v="244.92"/>
        <n v="138.39"/>
        <n v="99.06"/>
        <n v="-39.14"/>
        <n v="-182.57"/>
        <n v="-96.83"/>
        <n v="27.53"/>
        <n v="289.25"/>
        <n v="147.32"/>
        <n v="65.26"/>
        <n v="235.75"/>
        <n v="-123.13"/>
        <n v="-35.14"/>
        <n v="252.64"/>
        <n v="-170.53"/>
        <n v="-166.59"/>
        <n v="-62.06"/>
        <n v="214.41"/>
        <n v="-133.57"/>
        <n v="36.11"/>
        <n v="244.8"/>
        <n v="-149.76"/>
        <n v="-8.63"/>
        <n v="200.44"/>
        <n v="-144.01"/>
        <n v="94.96"/>
        <n v="-111.71"/>
        <n v="28.31"/>
        <n v="-121.7"/>
        <n v="82.26"/>
        <n v="72.32"/>
        <n v="5.97"/>
        <n v="195.23"/>
        <n v="-67.41"/>
        <n v="-6.31"/>
        <n v="-4.96"/>
        <n v="-185.56"/>
        <n v="80.71"/>
        <n v="172.45"/>
        <n v="-120.42"/>
        <n v="6.38"/>
        <n v="118.59"/>
        <n v="243.06"/>
        <n v="-7.45"/>
        <n v="-160.88"/>
        <n v="-158.27"/>
        <n v="-130.9"/>
        <n v="-78.13"/>
        <n v="-122.51"/>
        <n v="20.32"/>
        <n v="63.89"/>
        <n v="63.69"/>
        <n v="283.16"/>
        <n v="101.58"/>
        <n v="-116.99"/>
        <n v="156.71"/>
        <n v="161.3"/>
        <n v="-16.54"/>
        <n v="-138.33"/>
        <n v="224.65"/>
        <n v="-156.0"/>
        <n v="249.75"/>
        <n v="67.27"/>
        <n v="182.52"/>
        <n v="-199.45"/>
        <n v="-89.19"/>
        <n v="-140.58"/>
        <n v="-164.37"/>
        <n v="293.67"/>
        <n v="22.32"/>
        <n v="251.12"/>
        <n v="195.41"/>
        <n v="259.74"/>
        <n v="89.27"/>
        <n v="214.56"/>
        <n v="95.23"/>
        <n v="211.32"/>
        <n v="-124.09"/>
        <n v="237.23"/>
        <n v="-86.27"/>
        <n v="38.33"/>
        <n v="29.84"/>
        <n v="111.74"/>
        <n v="-137.49"/>
        <n v="133.97"/>
        <n v="-134.48"/>
        <n v="207.47"/>
        <n v="-88.19"/>
        <n v="-129.47"/>
        <n v="58.31"/>
        <n v="-13.61"/>
        <n v="-35.25"/>
        <n v="183.47"/>
        <n v="-121.22"/>
        <n v="-137.9"/>
        <n v="170.7"/>
        <n v="-177.0"/>
        <n v="-93.96"/>
        <n v="291.3"/>
        <n v="198.24"/>
        <n v="-45.13"/>
        <n v="-20.29"/>
        <n v="58.07"/>
        <n v="-150.22"/>
        <n v="-85.08"/>
        <n v="-18.2"/>
        <n v="297.68"/>
        <n v="-1.87"/>
        <n v="244.21"/>
        <n v="168.6"/>
        <n v="-17.85"/>
        <n v="99.15"/>
        <n v="-38.76"/>
        <n v="-192.84"/>
        <n v="175.72"/>
        <n v="-34.73"/>
        <n v="175.88"/>
        <n v="226.38"/>
        <n v="-165.16"/>
        <n v="-100.47"/>
        <n v="17.62"/>
        <n v="71.47"/>
        <n v="200.19"/>
        <n v="227.63"/>
        <n v="19.24"/>
        <n v="172.12"/>
        <n v="81.48"/>
        <n v="-12.03"/>
        <n v="-129.09"/>
        <n v="177.91"/>
        <n v="192.26"/>
        <n v="117.29"/>
        <n v="74.02"/>
        <n v="254.76"/>
        <n v="185.18"/>
        <n v="32.88"/>
        <n v="-67.73"/>
        <n v="269.31"/>
        <n v="-156.49"/>
        <n v="218.1"/>
        <n v="234.42"/>
        <n v="137.17"/>
        <n v="-115.59"/>
        <n v="52.84"/>
        <n v="-35.77"/>
        <n v="262.78"/>
        <n v="53.85"/>
        <n v="-129.97"/>
        <n v="67.95"/>
        <n v="-86.88"/>
        <n v="251.04"/>
        <n v="-182.82"/>
        <n v="37.63"/>
        <n v="210.46"/>
        <n v="66.76"/>
        <n v="-185.3"/>
        <n v="-154.47"/>
        <n v="-56.97"/>
        <n v="186.16"/>
        <n v="106.46"/>
        <n v="296.6"/>
        <n v="-107.37"/>
        <n v="-137.72"/>
        <n v="128.59"/>
        <n v="134.99"/>
        <n v="32.33"/>
        <n v="-179.51"/>
        <n v="-164.52"/>
        <n v="-136.93"/>
        <n v="268.26"/>
        <n v="211.1"/>
        <n v="202.61"/>
        <n v="291.45"/>
        <n v="74.89"/>
        <n v="136.01"/>
        <n v="178.68"/>
        <n v="116.55"/>
        <n v="122.68"/>
        <n v="194.07"/>
        <n v="-191.13"/>
        <n v="-150.09"/>
        <n v="174.78"/>
        <n v="122.47"/>
        <n v="179.18"/>
        <n v="115.44"/>
        <n v="295.46"/>
        <n v="-173.14"/>
        <n v="100.94"/>
        <n v="7.46"/>
        <n v="173.26"/>
        <n v="-71.31"/>
        <n v="169.28"/>
        <n v="-73.14"/>
        <n v="-62.13"/>
        <n v="46.71"/>
        <n v="244.38"/>
        <n v="206.5"/>
        <n v="-131.21"/>
        <n v="-12.93"/>
        <n v="-176.3"/>
        <n v="30.21"/>
        <n v="298.2"/>
        <n v="-199.95"/>
        <n v="203.22"/>
        <n v="-26.06"/>
        <n v="114.63"/>
        <n v="238.83"/>
        <n v="252.49"/>
        <n v="-185.83"/>
        <n v="90.84"/>
        <n v="226.33"/>
        <n v="-149.62"/>
        <n v="-199.66"/>
        <n v="88.67"/>
        <n v="-76.94"/>
        <n v="237.68"/>
        <n v="113.27"/>
        <n v="66.99"/>
        <n v="275.78"/>
        <n v="66.82"/>
        <n v="-150.61"/>
        <n v="-136.2"/>
        <n v="-150.78"/>
        <n v="-93.43"/>
        <n v="121.38"/>
        <n v="-63.76"/>
        <n v="-98.87"/>
        <n v="57.67"/>
        <n v="31.14"/>
        <n v="33.67"/>
        <n v="46.16"/>
        <n v="144.59"/>
        <n v="159.89"/>
        <n v="30.13"/>
        <n v="146.45"/>
        <n v="114.55"/>
        <n v="13.82"/>
        <n v="134.17"/>
        <n v="-73.99"/>
        <n v="158.75"/>
        <n v="-12.51"/>
        <n v="-78.1"/>
        <n v="-39.19"/>
        <n v="100.41"/>
        <n v="67.88"/>
        <n v="-81.65"/>
        <n v="-57.47"/>
        <n v="32.58"/>
        <n v="-24.58"/>
        <n v="26.1"/>
        <n v="-145.44"/>
        <n v="120.49"/>
        <n v="-58.78"/>
        <n v="190.48"/>
        <n v="-9.32"/>
        <n v="153.57"/>
        <n v="-184.16"/>
        <n v="137.1"/>
        <n v="57.54"/>
        <n v="127.26"/>
        <n v="269.46"/>
        <n v="136.81"/>
        <n v="-139.12"/>
        <n v="-105.77"/>
        <n v="29.72"/>
        <n v="-10.16"/>
        <n v="109.06"/>
        <n v="26.11"/>
        <n v="-112.1"/>
        <n v="63.49"/>
        <n v="114.99"/>
        <n v="281.67"/>
        <n v="-113.21"/>
        <n v="-101.81"/>
        <n v="-149.25"/>
        <n v="50.81"/>
        <n v="-12.54"/>
        <n v="3.88"/>
        <n v="-126.95"/>
        <n v="-155.85"/>
        <n v="182.54"/>
        <n v="-111.24"/>
        <n v="81.27"/>
        <n v="199.72"/>
        <n v="170.27"/>
        <n v="-14.93"/>
        <n v="-169.04"/>
        <n v="-30.85"/>
        <n v="36.75"/>
        <n v="-108.09"/>
        <n v="66.05"/>
        <n v="-190.24"/>
        <n v="-185.34"/>
        <n v="76.59"/>
        <n v="115.24"/>
        <n v="210.21"/>
        <n v="-37.31"/>
        <n v="48.92"/>
        <n v="76.42"/>
        <n v="-60.1"/>
        <n v="-15.09"/>
        <n v="-188.66"/>
        <n v="74.49"/>
        <n v="204.68"/>
        <n v="96.24"/>
        <n v="-118.8"/>
        <n v="80.27"/>
        <n v="272.78"/>
        <n v="-122.75"/>
        <n v="-49.5"/>
        <n v="-111.22"/>
        <n v="-22.69"/>
        <n v="286.06"/>
        <n v="249.17"/>
        <n v="123.62"/>
        <n v="159.41"/>
        <n v="15.77"/>
        <n v="292.64"/>
        <n v="-64.76"/>
        <n v="50.32"/>
        <n v="77.2"/>
        <n v="39.76"/>
        <n v="134.35"/>
        <n v="253.59"/>
        <n v="-97.97"/>
        <n v="-29.05"/>
        <n v="158.34"/>
        <n v="207.34"/>
        <n v="183.38"/>
        <n v="165.1"/>
        <n v="118.02"/>
        <n v="34.17"/>
        <n v="172.69"/>
        <n v="-79.01"/>
        <n v="-167.19"/>
        <n v="109.54"/>
        <n v="-128.48"/>
        <n v="-7.09"/>
        <n v="129.53"/>
        <n v="-43.81"/>
        <n v="64.9"/>
        <n v="280.75"/>
        <n v="-97.73"/>
        <n v="39.38"/>
        <n v="101.11"/>
        <n v="159.15"/>
        <n v="177.0"/>
        <n v="171.75"/>
        <n v="146.84"/>
        <n v="87.21"/>
        <n v="215.69"/>
        <n v="173.31"/>
        <n v="83.69"/>
        <n v="105.07"/>
        <n v="62.83"/>
        <n v="242.8"/>
        <n v="47.0"/>
        <n v="61.57"/>
        <n v="6.7"/>
        <n v="10.74"/>
        <n v="183.91"/>
        <n v="231.32"/>
        <n v="113.03"/>
        <n v="161.6"/>
        <n v="-141.69"/>
        <n v="102.94"/>
        <n v="-33.78"/>
        <n v="-110.9"/>
        <n v="99.22"/>
        <n v="62.22"/>
        <n v="23.97"/>
        <n v="114.57"/>
        <n v="25.68"/>
        <n v="112.38"/>
        <n v="2.58"/>
        <n v="-127.15"/>
        <n v="104.89"/>
        <n v="-2.92"/>
        <n v="255.19"/>
        <n v="-187.26"/>
        <n v="-180.78"/>
        <n v="150.01"/>
        <n v="189.35"/>
        <n v="286.56"/>
        <n v="207.54"/>
        <n v="-73.56"/>
        <n v="94.02"/>
        <n v="-108.01"/>
        <n v="-35.75"/>
        <n v="16.91"/>
        <n v="108.39"/>
        <n v="12.7"/>
        <n v="-29.44"/>
        <n v="256.2"/>
        <n v="8.89"/>
        <n v="-107.84"/>
        <n v="295.24"/>
        <n v="219.71"/>
        <n v="170.68"/>
        <n v="-103.02"/>
        <n v="-117.17"/>
        <n v="-198.28"/>
        <n v="93.13"/>
        <n v="235.05"/>
        <n v="156.36"/>
        <n v="79.5"/>
        <n v="181.44"/>
        <n v="224.96"/>
        <n v="88.58"/>
        <n v="-42.28"/>
        <n v="235.15"/>
        <n v="-155.75"/>
        <n v="-195.03"/>
        <n v="288.84"/>
        <n v="261.16"/>
        <n v="9.14"/>
        <n v="-21.96"/>
        <n v="83.11"/>
        <n v="123.24"/>
        <n v="-60.71"/>
        <n v="66.78"/>
        <n v="-141.58"/>
        <n v="-66.78"/>
        <n v="60.58"/>
        <n v="226.19"/>
        <n v="-7.37"/>
        <n v="23.64"/>
        <n v="-25.32"/>
        <n v="-13.58"/>
        <n v="-45.39"/>
        <n v="-199.18"/>
        <n v="28.17"/>
        <n v="-133.11"/>
        <n v="291.74"/>
        <n v="159.7"/>
        <n v="147.36"/>
        <n v="-182.59"/>
        <n v="12.54"/>
        <n v="-2.42"/>
        <n v="203.58"/>
        <n v="237.29"/>
        <n v="-80.7"/>
        <n v="-70.22"/>
        <n v="-183.74"/>
        <n v="159.95"/>
        <n v="161.84"/>
        <n v="9.7"/>
        <n v="230.18"/>
        <n v="234.16"/>
        <n v="-30.2"/>
        <n v="153.7"/>
        <n v="81.97"/>
        <n v="68.39"/>
        <n v="-183.98"/>
        <n v="197.37"/>
        <n v="273.79"/>
        <n v="-53.84"/>
        <n v="208.12"/>
        <n v="-70.66"/>
        <n v="-156.79"/>
        <n v="-138.48"/>
        <n v="102.25"/>
        <n v="235.99"/>
        <n v="285.7"/>
        <n v="0.97"/>
        <n v="222.55"/>
        <n v="166.81"/>
        <n v="264.23"/>
        <n v="-92.33"/>
        <n v="223.53"/>
        <n v="186.52"/>
        <n v="232.07"/>
        <n v="-12.57"/>
        <n v="14.01"/>
        <n v="18.01"/>
        <n v="174.65"/>
        <n v="134.68"/>
        <n v="35.5"/>
        <n v="-192.01"/>
        <n v="282.12"/>
        <n v="74.0"/>
        <n v="78.07"/>
        <n v="148.17"/>
        <n v="252.31"/>
        <n v="-72.67"/>
        <n v="154.12"/>
        <n v="-145.12"/>
        <n v="-163.04"/>
        <n v="-114.29"/>
        <n v="-166.65"/>
        <n v="-158.51"/>
        <n v="-32.23"/>
        <n v="22.54"/>
        <n v="-143.95"/>
        <n v="135.65"/>
        <n v="34.93"/>
        <n v="-116.75"/>
        <n v="-189.85"/>
        <n v="-132.73"/>
        <n v="120.3"/>
        <n v="240.47"/>
        <n v="-6.65"/>
        <n v="-68.83"/>
        <n v="149.46"/>
        <n v="221.23"/>
        <n v="170.3"/>
        <n v="224.07"/>
        <n v="-16.56"/>
        <n v="209.13"/>
        <n v="-85.36"/>
        <n v="257.09"/>
        <n v="226.06"/>
        <n v="240.35"/>
        <n v="210.52"/>
        <n v="22.69"/>
        <n v="-122.32"/>
        <n v="242.84"/>
        <n v="-98.83"/>
        <n v="-173.32"/>
        <n v="186.26"/>
        <n v="-163.14"/>
        <n v="197.03"/>
        <n v="24.44"/>
        <n v="0.86"/>
        <n v="127.97"/>
        <n v="151.75"/>
        <n v="292.93"/>
        <n v="295.8"/>
        <n v="12.93"/>
        <n v="-76.96"/>
        <n v="68.85"/>
        <n v="-93.0"/>
        <n v="-188.45"/>
        <n v="266.16"/>
        <n v="141.14"/>
        <n v="-2.18"/>
        <n v="-171.51"/>
        <n v="-77.38"/>
        <n v="-125.58"/>
        <n v="123.37"/>
        <n v="168.55"/>
        <n v="-96.54"/>
        <n v="-128.6"/>
        <n v="123.02"/>
        <n v="294.97"/>
        <n v="90.57"/>
        <n v="-4.11"/>
        <n v="206.07"/>
        <n v="257.64"/>
        <n v="184.3"/>
        <n v="122.95"/>
        <n v="42.28"/>
        <n v="254.87"/>
        <n v="296.2"/>
        <n v="-128.52"/>
        <n v="-47.0"/>
        <n v="222.52"/>
        <n v="224.84"/>
        <n v="269.35"/>
        <n v="73.52"/>
        <n v="251.19"/>
        <n v="-3.28"/>
        <n v="134.19"/>
        <n v="157.57"/>
        <n v="176.47"/>
        <n v="-196.96"/>
        <n v="236.43"/>
        <n v="-177.42"/>
        <n v="-99.39"/>
        <n v="257.54"/>
        <n v="-72.6"/>
        <n v="121.6"/>
        <n v="295.82"/>
        <n v="-15.54"/>
        <n v="61.61"/>
        <n v="221.71"/>
        <n v="171.52"/>
        <n v="63.11"/>
        <n v="-153.36"/>
        <n v="-180.93"/>
        <n v="-10.08"/>
        <n v="-182.31"/>
        <n v="160.41"/>
        <n v="-54.33"/>
        <n v="171.99"/>
        <n v="-100.65"/>
        <n v="93.3"/>
        <n v="-95.89"/>
        <n v="213.61"/>
        <n v="-58.11"/>
        <n v="-161.46"/>
        <n v="41.65"/>
        <n v="-35.73"/>
        <n v="-73.78"/>
      </sharedItems>
    </cacheField>
    <cacheField name="Quantity" numFmtId="0">
      <sharedItems containsSemiMixedTypes="0" containsString="0" containsNumber="1" containsInteger="1">
        <n v="2.0"/>
        <n v="4.0"/>
        <n v="5.0"/>
        <n v="10.0"/>
        <n v="7.0"/>
        <n v="9.0"/>
        <n v="1.0"/>
        <n v="3.0"/>
        <n v="6.0"/>
        <n v="8.0"/>
      </sharedItems>
    </cacheField>
    <cacheField name="Segment" numFmtId="0">
      <sharedItems>
        <s v="Corporate"/>
        <s v="Consumer"/>
        <s v="Home Office"/>
      </sharedItems>
    </cacheField>
    <cacheField name="Ship Mode" numFmtId="0">
      <sharedItems>
        <s v="Standard Class"/>
        <s v="First Class"/>
        <s v="Second Class"/>
        <s v="Same Day"/>
      </sharedItems>
    </cacheField>
    <cacheField name="Year" numFmtId="0">
      <sharedItems containsSemiMixedTypes="0" containsString="0" containsNumber="1" containsInteger="1">
        <n v="2023.0"/>
        <n v="2021.0"/>
        <n v="2022.0"/>
        <n v="2024.0"/>
      </sharedItems>
    </cacheField>
    <cacheField name="Month" numFmtId="0">
      <sharedItems>
        <s v="Jun"/>
        <s v="Sep"/>
        <s v="May"/>
        <s v="Apr"/>
        <s v="Aug"/>
        <s v="Oct"/>
        <s v="Jul"/>
        <s v="Feb"/>
        <s v="Mar"/>
        <s v="Nov"/>
        <s v="Jan"/>
        <s v="Dec"/>
      </sharedItems>
    </cacheField>
    <cacheField name="Profit Status" numFmtId="0">
      <sharedItems>
        <s v="Profit"/>
        <s v="Los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s" cacheId="0" dataCaption="" compact="0" compactData="0">
  <location ref="A5:B10" firstHeaderRow="0" firstDataRow="1" firstDataCol="0" rowPageCount="1" colPageCount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name="Region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gment" axis="axisPage" compact="0" outline="0" multipleItemSelectionAllowed="1" showAll="0">
      <items>
        <item h="1" x="0"/>
        <item h="1" x="1"/>
        <item x="2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 Status" compact="0" outline="0" multipleItemSelectionAllowed="1" showAll="0">
      <items>
        <item x="0"/>
        <item x="1"/>
        <item t="default"/>
      </items>
    </pivotField>
  </pivotFields>
  <rowFields>
    <field x="2"/>
  </rowFields>
  <pageFields>
    <pageField fld="8"/>
  </pageFields>
  <dataFields>
    <dataField name="Sum of Sales" fld="5" baseField="0"/>
  </dataFields>
</pivotTableDefinition>
</file>

<file path=xl/pivotTables/pivotTable2.xml><?xml version="1.0" encoding="utf-8"?>
<pivotTableDefinition xmlns="http://schemas.openxmlformats.org/spreadsheetml/2006/main" name="Pivot Tables 2" cacheId="0" dataCaption="" compact="0" compactData="0">
  <location ref="A14:B18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ategory" axis="axisRow" compact="0" outline="0" multipleItemSelectionAllowed="1" showAll="0" sortType="ascending">
      <items>
        <item x="0"/>
        <item x="2"/>
        <item x="1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 Status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Sum of Profit" fld="6" baseField="0"/>
  </dataFields>
</pivotTableDefinition>
</file>

<file path=xl/pivotTables/pivotTable3.xml><?xml version="1.0" encoding="utf-8"?>
<pivotTableDefinition xmlns="http://schemas.openxmlformats.org/spreadsheetml/2006/main" name="Pivot Tables 3" cacheId="0" dataCaption="" compact="0" compactData="0">
  <location ref="A24:B37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Month" axis="axisRow" compact="0" outline="0" multipleItemSelectionAllowed="1" showAll="0" sortType="ascending">
      <items>
        <item x="3"/>
        <item x="4"/>
        <item x="11"/>
        <item x="7"/>
        <item x="10"/>
        <item x="6"/>
        <item x="0"/>
        <item x="8"/>
        <item x="2"/>
        <item x="9"/>
        <item x="5"/>
        <item x="1"/>
        <item t="default"/>
      </items>
    </pivotField>
    <pivotField name="Profit Status" compact="0" outline="0" multipleItemSelectionAllowed="1" showAll="0">
      <items>
        <item x="0"/>
        <item x="1"/>
        <item t="default"/>
      </items>
    </pivotField>
  </pivotFields>
  <rowFields>
    <field x="11"/>
  </rowFields>
  <dataFields>
    <dataField name="Sum of Sales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8.71"/>
    <col customWidth="1" min="3" max="3" width="15.57"/>
    <col customWidth="1" min="4" max="4" width="15.86"/>
    <col customWidth="1" min="5" max="5" width="14.71"/>
    <col customWidth="1" min="6" max="6" width="10.0"/>
    <col customWidth="1" min="7" max="7" width="10.29"/>
    <col customWidth="1" min="8" max="8" width="10.57"/>
    <col customWidth="1" min="9" max="9" width="14.57"/>
    <col customWidth="1" min="10" max="10" width="17.29"/>
    <col customWidth="1" min="11" max="11" width="8.86"/>
    <col customWidth="1" min="12" max="12" width="8.0"/>
    <col customWidth="1" min="13" max="13" width="12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1" t="s">
        <v>13</v>
      </c>
      <c r="B2" s="2">
        <v>45102.0</v>
      </c>
      <c r="C2" s="1" t="s">
        <v>14</v>
      </c>
      <c r="D2" s="1" t="s">
        <v>15</v>
      </c>
      <c r="E2" s="1" t="s">
        <v>16</v>
      </c>
      <c r="F2" s="1">
        <v>434.15</v>
      </c>
      <c r="G2" s="1">
        <v>118.09</v>
      </c>
      <c r="H2" s="1">
        <v>2.0</v>
      </c>
      <c r="I2" s="1" t="s">
        <v>17</v>
      </c>
      <c r="J2" s="1" t="s">
        <v>18</v>
      </c>
      <c r="K2" s="1">
        <f t="shared" ref="K2:K8001" si="1">YEAR(B2)</f>
        <v>2023</v>
      </c>
      <c r="L2" s="1" t="str">
        <f t="shared" ref="L2:L8001" si="2">TEXT(B2,"mmm")</f>
        <v>Jun</v>
      </c>
      <c r="M2" s="1" t="str">
        <f t="shared" ref="M2:M8001" si="3">IF(G2&lt;0,"Loss","Profit")</f>
        <v>Profit</v>
      </c>
    </row>
    <row r="3" ht="14.25" customHeight="1">
      <c r="A3" s="1" t="s">
        <v>19</v>
      </c>
      <c r="B3" s="2">
        <v>44465.0</v>
      </c>
      <c r="C3" s="1" t="s">
        <v>20</v>
      </c>
      <c r="D3" s="1" t="s">
        <v>21</v>
      </c>
      <c r="E3" s="1" t="s">
        <v>22</v>
      </c>
      <c r="F3" s="1">
        <v>774.67</v>
      </c>
      <c r="G3" s="1">
        <v>18.91</v>
      </c>
      <c r="H3" s="1">
        <v>4.0</v>
      </c>
      <c r="I3" s="1" t="s">
        <v>23</v>
      </c>
      <c r="J3" s="1" t="s">
        <v>24</v>
      </c>
      <c r="K3" s="1">
        <f t="shared" si="1"/>
        <v>2021</v>
      </c>
      <c r="L3" s="1" t="str">
        <f t="shared" si="2"/>
        <v>Sep</v>
      </c>
      <c r="M3" s="1" t="str">
        <f t="shared" si="3"/>
        <v>Profit</v>
      </c>
    </row>
    <row r="4" ht="14.25" customHeight="1">
      <c r="A4" s="1" t="s">
        <v>25</v>
      </c>
      <c r="B4" s="2">
        <v>44705.0</v>
      </c>
      <c r="C4" s="1" t="s">
        <v>26</v>
      </c>
      <c r="D4" s="1" t="s">
        <v>27</v>
      </c>
      <c r="E4" s="1" t="s">
        <v>28</v>
      </c>
      <c r="F4" s="1">
        <v>350.49</v>
      </c>
      <c r="G4" s="1">
        <v>-82.03</v>
      </c>
      <c r="H4" s="1">
        <v>5.0</v>
      </c>
      <c r="I4" s="1" t="s">
        <v>17</v>
      </c>
      <c r="J4" s="1" t="s">
        <v>24</v>
      </c>
      <c r="K4" s="1">
        <f t="shared" si="1"/>
        <v>2022</v>
      </c>
      <c r="L4" s="1" t="str">
        <f t="shared" si="2"/>
        <v>May</v>
      </c>
      <c r="M4" s="1" t="str">
        <f t="shared" si="3"/>
        <v>Loss</v>
      </c>
    </row>
    <row r="5" ht="14.25" customHeight="1">
      <c r="A5" s="1" t="s">
        <v>29</v>
      </c>
      <c r="B5" s="2">
        <v>44316.0</v>
      </c>
      <c r="C5" s="1" t="s">
        <v>30</v>
      </c>
      <c r="D5" s="1" t="s">
        <v>15</v>
      </c>
      <c r="E5" s="1" t="s">
        <v>31</v>
      </c>
      <c r="F5" s="1">
        <v>512.19</v>
      </c>
      <c r="G5" s="1">
        <v>-161.38</v>
      </c>
      <c r="H5" s="1">
        <v>10.0</v>
      </c>
      <c r="I5" s="1" t="s">
        <v>23</v>
      </c>
      <c r="J5" s="1" t="s">
        <v>18</v>
      </c>
      <c r="K5" s="1">
        <f t="shared" si="1"/>
        <v>2021</v>
      </c>
      <c r="L5" s="1" t="str">
        <f t="shared" si="2"/>
        <v>Apr</v>
      </c>
      <c r="M5" s="1" t="str">
        <f t="shared" si="3"/>
        <v>Loss</v>
      </c>
    </row>
    <row r="6" ht="14.25" customHeight="1">
      <c r="A6" s="1" t="s">
        <v>32</v>
      </c>
      <c r="B6" s="2">
        <v>44672.0</v>
      </c>
      <c r="C6" s="1" t="s">
        <v>26</v>
      </c>
      <c r="D6" s="1" t="s">
        <v>27</v>
      </c>
      <c r="E6" s="1" t="s">
        <v>33</v>
      </c>
      <c r="F6" s="1">
        <v>315.43</v>
      </c>
      <c r="G6" s="1">
        <v>174.9</v>
      </c>
      <c r="H6" s="1">
        <v>2.0</v>
      </c>
      <c r="I6" s="1" t="s">
        <v>34</v>
      </c>
      <c r="J6" s="1" t="s">
        <v>35</v>
      </c>
      <c r="K6" s="1">
        <f t="shared" si="1"/>
        <v>2022</v>
      </c>
      <c r="L6" s="1" t="str">
        <f t="shared" si="2"/>
        <v>Apr</v>
      </c>
      <c r="M6" s="1" t="str">
        <f t="shared" si="3"/>
        <v>Profit</v>
      </c>
    </row>
    <row r="7" ht="14.25" customHeight="1">
      <c r="A7" s="1" t="s">
        <v>36</v>
      </c>
      <c r="B7" s="2">
        <v>44800.0</v>
      </c>
      <c r="C7" s="1" t="s">
        <v>20</v>
      </c>
      <c r="D7" s="1" t="s">
        <v>21</v>
      </c>
      <c r="E7" s="1" t="s">
        <v>37</v>
      </c>
      <c r="F7" s="1">
        <v>916.14</v>
      </c>
      <c r="G7" s="1">
        <v>-21.84</v>
      </c>
      <c r="H7" s="1">
        <v>7.0</v>
      </c>
      <c r="I7" s="1" t="s">
        <v>23</v>
      </c>
      <c r="J7" s="1" t="s">
        <v>38</v>
      </c>
      <c r="K7" s="1">
        <f t="shared" si="1"/>
        <v>2022</v>
      </c>
      <c r="L7" s="1" t="str">
        <f t="shared" si="2"/>
        <v>Aug</v>
      </c>
      <c r="M7" s="1" t="str">
        <f t="shared" si="3"/>
        <v>Loss</v>
      </c>
    </row>
    <row r="8" ht="14.25" customHeight="1">
      <c r="A8" s="1" t="s">
        <v>39</v>
      </c>
      <c r="B8" s="2">
        <v>44786.0</v>
      </c>
      <c r="C8" s="1" t="s">
        <v>14</v>
      </c>
      <c r="D8" s="1" t="s">
        <v>27</v>
      </c>
      <c r="E8" s="1" t="s">
        <v>40</v>
      </c>
      <c r="F8" s="1">
        <v>276.35</v>
      </c>
      <c r="G8" s="1">
        <v>-105.17</v>
      </c>
      <c r="H8" s="1">
        <v>9.0</v>
      </c>
      <c r="I8" s="1" t="s">
        <v>23</v>
      </c>
      <c r="J8" s="1" t="s">
        <v>18</v>
      </c>
      <c r="K8" s="1">
        <f t="shared" si="1"/>
        <v>2022</v>
      </c>
      <c r="L8" s="1" t="str">
        <f t="shared" si="2"/>
        <v>Aug</v>
      </c>
      <c r="M8" s="1" t="str">
        <f t="shared" si="3"/>
        <v>Loss</v>
      </c>
    </row>
    <row r="9" ht="14.25" customHeight="1">
      <c r="A9" s="1" t="s">
        <v>41</v>
      </c>
      <c r="B9" s="2">
        <v>45157.0</v>
      </c>
      <c r="C9" s="1" t="s">
        <v>14</v>
      </c>
      <c r="D9" s="1" t="s">
        <v>27</v>
      </c>
      <c r="E9" s="1" t="s">
        <v>40</v>
      </c>
      <c r="F9" s="1">
        <v>966.6</v>
      </c>
      <c r="G9" s="1">
        <v>234.39</v>
      </c>
      <c r="H9" s="1">
        <v>4.0</v>
      </c>
      <c r="I9" s="1" t="s">
        <v>23</v>
      </c>
      <c r="J9" s="1" t="s">
        <v>35</v>
      </c>
      <c r="K9" s="1">
        <f t="shared" si="1"/>
        <v>2023</v>
      </c>
      <c r="L9" s="1" t="str">
        <f t="shared" si="2"/>
        <v>Aug</v>
      </c>
      <c r="M9" s="1" t="str">
        <f t="shared" si="3"/>
        <v>Profit</v>
      </c>
    </row>
    <row r="10" ht="14.25" customHeight="1">
      <c r="A10" s="1" t="s">
        <v>42</v>
      </c>
      <c r="B10" s="2">
        <v>44716.0</v>
      </c>
      <c r="C10" s="1" t="s">
        <v>20</v>
      </c>
      <c r="D10" s="1" t="s">
        <v>27</v>
      </c>
      <c r="E10" s="1" t="s">
        <v>28</v>
      </c>
      <c r="F10" s="1">
        <v>229.31</v>
      </c>
      <c r="G10" s="1">
        <v>92.84</v>
      </c>
      <c r="H10" s="1">
        <v>7.0</v>
      </c>
      <c r="I10" s="1" t="s">
        <v>17</v>
      </c>
      <c r="J10" s="1" t="s">
        <v>38</v>
      </c>
      <c r="K10" s="1">
        <f t="shared" si="1"/>
        <v>2022</v>
      </c>
      <c r="L10" s="1" t="str">
        <f t="shared" si="2"/>
        <v>Jun</v>
      </c>
      <c r="M10" s="1" t="str">
        <f t="shared" si="3"/>
        <v>Profit</v>
      </c>
    </row>
    <row r="11" ht="14.25" customHeight="1">
      <c r="A11" s="1" t="s">
        <v>43</v>
      </c>
      <c r="B11" s="2">
        <v>45020.0</v>
      </c>
      <c r="C11" s="1" t="s">
        <v>20</v>
      </c>
      <c r="D11" s="1" t="s">
        <v>27</v>
      </c>
      <c r="E11" s="1" t="s">
        <v>33</v>
      </c>
      <c r="F11" s="1">
        <v>184.58</v>
      </c>
      <c r="G11" s="1">
        <v>90.9</v>
      </c>
      <c r="H11" s="1">
        <v>7.0</v>
      </c>
      <c r="I11" s="1" t="s">
        <v>23</v>
      </c>
      <c r="J11" s="1" t="s">
        <v>35</v>
      </c>
      <c r="K11" s="1">
        <f t="shared" si="1"/>
        <v>2023</v>
      </c>
      <c r="L11" s="1" t="str">
        <f t="shared" si="2"/>
        <v>Apr</v>
      </c>
      <c r="M11" s="1" t="str">
        <f t="shared" si="3"/>
        <v>Profit</v>
      </c>
    </row>
    <row r="12" ht="14.25" customHeight="1">
      <c r="A12" s="1" t="s">
        <v>44</v>
      </c>
      <c r="B12" s="2">
        <v>44848.0</v>
      </c>
      <c r="C12" s="1" t="s">
        <v>20</v>
      </c>
      <c r="D12" s="1" t="s">
        <v>27</v>
      </c>
      <c r="E12" s="1" t="s">
        <v>28</v>
      </c>
      <c r="F12" s="1">
        <v>887.74</v>
      </c>
      <c r="G12" s="1">
        <v>237.13</v>
      </c>
      <c r="H12" s="1">
        <v>1.0</v>
      </c>
      <c r="I12" s="1" t="s">
        <v>17</v>
      </c>
      <c r="J12" s="1" t="s">
        <v>24</v>
      </c>
      <c r="K12" s="1">
        <f t="shared" si="1"/>
        <v>2022</v>
      </c>
      <c r="L12" s="1" t="str">
        <f t="shared" si="2"/>
        <v>Oct</v>
      </c>
      <c r="M12" s="1" t="str">
        <f t="shared" si="3"/>
        <v>Profit</v>
      </c>
    </row>
    <row r="13" ht="14.25" customHeight="1">
      <c r="A13" s="1" t="s">
        <v>45</v>
      </c>
      <c r="B13" s="2">
        <v>44746.0</v>
      </c>
      <c r="C13" s="1" t="s">
        <v>20</v>
      </c>
      <c r="D13" s="1" t="s">
        <v>27</v>
      </c>
      <c r="E13" s="1" t="s">
        <v>33</v>
      </c>
      <c r="F13" s="1">
        <v>247.85</v>
      </c>
      <c r="G13" s="1">
        <v>56.01</v>
      </c>
      <c r="H13" s="1">
        <v>5.0</v>
      </c>
      <c r="I13" s="1" t="s">
        <v>34</v>
      </c>
      <c r="J13" s="1" t="s">
        <v>24</v>
      </c>
      <c r="K13" s="1">
        <f t="shared" si="1"/>
        <v>2022</v>
      </c>
      <c r="L13" s="1" t="str">
        <f t="shared" si="2"/>
        <v>Jul</v>
      </c>
      <c r="M13" s="1" t="str">
        <f t="shared" si="3"/>
        <v>Profit</v>
      </c>
    </row>
    <row r="14" ht="14.25" customHeight="1">
      <c r="A14" s="1" t="s">
        <v>46</v>
      </c>
      <c r="B14" s="2">
        <v>44961.0</v>
      </c>
      <c r="C14" s="1" t="s">
        <v>20</v>
      </c>
      <c r="D14" s="1" t="s">
        <v>27</v>
      </c>
      <c r="E14" s="1" t="s">
        <v>40</v>
      </c>
      <c r="F14" s="1">
        <v>222.5</v>
      </c>
      <c r="G14" s="1">
        <v>19.25</v>
      </c>
      <c r="H14" s="1">
        <v>1.0</v>
      </c>
      <c r="I14" s="1" t="s">
        <v>23</v>
      </c>
      <c r="J14" s="1" t="s">
        <v>35</v>
      </c>
      <c r="K14" s="1">
        <f t="shared" si="1"/>
        <v>2023</v>
      </c>
      <c r="L14" s="1" t="str">
        <f t="shared" si="2"/>
        <v>Feb</v>
      </c>
      <c r="M14" s="1" t="str">
        <f t="shared" si="3"/>
        <v>Profit</v>
      </c>
    </row>
    <row r="15" ht="14.25" customHeight="1">
      <c r="A15" s="1" t="s">
        <v>47</v>
      </c>
      <c r="B15" s="2">
        <v>44388.0</v>
      </c>
      <c r="C15" s="1" t="s">
        <v>30</v>
      </c>
      <c r="D15" s="1" t="s">
        <v>27</v>
      </c>
      <c r="E15" s="1" t="s">
        <v>40</v>
      </c>
      <c r="F15" s="1">
        <v>256.57</v>
      </c>
      <c r="G15" s="1">
        <v>-7.78</v>
      </c>
      <c r="H15" s="1">
        <v>3.0</v>
      </c>
      <c r="I15" s="1" t="s">
        <v>23</v>
      </c>
      <c r="J15" s="1" t="s">
        <v>18</v>
      </c>
      <c r="K15" s="1">
        <f t="shared" si="1"/>
        <v>2021</v>
      </c>
      <c r="L15" s="1" t="str">
        <f t="shared" si="2"/>
        <v>Jul</v>
      </c>
      <c r="M15" s="1" t="str">
        <f t="shared" si="3"/>
        <v>Loss</v>
      </c>
    </row>
    <row r="16" ht="14.25" customHeight="1">
      <c r="A16" s="1" t="s">
        <v>48</v>
      </c>
      <c r="B16" s="2">
        <v>45165.0</v>
      </c>
      <c r="C16" s="1" t="s">
        <v>20</v>
      </c>
      <c r="D16" s="1" t="s">
        <v>21</v>
      </c>
      <c r="E16" s="1" t="s">
        <v>22</v>
      </c>
      <c r="F16" s="1">
        <v>759.86</v>
      </c>
      <c r="G16" s="1">
        <v>167.52</v>
      </c>
      <c r="H16" s="1">
        <v>6.0</v>
      </c>
      <c r="I16" s="1" t="s">
        <v>17</v>
      </c>
      <c r="J16" s="1" t="s">
        <v>38</v>
      </c>
      <c r="K16" s="1">
        <f t="shared" si="1"/>
        <v>2023</v>
      </c>
      <c r="L16" s="1" t="str">
        <f t="shared" si="2"/>
        <v>Aug</v>
      </c>
      <c r="M16" s="1" t="str">
        <f t="shared" si="3"/>
        <v>Profit</v>
      </c>
    </row>
    <row r="17" ht="14.25" customHeight="1">
      <c r="A17" s="1" t="s">
        <v>49</v>
      </c>
      <c r="B17" s="2">
        <v>45050.0</v>
      </c>
      <c r="C17" s="1" t="s">
        <v>26</v>
      </c>
      <c r="D17" s="1" t="s">
        <v>21</v>
      </c>
      <c r="E17" s="1" t="s">
        <v>37</v>
      </c>
      <c r="F17" s="1">
        <v>255.71</v>
      </c>
      <c r="G17" s="1">
        <v>253.78</v>
      </c>
      <c r="H17" s="1">
        <v>4.0</v>
      </c>
      <c r="I17" s="1" t="s">
        <v>17</v>
      </c>
      <c r="J17" s="1" t="s">
        <v>35</v>
      </c>
      <c r="K17" s="1">
        <f t="shared" si="1"/>
        <v>2023</v>
      </c>
      <c r="L17" s="1" t="str">
        <f t="shared" si="2"/>
        <v>May</v>
      </c>
      <c r="M17" s="1" t="str">
        <f t="shared" si="3"/>
        <v>Profit</v>
      </c>
    </row>
    <row r="18" ht="14.25" customHeight="1">
      <c r="A18" s="1" t="s">
        <v>50</v>
      </c>
      <c r="B18" s="2">
        <v>44999.0</v>
      </c>
      <c r="C18" s="1" t="s">
        <v>30</v>
      </c>
      <c r="D18" s="1" t="s">
        <v>27</v>
      </c>
      <c r="E18" s="1" t="s">
        <v>40</v>
      </c>
      <c r="F18" s="1">
        <v>531.17</v>
      </c>
      <c r="G18" s="1">
        <v>-110.1</v>
      </c>
      <c r="H18" s="1">
        <v>8.0</v>
      </c>
      <c r="I18" s="1" t="s">
        <v>17</v>
      </c>
      <c r="J18" s="1" t="s">
        <v>24</v>
      </c>
      <c r="K18" s="1">
        <f t="shared" si="1"/>
        <v>2023</v>
      </c>
      <c r="L18" s="1" t="str">
        <f t="shared" si="2"/>
        <v>Mar</v>
      </c>
      <c r="M18" s="1" t="str">
        <f t="shared" si="3"/>
        <v>Loss</v>
      </c>
    </row>
    <row r="19" ht="14.25" customHeight="1">
      <c r="A19" s="1" t="s">
        <v>51</v>
      </c>
      <c r="B19" s="2">
        <v>45123.0</v>
      </c>
      <c r="C19" s="1" t="s">
        <v>30</v>
      </c>
      <c r="D19" s="1" t="s">
        <v>27</v>
      </c>
      <c r="E19" s="1" t="s">
        <v>28</v>
      </c>
      <c r="F19" s="1">
        <v>908.89</v>
      </c>
      <c r="G19" s="1">
        <v>76.69</v>
      </c>
      <c r="H19" s="1">
        <v>3.0</v>
      </c>
      <c r="I19" s="1" t="s">
        <v>17</v>
      </c>
      <c r="J19" s="1" t="s">
        <v>18</v>
      </c>
      <c r="K19" s="1">
        <f t="shared" si="1"/>
        <v>2023</v>
      </c>
      <c r="L19" s="1" t="str">
        <f t="shared" si="2"/>
        <v>Jul</v>
      </c>
      <c r="M19" s="1" t="str">
        <f t="shared" si="3"/>
        <v>Profit</v>
      </c>
    </row>
    <row r="20" ht="14.25" customHeight="1">
      <c r="A20" s="1" t="s">
        <v>52</v>
      </c>
      <c r="B20" s="2">
        <v>44875.0</v>
      </c>
      <c r="C20" s="1" t="s">
        <v>26</v>
      </c>
      <c r="D20" s="1" t="s">
        <v>27</v>
      </c>
      <c r="E20" s="1" t="s">
        <v>28</v>
      </c>
      <c r="F20" s="1">
        <v>344.16</v>
      </c>
      <c r="G20" s="1">
        <v>168.82</v>
      </c>
      <c r="H20" s="1">
        <v>3.0</v>
      </c>
      <c r="I20" s="1" t="s">
        <v>17</v>
      </c>
      <c r="J20" s="1" t="s">
        <v>24</v>
      </c>
      <c r="K20" s="1">
        <f t="shared" si="1"/>
        <v>2022</v>
      </c>
      <c r="L20" s="1" t="str">
        <f t="shared" si="2"/>
        <v>Nov</v>
      </c>
      <c r="M20" s="1" t="str">
        <f t="shared" si="3"/>
        <v>Profit</v>
      </c>
    </row>
    <row r="21" ht="14.25" customHeight="1">
      <c r="A21" s="1" t="s">
        <v>53</v>
      </c>
      <c r="B21" s="2">
        <v>44856.0</v>
      </c>
      <c r="C21" s="1" t="s">
        <v>26</v>
      </c>
      <c r="D21" s="1" t="s">
        <v>15</v>
      </c>
      <c r="E21" s="1" t="s">
        <v>54</v>
      </c>
      <c r="F21" s="1">
        <v>932.3</v>
      </c>
      <c r="G21" s="1">
        <v>210.24</v>
      </c>
      <c r="H21" s="1">
        <v>7.0</v>
      </c>
      <c r="I21" s="1" t="s">
        <v>23</v>
      </c>
      <c r="J21" s="1" t="s">
        <v>24</v>
      </c>
      <c r="K21" s="1">
        <f t="shared" si="1"/>
        <v>2022</v>
      </c>
      <c r="L21" s="1" t="str">
        <f t="shared" si="2"/>
        <v>Oct</v>
      </c>
      <c r="M21" s="1" t="str">
        <f t="shared" si="3"/>
        <v>Profit</v>
      </c>
    </row>
    <row r="22" ht="14.25" customHeight="1">
      <c r="A22" s="1" t="s">
        <v>55</v>
      </c>
      <c r="B22" s="2">
        <v>45025.0</v>
      </c>
      <c r="C22" s="1" t="s">
        <v>30</v>
      </c>
      <c r="D22" s="1" t="s">
        <v>15</v>
      </c>
      <c r="E22" s="1" t="s">
        <v>31</v>
      </c>
      <c r="F22" s="1">
        <v>971.3</v>
      </c>
      <c r="G22" s="1">
        <v>82.06</v>
      </c>
      <c r="H22" s="1">
        <v>5.0</v>
      </c>
      <c r="I22" s="1" t="s">
        <v>34</v>
      </c>
      <c r="J22" s="1" t="s">
        <v>35</v>
      </c>
      <c r="K22" s="1">
        <f t="shared" si="1"/>
        <v>2023</v>
      </c>
      <c r="L22" s="1" t="str">
        <f t="shared" si="2"/>
        <v>Apr</v>
      </c>
      <c r="M22" s="1" t="str">
        <f t="shared" si="3"/>
        <v>Profit</v>
      </c>
    </row>
    <row r="23" ht="14.25" customHeight="1">
      <c r="A23" s="1" t="s">
        <v>56</v>
      </c>
      <c r="B23" s="2">
        <v>45198.0</v>
      </c>
      <c r="C23" s="1" t="s">
        <v>30</v>
      </c>
      <c r="D23" s="1" t="s">
        <v>27</v>
      </c>
      <c r="E23" s="1" t="s">
        <v>33</v>
      </c>
      <c r="F23" s="1">
        <v>322.3</v>
      </c>
      <c r="G23" s="1">
        <v>-96.31</v>
      </c>
      <c r="H23" s="1">
        <v>2.0</v>
      </c>
      <c r="I23" s="1" t="s">
        <v>17</v>
      </c>
      <c r="J23" s="1" t="s">
        <v>18</v>
      </c>
      <c r="K23" s="1">
        <f t="shared" si="1"/>
        <v>2023</v>
      </c>
      <c r="L23" s="1" t="str">
        <f t="shared" si="2"/>
        <v>Sep</v>
      </c>
      <c r="M23" s="1" t="str">
        <f t="shared" si="3"/>
        <v>Loss</v>
      </c>
    </row>
    <row r="24" ht="14.25" customHeight="1">
      <c r="A24" s="1" t="s">
        <v>57</v>
      </c>
      <c r="B24" s="2">
        <v>44486.0</v>
      </c>
      <c r="C24" s="1" t="s">
        <v>14</v>
      </c>
      <c r="D24" s="1" t="s">
        <v>27</v>
      </c>
      <c r="E24" s="1" t="s">
        <v>28</v>
      </c>
      <c r="F24" s="1">
        <v>136.2</v>
      </c>
      <c r="G24" s="1">
        <v>-69.55</v>
      </c>
      <c r="H24" s="1">
        <v>3.0</v>
      </c>
      <c r="I24" s="1" t="s">
        <v>23</v>
      </c>
      <c r="J24" s="1" t="s">
        <v>35</v>
      </c>
      <c r="K24" s="1">
        <f t="shared" si="1"/>
        <v>2021</v>
      </c>
      <c r="L24" s="1" t="str">
        <f t="shared" si="2"/>
        <v>Oct</v>
      </c>
      <c r="M24" s="1" t="str">
        <f t="shared" si="3"/>
        <v>Loss</v>
      </c>
    </row>
    <row r="25" ht="14.25" customHeight="1">
      <c r="A25" s="1" t="s">
        <v>58</v>
      </c>
      <c r="B25" s="2">
        <v>44697.0</v>
      </c>
      <c r="C25" s="1" t="s">
        <v>30</v>
      </c>
      <c r="D25" s="1" t="s">
        <v>21</v>
      </c>
      <c r="E25" s="1" t="s">
        <v>37</v>
      </c>
      <c r="F25" s="1">
        <v>23.89</v>
      </c>
      <c r="G25" s="1">
        <v>-140.39</v>
      </c>
      <c r="H25" s="1">
        <v>8.0</v>
      </c>
      <c r="I25" s="1" t="s">
        <v>17</v>
      </c>
      <c r="J25" s="1" t="s">
        <v>38</v>
      </c>
      <c r="K25" s="1">
        <f t="shared" si="1"/>
        <v>2022</v>
      </c>
      <c r="L25" s="1" t="str">
        <f t="shared" si="2"/>
        <v>May</v>
      </c>
      <c r="M25" s="1" t="str">
        <f t="shared" si="3"/>
        <v>Loss</v>
      </c>
    </row>
    <row r="26" ht="14.25" customHeight="1">
      <c r="A26" s="1" t="s">
        <v>59</v>
      </c>
      <c r="B26" s="2">
        <v>44871.0</v>
      </c>
      <c r="C26" s="1" t="s">
        <v>14</v>
      </c>
      <c r="D26" s="1" t="s">
        <v>21</v>
      </c>
      <c r="E26" s="1" t="s">
        <v>22</v>
      </c>
      <c r="F26" s="1">
        <v>628.01</v>
      </c>
      <c r="G26" s="1">
        <v>1.64</v>
      </c>
      <c r="H26" s="1">
        <v>9.0</v>
      </c>
      <c r="I26" s="1" t="s">
        <v>23</v>
      </c>
      <c r="J26" s="1" t="s">
        <v>35</v>
      </c>
      <c r="K26" s="1">
        <f t="shared" si="1"/>
        <v>2022</v>
      </c>
      <c r="L26" s="1" t="str">
        <f t="shared" si="2"/>
        <v>Nov</v>
      </c>
      <c r="M26" s="1" t="str">
        <f t="shared" si="3"/>
        <v>Profit</v>
      </c>
    </row>
    <row r="27" ht="14.25" customHeight="1">
      <c r="A27" s="1" t="s">
        <v>60</v>
      </c>
      <c r="B27" s="2">
        <v>44931.0</v>
      </c>
      <c r="C27" s="1" t="s">
        <v>20</v>
      </c>
      <c r="D27" s="1" t="s">
        <v>27</v>
      </c>
      <c r="E27" s="1" t="s">
        <v>33</v>
      </c>
      <c r="F27" s="1">
        <v>494.95</v>
      </c>
      <c r="G27" s="1">
        <v>264.37</v>
      </c>
      <c r="H27" s="1">
        <v>10.0</v>
      </c>
      <c r="I27" s="1" t="s">
        <v>17</v>
      </c>
      <c r="J27" s="1" t="s">
        <v>24</v>
      </c>
      <c r="K27" s="1">
        <f t="shared" si="1"/>
        <v>2023</v>
      </c>
      <c r="L27" s="1" t="str">
        <f t="shared" si="2"/>
        <v>Jan</v>
      </c>
      <c r="M27" s="1" t="str">
        <f t="shared" si="3"/>
        <v>Profit</v>
      </c>
    </row>
    <row r="28" ht="14.25" customHeight="1">
      <c r="A28" s="1" t="s">
        <v>61</v>
      </c>
      <c r="B28" s="2">
        <v>44608.0</v>
      </c>
      <c r="C28" s="1" t="s">
        <v>14</v>
      </c>
      <c r="D28" s="1" t="s">
        <v>15</v>
      </c>
      <c r="E28" s="1" t="s">
        <v>16</v>
      </c>
      <c r="F28" s="1">
        <v>513.28</v>
      </c>
      <c r="G28" s="1">
        <v>109.94</v>
      </c>
      <c r="H28" s="1">
        <v>5.0</v>
      </c>
      <c r="I28" s="1" t="s">
        <v>34</v>
      </c>
      <c r="J28" s="1" t="s">
        <v>24</v>
      </c>
      <c r="K28" s="1">
        <f t="shared" si="1"/>
        <v>2022</v>
      </c>
      <c r="L28" s="1" t="str">
        <f t="shared" si="2"/>
        <v>Feb</v>
      </c>
      <c r="M28" s="1" t="str">
        <f t="shared" si="3"/>
        <v>Profit</v>
      </c>
    </row>
    <row r="29" ht="14.25" customHeight="1">
      <c r="A29" s="1" t="s">
        <v>62</v>
      </c>
      <c r="B29" s="2">
        <v>45197.0</v>
      </c>
      <c r="C29" s="1" t="s">
        <v>30</v>
      </c>
      <c r="D29" s="1" t="s">
        <v>27</v>
      </c>
      <c r="E29" s="1" t="s">
        <v>28</v>
      </c>
      <c r="F29" s="1">
        <v>734.48</v>
      </c>
      <c r="G29" s="1">
        <v>155.21</v>
      </c>
      <c r="H29" s="1">
        <v>10.0</v>
      </c>
      <c r="I29" s="1" t="s">
        <v>23</v>
      </c>
      <c r="J29" s="1" t="s">
        <v>35</v>
      </c>
      <c r="K29" s="1">
        <f t="shared" si="1"/>
        <v>2023</v>
      </c>
      <c r="L29" s="1" t="str">
        <f t="shared" si="2"/>
        <v>Sep</v>
      </c>
      <c r="M29" s="1" t="str">
        <f t="shared" si="3"/>
        <v>Profit</v>
      </c>
    </row>
    <row r="30" ht="14.25" customHeight="1">
      <c r="A30" s="1" t="s">
        <v>63</v>
      </c>
      <c r="B30" s="2">
        <v>44814.0</v>
      </c>
      <c r="C30" s="1" t="s">
        <v>14</v>
      </c>
      <c r="D30" s="1" t="s">
        <v>27</v>
      </c>
      <c r="E30" s="1" t="s">
        <v>33</v>
      </c>
      <c r="F30" s="1">
        <v>798.12</v>
      </c>
      <c r="G30" s="1">
        <v>-149.14</v>
      </c>
      <c r="H30" s="1">
        <v>10.0</v>
      </c>
      <c r="I30" s="1" t="s">
        <v>23</v>
      </c>
      <c r="J30" s="1" t="s">
        <v>18</v>
      </c>
      <c r="K30" s="1">
        <f t="shared" si="1"/>
        <v>2022</v>
      </c>
      <c r="L30" s="1" t="str">
        <f t="shared" si="2"/>
        <v>Sep</v>
      </c>
      <c r="M30" s="1" t="str">
        <f t="shared" si="3"/>
        <v>Loss</v>
      </c>
    </row>
    <row r="31" ht="14.25" customHeight="1">
      <c r="A31" s="1" t="s">
        <v>64</v>
      </c>
      <c r="B31" s="2">
        <v>44392.0</v>
      </c>
      <c r="C31" s="1" t="s">
        <v>26</v>
      </c>
      <c r="D31" s="1" t="s">
        <v>27</v>
      </c>
      <c r="E31" s="1" t="s">
        <v>40</v>
      </c>
      <c r="F31" s="1">
        <v>495.86</v>
      </c>
      <c r="G31" s="1">
        <v>-79.95</v>
      </c>
      <c r="H31" s="1">
        <v>2.0</v>
      </c>
      <c r="I31" s="1" t="s">
        <v>34</v>
      </c>
      <c r="J31" s="1" t="s">
        <v>35</v>
      </c>
      <c r="K31" s="1">
        <f t="shared" si="1"/>
        <v>2021</v>
      </c>
      <c r="L31" s="1" t="str">
        <f t="shared" si="2"/>
        <v>Jul</v>
      </c>
      <c r="M31" s="1" t="str">
        <f t="shared" si="3"/>
        <v>Loss</v>
      </c>
    </row>
    <row r="32" ht="14.25" customHeight="1">
      <c r="A32" s="1" t="s">
        <v>65</v>
      </c>
      <c r="B32" s="2">
        <v>44574.0</v>
      </c>
      <c r="C32" s="1" t="s">
        <v>14</v>
      </c>
      <c r="D32" s="1" t="s">
        <v>27</v>
      </c>
      <c r="E32" s="1" t="s">
        <v>28</v>
      </c>
      <c r="F32" s="1">
        <v>23.83</v>
      </c>
      <c r="G32" s="1">
        <v>17.07</v>
      </c>
      <c r="H32" s="1">
        <v>1.0</v>
      </c>
      <c r="I32" s="1" t="s">
        <v>23</v>
      </c>
      <c r="J32" s="1" t="s">
        <v>35</v>
      </c>
      <c r="K32" s="1">
        <f t="shared" si="1"/>
        <v>2022</v>
      </c>
      <c r="L32" s="1" t="str">
        <f t="shared" si="2"/>
        <v>Jan</v>
      </c>
      <c r="M32" s="1" t="str">
        <f t="shared" si="3"/>
        <v>Profit</v>
      </c>
    </row>
    <row r="33" ht="14.25" customHeight="1">
      <c r="A33" s="1" t="s">
        <v>66</v>
      </c>
      <c r="B33" s="2">
        <v>44810.0</v>
      </c>
      <c r="C33" s="1" t="s">
        <v>26</v>
      </c>
      <c r="D33" s="1" t="s">
        <v>27</v>
      </c>
      <c r="E33" s="1" t="s">
        <v>40</v>
      </c>
      <c r="F33" s="1">
        <v>231.97</v>
      </c>
      <c r="G33" s="1">
        <v>125.02</v>
      </c>
      <c r="H33" s="1">
        <v>4.0</v>
      </c>
      <c r="I33" s="1" t="s">
        <v>23</v>
      </c>
      <c r="J33" s="1" t="s">
        <v>38</v>
      </c>
      <c r="K33" s="1">
        <f t="shared" si="1"/>
        <v>2022</v>
      </c>
      <c r="L33" s="1" t="str">
        <f t="shared" si="2"/>
        <v>Sep</v>
      </c>
      <c r="M33" s="1" t="str">
        <f t="shared" si="3"/>
        <v>Profit</v>
      </c>
    </row>
    <row r="34" ht="14.25" customHeight="1">
      <c r="A34" s="1" t="s">
        <v>67</v>
      </c>
      <c r="B34" s="2">
        <v>44938.0</v>
      </c>
      <c r="C34" s="1" t="s">
        <v>26</v>
      </c>
      <c r="D34" s="1" t="s">
        <v>21</v>
      </c>
      <c r="E34" s="1" t="s">
        <v>37</v>
      </c>
      <c r="F34" s="1">
        <v>22.56</v>
      </c>
      <c r="G34" s="1">
        <v>-43.57</v>
      </c>
      <c r="H34" s="1">
        <v>9.0</v>
      </c>
      <c r="I34" s="1" t="s">
        <v>23</v>
      </c>
      <c r="J34" s="1" t="s">
        <v>38</v>
      </c>
      <c r="K34" s="1">
        <f t="shared" si="1"/>
        <v>2023</v>
      </c>
      <c r="L34" s="1" t="str">
        <f t="shared" si="2"/>
        <v>Jan</v>
      </c>
      <c r="M34" s="1" t="str">
        <f t="shared" si="3"/>
        <v>Loss</v>
      </c>
    </row>
    <row r="35" ht="14.25" customHeight="1">
      <c r="A35" s="1" t="s">
        <v>68</v>
      </c>
      <c r="B35" s="2">
        <v>45144.0</v>
      </c>
      <c r="C35" s="1" t="s">
        <v>26</v>
      </c>
      <c r="D35" s="1" t="s">
        <v>27</v>
      </c>
      <c r="E35" s="1" t="s">
        <v>33</v>
      </c>
      <c r="F35" s="1">
        <v>374.62</v>
      </c>
      <c r="G35" s="1">
        <v>4.13</v>
      </c>
      <c r="H35" s="1">
        <v>2.0</v>
      </c>
      <c r="I35" s="1" t="s">
        <v>23</v>
      </c>
      <c r="J35" s="1" t="s">
        <v>38</v>
      </c>
      <c r="K35" s="1">
        <f t="shared" si="1"/>
        <v>2023</v>
      </c>
      <c r="L35" s="1" t="str">
        <f t="shared" si="2"/>
        <v>Aug</v>
      </c>
      <c r="M35" s="1" t="str">
        <f t="shared" si="3"/>
        <v>Profit</v>
      </c>
    </row>
    <row r="36" ht="14.25" customHeight="1">
      <c r="A36" s="1" t="s">
        <v>69</v>
      </c>
      <c r="B36" s="2">
        <v>45262.0</v>
      </c>
      <c r="C36" s="1" t="s">
        <v>26</v>
      </c>
      <c r="D36" s="1" t="s">
        <v>15</v>
      </c>
      <c r="E36" s="1" t="s">
        <v>31</v>
      </c>
      <c r="F36" s="1">
        <v>897.13</v>
      </c>
      <c r="G36" s="1">
        <v>100.07</v>
      </c>
      <c r="H36" s="1">
        <v>8.0</v>
      </c>
      <c r="I36" s="1" t="s">
        <v>34</v>
      </c>
      <c r="J36" s="1" t="s">
        <v>35</v>
      </c>
      <c r="K36" s="1">
        <f t="shared" si="1"/>
        <v>2023</v>
      </c>
      <c r="L36" s="1" t="str">
        <f t="shared" si="2"/>
        <v>Dec</v>
      </c>
      <c r="M36" s="1" t="str">
        <f t="shared" si="3"/>
        <v>Profit</v>
      </c>
    </row>
    <row r="37" ht="14.25" customHeight="1">
      <c r="A37" s="1" t="s">
        <v>70</v>
      </c>
      <c r="B37" s="2">
        <v>44909.0</v>
      </c>
      <c r="C37" s="1" t="s">
        <v>20</v>
      </c>
      <c r="D37" s="1" t="s">
        <v>15</v>
      </c>
      <c r="E37" s="1" t="s">
        <v>54</v>
      </c>
      <c r="F37" s="1">
        <v>961.23</v>
      </c>
      <c r="G37" s="1">
        <v>-105.11</v>
      </c>
      <c r="H37" s="1">
        <v>1.0</v>
      </c>
      <c r="I37" s="1" t="s">
        <v>34</v>
      </c>
      <c r="J37" s="1" t="s">
        <v>24</v>
      </c>
      <c r="K37" s="1">
        <f t="shared" si="1"/>
        <v>2022</v>
      </c>
      <c r="L37" s="1" t="str">
        <f t="shared" si="2"/>
        <v>Dec</v>
      </c>
      <c r="M37" s="1" t="str">
        <f t="shared" si="3"/>
        <v>Loss</v>
      </c>
    </row>
    <row r="38" ht="14.25" customHeight="1">
      <c r="A38" s="1" t="s">
        <v>71</v>
      </c>
      <c r="B38" s="2">
        <v>44698.0</v>
      </c>
      <c r="C38" s="1" t="s">
        <v>20</v>
      </c>
      <c r="D38" s="1" t="s">
        <v>27</v>
      </c>
      <c r="E38" s="1" t="s">
        <v>40</v>
      </c>
      <c r="F38" s="1">
        <v>866.29</v>
      </c>
      <c r="G38" s="1">
        <v>-18.12</v>
      </c>
      <c r="H38" s="1">
        <v>8.0</v>
      </c>
      <c r="I38" s="1" t="s">
        <v>34</v>
      </c>
      <c r="J38" s="1" t="s">
        <v>18</v>
      </c>
      <c r="K38" s="1">
        <f t="shared" si="1"/>
        <v>2022</v>
      </c>
      <c r="L38" s="1" t="str">
        <f t="shared" si="2"/>
        <v>May</v>
      </c>
      <c r="M38" s="1" t="str">
        <f t="shared" si="3"/>
        <v>Loss</v>
      </c>
    </row>
    <row r="39" ht="14.25" customHeight="1">
      <c r="A39" s="1" t="s">
        <v>72</v>
      </c>
      <c r="B39" s="2">
        <v>44660.0</v>
      </c>
      <c r="C39" s="1" t="s">
        <v>20</v>
      </c>
      <c r="D39" s="1" t="s">
        <v>21</v>
      </c>
      <c r="E39" s="1" t="s">
        <v>37</v>
      </c>
      <c r="F39" s="1">
        <v>349.55</v>
      </c>
      <c r="G39" s="1">
        <v>136.67</v>
      </c>
      <c r="H39" s="1">
        <v>2.0</v>
      </c>
      <c r="I39" s="1" t="s">
        <v>23</v>
      </c>
      <c r="J39" s="1" t="s">
        <v>24</v>
      </c>
      <c r="K39" s="1">
        <f t="shared" si="1"/>
        <v>2022</v>
      </c>
      <c r="L39" s="1" t="str">
        <f t="shared" si="2"/>
        <v>Apr</v>
      </c>
      <c r="M39" s="1" t="str">
        <f t="shared" si="3"/>
        <v>Profit</v>
      </c>
    </row>
    <row r="40" ht="14.25" customHeight="1">
      <c r="A40" s="1" t="s">
        <v>73</v>
      </c>
      <c r="B40" s="2">
        <v>45220.0</v>
      </c>
      <c r="C40" s="1" t="s">
        <v>26</v>
      </c>
      <c r="D40" s="1" t="s">
        <v>15</v>
      </c>
      <c r="E40" s="1" t="s">
        <v>31</v>
      </c>
      <c r="F40" s="1">
        <v>765.38</v>
      </c>
      <c r="G40" s="1">
        <v>299.74</v>
      </c>
      <c r="H40" s="1">
        <v>5.0</v>
      </c>
      <c r="I40" s="1" t="s">
        <v>23</v>
      </c>
      <c r="J40" s="1" t="s">
        <v>35</v>
      </c>
      <c r="K40" s="1">
        <f t="shared" si="1"/>
        <v>2023</v>
      </c>
      <c r="L40" s="1" t="str">
        <f t="shared" si="2"/>
        <v>Oct</v>
      </c>
      <c r="M40" s="1" t="str">
        <f t="shared" si="3"/>
        <v>Profit</v>
      </c>
    </row>
    <row r="41" ht="14.25" customHeight="1">
      <c r="A41" s="1" t="s">
        <v>74</v>
      </c>
      <c r="B41" s="2">
        <v>44699.0</v>
      </c>
      <c r="C41" s="1" t="s">
        <v>20</v>
      </c>
      <c r="D41" s="1" t="s">
        <v>15</v>
      </c>
      <c r="E41" s="1" t="s">
        <v>54</v>
      </c>
      <c r="F41" s="1">
        <v>657.16</v>
      </c>
      <c r="G41" s="1">
        <v>-149.4</v>
      </c>
      <c r="H41" s="1">
        <v>8.0</v>
      </c>
      <c r="I41" s="1" t="s">
        <v>34</v>
      </c>
      <c r="J41" s="1" t="s">
        <v>35</v>
      </c>
      <c r="K41" s="1">
        <f t="shared" si="1"/>
        <v>2022</v>
      </c>
      <c r="L41" s="1" t="str">
        <f t="shared" si="2"/>
        <v>May</v>
      </c>
      <c r="M41" s="1" t="str">
        <f t="shared" si="3"/>
        <v>Loss</v>
      </c>
    </row>
    <row r="42" ht="14.25" customHeight="1">
      <c r="A42" s="1" t="s">
        <v>75</v>
      </c>
      <c r="B42" s="2">
        <v>44256.0</v>
      </c>
      <c r="C42" s="1" t="s">
        <v>26</v>
      </c>
      <c r="D42" s="1" t="s">
        <v>21</v>
      </c>
      <c r="E42" s="1" t="s">
        <v>76</v>
      </c>
      <c r="F42" s="1">
        <v>529.5</v>
      </c>
      <c r="G42" s="1">
        <v>-136.38</v>
      </c>
      <c r="H42" s="1">
        <v>9.0</v>
      </c>
      <c r="I42" s="1" t="s">
        <v>34</v>
      </c>
      <c r="J42" s="1" t="s">
        <v>18</v>
      </c>
      <c r="K42" s="1">
        <f t="shared" si="1"/>
        <v>2021</v>
      </c>
      <c r="L42" s="1" t="str">
        <f t="shared" si="2"/>
        <v>Mar</v>
      </c>
      <c r="M42" s="1" t="str">
        <f t="shared" si="3"/>
        <v>Loss</v>
      </c>
    </row>
    <row r="43" ht="14.25" customHeight="1">
      <c r="A43" s="1" t="s">
        <v>77</v>
      </c>
      <c r="B43" s="2">
        <v>44671.0</v>
      </c>
      <c r="C43" s="1" t="s">
        <v>26</v>
      </c>
      <c r="D43" s="1" t="s">
        <v>15</v>
      </c>
      <c r="E43" s="1" t="s">
        <v>16</v>
      </c>
      <c r="F43" s="1">
        <v>839.34</v>
      </c>
      <c r="G43" s="1">
        <v>243.75</v>
      </c>
      <c r="H43" s="1">
        <v>3.0</v>
      </c>
      <c r="I43" s="1" t="s">
        <v>34</v>
      </c>
      <c r="J43" s="1" t="s">
        <v>35</v>
      </c>
      <c r="K43" s="1">
        <f t="shared" si="1"/>
        <v>2022</v>
      </c>
      <c r="L43" s="1" t="str">
        <f t="shared" si="2"/>
        <v>Apr</v>
      </c>
      <c r="M43" s="1" t="str">
        <f t="shared" si="3"/>
        <v>Profit</v>
      </c>
    </row>
    <row r="44" ht="14.25" customHeight="1">
      <c r="A44" s="1" t="s">
        <v>78</v>
      </c>
      <c r="B44" s="2">
        <v>45256.0</v>
      </c>
      <c r="C44" s="1" t="s">
        <v>20</v>
      </c>
      <c r="D44" s="1" t="s">
        <v>15</v>
      </c>
      <c r="E44" s="1" t="s">
        <v>54</v>
      </c>
      <c r="F44" s="1">
        <v>132.02</v>
      </c>
      <c r="G44" s="1">
        <v>-29.17</v>
      </c>
      <c r="H44" s="1">
        <v>8.0</v>
      </c>
      <c r="I44" s="1" t="s">
        <v>34</v>
      </c>
      <c r="J44" s="1" t="s">
        <v>18</v>
      </c>
      <c r="K44" s="1">
        <f t="shared" si="1"/>
        <v>2023</v>
      </c>
      <c r="L44" s="1" t="str">
        <f t="shared" si="2"/>
        <v>Nov</v>
      </c>
      <c r="M44" s="1" t="str">
        <f t="shared" si="3"/>
        <v>Loss</v>
      </c>
    </row>
    <row r="45" ht="14.25" customHeight="1">
      <c r="A45" s="1" t="s">
        <v>79</v>
      </c>
      <c r="B45" s="2">
        <v>45099.0</v>
      </c>
      <c r="C45" s="1" t="s">
        <v>26</v>
      </c>
      <c r="D45" s="1" t="s">
        <v>27</v>
      </c>
      <c r="E45" s="1" t="s">
        <v>28</v>
      </c>
      <c r="F45" s="1">
        <v>571.01</v>
      </c>
      <c r="G45" s="1">
        <v>-167.1</v>
      </c>
      <c r="H45" s="1">
        <v>7.0</v>
      </c>
      <c r="I45" s="1" t="s">
        <v>34</v>
      </c>
      <c r="J45" s="1" t="s">
        <v>24</v>
      </c>
      <c r="K45" s="1">
        <f t="shared" si="1"/>
        <v>2023</v>
      </c>
      <c r="L45" s="1" t="str">
        <f t="shared" si="2"/>
        <v>Jun</v>
      </c>
      <c r="M45" s="1" t="str">
        <f t="shared" si="3"/>
        <v>Loss</v>
      </c>
    </row>
    <row r="46" ht="14.25" customHeight="1">
      <c r="A46" s="1" t="s">
        <v>80</v>
      </c>
      <c r="B46" s="2">
        <v>44359.0</v>
      </c>
      <c r="C46" s="1" t="s">
        <v>14</v>
      </c>
      <c r="D46" s="1" t="s">
        <v>21</v>
      </c>
      <c r="E46" s="1" t="s">
        <v>37</v>
      </c>
      <c r="F46" s="1">
        <v>731.46</v>
      </c>
      <c r="G46" s="1">
        <v>-36.72</v>
      </c>
      <c r="H46" s="1">
        <v>2.0</v>
      </c>
      <c r="I46" s="1" t="s">
        <v>34</v>
      </c>
      <c r="J46" s="1" t="s">
        <v>24</v>
      </c>
      <c r="K46" s="1">
        <f t="shared" si="1"/>
        <v>2021</v>
      </c>
      <c r="L46" s="1" t="str">
        <f t="shared" si="2"/>
        <v>Jun</v>
      </c>
      <c r="M46" s="1" t="str">
        <f t="shared" si="3"/>
        <v>Loss</v>
      </c>
    </row>
    <row r="47" ht="14.25" customHeight="1">
      <c r="A47" s="1" t="s">
        <v>81</v>
      </c>
      <c r="B47" s="2">
        <v>44622.0</v>
      </c>
      <c r="C47" s="1" t="s">
        <v>30</v>
      </c>
      <c r="D47" s="1" t="s">
        <v>15</v>
      </c>
      <c r="E47" s="1" t="s">
        <v>16</v>
      </c>
      <c r="F47" s="1">
        <v>150.49</v>
      </c>
      <c r="G47" s="1">
        <v>-11.87</v>
      </c>
      <c r="H47" s="1">
        <v>6.0</v>
      </c>
      <c r="I47" s="1" t="s">
        <v>23</v>
      </c>
      <c r="J47" s="1" t="s">
        <v>18</v>
      </c>
      <c r="K47" s="1">
        <f t="shared" si="1"/>
        <v>2022</v>
      </c>
      <c r="L47" s="1" t="str">
        <f t="shared" si="2"/>
        <v>Mar</v>
      </c>
      <c r="M47" s="1" t="str">
        <f t="shared" si="3"/>
        <v>Loss</v>
      </c>
    </row>
    <row r="48" ht="14.25" customHeight="1">
      <c r="A48" s="1" t="s">
        <v>82</v>
      </c>
      <c r="B48" s="2">
        <v>44471.0</v>
      </c>
      <c r="C48" s="1" t="s">
        <v>26</v>
      </c>
      <c r="D48" s="1" t="s">
        <v>21</v>
      </c>
      <c r="E48" s="1" t="s">
        <v>76</v>
      </c>
      <c r="F48" s="1">
        <v>503.3</v>
      </c>
      <c r="G48" s="1">
        <v>183.05</v>
      </c>
      <c r="H48" s="1">
        <v>3.0</v>
      </c>
      <c r="I48" s="1" t="s">
        <v>23</v>
      </c>
      <c r="J48" s="1" t="s">
        <v>38</v>
      </c>
      <c r="K48" s="1">
        <f t="shared" si="1"/>
        <v>2021</v>
      </c>
      <c r="L48" s="1" t="str">
        <f t="shared" si="2"/>
        <v>Oct</v>
      </c>
      <c r="M48" s="1" t="str">
        <f t="shared" si="3"/>
        <v>Profit</v>
      </c>
    </row>
    <row r="49" ht="14.25" customHeight="1">
      <c r="A49" s="1" t="s">
        <v>83</v>
      </c>
      <c r="B49" s="2">
        <v>45027.0</v>
      </c>
      <c r="C49" s="1" t="s">
        <v>14</v>
      </c>
      <c r="D49" s="1" t="s">
        <v>21</v>
      </c>
      <c r="E49" s="1" t="s">
        <v>37</v>
      </c>
      <c r="F49" s="1">
        <v>830.76</v>
      </c>
      <c r="G49" s="1">
        <v>-56.95</v>
      </c>
      <c r="H49" s="1">
        <v>3.0</v>
      </c>
      <c r="I49" s="1" t="s">
        <v>23</v>
      </c>
      <c r="J49" s="1" t="s">
        <v>38</v>
      </c>
      <c r="K49" s="1">
        <f t="shared" si="1"/>
        <v>2023</v>
      </c>
      <c r="L49" s="1" t="str">
        <f t="shared" si="2"/>
        <v>Apr</v>
      </c>
      <c r="M49" s="1" t="str">
        <f t="shared" si="3"/>
        <v>Loss</v>
      </c>
    </row>
    <row r="50" ht="14.25" customHeight="1">
      <c r="A50" s="1" t="s">
        <v>84</v>
      </c>
      <c r="B50" s="2">
        <v>44452.0</v>
      </c>
      <c r="C50" s="1" t="s">
        <v>26</v>
      </c>
      <c r="D50" s="1" t="s">
        <v>21</v>
      </c>
      <c r="E50" s="1" t="s">
        <v>22</v>
      </c>
      <c r="F50" s="1">
        <v>956.04</v>
      </c>
      <c r="G50" s="1">
        <v>-94.85</v>
      </c>
      <c r="H50" s="1">
        <v>9.0</v>
      </c>
      <c r="I50" s="1" t="s">
        <v>17</v>
      </c>
      <c r="J50" s="1" t="s">
        <v>35</v>
      </c>
      <c r="K50" s="1">
        <f t="shared" si="1"/>
        <v>2021</v>
      </c>
      <c r="L50" s="1" t="str">
        <f t="shared" si="2"/>
        <v>Sep</v>
      </c>
      <c r="M50" s="1" t="str">
        <f t="shared" si="3"/>
        <v>Loss</v>
      </c>
    </row>
    <row r="51" ht="14.25" customHeight="1">
      <c r="A51" s="1" t="s">
        <v>85</v>
      </c>
      <c r="B51" s="2">
        <v>44941.0</v>
      </c>
      <c r="C51" s="1" t="s">
        <v>26</v>
      </c>
      <c r="D51" s="1" t="s">
        <v>21</v>
      </c>
      <c r="E51" s="1" t="s">
        <v>37</v>
      </c>
      <c r="F51" s="1">
        <v>404.0</v>
      </c>
      <c r="G51" s="1">
        <v>-16.1</v>
      </c>
      <c r="H51" s="1">
        <v>7.0</v>
      </c>
      <c r="I51" s="1" t="s">
        <v>17</v>
      </c>
      <c r="J51" s="1" t="s">
        <v>35</v>
      </c>
      <c r="K51" s="1">
        <f t="shared" si="1"/>
        <v>2023</v>
      </c>
      <c r="L51" s="1" t="str">
        <f t="shared" si="2"/>
        <v>Jan</v>
      </c>
      <c r="M51" s="1" t="str">
        <f t="shared" si="3"/>
        <v>Loss</v>
      </c>
    </row>
    <row r="52" ht="14.25" customHeight="1">
      <c r="A52" s="1" t="s">
        <v>86</v>
      </c>
      <c r="B52" s="2">
        <v>44914.0</v>
      </c>
      <c r="C52" s="1" t="s">
        <v>26</v>
      </c>
      <c r="D52" s="1" t="s">
        <v>15</v>
      </c>
      <c r="E52" s="1" t="s">
        <v>16</v>
      </c>
      <c r="F52" s="1">
        <v>661.52</v>
      </c>
      <c r="G52" s="1">
        <v>-61.66</v>
      </c>
      <c r="H52" s="1">
        <v>2.0</v>
      </c>
      <c r="I52" s="1" t="s">
        <v>34</v>
      </c>
      <c r="J52" s="1" t="s">
        <v>18</v>
      </c>
      <c r="K52" s="1">
        <f t="shared" si="1"/>
        <v>2022</v>
      </c>
      <c r="L52" s="1" t="str">
        <f t="shared" si="2"/>
        <v>Dec</v>
      </c>
      <c r="M52" s="1" t="str">
        <f t="shared" si="3"/>
        <v>Loss</v>
      </c>
    </row>
    <row r="53" ht="14.25" customHeight="1">
      <c r="A53" s="1" t="s">
        <v>87</v>
      </c>
      <c r="B53" s="2">
        <v>45217.0</v>
      </c>
      <c r="C53" s="1" t="s">
        <v>20</v>
      </c>
      <c r="D53" s="1" t="s">
        <v>15</v>
      </c>
      <c r="E53" s="1" t="s">
        <v>31</v>
      </c>
      <c r="F53" s="1">
        <v>101.91</v>
      </c>
      <c r="G53" s="1">
        <v>-186.83</v>
      </c>
      <c r="H53" s="1">
        <v>5.0</v>
      </c>
      <c r="I53" s="1" t="s">
        <v>34</v>
      </c>
      <c r="J53" s="1" t="s">
        <v>35</v>
      </c>
      <c r="K53" s="1">
        <f t="shared" si="1"/>
        <v>2023</v>
      </c>
      <c r="L53" s="1" t="str">
        <f t="shared" si="2"/>
        <v>Oct</v>
      </c>
      <c r="M53" s="1" t="str">
        <f t="shared" si="3"/>
        <v>Loss</v>
      </c>
    </row>
    <row r="54" ht="14.25" customHeight="1">
      <c r="A54" s="1" t="s">
        <v>88</v>
      </c>
      <c r="B54" s="2">
        <v>44864.0</v>
      </c>
      <c r="C54" s="1" t="s">
        <v>30</v>
      </c>
      <c r="D54" s="1" t="s">
        <v>27</v>
      </c>
      <c r="E54" s="1" t="s">
        <v>28</v>
      </c>
      <c r="F54" s="1">
        <v>675.02</v>
      </c>
      <c r="G54" s="1">
        <v>43.41</v>
      </c>
      <c r="H54" s="1">
        <v>3.0</v>
      </c>
      <c r="I54" s="1" t="s">
        <v>17</v>
      </c>
      <c r="J54" s="1" t="s">
        <v>38</v>
      </c>
      <c r="K54" s="1">
        <f t="shared" si="1"/>
        <v>2022</v>
      </c>
      <c r="L54" s="1" t="str">
        <f t="shared" si="2"/>
        <v>Oct</v>
      </c>
      <c r="M54" s="1" t="str">
        <f t="shared" si="3"/>
        <v>Profit</v>
      </c>
    </row>
    <row r="55" ht="14.25" customHeight="1">
      <c r="A55" s="1" t="s">
        <v>89</v>
      </c>
      <c r="B55" s="2">
        <v>44234.0</v>
      </c>
      <c r="C55" s="1" t="s">
        <v>26</v>
      </c>
      <c r="D55" s="1" t="s">
        <v>27</v>
      </c>
      <c r="E55" s="1" t="s">
        <v>33</v>
      </c>
      <c r="F55" s="1">
        <v>25.0</v>
      </c>
      <c r="G55" s="1">
        <v>-172.94</v>
      </c>
      <c r="H55" s="1">
        <v>6.0</v>
      </c>
      <c r="I55" s="1" t="s">
        <v>17</v>
      </c>
      <c r="J55" s="1" t="s">
        <v>18</v>
      </c>
      <c r="K55" s="1">
        <f t="shared" si="1"/>
        <v>2021</v>
      </c>
      <c r="L55" s="1" t="str">
        <f t="shared" si="2"/>
        <v>Feb</v>
      </c>
      <c r="M55" s="1" t="str">
        <f t="shared" si="3"/>
        <v>Loss</v>
      </c>
    </row>
    <row r="56" ht="14.25" customHeight="1">
      <c r="A56" s="1" t="s">
        <v>90</v>
      </c>
      <c r="B56" s="2">
        <v>45047.0</v>
      </c>
      <c r="C56" s="1" t="s">
        <v>20</v>
      </c>
      <c r="D56" s="1" t="s">
        <v>21</v>
      </c>
      <c r="E56" s="1" t="s">
        <v>37</v>
      </c>
      <c r="F56" s="1">
        <v>765.49</v>
      </c>
      <c r="G56" s="1">
        <v>-68.39</v>
      </c>
      <c r="H56" s="1">
        <v>3.0</v>
      </c>
      <c r="I56" s="1" t="s">
        <v>34</v>
      </c>
      <c r="J56" s="1" t="s">
        <v>35</v>
      </c>
      <c r="K56" s="1">
        <f t="shared" si="1"/>
        <v>2023</v>
      </c>
      <c r="L56" s="1" t="str">
        <f t="shared" si="2"/>
        <v>May</v>
      </c>
      <c r="M56" s="1" t="str">
        <f t="shared" si="3"/>
        <v>Loss</v>
      </c>
    </row>
    <row r="57" ht="14.25" customHeight="1">
      <c r="A57" s="1" t="s">
        <v>91</v>
      </c>
      <c r="B57" s="2">
        <v>45292.0</v>
      </c>
      <c r="C57" s="1" t="s">
        <v>14</v>
      </c>
      <c r="D57" s="1" t="s">
        <v>21</v>
      </c>
      <c r="E57" s="1" t="s">
        <v>76</v>
      </c>
      <c r="F57" s="1">
        <v>78.01</v>
      </c>
      <c r="G57" s="1">
        <v>238.02</v>
      </c>
      <c r="H57" s="1">
        <v>1.0</v>
      </c>
      <c r="I57" s="1" t="s">
        <v>34</v>
      </c>
      <c r="J57" s="1" t="s">
        <v>18</v>
      </c>
      <c r="K57" s="1">
        <f t="shared" si="1"/>
        <v>2024</v>
      </c>
      <c r="L57" s="1" t="str">
        <f t="shared" si="2"/>
        <v>Jan</v>
      </c>
      <c r="M57" s="1" t="str">
        <f t="shared" si="3"/>
        <v>Profit</v>
      </c>
    </row>
    <row r="58" ht="14.25" customHeight="1">
      <c r="A58" s="1" t="s">
        <v>92</v>
      </c>
      <c r="B58" s="2">
        <v>44707.0</v>
      </c>
      <c r="C58" s="1" t="s">
        <v>30</v>
      </c>
      <c r="D58" s="1" t="s">
        <v>27</v>
      </c>
      <c r="E58" s="1" t="s">
        <v>40</v>
      </c>
      <c r="F58" s="1">
        <v>278.68</v>
      </c>
      <c r="G58" s="1">
        <v>157.94</v>
      </c>
      <c r="H58" s="1">
        <v>4.0</v>
      </c>
      <c r="I58" s="1" t="s">
        <v>34</v>
      </c>
      <c r="J58" s="1" t="s">
        <v>38</v>
      </c>
      <c r="K58" s="1">
        <f t="shared" si="1"/>
        <v>2022</v>
      </c>
      <c r="L58" s="1" t="str">
        <f t="shared" si="2"/>
        <v>May</v>
      </c>
      <c r="M58" s="1" t="str">
        <f t="shared" si="3"/>
        <v>Profit</v>
      </c>
    </row>
    <row r="59" ht="14.25" customHeight="1">
      <c r="A59" s="1" t="s">
        <v>93</v>
      </c>
      <c r="B59" s="2">
        <v>45009.0</v>
      </c>
      <c r="C59" s="1" t="s">
        <v>14</v>
      </c>
      <c r="D59" s="1" t="s">
        <v>27</v>
      </c>
      <c r="E59" s="1" t="s">
        <v>33</v>
      </c>
      <c r="F59" s="1">
        <v>989.72</v>
      </c>
      <c r="G59" s="1">
        <v>291.62</v>
      </c>
      <c r="H59" s="1">
        <v>10.0</v>
      </c>
      <c r="I59" s="1" t="s">
        <v>17</v>
      </c>
      <c r="J59" s="1" t="s">
        <v>24</v>
      </c>
      <c r="K59" s="1">
        <f t="shared" si="1"/>
        <v>2023</v>
      </c>
      <c r="L59" s="1" t="str">
        <f t="shared" si="2"/>
        <v>Mar</v>
      </c>
      <c r="M59" s="1" t="str">
        <f t="shared" si="3"/>
        <v>Profit</v>
      </c>
    </row>
    <row r="60" ht="14.25" customHeight="1">
      <c r="A60" s="1" t="s">
        <v>94</v>
      </c>
      <c r="B60" s="2">
        <v>44380.0</v>
      </c>
      <c r="C60" s="1" t="s">
        <v>14</v>
      </c>
      <c r="D60" s="1" t="s">
        <v>21</v>
      </c>
      <c r="E60" s="1" t="s">
        <v>22</v>
      </c>
      <c r="F60" s="1">
        <v>334.65</v>
      </c>
      <c r="G60" s="1">
        <v>232.56</v>
      </c>
      <c r="H60" s="1">
        <v>8.0</v>
      </c>
      <c r="I60" s="1" t="s">
        <v>17</v>
      </c>
      <c r="J60" s="1" t="s">
        <v>38</v>
      </c>
      <c r="K60" s="1">
        <f t="shared" si="1"/>
        <v>2021</v>
      </c>
      <c r="L60" s="1" t="str">
        <f t="shared" si="2"/>
        <v>Jul</v>
      </c>
      <c r="M60" s="1" t="str">
        <f t="shared" si="3"/>
        <v>Profit</v>
      </c>
    </row>
    <row r="61" ht="14.25" customHeight="1">
      <c r="A61" s="1" t="s">
        <v>95</v>
      </c>
      <c r="B61" s="2">
        <v>45230.0</v>
      </c>
      <c r="C61" s="1" t="s">
        <v>30</v>
      </c>
      <c r="D61" s="1" t="s">
        <v>15</v>
      </c>
      <c r="E61" s="1" t="s">
        <v>16</v>
      </c>
      <c r="F61" s="1">
        <v>479.22</v>
      </c>
      <c r="G61" s="1">
        <v>219.31</v>
      </c>
      <c r="H61" s="1">
        <v>9.0</v>
      </c>
      <c r="I61" s="1" t="s">
        <v>34</v>
      </c>
      <c r="J61" s="1" t="s">
        <v>38</v>
      </c>
      <c r="K61" s="1">
        <f t="shared" si="1"/>
        <v>2023</v>
      </c>
      <c r="L61" s="1" t="str">
        <f t="shared" si="2"/>
        <v>Oct</v>
      </c>
      <c r="M61" s="1" t="str">
        <f t="shared" si="3"/>
        <v>Profit</v>
      </c>
    </row>
    <row r="62" ht="14.25" customHeight="1">
      <c r="A62" s="1" t="s">
        <v>96</v>
      </c>
      <c r="B62" s="2">
        <v>44918.0</v>
      </c>
      <c r="C62" s="1" t="s">
        <v>26</v>
      </c>
      <c r="D62" s="1" t="s">
        <v>21</v>
      </c>
      <c r="E62" s="1" t="s">
        <v>22</v>
      </c>
      <c r="F62" s="1">
        <v>235.38</v>
      </c>
      <c r="G62" s="1">
        <v>215.7</v>
      </c>
      <c r="H62" s="1">
        <v>5.0</v>
      </c>
      <c r="I62" s="1" t="s">
        <v>23</v>
      </c>
      <c r="J62" s="1" t="s">
        <v>18</v>
      </c>
      <c r="K62" s="1">
        <f t="shared" si="1"/>
        <v>2022</v>
      </c>
      <c r="L62" s="1" t="str">
        <f t="shared" si="2"/>
        <v>Dec</v>
      </c>
      <c r="M62" s="1" t="str">
        <f t="shared" si="3"/>
        <v>Profit</v>
      </c>
    </row>
    <row r="63" ht="14.25" customHeight="1">
      <c r="A63" s="1" t="s">
        <v>97</v>
      </c>
      <c r="B63" s="2">
        <v>44391.0</v>
      </c>
      <c r="C63" s="1" t="s">
        <v>14</v>
      </c>
      <c r="D63" s="1" t="s">
        <v>15</v>
      </c>
      <c r="E63" s="1" t="s">
        <v>54</v>
      </c>
      <c r="F63" s="1">
        <v>249.79</v>
      </c>
      <c r="G63" s="1">
        <v>-155.79</v>
      </c>
      <c r="H63" s="1">
        <v>1.0</v>
      </c>
      <c r="I63" s="1" t="s">
        <v>23</v>
      </c>
      <c r="J63" s="1" t="s">
        <v>35</v>
      </c>
      <c r="K63" s="1">
        <f t="shared" si="1"/>
        <v>2021</v>
      </c>
      <c r="L63" s="1" t="str">
        <f t="shared" si="2"/>
        <v>Jul</v>
      </c>
      <c r="M63" s="1" t="str">
        <f t="shared" si="3"/>
        <v>Loss</v>
      </c>
    </row>
    <row r="64" ht="14.25" customHeight="1">
      <c r="A64" s="1" t="s">
        <v>98</v>
      </c>
      <c r="B64" s="2">
        <v>45237.0</v>
      </c>
      <c r="C64" s="1" t="s">
        <v>14</v>
      </c>
      <c r="D64" s="1" t="s">
        <v>15</v>
      </c>
      <c r="E64" s="1" t="s">
        <v>31</v>
      </c>
      <c r="F64" s="1">
        <v>995.09</v>
      </c>
      <c r="G64" s="1">
        <v>261.88</v>
      </c>
      <c r="H64" s="1">
        <v>1.0</v>
      </c>
      <c r="I64" s="1" t="s">
        <v>23</v>
      </c>
      <c r="J64" s="1" t="s">
        <v>18</v>
      </c>
      <c r="K64" s="1">
        <f t="shared" si="1"/>
        <v>2023</v>
      </c>
      <c r="L64" s="1" t="str">
        <f t="shared" si="2"/>
        <v>Nov</v>
      </c>
      <c r="M64" s="1" t="str">
        <f t="shared" si="3"/>
        <v>Profit</v>
      </c>
    </row>
    <row r="65" ht="14.25" customHeight="1">
      <c r="A65" s="1" t="s">
        <v>99</v>
      </c>
      <c r="B65" s="2">
        <v>44580.0</v>
      </c>
      <c r="C65" s="1" t="s">
        <v>30</v>
      </c>
      <c r="D65" s="1" t="s">
        <v>15</v>
      </c>
      <c r="E65" s="1" t="s">
        <v>16</v>
      </c>
      <c r="F65" s="1">
        <v>350.6</v>
      </c>
      <c r="G65" s="1">
        <v>151.07</v>
      </c>
      <c r="H65" s="1">
        <v>7.0</v>
      </c>
      <c r="I65" s="1" t="s">
        <v>17</v>
      </c>
      <c r="J65" s="1" t="s">
        <v>18</v>
      </c>
      <c r="K65" s="1">
        <f t="shared" si="1"/>
        <v>2022</v>
      </c>
      <c r="L65" s="1" t="str">
        <f t="shared" si="2"/>
        <v>Jan</v>
      </c>
      <c r="M65" s="1" t="str">
        <f t="shared" si="3"/>
        <v>Profit</v>
      </c>
    </row>
    <row r="66" ht="14.25" customHeight="1">
      <c r="A66" s="1" t="s">
        <v>100</v>
      </c>
      <c r="B66" s="2">
        <v>44335.0</v>
      </c>
      <c r="C66" s="1" t="s">
        <v>26</v>
      </c>
      <c r="D66" s="1" t="s">
        <v>21</v>
      </c>
      <c r="E66" s="1" t="s">
        <v>37</v>
      </c>
      <c r="F66" s="1">
        <v>375.94</v>
      </c>
      <c r="G66" s="1">
        <v>10.18</v>
      </c>
      <c r="H66" s="1">
        <v>10.0</v>
      </c>
      <c r="I66" s="1" t="s">
        <v>34</v>
      </c>
      <c r="J66" s="1" t="s">
        <v>35</v>
      </c>
      <c r="K66" s="1">
        <f t="shared" si="1"/>
        <v>2021</v>
      </c>
      <c r="L66" s="1" t="str">
        <f t="shared" si="2"/>
        <v>May</v>
      </c>
      <c r="M66" s="1" t="str">
        <f t="shared" si="3"/>
        <v>Profit</v>
      </c>
    </row>
    <row r="67" ht="14.25" customHeight="1">
      <c r="A67" s="1" t="s">
        <v>101</v>
      </c>
      <c r="B67" s="2">
        <v>44291.0</v>
      </c>
      <c r="C67" s="1" t="s">
        <v>30</v>
      </c>
      <c r="D67" s="1" t="s">
        <v>27</v>
      </c>
      <c r="E67" s="1" t="s">
        <v>40</v>
      </c>
      <c r="F67" s="1">
        <v>256.31</v>
      </c>
      <c r="G67" s="1">
        <v>-195.82</v>
      </c>
      <c r="H67" s="1">
        <v>6.0</v>
      </c>
      <c r="I67" s="1" t="s">
        <v>17</v>
      </c>
      <c r="J67" s="1" t="s">
        <v>35</v>
      </c>
      <c r="K67" s="1">
        <f t="shared" si="1"/>
        <v>2021</v>
      </c>
      <c r="L67" s="1" t="str">
        <f t="shared" si="2"/>
        <v>Apr</v>
      </c>
      <c r="M67" s="1" t="str">
        <f t="shared" si="3"/>
        <v>Loss</v>
      </c>
    </row>
    <row r="68" ht="14.25" customHeight="1">
      <c r="A68" s="1" t="s">
        <v>102</v>
      </c>
      <c r="B68" s="2">
        <v>44471.0</v>
      </c>
      <c r="C68" s="1" t="s">
        <v>26</v>
      </c>
      <c r="D68" s="1" t="s">
        <v>21</v>
      </c>
      <c r="E68" s="1" t="s">
        <v>37</v>
      </c>
      <c r="F68" s="1">
        <v>78.65</v>
      </c>
      <c r="G68" s="1">
        <v>211.52</v>
      </c>
      <c r="H68" s="1">
        <v>3.0</v>
      </c>
      <c r="I68" s="1" t="s">
        <v>17</v>
      </c>
      <c r="J68" s="1" t="s">
        <v>38</v>
      </c>
      <c r="K68" s="1">
        <f t="shared" si="1"/>
        <v>2021</v>
      </c>
      <c r="L68" s="1" t="str">
        <f t="shared" si="2"/>
        <v>Oct</v>
      </c>
      <c r="M68" s="1" t="str">
        <f t="shared" si="3"/>
        <v>Profit</v>
      </c>
    </row>
    <row r="69" ht="14.25" customHeight="1">
      <c r="A69" s="1" t="s">
        <v>103</v>
      </c>
      <c r="B69" s="2">
        <v>45211.0</v>
      </c>
      <c r="C69" s="1" t="s">
        <v>30</v>
      </c>
      <c r="D69" s="1" t="s">
        <v>15</v>
      </c>
      <c r="E69" s="1" t="s">
        <v>54</v>
      </c>
      <c r="F69" s="1">
        <v>444.13</v>
      </c>
      <c r="G69" s="1">
        <v>74.56</v>
      </c>
      <c r="H69" s="1">
        <v>10.0</v>
      </c>
      <c r="I69" s="1" t="s">
        <v>23</v>
      </c>
      <c r="J69" s="1" t="s">
        <v>35</v>
      </c>
      <c r="K69" s="1">
        <f t="shared" si="1"/>
        <v>2023</v>
      </c>
      <c r="L69" s="1" t="str">
        <f t="shared" si="2"/>
        <v>Oct</v>
      </c>
      <c r="M69" s="1" t="str">
        <f t="shared" si="3"/>
        <v>Profit</v>
      </c>
    </row>
    <row r="70" ht="14.25" customHeight="1">
      <c r="A70" s="1" t="s">
        <v>104</v>
      </c>
      <c r="B70" s="2">
        <v>44715.0</v>
      </c>
      <c r="C70" s="1" t="s">
        <v>26</v>
      </c>
      <c r="D70" s="1" t="s">
        <v>27</v>
      </c>
      <c r="E70" s="1" t="s">
        <v>28</v>
      </c>
      <c r="F70" s="1">
        <v>296.88</v>
      </c>
      <c r="G70" s="1">
        <v>-59.62</v>
      </c>
      <c r="H70" s="1">
        <v>7.0</v>
      </c>
      <c r="I70" s="1" t="s">
        <v>17</v>
      </c>
      <c r="J70" s="1" t="s">
        <v>38</v>
      </c>
      <c r="K70" s="1">
        <f t="shared" si="1"/>
        <v>2022</v>
      </c>
      <c r="L70" s="1" t="str">
        <f t="shared" si="2"/>
        <v>Jun</v>
      </c>
      <c r="M70" s="1" t="str">
        <f t="shared" si="3"/>
        <v>Loss</v>
      </c>
    </row>
    <row r="71" ht="14.25" customHeight="1">
      <c r="A71" s="1" t="s">
        <v>105</v>
      </c>
      <c r="B71" s="2">
        <v>44814.0</v>
      </c>
      <c r="C71" s="1" t="s">
        <v>26</v>
      </c>
      <c r="D71" s="1" t="s">
        <v>21</v>
      </c>
      <c r="E71" s="1" t="s">
        <v>76</v>
      </c>
      <c r="F71" s="1">
        <v>430.43</v>
      </c>
      <c r="G71" s="1">
        <v>-145.98</v>
      </c>
      <c r="H71" s="1">
        <v>3.0</v>
      </c>
      <c r="I71" s="1" t="s">
        <v>34</v>
      </c>
      <c r="J71" s="1" t="s">
        <v>18</v>
      </c>
      <c r="K71" s="1">
        <f t="shared" si="1"/>
        <v>2022</v>
      </c>
      <c r="L71" s="1" t="str">
        <f t="shared" si="2"/>
        <v>Sep</v>
      </c>
      <c r="M71" s="1" t="str">
        <f t="shared" si="3"/>
        <v>Loss</v>
      </c>
    </row>
    <row r="72" ht="14.25" customHeight="1">
      <c r="A72" s="1" t="s">
        <v>106</v>
      </c>
      <c r="B72" s="2">
        <v>44472.0</v>
      </c>
      <c r="C72" s="1" t="s">
        <v>20</v>
      </c>
      <c r="D72" s="1" t="s">
        <v>15</v>
      </c>
      <c r="E72" s="1" t="s">
        <v>16</v>
      </c>
      <c r="F72" s="1">
        <v>712.89</v>
      </c>
      <c r="G72" s="1">
        <v>-43.06</v>
      </c>
      <c r="H72" s="1">
        <v>6.0</v>
      </c>
      <c r="I72" s="1" t="s">
        <v>17</v>
      </c>
      <c r="J72" s="1" t="s">
        <v>18</v>
      </c>
      <c r="K72" s="1">
        <f t="shared" si="1"/>
        <v>2021</v>
      </c>
      <c r="L72" s="1" t="str">
        <f t="shared" si="2"/>
        <v>Oct</v>
      </c>
      <c r="M72" s="1" t="str">
        <f t="shared" si="3"/>
        <v>Loss</v>
      </c>
    </row>
    <row r="73" ht="14.25" customHeight="1">
      <c r="A73" s="1" t="s">
        <v>107</v>
      </c>
      <c r="B73" s="2">
        <v>44732.0</v>
      </c>
      <c r="C73" s="1" t="s">
        <v>30</v>
      </c>
      <c r="D73" s="1" t="s">
        <v>21</v>
      </c>
      <c r="E73" s="1" t="s">
        <v>37</v>
      </c>
      <c r="F73" s="1">
        <v>225.99</v>
      </c>
      <c r="G73" s="1">
        <v>-149.54</v>
      </c>
      <c r="H73" s="1">
        <v>3.0</v>
      </c>
      <c r="I73" s="1" t="s">
        <v>23</v>
      </c>
      <c r="J73" s="1" t="s">
        <v>18</v>
      </c>
      <c r="K73" s="1">
        <f t="shared" si="1"/>
        <v>2022</v>
      </c>
      <c r="L73" s="1" t="str">
        <f t="shared" si="2"/>
        <v>Jun</v>
      </c>
      <c r="M73" s="1" t="str">
        <f t="shared" si="3"/>
        <v>Loss</v>
      </c>
    </row>
    <row r="74" ht="14.25" customHeight="1">
      <c r="A74" s="1" t="s">
        <v>108</v>
      </c>
      <c r="B74" s="2">
        <v>45197.0</v>
      </c>
      <c r="C74" s="1" t="s">
        <v>30</v>
      </c>
      <c r="D74" s="1" t="s">
        <v>21</v>
      </c>
      <c r="E74" s="1" t="s">
        <v>37</v>
      </c>
      <c r="F74" s="1">
        <v>817.45</v>
      </c>
      <c r="G74" s="1">
        <v>-85.18</v>
      </c>
      <c r="H74" s="1">
        <v>4.0</v>
      </c>
      <c r="I74" s="1" t="s">
        <v>34</v>
      </c>
      <c r="J74" s="1" t="s">
        <v>18</v>
      </c>
      <c r="K74" s="1">
        <f t="shared" si="1"/>
        <v>2023</v>
      </c>
      <c r="L74" s="1" t="str">
        <f t="shared" si="2"/>
        <v>Sep</v>
      </c>
      <c r="M74" s="1" t="str">
        <f t="shared" si="3"/>
        <v>Loss</v>
      </c>
    </row>
    <row r="75" ht="14.25" customHeight="1">
      <c r="A75" s="1" t="s">
        <v>109</v>
      </c>
      <c r="B75" s="2">
        <v>44441.0</v>
      </c>
      <c r="C75" s="1" t="s">
        <v>26</v>
      </c>
      <c r="D75" s="1" t="s">
        <v>15</v>
      </c>
      <c r="E75" s="1" t="s">
        <v>54</v>
      </c>
      <c r="F75" s="1">
        <v>421.23</v>
      </c>
      <c r="G75" s="1">
        <v>-56.04</v>
      </c>
      <c r="H75" s="1">
        <v>9.0</v>
      </c>
      <c r="I75" s="1" t="s">
        <v>23</v>
      </c>
      <c r="J75" s="1" t="s">
        <v>24</v>
      </c>
      <c r="K75" s="1">
        <f t="shared" si="1"/>
        <v>2021</v>
      </c>
      <c r="L75" s="1" t="str">
        <f t="shared" si="2"/>
        <v>Sep</v>
      </c>
      <c r="M75" s="1" t="str">
        <f t="shared" si="3"/>
        <v>Loss</v>
      </c>
    </row>
    <row r="76" ht="14.25" customHeight="1">
      <c r="A76" s="1" t="s">
        <v>110</v>
      </c>
      <c r="B76" s="2">
        <v>44347.0</v>
      </c>
      <c r="C76" s="1" t="s">
        <v>14</v>
      </c>
      <c r="D76" s="1" t="s">
        <v>21</v>
      </c>
      <c r="E76" s="1" t="s">
        <v>76</v>
      </c>
      <c r="F76" s="1">
        <v>604.49</v>
      </c>
      <c r="G76" s="1">
        <v>177.95</v>
      </c>
      <c r="H76" s="1">
        <v>5.0</v>
      </c>
      <c r="I76" s="1" t="s">
        <v>34</v>
      </c>
      <c r="J76" s="1" t="s">
        <v>24</v>
      </c>
      <c r="K76" s="1">
        <f t="shared" si="1"/>
        <v>2021</v>
      </c>
      <c r="L76" s="1" t="str">
        <f t="shared" si="2"/>
        <v>May</v>
      </c>
      <c r="M76" s="1" t="str">
        <f t="shared" si="3"/>
        <v>Profit</v>
      </c>
    </row>
    <row r="77" ht="14.25" customHeight="1">
      <c r="A77" s="1" t="s">
        <v>111</v>
      </c>
      <c r="B77" s="2">
        <v>45152.0</v>
      </c>
      <c r="C77" s="1" t="s">
        <v>20</v>
      </c>
      <c r="D77" s="1" t="s">
        <v>21</v>
      </c>
      <c r="E77" s="1" t="s">
        <v>37</v>
      </c>
      <c r="F77" s="1">
        <v>317.54</v>
      </c>
      <c r="G77" s="1">
        <v>201.93</v>
      </c>
      <c r="H77" s="1">
        <v>3.0</v>
      </c>
      <c r="I77" s="1" t="s">
        <v>23</v>
      </c>
      <c r="J77" s="1" t="s">
        <v>24</v>
      </c>
      <c r="K77" s="1">
        <f t="shared" si="1"/>
        <v>2023</v>
      </c>
      <c r="L77" s="1" t="str">
        <f t="shared" si="2"/>
        <v>Aug</v>
      </c>
      <c r="M77" s="1" t="str">
        <f t="shared" si="3"/>
        <v>Profit</v>
      </c>
    </row>
    <row r="78" ht="14.25" customHeight="1">
      <c r="A78" s="1" t="s">
        <v>112</v>
      </c>
      <c r="B78" s="2">
        <v>44255.0</v>
      </c>
      <c r="C78" s="1" t="s">
        <v>26</v>
      </c>
      <c r="D78" s="1" t="s">
        <v>27</v>
      </c>
      <c r="E78" s="1" t="s">
        <v>40</v>
      </c>
      <c r="F78" s="1">
        <v>962.65</v>
      </c>
      <c r="G78" s="1">
        <v>260.7</v>
      </c>
      <c r="H78" s="1">
        <v>1.0</v>
      </c>
      <c r="I78" s="1" t="s">
        <v>34</v>
      </c>
      <c r="J78" s="1" t="s">
        <v>38</v>
      </c>
      <c r="K78" s="1">
        <f t="shared" si="1"/>
        <v>2021</v>
      </c>
      <c r="L78" s="1" t="str">
        <f t="shared" si="2"/>
        <v>Feb</v>
      </c>
      <c r="M78" s="1" t="str">
        <f t="shared" si="3"/>
        <v>Profit</v>
      </c>
    </row>
    <row r="79" ht="14.25" customHeight="1">
      <c r="A79" s="1" t="s">
        <v>113</v>
      </c>
      <c r="B79" s="2">
        <v>45081.0</v>
      </c>
      <c r="C79" s="1" t="s">
        <v>20</v>
      </c>
      <c r="D79" s="1" t="s">
        <v>27</v>
      </c>
      <c r="E79" s="1" t="s">
        <v>40</v>
      </c>
      <c r="F79" s="1">
        <v>135.0</v>
      </c>
      <c r="G79" s="1">
        <v>-96.29</v>
      </c>
      <c r="H79" s="1">
        <v>5.0</v>
      </c>
      <c r="I79" s="1" t="s">
        <v>17</v>
      </c>
      <c r="J79" s="1" t="s">
        <v>38</v>
      </c>
      <c r="K79" s="1">
        <f t="shared" si="1"/>
        <v>2023</v>
      </c>
      <c r="L79" s="1" t="str">
        <f t="shared" si="2"/>
        <v>Jun</v>
      </c>
      <c r="M79" s="1" t="str">
        <f t="shared" si="3"/>
        <v>Loss</v>
      </c>
    </row>
    <row r="80" ht="14.25" customHeight="1">
      <c r="A80" s="1" t="s">
        <v>114</v>
      </c>
      <c r="B80" s="2">
        <v>44886.0</v>
      </c>
      <c r="C80" s="1" t="s">
        <v>14</v>
      </c>
      <c r="D80" s="1" t="s">
        <v>21</v>
      </c>
      <c r="E80" s="1" t="s">
        <v>22</v>
      </c>
      <c r="F80" s="1">
        <v>980.96</v>
      </c>
      <c r="G80" s="1">
        <v>91.62</v>
      </c>
      <c r="H80" s="1">
        <v>4.0</v>
      </c>
      <c r="I80" s="1" t="s">
        <v>23</v>
      </c>
      <c r="J80" s="1" t="s">
        <v>38</v>
      </c>
      <c r="K80" s="1">
        <f t="shared" si="1"/>
        <v>2022</v>
      </c>
      <c r="L80" s="1" t="str">
        <f t="shared" si="2"/>
        <v>Nov</v>
      </c>
      <c r="M80" s="1" t="str">
        <f t="shared" si="3"/>
        <v>Profit</v>
      </c>
    </row>
    <row r="81" ht="14.25" customHeight="1">
      <c r="A81" s="1" t="s">
        <v>115</v>
      </c>
      <c r="B81" s="2">
        <v>44586.0</v>
      </c>
      <c r="C81" s="1" t="s">
        <v>30</v>
      </c>
      <c r="D81" s="1" t="s">
        <v>21</v>
      </c>
      <c r="E81" s="1" t="s">
        <v>76</v>
      </c>
      <c r="F81" s="1">
        <v>77.94</v>
      </c>
      <c r="G81" s="1">
        <v>-163.36</v>
      </c>
      <c r="H81" s="1">
        <v>8.0</v>
      </c>
      <c r="I81" s="1" t="s">
        <v>17</v>
      </c>
      <c r="J81" s="1" t="s">
        <v>18</v>
      </c>
      <c r="K81" s="1">
        <f t="shared" si="1"/>
        <v>2022</v>
      </c>
      <c r="L81" s="1" t="str">
        <f t="shared" si="2"/>
        <v>Jan</v>
      </c>
      <c r="M81" s="1" t="str">
        <f t="shared" si="3"/>
        <v>Loss</v>
      </c>
    </row>
    <row r="82" ht="14.25" customHeight="1">
      <c r="A82" s="1" t="s">
        <v>116</v>
      </c>
      <c r="B82" s="2">
        <v>44926.0</v>
      </c>
      <c r="C82" s="1" t="s">
        <v>30</v>
      </c>
      <c r="D82" s="1" t="s">
        <v>15</v>
      </c>
      <c r="E82" s="1" t="s">
        <v>54</v>
      </c>
      <c r="F82" s="1">
        <v>625.21</v>
      </c>
      <c r="G82" s="1">
        <v>-174.88</v>
      </c>
      <c r="H82" s="1">
        <v>2.0</v>
      </c>
      <c r="I82" s="1" t="s">
        <v>23</v>
      </c>
      <c r="J82" s="1" t="s">
        <v>18</v>
      </c>
      <c r="K82" s="1">
        <f t="shared" si="1"/>
        <v>2022</v>
      </c>
      <c r="L82" s="1" t="str">
        <f t="shared" si="2"/>
        <v>Dec</v>
      </c>
      <c r="M82" s="1" t="str">
        <f t="shared" si="3"/>
        <v>Loss</v>
      </c>
    </row>
    <row r="83" ht="14.25" customHeight="1">
      <c r="A83" s="1" t="s">
        <v>117</v>
      </c>
      <c r="B83" s="2">
        <v>44854.0</v>
      </c>
      <c r="C83" s="1" t="s">
        <v>26</v>
      </c>
      <c r="D83" s="1" t="s">
        <v>21</v>
      </c>
      <c r="E83" s="1" t="s">
        <v>76</v>
      </c>
      <c r="F83" s="1">
        <v>538.13</v>
      </c>
      <c r="G83" s="1">
        <v>50.3</v>
      </c>
      <c r="H83" s="1">
        <v>3.0</v>
      </c>
      <c r="I83" s="1" t="s">
        <v>34</v>
      </c>
      <c r="J83" s="1" t="s">
        <v>38</v>
      </c>
      <c r="K83" s="1">
        <f t="shared" si="1"/>
        <v>2022</v>
      </c>
      <c r="L83" s="1" t="str">
        <f t="shared" si="2"/>
        <v>Oct</v>
      </c>
      <c r="M83" s="1" t="str">
        <f t="shared" si="3"/>
        <v>Profit</v>
      </c>
    </row>
    <row r="84" ht="14.25" customHeight="1">
      <c r="A84" s="1" t="s">
        <v>118</v>
      </c>
      <c r="B84" s="2">
        <v>44592.0</v>
      </c>
      <c r="C84" s="1" t="s">
        <v>20</v>
      </c>
      <c r="D84" s="1" t="s">
        <v>21</v>
      </c>
      <c r="E84" s="1" t="s">
        <v>76</v>
      </c>
      <c r="F84" s="1">
        <v>716.91</v>
      </c>
      <c r="G84" s="1">
        <v>-63.12</v>
      </c>
      <c r="H84" s="1">
        <v>1.0</v>
      </c>
      <c r="I84" s="1" t="s">
        <v>34</v>
      </c>
      <c r="J84" s="1" t="s">
        <v>18</v>
      </c>
      <c r="K84" s="1">
        <f t="shared" si="1"/>
        <v>2022</v>
      </c>
      <c r="L84" s="1" t="str">
        <f t="shared" si="2"/>
        <v>Jan</v>
      </c>
      <c r="M84" s="1" t="str">
        <f t="shared" si="3"/>
        <v>Loss</v>
      </c>
    </row>
    <row r="85" ht="14.25" customHeight="1">
      <c r="A85" s="1" t="s">
        <v>119</v>
      </c>
      <c r="B85" s="2">
        <v>44563.0</v>
      </c>
      <c r="C85" s="1" t="s">
        <v>30</v>
      </c>
      <c r="D85" s="1" t="s">
        <v>27</v>
      </c>
      <c r="E85" s="1" t="s">
        <v>28</v>
      </c>
      <c r="F85" s="1">
        <v>201.82</v>
      </c>
      <c r="G85" s="1">
        <v>24.83</v>
      </c>
      <c r="H85" s="1">
        <v>1.0</v>
      </c>
      <c r="I85" s="1" t="s">
        <v>23</v>
      </c>
      <c r="J85" s="1" t="s">
        <v>38</v>
      </c>
      <c r="K85" s="1">
        <f t="shared" si="1"/>
        <v>2022</v>
      </c>
      <c r="L85" s="1" t="str">
        <f t="shared" si="2"/>
        <v>Jan</v>
      </c>
      <c r="M85" s="1" t="str">
        <f t="shared" si="3"/>
        <v>Profit</v>
      </c>
    </row>
    <row r="86" ht="14.25" customHeight="1">
      <c r="A86" s="1" t="s">
        <v>120</v>
      </c>
      <c r="B86" s="2">
        <v>44826.0</v>
      </c>
      <c r="C86" s="1" t="s">
        <v>20</v>
      </c>
      <c r="D86" s="1" t="s">
        <v>15</v>
      </c>
      <c r="E86" s="1" t="s">
        <v>54</v>
      </c>
      <c r="F86" s="1">
        <v>539.38</v>
      </c>
      <c r="G86" s="1">
        <v>168.18</v>
      </c>
      <c r="H86" s="1">
        <v>4.0</v>
      </c>
      <c r="I86" s="1" t="s">
        <v>23</v>
      </c>
      <c r="J86" s="1" t="s">
        <v>35</v>
      </c>
      <c r="K86" s="1">
        <f t="shared" si="1"/>
        <v>2022</v>
      </c>
      <c r="L86" s="1" t="str">
        <f t="shared" si="2"/>
        <v>Sep</v>
      </c>
      <c r="M86" s="1" t="str">
        <f t="shared" si="3"/>
        <v>Profit</v>
      </c>
    </row>
    <row r="87" ht="14.25" customHeight="1">
      <c r="A87" s="1" t="s">
        <v>121</v>
      </c>
      <c r="B87" s="2">
        <v>44490.0</v>
      </c>
      <c r="C87" s="1" t="s">
        <v>30</v>
      </c>
      <c r="D87" s="1" t="s">
        <v>21</v>
      </c>
      <c r="E87" s="1" t="s">
        <v>22</v>
      </c>
      <c r="F87" s="1">
        <v>504.45</v>
      </c>
      <c r="G87" s="1">
        <v>-31.14</v>
      </c>
      <c r="H87" s="1">
        <v>7.0</v>
      </c>
      <c r="I87" s="1" t="s">
        <v>23</v>
      </c>
      <c r="J87" s="1" t="s">
        <v>24</v>
      </c>
      <c r="K87" s="1">
        <f t="shared" si="1"/>
        <v>2021</v>
      </c>
      <c r="L87" s="1" t="str">
        <f t="shared" si="2"/>
        <v>Oct</v>
      </c>
      <c r="M87" s="1" t="str">
        <f t="shared" si="3"/>
        <v>Loss</v>
      </c>
    </row>
    <row r="88" ht="14.25" customHeight="1">
      <c r="A88" s="1" t="s">
        <v>122</v>
      </c>
      <c r="B88" s="2">
        <v>44698.0</v>
      </c>
      <c r="C88" s="1" t="s">
        <v>14</v>
      </c>
      <c r="D88" s="1" t="s">
        <v>15</v>
      </c>
      <c r="E88" s="1" t="s">
        <v>31</v>
      </c>
      <c r="F88" s="1">
        <v>540.44</v>
      </c>
      <c r="G88" s="1">
        <v>-134.04</v>
      </c>
      <c r="H88" s="1">
        <v>7.0</v>
      </c>
      <c r="I88" s="1" t="s">
        <v>34</v>
      </c>
      <c r="J88" s="1" t="s">
        <v>24</v>
      </c>
      <c r="K88" s="1">
        <f t="shared" si="1"/>
        <v>2022</v>
      </c>
      <c r="L88" s="1" t="str">
        <f t="shared" si="2"/>
        <v>May</v>
      </c>
      <c r="M88" s="1" t="str">
        <f t="shared" si="3"/>
        <v>Loss</v>
      </c>
    </row>
    <row r="89" ht="14.25" customHeight="1">
      <c r="A89" s="1" t="s">
        <v>123</v>
      </c>
      <c r="B89" s="2">
        <v>44552.0</v>
      </c>
      <c r="C89" s="1" t="s">
        <v>20</v>
      </c>
      <c r="D89" s="1" t="s">
        <v>15</v>
      </c>
      <c r="E89" s="1" t="s">
        <v>16</v>
      </c>
      <c r="F89" s="1">
        <v>896.04</v>
      </c>
      <c r="G89" s="1">
        <v>-33.19</v>
      </c>
      <c r="H89" s="1">
        <v>7.0</v>
      </c>
      <c r="I89" s="1" t="s">
        <v>23</v>
      </c>
      <c r="J89" s="1" t="s">
        <v>18</v>
      </c>
      <c r="K89" s="1">
        <f t="shared" si="1"/>
        <v>2021</v>
      </c>
      <c r="L89" s="1" t="str">
        <f t="shared" si="2"/>
        <v>Dec</v>
      </c>
      <c r="M89" s="1" t="str">
        <f t="shared" si="3"/>
        <v>Loss</v>
      </c>
    </row>
    <row r="90" ht="14.25" customHeight="1">
      <c r="A90" s="1" t="s">
        <v>124</v>
      </c>
      <c r="B90" s="2">
        <v>44670.0</v>
      </c>
      <c r="C90" s="1" t="s">
        <v>20</v>
      </c>
      <c r="D90" s="1" t="s">
        <v>15</v>
      </c>
      <c r="E90" s="1" t="s">
        <v>16</v>
      </c>
      <c r="F90" s="1">
        <v>934.41</v>
      </c>
      <c r="G90" s="1">
        <v>-63.8</v>
      </c>
      <c r="H90" s="1">
        <v>2.0</v>
      </c>
      <c r="I90" s="1" t="s">
        <v>17</v>
      </c>
      <c r="J90" s="1" t="s">
        <v>18</v>
      </c>
      <c r="K90" s="1">
        <f t="shared" si="1"/>
        <v>2022</v>
      </c>
      <c r="L90" s="1" t="str">
        <f t="shared" si="2"/>
        <v>Apr</v>
      </c>
      <c r="M90" s="1" t="str">
        <f t="shared" si="3"/>
        <v>Loss</v>
      </c>
    </row>
    <row r="91" ht="14.25" customHeight="1">
      <c r="A91" s="1" t="s">
        <v>125</v>
      </c>
      <c r="B91" s="2">
        <v>45118.0</v>
      </c>
      <c r="C91" s="1" t="s">
        <v>26</v>
      </c>
      <c r="D91" s="1" t="s">
        <v>21</v>
      </c>
      <c r="E91" s="1" t="s">
        <v>37</v>
      </c>
      <c r="F91" s="1">
        <v>165.21</v>
      </c>
      <c r="G91" s="1">
        <v>-48.0</v>
      </c>
      <c r="H91" s="1">
        <v>5.0</v>
      </c>
      <c r="I91" s="1" t="s">
        <v>17</v>
      </c>
      <c r="J91" s="1" t="s">
        <v>35</v>
      </c>
      <c r="K91" s="1">
        <f t="shared" si="1"/>
        <v>2023</v>
      </c>
      <c r="L91" s="1" t="str">
        <f t="shared" si="2"/>
        <v>Jul</v>
      </c>
      <c r="M91" s="1" t="str">
        <f t="shared" si="3"/>
        <v>Loss</v>
      </c>
    </row>
    <row r="92" ht="14.25" customHeight="1">
      <c r="A92" s="1" t="s">
        <v>126</v>
      </c>
      <c r="B92" s="2">
        <v>44362.0</v>
      </c>
      <c r="C92" s="1" t="s">
        <v>30</v>
      </c>
      <c r="D92" s="1" t="s">
        <v>15</v>
      </c>
      <c r="E92" s="1" t="s">
        <v>54</v>
      </c>
      <c r="F92" s="1">
        <v>312.14</v>
      </c>
      <c r="G92" s="1">
        <v>-153.94</v>
      </c>
      <c r="H92" s="1">
        <v>2.0</v>
      </c>
      <c r="I92" s="1" t="s">
        <v>23</v>
      </c>
      <c r="J92" s="1" t="s">
        <v>35</v>
      </c>
      <c r="K92" s="1">
        <f t="shared" si="1"/>
        <v>2021</v>
      </c>
      <c r="L92" s="1" t="str">
        <f t="shared" si="2"/>
        <v>Jun</v>
      </c>
      <c r="M92" s="1" t="str">
        <f t="shared" si="3"/>
        <v>Loss</v>
      </c>
    </row>
    <row r="93" ht="14.25" customHeight="1">
      <c r="A93" s="1" t="s">
        <v>127</v>
      </c>
      <c r="B93" s="2">
        <v>44864.0</v>
      </c>
      <c r="C93" s="1" t="s">
        <v>30</v>
      </c>
      <c r="D93" s="1" t="s">
        <v>15</v>
      </c>
      <c r="E93" s="1" t="s">
        <v>31</v>
      </c>
      <c r="F93" s="1">
        <v>538.76</v>
      </c>
      <c r="G93" s="1">
        <v>-189.36</v>
      </c>
      <c r="H93" s="1">
        <v>7.0</v>
      </c>
      <c r="I93" s="1" t="s">
        <v>34</v>
      </c>
      <c r="J93" s="1" t="s">
        <v>38</v>
      </c>
      <c r="K93" s="1">
        <f t="shared" si="1"/>
        <v>2022</v>
      </c>
      <c r="L93" s="1" t="str">
        <f t="shared" si="2"/>
        <v>Oct</v>
      </c>
      <c r="M93" s="1" t="str">
        <f t="shared" si="3"/>
        <v>Loss</v>
      </c>
    </row>
    <row r="94" ht="14.25" customHeight="1">
      <c r="A94" s="1" t="s">
        <v>128</v>
      </c>
      <c r="B94" s="2">
        <v>44234.0</v>
      </c>
      <c r="C94" s="1" t="s">
        <v>20</v>
      </c>
      <c r="D94" s="1" t="s">
        <v>27</v>
      </c>
      <c r="E94" s="1" t="s">
        <v>33</v>
      </c>
      <c r="F94" s="1">
        <v>377.05</v>
      </c>
      <c r="G94" s="1">
        <v>134.85</v>
      </c>
      <c r="H94" s="1">
        <v>2.0</v>
      </c>
      <c r="I94" s="1" t="s">
        <v>23</v>
      </c>
      <c r="J94" s="1" t="s">
        <v>38</v>
      </c>
      <c r="K94" s="1">
        <f t="shared" si="1"/>
        <v>2021</v>
      </c>
      <c r="L94" s="1" t="str">
        <f t="shared" si="2"/>
        <v>Feb</v>
      </c>
      <c r="M94" s="1" t="str">
        <f t="shared" si="3"/>
        <v>Profit</v>
      </c>
    </row>
    <row r="95" ht="14.25" customHeight="1">
      <c r="A95" s="1" t="s">
        <v>129</v>
      </c>
      <c r="B95" s="2">
        <v>44562.0</v>
      </c>
      <c r="C95" s="1" t="s">
        <v>14</v>
      </c>
      <c r="D95" s="1" t="s">
        <v>21</v>
      </c>
      <c r="E95" s="1" t="s">
        <v>37</v>
      </c>
      <c r="F95" s="1">
        <v>72.37</v>
      </c>
      <c r="G95" s="1">
        <v>240.36</v>
      </c>
      <c r="H95" s="1">
        <v>7.0</v>
      </c>
      <c r="I95" s="1" t="s">
        <v>23</v>
      </c>
      <c r="J95" s="1" t="s">
        <v>24</v>
      </c>
      <c r="K95" s="1">
        <f t="shared" si="1"/>
        <v>2022</v>
      </c>
      <c r="L95" s="1" t="str">
        <f t="shared" si="2"/>
        <v>Jan</v>
      </c>
      <c r="M95" s="1" t="str">
        <f t="shared" si="3"/>
        <v>Profit</v>
      </c>
    </row>
    <row r="96" ht="14.25" customHeight="1">
      <c r="A96" s="1" t="s">
        <v>130</v>
      </c>
      <c r="B96" s="2">
        <v>45097.0</v>
      </c>
      <c r="C96" s="1" t="s">
        <v>30</v>
      </c>
      <c r="D96" s="1" t="s">
        <v>21</v>
      </c>
      <c r="E96" s="1" t="s">
        <v>76</v>
      </c>
      <c r="F96" s="1">
        <v>478.16</v>
      </c>
      <c r="G96" s="1">
        <v>141.42</v>
      </c>
      <c r="H96" s="1">
        <v>1.0</v>
      </c>
      <c r="I96" s="1" t="s">
        <v>17</v>
      </c>
      <c r="J96" s="1" t="s">
        <v>24</v>
      </c>
      <c r="K96" s="1">
        <f t="shared" si="1"/>
        <v>2023</v>
      </c>
      <c r="L96" s="1" t="str">
        <f t="shared" si="2"/>
        <v>Jun</v>
      </c>
      <c r="M96" s="1" t="str">
        <f t="shared" si="3"/>
        <v>Profit</v>
      </c>
    </row>
    <row r="97" ht="14.25" customHeight="1">
      <c r="A97" s="1" t="s">
        <v>131</v>
      </c>
      <c r="B97" s="2">
        <v>45047.0</v>
      </c>
      <c r="C97" s="1" t="s">
        <v>26</v>
      </c>
      <c r="D97" s="1" t="s">
        <v>27</v>
      </c>
      <c r="E97" s="1" t="s">
        <v>28</v>
      </c>
      <c r="F97" s="1">
        <v>922.83</v>
      </c>
      <c r="G97" s="1">
        <v>-19.07</v>
      </c>
      <c r="H97" s="1">
        <v>9.0</v>
      </c>
      <c r="I97" s="1" t="s">
        <v>23</v>
      </c>
      <c r="J97" s="1" t="s">
        <v>35</v>
      </c>
      <c r="K97" s="1">
        <f t="shared" si="1"/>
        <v>2023</v>
      </c>
      <c r="L97" s="1" t="str">
        <f t="shared" si="2"/>
        <v>May</v>
      </c>
      <c r="M97" s="1" t="str">
        <f t="shared" si="3"/>
        <v>Loss</v>
      </c>
    </row>
    <row r="98" ht="14.25" customHeight="1">
      <c r="A98" s="1" t="s">
        <v>132</v>
      </c>
      <c r="B98" s="2">
        <v>44281.0</v>
      </c>
      <c r="C98" s="1" t="s">
        <v>14</v>
      </c>
      <c r="D98" s="1" t="s">
        <v>21</v>
      </c>
      <c r="E98" s="1" t="s">
        <v>76</v>
      </c>
      <c r="F98" s="1">
        <v>929.27</v>
      </c>
      <c r="G98" s="1">
        <v>142.57</v>
      </c>
      <c r="H98" s="1">
        <v>10.0</v>
      </c>
      <c r="I98" s="1" t="s">
        <v>23</v>
      </c>
      <c r="J98" s="1" t="s">
        <v>18</v>
      </c>
      <c r="K98" s="1">
        <f t="shared" si="1"/>
        <v>2021</v>
      </c>
      <c r="L98" s="1" t="str">
        <f t="shared" si="2"/>
        <v>Mar</v>
      </c>
      <c r="M98" s="1" t="str">
        <f t="shared" si="3"/>
        <v>Profit</v>
      </c>
    </row>
    <row r="99" ht="14.25" customHeight="1">
      <c r="A99" s="1" t="s">
        <v>133</v>
      </c>
      <c r="B99" s="2">
        <v>44839.0</v>
      </c>
      <c r="C99" s="1" t="s">
        <v>20</v>
      </c>
      <c r="D99" s="1" t="s">
        <v>15</v>
      </c>
      <c r="E99" s="1" t="s">
        <v>16</v>
      </c>
      <c r="F99" s="1">
        <v>571.32</v>
      </c>
      <c r="G99" s="1">
        <v>73.36</v>
      </c>
      <c r="H99" s="1">
        <v>2.0</v>
      </c>
      <c r="I99" s="1" t="s">
        <v>17</v>
      </c>
      <c r="J99" s="1" t="s">
        <v>35</v>
      </c>
      <c r="K99" s="1">
        <f t="shared" si="1"/>
        <v>2022</v>
      </c>
      <c r="L99" s="1" t="str">
        <f t="shared" si="2"/>
        <v>Oct</v>
      </c>
      <c r="M99" s="1" t="str">
        <f t="shared" si="3"/>
        <v>Profit</v>
      </c>
    </row>
    <row r="100" ht="14.25" customHeight="1">
      <c r="A100" s="1" t="s">
        <v>134</v>
      </c>
      <c r="B100" s="2">
        <v>44832.0</v>
      </c>
      <c r="C100" s="1" t="s">
        <v>14</v>
      </c>
      <c r="D100" s="1" t="s">
        <v>21</v>
      </c>
      <c r="E100" s="1" t="s">
        <v>37</v>
      </c>
      <c r="F100" s="1">
        <v>885.99</v>
      </c>
      <c r="G100" s="1">
        <v>228.54</v>
      </c>
      <c r="H100" s="1">
        <v>2.0</v>
      </c>
      <c r="I100" s="1" t="s">
        <v>34</v>
      </c>
      <c r="J100" s="1" t="s">
        <v>24</v>
      </c>
      <c r="K100" s="1">
        <f t="shared" si="1"/>
        <v>2022</v>
      </c>
      <c r="L100" s="1" t="str">
        <f t="shared" si="2"/>
        <v>Sep</v>
      </c>
      <c r="M100" s="1" t="str">
        <f t="shared" si="3"/>
        <v>Profit</v>
      </c>
    </row>
    <row r="101" ht="14.25" customHeight="1">
      <c r="A101" s="1" t="s">
        <v>135</v>
      </c>
      <c r="B101" s="2">
        <v>45164.0</v>
      </c>
      <c r="C101" s="1" t="s">
        <v>30</v>
      </c>
      <c r="D101" s="1" t="s">
        <v>15</v>
      </c>
      <c r="E101" s="1" t="s">
        <v>54</v>
      </c>
      <c r="F101" s="1">
        <v>728.53</v>
      </c>
      <c r="G101" s="1">
        <v>10.18</v>
      </c>
      <c r="H101" s="1">
        <v>6.0</v>
      </c>
      <c r="I101" s="1" t="s">
        <v>17</v>
      </c>
      <c r="J101" s="1" t="s">
        <v>35</v>
      </c>
      <c r="K101" s="1">
        <f t="shared" si="1"/>
        <v>2023</v>
      </c>
      <c r="L101" s="1" t="str">
        <f t="shared" si="2"/>
        <v>Aug</v>
      </c>
      <c r="M101" s="1" t="str">
        <f t="shared" si="3"/>
        <v>Profit</v>
      </c>
    </row>
    <row r="102" ht="14.25" customHeight="1">
      <c r="A102" s="1" t="s">
        <v>136</v>
      </c>
      <c r="B102" s="2">
        <v>44492.0</v>
      </c>
      <c r="C102" s="1" t="s">
        <v>14</v>
      </c>
      <c r="D102" s="1" t="s">
        <v>15</v>
      </c>
      <c r="E102" s="1" t="s">
        <v>16</v>
      </c>
      <c r="F102" s="1">
        <v>749.66</v>
      </c>
      <c r="G102" s="1">
        <v>143.13</v>
      </c>
      <c r="H102" s="1">
        <v>1.0</v>
      </c>
      <c r="I102" s="1" t="s">
        <v>17</v>
      </c>
      <c r="J102" s="1" t="s">
        <v>35</v>
      </c>
      <c r="K102" s="1">
        <f t="shared" si="1"/>
        <v>2021</v>
      </c>
      <c r="L102" s="1" t="str">
        <f t="shared" si="2"/>
        <v>Oct</v>
      </c>
      <c r="M102" s="1" t="str">
        <f t="shared" si="3"/>
        <v>Profit</v>
      </c>
    </row>
    <row r="103" ht="14.25" customHeight="1">
      <c r="A103" s="1" t="s">
        <v>137</v>
      </c>
      <c r="B103" s="2">
        <v>45271.0</v>
      </c>
      <c r="C103" s="1" t="s">
        <v>20</v>
      </c>
      <c r="D103" s="1" t="s">
        <v>27</v>
      </c>
      <c r="E103" s="1" t="s">
        <v>33</v>
      </c>
      <c r="F103" s="1">
        <v>766.2</v>
      </c>
      <c r="G103" s="1">
        <v>-73.0</v>
      </c>
      <c r="H103" s="1">
        <v>8.0</v>
      </c>
      <c r="I103" s="1" t="s">
        <v>23</v>
      </c>
      <c r="J103" s="1" t="s">
        <v>38</v>
      </c>
      <c r="K103" s="1">
        <f t="shared" si="1"/>
        <v>2023</v>
      </c>
      <c r="L103" s="1" t="str">
        <f t="shared" si="2"/>
        <v>Dec</v>
      </c>
      <c r="M103" s="1" t="str">
        <f t="shared" si="3"/>
        <v>Loss</v>
      </c>
    </row>
    <row r="104" ht="14.25" customHeight="1">
      <c r="A104" s="1" t="s">
        <v>138</v>
      </c>
      <c r="B104" s="2">
        <v>45185.0</v>
      </c>
      <c r="C104" s="1" t="s">
        <v>30</v>
      </c>
      <c r="D104" s="1" t="s">
        <v>27</v>
      </c>
      <c r="E104" s="1" t="s">
        <v>33</v>
      </c>
      <c r="F104" s="1">
        <v>595.14</v>
      </c>
      <c r="G104" s="1">
        <v>-4.66</v>
      </c>
      <c r="H104" s="1">
        <v>6.0</v>
      </c>
      <c r="I104" s="1" t="s">
        <v>34</v>
      </c>
      <c r="J104" s="1" t="s">
        <v>38</v>
      </c>
      <c r="K104" s="1">
        <f t="shared" si="1"/>
        <v>2023</v>
      </c>
      <c r="L104" s="1" t="str">
        <f t="shared" si="2"/>
        <v>Sep</v>
      </c>
      <c r="M104" s="1" t="str">
        <f t="shared" si="3"/>
        <v>Loss</v>
      </c>
    </row>
    <row r="105" ht="14.25" customHeight="1">
      <c r="A105" s="1" t="s">
        <v>139</v>
      </c>
      <c r="B105" s="2">
        <v>45053.0</v>
      </c>
      <c r="C105" s="1" t="s">
        <v>26</v>
      </c>
      <c r="D105" s="1" t="s">
        <v>15</v>
      </c>
      <c r="E105" s="1" t="s">
        <v>16</v>
      </c>
      <c r="F105" s="1">
        <v>113.93</v>
      </c>
      <c r="G105" s="1">
        <v>-46.19</v>
      </c>
      <c r="H105" s="1">
        <v>5.0</v>
      </c>
      <c r="I105" s="1" t="s">
        <v>34</v>
      </c>
      <c r="J105" s="1" t="s">
        <v>35</v>
      </c>
      <c r="K105" s="1">
        <f t="shared" si="1"/>
        <v>2023</v>
      </c>
      <c r="L105" s="1" t="str">
        <f t="shared" si="2"/>
        <v>May</v>
      </c>
      <c r="M105" s="1" t="str">
        <f t="shared" si="3"/>
        <v>Loss</v>
      </c>
    </row>
    <row r="106" ht="14.25" customHeight="1">
      <c r="A106" s="1" t="s">
        <v>140</v>
      </c>
      <c r="B106" s="2">
        <v>45206.0</v>
      </c>
      <c r="C106" s="1" t="s">
        <v>14</v>
      </c>
      <c r="D106" s="1" t="s">
        <v>21</v>
      </c>
      <c r="E106" s="1" t="s">
        <v>76</v>
      </c>
      <c r="F106" s="1">
        <v>440.53</v>
      </c>
      <c r="G106" s="1">
        <v>256.36</v>
      </c>
      <c r="H106" s="1">
        <v>6.0</v>
      </c>
      <c r="I106" s="1" t="s">
        <v>34</v>
      </c>
      <c r="J106" s="1" t="s">
        <v>18</v>
      </c>
      <c r="K106" s="1">
        <f t="shared" si="1"/>
        <v>2023</v>
      </c>
      <c r="L106" s="1" t="str">
        <f t="shared" si="2"/>
        <v>Oct</v>
      </c>
      <c r="M106" s="1" t="str">
        <f t="shared" si="3"/>
        <v>Profit</v>
      </c>
    </row>
    <row r="107" ht="14.25" customHeight="1">
      <c r="A107" s="1" t="s">
        <v>141</v>
      </c>
      <c r="B107" s="2">
        <v>44584.0</v>
      </c>
      <c r="C107" s="1" t="s">
        <v>20</v>
      </c>
      <c r="D107" s="1" t="s">
        <v>15</v>
      </c>
      <c r="E107" s="1" t="s">
        <v>31</v>
      </c>
      <c r="F107" s="1">
        <v>94.91</v>
      </c>
      <c r="G107" s="1">
        <v>-13.51</v>
      </c>
      <c r="H107" s="1">
        <v>8.0</v>
      </c>
      <c r="I107" s="1" t="s">
        <v>34</v>
      </c>
      <c r="J107" s="1" t="s">
        <v>18</v>
      </c>
      <c r="K107" s="1">
        <f t="shared" si="1"/>
        <v>2022</v>
      </c>
      <c r="L107" s="1" t="str">
        <f t="shared" si="2"/>
        <v>Jan</v>
      </c>
      <c r="M107" s="1" t="str">
        <f t="shared" si="3"/>
        <v>Loss</v>
      </c>
    </row>
    <row r="108" ht="14.25" customHeight="1">
      <c r="A108" s="1" t="s">
        <v>142</v>
      </c>
      <c r="B108" s="2">
        <v>44670.0</v>
      </c>
      <c r="C108" s="1" t="s">
        <v>26</v>
      </c>
      <c r="D108" s="1" t="s">
        <v>27</v>
      </c>
      <c r="E108" s="1" t="s">
        <v>33</v>
      </c>
      <c r="F108" s="1">
        <v>417.76</v>
      </c>
      <c r="G108" s="1">
        <v>-188.5</v>
      </c>
      <c r="H108" s="1">
        <v>1.0</v>
      </c>
      <c r="I108" s="1" t="s">
        <v>34</v>
      </c>
      <c r="J108" s="1" t="s">
        <v>38</v>
      </c>
      <c r="K108" s="1">
        <f t="shared" si="1"/>
        <v>2022</v>
      </c>
      <c r="L108" s="1" t="str">
        <f t="shared" si="2"/>
        <v>Apr</v>
      </c>
      <c r="M108" s="1" t="str">
        <f t="shared" si="3"/>
        <v>Loss</v>
      </c>
    </row>
    <row r="109" ht="14.25" customHeight="1">
      <c r="A109" s="1" t="s">
        <v>143</v>
      </c>
      <c r="B109" s="2">
        <v>44283.0</v>
      </c>
      <c r="C109" s="1" t="s">
        <v>20</v>
      </c>
      <c r="D109" s="1" t="s">
        <v>15</v>
      </c>
      <c r="E109" s="1" t="s">
        <v>16</v>
      </c>
      <c r="F109" s="1">
        <v>938.74</v>
      </c>
      <c r="G109" s="1">
        <v>62.7</v>
      </c>
      <c r="H109" s="1">
        <v>3.0</v>
      </c>
      <c r="I109" s="1" t="s">
        <v>23</v>
      </c>
      <c r="J109" s="1" t="s">
        <v>18</v>
      </c>
      <c r="K109" s="1">
        <f t="shared" si="1"/>
        <v>2021</v>
      </c>
      <c r="L109" s="1" t="str">
        <f t="shared" si="2"/>
        <v>Mar</v>
      </c>
      <c r="M109" s="1" t="str">
        <f t="shared" si="3"/>
        <v>Profit</v>
      </c>
    </row>
    <row r="110" ht="14.25" customHeight="1">
      <c r="A110" s="1" t="s">
        <v>144</v>
      </c>
      <c r="B110" s="2">
        <v>45041.0</v>
      </c>
      <c r="C110" s="1" t="s">
        <v>14</v>
      </c>
      <c r="D110" s="1" t="s">
        <v>27</v>
      </c>
      <c r="E110" s="1" t="s">
        <v>28</v>
      </c>
      <c r="F110" s="1">
        <v>312.81</v>
      </c>
      <c r="G110" s="1">
        <v>-25.4</v>
      </c>
      <c r="H110" s="1">
        <v>4.0</v>
      </c>
      <c r="I110" s="1" t="s">
        <v>17</v>
      </c>
      <c r="J110" s="1" t="s">
        <v>35</v>
      </c>
      <c r="K110" s="1">
        <f t="shared" si="1"/>
        <v>2023</v>
      </c>
      <c r="L110" s="1" t="str">
        <f t="shared" si="2"/>
        <v>Apr</v>
      </c>
      <c r="M110" s="1" t="str">
        <f t="shared" si="3"/>
        <v>Loss</v>
      </c>
    </row>
    <row r="111" ht="14.25" customHeight="1">
      <c r="A111" s="1" t="s">
        <v>145</v>
      </c>
      <c r="B111" s="2">
        <v>44848.0</v>
      </c>
      <c r="C111" s="1" t="s">
        <v>20</v>
      </c>
      <c r="D111" s="1" t="s">
        <v>27</v>
      </c>
      <c r="E111" s="1" t="s">
        <v>33</v>
      </c>
      <c r="F111" s="1">
        <v>518.65</v>
      </c>
      <c r="G111" s="1">
        <v>21.93</v>
      </c>
      <c r="H111" s="1">
        <v>1.0</v>
      </c>
      <c r="I111" s="1" t="s">
        <v>34</v>
      </c>
      <c r="J111" s="1" t="s">
        <v>24</v>
      </c>
      <c r="K111" s="1">
        <f t="shared" si="1"/>
        <v>2022</v>
      </c>
      <c r="L111" s="1" t="str">
        <f t="shared" si="2"/>
        <v>Oct</v>
      </c>
      <c r="M111" s="1" t="str">
        <f t="shared" si="3"/>
        <v>Profit</v>
      </c>
    </row>
    <row r="112" ht="14.25" customHeight="1">
      <c r="A112" s="1" t="s">
        <v>146</v>
      </c>
      <c r="B112" s="2">
        <v>45222.0</v>
      </c>
      <c r="C112" s="1" t="s">
        <v>30</v>
      </c>
      <c r="D112" s="1" t="s">
        <v>15</v>
      </c>
      <c r="E112" s="1" t="s">
        <v>54</v>
      </c>
      <c r="F112" s="1">
        <v>761.83</v>
      </c>
      <c r="G112" s="1">
        <v>160.39</v>
      </c>
      <c r="H112" s="1">
        <v>4.0</v>
      </c>
      <c r="I112" s="1" t="s">
        <v>23</v>
      </c>
      <c r="J112" s="1" t="s">
        <v>24</v>
      </c>
      <c r="K112" s="1">
        <f t="shared" si="1"/>
        <v>2023</v>
      </c>
      <c r="L112" s="1" t="str">
        <f t="shared" si="2"/>
        <v>Oct</v>
      </c>
      <c r="M112" s="1" t="str">
        <f t="shared" si="3"/>
        <v>Profit</v>
      </c>
    </row>
    <row r="113" ht="14.25" customHeight="1">
      <c r="A113" s="1" t="s">
        <v>147</v>
      </c>
      <c r="B113" s="2">
        <v>44821.0</v>
      </c>
      <c r="C113" s="1" t="s">
        <v>26</v>
      </c>
      <c r="D113" s="1" t="s">
        <v>21</v>
      </c>
      <c r="E113" s="1" t="s">
        <v>22</v>
      </c>
      <c r="F113" s="1">
        <v>508.94</v>
      </c>
      <c r="G113" s="1">
        <v>-3.82</v>
      </c>
      <c r="H113" s="1">
        <v>9.0</v>
      </c>
      <c r="I113" s="1" t="s">
        <v>34</v>
      </c>
      <c r="J113" s="1" t="s">
        <v>24</v>
      </c>
      <c r="K113" s="1">
        <f t="shared" si="1"/>
        <v>2022</v>
      </c>
      <c r="L113" s="1" t="str">
        <f t="shared" si="2"/>
        <v>Sep</v>
      </c>
      <c r="M113" s="1" t="str">
        <f t="shared" si="3"/>
        <v>Loss</v>
      </c>
    </row>
    <row r="114" ht="14.25" customHeight="1">
      <c r="A114" s="1" t="s">
        <v>148</v>
      </c>
      <c r="B114" s="2">
        <v>44737.0</v>
      </c>
      <c r="C114" s="1" t="s">
        <v>26</v>
      </c>
      <c r="D114" s="1" t="s">
        <v>27</v>
      </c>
      <c r="E114" s="1" t="s">
        <v>40</v>
      </c>
      <c r="F114" s="1">
        <v>921.86</v>
      </c>
      <c r="G114" s="1">
        <v>14.69</v>
      </c>
      <c r="H114" s="1">
        <v>7.0</v>
      </c>
      <c r="I114" s="1" t="s">
        <v>17</v>
      </c>
      <c r="J114" s="1" t="s">
        <v>38</v>
      </c>
      <c r="K114" s="1">
        <f t="shared" si="1"/>
        <v>2022</v>
      </c>
      <c r="L114" s="1" t="str">
        <f t="shared" si="2"/>
        <v>Jun</v>
      </c>
      <c r="M114" s="1" t="str">
        <f t="shared" si="3"/>
        <v>Profit</v>
      </c>
    </row>
    <row r="115" ht="14.25" customHeight="1">
      <c r="A115" s="1" t="s">
        <v>149</v>
      </c>
      <c r="B115" s="2">
        <v>44214.0</v>
      </c>
      <c r="C115" s="1" t="s">
        <v>30</v>
      </c>
      <c r="D115" s="1" t="s">
        <v>15</v>
      </c>
      <c r="E115" s="1" t="s">
        <v>31</v>
      </c>
      <c r="F115" s="1">
        <v>866.62</v>
      </c>
      <c r="G115" s="1">
        <v>-163.4</v>
      </c>
      <c r="H115" s="1">
        <v>6.0</v>
      </c>
      <c r="I115" s="1" t="s">
        <v>17</v>
      </c>
      <c r="J115" s="1" t="s">
        <v>24</v>
      </c>
      <c r="K115" s="1">
        <f t="shared" si="1"/>
        <v>2021</v>
      </c>
      <c r="L115" s="1" t="str">
        <f t="shared" si="2"/>
        <v>Jan</v>
      </c>
      <c r="M115" s="1" t="str">
        <f t="shared" si="3"/>
        <v>Loss</v>
      </c>
    </row>
    <row r="116" ht="14.25" customHeight="1">
      <c r="A116" s="1" t="s">
        <v>150</v>
      </c>
      <c r="B116" s="2">
        <v>44848.0</v>
      </c>
      <c r="C116" s="1" t="s">
        <v>20</v>
      </c>
      <c r="D116" s="1" t="s">
        <v>21</v>
      </c>
      <c r="E116" s="1" t="s">
        <v>37</v>
      </c>
      <c r="F116" s="1">
        <v>291.15</v>
      </c>
      <c r="G116" s="1">
        <v>-54.39</v>
      </c>
      <c r="H116" s="1">
        <v>8.0</v>
      </c>
      <c r="I116" s="1" t="s">
        <v>17</v>
      </c>
      <c r="J116" s="1" t="s">
        <v>18</v>
      </c>
      <c r="K116" s="1">
        <f t="shared" si="1"/>
        <v>2022</v>
      </c>
      <c r="L116" s="1" t="str">
        <f t="shared" si="2"/>
        <v>Oct</v>
      </c>
      <c r="M116" s="1" t="str">
        <f t="shared" si="3"/>
        <v>Loss</v>
      </c>
    </row>
    <row r="117" ht="14.25" customHeight="1">
      <c r="A117" s="1" t="s">
        <v>151</v>
      </c>
      <c r="B117" s="2">
        <v>44750.0</v>
      </c>
      <c r="C117" s="1" t="s">
        <v>14</v>
      </c>
      <c r="D117" s="1" t="s">
        <v>15</v>
      </c>
      <c r="E117" s="1" t="s">
        <v>54</v>
      </c>
      <c r="F117" s="1">
        <v>370.59</v>
      </c>
      <c r="G117" s="1">
        <v>140.51</v>
      </c>
      <c r="H117" s="1">
        <v>3.0</v>
      </c>
      <c r="I117" s="1" t="s">
        <v>23</v>
      </c>
      <c r="J117" s="1" t="s">
        <v>35</v>
      </c>
      <c r="K117" s="1">
        <f t="shared" si="1"/>
        <v>2022</v>
      </c>
      <c r="L117" s="1" t="str">
        <f t="shared" si="2"/>
        <v>Jul</v>
      </c>
      <c r="M117" s="1" t="str">
        <f t="shared" si="3"/>
        <v>Profit</v>
      </c>
    </row>
    <row r="118" ht="14.25" customHeight="1">
      <c r="A118" s="1" t="s">
        <v>152</v>
      </c>
      <c r="B118" s="2">
        <v>44880.0</v>
      </c>
      <c r="C118" s="1" t="s">
        <v>14</v>
      </c>
      <c r="D118" s="1" t="s">
        <v>15</v>
      </c>
      <c r="E118" s="1" t="s">
        <v>54</v>
      </c>
      <c r="F118" s="1">
        <v>394.31</v>
      </c>
      <c r="G118" s="1">
        <v>297.63</v>
      </c>
      <c r="H118" s="1">
        <v>8.0</v>
      </c>
      <c r="I118" s="1" t="s">
        <v>34</v>
      </c>
      <c r="J118" s="1" t="s">
        <v>24</v>
      </c>
      <c r="K118" s="1">
        <f t="shared" si="1"/>
        <v>2022</v>
      </c>
      <c r="L118" s="1" t="str">
        <f t="shared" si="2"/>
        <v>Nov</v>
      </c>
      <c r="M118" s="1" t="str">
        <f t="shared" si="3"/>
        <v>Profit</v>
      </c>
    </row>
    <row r="119" ht="14.25" customHeight="1">
      <c r="A119" s="1" t="s">
        <v>153</v>
      </c>
      <c r="B119" s="2">
        <v>45120.0</v>
      </c>
      <c r="C119" s="1" t="s">
        <v>14</v>
      </c>
      <c r="D119" s="1" t="s">
        <v>15</v>
      </c>
      <c r="E119" s="1" t="s">
        <v>16</v>
      </c>
      <c r="F119" s="1">
        <v>853.85</v>
      </c>
      <c r="G119" s="1">
        <v>-30.59</v>
      </c>
      <c r="H119" s="1">
        <v>8.0</v>
      </c>
      <c r="I119" s="1" t="s">
        <v>23</v>
      </c>
      <c r="J119" s="1" t="s">
        <v>18</v>
      </c>
      <c r="K119" s="1">
        <f t="shared" si="1"/>
        <v>2023</v>
      </c>
      <c r="L119" s="1" t="str">
        <f t="shared" si="2"/>
        <v>Jul</v>
      </c>
      <c r="M119" s="1" t="str">
        <f t="shared" si="3"/>
        <v>Loss</v>
      </c>
    </row>
    <row r="120" ht="14.25" customHeight="1">
      <c r="A120" s="1" t="s">
        <v>154</v>
      </c>
      <c r="B120" s="2">
        <v>44399.0</v>
      </c>
      <c r="C120" s="1" t="s">
        <v>30</v>
      </c>
      <c r="D120" s="1" t="s">
        <v>21</v>
      </c>
      <c r="E120" s="1" t="s">
        <v>37</v>
      </c>
      <c r="F120" s="1">
        <v>834.1</v>
      </c>
      <c r="G120" s="1">
        <v>-108.93</v>
      </c>
      <c r="H120" s="1">
        <v>3.0</v>
      </c>
      <c r="I120" s="1" t="s">
        <v>17</v>
      </c>
      <c r="J120" s="1" t="s">
        <v>24</v>
      </c>
      <c r="K120" s="1">
        <f t="shared" si="1"/>
        <v>2021</v>
      </c>
      <c r="L120" s="1" t="str">
        <f t="shared" si="2"/>
        <v>Jul</v>
      </c>
      <c r="M120" s="1" t="str">
        <f t="shared" si="3"/>
        <v>Loss</v>
      </c>
    </row>
    <row r="121" ht="14.25" customHeight="1">
      <c r="A121" s="1" t="s">
        <v>155</v>
      </c>
      <c r="B121" s="2">
        <v>45234.0</v>
      </c>
      <c r="C121" s="1" t="s">
        <v>30</v>
      </c>
      <c r="D121" s="1" t="s">
        <v>27</v>
      </c>
      <c r="E121" s="1" t="s">
        <v>33</v>
      </c>
      <c r="F121" s="1">
        <v>262.28</v>
      </c>
      <c r="G121" s="1">
        <v>-85.94</v>
      </c>
      <c r="H121" s="1">
        <v>8.0</v>
      </c>
      <c r="I121" s="1" t="s">
        <v>34</v>
      </c>
      <c r="J121" s="1" t="s">
        <v>38</v>
      </c>
      <c r="K121" s="1">
        <f t="shared" si="1"/>
        <v>2023</v>
      </c>
      <c r="L121" s="1" t="str">
        <f t="shared" si="2"/>
        <v>Nov</v>
      </c>
      <c r="M121" s="1" t="str">
        <f t="shared" si="3"/>
        <v>Loss</v>
      </c>
    </row>
    <row r="122" ht="14.25" customHeight="1">
      <c r="A122" s="1" t="s">
        <v>156</v>
      </c>
      <c r="B122" s="2">
        <v>44338.0</v>
      </c>
      <c r="C122" s="1" t="s">
        <v>30</v>
      </c>
      <c r="D122" s="1" t="s">
        <v>21</v>
      </c>
      <c r="E122" s="1" t="s">
        <v>37</v>
      </c>
      <c r="F122" s="1">
        <v>708.47</v>
      </c>
      <c r="G122" s="1">
        <v>263.9</v>
      </c>
      <c r="H122" s="1">
        <v>2.0</v>
      </c>
      <c r="I122" s="1" t="s">
        <v>23</v>
      </c>
      <c r="J122" s="1" t="s">
        <v>18</v>
      </c>
      <c r="K122" s="1">
        <f t="shared" si="1"/>
        <v>2021</v>
      </c>
      <c r="L122" s="1" t="str">
        <f t="shared" si="2"/>
        <v>May</v>
      </c>
      <c r="M122" s="1" t="str">
        <f t="shared" si="3"/>
        <v>Profit</v>
      </c>
    </row>
    <row r="123" ht="14.25" customHeight="1">
      <c r="A123" s="1" t="s">
        <v>157</v>
      </c>
      <c r="B123" s="2">
        <v>44529.0</v>
      </c>
      <c r="C123" s="1" t="s">
        <v>14</v>
      </c>
      <c r="D123" s="1" t="s">
        <v>27</v>
      </c>
      <c r="E123" s="1" t="s">
        <v>28</v>
      </c>
      <c r="F123" s="1">
        <v>650.34</v>
      </c>
      <c r="G123" s="1">
        <v>195.72</v>
      </c>
      <c r="H123" s="1">
        <v>5.0</v>
      </c>
      <c r="I123" s="1" t="s">
        <v>23</v>
      </c>
      <c r="J123" s="1" t="s">
        <v>24</v>
      </c>
      <c r="K123" s="1">
        <f t="shared" si="1"/>
        <v>2021</v>
      </c>
      <c r="L123" s="1" t="str">
        <f t="shared" si="2"/>
        <v>Nov</v>
      </c>
      <c r="M123" s="1" t="str">
        <f t="shared" si="3"/>
        <v>Profit</v>
      </c>
    </row>
    <row r="124" ht="14.25" customHeight="1">
      <c r="A124" s="1" t="s">
        <v>158</v>
      </c>
      <c r="B124" s="2">
        <v>44888.0</v>
      </c>
      <c r="C124" s="1" t="s">
        <v>26</v>
      </c>
      <c r="D124" s="1" t="s">
        <v>15</v>
      </c>
      <c r="E124" s="1" t="s">
        <v>54</v>
      </c>
      <c r="F124" s="1">
        <v>817.23</v>
      </c>
      <c r="G124" s="1">
        <v>177.77</v>
      </c>
      <c r="H124" s="1">
        <v>10.0</v>
      </c>
      <c r="I124" s="1" t="s">
        <v>17</v>
      </c>
      <c r="J124" s="1" t="s">
        <v>38</v>
      </c>
      <c r="K124" s="1">
        <f t="shared" si="1"/>
        <v>2022</v>
      </c>
      <c r="L124" s="1" t="str">
        <f t="shared" si="2"/>
        <v>Nov</v>
      </c>
      <c r="M124" s="1" t="str">
        <f t="shared" si="3"/>
        <v>Profit</v>
      </c>
    </row>
    <row r="125" ht="14.25" customHeight="1">
      <c r="A125" s="1" t="s">
        <v>159</v>
      </c>
      <c r="B125" s="2">
        <v>44491.0</v>
      </c>
      <c r="C125" s="1" t="s">
        <v>14</v>
      </c>
      <c r="D125" s="1" t="s">
        <v>21</v>
      </c>
      <c r="E125" s="1" t="s">
        <v>76</v>
      </c>
      <c r="F125" s="1">
        <v>671.63</v>
      </c>
      <c r="G125" s="1">
        <v>231.64</v>
      </c>
      <c r="H125" s="1">
        <v>4.0</v>
      </c>
      <c r="I125" s="1" t="s">
        <v>17</v>
      </c>
      <c r="J125" s="1" t="s">
        <v>38</v>
      </c>
      <c r="K125" s="1">
        <f t="shared" si="1"/>
        <v>2021</v>
      </c>
      <c r="L125" s="1" t="str">
        <f t="shared" si="2"/>
        <v>Oct</v>
      </c>
      <c r="M125" s="1" t="str">
        <f t="shared" si="3"/>
        <v>Profit</v>
      </c>
    </row>
    <row r="126" ht="14.25" customHeight="1">
      <c r="A126" s="1" t="s">
        <v>160</v>
      </c>
      <c r="B126" s="2">
        <v>44806.0</v>
      </c>
      <c r="C126" s="1" t="s">
        <v>14</v>
      </c>
      <c r="D126" s="1" t="s">
        <v>15</v>
      </c>
      <c r="E126" s="1" t="s">
        <v>54</v>
      </c>
      <c r="F126" s="1">
        <v>984.51</v>
      </c>
      <c r="G126" s="1">
        <v>155.37</v>
      </c>
      <c r="H126" s="1">
        <v>6.0</v>
      </c>
      <c r="I126" s="1" t="s">
        <v>17</v>
      </c>
      <c r="J126" s="1" t="s">
        <v>35</v>
      </c>
      <c r="K126" s="1">
        <f t="shared" si="1"/>
        <v>2022</v>
      </c>
      <c r="L126" s="1" t="str">
        <f t="shared" si="2"/>
        <v>Sep</v>
      </c>
      <c r="M126" s="1" t="str">
        <f t="shared" si="3"/>
        <v>Profit</v>
      </c>
    </row>
    <row r="127" ht="14.25" customHeight="1">
      <c r="A127" s="1" t="s">
        <v>161</v>
      </c>
      <c r="B127" s="2">
        <v>44897.0</v>
      </c>
      <c r="C127" s="1" t="s">
        <v>20</v>
      </c>
      <c r="D127" s="1" t="s">
        <v>15</v>
      </c>
      <c r="E127" s="1" t="s">
        <v>31</v>
      </c>
      <c r="F127" s="1">
        <v>817.95</v>
      </c>
      <c r="G127" s="1">
        <v>292.1</v>
      </c>
      <c r="H127" s="1">
        <v>5.0</v>
      </c>
      <c r="I127" s="1" t="s">
        <v>34</v>
      </c>
      <c r="J127" s="1" t="s">
        <v>38</v>
      </c>
      <c r="K127" s="1">
        <f t="shared" si="1"/>
        <v>2022</v>
      </c>
      <c r="L127" s="1" t="str">
        <f t="shared" si="2"/>
        <v>Dec</v>
      </c>
      <c r="M127" s="1" t="str">
        <f t="shared" si="3"/>
        <v>Profit</v>
      </c>
    </row>
    <row r="128" ht="14.25" customHeight="1">
      <c r="A128" s="1" t="s">
        <v>162</v>
      </c>
      <c r="B128" s="2">
        <v>45182.0</v>
      </c>
      <c r="C128" s="1" t="s">
        <v>30</v>
      </c>
      <c r="D128" s="1" t="s">
        <v>21</v>
      </c>
      <c r="E128" s="1" t="s">
        <v>76</v>
      </c>
      <c r="F128" s="1">
        <v>111.86</v>
      </c>
      <c r="G128" s="1">
        <v>-15.92</v>
      </c>
      <c r="H128" s="1">
        <v>1.0</v>
      </c>
      <c r="I128" s="1" t="s">
        <v>17</v>
      </c>
      <c r="J128" s="1" t="s">
        <v>24</v>
      </c>
      <c r="K128" s="1">
        <f t="shared" si="1"/>
        <v>2023</v>
      </c>
      <c r="L128" s="1" t="str">
        <f t="shared" si="2"/>
        <v>Sep</v>
      </c>
      <c r="M128" s="1" t="str">
        <f t="shared" si="3"/>
        <v>Loss</v>
      </c>
    </row>
    <row r="129" ht="14.25" customHeight="1">
      <c r="A129" s="1" t="s">
        <v>163</v>
      </c>
      <c r="B129" s="2">
        <v>44331.0</v>
      </c>
      <c r="C129" s="1" t="s">
        <v>14</v>
      </c>
      <c r="D129" s="1" t="s">
        <v>27</v>
      </c>
      <c r="E129" s="1" t="s">
        <v>40</v>
      </c>
      <c r="F129" s="1">
        <v>903.89</v>
      </c>
      <c r="G129" s="1">
        <v>248.41</v>
      </c>
      <c r="H129" s="1">
        <v>10.0</v>
      </c>
      <c r="I129" s="1" t="s">
        <v>17</v>
      </c>
      <c r="J129" s="1" t="s">
        <v>38</v>
      </c>
      <c r="K129" s="1">
        <f t="shared" si="1"/>
        <v>2021</v>
      </c>
      <c r="L129" s="1" t="str">
        <f t="shared" si="2"/>
        <v>May</v>
      </c>
      <c r="M129" s="1" t="str">
        <f t="shared" si="3"/>
        <v>Profit</v>
      </c>
    </row>
    <row r="130" ht="14.25" customHeight="1">
      <c r="A130" s="1" t="s">
        <v>164</v>
      </c>
      <c r="B130" s="2">
        <v>45284.0</v>
      </c>
      <c r="C130" s="1" t="s">
        <v>20</v>
      </c>
      <c r="D130" s="1" t="s">
        <v>27</v>
      </c>
      <c r="E130" s="1" t="s">
        <v>28</v>
      </c>
      <c r="F130" s="1">
        <v>362.04</v>
      </c>
      <c r="G130" s="1">
        <v>-43.59</v>
      </c>
      <c r="H130" s="1">
        <v>6.0</v>
      </c>
      <c r="I130" s="1" t="s">
        <v>17</v>
      </c>
      <c r="J130" s="1" t="s">
        <v>24</v>
      </c>
      <c r="K130" s="1">
        <f t="shared" si="1"/>
        <v>2023</v>
      </c>
      <c r="L130" s="1" t="str">
        <f t="shared" si="2"/>
        <v>Dec</v>
      </c>
      <c r="M130" s="1" t="str">
        <f t="shared" si="3"/>
        <v>Loss</v>
      </c>
    </row>
    <row r="131" ht="14.25" customHeight="1">
      <c r="A131" s="1" t="s">
        <v>165</v>
      </c>
      <c r="B131" s="2">
        <v>44283.0</v>
      </c>
      <c r="C131" s="1" t="s">
        <v>20</v>
      </c>
      <c r="D131" s="1" t="s">
        <v>27</v>
      </c>
      <c r="E131" s="1" t="s">
        <v>28</v>
      </c>
      <c r="F131" s="1">
        <v>722.63</v>
      </c>
      <c r="G131" s="1">
        <v>145.73</v>
      </c>
      <c r="H131" s="1">
        <v>4.0</v>
      </c>
      <c r="I131" s="1" t="s">
        <v>17</v>
      </c>
      <c r="J131" s="1" t="s">
        <v>24</v>
      </c>
      <c r="K131" s="1">
        <f t="shared" si="1"/>
        <v>2021</v>
      </c>
      <c r="L131" s="1" t="str">
        <f t="shared" si="2"/>
        <v>Mar</v>
      </c>
      <c r="M131" s="1" t="str">
        <f t="shared" si="3"/>
        <v>Profit</v>
      </c>
    </row>
    <row r="132" ht="14.25" customHeight="1">
      <c r="A132" s="1" t="s">
        <v>166</v>
      </c>
      <c r="B132" s="2">
        <v>44458.0</v>
      </c>
      <c r="C132" s="1" t="s">
        <v>26</v>
      </c>
      <c r="D132" s="1" t="s">
        <v>27</v>
      </c>
      <c r="E132" s="1" t="s">
        <v>40</v>
      </c>
      <c r="F132" s="1">
        <v>696.58</v>
      </c>
      <c r="G132" s="1">
        <v>135.59</v>
      </c>
      <c r="H132" s="1">
        <v>3.0</v>
      </c>
      <c r="I132" s="1" t="s">
        <v>23</v>
      </c>
      <c r="J132" s="1" t="s">
        <v>38</v>
      </c>
      <c r="K132" s="1">
        <f t="shared" si="1"/>
        <v>2021</v>
      </c>
      <c r="L132" s="1" t="str">
        <f t="shared" si="2"/>
        <v>Sep</v>
      </c>
      <c r="M132" s="1" t="str">
        <f t="shared" si="3"/>
        <v>Profit</v>
      </c>
    </row>
    <row r="133" ht="14.25" customHeight="1">
      <c r="A133" s="1" t="s">
        <v>167</v>
      </c>
      <c r="B133" s="2">
        <v>44666.0</v>
      </c>
      <c r="C133" s="1" t="s">
        <v>20</v>
      </c>
      <c r="D133" s="1" t="s">
        <v>15</v>
      </c>
      <c r="E133" s="1" t="s">
        <v>31</v>
      </c>
      <c r="F133" s="1">
        <v>995.5</v>
      </c>
      <c r="G133" s="1">
        <v>220.94</v>
      </c>
      <c r="H133" s="1">
        <v>6.0</v>
      </c>
      <c r="I133" s="1" t="s">
        <v>34</v>
      </c>
      <c r="J133" s="1" t="s">
        <v>35</v>
      </c>
      <c r="K133" s="1">
        <f t="shared" si="1"/>
        <v>2022</v>
      </c>
      <c r="L133" s="1" t="str">
        <f t="shared" si="2"/>
        <v>Apr</v>
      </c>
      <c r="M133" s="1" t="str">
        <f t="shared" si="3"/>
        <v>Profit</v>
      </c>
    </row>
    <row r="134" ht="14.25" customHeight="1">
      <c r="A134" s="1" t="s">
        <v>168</v>
      </c>
      <c r="B134" s="2">
        <v>44772.0</v>
      </c>
      <c r="C134" s="1" t="s">
        <v>30</v>
      </c>
      <c r="D134" s="1" t="s">
        <v>15</v>
      </c>
      <c r="E134" s="1" t="s">
        <v>16</v>
      </c>
      <c r="F134" s="1">
        <v>190.81</v>
      </c>
      <c r="G134" s="1">
        <v>244.4</v>
      </c>
      <c r="H134" s="1">
        <v>5.0</v>
      </c>
      <c r="I134" s="1" t="s">
        <v>17</v>
      </c>
      <c r="J134" s="1" t="s">
        <v>35</v>
      </c>
      <c r="K134" s="1">
        <f t="shared" si="1"/>
        <v>2022</v>
      </c>
      <c r="L134" s="1" t="str">
        <f t="shared" si="2"/>
        <v>Jul</v>
      </c>
      <c r="M134" s="1" t="str">
        <f t="shared" si="3"/>
        <v>Profit</v>
      </c>
    </row>
    <row r="135" ht="14.25" customHeight="1">
      <c r="A135" s="1" t="s">
        <v>169</v>
      </c>
      <c r="B135" s="2">
        <v>44749.0</v>
      </c>
      <c r="C135" s="1" t="s">
        <v>30</v>
      </c>
      <c r="D135" s="1" t="s">
        <v>27</v>
      </c>
      <c r="E135" s="1" t="s">
        <v>33</v>
      </c>
      <c r="F135" s="1">
        <v>590.21</v>
      </c>
      <c r="G135" s="1">
        <v>205.07</v>
      </c>
      <c r="H135" s="1">
        <v>7.0</v>
      </c>
      <c r="I135" s="1" t="s">
        <v>17</v>
      </c>
      <c r="J135" s="1" t="s">
        <v>18</v>
      </c>
      <c r="K135" s="1">
        <f t="shared" si="1"/>
        <v>2022</v>
      </c>
      <c r="L135" s="1" t="str">
        <f t="shared" si="2"/>
        <v>Jul</v>
      </c>
      <c r="M135" s="1" t="str">
        <f t="shared" si="3"/>
        <v>Profit</v>
      </c>
    </row>
    <row r="136" ht="14.25" customHeight="1">
      <c r="A136" s="1" t="s">
        <v>170</v>
      </c>
      <c r="B136" s="2">
        <v>44259.0</v>
      </c>
      <c r="C136" s="1" t="s">
        <v>26</v>
      </c>
      <c r="D136" s="1" t="s">
        <v>27</v>
      </c>
      <c r="E136" s="1" t="s">
        <v>40</v>
      </c>
      <c r="F136" s="1">
        <v>618.17</v>
      </c>
      <c r="G136" s="1">
        <v>-67.5</v>
      </c>
      <c r="H136" s="1">
        <v>9.0</v>
      </c>
      <c r="I136" s="1" t="s">
        <v>34</v>
      </c>
      <c r="J136" s="1" t="s">
        <v>35</v>
      </c>
      <c r="K136" s="1">
        <f t="shared" si="1"/>
        <v>2021</v>
      </c>
      <c r="L136" s="1" t="str">
        <f t="shared" si="2"/>
        <v>Mar</v>
      </c>
      <c r="M136" s="1" t="str">
        <f t="shared" si="3"/>
        <v>Loss</v>
      </c>
    </row>
    <row r="137" ht="14.25" customHeight="1">
      <c r="A137" s="1" t="s">
        <v>171</v>
      </c>
      <c r="B137" s="2">
        <v>44650.0</v>
      </c>
      <c r="C137" s="1" t="s">
        <v>30</v>
      </c>
      <c r="D137" s="1" t="s">
        <v>21</v>
      </c>
      <c r="E137" s="1" t="s">
        <v>22</v>
      </c>
      <c r="F137" s="1">
        <v>591.31</v>
      </c>
      <c r="G137" s="1">
        <v>58.58</v>
      </c>
      <c r="H137" s="1">
        <v>3.0</v>
      </c>
      <c r="I137" s="1" t="s">
        <v>17</v>
      </c>
      <c r="J137" s="1" t="s">
        <v>35</v>
      </c>
      <c r="K137" s="1">
        <f t="shared" si="1"/>
        <v>2022</v>
      </c>
      <c r="L137" s="1" t="str">
        <f t="shared" si="2"/>
        <v>Mar</v>
      </c>
      <c r="M137" s="1" t="str">
        <f t="shared" si="3"/>
        <v>Profit</v>
      </c>
    </row>
    <row r="138" ht="14.25" customHeight="1">
      <c r="A138" s="1" t="s">
        <v>172</v>
      </c>
      <c r="B138" s="2">
        <v>44211.0</v>
      </c>
      <c r="C138" s="1" t="s">
        <v>14</v>
      </c>
      <c r="D138" s="1" t="s">
        <v>15</v>
      </c>
      <c r="E138" s="1" t="s">
        <v>31</v>
      </c>
      <c r="F138" s="1">
        <v>279.61</v>
      </c>
      <c r="G138" s="1">
        <v>3.28</v>
      </c>
      <c r="H138" s="1">
        <v>9.0</v>
      </c>
      <c r="I138" s="1" t="s">
        <v>23</v>
      </c>
      <c r="J138" s="1" t="s">
        <v>24</v>
      </c>
      <c r="K138" s="1">
        <f t="shared" si="1"/>
        <v>2021</v>
      </c>
      <c r="L138" s="1" t="str">
        <f t="shared" si="2"/>
        <v>Jan</v>
      </c>
      <c r="M138" s="1" t="str">
        <f t="shared" si="3"/>
        <v>Profit</v>
      </c>
    </row>
    <row r="139" ht="14.25" customHeight="1">
      <c r="A139" s="1" t="s">
        <v>173</v>
      </c>
      <c r="B139" s="2">
        <v>44705.0</v>
      </c>
      <c r="C139" s="1" t="s">
        <v>20</v>
      </c>
      <c r="D139" s="1" t="s">
        <v>21</v>
      </c>
      <c r="E139" s="1" t="s">
        <v>37</v>
      </c>
      <c r="F139" s="1">
        <v>120.04</v>
      </c>
      <c r="G139" s="1">
        <v>-160.46</v>
      </c>
      <c r="H139" s="1">
        <v>7.0</v>
      </c>
      <c r="I139" s="1" t="s">
        <v>23</v>
      </c>
      <c r="J139" s="1" t="s">
        <v>35</v>
      </c>
      <c r="K139" s="1">
        <f t="shared" si="1"/>
        <v>2022</v>
      </c>
      <c r="L139" s="1" t="str">
        <f t="shared" si="2"/>
        <v>May</v>
      </c>
      <c r="M139" s="1" t="str">
        <f t="shared" si="3"/>
        <v>Loss</v>
      </c>
    </row>
    <row r="140" ht="14.25" customHeight="1">
      <c r="A140" s="1" t="s">
        <v>174</v>
      </c>
      <c r="B140" s="2">
        <v>44947.0</v>
      </c>
      <c r="C140" s="1" t="s">
        <v>14</v>
      </c>
      <c r="D140" s="1" t="s">
        <v>21</v>
      </c>
      <c r="E140" s="1" t="s">
        <v>22</v>
      </c>
      <c r="F140" s="1">
        <v>909.01</v>
      </c>
      <c r="G140" s="1">
        <v>225.36</v>
      </c>
      <c r="H140" s="1">
        <v>8.0</v>
      </c>
      <c r="I140" s="1" t="s">
        <v>17</v>
      </c>
      <c r="J140" s="1" t="s">
        <v>24</v>
      </c>
      <c r="K140" s="1">
        <f t="shared" si="1"/>
        <v>2023</v>
      </c>
      <c r="L140" s="1" t="str">
        <f t="shared" si="2"/>
        <v>Jan</v>
      </c>
      <c r="M140" s="1" t="str">
        <f t="shared" si="3"/>
        <v>Profit</v>
      </c>
    </row>
    <row r="141" ht="14.25" customHeight="1">
      <c r="A141" s="1" t="s">
        <v>175</v>
      </c>
      <c r="B141" s="2">
        <v>45248.0</v>
      </c>
      <c r="C141" s="1" t="s">
        <v>14</v>
      </c>
      <c r="D141" s="1" t="s">
        <v>27</v>
      </c>
      <c r="E141" s="1" t="s">
        <v>33</v>
      </c>
      <c r="F141" s="1">
        <v>613.06</v>
      </c>
      <c r="G141" s="1">
        <v>231.13</v>
      </c>
      <c r="H141" s="1">
        <v>5.0</v>
      </c>
      <c r="I141" s="1" t="s">
        <v>23</v>
      </c>
      <c r="J141" s="1" t="s">
        <v>35</v>
      </c>
      <c r="K141" s="1">
        <f t="shared" si="1"/>
        <v>2023</v>
      </c>
      <c r="L141" s="1" t="str">
        <f t="shared" si="2"/>
        <v>Nov</v>
      </c>
      <c r="M141" s="1" t="str">
        <f t="shared" si="3"/>
        <v>Profit</v>
      </c>
    </row>
    <row r="142" ht="14.25" customHeight="1">
      <c r="A142" s="1" t="s">
        <v>176</v>
      </c>
      <c r="B142" s="2">
        <v>44984.0</v>
      </c>
      <c r="C142" s="1" t="s">
        <v>14</v>
      </c>
      <c r="D142" s="1" t="s">
        <v>27</v>
      </c>
      <c r="E142" s="1" t="s">
        <v>28</v>
      </c>
      <c r="F142" s="1">
        <v>307.01</v>
      </c>
      <c r="G142" s="1">
        <v>69.22</v>
      </c>
      <c r="H142" s="1">
        <v>6.0</v>
      </c>
      <c r="I142" s="1" t="s">
        <v>23</v>
      </c>
      <c r="J142" s="1" t="s">
        <v>35</v>
      </c>
      <c r="K142" s="1">
        <f t="shared" si="1"/>
        <v>2023</v>
      </c>
      <c r="L142" s="1" t="str">
        <f t="shared" si="2"/>
        <v>Feb</v>
      </c>
      <c r="M142" s="1" t="str">
        <f t="shared" si="3"/>
        <v>Profit</v>
      </c>
    </row>
    <row r="143" ht="14.25" customHeight="1">
      <c r="A143" s="1" t="s">
        <v>177</v>
      </c>
      <c r="B143" s="2">
        <v>44316.0</v>
      </c>
      <c r="C143" s="1" t="s">
        <v>20</v>
      </c>
      <c r="D143" s="1" t="s">
        <v>15</v>
      </c>
      <c r="E143" s="1" t="s">
        <v>54</v>
      </c>
      <c r="F143" s="1">
        <v>999.58</v>
      </c>
      <c r="G143" s="1">
        <v>93.97</v>
      </c>
      <c r="H143" s="1">
        <v>3.0</v>
      </c>
      <c r="I143" s="1" t="s">
        <v>23</v>
      </c>
      <c r="J143" s="1" t="s">
        <v>35</v>
      </c>
      <c r="K143" s="1">
        <f t="shared" si="1"/>
        <v>2021</v>
      </c>
      <c r="L143" s="1" t="str">
        <f t="shared" si="2"/>
        <v>Apr</v>
      </c>
      <c r="M143" s="1" t="str">
        <f t="shared" si="3"/>
        <v>Profit</v>
      </c>
    </row>
    <row r="144" ht="14.25" customHeight="1">
      <c r="A144" s="1" t="s">
        <v>178</v>
      </c>
      <c r="B144" s="2">
        <v>44997.0</v>
      </c>
      <c r="C144" s="1" t="s">
        <v>20</v>
      </c>
      <c r="D144" s="1" t="s">
        <v>21</v>
      </c>
      <c r="E144" s="1" t="s">
        <v>37</v>
      </c>
      <c r="F144" s="1">
        <v>70.25</v>
      </c>
      <c r="G144" s="1">
        <v>22.43</v>
      </c>
      <c r="H144" s="1">
        <v>8.0</v>
      </c>
      <c r="I144" s="1" t="s">
        <v>34</v>
      </c>
      <c r="J144" s="1" t="s">
        <v>38</v>
      </c>
      <c r="K144" s="1">
        <f t="shared" si="1"/>
        <v>2023</v>
      </c>
      <c r="L144" s="1" t="str">
        <f t="shared" si="2"/>
        <v>Mar</v>
      </c>
      <c r="M144" s="1" t="str">
        <f t="shared" si="3"/>
        <v>Profit</v>
      </c>
    </row>
    <row r="145" ht="14.25" customHeight="1">
      <c r="A145" s="1" t="s">
        <v>179</v>
      </c>
      <c r="B145" s="2">
        <v>44682.0</v>
      </c>
      <c r="C145" s="1" t="s">
        <v>14</v>
      </c>
      <c r="D145" s="1" t="s">
        <v>15</v>
      </c>
      <c r="E145" s="1" t="s">
        <v>54</v>
      </c>
      <c r="F145" s="1">
        <v>771.51</v>
      </c>
      <c r="G145" s="1">
        <v>-13.7</v>
      </c>
      <c r="H145" s="1">
        <v>1.0</v>
      </c>
      <c r="I145" s="1" t="s">
        <v>34</v>
      </c>
      <c r="J145" s="1" t="s">
        <v>18</v>
      </c>
      <c r="K145" s="1">
        <f t="shared" si="1"/>
        <v>2022</v>
      </c>
      <c r="L145" s="1" t="str">
        <f t="shared" si="2"/>
        <v>May</v>
      </c>
      <c r="M145" s="1" t="str">
        <f t="shared" si="3"/>
        <v>Loss</v>
      </c>
    </row>
    <row r="146" ht="14.25" customHeight="1">
      <c r="A146" s="1" t="s">
        <v>180</v>
      </c>
      <c r="B146" s="2">
        <v>44843.0</v>
      </c>
      <c r="C146" s="1" t="s">
        <v>14</v>
      </c>
      <c r="D146" s="1" t="s">
        <v>21</v>
      </c>
      <c r="E146" s="1" t="s">
        <v>22</v>
      </c>
      <c r="F146" s="1">
        <v>84.3</v>
      </c>
      <c r="G146" s="1">
        <v>211.34</v>
      </c>
      <c r="H146" s="1">
        <v>2.0</v>
      </c>
      <c r="I146" s="1" t="s">
        <v>23</v>
      </c>
      <c r="J146" s="1" t="s">
        <v>38</v>
      </c>
      <c r="K146" s="1">
        <f t="shared" si="1"/>
        <v>2022</v>
      </c>
      <c r="L146" s="1" t="str">
        <f t="shared" si="2"/>
        <v>Oct</v>
      </c>
      <c r="M146" s="1" t="str">
        <f t="shared" si="3"/>
        <v>Profit</v>
      </c>
    </row>
    <row r="147" ht="14.25" customHeight="1">
      <c r="A147" s="1" t="s">
        <v>181</v>
      </c>
      <c r="B147" s="2">
        <v>44481.0</v>
      </c>
      <c r="C147" s="1" t="s">
        <v>26</v>
      </c>
      <c r="D147" s="1" t="s">
        <v>21</v>
      </c>
      <c r="E147" s="1" t="s">
        <v>37</v>
      </c>
      <c r="F147" s="1">
        <v>231.49</v>
      </c>
      <c r="G147" s="1">
        <v>161.75</v>
      </c>
      <c r="H147" s="1">
        <v>6.0</v>
      </c>
      <c r="I147" s="1" t="s">
        <v>17</v>
      </c>
      <c r="J147" s="1" t="s">
        <v>18</v>
      </c>
      <c r="K147" s="1">
        <f t="shared" si="1"/>
        <v>2021</v>
      </c>
      <c r="L147" s="1" t="str">
        <f t="shared" si="2"/>
        <v>Oct</v>
      </c>
      <c r="M147" s="1" t="str">
        <f t="shared" si="3"/>
        <v>Profit</v>
      </c>
    </row>
    <row r="148" ht="14.25" customHeight="1">
      <c r="A148" s="1" t="s">
        <v>182</v>
      </c>
      <c r="B148" s="2">
        <v>44787.0</v>
      </c>
      <c r="C148" s="1" t="s">
        <v>14</v>
      </c>
      <c r="D148" s="1" t="s">
        <v>27</v>
      </c>
      <c r="E148" s="1" t="s">
        <v>33</v>
      </c>
      <c r="F148" s="1">
        <v>474.13</v>
      </c>
      <c r="G148" s="1">
        <v>255.3</v>
      </c>
      <c r="H148" s="1">
        <v>4.0</v>
      </c>
      <c r="I148" s="1" t="s">
        <v>23</v>
      </c>
      <c r="J148" s="1" t="s">
        <v>18</v>
      </c>
      <c r="K148" s="1">
        <f t="shared" si="1"/>
        <v>2022</v>
      </c>
      <c r="L148" s="1" t="str">
        <f t="shared" si="2"/>
        <v>Aug</v>
      </c>
      <c r="M148" s="1" t="str">
        <f t="shared" si="3"/>
        <v>Profit</v>
      </c>
    </row>
    <row r="149" ht="14.25" customHeight="1">
      <c r="A149" s="1" t="s">
        <v>183</v>
      </c>
      <c r="B149" s="2">
        <v>45266.0</v>
      </c>
      <c r="C149" s="1" t="s">
        <v>14</v>
      </c>
      <c r="D149" s="1" t="s">
        <v>27</v>
      </c>
      <c r="E149" s="1" t="s">
        <v>28</v>
      </c>
      <c r="F149" s="1">
        <v>752.42</v>
      </c>
      <c r="G149" s="1">
        <v>262.24</v>
      </c>
      <c r="H149" s="1">
        <v>7.0</v>
      </c>
      <c r="I149" s="1" t="s">
        <v>23</v>
      </c>
      <c r="J149" s="1" t="s">
        <v>24</v>
      </c>
      <c r="K149" s="1">
        <f t="shared" si="1"/>
        <v>2023</v>
      </c>
      <c r="L149" s="1" t="str">
        <f t="shared" si="2"/>
        <v>Dec</v>
      </c>
      <c r="M149" s="1" t="str">
        <f t="shared" si="3"/>
        <v>Profit</v>
      </c>
    </row>
    <row r="150" ht="14.25" customHeight="1">
      <c r="A150" s="1" t="s">
        <v>184</v>
      </c>
      <c r="B150" s="2">
        <v>45003.0</v>
      </c>
      <c r="C150" s="1" t="s">
        <v>30</v>
      </c>
      <c r="D150" s="1" t="s">
        <v>15</v>
      </c>
      <c r="E150" s="1" t="s">
        <v>31</v>
      </c>
      <c r="F150" s="1">
        <v>678.22</v>
      </c>
      <c r="G150" s="1">
        <v>194.45</v>
      </c>
      <c r="H150" s="1">
        <v>6.0</v>
      </c>
      <c r="I150" s="1" t="s">
        <v>34</v>
      </c>
      <c r="J150" s="1" t="s">
        <v>18</v>
      </c>
      <c r="K150" s="1">
        <f t="shared" si="1"/>
        <v>2023</v>
      </c>
      <c r="L150" s="1" t="str">
        <f t="shared" si="2"/>
        <v>Mar</v>
      </c>
      <c r="M150" s="1" t="str">
        <f t="shared" si="3"/>
        <v>Profit</v>
      </c>
    </row>
    <row r="151" ht="14.25" customHeight="1">
      <c r="A151" s="1" t="s">
        <v>185</v>
      </c>
      <c r="B151" s="2">
        <v>44316.0</v>
      </c>
      <c r="C151" s="1" t="s">
        <v>30</v>
      </c>
      <c r="D151" s="1" t="s">
        <v>15</v>
      </c>
      <c r="E151" s="1" t="s">
        <v>54</v>
      </c>
      <c r="F151" s="1">
        <v>840.42</v>
      </c>
      <c r="G151" s="1">
        <v>-151.02</v>
      </c>
      <c r="H151" s="1">
        <v>8.0</v>
      </c>
      <c r="I151" s="1" t="s">
        <v>17</v>
      </c>
      <c r="J151" s="1" t="s">
        <v>38</v>
      </c>
      <c r="K151" s="1">
        <f t="shared" si="1"/>
        <v>2021</v>
      </c>
      <c r="L151" s="1" t="str">
        <f t="shared" si="2"/>
        <v>Apr</v>
      </c>
      <c r="M151" s="1" t="str">
        <f t="shared" si="3"/>
        <v>Loss</v>
      </c>
    </row>
    <row r="152" ht="14.25" customHeight="1">
      <c r="A152" s="1" t="s">
        <v>186</v>
      </c>
      <c r="B152" s="2">
        <v>45146.0</v>
      </c>
      <c r="C152" s="1" t="s">
        <v>20</v>
      </c>
      <c r="D152" s="1" t="s">
        <v>21</v>
      </c>
      <c r="E152" s="1" t="s">
        <v>22</v>
      </c>
      <c r="F152" s="1">
        <v>238.85</v>
      </c>
      <c r="G152" s="1">
        <v>-36.86</v>
      </c>
      <c r="H152" s="1">
        <v>6.0</v>
      </c>
      <c r="I152" s="1" t="s">
        <v>17</v>
      </c>
      <c r="J152" s="1" t="s">
        <v>35</v>
      </c>
      <c r="K152" s="1">
        <f t="shared" si="1"/>
        <v>2023</v>
      </c>
      <c r="L152" s="1" t="str">
        <f t="shared" si="2"/>
        <v>Aug</v>
      </c>
      <c r="M152" s="1" t="str">
        <f t="shared" si="3"/>
        <v>Loss</v>
      </c>
    </row>
    <row r="153" ht="14.25" customHeight="1">
      <c r="A153" s="1" t="s">
        <v>187</v>
      </c>
      <c r="B153" s="2">
        <v>45155.0</v>
      </c>
      <c r="C153" s="1" t="s">
        <v>30</v>
      </c>
      <c r="D153" s="1" t="s">
        <v>27</v>
      </c>
      <c r="E153" s="1" t="s">
        <v>40</v>
      </c>
      <c r="F153" s="1">
        <v>271.99</v>
      </c>
      <c r="G153" s="1">
        <v>144.15</v>
      </c>
      <c r="H153" s="1">
        <v>8.0</v>
      </c>
      <c r="I153" s="1" t="s">
        <v>17</v>
      </c>
      <c r="J153" s="1" t="s">
        <v>38</v>
      </c>
      <c r="K153" s="1">
        <f t="shared" si="1"/>
        <v>2023</v>
      </c>
      <c r="L153" s="1" t="str">
        <f t="shared" si="2"/>
        <v>Aug</v>
      </c>
      <c r="M153" s="1" t="str">
        <f t="shared" si="3"/>
        <v>Profit</v>
      </c>
    </row>
    <row r="154" ht="14.25" customHeight="1">
      <c r="A154" s="1" t="s">
        <v>188</v>
      </c>
      <c r="B154" s="2">
        <v>44213.0</v>
      </c>
      <c r="C154" s="1" t="s">
        <v>14</v>
      </c>
      <c r="D154" s="1" t="s">
        <v>15</v>
      </c>
      <c r="E154" s="1" t="s">
        <v>54</v>
      </c>
      <c r="F154" s="1">
        <v>679.64</v>
      </c>
      <c r="G154" s="1">
        <v>-41.34</v>
      </c>
      <c r="H154" s="1">
        <v>9.0</v>
      </c>
      <c r="I154" s="1" t="s">
        <v>34</v>
      </c>
      <c r="J154" s="1" t="s">
        <v>38</v>
      </c>
      <c r="K154" s="1">
        <f t="shared" si="1"/>
        <v>2021</v>
      </c>
      <c r="L154" s="1" t="str">
        <f t="shared" si="2"/>
        <v>Jan</v>
      </c>
      <c r="M154" s="1" t="str">
        <f t="shared" si="3"/>
        <v>Loss</v>
      </c>
    </row>
    <row r="155" ht="14.25" customHeight="1">
      <c r="A155" s="1" t="s">
        <v>189</v>
      </c>
      <c r="B155" s="2">
        <v>44887.0</v>
      </c>
      <c r="C155" s="1" t="s">
        <v>20</v>
      </c>
      <c r="D155" s="1" t="s">
        <v>15</v>
      </c>
      <c r="E155" s="1" t="s">
        <v>54</v>
      </c>
      <c r="F155" s="1">
        <v>218.74</v>
      </c>
      <c r="G155" s="1">
        <v>61.56</v>
      </c>
      <c r="H155" s="1">
        <v>4.0</v>
      </c>
      <c r="I155" s="1" t="s">
        <v>23</v>
      </c>
      <c r="J155" s="1" t="s">
        <v>35</v>
      </c>
      <c r="K155" s="1">
        <f t="shared" si="1"/>
        <v>2022</v>
      </c>
      <c r="L155" s="1" t="str">
        <f t="shared" si="2"/>
        <v>Nov</v>
      </c>
      <c r="M155" s="1" t="str">
        <f t="shared" si="3"/>
        <v>Profit</v>
      </c>
    </row>
    <row r="156" ht="14.25" customHeight="1">
      <c r="A156" s="1" t="s">
        <v>190</v>
      </c>
      <c r="B156" s="2">
        <v>44280.0</v>
      </c>
      <c r="C156" s="1" t="s">
        <v>30</v>
      </c>
      <c r="D156" s="1" t="s">
        <v>21</v>
      </c>
      <c r="E156" s="1" t="s">
        <v>22</v>
      </c>
      <c r="F156" s="1">
        <v>597.65</v>
      </c>
      <c r="G156" s="1">
        <v>184.82</v>
      </c>
      <c r="H156" s="1">
        <v>1.0</v>
      </c>
      <c r="I156" s="1" t="s">
        <v>23</v>
      </c>
      <c r="J156" s="1" t="s">
        <v>24</v>
      </c>
      <c r="K156" s="1">
        <f t="shared" si="1"/>
        <v>2021</v>
      </c>
      <c r="L156" s="1" t="str">
        <f t="shared" si="2"/>
        <v>Mar</v>
      </c>
      <c r="M156" s="1" t="str">
        <f t="shared" si="3"/>
        <v>Profit</v>
      </c>
    </row>
    <row r="157" ht="14.25" customHeight="1">
      <c r="A157" s="1" t="s">
        <v>191</v>
      </c>
      <c r="B157" s="2">
        <v>45214.0</v>
      </c>
      <c r="C157" s="1" t="s">
        <v>30</v>
      </c>
      <c r="D157" s="1" t="s">
        <v>21</v>
      </c>
      <c r="E157" s="1" t="s">
        <v>76</v>
      </c>
      <c r="F157" s="1">
        <v>256.99</v>
      </c>
      <c r="G157" s="1">
        <v>260.82</v>
      </c>
      <c r="H157" s="1">
        <v>8.0</v>
      </c>
      <c r="I157" s="1" t="s">
        <v>17</v>
      </c>
      <c r="J157" s="1" t="s">
        <v>35</v>
      </c>
      <c r="K157" s="1">
        <f t="shared" si="1"/>
        <v>2023</v>
      </c>
      <c r="L157" s="1" t="str">
        <f t="shared" si="2"/>
        <v>Oct</v>
      </c>
      <c r="M157" s="1" t="str">
        <f t="shared" si="3"/>
        <v>Profit</v>
      </c>
    </row>
    <row r="158" ht="14.25" customHeight="1">
      <c r="A158" s="1" t="s">
        <v>192</v>
      </c>
      <c r="B158" s="2">
        <v>44252.0</v>
      </c>
      <c r="C158" s="1" t="s">
        <v>26</v>
      </c>
      <c r="D158" s="1" t="s">
        <v>21</v>
      </c>
      <c r="E158" s="1" t="s">
        <v>37</v>
      </c>
      <c r="F158" s="1">
        <v>987.87</v>
      </c>
      <c r="G158" s="1">
        <v>-122.5</v>
      </c>
      <c r="H158" s="1">
        <v>9.0</v>
      </c>
      <c r="I158" s="1" t="s">
        <v>34</v>
      </c>
      <c r="J158" s="1" t="s">
        <v>24</v>
      </c>
      <c r="K158" s="1">
        <f t="shared" si="1"/>
        <v>2021</v>
      </c>
      <c r="L158" s="1" t="str">
        <f t="shared" si="2"/>
        <v>Feb</v>
      </c>
      <c r="M158" s="1" t="str">
        <f t="shared" si="3"/>
        <v>Loss</v>
      </c>
    </row>
    <row r="159" ht="14.25" customHeight="1">
      <c r="A159" s="1" t="s">
        <v>193</v>
      </c>
      <c r="B159" s="2">
        <v>44254.0</v>
      </c>
      <c r="C159" s="1" t="s">
        <v>30</v>
      </c>
      <c r="D159" s="1" t="s">
        <v>27</v>
      </c>
      <c r="E159" s="1" t="s">
        <v>40</v>
      </c>
      <c r="F159" s="1">
        <v>906.35</v>
      </c>
      <c r="G159" s="1">
        <v>-135.55</v>
      </c>
      <c r="H159" s="1">
        <v>8.0</v>
      </c>
      <c r="I159" s="1" t="s">
        <v>17</v>
      </c>
      <c r="J159" s="1" t="s">
        <v>35</v>
      </c>
      <c r="K159" s="1">
        <f t="shared" si="1"/>
        <v>2021</v>
      </c>
      <c r="L159" s="1" t="str">
        <f t="shared" si="2"/>
        <v>Feb</v>
      </c>
      <c r="M159" s="1" t="str">
        <f t="shared" si="3"/>
        <v>Loss</v>
      </c>
    </row>
    <row r="160" ht="14.25" customHeight="1">
      <c r="A160" s="1" t="s">
        <v>194</v>
      </c>
      <c r="B160" s="2">
        <v>44900.0</v>
      </c>
      <c r="C160" s="1" t="s">
        <v>26</v>
      </c>
      <c r="D160" s="1" t="s">
        <v>21</v>
      </c>
      <c r="E160" s="1" t="s">
        <v>76</v>
      </c>
      <c r="F160" s="1">
        <v>934.47</v>
      </c>
      <c r="G160" s="1">
        <v>273.39</v>
      </c>
      <c r="H160" s="1">
        <v>9.0</v>
      </c>
      <c r="I160" s="1" t="s">
        <v>17</v>
      </c>
      <c r="J160" s="1" t="s">
        <v>24</v>
      </c>
      <c r="K160" s="1">
        <f t="shared" si="1"/>
        <v>2022</v>
      </c>
      <c r="L160" s="1" t="str">
        <f t="shared" si="2"/>
        <v>Dec</v>
      </c>
      <c r="M160" s="1" t="str">
        <f t="shared" si="3"/>
        <v>Profit</v>
      </c>
    </row>
    <row r="161" ht="14.25" customHeight="1">
      <c r="A161" s="1" t="s">
        <v>195</v>
      </c>
      <c r="B161" s="2">
        <v>45001.0</v>
      </c>
      <c r="C161" s="1" t="s">
        <v>14</v>
      </c>
      <c r="D161" s="1" t="s">
        <v>15</v>
      </c>
      <c r="E161" s="1" t="s">
        <v>31</v>
      </c>
      <c r="F161" s="1">
        <v>519.33</v>
      </c>
      <c r="G161" s="1">
        <v>151.29</v>
      </c>
      <c r="H161" s="1">
        <v>2.0</v>
      </c>
      <c r="I161" s="1" t="s">
        <v>23</v>
      </c>
      <c r="J161" s="1" t="s">
        <v>24</v>
      </c>
      <c r="K161" s="1">
        <f t="shared" si="1"/>
        <v>2023</v>
      </c>
      <c r="L161" s="1" t="str">
        <f t="shared" si="2"/>
        <v>Mar</v>
      </c>
      <c r="M161" s="1" t="str">
        <f t="shared" si="3"/>
        <v>Profit</v>
      </c>
    </row>
    <row r="162" ht="14.25" customHeight="1">
      <c r="A162" s="1" t="s">
        <v>196</v>
      </c>
      <c r="B162" s="2">
        <v>45061.0</v>
      </c>
      <c r="C162" s="1" t="s">
        <v>26</v>
      </c>
      <c r="D162" s="1" t="s">
        <v>27</v>
      </c>
      <c r="E162" s="1" t="s">
        <v>40</v>
      </c>
      <c r="F162" s="1">
        <v>666.69</v>
      </c>
      <c r="G162" s="1">
        <v>-56.15</v>
      </c>
      <c r="H162" s="1">
        <v>7.0</v>
      </c>
      <c r="I162" s="1" t="s">
        <v>23</v>
      </c>
      <c r="J162" s="1" t="s">
        <v>38</v>
      </c>
      <c r="K162" s="1">
        <f t="shared" si="1"/>
        <v>2023</v>
      </c>
      <c r="L162" s="1" t="str">
        <f t="shared" si="2"/>
        <v>May</v>
      </c>
      <c r="M162" s="1" t="str">
        <f t="shared" si="3"/>
        <v>Loss</v>
      </c>
    </row>
    <row r="163" ht="14.25" customHeight="1">
      <c r="A163" s="1" t="s">
        <v>197</v>
      </c>
      <c r="B163" s="2">
        <v>45092.0</v>
      </c>
      <c r="C163" s="1" t="s">
        <v>26</v>
      </c>
      <c r="D163" s="1" t="s">
        <v>21</v>
      </c>
      <c r="E163" s="1" t="s">
        <v>37</v>
      </c>
      <c r="F163" s="1">
        <v>854.83</v>
      </c>
      <c r="G163" s="1">
        <v>-114.48</v>
      </c>
      <c r="H163" s="1">
        <v>2.0</v>
      </c>
      <c r="I163" s="1" t="s">
        <v>17</v>
      </c>
      <c r="J163" s="1" t="s">
        <v>24</v>
      </c>
      <c r="K163" s="1">
        <f t="shared" si="1"/>
        <v>2023</v>
      </c>
      <c r="L163" s="1" t="str">
        <f t="shared" si="2"/>
        <v>Jun</v>
      </c>
      <c r="M163" s="1" t="str">
        <f t="shared" si="3"/>
        <v>Loss</v>
      </c>
    </row>
    <row r="164" ht="14.25" customHeight="1">
      <c r="A164" s="1" t="s">
        <v>198</v>
      </c>
      <c r="B164" s="2">
        <v>44850.0</v>
      </c>
      <c r="C164" s="1" t="s">
        <v>14</v>
      </c>
      <c r="D164" s="1" t="s">
        <v>21</v>
      </c>
      <c r="E164" s="1" t="s">
        <v>76</v>
      </c>
      <c r="F164" s="1">
        <v>812.28</v>
      </c>
      <c r="G164" s="1">
        <v>59.46</v>
      </c>
      <c r="H164" s="1">
        <v>6.0</v>
      </c>
      <c r="I164" s="1" t="s">
        <v>17</v>
      </c>
      <c r="J164" s="1" t="s">
        <v>35</v>
      </c>
      <c r="K164" s="1">
        <f t="shared" si="1"/>
        <v>2022</v>
      </c>
      <c r="L164" s="1" t="str">
        <f t="shared" si="2"/>
        <v>Oct</v>
      </c>
      <c r="M164" s="1" t="str">
        <f t="shared" si="3"/>
        <v>Profit</v>
      </c>
    </row>
    <row r="165" ht="14.25" customHeight="1">
      <c r="A165" s="1" t="s">
        <v>199</v>
      </c>
      <c r="B165" s="2">
        <v>44979.0</v>
      </c>
      <c r="C165" s="1" t="s">
        <v>20</v>
      </c>
      <c r="D165" s="1" t="s">
        <v>15</v>
      </c>
      <c r="E165" s="1" t="s">
        <v>54</v>
      </c>
      <c r="F165" s="1">
        <v>982.36</v>
      </c>
      <c r="G165" s="1">
        <v>152.8</v>
      </c>
      <c r="H165" s="1">
        <v>2.0</v>
      </c>
      <c r="I165" s="1" t="s">
        <v>34</v>
      </c>
      <c r="J165" s="1" t="s">
        <v>18</v>
      </c>
      <c r="K165" s="1">
        <f t="shared" si="1"/>
        <v>2023</v>
      </c>
      <c r="L165" s="1" t="str">
        <f t="shared" si="2"/>
        <v>Feb</v>
      </c>
      <c r="M165" s="1" t="str">
        <f t="shared" si="3"/>
        <v>Profit</v>
      </c>
    </row>
    <row r="166" ht="14.25" customHeight="1">
      <c r="A166" s="1" t="s">
        <v>200</v>
      </c>
      <c r="B166" s="2">
        <v>44671.0</v>
      </c>
      <c r="C166" s="1" t="s">
        <v>14</v>
      </c>
      <c r="D166" s="1" t="s">
        <v>21</v>
      </c>
      <c r="E166" s="1" t="s">
        <v>37</v>
      </c>
      <c r="F166" s="1">
        <v>398.85</v>
      </c>
      <c r="G166" s="1">
        <v>260.5</v>
      </c>
      <c r="H166" s="1">
        <v>9.0</v>
      </c>
      <c r="I166" s="1" t="s">
        <v>17</v>
      </c>
      <c r="J166" s="1" t="s">
        <v>18</v>
      </c>
      <c r="K166" s="1">
        <f t="shared" si="1"/>
        <v>2022</v>
      </c>
      <c r="L166" s="1" t="str">
        <f t="shared" si="2"/>
        <v>Apr</v>
      </c>
      <c r="M166" s="1" t="str">
        <f t="shared" si="3"/>
        <v>Profit</v>
      </c>
    </row>
    <row r="167" ht="14.25" customHeight="1">
      <c r="A167" s="1" t="s">
        <v>201</v>
      </c>
      <c r="B167" s="2">
        <v>44657.0</v>
      </c>
      <c r="C167" s="1" t="s">
        <v>14</v>
      </c>
      <c r="D167" s="1" t="s">
        <v>27</v>
      </c>
      <c r="E167" s="1" t="s">
        <v>40</v>
      </c>
      <c r="F167" s="1">
        <v>309.04</v>
      </c>
      <c r="G167" s="1">
        <v>-98.69</v>
      </c>
      <c r="H167" s="1">
        <v>5.0</v>
      </c>
      <c r="I167" s="1" t="s">
        <v>23</v>
      </c>
      <c r="J167" s="1" t="s">
        <v>18</v>
      </c>
      <c r="K167" s="1">
        <f t="shared" si="1"/>
        <v>2022</v>
      </c>
      <c r="L167" s="1" t="str">
        <f t="shared" si="2"/>
        <v>Apr</v>
      </c>
      <c r="M167" s="1" t="str">
        <f t="shared" si="3"/>
        <v>Loss</v>
      </c>
    </row>
    <row r="168" ht="14.25" customHeight="1">
      <c r="A168" s="1" t="s">
        <v>202</v>
      </c>
      <c r="B168" s="2">
        <v>44450.0</v>
      </c>
      <c r="C168" s="1" t="s">
        <v>20</v>
      </c>
      <c r="D168" s="1" t="s">
        <v>15</v>
      </c>
      <c r="E168" s="1" t="s">
        <v>54</v>
      </c>
      <c r="F168" s="1">
        <v>650.72</v>
      </c>
      <c r="G168" s="1">
        <v>116.04</v>
      </c>
      <c r="H168" s="1">
        <v>9.0</v>
      </c>
      <c r="I168" s="1" t="s">
        <v>23</v>
      </c>
      <c r="J168" s="1" t="s">
        <v>18</v>
      </c>
      <c r="K168" s="1">
        <f t="shared" si="1"/>
        <v>2021</v>
      </c>
      <c r="L168" s="1" t="str">
        <f t="shared" si="2"/>
        <v>Sep</v>
      </c>
      <c r="M168" s="1" t="str">
        <f t="shared" si="3"/>
        <v>Profit</v>
      </c>
    </row>
    <row r="169" ht="14.25" customHeight="1">
      <c r="A169" s="1" t="s">
        <v>203</v>
      </c>
      <c r="B169" s="2">
        <v>44279.0</v>
      </c>
      <c r="C169" s="1" t="s">
        <v>26</v>
      </c>
      <c r="D169" s="1" t="s">
        <v>27</v>
      </c>
      <c r="E169" s="1" t="s">
        <v>40</v>
      </c>
      <c r="F169" s="1">
        <v>705.31</v>
      </c>
      <c r="G169" s="1">
        <v>-195.86</v>
      </c>
      <c r="H169" s="1">
        <v>10.0</v>
      </c>
      <c r="I169" s="1" t="s">
        <v>17</v>
      </c>
      <c r="J169" s="1" t="s">
        <v>35</v>
      </c>
      <c r="K169" s="1">
        <f t="shared" si="1"/>
        <v>2021</v>
      </c>
      <c r="L169" s="1" t="str">
        <f t="shared" si="2"/>
        <v>Mar</v>
      </c>
      <c r="M169" s="1" t="str">
        <f t="shared" si="3"/>
        <v>Loss</v>
      </c>
    </row>
    <row r="170" ht="14.25" customHeight="1">
      <c r="A170" s="1" t="s">
        <v>204</v>
      </c>
      <c r="B170" s="2">
        <v>44664.0</v>
      </c>
      <c r="C170" s="1" t="s">
        <v>14</v>
      </c>
      <c r="D170" s="1" t="s">
        <v>27</v>
      </c>
      <c r="E170" s="1" t="s">
        <v>33</v>
      </c>
      <c r="F170" s="1">
        <v>947.6</v>
      </c>
      <c r="G170" s="1">
        <v>164.66</v>
      </c>
      <c r="H170" s="1">
        <v>2.0</v>
      </c>
      <c r="I170" s="1" t="s">
        <v>23</v>
      </c>
      <c r="J170" s="1" t="s">
        <v>18</v>
      </c>
      <c r="K170" s="1">
        <f t="shared" si="1"/>
        <v>2022</v>
      </c>
      <c r="L170" s="1" t="str">
        <f t="shared" si="2"/>
        <v>Apr</v>
      </c>
      <c r="M170" s="1" t="str">
        <f t="shared" si="3"/>
        <v>Profit</v>
      </c>
    </row>
    <row r="171" ht="14.25" customHeight="1">
      <c r="A171" s="1" t="s">
        <v>205</v>
      </c>
      <c r="B171" s="2">
        <v>44820.0</v>
      </c>
      <c r="C171" s="1" t="s">
        <v>20</v>
      </c>
      <c r="D171" s="1" t="s">
        <v>27</v>
      </c>
      <c r="E171" s="1" t="s">
        <v>33</v>
      </c>
      <c r="F171" s="1">
        <v>578.15</v>
      </c>
      <c r="G171" s="1">
        <v>241.35</v>
      </c>
      <c r="H171" s="1">
        <v>1.0</v>
      </c>
      <c r="I171" s="1" t="s">
        <v>17</v>
      </c>
      <c r="J171" s="1" t="s">
        <v>24</v>
      </c>
      <c r="K171" s="1">
        <f t="shared" si="1"/>
        <v>2022</v>
      </c>
      <c r="L171" s="1" t="str">
        <f t="shared" si="2"/>
        <v>Sep</v>
      </c>
      <c r="M171" s="1" t="str">
        <f t="shared" si="3"/>
        <v>Profit</v>
      </c>
    </row>
    <row r="172" ht="14.25" customHeight="1">
      <c r="A172" s="1" t="s">
        <v>206</v>
      </c>
      <c r="B172" s="2">
        <v>44617.0</v>
      </c>
      <c r="C172" s="1" t="s">
        <v>26</v>
      </c>
      <c r="D172" s="1" t="s">
        <v>15</v>
      </c>
      <c r="E172" s="1" t="s">
        <v>16</v>
      </c>
      <c r="F172" s="1">
        <v>632.41</v>
      </c>
      <c r="G172" s="1">
        <v>137.31</v>
      </c>
      <c r="H172" s="1">
        <v>5.0</v>
      </c>
      <c r="I172" s="1" t="s">
        <v>23</v>
      </c>
      <c r="J172" s="1" t="s">
        <v>24</v>
      </c>
      <c r="K172" s="1">
        <f t="shared" si="1"/>
        <v>2022</v>
      </c>
      <c r="L172" s="1" t="str">
        <f t="shared" si="2"/>
        <v>Feb</v>
      </c>
      <c r="M172" s="1" t="str">
        <f t="shared" si="3"/>
        <v>Profit</v>
      </c>
    </row>
    <row r="173" ht="14.25" customHeight="1">
      <c r="A173" s="1" t="s">
        <v>207</v>
      </c>
      <c r="B173" s="2">
        <v>44278.0</v>
      </c>
      <c r="C173" s="1" t="s">
        <v>14</v>
      </c>
      <c r="D173" s="1" t="s">
        <v>21</v>
      </c>
      <c r="E173" s="1" t="s">
        <v>76</v>
      </c>
      <c r="F173" s="1">
        <v>51.04</v>
      </c>
      <c r="G173" s="1">
        <v>-25.87</v>
      </c>
      <c r="H173" s="1">
        <v>10.0</v>
      </c>
      <c r="I173" s="1" t="s">
        <v>34</v>
      </c>
      <c r="J173" s="1" t="s">
        <v>38</v>
      </c>
      <c r="K173" s="1">
        <f t="shared" si="1"/>
        <v>2021</v>
      </c>
      <c r="L173" s="1" t="str">
        <f t="shared" si="2"/>
        <v>Mar</v>
      </c>
      <c r="M173" s="1" t="str">
        <f t="shared" si="3"/>
        <v>Loss</v>
      </c>
    </row>
    <row r="174" ht="14.25" customHeight="1">
      <c r="A174" s="1" t="s">
        <v>208</v>
      </c>
      <c r="B174" s="2">
        <v>44878.0</v>
      </c>
      <c r="C174" s="1" t="s">
        <v>14</v>
      </c>
      <c r="D174" s="1" t="s">
        <v>27</v>
      </c>
      <c r="E174" s="1" t="s">
        <v>28</v>
      </c>
      <c r="F174" s="1">
        <v>899.32</v>
      </c>
      <c r="G174" s="1">
        <v>-135.52</v>
      </c>
      <c r="H174" s="1">
        <v>3.0</v>
      </c>
      <c r="I174" s="1" t="s">
        <v>34</v>
      </c>
      <c r="J174" s="1" t="s">
        <v>38</v>
      </c>
      <c r="K174" s="1">
        <f t="shared" si="1"/>
        <v>2022</v>
      </c>
      <c r="L174" s="1" t="str">
        <f t="shared" si="2"/>
        <v>Nov</v>
      </c>
      <c r="M174" s="1" t="str">
        <f t="shared" si="3"/>
        <v>Loss</v>
      </c>
    </row>
    <row r="175" ht="14.25" customHeight="1">
      <c r="A175" s="1" t="s">
        <v>209</v>
      </c>
      <c r="B175" s="2">
        <v>44946.0</v>
      </c>
      <c r="C175" s="1" t="s">
        <v>14</v>
      </c>
      <c r="D175" s="1" t="s">
        <v>15</v>
      </c>
      <c r="E175" s="1" t="s">
        <v>54</v>
      </c>
      <c r="F175" s="1">
        <v>714.83</v>
      </c>
      <c r="G175" s="1">
        <v>244.25</v>
      </c>
      <c r="H175" s="1">
        <v>2.0</v>
      </c>
      <c r="I175" s="1" t="s">
        <v>23</v>
      </c>
      <c r="J175" s="1" t="s">
        <v>38</v>
      </c>
      <c r="K175" s="1">
        <f t="shared" si="1"/>
        <v>2023</v>
      </c>
      <c r="L175" s="1" t="str">
        <f t="shared" si="2"/>
        <v>Jan</v>
      </c>
      <c r="M175" s="1" t="str">
        <f t="shared" si="3"/>
        <v>Profit</v>
      </c>
    </row>
    <row r="176" ht="14.25" customHeight="1">
      <c r="A176" s="1" t="s">
        <v>210</v>
      </c>
      <c r="B176" s="2">
        <v>44678.0</v>
      </c>
      <c r="C176" s="1" t="s">
        <v>14</v>
      </c>
      <c r="D176" s="1" t="s">
        <v>27</v>
      </c>
      <c r="E176" s="1" t="s">
        <v>28</v>
      </c>
      <c r="F176" s="1">
        <v>45.01</v>
      </c>
      <c r="G176" s="1">
        <v>-44.65</v>
      </c>
      <c r="H176" s="1">
        <v>10.0</v>
      </c>
      <c r="I176" s="1" t="s">
        <v>17</v>
      </c>
      <c r="J176" s="1" t="s">
        <v>35</v>
      </c>
      <c r="K176" s="1">
        <f t="shared" si="1"/>
        <v>2022</v>
      </c>
      <c r="L176" s="1" t="str">
        <f t="shared" si="2"/>
        <v>Apr</v>
      </c>
      <c r="M176" s="1" t="str">
        <f t="shared" si="3"/>
        <v>Loss</v>
      </c>
    </row>
    <row r="177" ht="14.25" customHeight="1">
      <c r="A177" s="1" t="s">
        <v>211</v>
      </c>
      <c r="B177" s="2">
        <v>45290.0</v>
      </c>
      <c r="C177" s="1" t="s">
        <v>14</v>
      </c>
      <c r="D177" s="1" t="s">
        <v>27</v>
      </c>
      <c r="E177" s="1" t="s">
        <v>40</v>
      </c>
      <c r="F177" s="1">
        <v>474.75</v>
      </c>
      <c r="G177" s="1">
        <v>-26.76</v>
      </c>
      <c r="H177" s="1">
        <v>7.0</v>
      </c>
      <c r="I177" s="1" t="s">
        <v>23</v>
      </c>
      <c r="J177" s="1" t="s">
        <v>35</v>
      </c>
      <c r="K177" s="1">
        <f t="shared" si="1"/>
        <v>2023</v>
      </c>
      <c r="L177" s="1" t="str">
        <f t="shared" si="2"/>
        <v>Dec</v>
      </c>
      <c r="M177" s="1" t="str">
        <f t="shared" si="3"/>
        <v>Loss</v>
      </c>
    </row>
    <row r="178" ht="14.25" customHeight="1">
      <c r="A178" s="1" t="s">
        <v>212</v>
      </c>
      <c r="B178" s="2">
        <v>44348.0</v>
      </c>
      <c r="C178" s="1" t="s">
        <v>30</v>
      </c>
      <c r="D178" s="1" t="s">
        <v>21</v>
      </c>
      <c r="E178" s="1" t="s">
        <v>37</v>
      </c>
      <c r="F178" s="1">
        <v>916.74</v>
      </c>
      <c r="G178" s="1">
        <v>126.81</v>
      </c>
      <c r="H178" s="1">
        <v>3.0</v>
      </c>
      <c r="I178" s="1" t="s">
        <v>23</v>
      </c>
      <c r="J178" s="1" t="s">
        <v>38</v>
      </c>
      <c r="K178" s="1">
        <f t="shared" si="1"/>
        <v>2021</v>
      </c>
      <c r="L178" s="1" t="str">
        <f t="shared" si="2"/>
        <v>Jun</v>
      </c>
      <c r="M178" s="1" t="str">
        <f t="shared" si="3"/>
        <v>Profit</v>
      </c>
    </row>
    <row r="179" ht="14.25" customHeight="1">
      <c r="A179" s="1" t="s">
        <v>213</v>
      </c>
      <c r="B179" s="2">
        <v>44687.0</v>
      </c>
      <c r="C179" s="1" t="s">
        <v>14</v>
      </c>
      <c r="D179" s="1" t="s">
        <v>21</v>
      </c>
      <c r="E179" s="1" t="s">
        <v>37</v>
      </c>
      <c r="F179" s="1">
        <v>700.54</v>
      </c>
      <c r="G179" s="1">
        <v>-102.91</v>
      </c>
      <c r="H179" s="1">
        <v>5.0</v>
      </c>
      <c r="I179" s="1" t="s">
        <v>23</v>
      </c>
      <c r="J179" s="1" t="s">
        <v>18</v>
      </c>
      <c r="K179" s="1">
        <f t="shared" si="1"/>
        <v>2022</v>
      </c>
      <c r="L179" s="1" t="str">
        <f t="shared" si="2"/>
        <v>May</v>
      </c>
      <c r="M179" s="1" t="str">
        <f t="shared" si="3"/>
        <v>Loss</v>
      </c>
    </row>
    <row r="180" ht="14.25" customHeight="1">
      <c r="A180" s="1" t="s">
        <v>214</v>
      </c>
      <c r="B180" s="2">
        <v>44756.0</v>
      </c>
      <c r="C180" s="1" t="s">
        <v>14</v>
      </c>
      <c r="D180" s="1" t="s">
        <v>27</v>
      </c>
      <c r="E180" s="1" t="s">
        <v>33</v>
      </c>
      <c r="F180" s="1">
        <v>796.98</v>
      </c>
      <c r="G180" s="1">
        <v>197.33</v>
      </c>
      <c r="H180" s="1">
        <v>4.0</v>
      </c>
      <c r="I180" s="1" t="s">
        <v>23</v>
      </c>
      <c r="J180" s="1" t="s">
        <v>38</v>
      </c>
      <c r="K180" s="1">
        <f t="shared" si="1"/>
        <v>2022</v>
      </c>
      <c r="L180" s="1" t="str">
        <f t="shared" si="2"/>
        <v>Jul</v>
      </c>
      <c r="M180" s="1" t="str">
        <f t="shared" si="3"/>
        <v>Profit</v>
      </c>
    </row>
    <row r="181" ht="14.25" customHeight="1">
      <c r="A181" s="1" t="s">
        <v>215</v>
      </c>
      <c r="B181" s="2">
        <v>44594.0</v>
      </c>
      <c r="C181" s="1" t="s">
        <v>30</v>
      </c>
      <c r="D181" s="1" t="s">
        <v>21</v>
      </c>
      <c r="E181" s="1" t="s">
        <v>37</v>
      </c>
      <c r="F181" s="1">
        <v>246.66</v>
      </c>
      <c r="G181" s="1">
        <v>-21.67</v>
      </c>
      <c r="H181" s="1">
        <v>10.0</v>
      </c>
      <c r="I181" s="1" t="s">
        <v>23</v>
      </c>
      <c r="J181" s="1" t="s">
        <v>18</v>
      </c>
      <c r="K181" s="1">
        <f t="shared" si="1"/>
        <v>2022</v>
      </c>
      <c r="L181" s="1" t="str">
        <f t="shared" si="2"/>
        <v>Feb</v>
      </c>
      <c r="M181" s="1" t="str">
        <f t="shared" si="3"/>
        <v>Loss</v>
      </c>
    </row>
    <row r="182" ht="14.25" customHeight="1">
      <c r="A182" s="1" t="s">
        <v>216</v>
      </c>
      <c r="B182" s="2">
        <v>44717.0</v>
      </c>
      <c r="C182" s="1" t="s">
        <v>30</v>
      </c>
      <c r="D182" s="1" t="s">
        <v>21</v>
      </c>
      <c r="E182" s="1" t="s">
        <v>22</v>
      </c>
      <c r="F182" s="1">
        <v>254.47</v>
      </c>
      <c r="G182" s="1">
        <v>-154.91</v>
      </c>
      <c r="H182" s="1">
        <v>9.0</v>
      </c>
      <c r="I182" s="1" t="s">
        <v>34</v>
      </c>
      <c r="J182" s="1" t="s">
        <v>18</v>
      </c>
      <c r="K182" s="1">
        <f t="shared" si="1"/>
        <v>2022</v>
      </c>
      <c r="L182" s="1" t="str">
        <f t="shared" si="2"/>
        <v>Jun</v>
      </c>
      <c r="M182" s="1" t="str">
        <f t="shared" si="3"/>
        <v>Loss</v>
      </c>
    </row>
    <row r="183" ht="14.25" customHeight="1">
      <c r="A183" s="1" t="s">
        <v>217</v>
      </c>
      <c r="B183" s="2">
        <v>44442.0</v>
      </c>
      <c r="C183" s="1" t="s">
        <v>14</v>
      </c>
      <c r="D183" s="1" t="s">
        <v>21</v>
      </c>
      <c r="E183" s="1" t="s">
        <v>22</v>
      </c>
      <c r="F183" s="1">
        <v>487.67</v>
      </c>
      <c r="G183" s="1">
        <v>105.51</v>
      </c>
      <c r="H183" s="1">
        <v>6.0</v>
      </c>
      <c r="I183" s="1" t="s">
        <v>17</v>
      </c>
      <c r="J183" s="1" t="s">
        <v>18</v>
      </c>
      <c r="K183" s="1">
        <f t="shared" si="1"/>
        <v>2021</v>
      </c>
      <c r="L183" s="1" t="str">
        <f t="shared" si="2"/>
        <v>Sep</v>
      </c>
      <c r="M183" s="1" t="str">
        <f t="shared" si="3"/>
        <v>Profit</v>
      </c>
    </row>
    <row r="184" ht="14.25" customHeight="1">
      <c r="A184" s="1" t="s">
        <v>218</v>
      </c>
      <c r="B184" s="2">
        <v>45290.0</v>
      </c>
      <c r="C184" s="1" t="s">
        <v>26</v>
      </c>
      <c r="D184" s="1" t="s">
        <v>15</v>
      </c>
      <c r="E184" s="1" t="s">
        <v>16</v>
      </c>
      <c r="F184" s="1">
        <v>278.3</v>
      </c>
      <c r="G184" s="1">
        <v>171.66</v>
      </c>
      <c r="H184" s="1">
        <v>7.0</v>
      </c>
      <c r="I184" s="1" t="s">
        <v>17</v>
      </c>
      <c r="J184" s="1" t="s">
        <v>18</v>
      </c>
      <c r="K184" s="1">
        <f t="shared" si="1"/>
        <v>2023</v>
      </c>
      <c r="L184" s="1" t="str">
        <f t="shared" si="2"/>
        <v>Dec</v>
      </c>
      <c r="M184" s="1" t="str">
        <f t="shared" si="3"/>
        <v>Profit</v>
      </c>
    </row>
    <row r="185" ht="14.25" customHeight="1">
      <c r="A185" s="1" t="s">
        <v>219</v>
      </c>
      <c r="B185" s="2">
        <v>44905.0</v>
      </c>
      <c r="C185" s="1" t="s">
        <v>30</v>
      </c>
      <c r="D185" s="1" t="s">
        <v>15</v>
      </c>
      <c r="E185" s="1" t="s">
        <v>16</v>
      </c>
      <c r="F185" s="1">
        <v>55.33</v>
      </c>
      <c r="G185" s="1">
        <v>98.06</v>
      </c>
      <c r="H185" s="1">
        <v>5.0</v>
      </c>
      <c r="I185" s="1" t="s">
        <v>34</v>
      </c>
      <c r="J185" s="1" t="s">
        <v>38</v>
      </c>
      <c r="K185" s="1">
        <f t="shared" si="1"/>
        <v>2022</v>
      </c>
      <c r="L185" s="1" t="str">
        <f t="shared" si="2"/>
        <v>Dec</v>
      </c>
      <c r="M185" s="1" t="str">
        <f t="shared" si="3"/>
        <v>Profit</v>
      </c>
    </row>
    <row r="186" ht="14.25" customHeight="1">
      <c r="A186" s="1" t="s">
        <v>220</v>
      </c>
      <c r="B186" s="2">
        <v>44700.0</v>
      </c>
      <c r="C186" s="1" t="s">
        <v>26</v>
      </c>
      <c r="D186" s="1" t="s">
        <v>21</v>
      </c>
      <c r="E186" s="1" t="s">
        <v>22</v>
      </c>
      <c r="F186" s="1">
        <v>500.33</v>
      </c>
      <c r="G186" s="1">
        <v>-111.44</v>
      </c>
      <c r="H186" s="1">
        <v>6.0</v>
      </c>
      <c r="I186" s="1" t="s">
        <v>17</v>
      </c>
      <c r="J186" s="1" t="s">
        <v>35</v>
      </c>
      <c r="K186" s="1">
        <f t="shared" si="1"/>
        <v>2022</v>
      </c>
      <c r="L186" s="1" t="str">
        <f t="shared" si="2"/>
        <v>May</v>
      </c>
      <c r="M186" s="1" t="str">
        <f t="shared" si="3"/>
        <v>Loss</v>
      </c>
    </row>
    <row r="187" ht="14.25" customHeight="1">
      <c r="A187" s="1" t="s">
        <v>221</v>
      </c>
      <c r="B187" s="2">
        <v>44370.0</v>
      </c>
      <c r="C187" s="1" t="s">
        <v>20</v>
      </c>
      <c r="D187" s="1" t="s">
        <v>15</v>
      </c>
      <c r="E187" s="1" t="s">
        <v>54</v>
      </c>
      <c r="F187" s="1">
        <v>123.13</v>
      </c>
      <c r="G187" s="1">
        <v>254.2</v>
      </c>
      <c r="H187" s="1">
        <v>7.0</v>
      </c>
      <c r="I187" s="1" t="s">
        <v>34</v>
      </c>
      <c r="J187" s="1" t="s">
        <v>38</v>
      </c>
      <c r="K187" s="1">
        <f t="shared" si="1"/>
        <v>2021</v>
      </c>
      <c r="L187" s="1" t="str">
        <f t="shared" si="2"/>
        <v>Jun</v>
      </c>
      <c r="M187" s="1" t="str">
        <f t="shared" si="3"/>
        <v>Profit</v>
      </c>
    </row>
    <row r="188" ht="14.25" customHeight="1">
      <c r="A188" s="1" t="s">
        <v>222</v>
      </c>
      <c r="B188" s="2">
        <v>45110.0</v>
      </c>
      <c r="C188" s="1" t="s">
        <v>20</v>
      </c>
      <c r="D188" s="1" t="s">
        <v>15</v>
      </c>
      <c r="E188" s="1" t="s">
        <v>16</v>
      </c>
      <c r="F188" s="1">
        <v>731.62</v>
      </c>
      <c r="G188" s="1">
        <v>37.48</v>
      </c>
      <c r="H188" s="1">
        <v>1.0</v>
      </c>
      <c r="I188" s="1" t="s">
        <v>34</v>
      </c>
      <c r="J188" s="1" t="s">
        <v>18</v>
      </c>
      <c r="K188" s="1">
        <f t="shared" si="1"/>
        <v>2023</v>
      </c>
      <c r="L188" s="1" t="str">
        <f t="shared" si="2"/>
        <v>Jul</v>
      </c>
      <c r="M188" s="1" t="str">
        <f t="shared" si="3"/>
        <v>Profit</v>
      </c>
    </row>
    <row r="189" ht="14.25" customHeight="1">
      <c r="A189" s="1" t="s">
        <v>223</v>
      </c>
      <c r="B189" s="2">
        <v>44955.0</v>
      </c>
      <c r="C189" s="1" t="s">
        <v>30</v>
      </c>
      <c r="D189" s="1" t="s">
        <v>15</v>
      </c>
      <c r="E189" s="1" t="s">
        <v>16</v>
      </c>
      <c r="F189" s="1">
        <v>549.5</v>
      </c>
      <c r="G189" s="1">
        <v>-140.8</v>
      </c>
      <c r="H189" s="1">
        <v>6.0</v>
      </c>
      <c r="I189" s="1" t="s">
        <v>23</v>
      </c>
      <c r="J189" s="1" t="s">
        <v>24</v>
      </c>
      <c r="K189" s="1">
        <f t="shared" si="1"/>
        <v>2023</v>
      </c>
      <c r="L189" s="1" t="str">
        <f t="shared" si="2"/>
        <v>Jan</v>
      </c>
      <c r="M189" s="1" t="str">
        <f t="shared" si="3"/>
        <v>Loss</v>
      </c>
    </row>
    <row r="190" ht="14.25" customHeight="1">
      <c r="A190" s="1" t="s">
        <v>224</v>
      </c>
      <c r="B190" s="2">
        <v>44558.0</v>
      </c>
      <c r="C190" s="1" t="s">
        <v>30</v>
      </c>
      <c r="D190" s="1" t="s">
        <v>21</v>
      </c>
      <c r="E190" s="1" t="s">
        <v>22</v>
      </c>
      <c r="F190" s="1">
        <v>930.25</v>
      </c>
      <c r="G190" s="1">
        <v>8.12</v>
      </c>
      <c r="H190" s="1">
        <v>4.0</v>
      </c>
      <c r="I190" s="1" t="s">
        <v>34</v>
      </c>
      <c r="J190" s="1" t="s">
        <v>18</v>
      </c>
      <c r="K190" s="1">
        <f t="shared" si="1"/>
        <v>2021</v>
      </c>
      <c r="L190" s="1" t="str">
        <f t="shared" si="2"/>
        <v>Dec</v>
      </c>
      <c r="M190" s="1" t="str">
        <f t="shared" si="3"/>
        <v>Profit</v>
      </c>
    </row>
    <row r="191" ht="14.25" customHeight="1">
      <c r="A191" s="1" t="s">
        <v>225</v>
      </c>
      <c r="B191" s="2">
        <v>44730.0</v>
      </c>
      <c r="C191" s="1" t="s">
        <v>26</v>
      </c>
      <c r="D191" s="1" t="s">
        <v>21</v>
      </c>
      <c r="E191" s="1" t="s">
        <v>22</v>
      </c>
      <c r="F191" s="1">
        <v>103.95</v>
      </c>
      <c r="G191" s="1">
        <v>-28.8</v>
      </c>
      <c r="H191" s="1">
        <v>9.0</v>
      </c>
      <c r="I191" s="1" t="s">
        <v>34</v>
      </c>
      <c r="J191" s="1" t="s">
        <v>24</v>
      </c>
      <c r="K191" s="1">
        <f t="shared" si="1"/>
        <v>2022</v>
      </c>
      <c r="L191" s="1" t="str">
        <f t="shared" si="2"/>
        <v>Jun</v>
      </c>
      <c r="M191" s="1" t="str">
        <f t="shared" si="3"/>
        <v>Loss</v>
      </c>
    </row>
    <row r="192" ht="14.25" customHeight="1">
      <c r="A192" s="1" t="s">
        <v>226</v>
      </c>
      <c r="B192" s="2">
        <v>44973.0</v>
      </c>
      <c r="C192" s="1" t="s">
        <v>20</v>
      </c>
      <c r="D192" s="1" t="s">
        <v>21</v>
      </c>
      <c r="E192" s="1" t="s">
        <v>22</v>
      </c>
      <c r="F192" s="1">
        <v>142.06</v>
      </c>
      <c r="G192" s="1">
        <v>-180.12</v>
      </c>
      <c r="H192" s="1">
        <v>10.0</v>
      </c>
      <c r="I192" s="1" t="s">
        <v>23</v>
      </c>
      <c r="J192" s="1" t="s">
        <v>35</v>
      </c>
      <c r="K192" s="1">
        <f t="shared" si="1"/>
        <v>2023</v>
      </c>
      <c r="L192" s="1" t="str">
        <f t="shared" si="2"/>
        <v>Feb</v>
      </c>
      <c r="M192" s="1" t="str">
        <f t="shared" si="3"/>
        <v>Loss</v>
      </c>
    </row>
    <row r="193" ht="14.25" customHeight="1">
      <c r="A193" s="1" t="s">
        <v>227</v>
      </c>
      <c r="B193" s="2">
        <v>44783.0</v>
      </c>
      <c r="C193" s="1" t="s">
        <v>30</v>
      </c>
      <c r="D193" s="1" t="s">
        <v>15</v>
      </c>
      <c r="E193" s="1" t="s">
        <v>16</v>
      </c>
      <c r="F193" s="1">
        <v>57.09</v>
      </c>
      <c r="G193" s="1">
        <v>274.02</v>
      </c>
      <c r="H193" s="1">
        <v>6.0</v>
      </c>
      <c r="I193" s="1" t="s">
        <v>17</v>
      </c>
      <c r="J193" s="1" t="s">
        <v>18</v>
      </c>
      <c r="K193" s="1">
        <f t="shared" si="1"/>
        <v>2022</v>
      </c>
      <c r="L193" s="1" t="str">
        <f t="shared" si="2"/>
        <v>Aug</v>
      </c>
      <c r="M193" s="1" t="str">
        <f t="shared" si="3"/>
        <v>Profit</v>
      </c>
    </row>
    <row r="194" ht="14.25" customHeight="1">
      <c r="A194" s="1" t="s">
        <v>228</v>
      </c>
      <c r="B194" s="2">
        <v>44402.0</v>
      </c>
      <c r="C194" s="1" t="s">
        <v>30</v>
      </c>
      <c r="D194" s="1" t="s">
        <v>15</v>
      </c>
      <c r="E194" s="1" t="s">
        <v>16</v>
      </c>
      <c r="F194" s="1">
        <v>667.64</v>
      </c>
      <c r="G194" s="1">
        <v>199.2</v>
      </c>
      <c r="H194" s="1">
        <v>9.0</v>
      </c>
      <c r="I194" s="1" t="s">
        <v>23</v>
      </c>
      <c r="J194" s="1" t="s">
        <v>18</v>
      </c>
      <c r="K194" s="1">
        <f t="shared" si="1"/>
        <v>2021</v>
      </c>
      <c r="L194" s="1" t="str">
        <f t="shared" si="2"/>
        <v>Jul</v>
      </c>
      <c r="M194" s="1" t="str">
        <f t="shared" si="3"/>
        <v>Profit</v>
      </c>
    </row>
    <row r="195" ht="14.25" customHeight="1">
      <c r="A195" s="1" t="s">
        <v>229</v>
      </c>
      <c r="B195" s="2">
        <v>44378.0</v>
      </c>
      <c r="C195" s="1" t="s">
        <v>20</v>
      </c>
      <c r="D195" s="1" t="s">
        <v>21</v>
      </c>
      <c r="E195" s="1" t="s">
        <v>37</v>
      </c>
      <c r="F195" s="1">
        <v>305.75</v>
      </c>
      <c r="G195" s="1">
        <v>66.69</v>
      </c>
      <c r="H195" s="1">
        <v>8.0</v>
      </c>
      <c r="I195" s="1" t="s">
        <v>23</v>
      </c>
      <c r="J195" s="1" t="s">
        <v>38</v>
      </c>
      <c r="K195" s="1">
        <f t="shared" si="1"/>
        <v>2021</v>
      </c>
      <c r="L195" s="1" t="str">
        <f t="shared" si="2"/>
        <v>Jul</v>
      </c>
      <c r="M195" s="1" t="str">
        <f t="shared" si="3"/>
        <v>Profit</v>
      </c>
    </row>
    <row r="196" ht="14.25" customHeight="1">
      <c r="A196" s="1" t="s">
        <v>230</v>
      </c>
      <c r="B196" s="2">
        <v>44383.0</v>
      </c>
      <c r="C196" s="1" t="s">
        <v>30</v>
      </c>
      <c r="D196" s="1" t="s">
        <v>27</v>
      </c>
      <c r="E196" s="1" t="s">
        <v>33</v>
      </c>
      <c r="F196" s="1">
        <v>504.91</v>
      </c>
      <c r="G196" s="1">
        <v>164.56</v>
      </c>
      <c r="H196" s="1">
        <v>4.0</v>
      </c>
      <c r="I196" s="1" t="s">
        <v>23</v>
      </c>
      <c r="J196" s="1" t="s">
        <v>38</v>
      </c>
      <c r="K196" s="1">
        <f t="shared" si="1"/>
        <v>2021</v>
      </c>
      <c r="L196" s="1" t="str">
        <f t="shared" si="2"/>
        <v>Jul</v>
      </c>
      <c r="M196" s="1" t="str">
        <f t="shared" si="3"/>
        <v>Profit</v>
      </c>
    </row>
    <row r="197" ht="14.25" customHeight="1">
      <c r="A197" s="1" t="s">
        <v>231</v>
      </c>
      <c r="B197" s="2">
        <v>44525.0</v>
      </c>
      <c r="C197" s="1" t="s">
        <v>30</v>
      </c>
      <c r="D197" s="1" t="s">
        <v>21</v>
      </c>
      <c r="E197" s="1" t="s">
        <v>37</v>
      </c>
      <c r="F197" s="1">
        <v>440.24</v>
      </c>
      <c r="G197" s="1">
        <v>69.22</v>
      </c>
      <c r="H197" s="1">
        <v>2.0</v>
      </c>
      <c r="I197" s="1" t="s">
        <v>23</v>
      </c>
      <c r="J197" s="1" t="s">
        <v>24</v>
      </c>
      <c r="K197" s="1">
        <f t="shared" si="1"/>
        <v>2021</v>
      </c>
      <c r="L197" s="1" t="str">
        <f t="shared" si="2"/>
        <v>Nov</v>
      </c>
      <c r="M197" s="1" t="str">
        <f t="shared" si="3"/>
        <v>Profit</v>
      </c>
    </row>
    <row r="198" ht="14.25" customHeight="1">
      <c r="A198" s="1" t="s">
        <v>232</v>
      </c>
      <c r="B198" s="2">
        <v>44208.0</v>
      </c>
      <c r="C198" s="1" t="s">
        <v>30</v>
      </c>
      <c r="D198" s="1" t="s">
        <v>27</v>
      </c>
      <c r="E198" s="1" t="s">
        <v>40</v>
      </c>
      <c r="F198" s="1">
        <v>708.11</v>
      </c>
      <c r="G198" s="1">
        <v>1.49</v>
      </c>
      <c r="H198" s="1">
        <v>6.0</v>
      </c>
      <c r="I198" s="1" t="s">
        <v>23</v>
      </c>
      <c r="J198" s="1" t="s">
        <v>18</v>
      </c>
      <c r="K198" s="1">
        <f t="shared" si="1"/>
        <v>2021</v>
      </c>
      <c r="L198" s="1" t="str">
        <f t="shared" si="2"/>
        <v>Jan</v>
      </c>
      <c r="M198" s="1" t="str">
        <f t="shared" si="3"/>
        <v>Profit</v>
      </c>
    </row>
    <row r="199" ht="14.25" customHeight="1">
      <c r="A199" s="1" t="s">
        <v>233</v>
      </c>
      <c r="B199" s="2">
        <v>44355.0</v>
      </c>
      <c r="C199" s="1" t="s">
        <v>14</v>
      </c>
      <c r="D199" s="1" t="s">
        <v>27</v>
      </c>
      <c r="E199" s="1" t="s">
        <v>40</v>
      </c>
      <c r="F199" s="1">
        <v>516.79</v>
      </c>
      <c r="G199" s="1">
        <v>29.83</v>
      </c>
      <c r="H199" s="1">
        <v>10.0</v>
      </c>
      <c r="I199" s="1" t="s">
        <v>17</v>
      </c>
      <c r="J199" s="1" t="s">
        <v>35</v>
      </c>
      <c r="K199" s="1">
        <f t="shared" si="1"/>
        <v>2021</v>
      </c>
      <c r="L199" s="1" t="str">
        <f t="shared" si="2"/>
        <v>Jun</v>
      </c>
      <c r="M199" s="1" t="str">
        <f t="shared" si="3"/>
        <v>Profit</v>
      </c>
    </row>
    <row r="200" ht="14.25" customHeight="1">
      <c r="A200" s="1" t="s">
        <v>234</v>
      </c>
      <c r="B200" s="2">
        <v>44597.0</v>
      </c>
      <c r="C200" s="1" t="s">
        <v>20</v>
      </c>
      <c r="D200" s="1" t="s">
        <v>15</v>
      </c>
      <c r="E200" s="1" t="s">
        <v>54</v>
      </c>
      <c r="F200" s="1">
        <v>953.57</v>
      </c>
      <c r="G200" s="1">
        <v>201.63</v>
      </c>
      <c r="H200" s="1">
        <v>6.0</v>
      </c>
      <c r="I200" s="1" t="s">
        <v>17</v>
      </c>
      <c r="J200" s="1" t="s">
        <v>35</v>
      </c>
      <c r="K200" s="1">
        <f t="shared" si="1"/>
        <v>2022</v>
      </c>
      <c r="L200" s="1" t="str">
        <f t="shared" si="2"/>
        <v>Feb</v>
      </c>
      <c r="M200" s="1" t="str">
        <f t="shared" si="3"/>
        <v>Profit</v>
      </c>
    </row>
    <row r="201" ht="14.25" customHeight="1">
      <c r="A201" s="1" t="s">
        <v>235</v>
      </c>
      <c r="B201" s="2">
        <v>44317.0</v>
      </c>
      <c r="C201" s="1" t="s">
        <v>14</v>
      </c>
      <c r="D201" s="1" t="s">
        <v>15</v>
      </c>
      <c r="E201" s="1" t="s">
        <v>54</v>
      </c>
      <c r="F201" s="1">
        <v>544.63</v>
      </c>
      <c r="G201" s="1">
        <v>233.76</v>
      </c>
      <c r="H201" s="1">
        <v>9.0</v>
      </c>
      <c r="I201" s="1" t="s">
        <v>23</v>
      </c>
      <c r="J201" s="1" t="s">
        <v>18</v>
      </c>
      <c r="K201" s="1">
        <f t="shared" si="1"/>
        <v>2021</v>
      </c>
      <c r="L201" s="1" t="str">
        <f t="shared" si="2"/>
        <v>May</v>
      </c>
      <c r="M201" s="1" t="str">
        <f t="shared" si="3"/>
        <v>Profit</v>
      </c>
    </row>
    <row r="202" ht="14.25" customHeight="1">
      <c r="A202" s="1" t="s">
        <v>236</v>
      </c>
      <c r="B202" s="2">
        <v>45130.0</v>
      </c>
      <c r="C202" s="1" t="s">
        <v>26</v>
      </c>
      <c r="D202" s="1" t="s">
        <v>27</v>
      </c>
      <c r="E202" s="1" t="s">
        <v>28</v>
      </c>
      <c r="F202" s="1">
        <v>528.13</v>
      </c>
      <c r="G202" s="1">
        <v>-162.64</v>
      </c>
      <c r="H202" s="1">
        <v>6.0</v>
      </c>
      <c r="I202" s="1" t="s">
        <v>17</v>
      </c>
      <c r="J202" s="1" t="s">
        <v>18</v>
      </c>
      <c r="K202" s="1">
        <f t="shared" si="1"/>
        <v>2023</v>
      </c>
      <c r="L202" s="1" t="str">
        <f t="shared" si="2"/>
        <v>Jul</v>
      </c>
      <c r="M202" s="1" t="str">
        <f t="shared" si="3"/>
        <v>Loss</v>
      </c>
    </row>
    <row r="203" ht="14.25" customHeight="1">
      <c r="A203" s="1" t="s">
        <v>237</v>
      </c>
      <c r="B203" s="2">
        <v>44770.0</v>
      </c>
      <c r="C203" s="1" t="s">
        <v>20</v>
      </c>
      <c r="D203" s="1" t="s">
        <v>27</v>
      </c>
      <c r="E203" s="1" t="s">
        <v>33</v>
      </c>
      <c r="F203" s="1">
        <v>406.44</v>
      </c>
      <c r="G203" s="1">
        <v>-170.89</v>
      </c>
      <c r="H203" s="1">
        <v>6.0</v>
      </c>
      <c r="I203" s="1" t="s">
        <v>34</v>
      </c>
      <c r="J203" s="1" t="s">
        <v>38</v>
      </c>
      <c r="K203" s="1">
        <f t="shared" si="1"/>
        <v>2022</v>
      </c>
      <c r="L203" s="1" t="str">
        <f t="shared" si="2"/>
        <v>Jul</v>
      </c>
      <c r="M203" s="1" t="str">
        <f t="shared" si="3"/>
        <v>Loss</v>
      </c>
    </row>
    <row r="204" ht="14.25" customHeight="1">
      <c r="A204" s="1" t="s">
        <v>238</v>
      </c>
      <c r="B204" s="2">
        <v>44844.0</v>
      </c>
      <c r="C204" s="1" t="s">
        <v>26</v>
      </c>
      <c r="D204" s="1" t="s">
        <v>27</v>
      </c>
      <c r="E204" s="1" t="s">
        <v>28</v>
      </c>
      <c r="F204" s="1">
        <v>79.7</v>
      </c>
      <c r="G204" s="1">
        <v>-39.4</v>
      </c>
      <c r="H204" s="1">
        <v>5.0</v>
      </c>
      <c r="I204" s="1" t="s">
        <v>23</v>
      </c>
      <c r="J204" s="1" t="s">
        <v>18</v>
      </c>
      <c r="K204" s="1">
        <f t="shared" si="1"/>
        <v>2022</v>
      </c>
      <c r="L204" s="1" t="str">
        <f t="shared" si="2"/>
        <v>Oct</v>
      </c>
      <c r="M204" s="1" t="str">
        <f t="shared" si="3"/>
        <v>Loss</v>
      </c>
    </row>
    <row r="205" ht="14.25" customHeight="1">
      <c r="A205" s="1" t="s">
        <v>239</v>
      </c>
      <c r="B205" s="2">
        <v>44251.0</v>
      </c>
      <c r="C205" s="1" t="s">
        <v>26</v>
      </c>
      <c r="D205" s="1" t="s">
        <v>27</v>
      </c>
      <c r="E205" s="1" t="s">
        <v>28</v>
      </c>
      <c r="F205" s="1">
        <v>795.47</v>
      </c>
      <c r="G205" s="1">
        <v>103.65</v>
      </c>
      <c r="H205" s="1">
        <v>4.0</v>
      </c>
      <c r="I205" s="1" t="s">
        <v>34</v>
      </c>
      <c r="J205" s="1" t="s">
        <v>18</v>
      </c>
      <c r="K205" s="1">
        <f t="shared" si="1"/>
        <v>2021</v>
      </c>
      <c r="L205" s="1" t="str">
        <f t="shared" si="2"/>
        <v>Feb</v>
      </c>
      <c r="M205" s="1" t="str">
        <f t="shared" si="3"/>
        <v>Profit</v>
      </c>
    </row>
    <row r="206" ht="14.25" customHeight="1">
      <c r="A206" s="1" t="s">
        <v>240</v>
      </c>
      <c r="B206" s="2">
        <v>44418.0</v>
      </c>
      <c r="C206" s="1" t="s">
        <v>20</v>
      </c>
      <c r="D206" s="1" t="s">
        <v>27</v>
      </c>
      <c r="E206" s="1" t="s">
        <v>40</v>
      </c>
      <c r="F206" s="1">
        <v>602.25</v>
      </c>
      <c r="G206" s="1">
        <v>114.02</v>
      </c>
      <c r="H206" s="1">
        <v>8.0</v>
      </c>
      <c r="I206" s="1" t="s">
        <v>34</v>
      </c>
      <c r="J206" s="1" t="s">
        <v>35</v>
      </c>
      <c r="K206" s="1">
        <f t="shared" si="1"/>
        <v>2021</v>
      </c>
      <c r="L206" s="1" t="str">
        <f t="shared" si="2"/>
        <v>Aug</v>
      </c>
      <c r="M206" s="1" t="str">
        <f t="shared" si="3"/>
        <v>Profit</v>
      </c>
    </row>
    <row r="207" ht="14.25" customHeight="1">
      <c r="A207" s="1" t="s">
        <v>241</v>
      </c>
      <c r="B207" s="2">
        <v>44209.0</v>
      </c>
      <c r="C207" s="1" t="s">
        <v>14</v>
      </c>
      <c r="D207" s="1" t="s">
        <v>21</v>
      </c>
      <c r="E207" s="1" t="s">
        <v>37</v>
      </c>
      <c r="F207" s="1">
        <v>418.97</v>
      </c>
      <c r="G207" s="1">
        <v>92.79</v>
      </c>
      <c r="H207" s="1">
        <v>7.0</v>
      </c>
      <c r="I207" s="1" t="s">
        <v>23</v>
      </c>
      <c r="J207" s="1" t="s">
        <v>18</v>
      </c>
      <c r="K207" s="1">
        <f t="shared" si="1"/>
        <v>2021</v>
      </c>
      <c r="L207" s="1" t="str">
        <f t="shared" si="2"/>
        <v>Jan</v>
      </c>
      <c r="M207" s="1" t="str">
        <f t="shared" si="3"/>
        <v>Profit</v>
      </c>
    </row>
    <row r="208" ht="14.25" customHeight="1">
      <c r="A208" s="1" t="s">
        <v>242</v>
      </c>
      <c r="B208" s="2">
        <v>44679.0</v>
      </c>
      <c r="C208" s="1" t="s">
        <v>30</v>
      </c>
      <c r="D208" s="1" t="s">
        <v>21</v>
      </c>
      <c r="E208" s="1" t="s">
        <v>76</v>
      </c>
      <c r="F208" s="1">
        <v>366.97</v>
      </c>
      <c r="G208" s="1">
        <v>168.81</v>
      </c>
      <c r="H208" s="1">
        <v>3.0</v>
      </c>
      <c r="I208" s="1" t="s">
        <v>17</v>
      </c>
      <c r="J208" s="1" t="s">
        <v>38</v>
      </c>
      <c r="K208" s="1">
        <f t="shared" si="1"/>
        <v>2022</v>
      </c>
      <c r="L208" s="1" t="str">
        <f t="shared" si="2"/>
        <v>Apr</v>
      </c>
      <c r="M208" s="1" t="str">
        <f t="shared" si="3"/>
        <v>Profit</v>
      </c>
    </row>
    <row r="209" ht="14.25" customHeight="1">
      <c r="A209" s="1" t="s">
        <v>243</v>
      </c>
      <c r="B209" s="2">
        <v>44432.0</v>
      </c>
      <c r="C209" s="1" t="s">
        <v>30</v>
      </c>
      <c r="D209" s="1" t="s">
        <v>21</v>
      </c>
      <c r="E209" s="1" t="s">
        <v>37</v>
      </c>
      <c r="F209" s="1">
        <v>694.84</v>
      </c>
      <c r="G209" s="1">
        <v>-104.82</v>
      </c>
      <c r="H209" s="1">
        <v>4.0</v>
      </c>
      <c r="I209" s="1" t="s">
        <v>23</v>
      </c>
      <c r="J209" s="1" t="s">
        <v>35</v>
      </c>
      <c r="K209" s="1">
        <f t="shared" si="1"/>
        <v>2021</v>
      </c>
      <c r="L209" s="1" t="str">
        <f t="shared" si="2"/>
        <v>Aug</v>
      </c>
      <c r="M209" s="1" t="str">
        <f t="shared" si="3"/>
        <v>Loss</v>
      </c>
    </row>
    <row r="210" ht="14.25" customHeight="1">
      <c r="A210" s="1" t="s">
        <v>244</v>
      </c>
      <c r="B210" s="2">
        <v>44969.0</v>
      </c>
      <c r="C210" s="1" t="s">
        <v>20</v>
      </c>
      <c r="D210" s="1" t="s">
        <v>21</v>
      </c>
      <c r="E210" s="1" t="s">
        <v>76</v>
      </c>
      <c r="F210" s="1">
        <v>335.88</v>
      </c>
      <c r="G210" s="1">
        <v>-132.0</v>
      </c>
      <c r="H210" s="1">
        <v>7.0</v>
      </c>
      <c r="I210" s="1" t="s">
        <v>34</v>
      </c>
      <c r="J210" s="1" t="s">
        <v>18</v>
      </c>
      <c r="K210" s="1">
        <f t="shared" si="1"/>
        <v>2023</v>
      </c>
      <c r="L210" s="1" t="str">
        <f t="shared" si="2"/>
        <v>Feb</v>
      </c>
      <c r="M210" s="1" t="str">
        <f t="shared" si="3"/>
        <v>Loss</v>
      </c>
    </row>
    <row r="211" ht="14.25" customHeight="1">
      <c r="A211" s="1" t="s">
        <v>245</v>
      </c>
      <c r="B211" s="2">
        <v>45287.0</v>
      </c>
      <c r="C211" s="1" t="s">
        <v>20</v>
      </c>
      <c r="D211" s="1" t="s">
        <v>27</v>
      </c>
      <c r="E211" s="1" t="s">
        <v>33</v>
      </c>
      <c r="F211" s="1">
        <v>141.05</v>
      </c>
      <c r="G211" s="1">
        <v>-26.93</v>
      </c>
      <c r="H211" s="1">
        <v>2.0</v>
      </c>
      <c r="I211" s="1" t="s">
        <v>34</v>
      </c>
      <c r="J211" s="1" t="s">
        <v>24</v>
      </c>
      <c r="K211" s="1">
        <f t="shared" si="1"/>
        <v>2023</v>
      </c>
      <c r="L211" s="1" t="str">
        <f t="shared" si="2"/>
        <v>Dec</v>
      </c>
      <c r="M211" s="1" t="str">
        <f t="shared" si="3"/>
        <v>Loss</v>
      </c>
    </row>
    <row r="212" ht="14.25" customHeight="1">
      <c r="A212" s="1" t="s">
        <v>246</v>
      </c>
      <c r="B212" s="2">
        <v>44276.0</v>
      </c>
      <c r="C212" s="1" t="s">
        <v>14</v>
      </c>
      <c r="D212" s="1" t="s">
        <v>27</v>
      </c>
      <c r="E212" s="1" t="s">
        <v>28</v>
      </c>
      <c r="F212" s="1">
        <v>363.41</v>
      </c>
      <c r="G212" s="1">
        <v>261.56</v>
      </c>
      <c r="H212" s="1">
        <v>3.0</v>
      </c>
      <c r="I212" s="1" t="s">
        <v>17</v>
      </c>
      <c r="J212" s="1" t="s">
        <v>18</v>
      </c>
      <c r="K212" s="1">
        <f t="shared" si="1"/>
        <v>2021</v>
      </c>
      <c r="L212" s="1" t="str">
        <f t="shared" si="2"/>
        <v>Mar</v>
      </c>
      <c r="M212" s="1" t="str">
        <f t="shared" si="3"/>
        <v>Profit</v>
      </c>
    </row>
    <row r="213" ht="14.25" customHeight="1">
      <c r="A213" s="1" t="s">
        <v>247</v>
      </c>
      <c r="B213" s="2">
        <v>44630.0</v>
      </c>
      <c r="C213" s="1" t="s">
        <v>26</v>
      </c>
      <c r="D213" s="1" t="s">
        <v>27</v>
      </c>
      <c r="E213" s="1" t="s">
        <v>28</v>
      </c>
      <c r="F213" s="1">
        <v>997.54</v>
      </c>
      <c r="G213" s="1">
        <v>68.87</v>
      </c>
      <c r="H213" s="1">
        <v>7.0</v>
      </c>
      <c r="I213" s="1" t="s">
        <v>34</v>
      </c>
      <c r="J213" s="1" t="s">
        <v>18</v>
      </c>
      <c r="K213" s="1">
        <f t="shared" si="1"/>
        <v>2022</v>
      </c>
      <c r="L213" s="1" t="str">
        <f t="shared" si="2"/>
        <v>Mar</v>
      </c>
      <c r="M213" s="1" t="str">
        <f t="shared" si="3"/>
        <v>Profit</v>
      </c>
    </row>
    <row r="214" ht="14.25" customHeight="1">
      <c r="A214" s="1" t="s">
        <v>248</v>
      </c>
      <c r="B214" s="2">
        <v>44624.0</v>
      </c>
      <c r="C214" s="1" t="s">
        <v>30</v>
      </c>
      <c r="D214" s="1" t="s">
        <v>21</v>
      </c>
      <c r="E214" s="1" t="s">
        <v>22</v>
      </c>
      <c r="F214" s="1">
        <v>630.38</v>
      </c>
      <c r="G214" s="1">
        <v>279.79</v>
      </c>
      <c r="H214" s="1">
        <v>7.0</v>
      </c>
      <c r="I214" s="1" t="s">
        <v>23</v>
      </c>
      <c r="J214" s="1" t="s">
        <v>35</v>
      </c>
      <c r="K214" s="1">
        <f t="shared" si="1"/>
        <v>2022</v>
      </c>
      <c r="L214" s="1" t="str">
        <f t="shared" si="2"/>
        <v>Mar</v>
      </c>
      <c r="M214" s="1" t="str">
        <f t="shared" si="3"/>
        <v>Profit</v>
      </c>
    </row>
    <row r="215" ht="14.25" customHeight="1">
      <c r="A215" s="1" t="s">
        <v>249</v>
      </c>
      <c r="B215" s="2">
        <v>44891.0</v>
      </c>
      <c r="C215" s="1" t="s">
        <v>30</v>
      </c>
      <c r="D215" s="1" t="s">
        <v>21</v>
      </c>
      <c r="E215" s="1" t="s">
        <v>76</v>
      </c>
      <c r="F215" s="1">
        <v>635.25</v>
      </c>
      <c r="G215" s="1">
        <v>-126.49</v>
      </c>
      <c r="H215" s="1">
        <v>4.0</v>
      </c>
      <c r="I215" s="1" t="s">
        <v>23</v>
      </c>
      <c r="J215" s="1" t="s">
        <v>35</v>
      </c>
      <c r="K215" s="1">
        <f t="shared" si="1"/>
        <v>2022</v>
      </c>
      <c r="L215" s="1" t="str">
        <f t="shared" si="2"/>
        <v>Nov</v>
      </c>
      <c r="M215" s="1" t="str">
        <f t="shared" si="3"/>
        <v>Loss</v>
      </c>
    </row>
    <row r="216" ht="14.25" customHeight="1">
      <c r="A216" s="1" t="s">
        <v>250</v>
      </c>
      <c r="B216" s="2">
        <v>45154.0</v>
      </c>
      <c r="C216" s="1" t="s">
        <v>26</v>
      </c>
      <c r="D216" s="1" t="s">
        <v>15</v>
      </c>
      <c r="E216" s="1" t="s">
        <v>31</v>
      </c>
      <c r="F216" s="1">
        <v>333.2</v>
      </c>
      <c r="G216" s="1">
        <v>-175.17</v>
      </c>
      <c r="H216" s="1">
        <v>7.0</v>
      </c>
      <c r="I216" s="1" t="s">
        <v>34</v>
      </c>
      <c r="J216" s="1" t="s">
        <v>18</v>
      </c>
      <c r="K216" s="1">
        <f t="shared" si="1"/>
        <v>2023</v>
      </c>
      <c r="L216" s="1" t="str">
        <f t="shared" si="2"/>
        <v>Aug</v>
      </c>
      <c r="M216" s="1" t="str">
        <f t="shared" si="3"/>
        <v>Loss</v>
      </c>
    </row>
    <row r="217" ht="14.25" customHeight="1">
      <c r="A217" s="1" t="s">
        <v>251</v>
      </c>
      <c r="B217" s="2">
        <v>44382.0</v>
      </c>
      <c r="C217" s="1" t="s">
        <v>20</v>
      </c>
      <c r="D217" s="1" t="s">
        <v>15</v>
      </c>
      <c r="E217" s="1" t="s">
        <v>54</v>
      </c>
      <c r="F217" s="1">
        <v>242.85</v>
      </c>
      <c r="G217" s="1">
        <v>-50.44</v>
      </c>
      <c r="H217" s="1">
        <v>4.0</v>
      </c>
      <c r="I217" s="1" t="s">
        <v>34</v>
      </c>
      <c r="J217" s="1" t="s">
        <v>35</v>
      </c>
      <c r="K217" s="1">
        <f t="shared" si="1"/>
        <v>2021</v>
      </c>
      <c r="L217" s="1" t="str">
        <f t="shared" si="2"/>
        <v>Jul</v>
      </c>
      <c r="M217" s="1" t="str">
        <f t="shared" si="3"/>
        <v>Loss</v>
      </c>
    </row>
    <row r="218" ht="14.25" customHeight="1">
      <c r="A218" s="1" t="s">
        <v>252</v>
      </c>
      <c r="B218" s="2">
        <v>44359.0</v>
      </c>
      <c r="C218" s="1" t="s">
        <v>14</v>
      </c>
      <c r="D218" s="1" t="s">
        <v>15</v>
      </c>
      <c r="E218" s="1" t="s">
        <v>16</v>
      </c>
      <c r="F218" s="1">
        <v>254.24</v>
      </c>
      <c r="G218" s="1">
        <v>110.84</v>
      </c>
      <c r="H218" s="1">
        <v>8.0</v>
      </c>
      <c r="I218" s="1" t="s">
        <v>34</v>
      </c>
      <c r="J218" s="1" t="s">
        <v>18</v>
      </c>
      <c r="K218" s="1">
        <f t="shared" si="1"/>
        <v>2021</v>
      </c>
      <c r="L218" s="1" t="str">
        <f t="shared" si="2"/>
        <v>Jun</v>
      </c>
      <c r="M218" s="1" t="str">
        <f t="shared" si="3"/>
        <v>Profit</v>
      </c>
    </row>
    <row r="219" ht="14.25" customHeight="1">
      <c r="A219" s="1" t="s">
        <v>253</v>
      </c>
      <c r="B219" s="2">
        <v>44481.0</v>
      </c>
      <c r="C219" s="1" t="s">
        <v>20</v>
      </c>
      <c r="D219" s="1" t="s">
        <v>15</v>
      </c>
      <c r="E219" s="1" t="s">
        <v>16</v>
      </c>
      <c r="F219" s="1">
        <v>59.13</v>
      </c>
      <c r="G219" s="1">
        <v>-97.16</v>
      </c>
      <c r="H219" s="1">
        <v>1.0</v>
      </c>
      <c r="I219" s="1" t="s">
        <v>17</v>
      </c>
      <c r="J219" s="1" t="s">
        <v>18</v>
      </c>
      <c r="K219" s="1">
        <f t="shared" si="1"/>
        <v>2021</v>
      </c>
      <c r="L219" s="1" t="str">
        <f t="shared" si="2"/>
        <v>Oct</v>
      </c>
      <c r="M219" s="1" t="str">
        <f t="shared" si="3"/>
        <v>Loss</v>
      </c>
    </row>
    <row r="220" ht="14.25" customHeight="1">
      <c r="A220" s="1" t="s">
        <v>254</v>
      </c>
      <c r="B220" s="2">
        <v>44792.0</v>
      </c>
      <c r="C220" s="1" t="s">
        <v>30</v>
      </c>
      <c r="D220" s="1" t="s">
        <v>21</v>
      </c>
      <c r="E220" s="1" t="s">
        <v>22</v>
      </c>
      <c r="F220" s="1">
        <v>911.06</v>
      </c>
      <c r="G220" s="1">
        <v>-9.27</v>
      </c>
      <c r="H220" s="1">
        <v>3.0</v>
      </c>
      <c r="I220" s="1" t="s">
        <v>34</v>
      </c>
      <c r="J220" s="1" t="s">
        <v>38</v>
      </c>
      <c r="K220" s="1">
        <f t="shared" si="1"/>
        <v>2022</v>
      </c>
      <c r="L220" s="1" t="str">
        <f t="shared" si="2"/>
        <v>Aug</v>
      </c>
      <c r="M220" s="1" t="str">
        <f t="shared" si="3"/>
        <v>Loss</v>
      </c>
    </row>
    <row r="221" ht="14.25" customHeight="1">
      <c r="A221" s="1" t="s">
        <v>255</v>
      </c>
      <c r="B221" s="2">
        <v>44436.0</v>
      </c>
      <c r="C221" s="1" t="s">
        <v>30</v>
      </c>
      <c r="D221" s="1" t="s">
        <v>21</v>
      </c>
      <c r="E221" s="1" t="s">
        <v>37</v>
      </c>
      <c r="F221" s="1">
        <v>698.58</v>
      </c>
      <c r="G221" s="1">
        <v>124.17</v>
      </c>
      <c r="H221" s="1">
        <v>9.0</v>
      </c>
      <c r="I221" s="1" t="s">
        <v>23</v>
      </c>
      <c r="J221" s="1" t="s">
        <v>24</v>
      </c>
      <c r="K221" s="1">
        <f t="shared" si="1"/>
        <v>2021</v>
      </c>
      <c r="L221" s="1" t="str">
        <f t="shared" si="2"/>
        <v>Aug</v>
      </c>
      <c r="M221" s="1" t="str">
        <f t="shared" si="3"/>
        <v>Profit</v>
      </c>
    </row>
    <row r="222" ht="14.25" customHeight="1">
      <c r="A222" s="1" t="s">
        <v>256</v>
      </c>
      <c r="B222" s="2">
        <v>45180.0</v>
      </c>
      <c r="C222" s="1" t="s">
        <v>26</v>
      </c>
      <c r="D222" s="1" t="s">
        <v>15</v>
      </c>
      <c r="E222" s="1" t="s">
        <v>54</v>
      </c>
      <c r="F222" s="1">
        <v>222.03</v>
      </c>
      <c r="G222" s="1">
        <v>-134.56</v>
      </c>
      <c r="H222" s="1">
        <v>3.0</v>
      </c>
      <c r="I222" s="1" t="s">
        <v>34</v>
      </c>
      <c r="J222" s="1" t="s">
        <v>18</v>
      </c>
      <c r="K222" s="1">
        <f t="shared" si="1"/>
        <v>2023</v>
      </c>
      <c r="L222" s="1" t="str">
        <f t="shared" si="2"/>
        <v>Sep</v>
      </c>
      <c r="M222" s="1" t="str">
        <f t="shared" si="3"/>
        <v>Loss</v>
      </c>
    </row>
    <row r="223" ht="14.25" customHeight="1">
      <c r="A223" s="1" t="s">
        <v>257</v>
      </c>
      <c r="B223" s="2">
        <v>44328.0</v>
      </c>
      <c r="C223" s="1" t="s">
        <v>30</v>
      </c>
      <c r="D223" s="1" t="s">
        <v>27</v>
      </c>
      <c r="E223" s="1" t="s">
        <v>40</v>
      </c>
      <c r="F223" s="1">
        <v>119.29</v>
      </c>
      <c r="G223" s="1">
        <v>-192.53</v>
      </c>
      <c r="H223" s="1">
        <v>1.0</v>
      </c>
      <c r="I223" s="1" t="s">
        <v>23</v>
      </c>
      <c r="J223" s="1" t="s">
        <v>38</v>
      </c>
      <c r="K223" s="1">
        <f t="shared" si="1"/>
        <v>2021</v>
      </c>
      <c r="L223" s="1" t="str">
        <f t="shared" si="2"/>
        <v>May</v>
      </c>
      <c r="M223" s="1" t="str">
        <f t="shared" si="3"/>
        <v>Loss</v>
      </c>
    </row>
    <row r="224" ht="14.25" customHeight="1">
      <c r="A224" s="1" t="s">
        <v>258</v>
      </c>
      <c r="B224" s="2">
        <v>45284.0</v>
      </c>
      <c r="C224" s="1" t="s">
        <v>30</v>
      </c>
      <c r="D224" s="1" t="s">
        <v>27</v>
      </c>
      <c r="E224" s="1" t="s">
        <v>33</v>
      </c>
      <c r="F224" s="1">
        <v>455.12</v>
      </c>
      <c r="G224" s="1">
        <v>-164.01</v>
      </c>
      <c r="H224" s="1">
        <v>9.0</v>
      </c>
      <c r="I224" s="1" t="s">
        <v>34</v>
      </c>
      <c r="J224" s="1" t="s">
        <v>38</v>
      </c>
      <c r="K224" s="1">
        <f t="shared" si="1"/>
        <v>2023</v>
      </c>
      <c r="L224" s="1" t="str">
        <f t="shared" si="2"/>
        <v>Dec</v>
      </c>
      <c r="M224" s="1" t="str">
        <f t="shared" si="3"/>
        <v>Loss</v>
      </c>
    </row>
    <row r="225" ht="14.25" customHeight="1">
      <c r="A225" s="1" t="s">
        <v>259</v>
      </c>
      <c r="B225" s="2">
        <v>44534.0</v>
      </c>
      <c r="C225" s="1" t="s">
        <v>30</v>
      </c>
      <c r="D225" s="1" t="s">
        <v>21</v>
      </c>
      <c r="E225" s="1" t="s">
        <v>22</v>
      </c>
      <c r="F225" s="1">
        <v>391.47</v>
      </c>
      <c r="G225" s="1">
        <v>-29.38</v>
      </c>
      <c r="H225" s="1">
        <v>1.0</v>
      </c>
      <c r="I225" s="1" t="s">
        <v>23</v>
      </c>
      <c r="J225" s="1" t="s">
        <v>35</v>
      </c>
      <c r="K225" s="1">
        <f t="shared" si="1"/>
        <v>2021</v>
      </c>
      <c r="L225" s="1" t="str">
        <f t="shared" si="2"/>
        <v>Dec</v>
      </c>
      <c r="M225" s="1" t="str">
        <f t="shared" si="3"/>
        <v>Loss</v>
      </c>
    </row>
    <row r="226" ht="14.25" customHeight="1">
      <c r="A226" s="1" t="s">
        <v>260</v>
      </c>
      <c r="B226" s="2">
        <v>44439.0</v>
      </c>
      <c r="C226" s="1" t="s">
        <v>30</v>
      </c>
      <c r="D226" s="1" t="s">
        <v>21</v>
      </c>
      <c r="E226" s="1" t="s">
        <v>76</v>
      </c>
      <c r="F226" s="1">
        <v>200.52</v>
      </c>
      <c r="G226" s="1">
        <v>44.3</v>
      </c>
      <c r="H226" s="1">
        <v>4.0</v>
      </c>
      <c r="I226" s="1" t="s">
        <v>23</v>
      </c>
      <c r="J226" s="1" t="s">
        <v>24</v>
      </c>
      <c r="K226" s="1">
        <f t="shared" si="1"/>
        <v>2021</v>
      </c>
      <c r="L226" s="1" t="str">
        <f t="shared" si="2"/>
        <v>Aug</v>
      </c>
      <c r="M226" s="1" t="str">
        <f t="shared" si="3"/>
        <v>Profit</v>
      </c>
    </row>
    <row r="227" ht="14.25" customHeight="1">
      <c r="A227" s="1" t="s">
        <v>261</v>
      </c>
      <c r="B227" s="2">
        <v>44820.0</v>
      </c>
      <c r="C227" s="1" t="s">
        <v>14</v>
      </c>
      <c r="D227" s="1" t="s">
        <v>21</v>
      </c>
      <c r="E227" s="1" t="s">
        <v>37</v>
      </c>
      <c r="F227" s="1">
        <v>887.0</v>
      </c>
      <c r="G227" s="1">
        <v>-60.66</v>
      </c>
      <c r="H227" s="1">
        <v>5.0</v>
      </c>
      <c r="I227" s="1" t="s">
        <v>34</v>
      </c>
      <c r="J227" s="1" t="s">
        <v>38</v>
      </c>
      <c r="K227" s="1">
        <f t="shared" si="1"/>
        <v>2022</v>
      </c>
      <c r="L227" s="1" t="str">
        <f t="shared" si="2"/>
        <v>Sep</v>
      </c>
      <c r="M227" s="1" t="str">
        <f t="shared" si="3"/>
        <v>Loss</v>
      </c>
    </row>
    <row r="228" ht="14.25" customHeight="1">
      <c r="A228" s="1" t="s">
        <v>262</v>
      </c>
      <c r="B228" s="2">
        <v>45116.0</v>
      </c>
      <c r="C228" s="1" t="s">
        <v>20</v>
      </c>
      <c r="D228" s="1" t="s">
        <v>27</v>
      </c>
      <c r="E228" s="1" t="s">
        <v>33</v>
      </c>
      <c r="F228" s="1">
        <v>149.98</v>
      </c>
      <c r="G228" s="1">
        <v>202.01</v>
      </c>
      <c r="H228" s="1">
        <v>9.0</v>
      </c>
      <c r="I228" s="1" t="s">
        <v>17</v>
      </c>
      <c r="J228" s="1" t="s">
        <v>35</v>
      </c>
      <c r="K228" s="1">
        <f t="shared" si="1"/>
        <v>2023</v>
      </c>
      <c r="L228" s="1" t="str">
        <f t="shared" si="2"/>
        <v>Jul</v>
      </c>
      <c r="M228" s="1" t="str">
        <f t="shared" si="3"/>
        <v>Profit</v>
      </c>
    </row>
    <row r="229" ht="14.25" customHeight="1">
      <c r="A229" s="1" t="s">
        <v>263</v>
      </c>
      <c r="B229" s="2">
        <v>44588.0</v>
      </c>
      <c r="C229" s="1" t="s">
        <v>20</v>
      </c>
      <c r="D229" s="1" t="s">
        <v>15</v>
      </c>
      <c r="E229" s="1" t="s">
        <v>16</v>
      </c>
      <c r="F229" s="1">
        <v>801.7</v>
      </c>
      <c r="G229" s="1">
        <v>39.39</v>
      </c>
      <c r="H229" s="1">
        <v>4.0</v>
      </c>
      <c r="I229" s="1" t="s">
        <v>17</v>
      </c>
      <c r="J229" s="1" t="s">
        <v>18</v>
      </c>
      <c r="K229" s="1">
        <f t="shared" si="1"/>
        <v>2022</v>
      </c>
      <c r="L229" s="1" t="str">
        <f t="shared" si="2"/>
        <v>Jan</v>
      </c>
      <c r="M229" s="1" t="str">
        <f t="shared" si="3"/>
        <v>Profit</v>
      </c>
    </row>
    <row r="230" ht="14.25" customHeight="1">
      <c r="A230" s="1" t="s">
        <v>264</v>
      </c>
      <c r="B230" s="2">
        <v>44714.0</v>
      </c>
      <c r="C230" s="1" t="s">
        <v>26</v>
      </c>
      <c r="D230" s="1" t="s">
        <v>21</v>
      </c>
      <c r="E230" s="1" t="s">
        <v>76</v>
      </c>
      <c r="F230" s="1">
        <v>598.51</v>
      </c>
      <c r="G230" s="1">
        <v>-144.31</v>
      </c>
      <c r="H230" s="1">
        <v>9.0</v>
      </c>
      <c r="I230" s="1" t="s">
        <v>34</v>
      </c>
      <c r="J230" s="1" t="s">
        <v>24</v>
      </c>
      <c r="K230" s="1">
        <f t="shared" si="1"/>
        <v>2022</v>
      </c>
      <c r="L230" s="1" t="str">
        <f t="shared" si="2"/>
        <v>Jun</v>
      </c>
      <c r="M230" s="1" t="str">
        <f t="shared" si="3"/>
        <v>Loss</v>
      </c>
    </row>
    <row r="231" ht="14.25" customHeight="1">
      <c r="A231" s="1" t="s">
        <v>265</v>
      </c>
      <c r="B231" s="2">
        <v>44942.0</v>
      </c>
      <c r="C231" s="1" t="s">
        <v>20</v>
      </c>
      <c r="D231" s="1" t="s">
        <v>15</v>
      </c>
      <c r="E231" s="1" t="s">
        <v>54</v>
      </c>
      <c r="F231" s="1">
        <v>560.82</v>
      </c>
      <c r="G231" s="1">
        <v>146.56</v>
      </c>
      <c r="H231" s="1">
        <v>4.0</v>
      </c>
      <c r="I231" s="1" t="s">
        <v>34</v>
      </c>
      <c r="J231" s="1" t="s">
        <v>35</v>
      </c>
      <c r="K231" s="1">
        <f t="shared" si="1"/>
        <v>2023</v>
      </c>
      <c r="L231" s="1" t="str">
        <f t="shared" si="2"/>
        <v>Jan</v>
      </c>
      <c r="M231" s="1" t="str">
        <f t="shared" si="3"/>
        <v>Profit</v>
      </c>
    </row>
    <row r="232" ht="14.25" customHeight="1">
      <c r="A232" s="1" t="s">
        <v>266</v>
      </c>
      <c r="B232" s="2">
        <v>44633.0</v>
      </c>
      <c r="C232" s="1" t="s">
        <v>30</v>
      </c>
      <c r="D232" s="1" t="s">
        <v>15</v>
      </c>
      <c r="E232" s="1" t="s">
        <v>31</v>
      </c>
      <c r="F232" s="1">
        <v>91.01</v>
      </c>
      <c r="G232" s="1">
        <v>278.57</v>
      </c>
      <c r="H232" s="1">
        <v>3.0</v>
      </c>
      <c r="I232" s="1" t="s">
        <v>34</v>
      </c>
      <c r="J232" s="1" t="s">
        <v>38</v>
      </c>
      <c r="K232" s="1">
        <f t="shared" si="1"/>
        <v>2022</v>
      </c>
      <c r="L232" s="1" t="str">
        <f t="shared" si="2"/>
        <v>Mar</v>
      </c>
      <c r="M232" s="1" t="str">
        <f t="shared" si="3"/>
        <v>Profit</v>
      </c>
    </row>
    <row r="233" ht="14.25" customHeight="1">
      <c r="A233" s="1" t="s">
        <v>267</v>
      </c>
      <c r="B233" s="2">
        <v>44982.0</v>
      </c>
      <c r="C233" s="1" t="s">
        <v>20</v>
      </c>
      <c r="D233" s="1" t="s">
        <v>21</v>
      </c>
      <c r="E233" s="1" t="s">
        <v>37</v>
      </c>
      <c r="F233" s="1">
        <v>411.78</v>
      </c>
      <c r="G233" s="1">
        <v>-70.47</v>
      </c>
      <c r="H233" s="1">
        <v>2.0</v>
      </c>
      <c r="I233" s="1" t="s">
        <v>17</v>
      </c>
      <c r="J233" s="1" t="s">
        <v>38</v>
      </c>
      <c r="K233" s="1">
        <f t="shared" si="1"/>
        <v>2023</v>
      </c>
      <c r="L233" s="1" t="str">
        <f t="shared" si="2"/>
        <v>Feb</v>
      </c>
      <c r="M233" s="1" t="str">
        <f t="shared" si="3"/>
        <v>Loss</v>
      </c>
    </row>
    <row r="234" ht="14.25" customHeight="1">
      <c r="A234" s="1" t="s">
        <v>268</v>
      </c>
      <c r="B234" s="2">
        <v>45178.0</v>
      </c>
      <c r="C234" s="1" t="s">
        <v>30</v>
      </c>
      <c r="D234" s="1" t="s">
        <v>27</v>
      </c>
      <c r="E234" s="1" t="s">
        <v>40</v>
      </c>
      <c r="F234" s="1">
        <v>338.1</v>
      </c>
      <c r="G234" s="1">
        <v>192.71</v>
      </c>
      <c r="H234" s="1">
        <v>2.0</v>
      </c>
      <c r="I234" s="1" t="s">
        <v>34</v>
      </c>
      <c r="J234" s="1" t="s">
        <v>35</v>
      </c>
      <c r="K234" s="1">
        <f t="shared" si="1"/>
        <v>2023</v>
      </c>
      <c r="L234" s="1" t="str">
        <f t="shared" si="2"/>
        <v>Sep</v>
      </c>
      <c r="M234" s="1" t="str">
        <f t="shared" si="3"/>
        <v>Profit</v>
      </c>
    </row>
    <row r="235" ht="14.25" customHeight="1">
      <c r="A235" s="1" t="s">
        <v>269</v>
      </c>
      <c r="B235" s="2">
        <v>44554.0</v>
      </c>
      <c r="C235" s="1" t="s">
        <v>20</v>
      </c>
      <c r="D235" s="1" t="s">
        <v>21</v>
      </c>
      <c r="E235" s="1" t="s">
        <v>76</v>
      </c>
      <c r="F235" s="1">
        <v>82.18</v>
      </c>
      <c r="G235" s="1">
        <v>243.03</v>
      </c>
      <c r="H235" s="1">
        <v>6.0</v>
      </c>
      <c r="I235" s="1" t="s">
        <v>17</v>
      </c>
      <c r="J235" s="1" t="s">
        <v>38</v>
      </c>
      <c r="K235" s="1">
        <f t="shared" si="1"/>
        <v>2021</v>
      </c>
      <c r="L235" s="1" t="str">
        <f t="shared" si="2"/>
        <v>Dec</v>
      </c>
      <c r="M235" s="1" t="str">
        <f t="shared" si="3"/>
        <v>Profit</v>
      </c>
    </row>
    <row r="236" ht="14.25" customHeight="1">
      <c r="A236" s="1" t="s">
        <v>270</v>
      </c>
      <c r="B236" s="2">
        <v>44448.0</v>
      </c>
      <c r="C236" s="1" t="s">
        <v>30</v>
      </c>
      <c r="D236" s="1" t="s">
        <v>27</v>
      </c>
      <c r="E236" s="1" t="s">
        <v>28</v>
      </c>
      <c r="F236" s="1">
        <v>369.66</v>
      </c>
      <c r="G236" s="1">
        <v>274.43</v>
      </c>
      <c r="H236" s="1">
        <v>3.0</v>
      </c>
      <c r="I236" s="1" t="s">
        <v>34</v>
      </c>
      <c r="J236" s="1" t="s">
        <v>24</v>
      </c>
      <c r="K236" s="1">
        <f t="shared" si="1"/>
        <v>2021</v>
      </c>
      <c r="L236" s="1" t="str">
        <f t="shared" si="2"/>
        <v>Sep</v>
      </c>
      <c r="M236" s="1" t="str">
        <f t="shared" si="3"/>
        <v>Profit</v>
      </c>
    </row>
    <row r="237" ht="14.25" customHeight="1">
      <c r="A237" s="1" t="s">
        <v>271</v>
      </c>
      <c r="B237" s="2">
        <v>44323.0</v>
      </c>
      <c r="C237" s="1" t="s">
        <v>30</v>
      </c>
      <c r="D237" s="1" t="s">
        <v>27</v>
      </c>
      <c r="E237" s="1" t="s">
        <v>40</v>
      </c>
      <c r="F237" s="1">
        <v>828.34</v>
      </c>
      <c r="G237" s="1">
        <v>203.72</v>
      </c>
      <c r="H237" s="1">
        <v>4.0</v>
      </c>
      <c r="I237" s="1" t="s">
        <v>17</v>
      </c>
      <c r="J237" s="1" t="s">
        <v>18</v>
      </c>
      <c r="K237" s="1">
        <f t="shared" si="1"/>
        <v>2021</v>
      </c>
      <c r="L237" s="1" t="str">
        <f t="shared" si="2"/>
        <v>May</v>
      </c>
      <c r="M237" s="1" t="str">
        <f t="shared" si="3"/>
        <v>Profit</v>
      </c>
    </row>
    <row r="238" ht="14.25" customHeight="1">
      <c r="A238" s="1" t="s">
        <v>272</v>
      </c>
      <c r="B238" s="2">
        <v>45101.0</v>
      </c>
      <c r="C238" s="1" t="s">
        <v>20</v>
      </c>
      <c r="D238" s="1" t="s">
        <v>15</v>
      </c>
      <c r="E238" s="1" t="s">
        <v>31</v>
      </c>
      <c r="F238" s="1">
        <v>327.14</v>
      </c>
      <c r="G238" s="1">
        <v>22.8</v>
      </c>
      <c r="H238" s="1">
        <v>8.0</v>
      </c>
      <c r="I238" s="1" t="s">
        <v>17</v>
      </c>
      <c r="J238" s="1" t="s">
        <v>18</v>
      </c>
      <c r="K238" s="1">
        <f t="shared" si="1"/>
        <v>2023</v>
      </c>
      <c r="L238" s="1" t="str">
        <f t="shared" si="2"/>
        <v>Jun</v>
      </c>
      <c r="M238" s="1" t="str">
        <f t="shared" si="3"/>
        <v>Profit</v>
      </c>
    </row>
    <row r="239" ht="14.25" customHeight="1">
      <c r="A239" s="1" t="s">
        <v>273</v>
      </c>
      <c r="B239" s="2">
        <v>44441.0</v>
      </c>
      <c r="C239" s="1" t="s">
        <v>20</v>
      </c>
      <c r="D239" s="1" t="s">
        <v>27</v>
      </c>
      <c r="E239" s="1" t="s">
        <v>33</v>
      </c>
      <c r="F239" s="1">
        <v>333.92</v>
      </c>
      <c r="G239" s="1">
        <v>-64.08</v>
      </c>
      <c r="H239" s="1">
        <v>7.0</v>
      </c>
      <c r="I239" s="1" t="s">
        <v>23</v>
      </c>
      <c r="J239" s="1" t="s">
        <v>24</v>
      </c>
      <c r="K239" s="1">
        <f t="shared" si="1"/>
        <v>2021</v>
      </c>
      <c r="L239" s="1" t="str">
        <f t="shared" si="2"/>
        <v>Sep</v>
      </c>
      <c r="M239" s="1" t="str">
        <f t="shared" si="3"/>
        <v>Loss</v>
      </c>
    </row>
    <row r="240" ht="14.25" customHeight="1">
      <c r="A240" s="1" t="s">
        <v>274</v>
      </c>
      <c r="B240" s="2">
        <v>45049.0</v>
      </c>
      <c r="C240" s="1" t="s">
        <v>14</v>
      </c>
      <c r="D240" s="1" t="s">
        <v>15</v>
      </c>
      <c r="E240" s="1" t="s">
        <v>54</v>
      </c>
      <c r="F240" s="1">
        <v>70.23</v>
      </c>
      <c r="G240" s="1">
        <v>-183.73</v>
      </c>
      <c r="H240" s="1">
        <v>5.0</v>
      </c>
      <c r="I240" s="1" t="s">
        <v>34</v>
      </c>
      <c r="J240" s="1" t="s">
        <v>18</v>
      </c>
      <c r="K240" s="1">
        <f t="shared" si="1"/>
        <v>2023</v>
      </c>
      <c r="L240" s="1" t="str">
        <f t="shared" si="2"/>
        <v>May</v>
      </c>
      <c r="M240" s="1" t="str">
        <f t="shared" si="3"/>
        <v>Loss</v>
      </c>
    </row>
    <row r="241" ht="14.25" customHeight="1">
      <c r="A241" s="1" t="s">
        <v>275</v>
      </c>
      <c r="B241" s="2">
        <v>44604.0</v>
      </c>
      <c r="C241" s="1" t="s">
        <v>14</v>
      </c>
      <c r="D241" s="1" t="s">
        <v>15</v>
      </c>
      <c r="E241" s="1" t="s">
        <v>54</v>
      </c>
      <c r="F241" s="1">
        <v>786.3</v>
      </c>
      <c r="G241" s="1">
        <v>-76.38</v>
      </c>
      <c r="H241" s="1">
        <v>3.0</v>
      </c>
      <c r="I241" s="1" t="s">
        <v>34</v>
      </c>
      <c r="J241" s="1" t="s">
        <v>38</v>
      </c>
      <c r="K241" s="1">
        <f t="shared" si="1"/>
        <v>2022</v>
      </c>
      <c r="L241" s="1" t="str">
        <f t="shared" si="2"/>
        <v>Feb</v>
      </c>
      <c r="M241" s="1" t="str">
        <f t="shared" si="3"/>
        <v>Loss</v>
      </c>
    </row>
    <row r="242" ht="14.25" customHeight="1">
      <c r="A242" s="1" t="s">
        <v>276</v>
      </c>
      <c r="B242" s="2">
        <v>45288.0</v>
      </c>
      <c r="C242" s="1" t="s">
        <v>14</v>
      </c>
      <c r="D242" s="1" t="s">
        <v>15</v>
      </c>
      <c r="E242" s="1" t="s">
        <v>54</v>
      </c>
      <c r="F242" s="1">
        <v>39.27</v>
      </c>
      <c r="G242" s="1">
        <v>72.62</v>
      </c>
      <c r="H242" s="1">
        <v>1.0</v>
      </c>
      <c r="I242" s="1" t="s">
        <v>23</v>
      </c>
      <c r="J242" s="1" t="s">
        <v>18</v>
      </c>
      <c r="K242" s="1">
        <f t="shared" si="1"/>
        <v>2023</v>
      </c>
      <c r="L242" s="1" t="str">
        <f t="shared" si="2"/>
        <v>Dec</v>
      </c>
      <c r="M242" s="1" t="str">
        <f t="shared" si="3"/>
        <v>Profit</v>
      </c>
    </row>
    <row r="243" ht="14.25" customHeight="1">
      <c r="A243" s="1" t="s">
        <v>277</v>
      </c>
      <c r="B243" s="2">
        <v>44752.0</v>
      </c>
      <c r="C243" s="1" t="s">
        <v>30</v>
      </c>
      <c r="D243" s="1" t="s">
        <v>27</v>
      </c>
      <c r="E243" s="1" t="s">
        <v>40</v>
      </c>
      <c r="F243" s="1">
        <v>67.6</v>
      </c>
      <c r="G243" s="1">
        <v>201.44</v>
      </c>
      <c r="H243" s="1">
        <v>3.0</v>
      </c>
      <c r="I243" s="1" t="s">
        <v>23</v>
      </c>
      <c r="J243" s="1" t="s">
        <v>35</v>
      </c>
      <c r="K243" s="1">
        <f t="shared" si="1"/>
        <v>2022</v>
      </c>
      <c r="L243" s="1" t="str">
        <f t="shared" si="2"/>
        <v>Jul</v>
      </c>
      <c r="M243" s="1" t="str">
        <f t="shared" si="3"/>
        <v>Profit</v>
      </c>
    </row>
    <row r="244" ht="14.25" customHeight="1">
      <c r="A244" s="1" t="s">
        <v>278</v>
      </c>
      <c r="B244" s="2">
        <v>44743.0</v>
      </c>
      <c r="C244" s="1" t="s">
        <v>14</v>
      </c>
      <c r="D244" s="1" t="s">
        <v>15</v>
      </c>
      <c r="E244" s="1" t="s">
        <v>31</v>
      </c>
      <c r="F244" s="1">
        <v>150.36</v>
      </c>
      <c r="G244" s="1">
        <v>183.15</v>
      </c>
      <c r="H244" s="1">
        <v>9.0</v>
      </c>
      <c r="I244" s="1" t="s">
        <v>17</v>
      </c>
      <c r="J244" s="1" t="s">
        <v>38</v>
      </c>
      <c r="K244" s="1">
        <f t="shared" si="1"/>
        <v>2022</v>
      </c>
      <c r="L244" s="1" t="str">
        <f t="shared" si="2"/>
        <v>Jul</v>
      </c>
      <c r="M244" s="1" t="str">
        <f t="shared" si="3"/>
        <v>Profit</v>
      </c>
    </row>
    <row r="245" ht="14.25" customHeight="1">
      <c r="A245" s="1" t="s">
        <v>279</v>
      </c>
      <c r="B245" s="2">
        <v>45055.0</v>
      </c>
      <c r="C245" s="1" t="s">
        <v>26</v>
      </c>
      <c r="D245" s="1" t="s">
        <v>21</v>
      </c>
      <c r="E245" s="1" t="s">
        <v>76</v>
      </c>
      <c r="F245" s="1">
        <v>772.89</v>
      </c>
      <c r="G245" s="1">
        <v>209.06</v>
      </c>
      <c r="H245" s="1">
        <v>8.0</v>
      </c>
      <c r="I245" s="1" t="s">
        <v>23</v>
      </c>
      <c r="J245" s="1" t="s">
        <v>24</v>
      </c>
      <c r="K245" s="1">
        <f t="shared" si="1"/>
        <v>2023</v>
      </c>
      <c r="L245" s="1" t="str">
        <f t="shared" si="2"/>
        <v>May</v>
      </c>
      <c r="M245" s="1" t="str">
        <f t="shared" si="3"/>
        <v>Profit</v>
      </c>
    </row>
    <row r="246" ht="14.25" customHeight="1">
      <c r="A246" s="1" t="s">
        <v>280</v>
      </c>
      <c r="B246" s="2">
        <v>44677.0</v>
      </c>
      <c r="C246" s="1" t="s">
        <v>30</v>
      </c>
      <c r="D246" s="1" t="s">
        <v>27</v>
      </c>
      <c r="E246" s="1" t="s">
        <v>28</v>
      </c>
      <c r="F246" s="1">
        <v>990.85</v>
      </c>
      <c r="G246" s="1">
        <v>-196.7</v>
      </c>
      <c r="H246" s="1">
        <v>6.0</v>
      </c>
      <c r="I246" s="1" t="s">
        <v>17</v>
      </c>
      <c r="J246" s="1" t="s">
        <v>18</v>
      </c>
      <c r="K246" s="1">
        <f t="shared" si="1"/>
        <v>2022</v>
      </c>
      <c r="L246" s="1" t="str">
        <f t="shared" si="2"/>
        <v>Apr</v>
      </c>
      <c r="M246" s="1" t="str">
        <f t="shared" si="3"/>
        <v>Loss</v>
      </c>
    </row>
    <row r="247" ht="14.25" customHeight="1">
      <c r="A247" s="1" t="s">
        <v>281</v>
      </c>
      <c r="B247" s="2">
        <v>44538.0</v>
      </c>
      <c r="C247" s="1" t="s">
        <v>30</v>
      </c>
      <c r="D247" s="1" t="s">
        <v>21</v>
      </c>
      <c r="E247" s="1" t="s">
        <v>37</v>
      </c>
      <c r="F247" s="1">
        <v>570.91</v>
      </c>
      <c r="G247" s="1">
        <v>-123.86</v>
      </c>
      <c r="H247" s="1">
        <v>7.0</v>
      </c>
      <c r="I247" s="1" t="s">
        <v>17</v>
      </c>
      <c r="J247" s="1" t="s">
        <v>38</v>
      </c>
      <c r="K247" s="1">
        <f t="shared" si="1"/>
        <v>2021</v>
      </c>
      <c r="L247" s="1" t="str">
        <f t="shared" si="2"/>
        <v>Dec</v>
      </c>
      <c r="M247" s="1" t="str">
        <f t="shared" si="3"/>
        <v>Loss</v>
      </c>
    </row>
    <row r="248" ht="14.25" customHeight="1">
      <c r="A248" s="1" t="s">
        <v>282</v>
      </c>
      <c r="B248" s="2">
        <v>44399.0</v>
      </c>
      <c r="C248" s="1" t="s">
        <v>26</v>
      </c>
      <c r="D248" s="1" t="s">
        <v>21</v>
      </c>
      <c r="E248" s="1" t="s">
        <v>76</v>
      </c>
      <c r="F248" s="1">
        <v>679.33</v>
      </c>
      <c r="G248" s="1">
        <v>-66.1</v>
      </c>
      <c r="H248" s="1">
        <v>4.0</v>
      </c>
      <c r="I248" s="1" t="s">
        <v>23</v>
      </c>
      <c r="J248" s="1" t="s">
        <v>38</v>
      </c>
      <c r="K248" s="1">
        <f t="shared" si="1"/>
        <v>2021</v>
      </c>
      <c r="L248" s="1" t="str">
        <f t="shared" si="2"/>
        <v>Jul</v>
      </c>
      <c r="M248" s="1" t="str">
        <f t="shared" si="3"/>
        <v>Loss</v>
      </c>
    </row>
    <row r="249" ht="14.25" customHeight="1">
      <c r="A249" s="1" t="s">
        <v>283</v>
      </c>
      <c r="B249" s="2">
        <v>44373.0</v>
      </c>
      <c r="C249" s="1" t="s">
        <v>14</v>
      </c>
      <c r="D249" s="1" t="s">
        <v>27</v>
      </c>
      <c r="E249" s="1" t="s">
        <v>33</v>
      </c>
      <c r="F249" s="1">
        <v>139.5</v>
      </c>
      <c r="G249" s="1">
        <v>-54.23</v>
      </c>
      <c r="H249" s="1">
        <v>2.0</v>
      </c>
      <c r="I249" s="1" t="s">
        <v>17</v>
      </c>
      <c r="J249" s="1" t="s">
        <v>38</v>
      </c>
      <c r="K249" s="1">
        <f t="shared" si="1"/>
        <v>2021</v>
      </c>
      <c r="L249" s="1" t="str">
        <f t="shared" si="2"/>
        <v>Jun</v>
      </c>
      <c r="M249" s="1" t="str">
        <f t="shared" si="3"/>
        <v>Loss</v>
      </c>
    </row>
    <row r="250" ht="14.25" customHeight="1">
      <c r="A250" s="1" t="s">
        <v>284</v>
      </c>
      <c r="B250" s="2">
        <v>44673.0</v>
      </c>
      <c r="C250" s="1" t="s">
        <v>30</v>
      </c>
      <c r="D250" s="1" t="s">
        <v>15</v>
      </c>
      <c r="E250" s="1" t="s">
        <v>31</v>
      </c>
      <c r="F250" s="1">
        <v>903.24</v>
      </c>
      <c r="G250" s="1">
        <v>-58.89</v>
      </c>
      <c r="H250" s="1">
        <v>8.0</v>
      </c>
      <c r="I250" s="1" t="s">
        <v>34</v>
      </c>
      <c r="J250" s="1" t="s">
        <v>38</v>
      </c>
      <c r="K250" s="1">
        <f t="shared" si="1"/>
        <v>2022</v>
      </c>
      <c r="L250" s="1" t="str">
        <f t="shared" si="2"/>
        <v>Apr</v>
      </c>
      <c r="M250" s="1" t="str">
        <f t="shared" si="3"/>
        <v>Loss</v>
      </c>
    </row>
    <row r="251" ht="14.25" customHeight="1">
      <c r="A251" s="1" t="s">
        <v>285</v>
      </c>
      <c r="B251" s="2">
        <v>44945.0</v>
      </c>
      <c r="C251" s="1" t="s">
        <v>20</v>
      </c>
      <c r="D251" s="1" t="s">
        <v>15</v>
      </c>
      <c r="E251" s="1" t="s">
        <v>31</v>
      </c>
      <c r="F251" s="1">
        <v>730.18</v>
      </c>
      <c r="G251" s="1">
        <v>181.31</v>
      </c>
      <c r="H251" s="1">
        <v>3.0</v>
      </c>
      <c r="I251" s="1" t="s">
        <v>23</v>
      </c>
      <c r="J251" s="1" t="s">
        <v>38</v>
      </c>
      <c r="K251" s="1">
        <f t="shared" si="1"/>
        <v>2023</v>
      </c>
      <c r="L251" s="1" t="str">
        <f t="shared" si="2"/>
        <v>Jan</v>
      </c>
      <c r="M251" s="1" t="str">
        <f t="shared" si="3"/>
        <v>Profit</v>
      </c>
    </row>
    <row r="252" ht="14.25" customHeight="1">
      <c r="A252" s="1" t="s">
        <v>286</v>
      </c>
      <c r="B252" s="2">
        <v>44518.0</v>
      </c>
      <c r="C252" s="1" t="s">
        <v>14</v>
      </c>
      <c r="D252" s="1" t="s">
        <v>21</v>
      </c>
      <c r="E252" s="1" t="s">
        <v>22</v>
      </c>
      <c r="F252" s="1">
        <v>476.97</v>
      </c>
      <c r="G252" s="1">
        <v>-175.41</v>
      </c>
      <c r="H252" s="1">
        <v>7.0</v>
      </c>
      <c r="I252" s="1" t="s">
        <v>34</v>
      </c>
      <c r="J252" s="1" t="s">
        <v>35</v>
      </c>
      <c r="K252" s="1">
        <f t="shared" si="1"/>
        <v>2021</v>
      </c>
      <c r="L252" s="1" t="str">
        <f t="shared" si="2"/>
        <v>Nov</v>
      </c>
      <c r="M252" s="1" t="str">
        <f t="shared" si="3"/>
        <v>Loss</v>
      </c>
    </row>
    <row r="253" ht="14.25" customHeight="1">
      <c r="A253" s="1" t="s">
        <v>287</v>
      </c>
      <c r="B253" s="2">
        <v>44832.0</v>
      </c>
      <c r="C253" s="1" t="s">
        <v>30</v>
      </c>
      <c r="D253" s="1" t="s">
        <v>27</v>
      </c>
      <c r="E253" s="1" t="s">
        <v>33</v>
      </c>
      <c r="F253" s="1">
        <v>54.11</v>
      </c>
      <c r="G253" s="1">
        <v>-20.63</v>
      </c>
      <c r="H253" s="1">
        <v>4.0</v>
      </c>
      <c r="I253" s="1" t="s">
        <v>23</v>
      </c>
      <c r="J253" s="1" t="s">
        <v>35</v>
      </c>
      <c r="K253" s="1">
        <f t="shared" si="1"/>
        <v>2022</v>
      </c>
      <c r="L253" s="1" t="str">
        <f t="shared" si="2"/>
        <v>Sep</v>
      </c>
      <c r="M253" s="1" t="str">
        <f t="shared" si="3"/>
        <v>Loss</v>
      </c>
    </row>
    <row r="254" ht="14.25" customHeight="1">
      <c r="A254" s="1" t="s">
        <v>288</v>
      </c>
      <c r="B254" s="2">
        <v>45050.0</v>
      </c>
      <c r="C254" s="1" t="s">
        <v>20</v>
      </c>
      <c r="D254" s="1" t="s">
        <v>21</v>
      </c>
      <c r="E254" s="1" t="s">
        <v>22</v>
      </c>
      <c r="F254" s="1">
        <v>26.15</v>
      </c>
      <c r="G254" s="1">
        <v>-103.69</v>
      </c>
      <c r="H254" s="1">
        <v>10.0</v>
      </c>
      <c r="I254" s="1" t="s">
        <v>23</v>
      </c>
      <c r="J254" s="1" t="s">
        <v>38</v>
      </c>
      <c r="K254" s="1">
        <f t="shared" si="1"/>
        <v>2023</v>
      </c>
      <c r="L254" s="1" t="str">
        <f t="shared" si="2"/>
        <v>May</v>
      </c>
      <c r="M254" s="1" t="str">
        <f t="shared" si="3"/>
        <v>Loss</v>
      </c>
    </row>
    <row r="255" ht="14.25" customHeight="1">
      <c r="A255" s="1" t="s">
        <v>289</v>
      </c>
      <c r="B255" s="2">
        <v>44766.0</v>
      </c>
      <c r="C255" s="1" t="s">
        <v>30</v>
      </c>
      <c r="D255" s="1" t="s">
        <v>21</v>
      </c>
      <c r="E255" s="1" t="s">
        <v>22</v>
      </c>
      <c r="F255" s="1">
        <v>542.99</v>
      </c>
      <c r="G255" s="1">
        <v>263.97</v>
      </c>
      <c r="H255" s="1">
        <v>8.0</v>
      </c>
      <c r="I255" s="1" t="s">
        <v>17</v>
      </c>
      <c r="J255" s="1" t="s">
        <v>38</v>
      </c>
      <c r="K255" s="1">
        <f t="shared" si="1"/>
        <v>2022</v>
      </c>
      <c r="L255" s="1" t="str">
        <f t="shared" si="2"/>
        <v>Jul</v>
      </c>
      <c r="M255" s="1" t="str">
        <f t="shared" si="3"/>
        <v>Profit</v>
      </c>
    </row>
    <row r="256" ht="14.25" customHeight="1">
      <c r="A256" s="1" t="s">
        <v>290</v>
      </c>
      <c r="B256" s="2">
        <v>44570.0</v>
      </c>
      <c r="C256" s="1" t="s">
        <v>14</v>
      </c>
      <c r="D256" s="1" t="s">
        <v>21</v>
      </c>
      <c r="E256" s="1" t="s">
        <v>37</v>
      </c>
      <c r="F256" s="1">
        <v>527.14</v>
      </c>
      <c r="G256" s="1">
        <v>-150.65</v>
      </c>
      <c r="H256" s="1">
        <v>4.0</v>
      </c>
      <c r="I256" s="1" t="s">
        <v>23</v>
      </c>
      <c r="J256" s="1" t="s">
        <v>24</v>
      </c>
      <c r="K256" s="1">
        <f t="shared" si="1"/>
        <v>2022</v>
      </c>
      <c r="L256" s="1" t="str">
        <f t="shared" si="2"/>
        <v>Jan</v>
      </c>
      <c r="M256" s="1" t="str">
        <f t="shared" si="3"/>
        <v>Loss</v>
      </c>
    </row>
    <row r="257" ht="14.25" customHeight="1">
      <c r="A257" s="1" t="s">
        <v>291</v>
      </c>
      <c r="B257" s="2">
        <v>44375.0</v>
      </c>
      <c r="C257" s="1" t="s">
        <v>26</v>
      </c>
      <c r="D257" s="1" t="s">
        <v>21</v>
      </c>
      <c r="E257" s="1" t="s">
        <v>22</v>
      </c>
      <c r="F257" s="1">
        <v>463.39</v>
      </c>
      <c r="G257" s="1">
        <v>110.46</v>
      </c>
      <c r="H257" s="1">
        <v>2.0</v>
      </c>
      <c r="I257" s="1" t="s">
        <v>17</v>
      </c>
      <c r="J257" s="1" t="s">
        <v>35</v>
      </c>
      <c r="K257" s="1">
        <f t="shared" si="1"/>
        <v>2021</v>
      </c>
      <c r="L257" s="1" t="str">
        <f t="shared" si="2"/>
        <v>Jun</v>
      </c>
      <c r="M257" s="1" t="str">
        <f t="shared" si="3"/>
        <v>Profit</v>
      </c>
    </row>
    <row r="258" ht="14.25" customHeight="1">
      <c r="A258" s="1" t="s">
        <v>292</v>
      </c>
      <c r="B258" s="2">
        <v>44859.0</v>
      </c>
      <c r="C258" s="1" t="s">
        <v>30</v>
      </c>
      <c r="D258" s="1" t="s">
        <v>21</v>
      </c>
      <c r="E258" s="1" t="s">
        <v>37</v>
      </c>
      <c r="F258" s="1">
        <v>842.57</v>
      </c>
      <c r="G258" s="1">
        <v>299.29</v>
      </c>
      <c r="H258" s="1">
        <v>5.0</v>
      </c>
      <c r="I258" s="1" t="s">
        <v>17</v>
      </c>
      <c r="J258" s="1" t="s">
        <v>38</v>
      </c>
      <c r="K258" s="1">
        <f t="shared" si="1"/>
        <v>2022</v>
      </c>
      <c r="L258" s="1" t="str">
        <f t="shared" si="2"/>
        <v>Oct</v>
      </c>
      <c r="M258" s="1" t="str">
        <f t="shared" si="3"/>
        <v>Profit</v>
      </c>
    </row>
    <row r="259" ht="14.25" customHeight="1">
      <c r="A259" s="1" t="s">
        <v>293</v>
      </c>
      <c r="B259" s="2">
        <v>44204.0</v>
      </c>
      <c r="C259" s="1" t="s">
        <v>30</v>
      </c>
      <c r="D259" s="1" t="s">
        <v>15</v>
      </c>
      <c r="E259" s="1" t="s">
        <v>31</v>
      </c>
      <c r="F259" s="1">
        <v>85.3</v>
      </c>
      <c r="G259" s="1">
        <v>249.45</v>
      </c>
      <c r="H259" s="1">
        <v>8.0</v>
      </c>
      <c r="I259" s="1" t="s">
        <v>17</v>
      </c>
      <c r="J259" s="1" t="s">
        <v>18</v>
      </c>
      <c r="K259" s="1">
        <f t="shared" si="1"/>
        <v>2021</v>
      </c>
      <c r="L259" s="1" t="str">
        <f t="shared" si="2"/>
        <v>Jan</v>
      </c>
      <c r="M259" s="1" t="str">
        <f t="shared" si="3"/>
        <v>Profit</v>
      </c>
    </row>
    <row r="260" ht="14.25" customHeight="1">
      <c r="A260" s="1" t="s">
        <v>294</v>
      </c>
      <c r="B260" s="2">
        <v>44517.0</v>
      </c>
      <c r="C260" s="1" t="s">
        <v>14</v>
      </c>
      <c r="D260" s="1" t="s">
        <v>15</v>
      </c>
      <c r="E260" s="1" t="s">
        <v>16</v>
      </c>
      <c r="F260" s="1">
        <v>520.02</v>
      </c>
      <c r="G260" s="1">
        <v>-85.23</v>
      </c>
      <c r="H260" s="1">
        <v>5.0</v>
      </c>
      <c r="I260" s="1" t="s">
        <v>17</v>
      </c>
      <c r="J260" s="1" t="s">
        <v>35</v>
      </c>
      <c r="K260" s="1">
        <f t="shared" si="1"/>
        <v>2021</v>
      </c>
      <c r="L260" s="1" t="str">
        <f t="shared" si="2"/>
        <v>Nov</v>
      </c>
      <c r="M260" s="1" t="str">
        <f t="shared" si="3"/>
        <v>Loss</v>
      </c>
    </row>
    <row r="261" ht="14.25" customHeight="1">
      <c r="A261" s="1" t="s">
        <v>295</v>
      </c>
      <c r="B261" s="2">
        <v>45223.0</v>
      </c>
      <c r="C261" s="1" t="s">
        <v>20</v>
      </c>
      <c r="D261" s="1" t="s">
        <v>21</v>
      </c>
      <c r="E261" s="1" t="s">
        <v>22</v>
      </c>
      <c r="F261" s="1">
        <v>889.3</v>
      </c>
      <c r="G261" s="1">
        <v>109.45</v>
      </c>
      <c r="H261" s="1">
        <v>4.0</v>
      </c>
      <c r="I261" s="1" t="s">
        <v>34</v>
      </c>
      <c r="J261" s="1" t="s">
        <v>24</v>
      </c>
      <c r="K261" s="1">
        <f t="shared" si="1"/>
        <v>2023</v>
      </c>
      <c r="L261" s="1" t="str">
        <f t="shared" si="2"/>
        <v>Oct</v>
      </c>
      <c r="M261" s="1" t="str">
        <f t="shared" si="3"/>
        <v>Profit</v>
      </c>
    </row>
    <row r="262" ht="14.25" customHeight="1">
      <c r="A262" s="1" t="s">
        <v>296</v>
      </c>
      <c r="B262" s="2">
        <v>44459.0</v>
      </c>
      <c r="C262" s="1" t="s">
        <v>30</v>
      </c>
      <c r="D262" s="1" t="s">
        <v>21</v>
      </c>
      <c r="E262" s="1" t="s">
        <v>76</v>
      </c>
      <c r="F262" s="1">
        <v>727.33</v>
      </c>
      <c r="G262" s="1">
        <v>271.41</v>
      </c>
      <c r="H262" s="1">
        <v>7.0</v>
      </c>
      <c r="I262" s="1" t="s">
        <v>17</v>
      </c>
      <c r="J262" s="1" t="s">
        <v>35</v>
      </c>
      <c r="K262" s="1">
        <f t="shared" si="1"/>
        <v>2021</v>
      </c>
      <c r="L262" s="1" t="str">
        <f t="shared" si="2"/>
        <v>Sep</v>
      </c>
      <c r="M262" s="1" t="str">
        <f t="shared" si="3"/>
        <v>Profit</v>
      </c>
    </row>
    <row r="263" ht="14.25" customHeight="1">
      <c r="A263" s="1" t="s">
        <v>297</v>
      </c>
      <c r="B263" s="2">
        <v>44436.0</v>
      </c>
      <c r="C263" s="1" t="s">
        <v>20</v>
      </c>
      <c r="D263" s="1" t="s">
        <v>21</v>
      </c>
      <c r="E263" s="1" t="s">
        <v>22</v>
      </c>
      <c r="F263" s="1">
        <v>726.1</v>
      </c>
      <c r="G263" s="1">
        <v>-47.63</v>
      </c>
      <c r="H263" s="1">
        <v>4.0</v>
      </c>
      <c r="I263" s="1" t="s">
        <v>23</v>
      </c>
      <c r="J263" s="1" t="s">
        <v>24</v>
      </c>
      <c r="K263" s="1">
        <f t="shared" si="1"/>
        <v>2021</v>
      </c>
      <c r="L263" s="1" t="str">
        <f t="shared" si="2"/>
        <v>Aug</v>
      </c>
      <c r="M263" s="1" t="str">
        <f t="shared" si="3"/>
        <v>Loss</v>
      </c>
    </row>
    <row r="264" ht="14.25" customHeight="1">
      <c r="A264" s="1" t="s">
        <v>298</v>
      </c>
      <c r="B264" s="2">
        <v>45228.0</v>
      </c>
      <c r="C264" s="1" t="s">
        <v>30</v>
      </c>
      <c r="D264" s="1" t="s">
        <v>27</v>
      </c>
      <c r="E264" s="1" t="s">
        <v>28</v>
      </c>
      <c r="F264" s="1">
        <v>303.72</v>
      </c>
      <c r="G264" s="1">
        <v>51.98</v>
      </c>
      <c r="H264" s="1">
        <v>10.0</v>
      </c>
      <c r="I264" s="1" t="s">
        <v>34</v>
      </c>
      <c r="J264" s="1" t="s">
        <v>18</v>
      </c>
      <c r="K264" s="1">
        <f t="shared" si="1"/>
        <v>2023</v>
      </c>
      <c r="L264" s="1" t="str">
        <f t="shared" si="2"/>
        <v>Oct</v>
      </c>
      <c r="M264" s="1" t="str">
        <f t="shared" si="3"/>
        <v>Profit</v>
      </c>
    </row>
    <row r="265" ht="14.25" customHeight="1">
      <c r="A265" s="1" t="s">
        <v>299</v>
      </c>
      <c r="B265" s="2">
        <v>44714.0</v>
      </c>
      <c r="C265" s="1" t="s">
        <v>26</v>
      </c>
      <c r="D265" s="1" t="s">
        <v>15</v>
      </c>
      <c r="E265" s="1" t="s">
        <v>16</v>
      </c>
      <c r="F265" s="1">
        <v>750.92</v>
      </c>
      <c r="G265" s="1">
        <v>-187.96</v>
      </c>
      <c r="H265" s="1">
        <v>5.0</v>
      </c>
      <c r="I265" s="1" t="s">
        <v>34</v>
      </c>
      <c r="J265" s="1" t="s">
        <v>35</v>
      </c>
      <c r="K265" s="1">
        <f t="shared" si="1"/>
        <v>2022</v>
      </c>
      <c r="L265" s="1" t="str">
        <f t="shared" si="2"/>
        <v>Jun</v>
      </c>
      <c r="M265" s="1" t="str">
        <f t="shared" si="3"/>
        <v>Loss</v>
      </c>
    </row>
    <row r="266" ht="14.25" customHeight="1">
      <c r="A266" s="1" t="s">
        <v>300</v>
      </c>
      <c r="B266" s="2">
        <v>44323.0</v>
      </c>
      <c r="C266" s="1" t="s">
        <v>26</v>
      </c>
      <c r="D266" s="1" t="s">
        <v>15</v>
      </c>
      <c r="E266" s="1" t="s">
        <v>54</v>
      </c>
      <c r="F266" s="1">
        <v>305.72</v>
      </c>
      <c r="G266" s="1">
        <v>124.62</v>
      </c>
      <c r="H266" s="1">
        <v>9.0</v>
      </c>
      <c r="I266" s="1" t="s">
        <v>17</v>
      </c>
      <c r="J266" s="1" t="s">
        <v>35</v>
      </c>
      <c r="K266" s="1">
        <f t="shared" si="1"/>
        <v>2021</v>
      </c>
      <c r="L266" s="1" t="str">
        <f t="shared" si="2"/>
        <v>May</v>
      </c>
      <c r="M266" s="1" t="str">
        <f t="shared" si="3"/>
        <v>Profit</v>
      </c>
    </row>
    <row r="267" ht="14.25" customHeight="1">
      <c r="A267" s="1" t="s">
        <v>301</v>
      </c>
      <c r="B267" s="2">
        <v>44975.0</v>
      </c>
      <c r="C267" s="1" t="s">
        <v>20</v>
      </c>
      <c r="D267" s="1" t="s">
        <v>21</v>
      </c>
      <c r="E267" s="1" t="s">
        <v>76</v>
      </c>
      <c r="F267" s="1">
        <v>495.26</v>
      </c>
      <c r="G267" s="1">
        <v>1.89</v>
      </c>
      <c r="H267" s="1">
        <v>9.0</v>
      </c>
      <c r="I267" s="1" t="s">
        <v>17</v>
      </c>
      <c r="J267" s="1" t="s">
        <v>18</v>
      </c>
      <c r="K267" s="1">
        <f t="shared" si="1"/>
        <v>2023</v>
      </c>
      <c r="L267" s="1" t="str">
        <f t="shared" si="2"/>
        <v>Feb</v>
      </c>
      <c r="M267" s="1" t="str">
        <f t="shared" si="3"/>
        <v>Profit</v>
      </c>
    </row>
    <row r="268" ht="14.25" customHeight="1">
      <c r="A268" s="1" t="s">
        <v>302</v>
      </c>
      <c r="B268" s="2">
        <v>44233.0</v>
      </c>
      <c r="C268" s="1" t="s">
        <v>26</v>
      </c>
      <c r="D268" s="1" t="s">
        <v>21</v>
      </c>
      <c r="E268" s="1" t="s">
        <v>37</v>
      </c>
      <c r="F268" s="1">
        <v>905.58</v>
      </c>
      <c r="G268" s="1">
        <v>255.8</v>
      </c>
      <c r="H268" s="1">
        <v>9.0</v>
      </c>
      <c r="I268" s="1" t="s">
        <v>34</v>
      </c>
      <c r="J268" s="1" t="s">
        <v>18</v>
      </c>
      <c r="K268" s="1">
        <f t="shared" si="1"/>
        <v>2021</v>
      </c>
      <c r="L268" s="1" t="str">
        <f t="shared" si="2"/>
        <v>Feb</v>
      </c>
      <c r="M268" s="1" t="str">
        <f t="shared" si="3"/>
        <v>Profit</v>
      </c>
    </row>
    <row r="269" ht="14.25" customHeight="1">
      <c r="A269" s="1" t="s">
        <v>303</v>
      </c>
      <c r="B269" s="2">
        <v>45284.0</v>
      </c>
      <c r="C269" s="1" t="s">
        <v>20</v>
      </c>
      <c r="D269" s="1" t="s">
        <v>15</v>
      </c>
      <c r="E269" s="1" t="s">
        <v>31</v>
      </c>
      <c r="F269" s="1">
        <v>942.51</v>
      </c>
      <c r="G269" s="1">
        <v>149.53</v>
      </c>
      <c r="H269" s="1">
        <v>10.0</v>
      </c>
      <c r="I269" s="1" t="s">
        <v>17</v>
      </c>
      <c r="J269" s="1" t="s">
        <v>38</v>
      </c>
      <c r="K269" s="1">
        <f t="shared" si="1"/>
        <v>2023</v>
      </c>
      <c r="L269" s="1" t="str">
        <f t="shared" si="2"/>
        <v>Dec</v>
      </c>
      <c r="M269" s="1" t="str">
        <f t="shared" si="3"/>
        <v>Profit</v>
      </c>
    </row>
    <row r="270" ht="14.25" customHeight="1">
      <c r="A270" s="1" t="s">
        <v>304</v>
      </c>
      <c r="B270" s="2">
        <v>45049.0</v>
      </c>
      <c r="C270" s="1" t="s">
        <v>30</v>
      </c>
      <c r="D270" s="1" t="s">
        <v>21</v>
      </c>
      <c r="E270" s="1" t="s">
        <v>22</v>
      </c>
      <c r="F270" s="1">
        <v>112.29</v>
      </c>
      <c r="G270" s="1">
        <v>36.26</v>
      </c>
      <c r="H270" s="1">
        <v>10.0</v>
      </c>
      <c r="I270" s="1" t="s">
        <v>34</v>
      </c>
      <c r="J270" s="1" t="s">
        <v>24</v>
      </c>
      <c r="K270" s="1">
        <f t="shared" si="1"/>
        <v>2023</v>
      </c>
      <c r="L270" s="1" t="str">
        <f t="shared" si="2"/>
        <v>May</v>
      </c>
      <c r="M270" s="1" t="str">
        <f t="shared" si="3"/>
        <v>Profit</v>
      </c>
    </row>
    <row r="271" ht="14.25" customHeight="1">
      <c r="A271" s="1" t="s">
        <v>305</v>
      </c>
      <c r="B271" s="2">
        <v>44814.0</v>
      </c>
      <c r="C271" s="1" t="s">
        <v>14</v>
      </c>
      <c r="D271" s="1" t="s">
        <v>15</v>
      </c>
      <c r="E271" s="1" t="s">
        <v>16</v>
      </c>
      <c r="F271" s="1">
        <v>34.13</v>
      </c>
      <c r="G271" s="1">
        <v>-94.9</v>
      </c>
      <c r="H271" s="1">
        <v>10.0</v>
      </c>
      <c r="I271" s="1" t="s">
        <v>34</v>
      </c>
      <c r="J271" s="1" t="s">
        <v>35</v>
      </c>
      <c r="K271" s="1">
        <f t="shared" si="1"/>
        <v>2022</v>
      </c>
      <c r="L271" s="1" t="str">
        <f t="shared" si="2"/>
        <v>Sep</v>
      </c>
      <c r="M271" s="1" t="str">
        <f t="shared" si="3"/>
        <v>Loss</v>
      </c>
    </row>
    <row r="272" ht="14.25" customHeight="1">
      <c r="A272" s="1" t="s">
        <v>306</v>
      </c>
      <c r="B272" s="2">
        <v>44427.0</v>
      </c>
      <c r="C272" s="1" t="s">
        <v>20</v>
      </c>
      <c r="D272" s="1" t="s">
        <v>15</v>
      </c>
      <c r="E272" s="1" t="s">
        <v>16</v>
      </c>
      <c r="F272" s="1">
        <v>864.62</v>
      </c>
      <c r="G272" s="1">
        <v>104.64</v>
      </c>
      <c r="H272" s="1">
        <v>3.0</v>
      </c>
      <c r="I272" s="1" t="s">
        <v>34</v>
      </c>
      <c r="J272" s="1" t="s">
        <v>35</v>
      </c>
      <c r="K272" s="1">
        <f t="shared" si="1"/>
        <v>2021</v>
      </c>
      <c r="L272" s="1" t="str">
        <f t="shared" si="2"/>
        <v>Aug</v>
      </c>
      <c r="M272" s="1" t="str">
        <f t="shared" si="3"/>
        <v>Profit</v>
      </c>
    </row>
    <row r="273" ht="14.25" customHeight="1">
      <c r="A273" s="1" t="s">
        <v>307</v>
      </c>
      <c r="B273" s="2">
        <v>45142.0</v>
      </c>
      <c r="C273" s="1" t="s">
        <v>14</v>
      </c>
      <c r="D273" s="1" t="s">
        <v>21</v>
      </c>
      <c r="E273" s="1" t="s">
        <v>76</v>
      </c>
      <c r="F273" s="1">
        <v>411.23</v>
      </c>
      <c r="G273" s="1">
        <v>-29.16</v>
      </c>
      <c r="H273" s="1">
        <v>5.0</v>
      </c>
      <c r="I273" s="1" t="s">
        <v>23</v>
      </c>
      <c r="J273" s="1" t="s">
        <v>24</v>
      </c>
      <c r="K273" s="1">
        <f t="shared" si="1"/>
        <v>2023</v>
      </c>
      <c r="L273" s="1" t="str">
        <f t="shared" si="2"/>
        <v>Aug</v>
      </c>
      <c r="M273" s="1" t="str">
        <f t="shared" si="3"/>
        <v>Loss</v>
      </c>
    </row>
    <row r="274" ht="14.25" customHeight="1">
      <c r="A274" s="1" t="s">
        <v>308</v>
      </c>
      <c r="B274" s="2">
        <v>44350.0</v>
      </c>
      <c r="C274" s="1" t="s">
        <v>20</v>
      </c>
      <c r="D274" s="1" t="s">
        <v>21</v>
      </c>
      <c r="E274" s="1" t="s">
        <v>22</v>
      </c>
      <c r="F274" s="1">
        <v>584.14</v>
      </c>
      <c r="G274" s="1">
        <v>-153.0</v>
      </c>
      <c r="H274" s="1">
        <v>5.0</v>
      </c>
      <c r="I274" s="1" t="s">
        <v>23</v>
      </c>
      <c r="J274" s="1" t="s">
        <v>24</v>
      </c>
      <c r="K274" s="1">
        <f t="shared" si="1"/>
        <v>2021</v>
      </c>
      <c r="L274" s="1" t="str">
        <f t="shared" si="2"/>
        <v>Jun</v>
      </c>
      <c r="M274" s="1" t="str">
        <f t="shared" si="3"/>
        <v>Loss</v>
      </c>
    </row>
    <row r="275" ht="14.25" customHeight="1">
      <c r="A275" s="1" t="s">
        <v>309</v>
      </c>
      <c r="B275" s="2">
        <v>44756.0</v>
      </c>
      <c r="C275" s="1" t="s">
        <v>20</v>
      </c>
      <c r="D275" s="1" t="s">
        <v>27</v>
      </c>
      <c r="E275" s="1" t="s">
        <v>40</v>
      </c>
      <c r="F275" s="1">
        <v>320.4</v>
      </c>
      <c r="G275" s="1">
        <v>-67.98</v>
      </c>
      <c r="H275" s="1">
        <v>7.0</v>
      </c>
      <c r="I275" s="1" t="s">
        <v>17</v>
      </c>
      <c r="J275" s="1" t="s">
        <v>35</v>
      </c>
      <c r="K275" s="1">
        <f t="shared" si="1"/>
        <v>2022</v>
      </c>
      <c r="L275" s="1" t="str">
        <f t="shared" si="2"/>
        <v>Jul</v>
      </c>
      <c r="M275" s="1" t="str">
        <f t="shared" si="3"/>
        <v>Loss</v>
      </c>
    </row>
    <row r="276" ht="14.25" customHeight="1">
      <c r="A276" s="1" t="s">
        <v>310</v>
      </c>
      <c r="B276" s="2">
        <v>44606.0</v>
      </c>
      <c r="C276" s="1" t="s">
        <v>30</v>
      </c>
      <c r="D276" s="1" t="s">
        <v>21</v>
      </c>
      <c r="E276" s="1" t="s">
        <v>37</v>
      </c>
      <c r="F276" s="1">
        <v>167.07</v>
      </c>
      <c r="G276" s="1">
        <v>130.87</v>
      </c>
      <c r="H276" s="1">
        <v>7.0</v>
      </c>
      <c r="I276" s="1" t="s">
        <v>17</v>
      </c>
      <c r="J276" s="1" t="s">
        <v>18</v>
      </c>
      <c r="K276" s="1">
        <f t="shared" si="1"/>
        <v>2022</v>
      </c>
      <c r="L276" s="1" t="str">
        <f t="shared" si="2"/>
        <v>Feb</v>
      </c>
      <c r="M276" s="1" t="str">
        <f t="shared" si="3"/>
        <v>Profit</v>
      </c>
    </row>
    <row r="277" ht="14.25" customHeight="1">
      <c r="A277" s="1" t="s">
        <v>311</v>
      </c>
      <c r="B277" s="2">
        <v>45029.0</v>
      </c>
      <c r="C277" s="1" t="s">
        <v>30</v>
      </c>
      <c r="D277" s="1" t="s">
        <v>21</v>
      </c>
      <c r="E277" s="1" t="s">
        <v>22</v>
      </c>
      <c r="F277" s="1">
        <v>26.3</v>
      </c>
      <c r="G277" s="1">
        <v>-76.12</v>
      </c>
      <c r="H277" s="1">
        <v>1.0</v>
      </c>
      <c r="I277" s="1" t="s">
        <v>34</v>
      </c>
      <c r="J277" s="1" t="s">
        <v>24</v>
      </c>
      <c r="K277" s="1">
        <f t="shared" si="1"/>
        <v>2023</v>
      </c>
      <c r="L277" s="1" t="str">
        <f t="shared" si="2"/>
        <v>Apr</v>
      </c>
      <c r="M277" s="1" t="str">
        <f t="shared" si="3"/>
        <v>Loss</v>
      </c>
    </row>
    <row r="278" ht="14.25" customHeight="1">
      <c r="A278" s="1" t="s">
        <v>312</v>
      </c>
      <c r="B278" s="2">
        <v>44275.0</v>
      </c>
      <c r="C278" s="1" t="s">
        <v>26</v>
      </c>
      <c r="D278" s="1" t="s">
        <v>27</v>
      </c>
      <c r="E278" s="1" t="s">
        <v>33</v>
      </c>
      <c r="F278" s="1">
        <v>222.45</v>
      </c>
      <c r="G278" s="1">
        <v>85.84</v>
      </c>
      <c r="H278" s="1">
        <v>8.0</v>
      </c>
      <c r="I278" s="1" t="s">
        <v>23</v>
      </c>
      <c r="J278" s="1" t="s">
        <v>35</v>
      </c>
      <c r="K278" s="1">
        <f t="shared" si="1"/>
        <v>2021</v>
      </c>
      <c r="L278" s="1" t="str">
        <f t="shared" si="2"/>
        <v>Mar</v>
      </c>
      <c r="M278" s="1" t="str">
        <f t="shared" si="3"/>
        <v>Profit</v>
      </c>
    </row>
    <row r="279" ht="14.25" customHeight="1">
      <c r="A279" s="1" t="s">
        <v>313</v>
      </c>
      <c r="B279" s="2">
        <v>44785.0</v>
      </c>
      <c r="C279" s="1" t="s">
        <v>20</v>
      </c>
      <c r="D279" s="1" t="s">
        <v>15</v>
      </c>
      <c r="E279" s="1" t="s">
        <v>16</v>
      </c>
      <c r="F279" s="1">
        <v>563.28</v>
      </c>
      <c r="G279" s="1">
        <v>60.28</v>
      </c>
      <c r="H279" s="1">
        <v>1.0</v>
      </c>
      <c r="I279" s="1" t="s">
        <v>34</v>
      </c>
      <c r="J279" s="1" t="s">
        <v>18</v>
      </c>
      <c r="K279" s="1">
        <f t="shared" si="1"/>
        <v>2022</v>
      </c>
      <c r="L279" s="1" t="str">
        <f t="shared" si="2"/>
        <v>Aug</v>
      </c>
      <c r="M279" s="1" t="str">
        <f t="shared" si="3"/>
        <v>Profit</v>
      </c>
    </row>
    <row r="280" ht="14.25" customHeight="1">
      <c r="A280" s="1" t="s">
        <v>314</v>
      </c>
      <c r="B280" s="2">
        <v>44346.0</v>
      </c>
      <c r="C280" s="1" t="s">
        <v>20</v>
      </c>
      <c r="D280" s="1" t="s">
        <v>21</v>
      </c>
      <c r="E280" s="1" t="s">
        <v>37</v>
      </c>
      <c r="F280" s="1">
        <v>484.96</v>
      </c>
      <c r="G280" s="1">
        <v>276.63</v>
      </c>
      <c r="H280" s="1">
        <v>2.0</v>
      </c>
      <c r="I280" s="1" t="s">
        <v>17</v>
      </c>
      <c r="J280" s="1" t="s">
        <v>18</v>
      </c>
      <c r="K280" s="1">
        <f t="shared" si="1"/>
        <v>2021</v>
      </c>
      <c r="L280" s="1" t="str">
        <f t="shared" si="2"/>
        <v>May</v>
      </c>
      <c r="M280" s="1" t="str">
        <f t="shared" si="3"/>
        <v>Profit</v>
      </c>
    </row>
    <row r="281" ht="14.25" customHeight="1">
      <c r="A281" s="1" t="s">
        <v>315</v>
      </c>
      <c r="B281" s="2">
        <v>44879.0</v>
      </c>
      <c r="C281" s="1" t="s">
        <v>26</v>
      </c>
      <c r="D281" s="1" t="s">
        <v>27</v>
      </c>
      <c r="E281" s="1" t="s">
        <v>28</v>
      </c>
      <c r="F281" s="1">
        <v>459.55</v>
      </c>
      <c r="G281" s="1">
        <v>280.86</v>
      </c>
      <c r="H281" s="1">
        <v>8.0</v>
      </c>
      <c r="I281" s="1" t="s">
        <v>17</v>
      </c>
      <c r="J281" s="1" t="s">
        <v>38</v>
      </c>
      <c r="K281" s="1">
        <f t="shared" si="1"/>
        <v>2022</v>
      </c>
      <c r="L281" s="1" t="str">
        <f t="shared" si="2"/>
        <v>Nov</v>
      </c>
      <c r="M281" s="1" t="str">
        <f t="shared" si="3"/>
        <v>Profit</v>
      </c>
    </row>
    <row r="282" ht="14.25" customHeight="1">
      <c r="A282" s="1" t="s">
        <v>316</v>
      </c>
      <c r="B282" s="2">
        <v>44981.0</v>
      </c>
      <c r="C282" s="1" t="s">
        <v>14</v>
      </c>
      <c r="D282" s="1" t="s">
        <v>15</v>
      </c>
      <c r="E282" s="1" t="s">
        <v>16</v>
      </c>
      <c r="F282" s="1">
        <v>756.81</v>
      </c>
      <c r="G282" s="1">
        <v>140.86</v>
      </c>
      <c r="H282" s="1">
        <v>1.0</v>
      </c>
      <c r="I282" s="1" t="s">
        <v>17</v>
      </c>
      <c r="J282" s="1" t="s">
        <v>35</v>
      </c>
      <c r="K282" s="1">
        <f t="shared" si="1"/>
        <v>2023</v>
      </c>
      <c r="L282" s="1" t="str">
        <f t="shared" si="2"/>
        <v>Feb</v>
      </c>
      <c r="M282" s="1" t="str">
        <f t="shared" si="3"/>
        <v>Profit</v>
      </c>
    </row>
    <row r="283" ht="14.25" customHeight="1">
      <c r="A283" s="1" t="s">
        <v>317</v>
      </c>
      <c r="B283" s="2">
        <v>44992.0</v>
      </c>
      <c r="C283" s="1" t="s">
        <v>14</v>
      </c>
      <c r="D283" s="1" t="s">
        <v>21</v>
      </c>
      <c r="E283" s="1" t="s">
        <v>37</v>
      </c>
      <c r="F283" s="1">
        <v>234.87</v>
      </c>
      <c r="G283" s="1">
        <v>267.61</v>
      </c>
      <c r="H283" s="1">
        <v>1.0</v>
      </c>
      <c r="I283" s="1" t="s">
        <v>17</v>
      </c>
      <c r="J283" s="1" t="s">
        <v>35</v>
      </c>
      <c r="K283" s="1">
        <f t="shared" si="1"/>
        <v>2023</v>
      </c>
      <c r="L283" s="1" t="str">
        <f t="shared" si="2"/>
        <v>Mar</v>
      </c>
      <c r="M283" s="1" t="str">
        <f t="shared" si="3"/>
        <v>Profit</v>
      </c>
    </row>
    <row r="284" ht="14.25" customHeight="1">
      <c r="A284" s="1" t="s">
        <v>318</v>
      </c>
      <c r="B284" s="2">
        <v>45280.0</v>
      </c>
      <c r="C284" s="1" t="s">
        <v>20</v>
      </c>
      <c r="D284" s="1" t="s">
        <v>21</v>
      </c>
      <c r="E284" s="1" t="s">
        <v>76</v>
      </c>
      <c r="F284" s="1">
        <v>268.8</v>
      </c>
      <c r="G284" s="1">
        <v>-71.93</v>
      </c>
      <c r="H284" s="1">
        <v>1.0</v>
      </c>
      <c r="I284" s="1" t="s">
        <v>23</v>
      </c>
      <c r="J284" s="1" t="s">
        <v>18</v>
      </c>
      <c r="K284" s="1">
        <f t="shared" si="1"/>
        <v>2023</v>
      </c>
      <c r="L284" s="1" t="str">
        <f t="shared" si="2"/>
        <v>Dec</v>
      </c>
      <c r="M284" s="1" t="str">
        <f t="shared" si="3"/>
        <v>Loss</v>
      </c>
    </row>
    <row r="285" ht="14.25" customHeight="1">
      <c r="A285" s="1" t="s">
        <v>319</v>
      </c>
      <c r="B285" s="2">
        <v>44834.0</v>
      </c>
      <c r="C285" s="1" t="s">
        <v>26</v>
      </c>
      <c r="D285" s="1" t="s">
        <v>15</v>
      </c>
      <c r="E285" s="1" t="s">
        <v>54</v>
      </c>
      <c r="F285" s="1">
        <v>758.89</v>
      </c>
      <c r="G285" s="1">
        <v>114.25</v>
      </c>
      <c r="H285" s="1">
        <v>2.0</v>
      </c>
      <c r="I285" s="1" t="s">
        <v>23</v>
      </c>
      <c r="J285" s="1" t="s">
        <v>35</v>
      </c>
      <c r="K285" s="1">
        <f t="shared" si="1"/>
        <v>2022</v>
      </c>
      <c r="L285" s="1" t="str">
        <f t="shared" si="2"/>
        <v>Sep</v>
      </c>
      <c r="M285" s="1" t="str">
        <f t="shared" si="3"/>
        <v>Profit</v>
      </c>
    </row>
    <row r="286" ht="14.25" customHeight="1">
      <c r="A286" s="1" t="s">
        <v>320</v>
      </c>
      <c r="B286" s="2">
        <v>44373.0</v>
      </c>
      <c r="C286" s="1" t="s">
        <v>30</v>
      </c>
      <c r="D286" s="1" t="s">
        <v>27</v>
      </c>
      <c r="E286" s="1" t="s">
        <v>28</v>
      </c>
      <c r="F286" s="1">
        <v>753.31</v>
      </c>
      <c r="G286" s="1">
        <v>247.58</v>
      </c>
      <c r="H286" s="1">
        <v>1.0</v>
      </c>
      <c r="I286" s="1" t="s">
        <v>34</v>
      </c>
      <c r="J286" s="1" t="s">
        <v>24</v>
      </c>
      <c r="K286" s="1">
        <f t="shared" si="1"/>
        <v>2021</v>
      </c>
      <c r="L286" s="1" t="str">
        <f t="shared" si="2"/>
        <v>Jun</v>
      </c>
      <c r="M286" s="1" t="str">
        <f t="shared" si="3"/>
        <v>Profit</v>
      </c>
    </row>
    <row r="287" ht="14.25" customHeight="1">
      <c r="A287" s="1" t="s">
        <v>321</v>
      </c>
      <c r="B287" s="2">
        <v>45022.0</v>
      </c>
      <c r="C287" s="1" t="s">
        <v>30</v>
      </c>
      <c r="D287" s="1" t="s">
        <v>27</v>
      </c>
      <c r="E287" s="1" t="s">
        <v>28</v>
      </c>
      <c r="F287" s="1">
        <v>712.06</v>
      </c>
      <c r="G287" s="1">
        <v>196.7</v>
      </c>
      <c r="H287" s="1">
        <v>10.0</v>
      </c>
      <c r="I287" s="1" t="s">
        <v>17</v>
      </c>
      <c r="J287" s="1" t="s">
        <v>18</v>
      </c>
      <c r="K287" s="1">
        <f t="shared" si="1"/>
        <v>2023</v>
      </c>
      <c r="L287" s="1" t="str">
        <f t="shared" si="2"/>
        <v>Apr</v>
      </c>
      <c r="M287" s="1" t="str">
        <f t="shared" si="3"/>
        <v>Profit</v>
      </c>
    </row>
    <row r="288" ht="14.25" customHeight="1">
      <c r="A288" s="1" t="s">
        <v>322</v>
      </c>
      <c r="B288" s="2">
        <v>44605.0</v>
      </c>
      <c r="C288" s="1" t="s">
        <v>30</v>
      </c>
      <c r="D288" s="1" t="s">
        <v>21</v>
      </c>
      <c r="E288" s="1" t="s">
        <v>37</v>
      </c>
      <c r="F288" s="1">
        <v>969.94</v>
      </c>
      <c r="G288" s="1">
        <v>-54.45</v>
      </c>
      <c r="H288" s="1">
        <v>4.0</v>
      </c>
      <c r="I288" s="1" t="s">
        <v>34</v>
      </c>
      <c r="J288" s="1" t="s">
        <v>35</v>
      </c>
      <c r="K288" s="1">
        <f t="shared" si="1"/>
        <v>2022</v>
      </c>
      <c r="L288" s="1" t="str">
        <f t="shared" si="2"/>
        <v>Feb</v>
      </c>
      <c r="M288" s="1" t="str">
        <f t="shared" si="3"/>
        <v>Loss</v>
      </c>
    </row>
    <row r="289" ht="14.25" customHeight="1">
      <c r="A289" s="1" t="s">
        <v>323</v>
      </c>
      <c r="B289" s="2">
        <v>44972.0</v>
      </c>
      <c r="C289" s="1" t="s">
        <v>14</v>
      </c>
      <c r="D289" s="1" t="s">
        <v>27</v>
      </c>
      <c r="E289" s="1" t="s">
        <v>33</v>
      </c>
      <c r="F289" s="1">
        <v>306.45</v>
      </c>
      <c r="G289" s="1">
        <v>41.62</v>
      </c>
      <c r="H289" s="1">
        <v>8.0</v>
      </c>
      <c r="I289" s="1" t="s">
        <v>34</v>
      </c>
      <c r="J289" s="1" t="s">
        <v>35</v>
      </c>
      <c r="K289" s="1">
        <f t="shared" si="1"/>
        <v>2023</v>
      </c>
      <c r="L289" s="1" t="str">
        <f t="shared" si="2"/>
        <v>Feb</v>
      </c>
      <c r="M289" s="1" t="str">
        <f t="shared" si="3"/>
        <v>Profit</v>
      </c>
    </row>
    <row r="290" ht="14.25" customHeight="1">
      <c r="A290" s="1" t="s">
        <v>324</v>
      </c>
      <c r="B290" s="2">
        <v>44843.0</v>
      </c>
      <c r="C290" s="1" t="s">
        <v>26</v>
      </c>
      <c r="D290" s="1" t="s">
        <v>27</v>
      </c>
      <c r="E290" s="1" t="s">
        <v>40</v>
      </c>
      <c r="F290" s="1">
        <v>105.65</v>
      </c>
      <c r="G290" s="1">
        <v>131.41</v>
      </c>
      <c r="H290" s="1">
        <v>2.0</v>
      </c>
      <c r="I290" s="1" t="s">
        <v>34</v>
      </c>
      <c r="J290" s="1" t="s">
        <v>18</v>
      </c>
      <c r="K290" s="1">
        <f t="shared" si="1"/>
        <v>2022</v>
      </c>
      <c r="L290" s="1" t="str">
        <f t="shared" si="2"/>
        <v>Oct</v>
      </c>
      <c r="M290" s="1" t="str">
        <f t="shared" si="3"/>
        <v>Profit</v>
      </c>
    </row>
    <row r="291" ht="14.25" customHeight="1">
      <c r="A291" s="1" t="s">
        <v>325</v>
      </c>
      <c r="B291" s="2">
        <v>44385.0</v>
      </c>
      <c r="C291" s="1" t="s">
        <v>14</v>
      </c>
      <c r="D291" s="1" t="s">
        <v>21</v>
      </c>
      <c r="E291" s="1" t="s">
        <v>37</v>
      </c>
      <c r="F291" s="1">
        <v>228.26</v>
      </c>
      <c r="G291" s="1">
        <v>43.83</v>
      </c>
      <c r="H291" s="1">
        <v>2.0</v>
      </c>
      <c r="I291" s="1" t="s">
        <v>17</v>
      </c>
      <c r="J291" s="1" t="s">
        <v>24</v>
      </c>
      <c r="K291" s="1">
        <f t="shared" si="1"/>
        <v>2021</v>
      </c>
      <c r="L291" s="1" t="str">
        <f t="shared" si="2"/>
        <v>Jul</v>
      </c>
      <c r="M291" s="1" t="str">
        <f t="shared" si="3"/>
        <v>Profit</v>
      </c>
    </row>
    <row r="292" ht="14.25" customHeight="1">
      <c r="A292" s="1" t="s">
        <v>326</v>
      </c>
      <c r="B292" s="2">
        <v>44328.0</v>
      </c>
      <c r="C292" s="1" t="s">
        <v>26</v>
      </c>
      <c r="D292" s="1" t="s">
        <v>21</v>
      </c>
      <c r="E292" s="1" t="s">
        <v>22</v>
      </c>
      <c r="F292" s="1">
        <v>953.24</v>
      </c>
      <c r="G292" s="1">
        <v>34.13</v>
      </c>
      <c r="H292" s="1">
        <v>3.0</v>
      </c>
      <c r="I292" s="1" t="s">
        <v>34</v>
      </c>
      <c r="J292" s="1" t="s">
        <v>35</v>
      </c>
      <c r="K292" s="1">
        <f t="shared" si="1"/>
        <v>2021</v>
      </c>
      <c r="L292" s="1" t="str">
        <f t="shared" si="2"/>
        <v>May</v>
      </c>
      <c r="M292" s="1" t="str">
        <f t="shared" si="3"/>
        <v>Profit</v>
      </c>
    </row>
    <row r="293" ht="14.25" customHeight="1">
      <c r="A293" s="1" t="s">
        <v>327</v>
      </c>
      <c r="B293" s="2">
        <v>44266.0</v>
      </c>
      <c r="C293" s="1" t="s">
        <v>20</v>
      </c>
      <c r="D293" s="1" t="s">
        <v>27</v>
      </c>
      <c r="E293" s="1" t="s">
        <v>40</v>
      </c>
      <c r="F293" s="1">
        <v>680.87</v>
      </c>
      <c r="G293" s="1">
        <v>201.45</v>
      </c>
      <c r="H293" s="1">
        <v>1.0</v>
      </c>
      <c r="I293" s="1" t="s">
        <v>17</v>
      </c>
      <c r="J293" s="1" t="s">
        <v>18</v>
      </c>
      <c r="K293" s="1">
        <f t="shared" si="1"/>
        <v>2021</v>
      </c>
      <c r="L293" s="1" t="str">
        <f t="shared" si="2"/>
        <v>Mar</v>
      </c>
      <c r="M293" s="1" t="str">
        <f t="shared" si="3"/>
        <v>Profit</v>
      </c>
    </row>
    <row r="294" ht="14.25" customHeight="1">
      <c r="A294" s="1" t="s">
        <v>328</v>
      </c>
      <c r="B294" s="2">
        <v>45107.0</v>
      </c>
      <c r="C294" s="1" t="s">
        <v>30</v>
      </c>
      <c r="D294" s="1" t="s">
        <v>27</v>
      </c>
      <c r="E294" s="1" t="s">
        <v>28</v>
      </c>
      <c r="F294" s="1">
        <v>179.14</v>
      </c>
      <c r="G294" s="1">
        <v>101.29</v>
      </c>
      <c r="H294" s="1">
        <v>7.0</v>
      </c>
      <c r="I294" s="1" t="s">
        <v>23</v>
      </c>
      <c r="J294" s="1" t="s">
        <v>38</v>
      </c>
      <c r="K294" s="1">
        <f t="shared" si="1"/>
        <v>2023</v>
      </c>
      <c r="L294" s="1" t="str">
        <f t="shared" si="2"/>
        <v>Jun</v>
      </c>
      <c r="M294" s="1" t="str">
        <f t="shared" si="3"/>
        <v>Profit</v>
      </c>
    </row>
    <row r="295" ht="14.25" customHeight="1">
      <c r="A295" s="1" t="s">
        <v>329</v>
      </c>
      <c r="B295" s="2">
        <v>44485.0</v>
      </c>
      <c r="C295" s="1" t="s">
        <v>26</v>
      </c>
      <c r="D295" s="1" t="s">
        <v>15</v>
      </c>
      <c r="E295" s="1" t="s">
        <v>16</v>
      </c>
      <c r="F295" s="1">
        <v>961.69</v>
      </c>
      <c r="G295" s="1">
        <v>69.81</v>
      </c>
      <c r="H295" s="1">
        <v>10.0</v>
      </c>
      <c r="I295" s="1" t="s">
        <v>34</v>
      </c>
      <c r="J295" s="1" t="s">
        <v>24</v>
      </c>
      <c r="K295" s="1">
        <f t="shared" si="1"/>
        <v>2021</v>
      </c>
      <c r="L295" s="1" t="str">
        <f t="shared" si="2"/>
        <v>Oct</v>
      </c>
      <c r="M295" s="1" t="str">
        <f t="shared" si="3"/>
        <v>Profit</v>
      </c>
    </row>
    <row r="296" ht="14.25" customHeight="1">
      <c r="A296" s="1" t="s">
        <v>330</v>
      </c>
      <c r="B296" s="2">
        <v>44531.0</v>
      </c>
      <c r="C296" s="1" t="s">
        <v>26</v>
      </c>
      <c r="D296" s="1" t="s">
        <v>15</v>
      </c>
      <c r="E296" s="1" t="s">
        <v>16</v>
      </c>
      <c r="F296" s="1">
        <v>969.12</v>
      </c>
      <c r="G296" s="1">
        <v>251.64</v>
      </c>
      <c r="H296" s="1">
        <v>2.0</v>
      </c>
      <c r="I296" s="1" t="s">
        <v>34</v>
      </c>
      <c r="J296" s="1" t="s">
        <v>24</v>
      </c>
      <c r="K296" s="1">
        <f t="shared" si="1"/>
        <v>2021</v>
      </c>
      <c r="L296" s="1" t="str">
        <f t="shared" si="2"/>
        <v>Dec</v>
      </c>
      <c r="M296" s="1" t="str">
        <f t="shared" si="3"/>
        <v>Profit</v>
      </c>
    </row>
    <row r="297" ht="14.25" customHeight="1">
      <c r="A297" s="1" t="s">
        <v>331</v>
      </c>
      <c r="B297" s="2">
        <v>44548.0</v>
      </c>
      <c r="C297" s="1" t="s">
        <v>14</v>
      </c>
      <c r="D297" s="1" t="s">
        <v>27</v>
      </c>
      <c r="E297" s="1" t="s">
        <v>28</v>
      </c>
      <c r="F297" s="1">
        <v>902.1</v>
      </c>
      <c r="G297" s="1">
        <v>109.4</v>
      </c>
      <c r="H297" s="1">
        <v>9.0</v>
      </c>
      <c r="I297" s="1" t="s">
        <v>23</v>
      </c>
      <c r="J297" s="1" t="s">
        <v>35</v>
      </c>
      <c r="K297" s="1">
        <f t="shared" si="1"/>
        <v>2021</v>
      </c>
      <c r="L297" s="1" t="str">
        <f t="shared" si="2"/>
        <v>Dec</v>
      </c>
      <c r="M297" s="1" t="str">
        <f t="shared" si="3"/>
        <v>Profit</v>
      </c>
    </row>
    <row r="298" ht="14.25" customHeight="1">
      <c r="A298" s="1" t="s">
        <v>332</v>
      </c>
      <c r="B298" s="2">
        <v>44636.0</v>
      </c>
      <c r="C298" s="1" t="s">
        <v>30</v>
      </c>
      <c r="D298" s="1" t="s">
        <v>27</v>
      </c>
      <c r="E298" s="1" t="s">
        <v>40</v>
      </c>
      <c r="F298" s="1">
        <v>967.19</v>
      </c>
      <c r="G298" s="1">
        <v>-31.15</v>
      </c>
      <c r="H298" s="1">
        <v>1.0</v>
      </c>
      <c r="I298" s="1" t="s">
        <v>23</v>
      </c>
      <c r="J298" s="1" t="s">
        <v>24</v>
      </c>
      <c r="K298" s="1">
        <f t="shared" si="1"/>
        <v>2022</v>
      </c>
      <c r="L298" s="1" t="str">
        <f t="shared" si="2"/>
        <v>Mar</v>
      </c>
      <c r="M298" s="1" t="str">
        <f t="shared" si="3"/>
        <v>Loss</v>
      </c>
    </row>
    <row r="299" ht="14.25" customHeight="1">
      <c r="A299" s="1" t="s">
        <v>333</v>
      </c>
      <c r="B299" s="2">
        <v>44708.0</v>
      </c>
      <c r="C299" s="1" t="s">
        <v>14</v>
      </c>
      <c r="D299" s="1" t="s">
        <v>21</v>
      </c>
      <c r="E299" s="1" t="s">
        <v>22</v>
      </c>
      <c r="F299" s="1">
        <v>974.05</v>
      </c>
      <c r="G299" s="1">
        <v>161.93</v>
      </c>
      <c r="H299" s="1">
        <v>3.0</v>
      </c>
      <c r="I299" s="1" t="s">
        <v>34</v>
      </c>
      <c r="J299" s="1" t="s">
        <v>38</v>
      </c>
      <c r="K299" s="1">
        <f t="shared" si="1"/>
        <v>2022</v>
      </c>
      <c r="L299" s="1" t="str">
        <f t="shared" si="2"/>
        <v>May</v>
      </c>
      <c r="M299" s="1" t="str">
        <f t="shared" si="3"/>
        <v>Profit</v>
      </c>
    </row>
    <row r="300" ht="14.25" customHeight="1">
      <c r="A300" s="1" t="s">
        <v>334</v>
      </c>
      <c r="B300" s="2">
        <v>45028.0</v>
      </c>
      <c r="C300" s="1" t="s">
        <v>20</v>
      </c>
      <c r="D300" s="1" t="s">
        <v>21</v>
      </c>
      <c r="E300" s="1" t="s">
        <v>76</v>
      </c>
      <c r="F300" s="1">
        <v>788.61</v>
      </c>
      <c r="G300" s="1">
        <v>256.19</v>
      </c>
      <c r="H300" s="1">
        <v>5.0</v>
      </c>
      <c r="I300" s="1" t="s">
        <v>23</v>
      </c>
      <c r="J300" s="1" t="s">
        <v>24</v>
      </c>
      <c r="K300" s="1">
        <f t="shared" si="1"/>
        <v>2023</v>
      </c>
      <c r="L300" s="1" t="str">
        <f t="shared" si="2"/>
        <v>Apr</v>
      </c>
      <c r="M300" s="1" t="str">
        <f t="shared" si="3"/>
        <v>Profit</v>
      </c>
    </row>
    <row r="301" ht="14.25" customHeight="1">
      <c r="A301" s="1" t="s">
        <v>335</v>
      </c>
      <c r="B301" s="2">
        <v>44483.0</v>
      </c>
      <c r="C301" s="1" t="s">
        <v>26</v>
      </c>
      <c r="D301" s="1" t="s">
        <v>21</v>
      </c>
      <c r="E301" s="1" t="s">
        <v>22</v>
      </c>
      <c r="F301" s="1">
        <v>790.4</v>
      </c>
      <c r="G301" s="1">
        <v>-28.65</v>
      </c>
      <c r="H301" s="1">
        <v>10.0</v>
      </c>
      <c r="I301" s="1" t="s">
        <v>23</v>
      </c>
      <c r="J301" s="1" t="s">
        <v>18</v>
      </c>
      <c r="K301" s="1">
        <f t="shared" si="1"/>
        <v>2021</v>
      </c>
      <c r="L301" s="1" t="str">
        <f t="shared" si="2"/>
        <v>Oct</v>
      </c>
      <c r="M301" s="1" t="str">
        <f t="shared" si="3"/>
        <v>Loss</v>
      </c>
    </row>
    <row r="302" ht="14.25" customHeight="1">
      <c r="A302" s="1" t="s">
        <v>336</v>
      </c>
      <c r="B302" s="2">
        <v>45018.0</v>
      </c>
      <c r="C302" s="1" t="s">
        <v>20</v>
      </c>
      <c r="D302" s="1" t="s">
        <v>15</v>
      </c>
      <c r="E302" s="1" t="s">
        <v>31</v>
      </c>
      <c r="F302" s="1">
        <v>540.62</v>
      </c>
      <c r="G302" s="1">
        <v>124.7</v>
      </c>
      <c r="H302" s="1">
        <v>9.0</v>
      </c>
      <c r="I302" s="1" t="s">
        <v>34</v>
      </c>
      <c r="J302" s="1" t="s">
        <v>24</v>
      </c>
      <c r="K302" s="1">
        <f t="shared" si="1"/>
        <v>2023</v>
      </c>
      <c r="L302" s="1" t="str">
        <f t="shared" si="2"/>
        <v>Apr</v>
      </c>
      <c r="M302" s="1" t="str">
        <f t="shared" si="3"/>
        <v>Profit</v>
      </c>
    </row>
    <row r="303" ht="14.25" customHeight="1">
      <c r="A303" s="1" t="s">
        <v>337</v>
      </c>
      <c r="B303" s="2">
        <v>44764.0</v>
      </c>
      <c r="C303" s="1" t="s">
        <v>26</v>
      </c>
      <c r="D303" s="1" t="s">
        <v>15</v>
      </c>
      <c r="E303" s="1" t="s">
        <v>31</v>
      </c>
      <c r="F303" s="1">
        <v>988.78</v>
      </c>
      <c r="G303" s="1">
        <v>-42.86</v>
      </c>
      <c r="H303" s="1">
        <v>5.0</v>
      </c>
      <c r="I303" s="1" t="s">
        <v>17</v>
      </c>
      <c r="J303" s="1" t="s">
        <v>24</v>
      </c>
      <c r="K303" s="1">
        <f t="shared" si="1"/>
        <v>2022</v>
      </c>
      <c r="L303" s="1" t="str">
        <f t="shared" si="2"/>
        <v>Jul</v>
      </c>
      <c r="M303" s="1" t="str">
        <f t="shared" si="3"/>
        <v>Loss</v>
      </c>
    </row>
    <row r="304" ht="14.25" customHeight="1">
      <c r="A304" s="1" t="s">
        <v>338</v>
      </c>
      <c r="B304" s="2">
        <v>44698.0</v>
      </c>
      <c r="C304" s="1" t="s">
        <v>26</v>
      </c>
      <c r="D304" s="1" t="s">
        <v>27</v>
      </c>
      <c r="E304" s="1" t="s">
        <v>40</v>
      </c>
      <c r="F304" s="1">
        <v>66.97</v>
      </c>
      <c r="G304" s="1">
        <v>175.13</v>
      </c>
      <c r="H304" s="1">
        <v>5.0</v>
      </c>
      <c r="I304" s="1" t="s">
        <v>23</v>
      </c>
      <c r="J304" s="1" t="s">
        <v>38</v>
      </c>
      <c r="K304" s="1">
        <f t="shared" si="1"/>
        <v>2022</v>
      </c>
      <c r="L304" s="1" t="str">
        <f t="shared" si="2"/>
        <v>May</v>
      </c>
      <c r="M304" s="1" t="str">
        <f t="shared" si="3"/>
        <v>Profit</v>
      </c>
    </row>
    <row r="305" ht="14.25" customHeight="1">
      <c r="A305" s="1" t="s">
        <v>339</v>
      </c>
      <c r="B305" s="2">
        <v>45139.0</v>
      </c>
      <c r="C305" s="1" t="s">
        <v>30</v>
      </c>
      <c r="D305" s="1" t="s">
        <v>21</v>
      </c>
      <c r="E305" s="1" t="s">
        <v>76</v>
      </c>
      <c r="F305" s="1">
        <v>887.26</v>
      </c>
      <c r="G305" s="1">
        <v>53.47</v>
      </c>
      <c r="H305" s="1">
        <v>9.0</v>
      </c>
      <c r="I305" s="1" t="s">
        <v>17</v>
      </c>
      <c r="J305" s="1" t="s">
        <v>35</v>
      </c>
      <c r="K305" s="1">
        <f t="shared" si="1"/>
        <v>2023</v>
      </c>
      <c r="L305" s="1" t="str">
        <f t="shared" si="2"/>
        <v>Aug</v>
      </c>
      <c r="M305" s="1" t="str">
        <f t="shared" si="3"/>
        <v>Profit</v>
      </c>
    </row>
    <row r="306" ht="14.25" customHeight="1">
      <c r="A306" s="1" t="s">
        <v>340</v>
      </c>
      <c r="B306" s="2">
        <v>44203.0</v>
      </c>
      <c r="C306" s="1" t="s">
        <v>26</v>
      </c>
      <c r="D306" s="1" t="s">
        <v>15</v>
      </c>
      <c r="E306" s="1" t="s">
        <v>16</v>
      </c>
      <c r="F306" s="1">
        <v>566.15</v>
      </c>
      <c r="G306" s="1">
        <v>-151.88</v>
      </c>
      <c r="H306" s="1">
        <v>10.0</v>
      </c>
      <c r="I306" s="1" t="s">
        <v>34</v>
      </c>
      <c r="J306" s="1" t="s">
        <v>18</v>
      </c>
      <c r="K306" s="1">
        <f t="shared" si="1"/>
        <v>2021</v>
      </c>
      <c r="L306" s="1" t="str">
        <f t="shared" si="2"/>
        <v>Jan</v>
      </c>
      <c r="M306" s="1" t="str">
        <f t="shared" si="3"/>
        <v>Loss</v>
      </c>
    </row>
    <row r="307" ht="14.25" customHeight="1">
      <c r="A307" s="1" t="s">
        <v>341</v>
      </c>
      <c r="B307" s="2">
        <v>44799.0</v>
      </c>
      <c r="C307" s="1" t="s">
        <v>26</v>
      </c>
      <c r="D307" s="1" t="s">
        <v>21</v>
      </c>
      <c r="E307" s="1" t="s">
        <v>22</v>
      </c>
      <c r="F307" s="1">
        <v>390.31</v>
      </c>
      <c r="G307" s="1">
        <v>150.66</v>
      </c>
      <c r="H307" s="1">
        <v>10.0</v>
      </c>
      <c r="I307" s="1" t="s">
        <v>17</v>
      </c>
      <c r="J307" s="1" t="s">
        <v>35</v>
      </c>
      <c r="K307" s="1">
        <f t="shared" si="1"/>
        <v>2022</v>
      </c>
      <c r="L307" s="1" t="str">
        <f t="shared" si="2"/>
        <v>Aug</v>
      </c>
      <c r="M307" s="1" t="str">
        <f t="shared" si="3"/>
        <v>Profit</v>
      </c>
    </row>
    <row r="308" ht="14.25" customHeight="1">
      <c r="A308" s="1" t="s">
        <v>342</v>
      </c>
      <c r="B308" s="2">
        <v>45225.0</v>
      </c>
      <c r="C308" s="1" t="s">
        <v>30</v>
      </c>
      <c r="D308" s="1" t="s">
        <v>15</v>
      </c>
      <c r="E308" s="1" t="s">
        <v>54</v>
      </c>
      <c r="F308" s="1">
        <v>376.54</v>
      </c>
      <c r="G308" s="1">
        <v>142.82</v>
      </c>
      <c r="H308" s="1">
        <v>4.0</v>
      </c>
      <c r="I308" s="1" t="s">
        <v>34</v>
      </c>
      <c r="J308" s="1" t="s">
        <v>24</v>
      </c>
      <c r="K308" s="1">
        <f t="shared" si="1"/>
        <v>2023</v>
      </c>
      <c r="L308" s="1" t="str">
        <f t="shared" si="2"/>
        <v>Oct</v>
      </c>
      <c r="M308" s="1" t="str">
        <f t="shared" si="3"/>
        <v>Profit</v>
      </c>
    </row>
    <row r="309" ht="14.25" customHeight="1">
      <c r="A309" s="1" t="s">
        <v>343</v>
      </c>
      <c r="B309" s="2">
        <v>45121.0</v>
      </c>
      <c r="C309" s="1" t="s">
        <v>20</v>
      </c>
      <c r="D309" s="1" t="s">
        <v>15</v>
      </c>
      <c r="E309" s="1" t="s">
        <v>16</v>
      </c>
      <c r="F309" s="1">
        <v>47.05</v>
      </c>
      <c r="G309" s="1">
        <v>-93.64</v>
      </c>
      <c r="H309" s="1">
        <v>4.0</v>
      </c>
      <c r="I309" s="1" t="s">
        <v>34</v>
      </c>
      <c r="J309" s="1" t="s">
        <v>24</v>
      </c>
      <c r="K309" s="1">
        <f t="shared" si="1"/>
        <v>2023</v>
      </c>
      <c r="L309" s="1" t="str">
        <f t="shared" si="2"/>
        <v>Jul</v>
      </c>
      <c r="M309" s="1" t="str">
        <f t="shared" si="3"/>
        <v>Loss</v>
      </c>
    </row>
    <row r="310" ht="14.25" customHeight="1">
      <c r="A310" s="1" t="s">
        <v>344</v>
      </c>
      <c r="B310" s="2">
        <v>45036.0</v>
      </c>
      <c r="C310" s="1" t="s">
        <v>30</v>
      </c>
      <c r="D310" s="1" t="s">
        <v>15</v>
      </c>
      <c r="E310" s="1" t="s">
        <v>16</v>
      </c>
      <c r="F310" s="1">
        <v>150.74</v>
      </c>
      <c r="G310" s="1">
        <v>-54.4</v>
      </c>
      <c r="H310" s="1">
        <v>10.0</v>
      </c>
      <c r="I310" s="1" t="s">
        <v>34</v>
      </c>
      <c r="J310" s="1" t="s">
        <v>38</v>
      </c>
      <c r="K310" s="1">
        <f t="shared" si="1"/>
        <v>2023</v>
      </c>
      <c r="L310" s="1" t="str">
        <f t="shared" si="2"/>
        <v>Apr</v>
      </c>
      <c r="M310" s="1" t="str">
        <f t="shared" si="3"/>
        <v>Loss</v>
      </c>
    </row>
    <row r="311" ht="14.25" customHeight="1">
      <c r="A311" s="1" t="s">
        <v>345</v>
      </c>
      <c r="B311" s="2">
        <v>44854.0</v>
      </c>
      <c r="C311" s="1" t="s">
        <v>30</v>
      </c>
      <c r="D311" s="1" t="s">
        <v>21</v>
      </c>
      <c r="E311" s="1" t="s">
        <v>76</v>
      </c>
      <c r="F311" s="1">
        <v>853.66</v>
      </c>
      <c r="G311" s="1">
        <v>37.66</v>
      </c>
      <c r="H311" s="1">
        <v>2.0</v>
      </c>
      <c r="I311" s="1" t="s">
        <v>17</v>
      </c>
      <c r="J311" s="1" t="s">
        <v>38</v>
      </c>
      <c r="K311" s="1">
        <f t="shared" si="1"/>
        <v>2022</v>
      </c>
      <c r="L311" s="1" t="str">
        <f t="shared" si="2"/>
        <v>Oct</v>
      </c>
      <c r="M311" s="1" t="str">
        <f t="shared" si="3"/>
        <v>Profit</v>
      </c>
    </row>
    <row r="312" ht="14.25" customHeight="1">
      <c r="A312" s="1" t="s">
        <v>346</v>
      </c>
      <c r="B312" s="2">
        <v>44725.0</v>
      </c>
      <c r="C312" s="1" t="s">
        <v>14</v>
      </c>
      <c r="D312" s="1" t="s">
        <v>21</v>
      </c>
      <c r="E312" s="1" t="s">
        <v>22</v>
      </c>
      <c r="F312" s="1">
        <v>261.09</v>
      </c>
      <c r="G312" s="1">
        <v>240.39</v>
      </c>
      <c r="H312" s="1">
        <v>3.0</v>
      </c>
      <c r="I312" s="1" t="s">
        <v>17</v>
      </c>
      <c r="J312" s="1" t="s">
        <v>35</v>
      </c>
      <c r="K312" s="1">
        <f t="shared" si="1"/>
        <v>2022</v>
      </c>
      <c r="L312" s="1" t="str">
        <f t="shared" si="2"/>
        <v>Jun</v>
      </c>
      <c r="M312" s="1" t="str">
        <f t="shared" si="3"/>
        <v>Profit</v>
      </c>
    </row>
    <row r="313" ht="14.25" customHeight="1">
      <c r="A313" s="1" t="s">
        <v>347</v>
      </c>
      <c r="B313" s="2">
        <v>44449.0</v>
      </c>
      <c r="C313" s="1" t="s">
        <v>14</v>
      </c>
      <c r="D313" s="1" t="s">
        <v>21</v>
      </c>
      <c r="E313" s="1" t="s">
        <v>76</v>
      </c>
      <c r="F313" s="1">
        <v>461.64</v>
      </c>
      <c r="G313" s="1">
        <v>-52.88</v>
      </c>
      <c r="H313" s="1">
        <v>3.0</v>
      </c>
      <c r="I313" s="1" t="s">
        <v>23</v>
      </c>
      <c r="J313" s="1" t="s">
        <v>18</v>
      </c>
      <c r="K313" s="1">
        <f t="shared" si="1"/>
        <v>2021</v>
      </c>
      <c r="L313" s="1" t="str">
        <f t="shared" si="2"/>
        <v>Sep</v>
      </c>
      <c r="M313" s="1" t="str">
        <f t="shared" si="3"/>
        <v>Loss</v>
      </c>
    </row>
    <row r="314" ht="14.25" customHeight="1">
      <c r="A314" s="1" t="s">
        <v>348</v>
      </c>
      <c r="B314" s="2">
        <v>44252.0</v>
      </c>
      <c r="C314" s="1" t="s">
        <v>14</v>
      </c>
      <c r="D314" s="1" t="s">
        <v>27</v>
      </c>
      <c r="E314" s="1" t="s">
        <v>28</v>
      </c>
      <c r="F314" s="1">
        <v>837.28</v>
      </c>
      <c r="G314" s="1">
        <v>82.19</v>
      </c>
      <c r="H314" s="1">
        <v>5.0</v>
      </c>
      <c r="I314" s="1" t="s">
        <v>23</v>
      </c>
      <c r="J314" s="1" t="s">
        <v>24</v>
      </c>
      <c r="K314" s="1">
        <f t="shared" si="1"/>
        <v>2021</v>
      </c>
      <c r="L314" s="1" t="str">
        <f t="shared" si="2"/>
        <v>Feb</v>
      </c>
      <c r="M314" s="1" t="str">
        <f t="shared" si="3"/>
        <v>Profit</v>
      </c>
    </row>
    <row r="315" ht="14.25" customHeight="1">
      <c r="A315" s="1" t="s">
        <v>349</v>
      </c>
      <c r="B315" s="2">
        <v>44890.0</v>
      </c>
      <c r="C315" s="1" t="s">
        <v>26</v>
      </c>
      <c r="D315" s="1" t="s">
        <v>21</v>
      </c>
      <c r="E315" s="1" t="s">
        <v>37</v>
      </c>
      <c r="F315" s="1">
        <v>236.67</v>
      </c>
      <c r="G315" s="1">
        <v>-34.24</v>
      </c>
      <c r="H315" s="1">
        <v>8.0</v>
      </c>
      <c r="I315" s="1" t="s">
        <v>17</v>
      </c>
      <c r="J315" s="1" t="s">
        <v>18</v>
      </c>
      <c r="K315" s="1">
        <f t="shared" si="1"/>
        <v>2022</v>
      </c>
      <c r="L315" s="1" t="str">
        <f t="shared" si="2"/>
        <v>Nov</v>
      </c>
      <c r="M315" s="1" t="str">
        <f t="shared" si="3"/>
        <v>Loss</v>
      </c>
    </row>
    <row r="316" ht="14.25" customHeight="1">
      <c r="A316" s="1" t="s">
        <v>350</v>
      </c>
      <c r="B316" s="2">
        <v>45163.0</v>
      </c>
      <c r="C316" s="1" t="s">
        <v>30</v>
      </c>
      <c r="D316" s="1" t="s">
        <v>15</v>
      </c>
      <c r="E316" s="1" t="s">
        <v>54</v>
      </c>
      <c r="F316" s="1">
        <v>472.01</v>
      </c>
      <c r="G316" s="1">
        <v>146.18</v>
      </c>
      <c r="H316" s="1">
        <v>3.0</v>
      </c>
      <c r="I316" s="1" t="s">
        <v>34</v>
      </c>
      <c r="J316" s="1" t="s">
        <v>24</v>
      </c>
      <c r="K316" s="1">
        <f t="shared" si="1"/>
        <v>2023</v>
      </c>
      <c r="L316" s="1" t="str">
        <f t="shared" si="2"/>
        <v>Aug</v>
      </c>
      <c r="M316" s="1" t="str">
        <f t="shared" si="3"/>
        <v>Profit</v>
      </c>
    </row>
    <row r="317" ht="14.25" customHeight="1">
      <c r="A317" s="1" t="s">
        <v>351</v>
      </c>
      <c r="B317" s="2">
        <v>44594.0</v>
      </c>
      <c r="C317" s="1" t="s">
        <v>14</v>
      </c>
      <c r="D317" s="1" t="s">
        <v>27</v>
      </c>
      <c r="E317" s="1" t="s">
        <v>28</v>
      </c>
      <c r="F317" s="1">
        <v>392.09</v>
      </c>
      <c r="G317" s="1">
        <v>-107.53</v>
      </c>
      <c r="H317" s="1">
        <v>9.0</v>
      </c>
      <c r="I317" s="1" t="s">
        <v>23</v>
      </c>
      <c r="J317" s="1" t="s">
        <v>24</v>
      </c>
      <c r="K317" s="1">
        <f t="shared" si="1"/>
        <v>2022</v>
      </c>
      <c r="L317" s="1" t="str">
        <f t="shared" si="2"/>
        <v>Feb</v>
      </c>
      <c r="M317" s="1" t="str">
        <f t="shared" si="3"/>
        <v>Loss</v>
      </c>
    </row>
    <row r="318" ht="14.25" customHeight="1">
      <c r="A318" s="1" t="s">
        <v>352</v>
      </c>
      <c r="B318" s="2">
        <v>44309.0</v>
      </c>
      <c r="C318" s="1" t="s">
        <v>20</v>
      </c>
      <c r="D318" s="1" t="s">
        <v>21</v>
      </c>
      <c r="E318" s="1" t="s">
        <v>76</v>
      </c>
      <c r="F318" s="1">
        <v>127.98</v>
      </c>
      <c r="G318" s="1">
        <v>-133.45</v>
      </c>
      <c r="H318" s="1">
        <v>5.0</v>
      </c>
      <c r="I318" s="1" t="s">
        <v>17</v>
      </c>
      <c r="J318" s="1" t="s">
        <v>38</v>
      </c>
      <c r="K318" s="1">
        <f t="shared" si="1"/>
        <v>2021</v>
      </c>
      <c r="L318" s="1" t="str">
        <f t="shared" si="2"/>
        <v>Apr</v>
      </c>
      <c r="M318" s="1" t="str">
        <f t="shared" si="3"/>
        <v>Loss</v>
      </c>
    </row>
    <row r="319" ht="14.25" customHeight="1">
      <c r="A319" s="1" t="s">
        <v>353</v>
      </c>
      <c r="B319" s="2">
        <v>44543.0</v>
      </c>
      <c r="C319" s="1" t="s">
        <v>20</v>
      </c>
      <c r="D319" s="1" t="s">
        <v>15</v>
      </c>
      <c r="E319" s="1" t="s">
        <v>16</v>
      </c>
      <c r="F319" s="1">
        <v>104.67</v>
      </c>
      <c r="G319" s="1">
        <v>-121.99</v>
      </c>
      <c r="H319" s="1">
        <v>3.0</v>
      </c>
      <c r="I319" s="1" t="s">
        <v>17</v>
      </c>
      <c r="J319" s="1" t="s">
        <v>35</v>
      </c>
      <c r="K319" s="1">
        <f t="shared" si="1"/>
        <v>2021</v>
      </c>
      <c r="L319" s="1" t="str">
        <f t="shared" si="2"/>
        <v>Dec</v>
      </c>
      <c r="M319" s="1" t="str">
        <f t="shared" si="3"/>
        <v>Loss</v>
      </c>
    </row>
    <row r="320" ht="14.25" customHeight="1">
      <c r="A320" s="1" t="s">
        <v>354</v>
      </c>
      <c r="B320" s="2">
        <v>45220.0</v>
      </c>
      <c r="C320" s="1" t="s">
        <v>20</v>
      </c>
      <c r="D320" s="1" t="s">
        <v>15</v>
      </c>
      <c r="E320" s="1" t="s">
        <v>31</v>
      </c>
      <c r="F320" s="1">
        <v>637.08</v>
      </c>
      <c r="G320" s="1">
        <v>135.73</v>
      </c>
      <c r="H320" s="1">
        <v>1.0</v>
      </c>
      <c r="I320" s="1" t="s">
        <v>23</v>
      </c>
      <c r="J320" s="1" t="s">
        <v>18</v>
      </c>
      <c r="K320" s="1">
        <f t="shared" si="1"/>
        <v>2023</v>
      </c>
      <c r="L320" s="1" t="str">
        <f t="shared" si="2"/>
        <v>Oct</v>
      </c>
      <c r="M320" s="1" t="str">
        <f t="shared" si="3"/>
        <v>Profit</v>
      </c>
    </row>
    <row r="321" ht="14.25" customHeight="1">
      <c r="A321" s="1" t="s">
        <v>355</v>
      </c>
      <c r="B321" s="2">
        <v>44993.0</v>
      </c>
      <c r="C321" s="1" t="s">
        <v>30</v>
      </c>
      <c r="D321" s="1" t="s">
        <v>21</v>
      </c>
      <c r="E321" s="1" t="s">
        <v>22</v>
      </c>
      <c r="F321" s="1">
        <v>237.31</v>
      </c>
      <c r="G321" s="1">
        <v>6.2</v>
      </c>
      <c r="H321" s="1">
        <v>1.0</v>
      </c>
      <c r="I321" s="1" t="s">
        <v>34</v>
      </c>
      <c r="J321" s="1" t="s">
        <v>24</v>
      </c>
      <c r="K321" s="1">
        <f t="shared" si="1"/>
        <v>2023</v>
      </c>
      <c r="L321" s="1" t="str">
        <f t="shared" si="2"/>
        <v>Mar</v>
      </c>
      <c r="M321" s="1" t="str">
        <f t="shared" si="3"/>
        <v>Profit</v>
      </c>
    </row>
    <row r="322" ht="14.25" customHeight="1">
      <c r="A322" s="1" t="s">
        <v>356</v>
      </c>
      <c r="B322" s="2">
        <v>45120.0</v>
      </c>
      <c r="C322" s="1" t="s">
        <v>20</v>
      </c>
      <c r="D322" s="1" t="s">
        <v>15</v>
      </c>
      <c r="E322" s="1" t="s">
        <v>54</v>
      </c>
      <c r="F322" s="1">
        <v>184.34</v>
      </c>
      <c r="G322" s="1">
        <v>32.9</v>
      </c>
      <c r="H322" s="1">
        <v>9.0</v>
      </c>
      <c r="I322" s="1" t="s">
        <v>17</v>
      </c>
      <c r="J322" s="1" t="s">
        <v>18</v>
      </c>
      <c r="K322" s="1">
        <f t="shared" si="1"/>
        <v>2023</v>
      </c>
      <c r="L322" s="1" t="str">
        <f t="shared" si="2"/>
        <v>Jul</v>
      </c>
      <c r="M322" s="1" t="str">
        <f t="shared" si="3"/>
        <v>Profit</v>
      </c>
    </row>
    <row r="323" ht="14.25" customHeight="1">
      <c r="A323" s="1" t="s">
        <v>357</v>
      </c>
      <c r="B323" s="2">
        <v>44321.0</v>
      </c>
      <c r="C323" s="1" t="s">
        <v>14</v>
      </c>
      <c r="D323" s="1" t="s">
        <v>21</v>
      </c>
      <c r="E323" s="1" t="s">
        <v>76</v>
      </c>
      <c r="F323" s="1">
        <v>598.07</v>
      </c>
      <c r="G323" s="1">
        <v>-35.23</v>
      </c>
      <c r="H323" s="1">
        <v>10.0</v>
      </c>
      <c r="I323" s="1" t="s">
        <v>23</v>
      </c>
      <c r="J323" s="1" t="s">
        <v>18</v>
      </c>
      <c r="K323" s="1">
        <f t="shared" si="1"/>
        <v>2021</v>
      </c>
      <c r="L323" s="1" t="str">
        <f t="shared" si="2"/>
        <v>May</v>
      </c>
      <c r="M323" s="1" t="str">
        <f t="shared" si="3"/>
        <v>Loss</v>
      </c>
    </row>
    <row r="324" ht="14.25" customHeight="1">
      <c r="A324" s="1" t="s">
        <v>358</v>
      </c>
      <c r="B324" s="2">
        <v>44527.0</v>
      </c>
      <c r="C324" s="1" t="s">
        <v>30</v>
      </c>
      <c r="D324" s="1" t="s">
        <v>15</v>
      </c>
      <c r="E324" s="1" t="s">
        <v>54</v>
      </c>
      <c r="F324" s="1">
        <v>945.99</v>
      </c>
      <c r="G324" s="1">
        <v>91.69</v>
      </c>
      <c r="H324" s="1">
        <v>10.0</v>
      </c>
      <c r="I324" s="1" t="s">
        <v>17</v>
      </c>
      <c r="J324" s="1" t="s">
        <v>18</v>
      </c>
      <c r="K324" s="1">
        <f t="shared" si="1"/>
        <v>2021</v>
      </c>
      <c r="L324" s="1" t="str">
        <f t="shared" si="2"/>
        <v>Nov</v>
      </c>
      <c r="M324" s="1" t="str">
        <f t="shared" si="3"/>
        <v>Profit</v>
      </c>
    </row>
    <row r="325" ht="14.25" customHeight="1">
      <c r="A325" s="1" t="s">
        <v>359</v>
      </c>
      <c r="B325" s="2">
        <v>45042.0</v>
      </c>
      <c r="C325" s="1" t="s">
        <v>20</v>
      </c>
      <c r="D325" s="1" t="s">
        <v>27</v>
      </c>
      <c r="E325" s="1" t="s">
        <v>40</v>
      </c>
      <c r="F325" s="1">
        <v>655.76</v>
      </c>
      <c r="G325" s="1">
        <v>55.17</v>
      </c>
      <c r="H325" s="1">
        <v>5.0</v>
      </c>
      <c r="I325" s="1" t="s">
        <v>23</v>
      </c>
      <c r="J325" s="1" t="s">
        <v>35</v>
      </c>
      <c r="K325" s="1">
        <f t="shared" si="1"/>
        <v>2023</v>
      </c>
      <c r="L325" s="1" t="str">
        <f t="shared" si="2"/>
        <v>Apr</v>
      </c>
      <c r="M325" s="1" t="str">
        <f t="shared" si="3"/>
        <v>Profit</v>
      </c>
    </row>
    <row r="326" ht="14.25" customHeight="1">
      <c r="A326" s="1" t="s">
        <v>360</v>
      </c>
      <c r="B326" s="2">
        <v>44637.0</v>
      </c>
      <c r="C326" s="1" t="s">
        <v>26</v>
      </c>
      <c r="D326" s="1" t="s">
        <v>27</v>
      </c>
      <c r="E326" s="1" t="s">
        <v>40</v>
      </c>
      <c r="F326" s="1">
        <v>331.48</v>
      </c>
      <c r="G326" s="1">
        <v>-194.07</v>
      </c>
      <c r="H326" s="1">
        <v>7.0</v>
      </c>
      <c r="I326" s="1" t="s">
        <v>34</v>
      </c>
      <c r="J326" s="1" t="s">
        <v>24</v>
      </c>
      <c r="K326" s="1">
        <f t="shared" si="1"/>
        <v>2022</v>
      </c>
      <c r="L326" s="1" t="str">
        <f t="shared" si="2"/>
        <v>Mar</v>
      </c>
      <c r="M326" s="1" t="str">
        <f t="shared" si="3"/>
        <v>Loss</v>
      </c>
    </row>
    <row r="327" ht="14.25" customHeight="1">
      <c r="A327" s="1" t="s">
        <v>361</v>
      </c>
      <c r="B327" s="2">
        <v>44507.0</v>
      </c>
      <c r="C327" s="1" t="s">
        <v>20</v>
      </c>
      <c r="D327" s="1" t="s">
        <v>15</v>
      </c>
      <c r="E327" s="1" t="s">
        <v>16</v>
      </c>
      <c r="F327" s="1">
        <v>706.84</v>
      </c>
      <c r="G327" s="1">
        <v>249.63</v>
      </c>
      <c r="H327" s="1">
        <v>9.0</v>
      </c>
      <c r="I327" s="1" t="s">
        <v>23</v>
      </c>
      <c r="J327" s="1" t="s">
        <v>35</v>
      </c>
      <c r="K327" s="1">
        <f t="shared" si="1"/>
        <v>2021</v>
      </c>
      <c r="L327" s="1" t="str">
        <f t="shared" si="2"/>
        <v>Nov</v>
      </c>
      <c r="M327" s="1" t="str">
        <f t="shared" si="3"/>
        <v>Profit</v>
      </c>
    </row>
    <row r="328" ht="14.25" customHeight="1">
      <c r="A328" s="1" t="s">
        <v>362</v>
      </c>
      <c r="B328" s="2">
        <v>44826.0</v>
      </c>
      <c r="C328" s="1" t="s">
        <v>26</v>
      </c>
      <c r="D328" s="1" t="s">
        <v>21</v>
      </c>
      <c r="E328" s="1" t="s">
        <v>37</v>
      </c>
      <c r="F328" s="1">
        <v>747.16</v>
      </c>
      <c r="G328" s="1">
        <v>113.95</v>
      </c>
      <c r="H328" s="1">
        <v>4.0</v>
      </c>
      <c r="I328" s="1" t="s">
        <v>34</v>
      </c>
      <c r="J328" s="1" t="s">
        <v>24</v>
      </c>
      <c r="K328" s="1">
        <f t="shared" si="1"/>
        <v>2022</v>
      </c>
      <c r="L328" s="1" t="str">
        <f t="shared" si="2"/>
        <v>Sep</v>
      </c>
      <c r="M328" s="1" t="str">
        <f t="shared" si="3"/>
        <v>Profit</v>
      </c>
    </row>
    <row r="329" ht="14.25" customHeight="1">
      <c r="A329" s="1" t="s">
        <v>363</v>
      </c>
      <c r="B329" s="2">
        <v>44204.0</v>
      </c>
      <c r="C329" s="1" t="s">
        <v>20</v>
      </c>
      <c r="D329" s="1" t="s">
        <v>15</v>
      </c>
      <c r="E329" s="1" t="s">
        <v>16</v>
      </c>
      <c r="F329" s="1">
        <v>518.48</v>
      </c>
      <c r="G329" s="1">
        <v>75.57</v>
      </c>
      <c r="H329" s="1">
        <v>5.0</v>
      </c>
      <c r="I329" s="1" t="s">
        <v>34</v>
      </c>
      <c r="J329" s="1" t="s">
        <v>18</v>
      </c>
      <c r="K329" s="1">
        <f t="shared" si="1"/>
        <v>2021</v>
      </c>
      <c r="L329" s="1" t="str">
        <f t="shared" si="2"/>
        <v>Jan</v>
      </c>
      <c r="M329" s="1" t="str">
        <f t="shared" si="3"/>
        <v>Profit</v>
      </c>
    </row>
    <row r="330" ht="14.25" customHeight="1">
      <c r="A330" s="1" t="s">
        <v>364</v>
      </c>
      <c r="B330" s="2">
        <v>44456.0</v>
      </c>
      <c r="C330" s="1" t="s">
        <v>30</v>
      </c>
      <c r="D330" s="1" t="s">
        <v>27</v>
      </c>
      <c r="E330" s="1" t="s">
        <v>33</v>
      </c>
      <c r="F330" s="1">
        <v>733.06</v>
      </c>
      <c r="G330" s="1">
        <v>223.67</v>
      </c>
      <c r="H330" s="1">
        <v>3.0</v>
      </c>
      <c r="I330" s="1" t="s">
        <v>34</v>
      </c>
      <c r="J330" s="1" t="s">
        <v>24</v>
      </c>
      <c r="K330" s="1">
        <f t="shared" si="1"/>
        <v>2021</v>
      </c>
      <c r="L330" s="1" t="str">
        <f t="shared" si="2"/>
        <v>Sep</v>
      </c>
      <c r="M330" s="1" t="str">
        <f t="shared" si="3"/>
        <v>Profit</v>
      </c>
    </row>
    <row r="331" ht="14.25" customHeight="1">
      <c r="A331" s="1" t="s">
        <v>365</v>
      </c>
      <c r="B331" s="2">
        <v>45000.0</v>
      </c>
      <c r="C331" s="1" t="s">
        <v>26</v>
      </c>
      <c r="D331" s="1" t="s">
        <v>27</v>
      </c>
      <c r="E331" s="1" t="s">
        <v>40</v>
      </c>
      <c r="F331" s="1">
        <v>793.26</v>
      </c>
      <c r="G331" s="1">
        <v>-128.02</v>
      </c>
      <c r="H331" s="1">
        <v>9.0</v>
      </c>
      <c r="I331" s="1" t="s">
        <v>34</v>
      </c>
      <c r="J331" s="1" t="s">
        <v>35</v>
      </c>
      <c r="K331" s="1">
        <f t="shared" si="1"/>
        <v>2023</v>
      </c>
      <c r="L331" s="1" t="str">
        <f t="shared" si="2"/>
        <v>Mar</v>
      </c>
      <c r="M331" s="1" t="str">
        <f t="shared" si="3"/>
        <v>Loss</v>
      </c>
    </row>
    <row r="332" ht="14.25" customHeight="1">
      <c r="A332" s="1" t="s">
        <v>366</v>
      </c>
      <c r="B332" s="2">
        <v>44822.0</v>
      </c>
      <c r="C332" s="1" t="s">
        <v>14</v>
      </c>
      <c r="D332" s="1" t="s">
        <v>15</v>
      </c>
      <c r="E332" s="1" t="s">
        <v>16</v>
      </c>
      <c r="F332" s="1">
        <v>206.22</v>
      </c>
      <c r="G332" s="1">
        <v>297.97</v>
      </c>
      <c r="H332" s="1">
        <v>3.0</v>
      </c>
      <c r="I332" s="1" t="s">
        <v>23</v>
      </c>
      <c r="J332" s="1" t="s">
        <v>24</v>
      </c>
      <c r="K332" s="1">
        <f t="shared" si="1"/>
        <v>2022</v>
      </c>
      <c r="L332" s="1" t="str">
        <f t="shared" si="2"/>
        <v>Sep</v>
      </c>
      <c r="M332" s="1" t="str">
        <f t="shared" si="3"/>
        <v>Profit</v>
      </c>
    </row>
    <row r="333" ht="14.25" customHeight="1">
      <c r="A333" s="1" t="s">
        <v>367</v>
      </c>
      <c r="B333" s="2">
        <v>44571.0</v>
      </c>
      <c r="C333" s="1" t="s">
        <v>20</v>
      </c>
      <c r="D333" s="1" t="s">
        <v>21</v>
      </c>
      <c r="E333" s="1" t="s">
        <v>37</v>
      </c>
      <c r="F333" s="1">
        <v>591.1</v>
      </c>
      <c r="G333" s="1">
        <v>74.48</v>
      </c>
      <c r="H333" s="1">
        <v>8.0</v>
      </c>
      <c r="I333" s="1" t="s">
        <v>34</v>
      </c>
      <c r="J333" s="1" t="s">
        <v>18</v>
      </c>
      <c r="K333" s="1">
        <f t="shared" si="1"/>
        <v>2022</v>
      </c>
      <c r="L333" s="1" t="str">
        <f t="shared" si="2"/>
        <v>Jan</v>
      </c>
      <c r="M333" s="1" t="str">
        <f t="shared" si="3"/>
        <v>Profit</v>
      </c>
    </row>
    <row r="334" ht="14.25" customHeight="1">
      <c r="A334" s="1" t="s">
        <v>368</v>
      </c>
      <c r="B334" s="2">
        <v>44328.0</v>
      </c>
      <c r="C334" s="1" t="s">
        <v>30</v>
      </c>
      <c r="D334" s="1" t="s">
        <v>15</v>
      </c>
      <c r="E334" s="1" t="s">
        <v>31</v>
      </c>
      <c r="F334" s="1">
        <v>844.09</v>
      </c>
      <c r="G334" s="1">
        <v>-136.59</v>
      </c>
      <c r="H334" s="1">
        <v>1.0</v>
      </c>
      <c r="I334" s="1" t="s">
        <v>17</v>
      </c>
      <c r="J334" s="1" t="s">
        <v>18</v>
      </c>
      <c r="K334" s="1">
        <f t="shared" si="1"/>
        <v>2021</v>
      </c>
      <c r="L334" s="1" t="str">
        <f t="shared" si="2"/>
        <v>May</v>
      </c>
      <c r="M334" s="1" t="str">
        <f t="shared" si="3"/>
        <v>Loss</v>
      </c>
    </row>
    <row r="335" ht="14.25" customHeight="1">
      <c r="A335" s="1" t="s">
        <v>369</v>
      </c>
      <c r="B335" s="2">
        <v>44223.0</v>
      </c>
      <c r="C335" s="1" t="s">
        <v>20</v>
      </c>
      <c r="D335" s="1" t="s">
        <v>15</v>
      </c>
      <c r="E335" s="1" t="s">
        <v>31</v>
      </c>
      <c r="F335" s="1">
        <v>226.01</v>
      </c>
      <c r="G335" s="1">
        <v>-144.09</v>
      </c>
      <c r="H335" s="1">
        <v>5.0</v>
      </c>
      <c r="I335" s="1" t="s">
        <v>17</v>
      </c>
      <c r="J335" s="1" t="s">
        <v>38</v>
      </c>
      <c r="K335" s="1">
        <f t="shared" si="1"/>
        <v>2021</v>
      </c>
      <c r="L335" s="1" t="str">
        <f t="shared" si="2"/>
        <v>Jan</v>
      </c>
      <c r="M335" s="1" t="str">
        <f t="shared" si="3"/>
        <v>Loss</v>
      </c>
    </row>
    <row r="336" ht="14.25" customHeight="1">
      <c r="A336" s="1" t="s">
        <v>370</v>
      </c>
      <c r="B336" s="2">
        <v>44383.0</v>
      </c>
      <c r="C336" s="1" t="s">
        <v>14</v>
      </c>
      <c r="D336" s="1" t="s">
        <v>27</v>
      </c>
      <c r="E336" s="1" t="s">
        <v>33</v>
      </c>
      <c r="F336" s="1">
        <v>391.14</v>
      </c>
      <c r="G336" s="1">
        <v>0.0</v>
      </c>
      <c r="H336" s="1">
        <v>3.0</v>
      </c>
      <c r="I336" s="1" t="s">
        <v>23</v>
      </c>
      <c r="J336" s="1" t="s">
        <v>38</v>
      </c>
      <c r="K336" s="1">
        <f t="shared" si="1"/>
        <v>2021</v>
      </c>
      <c r="L336" s="1" t="str">
        <f t="shared" si="2"/>
        <v>Jul</v>
      </c>
      <c r="M336" s="1" t="str">
        <f t="shared" si="3"/>
        <v>Profit</v>
      </c>
    </row>
    <row r="337" ht="14.25" customHeight="1">
      <c r="A337" s="1" t="s">
        <v>371</v>
      </c>
      <c r="B337" s="2">
        <v>44648.0</v>
      </c>
      <c r="C337" s="1" t="s">
        <v>26</v>
      </c>
      <c r="D337" s="1" t="s">
        <v>15</v>
      </c>
      <c r="E337" s="1" t="s">
        <v>16</v>
      </c>
      <c r="F337" s="1">
        <v>115.53</v>
      </c>
      <c r="G337" s="1">
        <v>-194.82</v>
      </c>
      <c r="H337" s="1">
        <v>9.0</v>
      </c>
      <c r="I337" s="1" t="s">
        <v>23</v>
      </c>
      <c r="J337" s="1" t="s">
        <v>38</v>
      </c>
      <c r="K337" s="1">
        <f t="shared" si="1"/>
        <v>2022</v>
      </c>
      <c r="L337" s="1" t="str">
        <f t="shared" si="2"/>
        <v>Mar</v>
      </c>
      <c r="M337" s="1" t="str">
        <f t="shared" si="3"/>
        <v>Loss</v>
      </c>
    </row>
    <row r="338" ht="14.25" customHeight="1">
      <c r="A338" s="1" t="s">
        <v>372</v>
      </c>
      <c r="B338" s="2">
        <v>44475.0</v>
      </c>
      <c r="C338" s="1" t="s">
        <v>20</v>
      </c>
      <c r="D338" s="1" t="s">
        <v>15</v>
      </c>
      <c r="E338" s="1" t="s">
        <v>16</v>
      </c>
      <c r="F338" s="1">
        <v>812.64</v>
      </c>
      <c r="G338" s="1">
        <v>214.0</v>
      </c>
      <c r="H338" s="1">
        <v>5.0</v>
      </c>
      <c r="I338" s="1" t="s">
        <v>23</v>
      </c>
      <c r="J338" s="1" t="s">
        <v>38</v>
      </c>
      <c r="K338" s="1">
        <f t="shared" si="1"/>
        <v>2021</v>
      </c>
      <c r="L338" s="1" t="str">
        <f t="shared" si="2"/>
        <v>Oct</v>
      </c>
      <c r="M338" s="1" t="str">
        <f t="shared" si="3"/>
        <v>Profit</v>
      </c>
    </row>
    <row r="339" ht="14.25" customHeight="1">
      <c r="A339" s="1" t="s">
        <v>373</v>
      </c>
      <c r="B339" s="2">
        <v>44945.0</v>
      </c>
      <c r="C339" s="1" t="s">
        <v>26</v>
      </c>
      <c r="D339" s="1" t="s">
        <v>15</v>
      </c>
      <c r="E339" s="1" t="s">
        <v>54</v>
      </c>
      <c r="F339" s="1">
        <v>965.8</v>
      </c>
      <c r="G339" s="1">
        <v>265.64</v>
      </c>
      <c r="H339" s="1">
        <v>7.0</v>
      </c>
      <c r="I339" s="1" t="s">
        <v>17</v>
      </c>
      <c r="J339" s="1" t="s">
        <v>24</v>
      </c>
      <c r="K339" s="1">
        <f t="shared" si="1"/>
        <v>2023</v>
      </c>
      <c r="L339" s="1" t="str">
        <f t="shared" si="2"/>
        <v>Jan</v>
      </c>
      <c r="M339" s="1" t="str">
        <f t="shared" si="3"/>
        <v>Profit</v>
      </c>
    </row>
    <row r="340" ht="14.25" customHeight="1">
      <c r="A340" s="1" t="s">
        <v>374</v>
      </c>
      <c r="B340" s="2">
        <v>44946.0</v>
      </c>
      <c r="C340" s="1" t="s">
        <v>14</v>
      </c>
      <c r="D340" s="1" t="s">
        <v>15</v>
      </c>
      <c r="E340" s="1" t="s">
        <v>31</v>
      </c>
      <c r="F340" s="1">
        <v>915.52</v>
      </c>
      <c r="G340" s="1">
        <v>-172.32</v>
      </c>
      <c r="H340" s="1">
        <v>7.0</v>
      </c>
      <c r="I340" s="1" t="s">
        <v>17</v>
      </c>
      <c r="J340" s="1" t="s">
        <v>38</v>
      </c>
      <c r="K340" s="1">
        <f t="shared" si="1"/>
        <v>2023</v>
      </c>
      <c r="L340" s="1" t="str">
        <f t="shared" si="2"/>
        <v>Jan</v>
      </c>
      <c r="M340" s="1" t="str">
        <f t="shared" si="3"/>
        <v>Loss</v>
      </c>
    </row>
    <row r="341" ht="14.25" customHeight="1">
      <c r="A341" s="1" t="s">
        <v>375</v>
      </c>
      <c r="B341" s="2">
        <v>44255.0</v>
      </c>
      <c r="C341" s="1" t="s">
        <v>30</v>
      </c>
      <c r="D341" s="1" t="s">
        <v>27</v>
      </c>
      <c r="E341" s="1" t="s">
        <v>28</v>
      </c>
      <c r="F341" s="1">
        <v>584.37</v>
      </c>
      <c r="G341" s="1">
        <v>24.27</v>
      </c>
      <c r="H341" s="1">
        <v>2.0</v>
      </c>
      <c r="I341" s="1" t="s">
        <v>23</v>
      </c>
      <c r="J341" s="1" t="s">
        <v>24</v>
      </c>
      <c r="K341" s="1">
        <f t="shared" si="1"/>
        <v>2021</v>
      </c>
      <c r="L341" s="1" t="str">
        <f t="shared" si="2"/>
        <v>Feb</v>
      </c>
      <c r="M341" s="1" t="str">
        <f t="shared" si="3"/>
        <v>Profit</v>
      </c>
    </row>
    <row r="342" ht="14.25" customHeight="1">
      <c r="A342" s="1" t="s">
        <v>376</v>
      </c>
      <c r="B342" s="2">
        <v>44415.0</v>
      </c>
      <c r="C342" s="1" t="s">
        <v>20</v>
      </c>
      <c r="D342" s="1" t="s">
        <v>21</v>
      </c>
      <c r="E342" s="1" t="s">
        <v>37</v>
      </c>
      <c r="F342" s="1">
        <v>238.34</v>
      </c>
      <c r="G342" s="1">
        <v>132.37</v>
      </c>
      <c r="H342" s="1">
        <v>9.0</v>
      </c>
      <c r="I342" s="1" t="s">
        <v>34</v>
      </c>
      <c r="J342" s="1" t="s">
        <v>35</v>
      </c>
      <c r="K342" s="1">
        <f t="shared" si="1"/>
        <v>2021</v>
      </c>
      <c r="L342" s="1" t="str">
        <f t="shared" si="2"/>
        <v>Aug</v>
      </c>
      <c r="M342" s="1" t="str">
        <f t="shared" si="3"/>
        <v>Profit</v>
      </c>
    </row>
    <row r="343" ht="14.25" customHeight="1">
      <c r="A343" s="1" t="s">
        <v>377</v>
      </c>
      <c r="B343" s="2">
        <v>44624.0</v>
      </c>
      <c r="C343" s="1" t="s">
        <v>20</v>
      </c>
      <c r="D343" s="1" t="s">
        <v>15</v>
      </c>
      <c r="E343" s="1" t="s">
        <v>54</v>
      </c>
      <c r="F343" s="1">
        <v>182.89</v>
      </c>
      <c r="G343" s="1">
        <v>293.82</v>
      </c>
      <c r="H343" s="1">
        <v>8.0</v>
      </c>
      <c r="I343" s="1" t="s">
        <v>23</v>
      </c>
      <c r="J343" s="1" t="s">
        <v>38</v>
      </c>
      <c r="K343" s="1">
        <f t="shared" si="1"/>
        <v>2022</v>
      </c>
      <c r="L343" s="1" t="str">
        <f t="shared" si="2"/>
        <v>Mar</v>
      </c>
      <c r="M343" s="1" t="str">
        <f t="shared" si="3"/>
        <v>Profit</v>
      </c>
    </row>
    <row r="344" ht="14.25" customHeight="1">
      <c r="A344" s="1" t="s">
        <v>378</v>
      </c>
      <c r="B344" s="2">
        <v>44425.0</v>
      </c>
      <c r="C344" s="1" t="s">
        <v>14</v>
      </c>
      <c r="D344" s="1" t="s">
        <v>21</v>
      </c>
      <c r="E344" s="1" t="s">
        <v>37</v>
      </c>
      <c r="F344" s="1">
        <v>897.1</v>
      </c>
      <c r="G344" s="1">
        <v>-64.15</v>
      </c>
      <c r="H344" s="1">
        <v>1.0</v>
      </c>
      <c r="I344" s="1" t="s">
        <v>17</v>
      </c>
      <c r="J344" s="1" t="s">
        <v>24</v>
      </c>
      <c r="K344" s="1">
        <f t="shared" si="1"/>
        <v>2021</v>
      </c>
      <c r="L344" s="1" t="str">
        <f t="shared" si="2"/>
        <v>Aug</v>
      </c>
      <c r="M344" s="1" t="str">
        <f t="shared" si="3"/>
        <v>Loss</v>
      </c>
    </row>
    <row r="345" ht="14.25" customHeight="1">
      <c r="A345" s="1" t="s">
        <v>379</v>
      </c>
      <c r="B345" s="2">
        <v>45024.0</v>
      </c>
      <c r="C345" s="1" t="s">
        <v>30</v>
      </c>
      <c r="D345" s="1" t="s">
        <v>27</v>
      </c>
      <c r="E345" s="1" t="s">
        <v>33</v>
      </c>
      <c r="F345" s="1">
        <v>780.17</v>
      </c>
      <c r="G345" s="1">
        <v>-159.07</v>
      </c>
      <c r="H345" s="1">
        <v>9.0</v>
      </c>
      <c r="I345" s="1" t="s">
        <v>23</v>
      </c>
      <c r="J345" s="1" t="s">
        <v>38</v>
      </c>
      <c r="K345" s="1">
        <f t="shared" si="1"/>
        <v>2023</v>
      </c>
      <c r="L345" s="1" t="str">
        <f t="shared" si="2"/>
        <v>Apr</v>
      </c>
      <c r="M345" s="1" t="str">
        <f t="shared" si="3"/>
        <v>Loss</v>
      </c>
    </row>
    <row r="346" ht="14.25" customHeight="1">
      <c r="A346" s="1" t="s">
        <v>380</v>
      </c>
      <c r="B346" s="2">
        <v>44721.0</v>
      </c>
      <c r="C346" s="1" t="s">
        <v>26</v>
      </c>
      <c r="D346" s="1" t="s">
        <v>27</v>
      </c>
      <c r="E346" s="1" t="s">
        <v>40</v>
      </c>
      <c r="F346" s="1">
        <v>200.94</v>
      </c>
      <c r="G346" s="1">
        <v>18.73</v>
      </c>
      <c r="H346" s="1">
        <v>2.0</v>
      </c>
      <c r="I346" s="1" t="s">
        <v>34</v>
      </c>
      <c r="J346" s="1" t="s">
        <v>38</v>
      </c>
      <c r="K346" s="1">
        <f t="shared" si="1"/>
        <v>2022</v>
      </c>
      <c r="L346" s="1" t="str">
        <f t="shared" si="2"/>
        <v>Jun</v>
      </c>
      <c r="M346" s="1" t="str">
        <f t="shared" si="3"/>
        <v>Profit</v>
      </c>
    </row>
    <row r="347" ht="14.25" customHeight="1">
      <c r="A347" s="1" t="s">
        <v>381</v>
      </c>
      <c r="B347" s="2">
        <v>44584.0</v>
      </c>
      <c r="C347" s="1" t="s">
        <v>26</v>
      </c>
      <c r="D347" s="1" t="s">
        <v>15</v>
      </c>
      <c r="E347" s="1" t="s">
        <v>54</v>
      </c>
      <c r="F347" s="1">
        <v>160.65</v>
      </c>
      <c r="G347" s="1">
        <v>97.22</v>
      </c>
      <c r="H347" s="1">
        <v>7.0</v>
      </c>
      <c r="I347" s="1" t="s">
        <v>34</v>
      </c>
      <c r="J347" s="1" t="s">
        <v>38</v>
      </c>
      <c r="K347" s="1">
        <f t="shared" si="1"/>
        <v>2022</v>
      </c>
      <c r="L347" s="1" t="str">
        <f t="shared" si="2"/>
        <v>Jan</v>
      </c>
      <c r="M347" s="1" t="str">
        <f t="shared" si="3"/>
        <v>Profit</v>
      </c>
    </row>
    <row r="348" ht="14.25" customHeight="1">
      <c r="A348" s="1" t="s">
        <v>382</v>
      </c>
      <c r="B348" s="2">
        <v>44884.0</v>
      </c>
      <c r="C348" s="1" t="s">
        <v>20</v>
      </c>
      <c r="D348" s="1" t="s">
        <v>15</v>
      </c>
      <c r="E348" s="1" t="s">
        <v>54</v>
      </c>
      <c r="F348" s="1">
        <v>152.02</v>
      </c>
      <c r="G348" s="1">
        <v>147.44</v>
      </c>
      <c r="H348" s="1">
        <v>4.0</v>
      </c>
      <c r="I348" s="1" t="s">
        <v>17</v>
      </c>
      <c r="J348" s="1" t="s">
        <v>38</v>
      </c>
      <c r="K348" s="1">
        <f t="shared" si="1"/>
        <v>2022</v>
      </c>
      <c r="L348" s="1" t="str">
        <f t="shared" si="2"/>
        <v>Nov</v>
      </c>
      <c r="M348" s="1" t="str">
        <f t="shared" si="3"/>
        <v>Profit</v>
      </c>
    </row>
    <row r="349" ht="14.25" customHeight="1">
      <c r="A349" s="1" t="s">
        <v>383</v>
      </c>
      <c r="B349" s="2">
        <v>44683.0</v>
      </c>
      <c r="C349" s="1" t="s">
        <v>26</v>
      </c>
      <c r="D349" s="1" t="s">
        <v>27</v>
      </c>
      <c r="E349" s="1" t="s">
        <v>28</v>
      </c>
      <c r="F349" s="1">
        <v>395.64</v>
      </c>
      <c r="G349" s="1">
        <v>-188.88</v>
      </c>
      <c r="H349" s="1">
        <v>8.0</v>
      </c>
      <c r="I349" s="1" t="s">
        <v>34</v>
      </c>
      <c r="J349" s="1" t="s">
        <v>38</v>
      </c>
      <c r="K349" s="1">
        <f t="shared" si="1"/>
        <v>2022</v>
      </c>
      <c r="L349" s="1" t="str">
        <f t="shared" si="2"/>
        <v>May</v>
      </c>
      <c r="M349" s="1" t="str">
        <f t="shared" si="3"/>
        <v>Loss</v>
      </c>
    </row>
    <row r="350" ht="14.25" customHeight="1">
      <c r="A350" s="1" t="s">
        <v>384</v>
      </c>
      <c r="B350" s="2">
        <v>44864.0</v>
      </c>
      <c r="C350" s="1" t="s">
        <v>14</v>
      </c>
      <c r="D350" s="1" t="s">
        <v>15</v>
      </c>
      <c r="E350" s="1" t="s">
        <v>54</v>
      </c>
      <c r="F350" s="1">
        <v>91.81</v>
      </c>
      <c r="G350" s="1">
        <v>14.62</v>
      </c>
      <c r="H350" s="1">
        <v>7.0</v>
      </c>
      <c r="I350" s="1" t="s">
        <v>34</v>
      </c>
      <c r="J350" s="1" t="s">
        <v>38</v>
      </c>
      <c r="K350" s="1">
        <f t="shared" si="1"/>
        <v>2022</v>
      </c>
      <c r="L350" s="1" t="str">
        <f t="shared" si="2"/>
        <v>Oct</v>
      </c>
      <c r="M350" s="1" t="str">
        <f t="shared" si="3"/>
        <v>Profit</v>
      </c>
    </row>
    <row r="351" ht="14.25" customHeight="1">
      <c r="A351" s="1" t="s">
        <v>385</v>
      </c>
      <c r="B351" s="2">
        <v>45050.0</v>
      </c>
      <c r="C351" s="1" t="s">
        <v>30</v>
      </c>
      <c r="D351" s="1" t="s">
        <v>15</v>
      </c>
      <c r="E351" s="1" t="s">
        <v>31</v>
      </c>
      <c r="F351" s="1">
        <v>493.55</v>
      </c>
      <c r="G351" s="1">
        <v>280.13</v>
      </c>
      <c r="H351" s="1">
        <v>3.0</v>
      </c>
      <c r="I351" s="1" t="s">
        <v>17</v>
      </c>
      <c r="J351" s="1" t="s">
        <v>24</v>
      </c>
      <c r="K351" s="1">
        <f t="shared" si="1"/>
        <v>2023</v>
      </c>
      <c r="L351" s="1" t="str">
        <f t="shared" si="2"/>
        <v>May</v>
      </c>
      <c r="M351" s="1" t="str">
        <f t="shared" si="3"/>
        <v>Profit</v>
      </c>
    </row>
    <row r="352" ht="14.25" customHeight="1">
      <c r="A352" s="1" t="s">
        <v>386</v>
      </c>
      <c r="B352" s="2">
        <v>44376.0</v>
      </c>
      <c r="C352" s="1" t="s">
        <v>14</v>
      </c>
      <c r="D352" s="1" t="s">
        <v>21</v>
      </c>
      <c r="E352" s="1" t="s">
        <v>76</v>
      </c>
      <c r="F352" s="1">
        <v>389.16</v>
      </c>
      <c r="G352" s="1">
        <v>201.54</v>
      </c>
      <c r="H352" s="1">
        <v>7.0</v>
      </c>
      <c r="I352" s="1" t="s">
        <v>17</v>
      </c>
      <c r="J352" s="1" t="s">
        <v>18</v>
      </c>
      <c r="K352" s="1">
        <f t="shared" si="1"/>
        <v>2021</v>
      </c>
      <c r="L352" s="1" t="str">
        <f t="shared" si="2"/>
        <v>Jun</v>
      </c>
      <c r="M352" s="1" t="str">
        <f t="shared" si="3"/>
        <v>Profit</v>
      </c>
    </row>
    <row r="353" ht="14.25" customHeight="1">
      <c r="A353" s="1" t="s">
        <v>387</v>
      </c>
      <c r="B353" s="2">
        <v>45258.0</v>
      </c>
      <c r="C353" s="1" t="s">
        <v>26</v>
      </c>
      <c r="D353" s="1" t="s">
        <v>27</v>
      </c>
      <c r="E353" s="1" t="s">
        <v>33</v>
      </c>
      <c r="F353" s="1">
        <v>804.17</v>
      </c>
      <c r="G353" s="1">
        <v>27.08</v>
      </c>
      <c r="H353" s="1">
        <v>5.0</v>
      </c>
      <c r="I353" s="1" t="s">
        <v>34</v>
      </c>
      <c r="J353" s="1" t="s">
        <v>35</v>
      </c>
      <c r="K353" s="1">
        <f t="shared" si="1"/>
        <v>2023</v>
      </c>
      <c r="L353" s="1" t="str">
        <f t="shared" si="2"/>
        <v>Nov</v>
      </c>
      <c r="M353" s="1" t="str">
        <f t="shared" si="3"/>
        <v>Profit</v>
      </c>
    </row>
    <row r="354" ht="14.25" customHeight="1">
      <c r="A354" s="1" t="s">
        <v>388</v>
      </c>
      <c r="B354" s="2">
        <v>44487.0</v>
      </c>
      <c r="C354" s="1" t="s">
        <v>14</v>
      </c>
      <c r="D354" s="1" t="s">
        <v>21</v>
      </c>
      <c r="E354" s="1" t="s">
        <v>76</v>
      </c>
      <c r="F354" s="1">
        <v>527.42</v>
      </c>
      <c r="G354" s="1">
        <v>-132.13</v>
      </c>
      <c r="H354" s="1">
        <v>3.0</v>
      </c>
      <c r="I354" s="1" t="s">
        <v>17</v>
      </c>
      <c r="J354" s="1" t="s">
        <v>18</v>
      </c>
      <c r="K354" s="1">
        <f t="shared" si="1"/>
        <v>2021</v>
      </c>
      <c r="L354" s="1" t="str">
        <f t="shared" si="2"/>
        <v>Oct</v>
      </c>
      <c r="M354" s="1" t="str">
        <f t="shared" si="3"/>
        <v>Loss</v>
      </c>
    </row>
    <row r="355" ht="14.25" customHeight="1">
      <c r="A355" s="1" t="s">
        <v>389</v>
      </c>
      <c r="B355" s="2">
        <v>44593.0</v>
      </c>
      <c r="C355" s="1" t="s">
        <v>30</v>
      </c>
      <c r="D355" s="1" t="s">
        <v>15</v>
      </c>
      <c r="E355" s="1" t="s">
        <v>54</v>
      </c>
      <c r="F355" s="1">
        <v>680.41</v>
      </c>
      <c r="G355" s="1">
        <v>208.91</v>
      </c>
      <c r="H355" s="1">
        <v>5.0</v>
      </c>
      <c r="I355" s="1" t="s">
        <v>34</v>
      </c>
      <c r="J355" s="1" t="s">
        <v>18</v>
      </c>
      <c r="K355" s="1">
        <f t="shared" si="1"/>
        <v>2022</v>
      </c>
      <c r="L355" s="1" t="str">
        <f t="shared" si="2"/>
        <v>Feb</v>
      </c>
      <c r="M355" s="1" t="str">
        <f t="shared" si="3"/>
        <v>Profit</v>
      </c>
    </row>
    <row r="356" ht="14.25" customHeight="1">
      <c r="A356" s="1" t="s">
        <v>390</v>
      </c>
      <c r="B356" s="2">
        <v>44453.0</v>
      </c>
      <c r="C356" s="1" t="s">
        <v>20</v>
      </c>
      <c r="D356" s="1" t="s">
        <v>21</v>
      </c>
      <c r="E356" s="1" t="s">
        <v>22</v>
      </c>
      <c r="F356" s="1">
        <v>219.88</v>
      </c>
      <c r="G356" s="1">
        <v>160.44</v>
      </c>
      <c r="H356" s="1">
        <v>6.0</v>
      </c>
      <c r="I356" s="1" t="s">
        <v>17</v>
      </c>
      <c r="J356" s="1" t="s">
        <v>38</v>
      </c>
      <c r="K356" s="1">
        <f t="shared" si="1"/>
        <v>2021</v>
      </c>
      <c r="L356" s="1" t="str">
        <f t="shared" si="2"/>
        <v>Sep</v>
      </c>
      <c r="M356" s="1" t="str">
        <f t="shared" si="3"/>
        <v>Profit</v>
      </c>
    </row>
    <row r="357" ht="14.25" customHeight="1">
      <c r="A357" s="1" t="s">
        <v>391</v>
      </c>
      <c r="B357" s="2">
        <v>44305.0</v>
      </c>
      <c r="C357" s="1" t="s">
        <v>20</v>
      </c>
      <c r="D357" s="1" t="s">
        <v>15</v>
      </c>
      <c r="E357" s="1" t="s">
        <v>31</v>
      </c>
      <c r="F357" s="1">
        <v>306.14</v>
      </c>
      <c r="G357" s="1">
        <v>141.83</v>
      </c>
      <c r="H357" s="1">
        <v>10.0</v>
      </c>
      <c r="I357" s="1" t="s">
        <v>34</v>
      </c>
      <c r="J357" s="1" t="s">
        <v>35</v>
      </c>
      <c r="K357" s="1">
        <f t="shared" si="1"/>
        <v>2021</v>
      </c>
      <c r="L357" s="1" t="str">
        <f t="shared" si="2"/>
        <v>Apr</v>
      </c>
      <c r="M357" s="1" t="str">
        <f t="shared" si="3"/>
        <v>Profit</v>
      </c>
    </row>
    <row r="358" ht="14.25" customHeight="1">
      <c r="A358" s="1" t="s">
        <v>392</v>
      </c>
      <c r="B358" s="2">
        <v>45222.0</v>
      </c>
      <c r="C358" s="1" t="s">
        <v>14</v>
      </c>
      <c r="D358" s="1" t="s">
        <v>21</v>
      </c>
      <c r="E358" s="1" t="s">
        <v>76</v>
      </c>
      <c r="F358" s="1">
        <v>278.71</v>
      </c>
      <c r="G358" s="1">
        <v>109.09</v>
      </c>
      <c r="H358" s="1">
        <v>8.0</v>
      </c>
      <c r="I358" s="1" t="s">
        <v>23</v>
      </c>
      <c r="J358" s="1" t="s">
        <v>35</v>
      </c>
      <c r="K358" s="1">
        <f t="shared" si="1"/>
        <v>2023</v>
      </c>
      <c r="L358" s="1" t="str">
        <f t="shared" si="2"/>
        <v>Oct</v>
      </c>
      <c r="M358" s="1" t="str">
        <f t="shared" si="3"/>
        <v>Profit</v>
      </c>
    </row>
    <row r="359" ht="14.25" customHeight="1">
      <c r="A359" s="1" t="s">
        <v>393</v>
      </c>
      <c r="B359" s="2">
        <v>44496.0</v>
      </c>
      <c r="C359" s="1" t="s">
        <v>20</v>
      </c>
      <c r="D359" s="1" t="s">
        <v>15</v>
      </c>
      <c r="E359" s="1" t="s">
        <v>31</v>
      </c>
      <c r="F359" s="1">
        <v>310.22</v>
      </c>
      <c r="G359" s="1">
        <v>245.88</v>
      </c>
      <c r="H359" s="1">
        <v>1.0</v>
      </c>
      <c r="I359" s="1" t="s">
        <v>17</v>
      </c>
      <c r="J359" s="1" t="s">
        <v>38</v>
      </c>
      <c r="K359" s="1">
        <f t="shared" si="1"/>
        <v>2021</v>
      </c>
      <c r="L359" s="1" t="str">
        <f t="shared" si="2"/>
        <v>Oct</v>
      </c>
      <c r="M359" s="1" t="str">
        <f t="shared" si="3"/>
        <v>Profit</v>
      </c>
    </row>
    <row r="360" ht="14.25" customHeight="1">
      <c r="A360" s="1" t="s">
        <v>394</v>
      </c>
      <c r="B360" s="2">
        <v>44909.0</v>
      </c>
      <c r="C360" s="1" t="s">
        <v>20</v>
      </c>
      <c r="D360" s="1" t="s">
        <v>15</v>
      </c>
      <c r="E360" s="1" t="s">
        <v>31</v>
      </c>
      <c r="F360" s="1">
        <v>851.5</v>
      </c>
      <c r="G360" s="1">
        <v>-31.82</v>
      </c>
      <c r="H360" s="1">
        <v>9.0</v>
      </c>
      <c r="I360" s="1" t="s">
        <v>23</v>
      </c>
      <c r="J360" s="1" t="s">
        <v>18</v>
      </c>
      <c r="K360" s="1">
        <f t="shared" si="1"/>
        <v>2022</v>
      </c>
      <c r="L360" s="1" t="str">
        <f t="shared" si="2"/>
        <v>Dec</v>
      </c>
      <c r="M360" s="1" t="str">
        <f t="shared" si="3"/>
        <v>Loss</v>
      </c>
    </row>
    <row r="361" ht="14.25" customHeight="1">
      <c r="A361" s="1" t="s">
        <v>395</v>
      </c>
      <c r="B361" s="2">
        <v>44582.0</v>
      </c>
      <c r="C361" s="1" t="s">
        <v>20</v>
      </c>
      <c r="D361" s="1" t="s">
        <v>27</v>
      </c>
      <c r="E361" s="1" t="s">
        <v>40</v>
      </c>
      <c r="F361" s="1">
        <v>983.37</v>
      </c>
      <c r="G361" s="1">
        <v>93.12</v>
      </c>
      <c r="H361" s="1">
        <v>10.0</v>
      </c>
      <c r="I361" s="1" t="s">
        <v>34</v>
      </c>
      <c r="J361" s="1" t="s">
        <v>24</v>
      </c>
      <c r="K361" s="1">
        <f t="shared" si="1"/>
        <v>2022</v>
      </c>
      <c r="L361" s="1" t="str">
        <f t="shared" si="2"/>
        <v>Jan</v>
      </c>
      <c r="M361" s="1" t="str">
        <f t="shared" si="3"/>
        <v>Profit</v>
      </c>
    </row>
    <row r="362" ht="14.25" customHeight="1">
      <c r="A362" s="1" t="s">
        <v>396</v>
      </c>
      <c r="B362" s="2">
        <v>44592.0</v>
      </c>
      <c r="C362" s="1" t="s">
        <v>20</v>
      </c>
      <c r="D362" s="1" t="s">
        <v>15</v>
      </c>
      <c r="E362" s="1" t="s">
        <v>31</v>
      </c>
      <c r="F362" s="1">
        <v>942.37</v>
      </c>
      <c r="G362" s="1">
        <v>-150.27</v>
      </c>
      <c r="H362" s="1">
        <v>2.0</v>
      </c>
      <c r="I362" s="1" t="s">
        <v>17</v>
      </c>
      <c r="J362" s="1" t="s">
        <v>24</v>
      </c>
      <c r="K362" s="1">
        <f t="shared" si="1"/>
        <v>2022</v>
      </c>
      <c r="L362" s="1" t="str">
        <f t="shared" si="2"/>
        <v>Jan</v>
      </c>
      <c r="M362" s="1" t="str">
        <f t="shared" si="3"/>
        <v>Loss</v>
      </c>
    </row>
    <row r="363" ht="14.25" customHeight="1">
      <c r="A363" s="1" t="s">
        <v>397</v>
      </c>
      <c r="B363" s="2">
        <v>44308.0</v>
      </c>
      <c r="C363" s="1" t="s">
        <v>20</v>
      </c>
      <c r="D363" s="1" t="s">
        <v>15</v>
      </c>
      <c r="E363" s="1" t="s">
        <v>54</v>
      </c>
      <c r="F363" s="1">
        <v>650.93</v>
      </c>
      <c r="G363" s="1">
        <v>-75.22</v>
      </c>
      <c r="H363" s="1">
        <v>10.0</v>
      </c>
      <c r="I363" s="1" t="s">
        <v>23</v>
      </c>
      <c r="J363" s="1" t="s">
        <v>38</v>
      </c>
      <c r="K363" s="1">
        <f t="shared" si="1"/>
        <v>2021</v>
      </c>
      <c r="L363" s="1" t="str">
        <f t="shared" si="2"/>
        <v>Apr</v>
      </c>
      <c r="M363" s="1" t="str">
        <f t="shared" si="3"/>
        <v>Loss</v>
      </c>
    </row>
    <row r="364" ht="14.25" customHeight="1">
      <c r="A364" s="1" t="s">
        <v>398</v>
      </c>
      <c r="B364" s="2">
        <v>45008.0</v>
      </c>
      <c r="C364" s="1" t="s">
        <v>30</v>
      </c>
      <c r="D364" s="1" t="s">
        <v>21</v>
      </c>
      <c r="E364" s="1" t="s">
        <v>22</v>
      </c>
      <c r="F364" s="1">
        <v>507.57</v>
      </c>
      <c r="G364" s="1">
        <v>-190.62</v>
      </c>
      <c r="H364" s="1">
        <v>7.0</v>
      </c>
      <c r="I364" s="1" t="s">
        <v>23</v>
      </c>
      <c r="J364" s="1" t="s">
        <v>38</v>
      </c>
      <c r="K364" s="1">
        <f t="shared" si="1"/>
        <v>2023</v>
      </c>
      <c r="L364" s="1" t="str">
        <f t="shared" si="2"/>
        <v>Mar</v>
      </c>
      <c r="M364" s="1" t="str">
        <f t="shared" si="3"/>
        <v>Loss</v>
      </c>
    </row>
    <row r="365" ht="14.25" customHeight="1">
      <c r="A365" s="1" t="s">
        <v>399</v>
      </c>
      <c r="B365" s="2">
        <v>45232.0</v>
      </c>
      <c r="C365" s="1" t="s">
        <v>14</v>
      </c>
      <c r="D365" s="1" t="s">
        <v>27</v>
      </c>
      <c r="E365" s="1" t="s">
        <v>33</v>
      </c>
      <c r="F365" s="1">
        <v>51.06</v>
      </c>
      <c r="G365" s="1">
        <v>0.69</v>
      </c>
      <c r="H365" s="1">
        <v>7.0</v>
      </c>
      <c r="I365" s="1" t="s">
        <v>23</v>
      </c>
      <c r="J365" s="1" t="s">
        <v>38</v>
      </c>
      <c r="K365" s="1">
        <f t="shared" si="1"/>
        <v>2023</v>
      </c>
      <c r="L365" s="1" t="str">
        <f t="shared" si="2"/>
        <v>Nov</v>
      </c>
      <c r="M365" s="1" t="str">
        <f t="shared" si="3"/>
        <v>Profit</v>
      </c>
    </row>
    <row r="366" ht="14.25" customHeight="1">
      <c r="A366" s="1" t="s">
        <v>400</v>
      </c>
      <c r="B366" s="2">
        <v>44320.0</v>
      </c>
      <c r="C366" s="1" t="s">
        <v>30</v>
      </c>
      <c r="D366" s="1" t="s">
        <v>21</v>
      </c>
      <c r="E366" s="1" t="s">
        <v>22</v>
      </c>
      <c r="F366" s="1">
        <v>43.35</v>
      </c>
      <c r="G366" s="1">
        <v>-180.96</v>
      </c>
      <c r="H366" s="1">
        <v>7.0</v>
      </c>
      <c r="I366" s="1" t="s">
        <v>17</v>
      </c>
      <c r="J366" s="1" t="s">
        <v>35</v>
      </c>
      <c r="K366" s="1">
        <f t="shared" si="1"/>
        <v>2021</v>
      </c>
      <c r="L366" s="1" t="str">
        <f t="shared" si="2"/>
        <v>May</v>
      </c>
      <c r="M366" s="1" t="str">
        <f t="shared" si="3"/>
        <v>Loss</v>
      </c>
    </row>
    <row r="367" ht="14.25" customHeight="1">
      <c r="A367" s="1" t="s">
        <v>401</v>
      </c>
      <c r="B367" s="2">
        <v>45088.0</v>
      </c>
      <c r="C367" s="1" t="s">
        <v>30</v>
      </c>
      <c r="D367" s="1" t="s">
        <v>27</v>
      </c>
      <c r="E367" s="1" t="s">
        <v>28</v>
      </c>
      <c r="F367" s="1">
        <v>993.32</v>
      </c>
      <c r="G367" s="1">
        <v>115.38</v>
      </c>
      <c r="H367" s="1">
        <v>10.0</v>
      </c>
      <c r="I367" s="1" t="s">
        <v>23</v>
      </c>
      <c r="J367" s="1" t="s">
        <v>38</v>
      </c>
      <c r="K367" s="1">
        <f t="shared" si="1"/>
        <v>2023</v>
      </c>
      <c r="L367" s="1" t="str">
        <f t="shared" si="2"/>
        <v>Jun</v>
      </c>
      <c r="M367" s="1" t="str">
        <f t="shared" si="3"/>
        <v>Profit</v>
      </c>
    </row>
    <row r="368" ht="14.25" customHeight="1">
      <c r="A368" s="1" t="s">
        <v>402</v>
      </c>
      <c r="B368" s="2">
        <v>44291.0</v>
      </c>
      <c r="C368" s="1" t="s">
        <v>14</v>
      </c>
      <c r="D368" s="1" t="s">
        <v>21</v>
      </c>
      <c r="E368" s="1" t="s">
        <v>22</v>
      </c>
      <c r="F368" s="1">
        <v>801.74</v>
      </c>
      <c r="G368" s="1">
        <v>-192.94</v>
      </c>
      <c r="H368" s="1">
        <v>3.0</v>
      </c>
      <c r="I368" s="1" t="s">
        <v>23</v>
      </c>
      <c r="J368" s="1" t="s">
        <v>35</v>
      </c>
      <c r="K368" s="1">
        <f t="shared" si="1"/>
        <v>2021</v>
      </c>
      <c r="L368" s="1" t="str">
        <f t="shared" si="2"/>
        <v>Apr</v>
      </c>
      <c r="M368" s="1" t="str">
        <f t="shared" si="3"/>
        <v>Loss</v>
      </c>
    </row>
    <row r="369" ht="14.25" customHeight="1">
      <c r="A369" s="1" t="s">
        <v>403</v>
      </c>
      <c r="B369" s="2">
        <v>45183.0</v>
      </c>
      <c r="C369" s="1" t="s">
        <v>14</v>
      </c>
      <c r="D369" s="1" t="s">
        <v>21</v>
      </c>
      <c r="E369" s="1" t="s">
        <v>22</v>
      </c>
      <c r="F369" s="1">
        <v>683.23</v>
      </c>
      <c r="G369" s="1">
        <v>-180.18</v>
      </c>
      <c r="H369" s="1">
        <v>2.0</v>
      </c>
      <c r="I369" s="1" t="s">
        <v>23</v>
      </c>
      <c r="J369" s="1" t="s">
        <v>35</v>
      </c>
      <c r="K369" s="1">
        <f t="shared" si="1"/>
        <v>2023</v>
      </c>
      <c r="L369" s="1" t="str">
        <f t="shared" si="2"/>
        <v>Sep</v>
      </c>
      <c r="M369" s="1" t="str">
        <f t="shared" si="3"/>
        <v>Loss</v>
      </c>
    </row>
    <row r="370" ht="14.25" customHeight="1">
      <c r="A370" s="1" t="s">
        <v>404</v>
      </c>
      <c r="B370" s="2">
        <v>44592.0</v>
      </c>
      <c r="C370" s="1" t="s">
        <v>26</v>
      </c>
      <c r="D370" s="1" t="s">
        <v>27</v>
      </c>
      <c r="E370" s="1" t="s">
        <v>40</v>
      </c>
      <c r="F370" s="1">
        <v>621.99</v>
      </c>
      <c r="G370" s="1">
        <v>262.24</v>
      </c>
      <c r="H370" s="1">
        <v>2.0</v>
      </c>
      <c r="I370" s="1" t="s">
        <v>23</v>
      </c>
      <c r="J370" s="1" t="s">
        <v>38</v>
      </c>
      <c r="K370" s="1">
        <f t="shared" si="1"/>
        <v>2022</v>
      </c>
      <c r="L370" s="1" t="str">
        <f t="shared" si="2"/>
        <v>Jan</v>
      </c>
      <c r="M370" s="1" t="str">
        <f t="shared" si="3"/>
        <v>Profit</v>
      </c>
    </row>
    <row r="371" ht="14.25" customHeight="1">
      <c r="A371" s="1" t="s">
        <v>405</v>
      </c>
      <c r="B371" s="2">
        <v>44881.0</v>
      </c>
      <c r="C371" s="1" t="s">
        <v>20</v>
      </c>
      <c r="D371" s="1" t="s">
        <v>21</v>
      </c>
      <c r="E371" s="1" t="s">
        <v>37</v>
      </c>
      <c r="F371" s="1">
        <v>562.73</v>
      </c>
      <c r="G371" s="1">
        <v>-66.16</v>
      </c>
      <c r="H371" s="1">
        <v>6.0</v>
      </c>
      <c r="I371" s="1" t="s">
        <v>23</v>
      </c>
      <c r="J371" s="1" t="s">
        <v>38</v>
      </c>
      <c r="K371" s="1">
        <f t="shared" si="1"/>
        <v>2022</v>
      </c>
      <c r="L371" s="1" t="str">
        <f t="shared" si="2"/>
        <v>Nov</v>
      </c>
      <c r="M371" s="1" t="str">
        <f t="shared" si="3"/>
        <v>Loss</v>
      </c>
    </row>
    <row r="372" ht="14.25" customHeight="1">
      <c r="A372" s="1" t="s">
        <v>406</v>
      </c>
      <c r="B372" s="2">
        <v>45232.0</v>
      </c>
      <c r="C372" s="1" t="s">
        <v>26</v>
      </c>
      <c r="D372" s="1" t="s">
        <v>15</v>
      </c>
      <c r="E372" s="1" t="s">
        <v>16</v>
      </c>
      <c r="F372" s="1">
        <v>844.12</v>
      </c>
      <c r="G372" s="1">
        <v>278.01</v>
      </c>
      <c r="H372" s="1">
        <v>5.0</v>
      </c>
      <c r="I372" s="1" t="s">
        <v>23</v>
      </c>
      <c r="J372" s="1" t="s">
        <v>35</v>
      </c>
      <c r="K372" s="1">
        <f t="shared" si="1"/>
        <v>2023</v>
      </c>
      <c r="L372" s="1" t="str">
        <f t="shared" si="2"/>
        <v>Nov</v>
      </c>
      <c r="M372" s="1" t="str">
        <f t="shared" si="3"/>
        <v>Profit</v>
      </c>
    </row>
    <row r="373" ht="14.25" customHeight="1">
      <c r="A373" s="1" t="s">
        <v>407</v>
      </c>
      <c r="B373" s="2">
        <v>44365.0</v>
      </c>
      <c r="C373" s="1" t="s">
        <v>30</v>
      </c>
      <c r="D373" s="1" t="s">
        <v>15</v>
      </c>
      <c r="E373" s="1" t="s">
        <v>16</v>
      </c>
      <c r="F373" s="1">
        <v>783.97</v>
      </c>
      <c r="G373" s="1">
        <v>-69.73</v>
      </c>
      <c r="H373" s="1">
        <v>10.0</v>
      </c>
      <c r="I373" s="1" t="s">
        <v>23</v>
      </c>
      <c r="J373" s="1" t="s">
        <v>38</v>
      </c>
      <c r="K373" s="1">
        <f t="shared" si="1"/>
        <v>2021</v>
      </c>
      <c r="L373" s="1" t="str">
        <f t="shared" si="2"/>
        <v>Jun</v>
      </c>
      <c r="M373" s="1" t="str">
        <f t="shared" si="3"/>
        <v>Loss</v>
      </c>
    </row>
    <row r="374" ht="14.25" customHeight="1">
      <c r="A374" s="1" t="s">
        <v>408</v>
      </c>
      <c r="B374" s="2">
        <v>44385.0</v>
      </c>
      <c r="C374" s="1" t="s">
        <v>30</v>
      </c>
      <c r="D374" s="1" t="s">
        <v>15</v>
      </c>
      <c r="E374" s="1" t="s">
        <v>54</v>
      </c>
      <c r="F374" s="1">
        <v>568.94</v>
      </c>
      <c r="G374" s="1">
        <v>10.8</v>
      </c>
      <c r="H374" s="1">
        <v>3.0</v>
      </c>
      <c r="I374" s="1" t="s">
        <v>23</v>
      </c>
      <c r="J374" s="1" t="s">
        <v>38</v>
      </c>
      <c r="K374" s="1">
        <f t="shared" si="1"/>
        <v>2021</v>
      </c>
      <c r="L374" s="1" t="str">
        <f t="shared" si="2"/>
        <v>Jul</v>
      </c>
      <c r="M374" s="1" t="str">
        <f t="shared" si="3"/>
        <v>Profit</v>
      </c>
    </row>
    <row r="375" ht="14.25" customHeight="1">
      <c r="A375" s="1" t="s">
        <v>409</v>
      </c>
      <c r="B375" s="2">
        <v>44558.0</v>
      </c>
      <c r="C375" s="1" t="s">
        <v>30</v>
      </c>
      <c r="D375" s="1" t="s">
        <v>27</v>
      </c>
      <c r="E375" s="1" t="s">
        <v>28</v>
      </c>
      <c r="F375" s="1">
        <v>85.12</v>
      </c>
      <c r="G375" s="1">
        <v>9.71</v>
      </c>
      <c r="H375" s="1">
        <v>8.0</v>
      </c>
      <c r="I375" s="1" t="s">
        <v>17</v>
      </c>
      <c r="J375" s="1" t="s">
        <v>38</v>
      </c>
      <c r="K375" s="1">
        <f t="shared" si="1"/>
        <v>2021</v>
      </c>
      <c r="L375" s="1" t="str">
        <f t="shared" si="2"/>
        <v>Dec</v>
      </c>
      <c r="M375" s="1" t="str">
        <f t="shared" si="3"/>
        <v>Profit</v>
      </c>
    </row>
    <row r="376" ht="14.25" customHeight="1">
      <c r="A376" s="1" t="s">
        <v>410</v>
      </c>
      <c r="B376" s="2">
        <v>45283.0</v>
      </c>
      <c r="C376" s="1" t="s">
        <v>20</v>
      </c>
      <c r="D376" s="1" t="s">
        <v>21</v>
      </c>
      <c r="E376" s="1" t="s">
        <v>76</v>
      </c>
      <c r="F376" s="1">
        <v>950.39</v>
      </c>
      <c r="G376" s="1">
        <v>-136.69</v>
      </c>
      <c r="H376" s="1">
        <v>6.0</v>
      </c>
      <c r="I376" s="1" t="s">
        <v>23</v>
      </c>
      <c r="J376" s="1" t="s">
        <v>18</v>
      </c>
      <c r="K376" s="1">
        <f t="shared" si="1"/>
        <v>2023</v>
      </c>
      <c r="L376" s="1" t="str">
        <f t="shared" si="2"/>
        <v>Dec</v>
      </c>
      <c r="M376" s="1" t="str">
        <f t="shared" si="3"/>
        <v>Loss</v>
      </c>
    </row>
    <row r="377" ht="14.25" customHeight="1">
      <c r="A377" s="1" t="s">
        <v>411</v>
      </c>
      <c r="B377" s="2">
        <v>44521.0</v>
      </c>
      <c r="C377" s="1" t="s">
        <v>30</v>
      </c>
      <c r="D377" s="1" t="s">
        <v>15</v>
      </c>
      <c r="E377" s="1" t="s">
        <v>54</v>
      </c>
      <c r="F377" s="1">
        <v>673.28</v>
      </c>
      <c r="G377" s="1">
        <v>85.12</v>
      </c>
      <c r="H377" s="1">
        <v>1.0</v>
      </c>
      <c r="I377" s="1" t="s">
        <v>17</v>
      </c>
      <c r="J377" s="1" t="s">
        <v>35</v>
      </c>
      <c r="K377" s="1">
        <f t="shared" si="1"/>
        <v>2021</v>
      </c>
      <c r="L377" s="1" t="str">
        <f t="shared" si="2"/>
        <v>Nov</v>
      </c>
      <c r="M377" s="1" t="str">
        <f t="shared" si="3"/>
        <v>Profit</v>
      </c>
    </row>
    <row r="378" ht="14.25" customHeight="1">
      <c r="A378" s="1" t="s">
        <v>412</v>
      </c>
      <c r="B378" s="2">
        <v>44758.0</v>
      </c>
      <c r="C378" s="1" t="s">
        <v>30</v>
      </c>
      <c r="D378" s="1" t="s">
        <v>15</v>
      </c>
      <c r="E378" s="1" t="s">
        <v>16</v>
      </c>
      <c r="F378" s="1">
        <v>334.98</v>
      </c>
      <c r="G378" s="1">
        <v>-180.54</v>
      </c>
      <c r="H378" s="1">
        <v>1.0</v>
      </c>
      <c r="I378" s="1" t="s">
        <v>23</v>
      </c>
      <c r="J378" s="1" t="s">
        <v>35</v>
      </c>
      <c r="K378" s="1">
        <f t="shared" si="1"/>
        <v>2022</v>
      </c>
      <c r="L378" s="1" t="str">
        <f t="shared" si="2"/>
        <v>Jul</v>
      </c>
      <c r="M378" s="1" t="str">
        <f t="shared" si="3"/>
        <v>Loss</v>
      </c>
    </row>
    <row r="379" ht="14.25" customHeight="1">
      <c r="A379" s="1" t="s">
        <v>413</v>
      </c>
      <c r="B379" s="2">
        <v>44436.0</v>
      </c>
      <c r="C379" s="1" t="s">
        <v>14</v>
      </c>
      <c r="D379" s="1" t="s">
        <v>27</v>
      </c>
      <c r="E379" s="1" t="s">
        <v>28</v>
      </c>
      <c r="F379" s="1">
        <v>98.7</v>
      </c>
      <c r="G379" s="1">
        <v>-173.34</v>
      </c>
      <c r="H379" s="1">
        <v>4.0</v>
      </c>
      <c r="I379" s="1" t="s">
        <v>23</v>
      </c>
      <c r="J379" s="1" t="s">
        <v>35</v>
      </c>
      <c r="K379" s="1">
        <f t="shared" si="1"/>
        <v>2021</v>
      </c>
      <c r="L379" s="1" t="str">
        <f t="shared" si="2"/>
        <v>Aug</v>
      </c>
      <c r="M379" s="1" t="str">
        <f t="shared" si="3"/>
        <v>Loss</v>
      </c>
    </row>
    <row r="380" ht="14.25" customHeight="1">
      <c r="A380" s="1" t="s">
        <v>414</v>
      </c>
      <c r="B380" s="2">
        <v>44486.0</v>
      </c>
      <c r="C380" s="1" t="s">
        <v>14</v>
      </c>
      <c r="D380" s="1" t="s">
        <v>27</v>
      </c>
      <c r="E380" s="1" t="s">
        <v>28</v>
      </c>
      <c r="F380" s="1">
        <v>358.63</v>
      </c>
      <c r="G380" s="1">
        <v>-89.64</v>
      </c>
      <c r="H380" s="1">
        <v>2.0</v>
      </c>
      <c r="I380" s="1" t="s">
        <v>17</v>
      </c>
      <c r="J380" s="1" t="s">
        <v>38</v>
      </c>
      <c r="K380" s="1">
        <f t="shared" si="1"/>
        <v>2021</v>
      </c>
      <c r="L380" s="1" t="str">
        <f t="shared" si="2"/>
        <v>Oct</v>
      </c>
      <c r="M380" s="1" t="str">
        <f t="shared" si="3"/>
        <v>Loss</v>
      </c>
    </row>
    <row r="381" ht="14.25" customHeight="1">
      <c r="A381" s="1" t="s">
        <v>415</v>
      </c>
      <c r="B381" s="2">
        <v>44885.0</v>
      </c>
      <c r="C381" s="1" t="s">
        <v>14</v>
      </c>
      <c r="D381" s="1" t="s">
        <v>15</v>
      </c>
      <c r="E381" s="1" t="s">
        <v>16</v>
      </c>
      <c r="F381" s="1">
        <v>519.35</v>
      </c>
      <c r="G381" s="1">
        <v>-134.18</v>
      </c>
      <c r="H381" s="1">
        <v>10.0</v>
      </c>
      <c r="I381" s="1" t="s">
        <v>34</v>
      </c>
      <c r="J381" s="1" t="s">
        <v>18</v>
      </c>
      <c r="K381" s="1">
        <f t="shared" si="1"/>
        <v>2022</v>
      </c>
      <c r="L381" s="1" t="str">
        <f t="shared" si="2"/>
        <v>Nov</v>
      </c>
      <c r="M381" s="1" t="str">
        <f t="shared" si="3"/>
        <v>Loss</v>
      </c>
    </row>
    <row r="382" ht="14.25" customHeight="1">
      <c r="A382" s="1" t="s">
        <v>416</v>
      </c>
      <c r="B382" s="2">
        <v>45182.0</v>
      </c>
      <c r="C382" s="1" t="s">
        <v>30</v>
      </c>
      <c r="D382" s="1" t="s">
        <v>15</v>
      </c>
      <c r="E382" s="1" t="s">
        <v>54</v>
      </c>
      <c r="F382" s="1">
        <v>101.74</v>
      </c>
      <c r="G382" s="1">
        <v>87.83</v>
      </c>
      <c r="H382" s="1">
        <v>7.0</v>
      </c>
      <c r="I382" s="1" t="s">
        <v>23</v>
      </c>
      <c r="J382" s="1" t="s">
        <v>18</v>
      </c>
      <c r="K382" s="1">
        <f t="shared" si="1"/>
        <v>2023</v>
      </c>
      <c r="L382" s="1" t="str">
        <f t="shared" si="2"/>
        <v>Sep</v>
      </c>
      <c r="M382" s="1" t="str">
        <f t="shared" si="3"/>
        <v>Profit</v>
      </c>
    </row>
    <row r="383" ht="14.25" customHeight="1">
      <c r="A383" s="1" t="s">
        <v>417</v>
      </c>
      <c r="B383" s="2">
        <v>44887.0</v>
      </c>
      <c r="C383" s="1" t="s">
        <v>20</v>
      </c>
      <c r="D383" s="1" t="s">
        <v>15</v>
      </c>
      <c r="E383" s="1" t="s">
        <v>16</v>
      </c>
      <c r="F383" s="1">
        <v>457.82</v>
      </c>
      <c r="G383" s="1">
        <v>223.27</v>
      </c>
      <c r="H383" s="1">
        <v>2.0</v>
      </c>
      <c r="I383" s="1" t="s">
        <v>23</v>
      </c>
      <c r="J383" s="1" t="s">
        <v>38</v>
      </c>
      <c r="K383" s="1">
        <f t="shared" si="1"/>
        <v>2022</v>
      </c>
      <c r="L383" s="1" t="str">
        <f t="shared" si="2"/>
        <v>Nov</v>
      </c>
      <c r="M383" s="1" t="str">
        <f t="shared" si="3"/>
        <v>Profit</v>
      </c>
    </row>
    <row r="384" ht="14.25" customHeight="1">
      <c r="A384" s="1" t="s">
        <v>418</v>
      </c>
      <c r="B384" s="2">
        <v>45194.0</v>
      </c>
      <c r="C384" s="1" t="s">
        <v>26</v>
      </c>
      <c r="D384" s="1" t="s">
        <v>27</v>
      </c>
      <c r="E384" s="1" t="s">
        <v>28</v>
      </c>
      <c r="F384" s="1">
        <v>809.77</v>
      </c>
      <c r="G384" s="1">
        <v>-83.12</v>
      </c>
      <c r="H384" s="1">
        <v>9.0</v>
      </c>
      <c r="I384" s="1" t="s">
        <v>23</v>
      </c>
      <c r="J384" s="1" t="s">
        <v>35</v>
      </c>
      <c r="K384" s="1">
        <f t="shared" si="1"/>
        <v>2023</v>
      </c>
      <c r="L384" s="1" t="str">
        <f t="shared" si="2"/>
        <v>Sep</v>
      </c>
      <c r="M384" s="1" t="str">
        <f t="shared" si="3"/>
        <v>Loss</v>
      </c>
    </row>
    <row r="385" ht="14.25" customHeight="1">
      <c r="A385" s="1" t="s">
        <v>419</v>
      </c>
      <c r="B385" s="2">
        <v>44801.0</v>
      </c>
      <c r="C385" s="1" t="s">
        <v>26</v>
      </c>
      <c r="D385" s="1" t="s">
        <v>15</v>
      </c>
      <c r="E385" s="1" t="s">
        <v>31</v>
      </c>
      <c r="F385" s="1">
        <v>167.26</v>
      </c>
      <c r="G385" s="1">
        <v>84.96</v>
      </c>
      <c r="H385" s="1">
        <v>3.0</v>
      </c>
      <c r="I385" s="1" t="s">
        <v>23</v>
      </c>
      <c r="J385" s="1" t="s">
        <v>38</v>
      </c>
      <c r="K385" s="1">
        <f t="shared" si="1"/>
        <v>2022</v>
      </c>
      <c r="L385" s="1" t="str">
        <f t="shared" si="2"/>
        <v>Aug</v>
      </c>
      <c r="M385" s="1" t="str">
        <f t="shared" si="3"/>
        <v>Profit</v>
      </c>
    </row>
    <row r="386" ht="14.25" customHeight="1">
      <c r="A386" s="1" t="s">
        <v>420</v>
      </c>
      <c r="B386" s="2">
        <v>45022.0</v>
      </c>
      <c r="C386" s="1" t="s">
        <v>20</v>
      </c>
      <c r="D386" s="1" t="s">
        <v>27</v>
      </c>
      <c r="E386" s="1" t="s">
        <v>40</v>
      </c>
      <c r="F386" s="1">
        <v>97.0</v>
      </c>
      <c r="G386" s="1">
        <v>-64.13</v>
      </c>
      <c r="H386" s="1">
        <v>2.0</v>
      </c>
      <c r="I386" s="1" t="s">
        <v>23</v>
      </c>
      <c r="J386" s="1" t="s">
        <v>18</v>
      </c>
      <c r="K386" s="1">
        <f t="shared" si="1"/>
        <v>2023</v>
      </c>
      <c r="L386" s="1" t="str">
        <f t="shared" si="2"/>
        <v>Apr</v>
      </c>
      <c r="M386" s="1" t="str">
        <f t="shared" si="3"/>
        <v>Loss</v>
      </c>
    </row>
    <row r="387" ht="14.25" customHeight="1">
      <c r="A387" s="1" t="s">
        <v>421</v>
      </c>
      <c r="B387" s="2">
        <v>44314.0</v>
      </c>
      <c r="C387" s="1" t="s">
        <v>14</v>
      </c>
      <c r="D387" s="1" t="s">
        <v>21</v>
      </c>
      <c r="E387" s="1" t="s">
        <v>22</v>
      </c>
      <c r="F387" s="1">
        <v>203.19</v>
      </c>
      <c r="G387" s="1">
        <v>84.24</v>
      </c>
      <c r="H387" s="1">
        <v>10.0</v>
      </c>
      <c r="I387" s="1" t="s">
        <v>23</v>
      </c>
      <c r="J387" s="1" t="s">
        <v>35</v>
      </c>
      <c r="K387" s="1">
        <f t="shared" si="1"/>
        <v>2021</v>
      </c>
      <c r="L387" s="1" t="str">
        <f t="shared" si="2"/>
        <v>Apr</v>
      </c>
      <c r="M387" s="1" t="str">
        <f t="shared" si="3"/>
        <v>Profit</v>
      </c>
    </row>
    <row r="388" ht="14.25" customHeight="1">
      <c r="A388" s="1" t="s">
        <v>422</v>
      </c>
      <c r="B388" s="2">
        <v>45039.0</v>
      </c>
      <c r="C388" s="1" t="s">
        <v>14</v>
      </c>
      <c r="D388" s="1" t="s">
        <v>15</v>
      </c>
      <c r="E388" s="1" t="s">
        <v>54</v>
      </c>
      <c r="F388" s="1">
        <v>532.9</v>
      </c>
      <c r="G388" s="1">
        <v>-60.0</v>
      </c>
      <c r="H388" s="1">
        <v>3.0</v>
      </c>
      <c r="I388" s="1" t="s">
        <v>34</v>
      </c>
      <c r="J388" s="1" t="s">
        <v>35</v>
      </c>
      <c r="K388" s="1">
        <f t="shared" si="1"/>
        <v>2023</v>
      </c>
      <c r="L388" s="1" t="str">
        <f t="shared" si="2"/>
        <v>Apr</v>
      </c>
      <c r="M388" s="1" t="str">
        <f t="shared" si="3"/>
        <v>Loss</v>
      </c>
    </row>
    <row r="389" ht="14.25" customHeight="1">
      <c r="A389" s="1" t="s">
        <v>423</v>
      </c>
      <c r="B389" s="2">
        <v>44807.0</v>
      </c>
      <c r="C389" s="1" t="s">
        <v>26</v>
      </c>
      <c r="D389" s="1" t="s">
        <v>27</v>
      </c>
      <c r="E389" s="1" t="s">
        <v>28</v>
      </c>
      <c r="F389" s="1">
        <v>71.37</v>
      </c>
      <c r="G389" s="1">
        <v>180.74</v>
      </c>
      <c r="H389" s="1">
        <v>5.0</v>
      </c>
      <c r="I389" s="1" t="s">
        <v>34</v>
      </c>
      <c r="J389" s="1" t="s">
        <v>35</v>
      </c>
      <c r="K389" s="1">
        <f t="shared" si="1"/>
        <v>2022</v>
      </c>
      <c r="L389" s="1" t="str">
        <f t="shared" si="2"/>
        <v>Sep</v>
      </c>
      <c r="M389" s="1" t="str">
        <f t="shared" si="3"/>
        <v>Profit</v>
      </c>
    </row>
    <row r="390" ht="14.25" customHeight="1">
      <c r="A390" s="1" t="s">
        <v>424</v>
      </c>
      <c r="B390" s="2">
        <v>44205.0</v>
      </c>
      <c r="C390" s="1" t="s">
        <v>14</v>
      </c>
      <c r="D390" s="1" t="s">
        <v>27</v>
      </c>
      <c r="E390" s="1" t="s">
        <v>28</v>
      </c>
      <c r="F390" s="1">
        <v>611.58</v>
      </c>
      <c r="G390" s="1">
        <v>153.35</v>
      </c>
      <c r="H390" s="1">
        <v>6.0</v>
      </c>
      <c r="I390" s="1" t="s">
        <v>23</v>
      </c>
      <c r="J390" s="1" t="s">
        <v>38</v>
      </c>
      <c r="K390" s="1">
        <f t="shared" si="1"/>
        <v>2021</v>
      </c>
      <c r="L390" s="1" t="str">
        <f t="shared" si="2"/>
        <v>Jan</v>
      </c>
      <c r="M390" s="1" t="str">
        <f t="shared" si="3"/>
        <v>Profit</v>
      </c>
    </row>
    <row r="391" ht="14.25" customHeight="1">
      <c r="A391" s="1" t="s">
        <v>425</v>
      </c>
      <c r="B391" s="2">
        <v>44530.0</v>
      </c>
      <c r="C391" s="1" t="s">
        <v>26</v>
      </c>
      <c r="D391" s="1" t="s">
        <v>21</v>
      </c>
      <c r="E391" s="1" t="s">
        <v>76</v>
      </c>
      <c r="F391" s="1">
        <v>161.83</v>
      </c>
      <c r="G391" s="1">
        <v>169.76</v>
      </c>
      <c r="H391" s="1">
        <v>1.0</v>
      </c>
      <c r="I391" s="1" t="s">
        <v>34</v>
      </c>
      <c r="J391" s="1" t="s">
        <v>18</v>
      </c>
      <c r="K391" s="1">
        <f t="shared" si="1"/>
        <v>2021</v>
      </c>
      <c r="L391" s="1" t="str">
        <f t="shared" si="2"/>
        <v>Nov</v>
      </c>
      <c r="M391" s="1" t="str">
        <f t="shared" si="3"/>
        <v>Profit</v>
      </c>
    </row>
    <row r="392" ht="14.25" customHeight="1">
      <c r="A392" s="1" t="s">
        <v>426</v>
      </c>
      <c r="B392" s="2">
        <v>44963.0</v>
      </c>
      <c r="C392" s="1" t="s">
        <v>20</v>
      </c>
      <c r="D392" s="1" t="s">
        <v>27</v>
      </c>
      <c r="E392" s="1" t="s">
        <v>40</v>
      </c>
      <c r="F392" s="1">
        <v>904.15</v>
      </c>
      <c r="G392" s="1">
        <v>247.58</v>
      </c>
      <c r="H392" s="1">
        <v>1.0</v>
      </c>
      <c r="I392" s="1" t="s">
        <v>23</v>
      </c>
      <c r="J392" s="1" t="s">
        <v>24</v>
      </c>
      <c r="K392" s="1">
        <f t="shared" si="1"/>
        <v>2023</v>
      </c>
      <c r="L392" s="1" t="str">
        <f t="shared" si="2"/>
        <v>Feb</v>
      </c>
      <c r="M392" s="1" t="str">
        <f t="shared" si="3"/>
        <v>Profit</v>
      </c>
    </row>
    <row r="393" ht="14.25" customHeight="1">
      <c r="A393" s="1" t="s">
        <v>427</v>
      </c>
      <c r="B393" s="2">
        <v>45290.0</v>
      </c>
      <c r="C393" s="1" t="s">
        <v>14</v>
      </c>
      <c r="D393" s="1" t="s">
        <v>21</v>
      </c>
      <c r="E393" s="1" t="s">
        <v>37</v>
      </c>
      <c r="F393" s="1">
        <v>236.15</v>
      </c>
      <c r="G393" s="1">
        <v>164.27</v>
      </c>
      <c r="H393" s="1">
        <v>6.0</v>
      </c>
      <c r="I393" s="1" t="s">
        <v>23</v>
      </c>
      <c r="J393" s="1" t="s">
        <v>24</v>
      </c>
      <c r="K393" s="1">
        <f t="shared" si="1"/>
        <v>2023</v>
      </c>
      <c r="L393" s="1" t="str">
        <f t="shared" si="2"/>
        <v>Dec</v>
      </c>
      <c r="M393" s="1" t="str">
        <f t="shared" si="3"/>
        <v>Profit</v>
      </c>
    </row>
    <row r="394" ht="14.25" customHeight="1">
      <c r="A394" s="1" t="s">
        <v>428</v>
      </c>
      <c r="B394" s="2">
        <v>45210.0</v>
      </c>
      <c r="C394" s="1" t="s">
        <v>30</v>
      </c>
      <c r="D394" s="1" t="s">
        <v>21</v>
      </c>
      <c r="E394" s="1" t="s">
        <v>37</v>
      </c>
      <c r="F394" s="1">
        <v>752.83</v>
      </c>
      <c r="G394" s="1">
        <v>153.29</v>
      </c>
      <c r="H394" s="1">
        <v>3.0</v>
      </c>
      <c r="I394" s="1" t="s">
        <v>23</v>
      </c>
      <c r="J394" s="1" t="s">
        <v>18</v>
      </c>
      <c r="K394" s="1">
        <f t="shared" si="1"/>
        <v>2023</v>
      </c>
      <c r="L394" s="1" t="str">
        <f t="shared" si="2"/>
        <v>Oct</v>
      </c>
      <c r="M394" s="1" t="str">
        <f t="shared" si="3"/>
        <v>Profit</v>
      </c>
    </row>
    <row r="395" ht="14.25" customHeight="1">
      <c r="A395" s="1" t="s">
        <v>429</v>
      </c>
      <c r="B395" s="2">
        <v>45266.0</v>
      </c>
      <c r="C395" s="1" t="s">
        <v>14</v>
      </c>
      <c r="D395" s="1" t="s">
        <v>21</v>
      </c>
      <c r="E395" s="1" t="s">
        <v>22</v>
      </c>
      <c r="F395" s="1">
        <v>110.3</v>
      </c>
      <c r="G395" s="1">
        <v>84.99</v>
      </c>
      <c r="H395" s="1">
        <v>10.0</v>
      </c>
      <c r="I395" s="1" t="s">
        <v>23</v>
      </c>
      <c r="J395" s="1" t="s">
        <v>18</v>
      </c>
      <c r="K395" s="1">
        <f t="shared" si="1"/>
        <v>2023</v>
      </c>
      <c r="L395" s="1" t="str">
        <f t="shared" si="2"/>
        <v>Dec</v>
      </c>
      <c r="M395" s="1" t="str">
        <f t="shared" si="3"/>
        <v>Profit</v>
      </c>
    </row>
    <row r="396" ht="14.25" customHeight="1">
      <c r="A396" s="1" t="s">
        <v>430</v>
      </c>
      <c r="B396" s="2">
        <v>44240.0</v>
      </c>
      <c r="C396" s="1" t="s">
        <v>20</v>
      </c>
      <c r="D396" s="1" t="s">
        <v>15</v>
      </c>
      <c r="E396" s="1" t="s">
        <v>16</v>
      </c>
      <c r="F396" s="1">
        <v>786.53</v>
      </c>
      <c r="G396" s="1">
        <v>91.29</v>
      </c>
      <c r="H396" s="1">
        <v>4.0</v>
      </c>
      <c r="I396" s="1" t="s">
        <v>23</v>
      </c>
      <c r="J396" s="1" t="s">
        <v>38</v>
      </c>
      <c r="K396" s="1">
        <f t="shared" si="1"/>
        <v>2021</v>
      </c>
      <c r="L396" s="1" t="str">
        <f t="shared" si="2"/>
        <v>Feb</v>
      </c>
      <c r="M396" s="1" t="str">
        <f t="shared" si="3"/>
        <v>Profit</v>
      </c>
    </row>
    <row r="397" ht="14.25" customHeight="1">
      <c r="A397" s="1" t="s">
        <v>431</v>
      </c>
      <c r="B397" s="2">
        <v>44924.0</v>
      </c>
      <c r="C397" s="1" t="s">
        <v>26</v>
      </c>
      <c r="D397" s="1" t="s">
        <v>21</v>
      </c>
      <c r="E397" s="1" t="s">
        <v>37</v>
      </c>
      <c r="F397" s="1">
        <v>535.9</v>
      </c>
      <c r="G397" s="1">
        <v>63.97</v>
      </c>
      <c r="H397" s="1">
        <v>4.0</v>
      </c>
      <c r="I397" s="1" t="s">
        <v>34</v>
      </c>
      <c r="J397" s="1" t="s">
        <v>35</v>
      </c>
      <c r="K397" s="1">
        <f t="shared" si="1"/>
        <v>2022</v>
      </c>
      <c r="L397" s="1" t="str">
        <f t="shared" si="2"/>
        <v>Dec</v>
      </c>
      <c r="M397" s="1" t="str">
        <f t="shared" si="3"/>
        <v>Profit</v>
      </c>
    </row>
    <row r="398" ht="14.25" customHeight="1">
      <c r="A398" s="1" t="s">
        <v>432</v>
      </c>
      <c r="B398" s="2">
        <v>45286.0</v>
      </c>
      <c r="C398" s="1" t="s">
        <v>30</v>
      </c>
      <c r="D398" s="1" t="s">
        <v>21</v>
      </c>
      <c r="E398" s="1" t="s">
        <v>37</v>
      </c>
      <c r="F398" s="1">
        <v>267.93</v>
      </c>
      <c r="G398" s="1">
        <v>209.19</v>
      </c>
      <c r="H398" s="1">
        <v>4.0</v>
      </c>
      <c r="I398" s="1" t="s">
        <v>23</v>
      </c>
      <c r="J398" s="1" t="s">
        <v>24</v>
      </c>
      <c r="K398" s="1">
        <f t="shared" si="1"/>
        <v>2023</v>
      </c>
      <c r="L398" s="1" t="str">
        <f t="shared" si="2"/>
        <v>Dec</v>
      </c>
      <c r="M398" s="1" t="str">
        <f t="shared" si="3"/>
        <v>Profit</v>
      </c>
    </row>
    <row r="399" ht="14.25" customHeight="1">
      <c r="A399" s="1" t="s">
        <v>433</v>
      </c>
      <c r="B399" s="2">
        <v>44358.0</v>
      </c>
      <c r="C399" s="1" t="s">
        <v>14</v>
      </c>
      <c r="D399" s="1" t="s">
        <v>21</v>
      </c>
      <c r="E399" s="1" t="s">
        <v>76</v>
      </c>
      <c r="F399" s="1">
        <v>634.36</v>
      </c>
      <c r="G399" s="1">
        <v>118.08</v>
      </c>
      <c r="H399" s="1">
        <v>7.0</v>
      </c>
      <c r="I399" s="1" t="s">
        <v>34</v>
      </c>
      <c r="J399" s="1" t="s">
        <v>38</v>
      </c>
      <c r="K399" s="1">
        <f t="shared" si="1"/>
        <v>2021</v>
      </c>
      <c r="L399" s="1" t="str">
        <f t="shared" si="2"/>
        <v>Jun</v>
      </c>
      <c r="M399" s="1" t="str">
        <f t="shared" si="3"/>
        <v>Profit</v>
      </c>
    </row>
    <row r="400" ht="14.25" customHeight="1">
      <c r="A400" s="1" t="s">
        <v>434</v>
      </c>
      <c r="B400" s="2">
        <v>44390.0</v>
      </c>
      <c r="C400" s="1" t="s">
        <v>20</v>
      </c>
      <c r="D400" s="1" t="s">
        <v>21</v>
      </c>
      <c r="E400" s="1" t="s">
        <v>76</v>
      </c>
      <c r="F400" s="1">
        <v>539.25</v>
      </c>
      <c r="G400" s="1">
        <v>289.85</v>
      </c>
      <c r="H400" s="1">
        <v>6.0</v>
      </c>
      <c r="I400" s="1" t="s">
        <v>23</v>
      </c>
      <c r="J400" s="1" t="s">
        <v>24</v>
      </c>
      <c r="K400" s="1">
        <f t="shared" si="1"/>
        <v>2021</v>
      </c>
      <c r="L400" s="1" t="str">
        <f t="shared" si="2"/>
        <v>Jul</v>
      </c>
      <c r="M400" s="1" t="str">
        <f t="shared" si="3"/>
        <v>Profit</v>
      </c>
    </row>
    <row r="401" ht="14.25" customHeight="1">
      <c r="A401" s="1" t="s">
        <v>435</v>
      </c>
      <c r="B401" s="2">
        <v>44473.0</v>
      </c>
      <c r="C401" s="1" t="s">
        <v>26</v>
      </c>
      <c r="D401" s="1" t="s">
        <v>21</v>
      </c>
      <c r="E401" s="1" t="s">
        <v>76</v>
      </c>
      <c r="F401" s="1">
        <v>565.92</v>
      </c>
      <c r="G401" s="1">
        <v>-48.2</v>
      </c>
      <c r="H401" s="1">
        <v>7.0</v>
      </c>
      <c r="I401" s="1" t="s">
        <v>34</v>
      </c>
      <c r="J401" s="1" t="s">
        <v>24</v>
      </c>
      <c r="K401" s="1">
        <f t="shared" si="1"/>
        <v>2021</v>
      </c>
      <c r="L401" s="1" t="str">
        <f t="shared" si="2"/>
        <v>Oct</v>
      </c>
      <c r="M401" s="1" t="str">
        <f t="shared" si="3"/>
        <v>Loss</v>
      </c>
    </row>
    <row r="402" ht="14.25" customHeight="1">
      <c r="A402" s="1" t="s">
        <v>436</v>
      </c>
      <c r="B402" s="2">
        <v>44940.0</v>
      </c>
      <c r="C402" s="1" t="s">
        <v>26</v>
      </c>
      <c r="D402" s="1" t="s">
        <v>15</v>
      </c>
      <c r="E402" s="1" t="s">
        <v>16</v>
      </c>
      <c r="F402" s="1">
        <v>457.43</v>
      </c>
      <c r="G402" s="1">
        <v>75.44</v>
      </c>
      <c r="H402" s="1">
        <v>1.0</v>
      </c>
      <c r="I402" s="1" t="s">
        <v>17</v>
      </c>
      <c r="J402" s="1" t="s">
        <v>18</v>
      </c>
      <c r="K402" s="1">
        <f t="shared" si="1"/>
        <v>2023</v>
      </c>
      <c r="L402" s="1" t="str">
        <f t="shared" si="2"/>
        <v>Jan</v>
      </c>
      <c r="M402" s="1" t="str">
        <f t="shared" si="3"/>
        <v>Profit</v>
      </c>
    </row>
    <row r="403" ht="14.25" customHeight="1">
      <c r="A403" s="1" t="s">
        <v>437</v>
      </c>
      <c r="B403" s="2">
        <v>44827.0</v>
      </c>
      <c r="C403" s="1" t="s">
        <v>30</v>
      </c>
      <c r="D403" s="1" t="s">
        <v>21</v>
      </c>
      <c r="E403" s="1" t="s">
        <v>76</v>
      </c>
      <c r="F403" s="1">
        <v>320.02</v>
      </c>
      <c r="G403" s="1">
        <v>-33.57</v>
      </c>
      <c r="H403" s="1">
        <v>10.0</v>
      </c>
      <c r="I403" s="1" t="s">
        <v>17</v>
      </c>
      <c r="J403" s="1" t="s">
        <v>24</v>
      </c>
      <c r="K403" s="1">
        <f t="shared" si="1"/>
        <v>2022</v>
      </c>
      <c r="L403" s="1" t="str">
        <f t="shared" si="2"/>
        <v>Sep</v>
      </c>
      <c r="M403" s="1" t="str">
        <f t="shared" si="3"/>
        <v>Loss</v>
      </c>
    </row>
    <row r="404" ht="14.25" customHeight="1">
      <c r="A404" s="1" t="s">
        <v>438</v>
      </c>
      <c r="B404" s="2">
        <v>44532.0</v>
      </c>
      <c r="C404" s="1" t="s">
        <v>14</v>
      </c>
      <c r="D404" s="1" t="s">
        <v>27</v>
      </c>
      <c r="E404" s="1" t="s">
        <v>28</v>
      </c>
      <c r="F404" s="1">
        <v>132.92</v>
      </c>
      <c r="G404" s="1">
        <v>-35.24</v>
      </c>
      <c r="H404" s="1">
        <v>5.0</v>
      </c>
      <c r="I404" s="1" t="s">
        <v>23</v>
      </c>
      <c r="J404" s="1" t="s">
        <v>18</v>
      </c>
      <c r="K404" s="1">
        <f t="shared" si="1"/>
        <v>2021</v>
      </c>
      <c r="L404" s="1" t="str">
        <f t="shared" si="2"/>
        <v>Dec</v>
      </c>
      <c r="M404" s="1" t="str">
        <f t="shared" si="3"/>
        <v>Loss</v>
      </c>
    </row>
    <row r="405" ht="14.25" customHeight="1">
      <c r="A405" s="1" t="s">
        <v>439</v>
      </c>
      <c r="B405" s="2">
        <v>44768.0</v>
      </c>
      <c r="C405" s="1" t="s">
        <v>14</v>
      </c>
      <c r="D405" s="1" t="s">
        <v>27</v>
      </c>
      <c r="E405" s="1" t="s">
        <v>40</v>
      </c>
      <c r="F405" s="1">
        <v>878.21</v>
      </c>
      <c r="G405" s="1">
        <v>137.55</v>
      </c>
      <c r="H405" s="1">
        <v>6.0</v>
      </c>
      <c r="I405" s="1" t="s">
        <v>34</v>
      </c>
      <c r="J405" s="1" t="s">
        <v>18</v>
      </c>
      <c r="K405" s="1">
        <f t="shared" si="1"/>
        <v>2022</v>
      </c>
      <c r="L405" s="1" t="str">
        <f t="shared" si="2"/>
        <v>Jul</v>
      </c>
      <c r="M405" s="1" t="str">
        <f t="shared" si="3"/>
        <v>Profit</v>
      </c>
    </row>
    <row r="406" ht="14.25" customHeight="1">
      <c r="A406" s="1" t="s">
        <v>440</v>
      </c>
      <c r="B406" s="2">
        <v>44622.0</v>
      </c>
      <c r="C406" s="1" t="s">
        <v>30</v>
      </c>
      <c r="D406" s="1" t="s">
        <v>15</v>
      </c>
      <c r="E406" s="1" t="s">
        <v>16</v>
      </c>
      <c r="F406" s="1">
        <v>176.88</v>
      </c>
      <c r="G406" s="1">
        <v>76.12</v>
      </c>
      <c r="H406" s="1">
        <v>2.0</v>
      </c>
      <c r="I406" s="1" t="s">
        <v>23</v>
      </c>
      <c r="J406" s="1" t="s">
        <v>38</v>
      </c>
      <c r="K406" s="1">
        <f t="shared" si="1"/>
        <v>2022</v>
      </c>
      <c r="L406" s="1" t="str">
        <f t="shared" si="2"/>
        <v>Mar</v>
      </c>
      <c r="M406" s="1" t="str">
        <f t="shared" si="3"/>
        <v>Profit</v>
      </c>
    </row>
    <row r="407" ht="14.25" customHeight="1">
      <c r="A407" s="1" t="s">
        <v>441</v>
      </c>
      <c r="B407" s="2">
        <v>44586.0</v>
      </c>
      <c r="C407" s="1" t="s">
        <v>14</v>
      </c>
      <c r="D407" s="1" t="s">
        <v>21</v>
      </c>
      <c r="E407" s="1" t="s">
        <v>22</v>
      </c>
      <c r="F407" s="1">
        <v>929.92</v>
      </c>
      <c r="G407" s="1">
        <v>-3.76</v>
      </c>
      <c r="H407" s="1">
        <v>2.0</v>
      </c>
      <c r="I407" s="1" t="s">
        <v>23</v>
      </c>
      <c r="J407" s="1" t="s">
        <v>38</v>
      </c>
      <c r="K407" s="1">
        <f t="shared" si="1"/>
        <v>2022</v>
      </c>
      <c r="L407" s="1" t="str">
        <f t="shared" si="2"/>
        <v>Jan</v>
      </c>
      <c r="M407" s="1" t="str">
        <f t="shared" si="3"/>
        <v>Loss</v>
      </c>
    </row>
    <row r="408" ht="14.25" customHeight="1">
      <c r="A408" s="1" t="s">
        <v>442</v>
      </c>
      <c r="B408" s="2">
        <v>44389.0</v>
      </c>
      <c r="C408" s="1" t="s">
        <v>26</v>
      </c>
      <c r="D408" s="1" t="s">
        <v>21</v>
      </c>
      <c r="E408" s="1" t="s">
        <v>76</v>
      </c>
      <c r="F408" s="1">
        <v>977.52</v>
      </c>
      <c r="G408" s="1">
        <v>-45.49</v>
      </c>
      <c r="H408" s="1">
        <v>3.0</v>
      </c>
      <c r="I408" s="1" t="s">
        <v>17</v>
      </c>
      <c r="J408" s="1" t="s">
        <v>18</v>
      </c>
      <c r="K408" s="1">
        <f t="shared" si="1"/>
        <v>2021</v>
      </c>
      <c r="L408" s="1" t="str">
        <f t="shared" si="2"/>
        <v>Jul</v>
      </c>
      <c r="M408" s="1" t="str">
        <f t="shared" si="3"/>
        <v>Loss</v>
      </c>
    </row>
    <row r="409" ht="14.25" customHeight="1">
      <c r="A409" s="1" t="s">
        <v>443</v>
      </c>
      <c r="B409" s="2">
        <v>44374.0</v>
      </c>
      <c r="C409" s="1" t="s">
        <v>26</v>
      </c>
      <c r="D409" s="1" t="s">
        <v>15</v>
      </c>
      <c r="E409" s="1" t="s">
        <v>31</v>
      </c>
      <c r="F409" s="1">
        <v>294.72</v>
      </c>
      <c r="G409" s="1">
        <v>-28.02</v>
      </c>
      <c r="H409" s="1">
        <v>3.0</v>
      </c>
      <c r="I409" s="1" t="s">
        <v>23</v>
      </c>
      <c r="J409" s="1" t="s">
        <v>18</v>
      </c>
      <c r="K409" s="1">
        <f t="shared" si="1"/>
        <v>2021</v>
      </c>
      <c r="L409" s="1" t="str">
        <f t="shared" si="2"/>
        <v>Jun</v>
      </c>
      <c r="M409" s="1" t="str">
        <f t="shared" si="3"/>
        <v>Loss</v>
      </c>
    </row>
    <row r="410" ht="14.25" customHeight="1">
      <c r="A410" s="1" t="s">
        <v>444</v>
      </c>
      <c r="B410" s="2">
        <v>44255.0</v>
      </c>
      <c r="C410" s="1" t="s">
        <v>14</v>
      </c>
      <c r="D410" s="1" t="s">
        <v>15</v>
      </c>
      <c r="E410" s="1" t="s">
        <v>16</v>
      </c>
      <c r="F410" s="1">
        <v>941.17</v>
      </c>
      <c r="G410" s="1">
        <v>134.33</v>
      </c>
      <c r="H410" s="1">
        <v>6.0</v>
      </c>
      <c r="I410" s="1" t="s">
        <v>17</v>
      </c>
      <c r="J410" s="1" t="s">
        <v>35</v>
      </c>
      <c r="K410" s="1">
        <f t="shared" si="1"/>
        <v>2021</v>
      </c>
      <c r="L410" s="1" t="str">
        <f t="shared" si="2"/>
        <v>Feb</v>
      </c>
      <c r="M410" s="1" t="str">
        <f t="shared" si="3"/>
        <v>Profit</v>
      </c>
    </row>
    <row r="411" ht="14.25" customHeight="1">
      <c r="A411" s="1" t="s">
        <v>445</v>
      </c>
      <c r="B411" s="2">
        <v>44846.0</v>
      </c>
      <c r="C411" s="1" t="s">
        <v>20</v>
      </c>
      <c r="D411" s="1" t="s">
        <v>27</v>
      </c>
      <c r="E411" s="1" t="s">
        <v>40</v>
      </c>
      <c r="F411" s="1">
        <v>140.86</v>
      </c>
      <c r="G411" s="1">
        <v>184.08</v>
      </c>
      <c r="H411" s="1">
        <v>3.0</v>
      </c>
      <c r="I411" s="1" t="s">
        <v>23</v>
      </c>
      <c r="J411" s="1" t="s">
        <v>18</v>
      </c>
      <c r="K411" s="1">
        <f t="shared" si="1"/>
        <v>2022</v>
      </c>
      <c r="L411" s="1" t="str">
        <f t="shared" si="2"/>
        <v>Oct</v>
      </c>
      <c r="M411" s="1" t="str">
        <f t="shared" si="3"/>
        <v>Profit</v>
      </c>
    </row>
    <row r="412" ht="14.25" customHeight="1">
      <c r="A412" s="1" t="s">
        <v>446</v>
      </c>
      <c r="B412" s="2">
        <v>44702.0</v>
      </c>
      <c r="C412" s="1" t="s">
        <v>14</v>
      </c>
      <c r="D412" s="1" t="s">
        <v>15</v>
      </c>
      <c r="E412" s="1" t="s">
        <v>31</v>
      </c>
      <c r="F412" s="1">
        <v>701.33</v>
      </c>
      <c r="G412" s="1">
        <v>-143.55</v>
      </c>
      <c r="H412" s="1">
        <v>7.0</v>
      </c>
      <c r="I412" s="1" t="s">
        <v>23</v>
      </c>
      <c r="J412" s="1" t="s">
        <v>18</v>
      </c>
      <c r="K412" s="1">
        <f t="shared" si="1"/>
        <v>2022</v>
      </c>
      <c r="L412" s="1" t="str">
        <f t="shared" si="2"/>
        <v>May</v>
      </c>
      <c r="M412" s="1" t="str">
        <f t="shared" si="3"/>
        <v>Loss</v>
      </c>
    </row>
    <row r="413" ht="14.25" customHeight="1">
      <c r="A413" s="1" t="s">
        <v>447</v>
      </c>
      <c r="B413" s="2">
        <v>45101.0</v>
      </c>
      <c r="C413" s="1" t="s">
        <v>14</v>
      </c>
      <c r="D413" s="1" t="s">
        <v>21</v>
      </c>
      <c r="E413" s="1" t="s">
        <v>76</v>
      </c>
      <c r="F413" s="1">
        <v>481.94</v>
      </c>
      <c r="G413" s="1">
        <v>166.3</v>
      </c>
      <c r="H413" s="1">
        <v>7.0</v>
      </c>
      <c r="I413" s="1" t="s">
        <v>17</v>
      </c>
      <c r="J413" s="1" t="s">
        <v>24</v>
      </c>
      <c r="K413" s="1">
        <f t="shared" si="1"/>
        <v>2023</v>
      </c>
      <c r="L413" s="1" t="str">
        <f t="shared" si="2"/>
        <v>Jun</v>
      </c>
      <c r="M413" s="1" t="str">
        <f t="shared" si="3"/>
        <v>Profit</v>
      </c>
    </row>
    <row r="414" ht="14.25" customHeight="1">
      <c r="A414" s="1" t="s">
        <v>448</v>
      </c>
      <c r="B414" s="2">
        <v>44268.0</v>
      </c>
      <c r="C414" s="1" t="s">
        <v>30</v>
      </c>
      <c r="D414" s="1" t="s">
        <v>21</v>
      </c>
      <c r="E414" s="1" t="s">
        <v>22</v>
      </c>
      <c r="F414" s="1">
        <v>640.29</v>
      </c>
      <c r="G414" s="1">
        <v>207.6</v>
      </c>
      <c r="H414" s="1">
        <v>4.0</v>
      </c>
      <c r="I414" s="1" t="s">
        <v>34</v>
      </c>
      <c r="J414" s="1" t="s">
        <v>18</v>
      </c>
      <c r="K414" s="1">
        <f t="shared" si="1"/>
        <v>2021</v>
      </c>
      <c r="L414" s="1" t="str">
        <f t="shared" si="2"/>
        <v>Mar</v>
      </c>
      <c r="M414" s="1" t="str">
        <f t="shared" si="3"/>
        <v>Profit</v>
      </c>
    </row>
    <row r="415" ht="14.25" customHeight="1">
      <c r="A415" s="1" t="s">
        <v>449</v>
      </c>
      <c r="B415" s="2">
        <v>45113.0</v>
      </c>
      <c r="C415" s="1" t="s">
        <v>20</v>
      </c>
      <c r="D415" s="1" t="s">
        <v>15</v>
      </c>
      <c r="E415" s="1" t="s">
        <v>31</v>
      </c>
      <c r="F415" s="1">
        <v>948.07</v>
      </c>
      <c r="G415" s="1">
        <v>58.32</v>
      </c>
      <c r="H415" s="1">
        <v>10.0</v>
      </c>
      <c r="I415" s="1" t="s">
        <v>23</v>
      </c>
      <c r="J415" s="1" t="s">
        <v>35</v>
      </c>
      <c r="K415" s="1">
        <f t="shared" si="1"/>
        <v>2023</v>
      </c>
      <c r="L415" s="1" t="str">
        <f t="shared" si="2"/>
        <v>Jul</v>
      </c>
      <c r="M415" s="1" t="str">
        <f t="shared" si="3"/>
        <v>Profit</v>
      </c>
    </row>
    <row r="416" ht="14.25" customHeight="1">
      <c r="A416" s="1" t="s">
        <v>450</v>
      </c>
      <c r="B416" s="2">
        <v>44269.0</v>
      </c>
      <c r="C416" s="1" t="s">
        <v>14</v>
      </c>
      <c r="D416" s="1" t="s">
        <v>15</v>
      </c>
      <c r="E416" s="1" t="s">
        <v>31</v>
      </c>
      <c r="F416" s="1">
        <v>927.05</v>
      </c>
      <c r="G416" s="1">
        <v>-113.54</v>
      </c>
      <c r="H416" s="1">
        <v>9.0</v>
      </c>
      <c r="I416" s="1" t="s">
        <v>17</v>
      </c>
      <c r="J416" s="1" t="s">
        <v>18</v>
      </c>
      <c r="K416" s="1">
        <f t="shared" si="1"/>
        <v>2021</v>
      </c>
      <c r="L416" s="1" t="str">
        <f t="shared" si="2"/>
        <v>Mar</v>
      </c>
      <c r="M416" s="1" t="str">
        <f t="shared" si="3"/>
        <v>Loss</v>
      </c>
    </row>
    <row r="417" ht="14.25" customHeight="1">
      <c r="A417" s="1" t="s">
        <v>451</v>
      </c>
      <c r="B417" s="2">
        <v>44493.0</v>
      </c>
      <c r="C417" s="1" t="s">
        <v>20</v>
      </c>
      <c r="D417" s="1" t="s">
        <v>15</v>
      </c>
      <c r="E417" s="1" t="s">
        <v>31</v>
      </c>
      <c r="F417" s="1">
        <v>273.01</v>
      </c>
      <c r="G417" s="1">
        <v>73.08</v>
      </c>
      <c r="H417" s="1">
        <v>5.0</v>
      </c>
      <c r="I417" s="1" t="s">
        <v>17</v>
      </c>
      <c r="J417" s="1" t="s">
        <v>18</v>
      </c>
      <c r="K417" s="1">
        <f t="shared" si="1"/>
        <v>2021</v>
      </c>
      <c r="L417" s="1" t="str">
        <f t="shared" si="2"/>
        <v>Oct</v>
      </c>
      <c r="M417" s="1" t="str">
        <f t="shared" si="3"/>
        <v>Profit</v>
      </c>
    </row>
    <row r="418" ht="14.25" customHeight="1">
      <c r="A418" s="1" t="s">
        <v>452</v>
      </c>
      <c r="B418" s="2">
        <v>45160.0</v>
      </c>
      <c r="C418" s="1" t="s">
        <v>30</v>
      </c>
      <c r="D418" s="1" t="s">
        <v>27</v>
      </c>
      <c r="E418" s="1" t="s">
        <v>28</v>
      </c>
      <c r="F418" s="1">
        <v>961.41</v>
      </c>
      <c r="G418" s="1">
        <v>155.3</v>
      </c>
      <c r="H418" s="1">
        <v>5.0</v>
      </c>
      <c r="I418" s="1" t="s">
        <v>23</v>
      </c>
      <c r="J418" s="1" t="s">
        <v>38</v>
      </c>
      <c r="K418" s="1">
        <f t="shared" si="1"/>
        <v>2023</v>
      </c>
      <c r="L418" s="1" t="str">
        <f t="shared" si="2"/>
        <v>Aug</v>
      </c>
      <c r="M418" s="1" t="str">
        <f t="shared" si="3"/>
        <v>Profit</v>
      </c>
    </row>
    <row r="419" ht="14.25" customHeight="1">
      <c r="A419" s="1" t="s">
        <v>453</v>
      </c>
      <c r="B419" s="2">
        <v>45292.0</v>
      </c>
      <c r="C419" s="1" t="s">
        <v>14</v>
      </c>
      <c r="D419" s="1" t="s">
        <v>27</v>
      </c>
      <c r="E419" s="1" t="s">
        <v>28</v>
      </c>
      <c r="F419" s="1">
        <v>941.42</v>
      </c>
      <c r="G419" s="1">
        <v>13.93</v>
      </c>
      <c r="H419" s="1">
        <v>1.0</v>
      </c>
      <c r="I419" s="1" t="s">
        <v>23</v>
      </c>
      <c r="J419" s="1" t="s">
        <v>38</v>
      </c>
      <c r="K419" s="1">
        <f t="shared" si="1"/>
        <v>2024</v>
      </c>
      <c r="L419" s="1" t="str">
        <f t="shared" si="2"/>
        <v>Jan</v>
      </c>
      <c r="M419" s="1" t="str">
        <f t="shared" si="3"/>
        <v>Profit</v>
      </c>
    </row>
    <row r="420" ht="14.25" customHeight="1">
      <c r="A420" s="1" t="s">
        <v>454</v>
      </c>
      <c r="B420" s="2">
        <v>44931.0</v>
      </c>
      <c r="C420" s="1" t="s">
        <v>30</v>
      </c>
      <c r="D420" s="1" t="s">
        <v>15</v>
      </c>
      <c r="E420" s="1" t="s">
        <v>16</v>
      </c>
      <c r="F420" s="1">
        <v>663.65</v>
      </c>
      <c r="G420" s="1">
        <v>118.69</v>
      </c>
      <c r="H420" s="1">
        <v>4.0</v>
      </c>
      <c r="I420" s="1" t="s">
        <v>23</v>
      </c>
      <c r="J420" s="1" t="s">
        <v>18</v>
      </c>
      <c r="K420" s="1">
        <f t="shared" si="1"/>
        <v>2023</v>
      </c>
      <c r="L420" s="1" t="str">
        <f t="shared" si="2"/>
        <v>Jan</v>
      </c>
      <c r="M420" s="1" t="str">
        <f t="shared" si="3"/>
        <v>Profit</v>
      </c>
    </row>
    <row r="421" ht="14.25" customHeight="1">
      <c r="A421" s="1" t="s">
        <v>455</v>
      </c>
      <c r="B421" s="2">
        <v>44449.0</v>
      </c>
      <c r="C421" s="1" t="s">
        <v>20</v>
      </c>
      <c r="D421" s="1" t="s">
        <v>15</v>
      </c>
      <c r="E421" s="1" t="s">
        <v>16</v>
      </c>
      <c r="F421" s="1">
        <v>672.59</v>
      </c>
      <c r="G421" s="1">
        <v>-3.0</v>
      </c>
      <c r="H421" s="1">
        <v>9.0</v>
      </c>
      <c r="I421" s="1" t="s">
        <v>34</v>
      </c>
      <c r="J421" s="1" t="s">
        <v>24</v>
      </c>
      <c r="K421" s="1">
        <f t="shared" si="1"/>
        <v>2021</v>
      </c>
      <c r="L421" s="1" t="str">
        <f t="shared" si="2"/>
        <v>Sep</v>
      </c>
      <c r="M421" s="1" t="str">
        <f t="shared" si="3"/>
        <v>Loss</v>
      </c>
    </row>
    <row r="422" ht="14.25" customHeight="1">
      <c r="A422" s="1" t="s">
        <v>456</v>
      </c>
      <c r="B422" s="2">
        <v>44727.0</v>
      </c>
      <c r="C422" s="1" t="s">
        <v>14</v>
      </c>
      <c r="D422" s="1" t="s">
        <v>21</v>
      </c>
      <c r="E422" s="1" t="s">
        <v>76</v>
      </c>
      <c r="F422" s="1">
        <v>520.83</v>
      </c>
      <c r="G422" s="1">
        <v>-132.13</v>
      </c>
      <c r="H422" s="1">
        <v>5.0</v>
      </c>
      <c r="I422" s="1" t="s">
        <v>34</v>
      </c>
      <c r="J422" s="1" t="s">
        <v>24</v>
      </c>
      <c r="K422" s="1">
        <f t="shared" si="1"/>
        <v>2022</v>
      </c>
      <c r="L422" s="1" t="str">
        <f t="shared" si="2"/>
        <v>Jun</v>
      </c>
      <c r="M422" s="1" t="str">
        <f t="shared" si="3"/>
        <v>Loss</v>
      </c>
    </row>
    <row r="423" ht="14.25" customHeight="1">
      <c r="A423" s="1" t="s">
        <v>457</v>
      </c>
      <c r="B423" s="2">
        <v>44539.0</v>
      </c>
      <c r="C423" s="1" t="s">
        <v>14</v>
      </c>
      <c r="D423" s="1" t="s">
        <v>27</v>
      </c>
      <c r="E423" s="1" t="s">
        <v>28</v>
      </c>
      <c r="F423" s="1">
        <v>845.21</v>
      </c>
      <c r="G423" s="1">
        <v>109.31</v>
      </c>
      <c r="H423" s="1">
        <v>1.0</v>
      </c>
      <c r="I423" s="1" t="s">
        <v>34</v>
      </c>
      <c r="J423" s="1" t="s">
        <v>38</v>
      </c>
      <c r="K423" s="1">
        <f t="shared" si="1"/>
        <v>2021</v>
      </c>
      <c r="L423" s="1" t="str">
        <f t="shared" si="2"/>
        <v>Dec</v>
      </c>
      <c r="M423" s="1" t="str">
        <f t="shared" si="3"/>
        <v>Profit</v>
      </c>
    </row>
    <row r="424" ht="14.25" customHeight="1">
      <c r="A424" s="1" t="s">
        <v>458</v>
      </c>
      <c r="B424" s="2">
        <v>44864.0</v>
      </c>
      <c r="C424" s="1" t="s">
        <v>20</v>
      </c>
      <c r="D424" s="1" t="s">
        <v>27</v>
      </c>
      <c r="E424" s="1" t="s">
        <v>40</v>
      </c>
      <c r="F424" s="1">
        <v>885.3</v>
      </c>
      <c r="G424" s="1">
        <v>209.06</v>
      </c>
      <c r="H424" s="1">
        <v>7.0</v>
      </c>
      <c r="I424" s="1" t="s">
        <v>34</v>
      </c>
      <c r="J424" s="1" t="s">
        <v>35</v>
      </c>
      <c r="K424" s="1">
        <f t="shared" si="1"/>
        <v>2022</v>
      </c>
      <c r="L424" s="1" t="str">
        <f t="shared" si="2"/>
        <v>Oct</v>
      </c>
      <c r="M424" s="1" t="str">
        <f t="shared" si="3"/>
        <v>Profit</v>
      </c>
    </row>
    <row r="425" ht="14.25" customHeight="1">
      <c r="A425" s="1" t="s">
        <v>459</v>
      </c>
      <c r="B425" s="2">
        <v>44266.0</v>
      </c>
      <c r="C425" s="1" t="s">
        <v>30</v>
      </c>
      <c r="D425" s="1" t="s">
        <v>21</v>
      </c>
      <c r="E425" s="1" t="s">
        <v>37</v>
      </c>
      <c r="F425" s="1">
        <v>266.58</v>
      </c>
      <c r="G425" s="1">
        <v>251.29</v>
      </c>
      <c r="H425" s="1">
        <v>7.0</v>
      </c>
      <c r="I425" s="1" t="s">
        <v>17</v>
      </c>
      <c r="J425" s="1" t="s">
        <v>18</v>
      </c>
      <c r="K425" s="1">
        <f t="shared" si="1"/>
        <v>2021</v>
      </c>
      <c r="L425" s="1" t="str">
        <f t="shared" si="2"/>
        <v>Mar</v>
      </c>
      <c r="M425" s="1" t="str">
        <f t="shared" si="3"/>
        <v>Profit</v>
      </c>
    </row>
    <row r="426" ht="14.25" customHeight="1">
      <c r="A426" s="1" t="s">
        <v>460</v>
      </c>
      <c r="B426" s="2">
        <v>44741.0</v>
      </c>
      <c r="C426" s="1" t="s">
        <v>20</v>
      </c>
      <c r="D426" s="1" t="s">
        <v>21</v>
      </c>
      <c r="E426" s="1" t="s">
        <v>76</v>
      </c>
      <c r="F426" s="1">
        <v>954.82</v>
      </c>
      <c r="G426" s="1">
        <v>80.44</v>
      </c>
      <c r="H426" s="1">
        <v>3.0</v>
      </c>
      <c r="I426" s="1" t="s">
        <v>17</v>
      </c>
      <c r="J426" s="1" t="s">
        <v>38</v>
      </c>
      <c r="K426" s="1">
        <f t="shared" si="1"/>
        <v>2022</v>
      </c>
      <c r="L426" s="1" t="str">
        <f t="shared" si="2"/>
        <v>Jun</v>
      </c>
      <c r="M426" s="1" t="str">
        <f t="shared" si="3"/>
        <v>Profit</v>
      </c>
    </row>
    <row r="427" ht="14.25" customHeight="1">
      <c r="A427" s="1" t="s">
        <v>461</v>
      </c>
      <c r="B427" s="2">
        <v>44870.0</v>
      </c>
      <c r="C427" s="1" t="s">
        <v>26</v>
      </c>
      <c r="D427" s="1" t="s">
        <v>27</v>
      </c>
      <c r="E427" s="1" t="s">
        <v>40</v>
      </c>
      <c r="F427" s="1">
        <v>548.58</v>
      </c>
      <c r="G427" s="1">
        <v>251.01</v>
      </c>
      <c r="H427" s="1">
        <v>6.0</v>
      </c>
      <c r="I427" s="1" t="s">
        <v>23</v>
      </c>
      <c r="J427" s="1" t="s">
        <v>35</v>
      </c>
      <c r="K427" s="1">
        <f t="shared" si="1"/>
        <v>2022</v>
      </c>
      <c r="L427" s="1" t="str">
        <f t="shared" si="2"/>
        <v>Nov</v>
      </c>
      <c r="M427" s="1" t="str">
        <f t="shared" si="3"/>
        <v>Profit</v>
      </c>
    </row>
    <row r="428" ht="14.25" customHeight="1">
      <c r="A428" s="1" t="s">
        <v>462</v>
      </c>
      <c r="B428" s="2">
        <v>44625.0</v>
      </c>
      <c r="C428" s="1" t="s">
        <v>30</v>
      </c>
      <c r="D428" s="1" t="s">
        <v>21</v>
      </c>
      <c r="E428" s="1" t="s">
        <v>37</v>
      </c>
      <c r="F428" s="1">
        <v>737.17</v>
      </c>
      <c r="G428" s="1">
        <v>127.91</v>
      </c>
      <c r="H428" s="1">
        <v>9.0</v>
      </c>
      <c r="I428" s="1" t="s">
        <v>23</v>
      </c>
      <c r="J428" s="1" t="s">
        <v>38</v>
      </c>
      <c r="K428" s="1">
        <f t="shared" si="1"/>
        <v>2022</v>
      </c>
      <c r="L428" s="1" t="str">
        <f t="shared" si="2"/>
        <v>Mar</v>
      </c>
      <c r="M428" s="1" t="str">
        <f t="shared" si="3"/>
        <v>Profit</v>
      </c>
    </row>
    <row r="429" ht="14.25" customHeight="1">
      <c r="A429" s="1" t="s">
        <v>463</v>
      </c>
      <c r="B429" s="2">
        <v>45132.0</v>
      </c>
      <c r="C429" s="1" t="s">
        <v>30</v>
      </c>
      <c r="D429" s="1" t="s">
        <v>21</v>
      </c>
      <c r="E429" s="1" t="s">
        <v>76</v>
      </c>
      <c r="F429" s="1">
        <v>469.62</v>
      </c>
      <c r="G429" s="1">
        <v>-80.26</v>
      </c>
      <c r="H429" s="1">
        <v>4.0</v>
      </c>
      <c r="I429" s="1" t="s">
        <v>23</v>
      </c>
      <c r="J429" s="1" t="s">
        <v>18</v>
      </c>
      <c r="K429" s="1">
        <f t="shared" si="1"/>
        <v>2023</v>
      </c>
      <c r="L429" s="1" t="str">
        <f t="shared" si="2"/>
        <v>Jul</v>
      </c>
      <c r="M429" s="1" t="str">
        <f t="shared" si="3"/>
        <v>Loss</v>
      </c>
    </row>
    <row r="430" ht="14.25" customHeight="1">
      <c r="A430" s="1" t="s">
        <v>464</v>
      </c>
      <c r="B430" s="2">
        <v>45285.0</v>
      </c>
      <c r="C430" s="1" t="s">
        <v>20</v>
      </c>
      <c r="D430" s="1" t="s">
        <v>15</v>
      </c>
      <c r="E430" s="1" t="s">
        <v>31</v>
      </c>
      <c r="F430" s="1">
        <v>555.37</v>
      </c>
      <c r="G430" s="1">
        <v>-168.05</v>
      </c>
      <c r="H430" s="1">
        <v>2.0</v>
      </c>
      <c r="I430" s="1" t="s">
        <v>23</v>
      </c>
      <c r="J430" s="1" t="s">
        <v>35</v>
      </c>
      <c r="K430" s="1">
        <f t="shared" si="1"/>
        <v>2023</v>
      </c>
      <c r="L430" s="1" t="str">
        <f t="shared" si="2"/>
        <v>Dec</v>
      </c>
      <c r="M430" s="1" t="str">
        <f t="shared" si="3"/>
        <v>Loss</v>
      </c>
    </row>
    <row r="431" ht="14.25" customHeight="1">
      <c r="A431" s="1" t="s">
        <v>465</v>
      </c>
      <c r="B431" s="2">
        <v>44478.0</v>
      </c>
      <c r="C431" s="1" t="s">
        <v>26</v>
      </c>
      <c r="D431" s="1" t="s">
        <v>15</v>
      </c>
      <c r="E431" s="1" t="s">
        <v>31</v>
      </c>
      <c r="F431" s="1">
        <v>127.81</v>
      </c>
      <c r="G431" s="1">
        <v>-88.82</v>
      </c>
      <c r="H431" s="1">
        <v>9.0</v>
      </c>
      <c r="I431" s="1" t="s">
        <v>34</v>
      </c>
      <c r="J431" s="1" t="s">
        <v>24</v>
      </c>
      <c r="K431" s="1">
        <f t="shared" si="1"/>
        <v>2021</v>
      </c>
      <c r="L431" s="1" t="str">
        <f t="shared" si="2"/>
        <v>Oct</v>
      </c>
      <c r="M431" s="1" t="str">
        <f t="shared" si="3"/>
        <v>Loss</v>
      </c>
    </row>
    <row r="432" ht="14.25" customHeight="1">
      <c r="A432" s="1" t="s">
        <v>466</v>
      </c>
      <c r="B432" s="2">
        <v>44934.0</v>
      </c>
      <c r="C432" s="1" t="s">
        <v>20</v>
      </c>
      <c r="D432" s="1" t="s">
        <v>27</v>
      </c>
      <c r="E432" s="1" t="s">
        <v>28</v>
      </c>
      <c r="F432" s="1">
        <v>165.91</v>
      </c>
      <c r="G432" s="1">
        <v>-75.28</v>
      </c>
      <c r="H432" s="1">
        <v>9.0</v>
      </c>
      <c r="I432" s="1" t="s">
        <v>17</v>
      </c>
      <c r="J432" s="1" t="s">
        <v>18</v>
      </c>
      <c r="K432" s="1">
        <f t="shared" si="1"/>
        <v>2023</v>
      </c>
      <c r="L432" s="1" t="str">
        <f t="shared" si="2"/>
        <v>Jan</v>
      </c>
      <c r="M432" s="1" t="str">
        <f t="shared" si="3"/>
        <v>Loss</v>
      </c>
    </row>
    <row r="433" ht="14.25" customHeight="1">
      <c r="A433" s="1" t="s">
        <v>467</v>
      </c>
      <c r="B433" s="2">
        <v>45046.0</v>
      </c>
      <c r="C433" s="1" t="s">
        <v>26</v>
      </c>
      <c r="D433" s="1" t="s">
        <v>27</v>
      </c>
      <c r="E433" s="1" t="s">
        <v>28</v>
      </c>
      <c r="F433" s="1">
        <v>361.61</v>
      </c>
      <c r="G433" s="1">
        <v>16.21</v>
      </c>
      <c r="H433" s="1">
        <v>1.0</v>
      </c>
      <c r="I433" s="1" t="s">
        <v>34</v>
      </c>
      <c r="J433" s="1" t="s">
        <v>35</v>
      </c>
      <c r="K433" s="1">
        <f t="shared" si="1"/>
        <v>2023</v>
      </c>
      <c r="L433" s="1" t="str">
        <f t="shared" si="2"/>
        <v>Apr</v>
      </c>
      <c r="M433" s="1" t="str">
        <f t="shared" si="3"/>
        <v>Profit</v>
      </c>
    </row>
    <row r="434" ht="14.25" customHeight="1">
      <c r="A434" s="1" t="s">
        <v>468</v>
      </c>
      <c r="B434" s="2">
        <v>44316.0</v>
      </c>
      <c r="C434" s="1" t="s">
        <v>14</v>
      </c>
      <c r="D434" s="1" t="s">
        <v>15</v>
      </c>
      <c r="E434" s="1" t="s">
        <v>16</v>
      </c>
      <c r="F434" s="1">
        <v>988.1</v>
      </c>
      <c r="G434" s="1">
        <v>-157.43</v>
      </c>
      <c r="H434" s="1">
        <v>10.0</v>
      </c>
      <c r="I434" s="1" t="s">
        <v>17</v>
      </c>
      <c r="J434" s="1" t="s">
        <v>38</v>
      </c>
      <c r="K434" s="1">
        <f t="shared" si="1"/>
        <v>2021</v>
      </c>
      <c r="L434" s="1" t="str">
        <f t="shared" si="2"/>
        <v>Apr</v>
      </c>
      <c r="M434" s="1" t="str">
        <f t="shared" si="3"/>
        <v>Loss</v>
      </c>
    </row>
    <row r="435" ht="14.25" customHeight="1">
      <c r="A435" s="1" t="s">
        <v>469</v>
      </c>
      <c r="B435" s="2">
        <v>44251.0</v>
      </c>
      <c r="C435" s="1" t="s">
        <v>14</v>
      </c>
      <c r="D435" s="1" t="s">
        <v>21</v>
      </c>
      <c r="E435" s="1" t="s">
        <v>37</v>
      </c>
      <c r="F435" s="1">
        <v>613.47</v>
      </c>
      <c r="G435" s="1">
        <v>78.42</v>
      </c>
      <c r="H435" s="1">
        <v>1.0</v>
      </c>
      <c r="I435" s="1" t="s">
        <v>34</v>
      </c>
      <c r="J435" s="1" t="s">
        <v>24</v>
      </c>
      <c r="K435" s="1">
        <f t="shared" si="1"/>
        <v>2021</v>
      </c>
      <c r="L435" s="1" t="str">
        <f t="shared" si="2"/>
        <v>Feb</v>
      </c>
      <c r="M435" s="1" t="str">
        <f t="shared" si="3"/>
        <v>Profit</v>
      </c>
    </row>
    <row r="436" ht="14.25" customHeight="1">
      <c r="A436" s="1" t="s">
        <v>470</v>
      </c>
      <c r="B436" s="2">
        <v>44736.0</v>
      </c>
      <c r="C436" s="1" t="s">
        <v>20</v>
      </c>
      <c r="D436" s="1" t="s">
        <v>21</v>
      </c>
      <c r="E436" s="1" t="s">
        <v>76</v>
      </c>
      <c r="F436" s="1">
        <v>75.91</v>
      </c>
      <c r="G436" s="1">
        <v>2.3</v>
      </c>
      <c r="H436" s="1">
        <v>5.0</v>
      </c>
      <c r="I436" s="1" t="s">
        <v>34</v>
      </c>
      <c r="J436" s="1" t="s">
        <v>38</v>
      </c>
      <c r="K436" s="1">
        <f t="shared" si="1"/>
        <v>2022</v>
      </c>
      <c r="L436" s="1" t="str">
        <f t="shared" si="2"/>
        <v>Jun</v>
      </c>
      <c r="M436" s="1" t="str">
        <f t="shared" si="3"/>
        <v>Profit</v>
      </c>
    </row>
    <row r="437" ht="14.25" customHeight="1">
      <c r="A437" s="1" t="s">
        <v>471</v>
      </c>
      <c r="B437" s="2">
        <v>44429.0</v>
      </c>
      <c r="C437" s="1" t="s">
        <v>30</v>
      </c>
      <c r="D437" s="1" t="s">
        <v>21</v>
      </c>
      <c r="E437" s="1" t="s">
        <v>37</v>
      </c>
      <c r="F437" s="1">
        <v>299.63</v>
      </c>
      <c r="G437" s="1">
        <v>236.48</v>
      </c>
      <c r="H437" s="1">
        <v>3.0</v>
      </c>
      <c r="I437" s="1" t="s">
        <v>23</v>
      </c>
      <c r="J437" s="1" t="s">
        <v>24</v>
      </c>
      <c r="K437" s="1">
        <f t="shared" si="1"/>
        <v>2021</v>
      </c>
      <c r="L437" s="1" t="str">
        <f t="shared" si="2"/>
        <v>Aug</v>
      </c>
      <c r="M437" s="1" t="str">
        <f t="shared" si="3"/>
        <v>Profit</v>
      </c>
    </row>
    <row r="438" ht="14.25" customHeight="1">
      <c r="A438" s="1" t="s">
        <v>472</v>
      </c>
      <c r="B438" s="2">
        <v>44775.0</v>
      </c>
      <c r="C438" s="1" t="s">
        <v>20</v>
      </c>
      <c r="D438" s="1" t="s">
        <v>15</v>
      </c>
      <c r="E438" s="1" t="s">
        <v>16</v>
      </c>
      <c r="F438" s="1">
        <v>302.18</v>
      </c>
      <c r="G438" s="1">
        <v>270.65</v>
      </c>
      <c r="H438" s="1">
        <v>1.0</v>
      </c>
      <c r="I438" s="1" t="s">
        <v>17</v>
      </c>
      <c r="J438" s="1" t="s">
        <v>24</v>
      </c>
      <c r="K438" s="1">
        <f t="shared" si="1"/>
        <v>2022</v>
      </c>
      <c r="L438" s="1" t="str">
        <f t="shared" si="2"/>
        <v>Aug</v>
      </c>
      <c r="M438" s="1" t="str">
        <f t="shared" si="3"/>
        <v>Profit</v>
      </c>
    </row>
    <row r="439" ht="14.25" customHeight="1">
      <c r="A439" s="1" t="s">
        <v>473</v>
      </c>
      <c r="B439" s="2">
        <v>44899.0</v>
      </c>
      <c r="C439" s="1" t="s">
        <v>14</v>
      </c>
      <c r="D439" s="1" t="s">
        <v>27</v>
      </c>
      <c r="E439" s="1" t="s">
        <v>33</v>
      </c>
      <c r="F439" s="1">
        <v>573.61</v>
      </c>
      <c r="G439" s="1">
        <v>191.81</v>
      </c>
      <c r="H439" s="1">
        <v>8.0</v>
      </c>
      <c r="I439" s="1" t="s">
        <v>17</v>
      </c>
      <c r="J439" s="1" t="s">
        <v>24</v>
      </c>
      <c r="K439" s="1">
        <f t="shared" si="1"/>
        <v>2022</v>
      </c>
      <c r="L439" s="1" t="str">
        <f t="shared" si="2"/>
        <v>Dec</v>
      </c>
      <c r="M439" s="1" t="str">
        <f t="shared" si="3"/>
        <v>Profit</v>
      </c>
    </row>
    <row r="440" ht="14.25" customHeight="1">
      <c r="A440" s="1" t="s">
        <v>474</v>
      </c>
      <c r="B440" s="2">
        <v>44939.0</v>
      </c>
      <c r="C440" s="1" t="s">
        <v>30</v>
      </c>
      <c r="D440" s="1" t="s">
        <v>27</v>
      </c>
      <c r="E440" s="1" t="s">
        <v>33</v>
      </c>
      <c r="F440" s="1">
        <v>826.11</v>
      </c>
      <c r="G440" s="1">
        <v>-178.63</v>
      </c>
      <c r="H440" s="1">
        <v>10.0</v>
      </c>
      <c r="I440" s="1" t="s">
        <v>34</v>
      </c>
      <c r="J440" s="1" t="s">
        <v>18</v>
      </c>
      <c r="K440" s="1">
        <f t="shared" si="1"/>
        <v>2023</v>
      </c>
      <c r="L440" s="1" t="str">
        <f t="shared" si="2"/>
        <v>Jan</v>
      </c>
      <c r="M440" s="1" t="str">
        <f t="shared" si="3"/>
        <v>Loss</v>
      </c>
    </row>
    <row r="441" ht="14.25" customHeight="1">
      <c r="A441" s="1" t="s">
        <v>475</v>
      </c>
      <c r="B441" s="2">
        <v>44219.0</v>
      </c>
      <c r="C441" s="1" t="s">
        <v>14</v>
      </c>
      <c r="D441" s="1" t="s">
        <v>27</v>
      </c>
      <c r="E441" s="1" t="s">
        <v>33</v>
      </c>
      <c r="F441" s="1">
        <v>272.03</v>
      </c>
      <c r="G441" s="1">
        <v>151.64</v>
      </c>
      <c r="H441" s="1">
        <v>9.0</v>
      </c>
      <c r="I441" s="1" t="s">
        <v>17</v>
      </c>
      <c r="J441" s="1" t="s">
        <v>18</v>
      </c>
      <c r="K441" s="1">
        <f t="shared" si="1"/>
        <v>2021</v>
      </c>
      <c r="L441" s="1" t="str">
        <f t="shared" si="2"/>
        <v>Jan</v>
      </c>
      <c r="M441" s="1" t="str">
        <f t="shared" si="3"/>
        <v>Profit</v>
      </c>
    </row>
    <row r="442" ht="14.25" customHeight="1">
      <c r="A442" s="1" t="s">
        <v>476</v>
      </c>
      <c r="B442" s="2">
        <v>45014.0</v>
      </c>
      <c r="C442" s="1" t="s">
        <v>20</v>
      </c>
      <c r="D442" s="1" t="s">
        <v>21</v>
      </c>
      <c r="E442" s="1" t="s">
        <v>22</v>
      </c>
      <c r="F442" s="1">
        <v>764.26</v>
      </c>
      <c r="G442" s="1">
        <v>0.26</v>
      </c>
      <c r="H442" s="1">
        <v>5.0</v>
      </c>
      <c r="I442" s="1" t="s">
        <v>17</v>
      </c>
      <c r="J442" s="1" t="s">
        <v>38</v>
      </c>
      <c r="K442" s="1">
        <f t="shared" si="1"/>
        <v>2023</v>
      </c>
      <c r="L442" s="1" t="str">
        <f t="shared" si="2"/>
        <v>Mar</v>
      </c>
      <c r="M442" s="1" t="str">
        <f t="shared" si="3"/>
        <v>Profit</v>
      </c>
    </row>
    <row r="443" ht="14.25" customHeight="1">
      <c r="A443" s="1" t="s">
        <v>477</v>
      </c>
      <c r="B443" s="2">
        <v>44525.0</v>
      </c>
      <c r="C443" s="1" t="s">
        <v>14</v>
      </c>
      <c r="D443" s="1" t="s">
        <v>27</v>
      </c>
      <c r="E443" s="1" t="s">
        <v>33</v>
      </c>
      <c r="F443" s="1">
        <v>254.62</v>
      </c>
      <c r="G443" s="1">
        <v>-66.43</v>
      </c>
      <c r="H443" s="1">
        <v>1.0</v>
      </c>
      <c r="I443" s="1" t="s">
        <v>23</v>
      </c>
      <c r="J443" s="1" t="s">
        <v>24</v>
      </c>
      <c r="K443" s="1">
        <f t="shared" si="1"/>
        <v>2021</v>
      </c>
      <c r="L443" s="1" t="str">
        <f t="shared" si="2"/>
        <v>Nov</v>
      </c>
      <c r="M443" s="1" t="str">
        <f t="shared" si="3"/>
        <v>Loss</v>
      </c>
    </row>
    <row r="444" ht="14.25" customHeight="1">
      <c r="A444" s="1" t="s">
        <v>478</v>
      </c>
      <c r="B444" s="2">
        <v>44697.0</v>
      </c>
      <c r="C444" s="1" t="s">
        <v>14</v>
      </c>
      <c r="D444" s="1" t="s">
        <v>21</v>
      </c>
      <c r="E444" s="1" t="s">
        <v>22</v>
      </c>
      <c r="F444" s="1">
        <v>544.85</v>
      </c>
      <c r="G444" s="1">
        <v>-175.36</v>
      </c>
      <c r="H444" s="1">
        <v>9.0</v>
      </c>
      <c r="I444" s="1" t="s">
        <v>23</v>
      </c>
      <c r="J444" s="1" t="s">
        <v>24</v>
      </c>
      <c r="K444" s="1">
        <f t="shared" si="1"/>
        <v>2022</v>
      </c>
      <c r="L444" s="1" t="str">
        <f t="shared" si="2"/>
        <v>May</v>
      </c>
      <c r="M444" s="1" t="str">
        <f t="shared" si="3"/>
        <v>Loss</v>
      </c>
    </row>
    <row r="445" ht="14.25" customHeight="1">
      <c r="A445" s="1" t="s">
        <v>479</v>
      </c>
      <c r="B445" s="2">
        <v>44919.0</v>
      </c>
      <c r="C445" s="1" t="s">
        <v>26</v>
      </c>
      <c r="D445" s="1" t="s">
        <v>27</v>
      </c>
      <c r="E445" s="1" t="s">
        <v>28</v>
      </c>
      <c r="F445" s="1">
        <v>373.57</v>
      </c>
      <c r="G445" s="1">
        <v>179.4</v>
      </c>
      <c r="H445" s="1">
        <v>7.0</v>
      </c>
      <c r="I445" s="1" t="s">
        <v>17</v>
      </c>
      <c r="J445" s="1" t="s">
        <v>18</v>
      </c>
      <c r="K445" s="1">
        <f t="shared" si="1"/>
        <v>2022</v>
      </c>
      <c r="L445" s="1" t="str">
        <f t="shared" si="2"/>
        <v>Dec</v>
      </c>
      <c r="M445" s="1" t="str">
        <f t="shared" si="3"/>
        <v>Profit</v>
      </c>
    </row>
    <row r="446" ht="14.25" customHeight="1">
      <c r="A446" s="1" t="s">
        <v>480</v>
      </c>
      <c r="B446" s="2">
        <v>44408.0</v>
      </c>
      <c r="C446" s="1" t="s">
        <v>30</v>
      </c>
      <c r="D446" s="1" t="s">
        <v>27</v>
      </c>
      <c r="E446" s="1" t="s">
        <v>40</v>
      </c>
      <c r="F446" s="1">
        <v>590.41</v>
      </c>
      <c r="G446" s="1">
        <v>-190.51</v>
      </c>
      <c r="H446" s="1">
        <v>7.0</v>
      </c>
      <c r="I446" s="1" t="s">
        <v>17</v>
      </c>
      <c r="J446" s="1" t="s">
        <v>38</v>
      </c>
      <c r="K446" s="1">
        <f t="shared" si="1"/>
        <v>2021</v>
      </c>
      <c r="L446" s="1" t="str">
        <f t="shared" si="2"/>
        <v>Jul</v>
      </c>
      <c r="M446" s="1" t="str">
        <f t="shared" si="3"/>
        <v>Loss</v>
      </c>
    </row>
    <row r="447" ht="14.25" customHeight="1">
      <c r="A447" s="1" t="s">
        <v>481</v>
      </c>
      <c r="B447" s="2">
        <v>45281.0</v>
      </c>
      <c r="C447" s="1" t="s">
        <v>26</v>
      </c>
      <c r="D447" s="1" t="s">
        <v>27</v>
      </c>
      <c r="E447" s="1" t="s">
        <v>28</v>
      </c>
      <c r="F447" s="1">
        <v>924.77</v>
      </c>
      <c r="G447" s="1">
        <v>241.75</v>
      </c>
      <c r="H447" s="1">
        <v>10.0</v>
      </c>
      <c r="I447" s="1" t="s">
        <v>34</v>
      </c>
      <c r="J447" s="1" t="s">
        <v>24</v>
      </c>
      <c r="K447" s="1">
        <f t="shared" si="1"/>
        <v>2023</v>
      </c>
      <c r="L447" s="1" t="str">
        <f t="shared" si="2"/>
        <v>Dec</v>
      </c>
      <c r="M447" s="1" t="str">
        <f t="shared" si="3"/>
        <v>Profit</v>
      </c>
    </row>
    <row r="448" ht="14.25" customHeight="1">
      <c r="A448" s="1" t="s">
        <v>482</v>
      </c>
      <c r="B448" s="2">
        <v>44321.0</v>
      </c>
      <c r="C448" s="1" t="s">
        <v>14</v>
      </c>
      <c r="D448" s="1" t="s">
        <v>21</v>
      </c>
      <c r="E448" s="1" t="s">
        <v>76</v>
      </c>
      <c r="F448" s="1">
        <v>375.2</v>
      </c>
      <c r="G448" s="1">
        <v>195.39</v>
      </c>
      <c r="H448" s="1">
        <v>5.0</v>
      </c>
      <c r="I448" s="1" t="s">
        <v>23</v>
      </c>
      <c r="J448" s="1" t="s">
        <v>24</v>
      </c>
      <c r="K448" s="1">
        <f t="shared" si="1"/>
        <v>2021</v>
      </c>
      <c r="L448" s="1" t="str">
        <f t="shared" si="2"/>
        <v>May</v>
      </c>
      <c r="M448" s="1" t="str">
        <f t="shared" si="3"/>
        <v>Profit</v>
      </c>
    </row>
    <row r="449" ht="14.25" customHeight="1">
      <c r="A449" s="1" t="s">
        <v>483</v>
      </c>
      <c r="B449" s="2">
        <v>44950.0</v>
      </c>
      <c r="C449" s="1" t="s">
        <v>20</v>
      </c>
      <c r="D449" s="1" t="s">
        <v>15</v>
      </c>
      <c r="E449" s="1" t="s">
        <v>31</v>
      </c>
      <c r="F449" s="1">
        <v>861.95</v>
      </c>
      <c r="G449" s="1">
        <v>-182.27</v>
      </c>
      <c r="H449" s="1">
        <v>5.0</v>
      </c>
      <c r="I449" s="1" t="s">
        <v>17</v>
      </c>
      <c r="J449" s="1" t="s">
        <v>35</v>
      </c>
      <c r="K449" s="1">
        <f t="shared" si="1"/>
        <v>2023</v>
      </c>
      <c r="L449" s="1" t="str">
        <f t="shared" si="2"/>
        <v>Jan</v>
      </c>
      <c r="M449" s="1" t="str">
        <f t="shared" si="3"/>
        <v>Loss</v>
      </c>
    </row>
    <row r="450" ht="14.25" customHeight="1">
      <c r="A450" s="1" t="s">
        <v>484</v>
      </c>
      <c r="B450" s="2">
        <v>45239.0</v>
      </c>
      <c r="C450" s="1" t="s">
        <v>20</v>
      </c>
      <c r="D450" s="1" t="s">
        <v>27</v>
      </c>
      <c r="E450" s="1" t="s">
        <v>40</v>
      </c>
      <c r="F450" s="1">
        <v>487.94</v>
      </c>
      <c r="G450" s="1">
        <v>-59.67</v>
      </c>
      <c r="H450" s="1">
        <v>5.0</v>
      </c>
      <c r="I450" s="1" t="s">
        <v>23</v>
      </c>
      <c r="J450" s="1" t="s">
        <v>18</v>
      </c>
      <c r="K450" s="1">
        <f t="shared" si="1"/>
        <v>2023</v>
      </c>
      <c r="L450" s="1" t="str">
        <f t="shared" si="2"/>
        <v>Nov</v>
      </c>
      <c r="M450" s="1" t="str">
        <f t="shared" si="3"/>
        <v>Loss</v>
      </c>
    </row>
    <row r="451" ht="14.25" customHeight="1">
      <c r="A451" s="1" t="s">
        <v>485</v>
      </c>
      <c r="B451" s="2">
        <v>45231.0</v>
      </c>
      <c r="C451" s="1" t="s">
        <v>20</v>
      </c>
      <c r="D451" s="1" t="s">
        <v>27</v>
      </c>
      <c r="E451" s="1" t="s">
        <v>28</v>
      </c>
      <c r="F451" s="1">
        <v>63.74</v>
      </c>
      <c r="G451" s="1">
        <v>195.77</v>
      </c>
      <c r="H451" s="1">
        <v>5.0</v>
      </c>
      <c r="I451" s="1" t="s">
        <v>17</v>
      </c>
      <c r="J451" s="1" t="s">
        <v>38</v>
      </c>
      <c r="K451" s="1">
        <f t="shared" si="1"/>
        <v>2023</v>
      </c>
      <c r="L451" s="1" t="str">
        <f t="shared" si="2"/>
        <v>Nov</v>
      </c>
      <c r="M451" s="1" t="str">
        <f t="shared" si="3"/>
        <v>Profit</v>
      </c>
    </row>
    <row r="452" ht="14.25" customHeight="1">
      <c r="A452" s="1" t="s">
        <v>486</v>
      </c>
      <c r="B452" s="2">
        <v>44299.0</v>
      </c>
      <c r="C452" s="1" t="s">
        <v>26</v>
      </c>
      <c r="D452" s="1" t="s">
        <v>15</v>
      </c>
      <c r="E452" s="1" t="s">
        <v>16</v>
      </c>
      <c r="F452" s="1">
        <v>582.58</v>
      </c>
      <c r="G452" s="1">
        <v>-102.06</v>
      </c>
      <c r="H452" s="1">
        <v>4.0</v>
      </c>
      <c r="I452" s="1" t="s">
        <v>23</v>
      </c>
      <c r="J452" s="1" t="s">
        <v>24</v>
      </c>
      <c r="K452" s="1">
        <f t="shared" si="1"/>
        <v>2021</v>
      </c>
      <c r="L452" s="1" t="str">
        <f t="shared" si="2"/>
        <v>Apr</v>
      </c>
      <c r="M452" s="1" t="str">
        <f t="shared" si="3"/>
        <v>Loss</v>
      </c>
    </row>
    <row r="453" ht="14.25" customHeight="1">
      <c r="A453" s="1" t="s">
        <v>487</v>
      </c>
      <c r="B453" s="2">
        <v>45057.0</v>
      </c>
      <c r="C453" s="1" t="s">
        <v>14</v>
      </c>
      <c r="D453" s="1" t="s">
        <v>15</v>
      </c>
      <c r="E453" s="1" t="s">
        <v>16</v>
      </c>
      <c r="F453" s="1">
        <v>682.06</v>
      </c>
      <c r="G453" s="1">
        <v>35.88</v>
      </c>
      <c r="H453" s="1">
        <v>3.0</v>
      </c>
      <c r="I453" s="1" t="s">
        <v>23</v>
      </c>
      <c r="J453" s="1" t="s">
        <v>38</v>
      </c>
      <c r="K453" s="1">
        <f t="shared" si="1"/>
        <v>2023</v>
      </c>
      <c r="L453" s="1" t="str">
        <f t="shared" si="2"/>
        <v>May</v>
      </c>
      <c r="M453" s="1" t="str">
        <f t="shared" si="3"/>
        <v>Profit</v>
      </c>
    </row>
    <row r="454" ht="14.25" customHeight="1">
      <c r="A454" s="1" t="s">
        <v>488</v>
      </c>
      <c r="B454" s="2">
        <v>44210.0</v>
      </c>
      <c r="C454" s="1" t="s">
        <v>20</v>
      </c>
      <c r="D454" s="1" t="s">
        <v>21</v>
      </c>
      <c r="E454" s="1" t="s">
        <v>76</v>
      </c>
      <c r="F454" s="1">
        <v>259.68</v>
      </c>
      <c r="G454" s="1">
        <v>230.24</v>
      </c>
      <c r="H454" s="1">
        <v>7.0</v>
      </c>
      <c r="I454" s="1" t="s">
        <v>17</v>
      </c>
      <c r="J454" s="1" t="s">
        <v>38</v>
      </c>
      <c r="K454" s="1">
        <f t="shared" si="1"/>
        <v>2021</v>
      </c>
      <c r="L454" s="1" t="str">
        <f t="shared" si="2"/>
        <v>Jan</v>
      </c>
      <c r="M454" s="1" t="str">
        <f t="shared" si="3"/>
        <v>Profit</v>
      </c>
    </row>
    <row r="455" ht="14.25" customHeight="1">
      <c r="A455" s="1" t="s">
        <v>489</v>
      </c>
      <c r="B455" s="2">
        <v>44871.0</v>
      </c>
      <c r="C455" s="1" t="s">
        <v>20</v>
      </c>
      <c r="D455" s="1" t="s">
        <v>21</v>
      </c>
      <c r="E455" s="1" t="s">
        <v>37</v>
      </c>
      <c r="F455" s="1">
        <v>789.16</v>
      </c>
      <c r="G455" s="1">
        <v>155.5</v>
      </c>
      <c r="H455" s="1">
        <v>6.0</v>
      </c>
      <c r="I455" s="1" t="s">
        <v>17</v>
      </c>
      <c r="J455" s="1" t="s">
        <v>18</v>
      </c>
      <c r="K455" s="1">
        <f t="shared" si="1"/>
        <v>2022</v>
      </c>
      <c r="L455" s="1" t="str">
        <f t="shared" si="2"/>
        <v>Nov</v>
      </c>
      <c r="M455" s="1" t="str">
        <f t="shared" si="3"/>
        <v>Profit</v>
      </c>
    </row>
    <row r="456" ht="14.25" customHeight="1">
      <c r="A456" s="1" t="s">
        <v>490</v>
      </c>
      <c r="B456" s="2">
        <v>44817.0</v>
      </c>
      <c r="C456" s="1" t="s">
        <v>14</v>
      </c>
      <c r="D456" s="1" t="s">
        <v>27</v>
      </c>
      <c r="E456" s="1" t="s">
        <v>40</v>
      </c>
      <c r="F456" s="1">
        <v>118.75</v>
      </c>
      <c r="G456" s="1">
        <v>82.82</v>
      </c>
      <c r="H456" s="1">
        <v>7.0</v>
      </c>
      <c r="I456" s="1" t="s">
        <v>34</v>
      </c>
      <c r="J456" s="1" t="s">
        <v>24</v>
      </c>
      <c r="K456" s="1">
        <f t="shared" si="1"/>
        <v>2022</v>
      </c>
      <c r="L456" s="1" t="str">
        <f t="shared" si="2"/>
        <v>Sep</v>
      </c>
      <c r="M456" s="1" t="str">
        <f t="shared" si="3"/>
        <v>Profit</v>
      </c>
    </row>
    <row r="457" ht="14.25" customHeight="1">
      <c r="A457" s="1" t="s">
        <v>491</v>
      </c>
      <c r="B457" s="2">
        <v>44964.0</v>
      </c>
      <c r="C457" s="1" t="s">
        <v>14</v>
      </c>
      <c r="D457" s="1" t="s">
        <v>27</v>
      </c>
      <c r="E457" s="1" t="s">
        <v>40</v>
      </c>
      <c r="F457" s="1">
        <v>219.46</v>
      </c>
      <c r="G457" s="1">
        <v>176.41</v>
      </c>
      <c r="H457" s="1">
        <v>4.0</v>
      </c>
      <c r="I457" s="1" t="s">
        <v>34</v>
      </c>
      <c r="J457" s="1" t="s">
        <v>18</v>
      </c>
      <c r="K457" s="1">
        <f t="shared" si="1"/>
        <v>2023</v>
      </c>
      <c r="L457" s="1" t="str">
        <f t="shared" si="2"/>
        <v>Feb</v>
      </c>
      <c r="M457" s="1" t="str">
        <f t="shared" si="3"/>
        <v>Profit</v>
      </c>
    </row>
    <row r="458" ht="14.25" customHeight="1">
      <c r="A458" s="1" t="s">
        <v>492</v>
      </c>
      <c r="B458" s="2">
        <v>45271.0</v>
      </c>
      <c r="C458" s="1" t="s">
        <v>26</v>
      </c>
      <c r="D458" s="1" t="s">
        <v>27</v>
      </c>
      <c r="E458" s="1" t="s">
        <v>28</v>
      </c>
      <c r="F458" s="1">
        <v>829.69</v>
      </c>
      <c r="G458" s="1">
        <v>292.08</v>
      </c>
      <c r="H458" s="1">
        <v>1.0</v>
      </c>
      <c r="I458" s="1" t="s">
        <v>23</v>
      </c>
      <c r="J458" s="1" t="s">
        <v>35</v>
      </c>
      <c r="K458" s="1">
        <f t="shared" si="1"/>
        <v>2023</v>
      </c>
      <c r="L458" s="1" t="str">
        <f t="shared" si="2"/>
        <v>Dec</v>
      </c>
      <c r="M458" s="1" t="str">
        <f t="shared" si="3"/>
        <v>Profit</v>
      </c>
    </row>
    <row r="459" ht="14.25" customHeight="1">
      <c r="A459" s="1" t="s">
        <v>493</v>
      </c>
      <c r="B459" s="2">
        <v>44931.0</v>
      </c>
      <c r="C459" s="1" t="s">
        <v>30</v>
      </c>
      <c r="D459" s="1" t="s">
        <v>21</v>
      </c>
      <c r="E459" s="1" t="s">
        <v>22</v>
      </c>
      <c r="F459" s="1">
        <v>887.49</v>
      </c>
      <c r="G459" s="1">
        <v>138.88</v>
      </c>
      <c r="H459" s="1">
        <v>5.0</v>
      </c>
      <c r="I459" s="1" t="s">
        <v>17</v>
      </c>
      <c r="J459" s="1" t="s">
        <v>24</v>
      </c>
      <c r="K459" s="1">
        <f t="shared" si="1"/>
        <v>2023</v>
      </c>
      <c r="L459" s="1" t="str">
        <f t="shared" si="2"/>
        <v>Jan</v>
      </c>
      <c r="M459" s="1" t="str">
        <f t="shared" si="3"/>
        <v>Profit</v>
      </c>
    </row>
    <row r="460" ht="14.25" customHeight="1">
      <c r="A460" s="1" t="s">
        <v>494</v>
      </c>
      <c r="B460" s="2">
        <v>44526.0</v>
      </c>
      <c r="C460" s="1" t="s">
        <v>26</v>
      </c>
      <c r="D460" s="1" t="s">
        <v>15</v>
      </c>
      <c r="E460" s="1" t="s">
        <v>54</v>
      </c>
      <c r="F460" s="1">
        <v>567.4</v>
      </c>
      <c r="G460" s="1">
        <v>219.44</v>
      </c>
      <c r="H460" s="1">
        <v>3.0</v>
      </c>
      <c r="I460" s="1" t="s">
        <v>17</v>
      </c>
      <c r="J460" s="1" t="s">
        <v>24</v>
      </c>
      <c r="K460" s="1">
        <f t="shared" si="1"/>
        <v>2021</v>
      </c>
      <c r="L460" s="1" t="str">
        <f t="shared" si="2"/>
        <v>Nov</v>
      </c>
      <c r="M460" s="1" t="str">
        <f t="shared" si="3"/>
        <v>Profit</v>
      </c>
    </row>
    <row r="461" ht="14.25" customHeight="1">
      <c r="A461" s="1" t="s">
        <v>495</v>
      </c>
      <c r="B461" s="2">
        <v>44574.0</v>
      </c>
      <c r="C461" s="1" t="s">
        <v>30</v>
      </c>
      <c r="D461" s="1" t="s">
        <v>15</v>
      </c>
      <c r="E461" s="1" t="s">
        <v>31</v>
      </c>
      <c r="F461" s="1">
        <v>428.88</v>
      </c>
      <c r="G461" s="1">
        <v>113.35</v>
      </c>
      <c r="H461" s="1">
        <v>6.0</v>
      </c>
      <c r="I461" s="1" t="s">
        <v>17</v>
      </c>
      <c r="J461" s="1" t="s">
        <v>24</v>
      </c>
      <c r="K461" s="1">
        <f t="shared" si="1"/>
        <v>2022</v>
      </c>
      <c r="L461" s="1" t="str">
        <f t="shared" si="2"/>
        <v>Jan</v>
      </c>
      <c r="M461" s="1" t="str">
        <f t="shared" si="3"/>
        <v>Profit</v>
      </c>
    </row>
    <row r="462" ht="14.25" customHeight="1">
      <c r="A462" s="1" t="s">
        <v>496</v>
      </c>
      <c r="B462" s="2">
        <v>44728.0</v>
      </c>
      <c r="C462" s="1" t="s">
        <v>14</v>
      </c>
      <c r="D462" s="1" t="s">
        <v>27</v>
      </c>
      <c r="E462" s="1" t="s">
        <v>33</v>
      </c>
      <c r="F462" s="1">
        <v>470.7</v>
      </c>
      <c r="G462" s="1">
        <v>129.48</v>
      </c>
      <c r="H462" s="1">
        <v>7.0</v>
      </c>
      <c r="I462" s="1" t="s">
        <v>34</v>
      </c>
      <c r="J462" s="1" t="s">
        <v>38</v>
      </c>
      <c r="K462" s="1">
        <f t="shared" si="1"/>
        <v>2022</v>
      </c>
      <c r="L462" s="1" t="str">
        <f t="shared" si="2"/>
        <v>Jun</v>
      </c>
      <c r="M462" s="1" t="str">
        <f t="shared" si="3"/>
        <v>Profit</v>
      </c>
    </row>
    <row r="463" ht="14.25" customHeight="1">
      <c r="A463" s="1" t="s">
        <v>497</v>
      </c>
      <c r="B463" s="2">
        <v>45247.0</v>
      </c>
      <c r="C463" s="1" t="s">
        <v>26</v>
      </c>
      <c r="D463" s="1" t="s">
        <v>21</v>
      </c>
      <c r="E463" s="1" t="s">
        <v>76</v>
      </c>
      <c r="F463" s="1">
        <v>344.2</v>
      </c>
      <c r="G463" s="1">
        <v>-26.29</v>
      </c>
      <c r="H463" s="1">
        <v>5.0</v>
      </c>
      <c r="I463" s="1" t="s">
        <v>17</v>
      </c>
      <c r="J463" s="1" t="s">
        <v>18</v>
      </c>
      <c r="K463" s="1">
        <f t="shared" si="1"/>
        <v>2023</v>
      </c>
      <c r="L463" s="1" t="str">
        <f t="shared" si="2"/>
        <v>Nov</v>
      </c>
      <c r="M463" s="1" t="str">
        <f t="shared" si="3"/>
        <v>Loss</v>
      </c>
    </row>
    <row r="464" ht="14.25" customHeight="1">
      <c r="A464" s="1" t="s">
        <v>498</v>
      </c>
      <c r="B464" s="2">
        <v>44897.0</v>
      </c>
      <c r="C464" s="1" t="s">
        <v>14</v>
      </c>
      <c r="D464" s="1" t="s">
        <v>21</v>
      </c>
      <c r="E464" s="1" t="s">
        <v>22</v>
      </c>
      <c r="F464" s="1">
        <v>397.33</v>
      </c>
      <c r="G464" s="1">
        <v>205.4</v>
      </c>
      <c r="H464" s="1">
        <v>4.0</v>
      </c>
      <c r="I464" s="1" t="s">
        <v>17</v>
      </c>
      <c r="J464" s="1" t="s">
        <v>35</v>
      </c>
      <c r="K464" s="1">
        <f t="shared" si="1"/>
        <v>2022</v>
      </c>
      <c r="L464" s="1" t="str">
        <f t="shared" si="2"/>
        <v>Dec</v>
      </c>
      <c r="M464" s="1" t="str">
        <f t="shared" si="3"/>
        <v>Profit</v>
      </c>
    </row>
    <row r="465" ht="14.25" customHeight="1">
      <c r="A465" s="1" t="s">
        <v>499</v>
      </c>
      <c r="B465" s="2">
        <v>44223.0</v>
      </c>
      <c r="C465" s="1" t="s">
        <v>26</v>
      </c>
      <c r="D465" s="1" t="s">
        <v>27</v>
      </c>
      <c r="E465" s="1" t="s">
        <v>40</v>
      </c>
      <c r="F465" s="1">
        <v>291.8</v>
      </c>
      <c r="G465" s="1">
        <v>257.36</v>
      </c>
      <c r="H465" s="1">
        <v>6.0</v>
      </c>
      <c r="I465" s="1" t="s">
        <v>34</v>
      </c>
      <c r="J465" s="1" t="s">
        <v>18</v>
      </c>
      <c r="K465" s="1">
        <f t="shared" si="1"/>
        <v>2021</v>
      </c>
      <c r="L465" s="1" t="str">
        <f t="shared" si="2"/>
        <v>Jan</v>
      </c>
      <c r="M465" s="1" t="str">
        <f t="shared" si="3"/>
        <v>Profit</v>
      </c>
    </row>
    <row r="466" ht="14.25" customHeight="1">
      <c r="A466" s="1" t="s">
        <v>500</v>
      </c>
      <c r="B466" s="2">
        <v>44685.0</v>
      </c>
      <c r="C466" s="1" t="s">
        <v>14</v>
      </c>
      <c r="D466" s="1" t="s">
        <v>27</v>
      </c>
      <c r="E466" s="1" t="s">
        <v>33</v>
      </c>
      <c r="F466" s="1">
        <v>230.34</v>
      </c>
      <c r="G466" s="1">
        <v>-106.54</v>
      </c>
      <c r="H466" s="1">
        <v>8.0</v>
      </c>
      <c r="I466" s="1" t="s">
        <v>34</v>
      </c>
      <c r="J466" s="1" t="s">
        <v>24</v>
      </c>
      <c r="K466" s="1">
        <f t="shared" si="1"/>
        <v>2022</v>
      </c>
      <c r="L466" s="1" t="str">
        <f t="shared" si="2"/>
        <v>May</v>
      </c>
      <c r="M466" s="1" t="str">
        <f t="shared" si="3"/>
        <v>Loss</v>
      </c>
    </row>
    <row r="467" ht="14.25" customHeight="1">
      <c r="A467" s="1" t="s">
        <v>501</v>
      </c>
      <c r="B467" s="2">
        <v>45083.0</v>
      </c>
      <c r="C467" s="1" t="s">
        <v>26</v>
      </c>
      <c r="D467" s="1" t="s">
        <v>27</v>
      </c>
      <c r="E467" s="1" t="s">
        <v>28</v>
      </c>
      <c r="F467" s="1">
        <v>472.24</v>
      </c>
      <c r="G467" s="1">
        <v>-180.91</v>
      </c>
      <c r="H467" s="1">
        <v>3.0</v>
      </c>
      <c r="I467" s="1" t="s">
        <v>17</v>
      </c>
      <c r="J467" s="1" t="s">
        <v>38</v>
      </c>
      <c r="K467" s="1">
        <f t="shared" si="1"/>
        <v>2023</v>
      </c>
      <c r="L467" s="1" t="str">
        <f t="shared" si="2"/>
        <v>Jun</v>
      </c>
      <c r="M467" s="1" t="str">
        <f t="shared" si="3"/>
        <v>Loss</v>
      </c>
    </row>
    <row r="468" ht="14.25" customHeight="1">
      <c r="A468" s="1" t="s">
        <v>502</v>
      </c>
      <c r="B468" s="2">
        <v>44756.0</v>
      </c>
      <c r="C468" s="1" t="s">
        <v>30</v>
      </c>
      <c r="D468" s="1" t="s">
        <v>15</v>
      </c>
      <c r="E468" s="1" t="s">
        <v>16</v>
      </c>
      <c r="F468" s="1">
        <v>690.57</v>
      </c>
      <c r="G468" s="1">
        <v>66.84</v>
      </c>
      <c r="H468" s="1">
        <v>2.0</v>
      </c>
      <c r="I468" s="1" t="s">
        <v>34</v>
      </c>
      <c r="J468" s="1" t="s">
        <v>24</v>
      </c>
      <c r="K468" s="1">
        <f t="shared" si="1"/>
        <v>2022</v>
      </c>
      <c r="L468" s="1" t="str">
        <f t="shared" si="2"/>
        <v>Jul</v>
      </c>
      <c r="M468" s="1" t="str">
        <f t="shared" si="3"/>
        <v>Profit</v>
      </c>
    </row>
    <row r="469" ht="14.25" customHeight="1">
      <c r="A469" s="1" t="s">
        <v>503</v>
      </c>
      <c r="B469" s="2">
        <v>45086.0</v>
      </c>
      <c r="C469" s="1" t="s">
        <v>20</v>
      </c>
      <c r="D469" s="1" t="s">
        <v>27</v>
      </c>
      <c r="E469" s="1" t="s">
        <v>40</v>
      </c>
      <c r="F469" s="1">
        <v>144.74</v>
      </c>
      <c r="G469" s="1">
        <v>238.24</v>
      </c>
      <c r="H469" s="1">
        <v>2.0</v>
      </c>
      <c r="I469" s="1" t="s">
        <v>23</v>
      </c>
      <c r="J469" s="1" t="s">
        <v>18</v>
      </c>
      <c r="K469" s="1">
        <f t="shared" si="1"/>
        <v>2023</v>
      </c>
      <c r="L469" s="1" t="str">
        <f t="shared" si="2"/>
        <v>Jun</v>
      </c>
      <c r="M469" s="1" t="str">
        <f t="shared" si="3"/>
        <v>Profit</v>
      </c>
    </row>
    <row r="470" ht="14.25" customHeight="1">
      <c r="A470" s="1" t="s">
        <v>504</v>
      </c>
      <c r="B470" s="2">
        <v>44443.0</v>
      </c>
      <c r="C470" s="1" t="s">
        <v>14</v>
      </c>
      <c r="D470" s="1" t="s">
        <v>15</v>
      </c>
      <c r="E470" s="1" t="s">
        <v>31</v>
      </c>
      <c r="F470" s="1">
        <v>191.06</v>
      </c>
      <c r="G470" s="1">
        <v>88.7</v>
      </c>
      <c r="H470" s="1">
        <v>5.0</v>
      </c>
      <c r="I470" s="1" t="s">
        <v>17</v>
      </c>
      <c r="J470" s="1" t="s">
        <v>35</v>
      </c>
      <c r="K470" s="1">
        <f t="shared" si="1"/>
        <v>2021</v>
      </c>
      <c r="L470" s="1" t="str">
        <f t="shared" si="2"/>
        <v>Sep</v>
      </c>
      <c r="M470" s="1" t="str">
        <f t="shared" si="3"/>
        <v>Profit</v>
      </c>
    </row>
    <row r="471" ht="14.25" customHeight="1">
      <c r="A471" s="1" t="s">
        <v>505</v>
      </c>
      <c r="B471" s="2">
        <v>44833.0</v>
      </c>
      <c r="C471" s="1" t="s">
        <v>20</v>
      </c>
      <c r="D471" s="1" t="s">
        <v>15</v>
      </c>
      <c r="E471" s="1" t="s">
        <v>31</v>
      </c>
      <c r="F471" s="1">
        <v>829.81</v>
      </c>
      <c r="G471" s="1">
        <v>-118.09</v>
      </c>
      <c r="H471" s="1">
        <v>2.0</v>
      </c>
      <c r="I471" s="1" t="s">
        <v>17</v>
      </c>
      <c r="J471" s="1" t="s">
        <v>38</v>
      </c>
      <c r="K471" s="1">
        <f t="shared" si="1"/>
        <v>2022</v>
      </c>
      <c r="L471" s="1" t="str">
        <f t="shared" si="2"/>
        <v>Sep</v>
      </c>
      <c r="M471" s="1" t="str">
        <f t="shared" si="3"/>
        <v>Loss</v>
      </c>
    </row>
    <row r="472" ht="14.25" customHeight="1">
      <c r="A472" s="1" t="s">
        <v>506</v>
      </c>
      <c r="B472" s="2">
        <v>45177.0</v>
      </c>
      <c r="C472" s="1" t="s">
        <v>14</v>
      </c>
      <c r="D472" s="1" t="s">
        <v>15</v>
      </c>
      <c r="E472" s="1" t="s">
        <v>54</v>
      </c>
      <c r="F472" s="1">
        <v>480.39</v>
      </c>
      <c r="G472" s="1">
        <v>16.38</v>
      </c>
      <c r="H472" s="1">
        <v>6.0</v>
      </c>
      <c r="I472" s="1" t="s">
        <v>34</v>
      </c>
      <c r="J472" s="1" t="s">
        <v>35</v>
      </c>
      <c r="K472" s="1">
        <f t="shared" si="1"/>
        <v>2023</v>
      </c>
      <c r="L472" s="1" t="str">
        <f t="shared" si="2"/>
        <v>Sep</v>
      </c>
      <c r="M472" s="1" t="str">
        <f t="shared" si="3"/>
        <v>Profit</v>
      </c>
    </row>
    <row r="473" ht="14.25" customHeight="1">
      <c r="A473" s="1" t="s">
        <v>507</v>
      </c>
      <c r="B473" s="2">
        <v>44462.0</v>
      </c>
      <c r="C473" s="1" t="s">
        <v>26</v>
      </c>
      <c r="D473" s="1" t="s">
        <v>15</v>
      </c>
      <c r="E473" s="1" t="s">
        <v>54</v>
      </c>
      <c r="F473" s="1">
        <v>499.67</v>
      </c>
      <c r="G473" s="1">
        <v>236.01</v>
      </c>
      <c r="H473" s="1">
        <v>6.0</v>
      </c>
      <c r="I473" s="1" t="s">
        <v>34</v>
      </c>
      <c r="J473" s="1" t="s">
        <v>24</v>
      </c>
      <c r="K473" s="1">
        <f t="shared" si="1"/>
        <v>2021</v>
      </c>
      <c r="L473" s="1" t="str">
        <f t="shared" si="2"/>
        <v>Sep</v>
      </c>
      <c r="M473" s="1" t="str">
        <f t="shared" si="3"/>
        <v>Profit</v>
      </c>
    </row>
    <row r="474" ht="14.25" customHeight="1">
      <c r="A474" s="1" t="s">
        <v>508</v>
      </c>
      <c r="B474" s="2">
        <v>44867.0</v>
      </c>
      <c r="C474" s="1" t="s">
        <v>30</v>
      </c>
      <c r="D474" s="1" t="s">
        <v>21</v>
      </c>
      <c r="E474" s="1" t="s">
        <v>76</v>
      </c>
      <c r="F474" s="1">
        <v>483.57</v>
      </c>
      <c r="G474" s="1">
        <v>-128.14</v>
      </c>
      <c r="H474" s="1">
        <v>3.0</v>
      </c>
      <c r="I474" s="1" t="s">
        <v>23</v>
      </c>
      <c r="J474" s="1" t="s">
        <v>24</v>
      </c>
      <c r="K474" s="1">
        <f t="shared" si="1"/>
        <v>2022</v>
      </c>
      <c r="L474" s="1" t="str">
        <f t="shared" si="2"/>
        <v>Nov</v>
      </c>
      <c r="M474" s="1" t="str">
        <f t="shared" si="3"/>
        <v>Loss</v>
      </c>
    </row>
    <row r="475" ht="14.25" customHeight="1">
      <c r="A475" s="1" t="s">
        <v>509</v>
      </c>
      <c r="B475" s="2">
        <v>44920.0</v>
      </c>
      <c r="C475" s="1" t="s">
        <v>14</v>
      </c>
      <c r="D475" s="1" t="s">
        <v>27</v>
      </c>
      <c r="E475" s="1" t="s">
        <v>28</v>
      </c>
      <c r="F475" s="1">
        <v>319.87</v>
      </c>
      <c r="G475" s="1">
        <v>180.16</v>
      </c>
      <c r="H475" s="1">
        <v>6.0</v>
      </c>
      <c r="I475" s="1" t="s">
        <v>34</v>
      </c>
      <c r="J475" s="1" t="s">
        <v>24</v>
      </c>
      <c r="K475" s="1">
        <f t="shared" si="1"/>
        <v>2022</v>
      </c>
      <c r="L475" s="1" t="str">
        <f t="shared" si="2"/>
        <v>Dec</v>
      </c>
      <c r="M475" s="1" t="str">
        <f t="shared" si="3"/>
        <v>Profit</v>
      </c>
    </row>
    <row r="476" ht="14.25" customHeight="1">
      <c r="A476" s="1" t="s">
        <v>510</v>
      </c>
      <c r="B476" s="2">
        <v>44860.0</v>
      </c>
      <c r="C476" s="1" t="s">
        <v>30</v>
      </c>
      <c r="D476" s="1" t="s">
        <v>15</v>
      </c>
      <c r="E476" s="1" t="s">
        <v>16</v>
      </c>
      <c r="F476" s="1">
        <v>26.26</v>
      </c>
      <c r="G476" s="1">
        <v>-146.16</v>
      </c>
      <c r="H476" s="1">
        <v>10.0</v>
      </c>
      <c r="I476" s="1" t="s">
        <v>17</v>
      </c>
      <c r="J476" s="1" t="s">
        <v>24</v>
      </c>
      <c r="K476" s="1">
        <f t="shared" si="1"/>
        <v>2022</v>
      </c>
      <c r="L476" s="1" t="str">
        <f t="shared" si="2"/>
        <v>Oct</v>
      </c>
      <c r="M476" s="1" t="str">
        <f t="shared" si="3"/>
        <v>Loss</v>
      </c>
    </row>
    <row r="477" ht="14.25" customHeight="1">
      <c r="A477" s="1" t="s">
        <v>511</v>
      </c>
      <c r="B477" s="2">
        <v>44405.0</v>
      </c>
      <c r="C477" s="1" t="s">
        <v>14</v>
      </c>
      <c r="D477" s="1" t="s">
        <v>21</v>
      </c>
      <c r="E477" s="1" t="s">
        <v>22</v>
      </c>
      <c r="F477" s="1">
        <v>684.35</v>
      </c>
      <c r="G477" s="1">
        <v>-134.25</v>
      </c>
      <c r="H477" s="1">
        <v>1.0</v>
      </c>
      <c r="I477" s="1" t="s">
        <v>17</v>
      </c>
      <c r="J477" s="1" t="s">
        <v>24</v>
      </c>
      <c r="K477" s="1">
        <f t="shared" si="1"/>
        <v>2021</v>
      </c>
      <c r="L477" s="1" t="str">
        <f t="shared" si="2"/>
        <v>Jul</v>
      </c>
      <c r="M477" s="1" t="str">
        <f t="shared" si="3"/>
        <v>Loss</v>
      </c>
    </row>
    <row r="478" ht="14.25" customHeight="1">
      <c r="A478" s="1" t="s">
        <v>512</v>
      </c>
      <c r="B478" s="2">
        <v>44445.0</v>
      </c>
      <c r="C478" s="1" t="s">
        <v>30</v>
      </c>
      <c r="D478" s="1" t="s">
        <v>21</v>
      </c>
      <c r="E478" s="1" t="s">
        <v>37</v>
      </c>
      <c r="F478" s="1">
        <v>256.05</v>
      </c>
      <c r="G478" s="1">
        <v>267.03</v>
      </c>
      <c r="H478" s="1">
        <v>1.0</v>
      </c>
      <c r="I478" s="1" t="s">
        <v>23</v>
      </c>
      <c r="J478" s="1" t="s">
        <v>18</v>
      </c>
      <c r="K478" s="1">
        <f t="shared" si="1"/>
        <v>2021</v>
      </c>
      <c r="L478" s="1" t="str">
        <f t="shared" si="2"/>
        <v>Sep</v>
      </c>
      <c r="M478" s="1" t="str">
        <f t="shared" si="3"/>
        <v>Profit</v>
      </c>
    </row>
    <row r="479" ht="14.25" customHeight="1">
      <c r="A479" s="1" t="s">
        <v>513</v>
      </c>
      <c r="B479" s="2">
        <v>44734.0</v>
      </c>
      <c r="C479" s="1" t="s">
        <v>26</v>
      </c>
      <c r="D479" s="1" t="s">
        <v>27</v>
      </c>
      <c r="E479" s="1" t="s">
        <v>40</v>
      </c>
      <c r="F479" s="1">
        <v>809.22</v>
      </c>
      <c r="G479" s="1">
        <v>180.54</v>
      </c>
      <c r="H479" s="1">
        <v>2.0</v>
      </c>
      <c r="I479" s="1" t="s">
        <v>34</v>
      </c>
      <c r="J479" s="1" t="s">
        <v>24</v>
      </c>
      <c r="K479" s="1">
        <f t="shared" si="1"/>
        <v>2022</v>
      </c>
      <c r="L479" s="1" t="str">
        <f t="shared" si="2"/>
        <v>Jun</v>
      </c>
      <c r="M479" s="1" t="str">
        <f t="shared" si="3"/>
        <v>Profit</v>
      </c>
    </row>
    <row r="480" ht="14.25" customHeight="1">
      <c r="A480" s="1" t="s">
        <v>514</v>
      </c>
      <c r="B480" s="2">
        <v>45289.0</v>
      </c>
      <c r="C480" s="1" t="s">
        <v>30</v>
      </c>
      <c r="D480" s="1" t="s">
        <v>27</v>
      </c>
      <c r="E480" s="1" t="s">
        <v>28</v>
      </c>
      <c r="F480" s="1">
        <v>426.67</v>
      </c>
      <c r="G480" s="1">
        <v>168.46</v>
      </c>
      <c r="H480" s="1">
        <v>4.0</v>
      </c>
      <c r="I480" s="1" t="s">
        <v>17</v>
      </c>
      <c r="J480" s="1" t="s">
        <v>35</v>
      </c>
      <c r="K480" s="1">
        <f t="shared" si="1"/>
        <v>2023</v>
      </c>
      <c r="L480" s="1" t="str">
        <f t="shared" si="2"/>
        <v>Dec</v>
      </c>
      <c r="M480" s="1" t="str">
        <f t="shared" si="3"/>
        <v>Profit</v>
      </c>
    </row>
    <row r="481" ht="14.25" customHeight="1">
      <c r="A481" s="1" t="s">
        <v>515</v>
      </c>
      <c r="B481" s="2">
        <v>45188.0</v>
      </c>
      <c r="C481" s="1" t="s">
        <v>20</v>
      </c>
      <c r="D481" s="1" t="s">
        <v>27</v>
      </c>
      <c r="E481" s="1" t="s">
        <v>28</v>
      </c>
      <c r="F481" s="1">
        <v>514.05</v>
      </c>
      <c r="G481" s="1">
        <v>-31.78</v>
      </c>
      <c r="H481" s="1">
        <v>7.0</v>
      </c>
      <c r="I481" s="1" t="s">
        <v>23</v>
      </c>
      <c r="J481" s="1" t="s">
        <v>35</v>
      </c>
      <c r="K481" s="1">
        <f t="shared" si="1"/>
        <v>2023</v>
      </c>
      <c r="L481" s="1" t="str">
        <f t="shared" si="2"/>
        <v>Sep</v>
      </c>
      <c r="M481" s="1" t="str">
        <f t="shared" si="3"/>
        <v>Loss</v>
      </c>
    </row>
    <row r="482" ht="14.25" customHeight="1">
      <c r="A482" s="1" t="s">
        <v>516</v>
      </c>
      <c r="B482" s="2">
        <v>44998.0</v>
      </c>
      <c r="C482" s="1" t="s">
        <v>30</v>
      </c>
      <c r="D482" s="1" t="s">
        <v>27</v>
      </c>
      <c r="E482" s="1" t="s">
        <v>40</v>
      </c>
      <c r="F482" s="1">
        <v>915.19</v>
      </c>
      <c r="G482" s="1">
        <v>-175.03</v>
      </c>
      <c r="H482" s="1">
        <v>1.0</v>
      </c>
      <c r="I482" s="1" t="s">
        <v>34</v>
      </c>
      <c r="J482" s="1" t="s">
        <v>24</v>
      </c>
      <c r="K482" s="1">
        <f t="shared" si="1"/>
        <v>2023</v>
      </c>
      <c r="L482" s="1" t="str">
        <f t="shared" si="2"/>
        <v>Mar</v>
      </c>
      <c r="M482" s="1" t="str">
        <f t="shared" si="3"/>
        <v>Loss</v>
      </c>
    </row>
    <row r="483" ht="14.25" customHeight="1">
      <c r="A483" s="1" t="s">
        <v>517</v>
      </c>
      <c r="B483" s="2">
        <v>45201.0</v>
      </c>
      <c r="C483" s="1" t="s">
        <v>30</v>
      </c>
      <c r="D483" s="1" t="s">
        <v>27</v>
      </c>
      <c r="E483" s="1" t="s">
        <v>40</v>
      </c>
      <c r="F483" s="1">
        <v>894.04</v>
      </c>
      <c r="G483" s="1">
        <v>25.26</v>
      </c>
      <c r="H483" s="1">
        <v>1.0</v>
      </c>
      <c r="I483" s="1" t="s">
        <v>17</v>
      </c>
      <c r="J483" s="1" t="s">
        <v>18</v>
      </c>
      <c r="K483" s="1">
        <f t="shared" si="1"/>
        <v>2023</v>
      </c>
      <c r="L483" s="1" t="str">
        <f t="shared" si="2"/>
        <v>Oct</v>
      </c>
      <c r="M483" s="1" t="str">
        <f t="shared" si="3"/>
        <v>Profit</v>
      </c>
    </row>
    <row r="484" ht="14.25" customHeight="1">
      <c r="A484" s="1" t="s">
        <v>518</v>
      </c>
      <c r="B484" s="2">
        <v>45048.0</v>
      </c>
      <c r="C484" s="1" t="s">
        <v>20</v>
      </c>
      <c r="D484" s="1" t="s">
        <v>21</v>
      </c>
      <c r="E484" s="1" t="s">
        <v>76</v>
      </c>
      <c r="F484" s="1">
        <v>887.02</v>
      </c>
      <c r="G484" s="1">
        <v>122.37</v>
      </c>
      <c r="H484" s="1">
        <v>7.0</v>
      </c>
      <c r="I484" s="1" t="s">
        <v>23</v>
      </c>
      <c r="J484" s="1" t="s">
        <v>18</v>
      </c>
      <c r="K484" s="1">
        <f t="shared" si="1"/>
        <v>2023</v>
      </c>
      <c r="L484" s="1" t="str">
        <f t="shared" si="2"/>
        <v>May</v>
      </c>
      <c r="M484" s="1" t="str">
        <f t="shared" si="3"/>
        <v>Profit</v>
      </c>
    </row>
    <row r="485" ht="14.25" customHeight="1">
      <c r="A485" s="1" t="s">
        <v>519</v>
      </c>
      <c r="B485" s="2">
        <v>44899.0</v>
      </c>
      <c r="C485" s="1" t="s">
        <v>26</v>
      </c>
      <c r="D485" s="1" t="s">
        <v>27</v>
      </c>
      <c r="E485" s="1" t="s">
        <v>40</v>
      </c>
      <c r="F485" s="1">
        <v>233.55</v>
      </c>
      <c r="G485" s="1">
        <v>-35.91</v>
      </c>
      <c r="H485" s="1">
        <v>4.0</v>
      </c>
      <c r="I485" s="1" t="s">
        <v>34</v>
      </c>
      <c r="J485" s="1" t="s">
        <v>18</v>
      </c>
      <c r="K485" s="1">
        <f t="shared" si="1"/>
        <v>2022</v>
      </c>
      <c r="L485" s="1" t="str">
        <f t="shared" si="2"/>
        <v>Dec</v>
      </c>
      <c r="M485" s="1" t="str">
        <f t="shared" si="3"/>
        <v>Loss</v>
      </c>
    </row>
    <row r="486" ht="14.25" customHeight="1">
      <c r="A486" s="1" t="s">
        <v>520</v>
      </c>
      <c r="B486" s="2">
        <v>44986.0</v>
      </c>
      <c r="C486" s="1" t="s">
        <v>20</v>
      </c>
      <c r="D486" s="1" t="s">
        <v>27</v>
      </c>
      <c r="E486" s="1" t="s">
        <v>28</v>
      </c>
      <c r="F486" s="1">
        <v>647.99</v>
      </c>
      <c r="G486" s="1">
        <v>-44.09</v>
      </c>
      <c r="H486" s="1">
        <v>10.0</v>
      </c>
      <c r="I486" s="1" t="s">
        <v>23</v>
      </c>
      <c r="J486" s="1" t="s">
        <v>38</v>
      </c>
      <c r="K486" s="1">
        <f t="shared" si="1"/>
        <v>2023</v>
      </c>
      <c r="L486" s="1" t="str">
        <f t="shared" si="2"/>
        <v>Mar</v>
      </c>
      <c r="M486" s="1" t="str">
        <f t="shared" si="3"/>
        <v>Loss</v>
      </c>
    </row>
    <row r="487" ht="14.25" customHeight="1">
      <c r="A487" s="1" t="s">
        <v>521</v>
      </c>
      <c r="B487" s="2">
        <v>44217.0</v>
      </c>
      <c r="C487" s="1" t="s">
        <v>20</v>
      </c>
      <c r="D487" s="1" t="s">
        <v>15</v>
      </c>
      <c r="E487" s="1" t="s">
        <v>54</v>
      </c>
      <c r="F487" s="1">
        <v>70.86</v>
      </c>
      <c r="G487" s="1">
        <v>142.9</v>
      </c>
      <c r="H487" s="1">
        <v>1.0</v>
      </c>
      <c r="I487" s="1" t="s">
        <v>34</v>
      </c>
      <c r="J487" s="1" t="s">
        <v>18</v>
      </c>
      <c r="K487" s="1">
        <f t="shared" si="1"/>
        <v>2021</v>
      </c>
      <c r="L487" s="1" t="str">
        <f t="shared" si="2"/>
        <v>Jan</v>
      </c>
      <c r="M487" s="1" t="str">
        <f t="shared" si="3"/>
        <v>Profit</v>
      </c>
    </row>
    <row r="488" ht="14.25" customHeight="1">
      <c r="A488" s="1" t="s">
        <v>522</v>
      </c>
      <c r="B488" s="2">
        <v>44491.0</v>
      </c>
      <c r="C488" s="1" t="s">
        <v>30</v>
      </c>
      <c r="D488" s="1" t="s">
        <v>15</v>
      </c>
      <c r="E488" s="1" t="s">
        <v>16</v>
      </c>
      <c r="F488" s="1">
        <v>481.21</v>
      </c>
      <c r="G488" s="1">
        <v>9.56</v>
      </c>
      <c r="H488" s="1">
        <v>3.0</v>
      </c>
      <c r="I488" s="1" t="s">
        <v>23</v>
      </c>
      <c r="J488" s="1" t="s">
        <v>18</v>
      </c>
      <c r="K488" s="1">
        <f t="shared" si="1"/>
        <v>2021</v>
      </c>
      <c r="L488" s="1" t="str">
        <f t="shared" si="2"/>
        <v>Oct</v>
      </c>
      <c r="M488" s="1" t="str">
        <f t="shared" si="3"/>
        <v>Profit</v>
      </c>
    </row>
    <row r="489" ht="14.25" customHeight="1">
      <c r="A489" s="1" t="s">
        <v>523</v>
      </c>
      <c r="B489" s="2">
        <v>44226.0</v>
      </c>
      <c r="C489" s="1" t="s">
        <v>14</v>
      </c>
      <c r="D489" s="1" t="s">
        <v>21</v>
      </c>
      <c r="E489" s="1" t="s">
        <v>37</v>
      </c>
      <c r="F489" s="1">
        <v>333.2</v>
      </c>
      <c r="G489" s="1">
        <v>19.52</v>
      </c>
      <c r="H489" s="1">
        <v>9.0</v>
      </c>
      <c r="I489" s="1" t="s">
        <v>34</v>
      </c>
      <c r="J489" s="1" t="s">
        <v>18</v>
      </c>
      <c r="K489" s="1">
        <f t="shared" si="1"/>
        <v>2021</v>
      </c>
      <c r="L489" s="1" t="str">
        <f t="shared" si="2"/>
        <v>Jan</v>
      </c>
      <c r="M489" s="1" t="str">
        <f t="shared" si="3"/>
        <v>Profit</v>
      </c>
    </row>
    <row r="490" ht="14.25" customHeight="1">
      <c r="A490" s="1" t="s">
        <v>524</v>
      </c>
      <c r="B490" s="2">
        <v>44509.0</v>
      </c>
      <c r="C490" s="1" t="s">
        <v>30</v>
      </c>
      <c r="D490" s="1" t="s">
        <v>27</v>
      </c>
      <c r="E490" s="1" t="s">
        <v>28</v>
      </c>
      <c r="F490" s="1">
        <v>188.67</v>
      </c>
      <c r="G490" s="1">
        <v>0.42</v>
      </c>
      <c r="H490" s="1">
        <v>6.0</v>
      </c>
      <c r="I490" s="1" t="s">
        <v>34</v>
      </c>
      <c r="J490" s="1" t="s">
        <v>24</v>
      </c>
      <c r="K490" s="1">
        <f t="shared" si="1"/>
        <v>2021</v>
      </c>
      <c r="L490" s="1" t="str">
        <f t="shared" si="2"/>
        <v>Nov</v>
      </c>
      <c r="M490" s="1" t="str">
        <f t="shared" si="3"/>
        <v>Profit</v>
      </c>
    </row>
    <row r="491" ht="14.25" customHeight="1">
      <c r="A491" s="1" t="s">
        <v>525</v>
      </c>
      <c r="B491" s="2">
        <v>44731.0</v>
      </c>
      <c r="C491" s="1" t="s">
        <v>30</v>
      </c>
      <c r="D491" s="1" t="s">
        <v>27</v>
      </c>
      <c r="E491" s="1" t="s">
        <v>28</v>
      </c>
      <c r="F491" s="1">
        <v>178.67</v>
      </c>
      <c r="G491" s="1">
        <v>201.5</v>
      </c>
      <c r="H491" s="1">
        <v>10.0</v>
      </c>
      <c r="I491" s="1" t="s">
        <v>34</v>
      </c>
      <c r="J491" s="1" t="s">
        <v>24</v>
      </c>
      <c r="K491" s="1">
        <f t="shared" si="1"/>
        <v>2022</v>
      </c>
      <c r="L491" s="1" t="str">
        <f t="shared" si="2"/>
        <v>Jun</v>
      </c>
      <c r="M491" s="1" t="str">
        <f t="shared" si="3"/>
        <v>Profit</v>
      </c>
    </row>
    <row r="492" ht="14.25" customHeight="1">
      <c r="A492" s="1" t="s">
        <v>526</v>
      </c>
      <c r="B492" s="2">
        <v>44591.0</v>
      </c>
      <c r="C492" s="1" t="s">
        <v>26</v>
      </c>
      <c r="D492" s="1" t="s">
        <v>21</v>
      </c>
      <c r="E492" s="1" t="s">
        <v>37</v>
      </c>
      <c r="F492" s="1">
        <v>63.8</v>
      </c>
      <c r="G492" s="1">
        <v>185.2</v>
      </c>
      <c r="H492" s="1">
        <v>4.0</v>
      </c>
      <c r="I492" s="1" t="s">
        <v>17</v>
      </c>
      <c r="J492" s="1" t="s">
        <v>24</v>
      </c>
      <c r="K492" s="1">
        <f t="shared" si="1"/>
        <v>2022</v>
      </c>
      <c r="L492" s="1" t="str">
        <f t="shared" si="2"/>
        <v>Jan</v>
      </c>
      <c r="M492" s="1" t="str">
        <f t="shared" si="3"/>
        <v>Profit</v>
      </c>
    </row>
    <row r="493" ht="14.25" customHeight="1">
      <c r="A493" s="1" t="s">
        <v>527</v>
      </c>
      <c r="B493" s="2">
        <v>45143.0</v>
      </c>
      <c r="C493" s="1" t="s">
        <v>30</v>
      </c>
      <c r="D493" s="1" t="s">
        <v>27</v>
      </c>
      <c r="E493" s="1" t="s">
        <v>28</v>
      </c>
      <c r="F493" s="1">
        <v>52.58</v>
      </c>
      <c r="G493" s="1">
        <v>-65.0</v>
      </c>
      <c r="H493" s="1">
        <v>4.0</v>
      </c>
      <c r="I493" s="1" t="s">
        <v>17</v>
      </c>
      <c r="J493" s="1" t="s">
        <v>24</v>
      </c>
      <c r="K493" s="1">
        <f t="shared" si="1"/>
        <v>2023</v>
      </c>
      <c r="L493" s="1" t="str">
        <f t="shared" si="2"/>
        <v>Aug</v>
      </c>
      <c r="M493" s="1" t="str">
        <f t="shared" si="3"/>
        <v>Loss</v>
      </c>
    </row>
    <row r="494" ht="14.25" customHeight="1">
      <c r="A494" s="1" t="s">
        <v>528</v>
      </c>
      <c r="B494" s="2">
        <v>44278.0</v>
      </c>
      <c r="C494" s="1" t="s">
        <v>30</v>
      </c>
      <c r="D494" s="1" t="s">
        <v>15</v>
      </c>
      <c r="E494" s="1" t="s">
        <v>16</v>
      </c>
      <c r="F494" s="1">
        <v>706.45</v>
      </c>
      <c r="G494" s="1">
        <v>-127.81</v>
      </c>
      <c r="H494" s="1">
        <v>7.0</v>
      </c>
      <c r="I494" s="1" t="s">
        <v>34</v>
      </c>
      <c r="J494" s="1" t="s">
        <v>24</v>
      </c>
      <c r="K494" s="1">
        <f t="shared" si="1"/>
        <v>2021</v>
      </c>
      <c r="L494" s="1" t="str">
        <f t="shared" si="2"/>
        <v>Mar</v>
      </c>
      <c r="M494" s="1" t="str">
        <f t="shared" si="3"/>
        <v>Loss</v>
      </c>
    </row>
    <row r="495" ht="14.25" customHeight="1">
      <c r="A495" s="1" t="s">
        <v>529</v>
      </c>
      <c r="B495" s="2">
        <v>44593.0</v>
      </c>
      <c r="C495" s="1" t="s">
        <v>30</v>
      </c>
      <c r="D495" s="1" t="s">
        <v>21</v>
      </c>
      <c r="E495" s="1" t="s">
        <v>76</v>
      </c>
      <c r="F495" s="1">
        <v>766.93</v>
      </c>
      <c r="G495" s="1">
        <v>149.09</v>
      </c>
      <c r="H495" s="1">
        <v>3.0</v>
      </c>
      <c r="I495" s="1" t="s">
        <v>17</v>
      </c>
      <c r="J495" s="1" t="s">
        <v>24</v>
      </c>
      <c r="K495" s="1">
        <f t="shared" si="1"/>
        <v>2022</v>
      </c>
      <c r="L495" s="1" t="str">
        <f t="shared" si="2"/>
        <v>Feb</v>
      </c>
      <c r="M495" s="1" t="str">
        <f t="shared" si="3"/>
        <v>Profit</v>
      </c>
    </row>
    <row r="496" ht="14.25" customHeight="1">
      <c r="A496" s="1" t="s">
        <v>530</v>
      </c>
      <c r="B496" s="2">
        <v>44662.0</v>
      </c>
      <c r="C496" s="1" t="s">
        <v>14</v>
      </c>
      <c r="D496" s="1" t="s">
        <v>27</v>
      </c>
      <c r="E496" s="1" t="s">
        <v>28</v>
      </c>
      <c r="F496" s="1">
        <v>370.94</v>
      </c>
      <c r="G496" s="1">
        <v>23.66</v>
      </c>
      <c r="H496" s="1">
        <v>9.0</v>
      </c>
      <c r="I496" s="1" t="s">
        <v>34</v>
      </c>
      <c r="J496" s="1" t="s">
        <v>18</v>
      </c>
      <c r="K496" s="1">
        <f t="shared" si="1"/>
        <v>2022</v>
      </c>
      <c r="L496" s="1" t="str">
        <f t="shared" si="2"/>
        <v>Apr</v>
      </c>
      <c r="M496" s="1" t="str">
        <f t="shared" si="3"/>
        <v>Profit</v>
      </c>
    </row>
    <row r="497" ht="14.25" customHeight="1">
      <c r="A497" s="1" t="s">
        <v>531</v>
      </c>
      <c r="B497" s="2">
        <v>44375.0</v>
      </c>
      <c r="C497" s="1" t="s">
        <v>30</v>
      </c>
      <c r="D497" s="1" t="s">
        <v>21</v>
      </c>
      <c r="E497" s="1" t="s">
        <v>37</v>
      </c>
      <c r="F497" s="1">
        <v>677.19</v>
      </c>
      <c r="G497" s="1">
        <v>-110.77</v>
      </c>
      <c r="H497" s="1">
        <v>10.0</v>
      </c>
      <c r="I497" s="1" t="s">
        <v>17</v>
      </c>
      <c r="J497" s="1" t="s">
        <v>38</v>
      </c>
      <c r="K497" s="1">
        <f t="shared" si="1"/>
        <v>2021</v>
      </c>
      <c r="L497" s="1" t="str">
        <f t="shared" si="2"/>
        <v>Jun</v>
      </c>
      <c r="M497" s="1" t="str">
        <f t="shared" si="3"/>
        <v>Loss</v>
      </c>
    </row>
    <row r="498" ht="14.25" customHeight="1">
      <c r="A498" s="1" t="s">
        <v>532</v>
      </c>
      <c r="B498" s="2">
        <v>44895.0</v>
      </c>
      <c r="C498" s="1" t="s">
        <v>30</v>
      </c>
      <c r="D498" s="1" t="s">
        <v>27</v>
      </c>
      <c r="E498" s="1" t="s">
        <v>40</v>
      </c>
      <c r="F498" s="1">
        <v>740.78</v>
      </c>
      <c r="G498" s="1">
        <v>291.46</v>
      </c>
      <c r="H498" s="1">
        <v>5.0</v>
      </c>
      <c r="I498" s="1" t="s">
        <v>17</v>
      </c>
      <c r="J498" s="1" t="s">
        <v>38</v>
      </c>
      <c r="K498" s="1">
        <f t="shared" si="1"/>
        <v>2022</v>
      </c>
      <c r="L498" s="1" t="str">
        <f t="shared" si="2"/>
        <v>Nov</v>
      </c>
      <c r="M498" s="1" t="str">
        <f t="shared" si="3"/>
        <v>Profit</v>
      </c>
    </row>
    <row r="499" ht="14.25" customHeight="1">
      <c r="A499" s="1" t="s">
        <v>533</v>
      </c>
      <c r="B499" s="2">
        <v>44830.0</v>
      </c>
      <c r="C499" s="1" t="s">
        <v>30</v>
      </c>
      <c r="D499" s="1" t="s">
        <v>15</v>
      </c>
      <c r="E499" s="1" t="s">
        <v>54</v>
      </c>
      <c r="F499" s="1">
        <v>62.42</v>
      </c>
      <c r="G499" s="1">
        <v>66.43</v>
      </c>
      <c r="H499" s="1">
        <v>5.0</v>
      </c>
      <c r="I499" s="1" t="s">
        <v>34</v>
      </c>
      <c r="J499" s="1" t="s">
        <v>38</v>
      </c>
      <c r="K499" s="1">
        <f t="shared" si="1"/>
        <v>2022</v>
      </c>
      <c r="L499" s="1" t="str">
        <f t="shared" si="2"/>
        <v>Sep</v>
      </c>
      <c r="M499" s="1" t="str">
        <f t="shared" si="3"/>
        <v>Profit</v>
      </c>
    </row>
    <row r="500" ht="14.25" customHeight="1">
      <c r="A500" s="1" t="s">
        <v>534</v>
      </c>
      <c r="B500" s="2">
        <v>44900.0</v>
      </c>
      <c r="C500" s="1" t="s">
        <v>20</v>
      </c>
      <c r="D500" s="1" t="s">
        <v>21</v>
      </c>
      <c r="E500" s="1" t="s">
        <v>37</v>
      </c>
      <c r="F500" s="1">
        <v>422.3</v>
      </c>
      <c r="G500" s="1">
        <v>-75.68</v>
      </c>
      <c r="H500" s="1">
        <v>2.0</v>
      </c>
      <c r="I500" s="1" t="s">
        <v>17</v>
      </c>
      <c r="J500" s="1" t="s">
        <v>38</v>
      </c>
      <c r="K500" s="1">
        <f t="shared" si="1"/>
        <v>2022</v>
      </c>
      <c r="L500" s="1" t="str">
        <f t="shared" si="2"/>
        <v>Dec</v>
      </c>
      <c r="M500" s="1" t="str">
        <f t="shared" si="3"/>
        <v>Loss</v>
      </c>
    </row>
    <row r="501" ht="14.25" customHeight="1">
      <c r="A501" s="1" t="s">
        <v>535</v>
      </c>
      <c r="B501" s="2">
        <v>44696.0</v>
      </c>
      <c r="C501" s="1" t="s">
        <v>26</v>
      </c>
      <c r="D501" s="1" t="s">
        <v>15</v>
      </c>
      <c r="E501" s="1" t="s">
        <v>31</v>
      </c>
      <c r="F501" s="1">
        <v>146.92</v>
      </c>
      <c r="G501" s="1">
        <v>-135.28</v>
      </c>
      <c r="H501" s="1">
        <v>6.0</v>
      </c>
      <c r="I501" s="1" t="s">
        <v>17</v>
      </c>
      <c r="J501" s="1" t="s">
        <v>38</v>
      </c>
      <c r="K501" s="1">
        <f t="shared" si="1"/>
        <v>2022</v>
      </c>
      <c r="L501" s="1" t="str">
        <f t="shared" si="2"/>
        <v>May</v>
      </c>
      <c r="M501" s="1" t="str">
        <f t="shared" si="3"/>
        <v>Loss</v>
      </c>
    </row>
    <row r="502" ht="14.25" customHeight="1">
      <c r="A502" s="1" t="s">
        <v>536</v>
      </c>
      <c r="B502" s="2">
        <v>44925.0</v>
      </c>
      <c r="C502" s="1" t="s">
        <v>14</v>
      </c>
      <c r="D502" s="1" t="s">
        <v>21</v>
      </c>
      <c r="E502" s="1" t="s">
        <v>22</v>
      </c>
      <c r="F502" s="1">
        <v>957.02</v>
      </c>
      <c r="G502" s="1">
        <v>44.61</v>
      </c>
      <c r="H502" s="1">
        <v>7.0</v>
      </c>
      <c r="I502" s="1" t="s">
        <v>23</v>
      </c>
      <c r="J502" s="1" t="s">
        <v>38</v>
      </c>
      <c r="K502" s="1">
        <f t="shared" si="1"/>
        <v>2022</v>
      </c>
      <c r="L502" s="1" t="str">
        <f t="shared" si="2"/>
        <v>Dec</v>
      </c>
      <c r="M502" s="1" t="str">
        <f t="shared" si="3"/>
        <v>Profit</v>
      </c>
    </row>
    <row r="503" ht="14.25" customHeight="1">
      <c r="A503" s="1" t="s">
        <v>537</v>
      </c>
      <c r="B503" s="2">
        <v>44427.0</v>
      </c>
      <c r="C503" s="1" t="s">
        <v>26</v>
      </c>
      <c r="D503" s="1" t="s">
        <v>27</v>
      </c>
      <c r="E503" s="1" t="s">
        <v>28</v>
      </c>
      <c r="F503" s="1">
        <v>306.39</v>
      </c>
      <c r="G503" s="1">
        <v>-155.32</v>
      </c>
      <c r="H503" s="1">
        <v>4.0</v>
      </c>
      <c r="I503" s="1" t="s">
        <v>34</v>
      </c>
      <c r="J503" s="1" t="s">
        <v>18</v>
      </c>
      <c r="K503" s="1">
        <f t="shared" si="1"/>
        <v>2021</v>
      </c>
      <c r="L503" s="1" t="str">
        <f t="shared" si="2"/>
        <v>Aug</v>
      </c>
      <c r="M503" s="1" t="str">
        <f t="shared" si="3"/>
        <v>Loss</v>
      </c>
    </row>
    <row r="504" ht="14.25" customHeight="1">
      <c r="A504" s="1" t="s">
        <v>538</v>
      </c>
      <c r="B504" s="2">
        <v>44459.0</v>
      </c>
      <c r="C504" s="1" t="s">
        <v>20</v>
      </c>
      <c r="D504" s="1" t="s">
        <v>21</v>
      </c>
      <c r="E504" s="1" t="s">
        <v>76</v>
      </c>
      <c r="F504" s="1">
        <v>115.39</v>
      </c>
      <c r="G504" s="1">
        <v>-25.53</v>
      </c>
      <c r="H504" s="1">
        <v>7.0</v>
      </c>
      <c r="I504" s="1" t="s">
        <v>34</v>
      </c>
      <c r="J504" s="1" t="s">
        <v>38</v>
      </c>
      <c r="K504" s="1">
        <f t="shared" si="1"/>
        <v>2021</v>
      </c>
      <c r="L504" s="1" t="str">
        <f t="shared" si="2"/>
        <v>Sep</v>
      </c>
      <c r="M504" s="1" t="str">
        <f t="shared" si="3"/>
        <v>Loss</v>
      </c>
    </row>
    <row r="505" ht="14.25" customHeight="1">
      <c r="A505" s="1" t="s">
        <v>539</v>
      </c>
      <c r="B505" s="2">
        <v>44724.0</v>
      </c>
      <c r="C505" s="1" t="s">
        <v>14</v>
      </c>
      <c r="D505" s="1" t="s">
        <v>27</v>
      </c>
      <c r="E505" s="1" t="s">
        <v>28</v>
      </c>
      <c r="F505" s="1">
        <v>711.11</v>
      </c>
      <c r="G505" s="1">
        <v>8.51</v>
      </c>
      <c r="H505" s="1">
        <v>9.0</v>
      </c>
      <c r="I505" s="1" t="s">
        <v>23</v>
      </c>
      <c r="J505" s="1" t="s">
        <v>24</v>
      </c>
      <c r="K505" s="1">
        <f t="shared" si="1"/>
        <v>2022</v>
      </c>
      <c r="L505" s="1" t="str">
        <f t="shared" si="2"/>
        <v>Jun</v>
      </c>
      <c r="M505" s="1" t="str">
        <f t="shared" si="3"/>
        <v>Profit</v>
      </c>
    </row>
    <row r="506" ht="14.25" customHeight="1">
      <c r="A506" s="1" t="s">
        <v>540</v>
      </c>
      <c r="B506" s="2">
        <v>44858.0</v>
      </c>
      <c r="C506" s="1" t="s">
        <v>14</v>
      </c>
      <c r="D506" s="1" t="s">
        <v>15</v>
      </c>
      <c r="E506" s="1" t="s">
        <v>31</v>
      </c>
      <c r="F506" s="1">
        <v>347.51</v>
      </c>
      <c r="G506" s="1">
        <v>171.31</v>
      </c>
      <c r="H506" s="1">
        <v>7.0</v>
      </c>
      <c r="I506" s="1" t="s">
        <v>34</v>
      </c>
      <c r="J506" s="1" t="s">
        <v>38</v>
      </c>
      <c r="K506" s="1">
        <f t="shared" si="1"/>
        <v>2022</v>
      </c>
      <c r="L506" s="1" t="str">
        <f t="shared" si="2"/>
        <v>Oct</v>
      </c>
      <c r="M506" s="1" t="str">
        <f t="shared" si="3"/>
        <v>Profit</v>
      </c>
    </row>
    <row r="507" ht="14.25" customHeight="1">
      <c r="A507" s="1" t="s">
        <v>541</v>
      </c>
      <c r="B507" s="2">
        <v>45187.0</v>
      </c>
      <c r="C507" s="1" t="s">
        <v>20</v>
      </c>
      <c r="D507" s="1" t="s">
        <v>15</v>
      </c>
      <c r="E507" s="1" t="s">
        <v>31</v>
      </c>
      <c r="F507" s="1">
        <v>598.2</v>
      </c>
      <c r="G507" s="1">
        <v>86.31</v>
      </c>
      <c r="H507" s="1">
        <v>8.0</v>
      </c>
      <c r="I507" s="1" t="s">
        <v>17</v>
      </c>
      <c r="J507" s="1" t="s">
        <v>24</v>
      </c>
      <c r="K507" s="1">
        <f t="shared" si="1"/>
        <v>2023</v>
      </c>
      <c r="L507" s="1" t="str">
        <f t="shared" si="2"/>
        <v>Sep</v>
      </c>
      <c r="M507" s="1" t="str">
        <f t="shared" si="3"/>
        <v>Profit</v>
      </c>
    </row>
    <row r="508" ht="14.25" customHeight="1">
      <c r="A508" s="1" t="s">
        <v>542</v>
      </c>
      <c r="B508" s="2">
        <v>45178.0</v>
      </c>
      <c r="C508" s="1" t="s">
        <v>26</v>
      </c>
      <c r="D508" s="1" t="s">
        <v>15</v>
      </c>
      <c r="E508" s="1" t="s">
        <v>54</v>
      </c>
      <c r="F508" s="1">
        <v>111.04</v>
      </c>
      <c r="G508" s="1">
        <v>38.5</v>
      </c>
      <c r="H508" s="1">
        <v>4.0</v>
      </c>
      <c r="I508" s="1" t="s">
        <v>17</v>
      </c>
      <c r="J508" s="1" t="s">
        <v>24</v>
      </c>
      <c r="K508" s="1">
        <f t="shared" si="1"/>
        <v>2023</v>
      </c>
      <c r="L508" s="1" t="str">
        <f t="shared" si="2"/>
        <v>Sep</v>
      </c>
      <c r="M508" s="1" t="str">
        <f t="shared" si="3"/>
        <v>Profit</v>
      </c>
    </row>
    <row r="509" ht="14.25" customHeight="1">
      <c r="A509" s="1" t="s">
        <v>543</v>
      </c>
      <c r="B509" s="2">
        <v>44223.0</v>
      </c>
      <c r="C509" s="1" t="s">
        <v>26</v>
      </c>
      <c r="D509" s="1" t="s">
        <v>15</v>
      </c>
      <c r="E509" s="1" t="s">
        <v>31</v>
      </c>
      <c r="F509" s="1">
        <v>956.02</v>
      </c>
      <c r="G509" s="1">
        <v>-155.38</v>
      </c>
      <c r="H509" s="1">
        <v>1.0</v>
      </c>
      <c r="I509" s="1" t="s">
        <v>34</v>
      </c>
      <c r="J509" s="1" t="s">
        <v>35</v>
      </c>
      <c r="K509" s="1">
        <f t="shared" si="1"/>
        <v>2021</v>
      </c>
      <c r="L509" s="1" t="str">
        <f t="shared" si="2"/>
        <v>Jan</v>
      </c>
      <c r="M509" s="1" t="str">
        <f t="shared" si="3"/>
        <v>Loss</v>
      </c>
    </row>
    <row r="510" ht="14.25" customHeight="1">
      <c r="A510" s="1" t="s">
        <v>544</v>
      </c>
      <c r="B510" s="2">
        <v>45151.0</v>
      </c>
      <c r="C510" s="1" t="s">
        <v>30</v>
      </c>
      <c r="D510" s="1" t="s">
        <v>27</v>
      </c>
      <c r="E510" s="1" t="s">
        <v>40</v>
      </c>
      <c r="F510" s="1">
        <v>970.28</v>
      </c>
      <c r="G510" s="1">
        <v>111.88</v>
      </c>
      <c r="H510" s="1">
        <v>10.0</v>
      </c>
      <c r="I510" s="1" t="s">
        <v>17</v>
      </c>
      <c r="J510" s="1" t="s">
        <v>38</v>
      </c>
      <c r="K510" s="1">
        <f t="shared" si="1"/>
        <v>2023</v>
      </c>
      <c r="L510" s="1" t="str">
        <f t="shared" si="2"/>
        <v>Aug</v>
      </c>
      <c r="M510" s="1" t="str">
        <f t="shared" si="3"/>
        <v>Profit</v>
      </c>
    </row>
    <row r="511" ht="14.25" customHeight="1">
      <c r="A511" s="1" t="s">
        <v>545</v>
      </c>
      <c r="B511" s="2">
        <v>45255.0</v>
      </c>
      <c r="C511" s="1" t="s">
        <v>30</v>
      </c>
      <c r="D511" s="1" t="s">
        <v>21</v>
      </c>
      <c r="E511" s="1" t="s">
        <v>22</v>
      </c>
      <c r="F511" s="1">
        <v>542.52</v>
      </c>
      <c r="G511" s="1">
        <v>-154.97</v>
      </c>
      <c r="H511" s="1">
        <v>6.0</v>
      </c>
      <c r="I511" s="1" t="s">
        <v>23</v>
      </c>
      <c r="J511" s="1" t="s">
        <v>18</v>
      </c>
      <c r="K511" s="1">
        <f t="shared" si="1"/>
        <v>2023</v>
      </c>
      <c r="L511" s="1" t="str">
        <f t="shared" si="2"/>
        <v>Nov</v>
      </c>
      <c r="M511" s="1" t="str">
        <f t="shared" si="3"/>
        <v>Loss</v>
      </c>
    </row>
    <row r="512" ht="14.25" customHeight="1">
      <c r="A512" s="1" t="s">
        <v>546</v>
      </c>
      <c r="B512" s="2">
        <v>44613.0</v>
      </c>
      <c r="C512" s="1" t="s">
        <v>14</v>
      </c>
      <c r="D512" s="1" t="s">
        <v>27</v>
      </c>
      <c r="E512" s="1" t="s">
        <v>28</v>
      </c>
      <c r="F512" s="1">
        <v>631.71</v>
      </c>
      <c r="G512" s="1">
        <v>24.47</v>
      </c>
      <c r="H512" s="1">
        <v>8.0</v>
      </c>
      <c r="I512" s="1" t="s">
        <v>23</v>
      </c>
      <c r="J512" s="1" t="s">
        <v>18</v>
      </c>
      <c r="K512" s="1">
        <f t="shared" si="1"/>
        <v>2022</v>
      </c>
      <c r="L512" s="1" t="str">
        <f t="shared" si="2"/>
        <v>Feb</v>
      </c>
      <c r="M512" s="1" t="str">
        <f t="shared" si="3"/>
        <v>Profit</v>
      </c>
    </row>
    <row r="513" ht="14.25" customHeight="1">
      <c r="A513" s="1" t="s">
        <v>547</v>
      </c>
      <c r="B513" s="2">
        <v>44601.0</v>
      </c>
      <c r="C513" s="1" t="s">
        <v>14</v>
      </c>
      <c r="D513" s="1" t="s">
        <v>21</v>
      </c>
      <c r="E513" s="1" t="s">
        <v>37</v>
      </c>
      <c r="F513" s="1">
        <v>59.59</v>
      </c>
      <c r="G513" s="1">
        <v>285.96</v>
      </c>
      <c r="H513" s="1">
        <v>1.0</v>
      </c>
      <c r="I513" s="1" t="s">
        <v>34</v>
      </c>
      <c r="J513" s="1" t="s">
        <v>35</v>
      </c>
      <c r="K513" s="1">
        <f t="shared" si="1"/>
        <v>2022</v>
      </c>
      <c r="L513" s="1" t="str">
        <f t="shared" si="2"/>
        <v>Feb</v>
      </c>
      <c r="M513" s="1" t="str">
        <f t="shared" si="3"/>
        <v>Profit</v>
      </c>
    </row>
    <row r="514" ht="14.25" customHeight="1">
      <c r="A514" s="1" t="s">
        <v>548</v>
      </c>
      <c r="B514" s="2">
        <v>44943.0</v>
      </c>
      <c r="C514" s="1" t="s">
        <v>30</v>
      </c>
      <c r="D514" s="1" t="s">
        <v>15</v>
      </c>
      <c r="E514" s="1" t="s">
        <v>16</v>
      </c>
      <c r="F514" s="1">
        <v>630.23</v>
      </c>
      <c r="G514" s="1">
        <v>-111.07</v>
      </c>
      <c r="H514" s="1">
        <v>3.0</v>
      </c>
      <c r="I514" s="1" t="s">
        <v>34</v>
      </c>
      <c r="J514" s="1" t="s">
        <v>24</v>
      </c>
      <c r="K514" s="1">
        <f t="shared" si="1"/>
        <v>2023</v>
      </c>
      <c r="L514" s="1" t="str">
        <f t="shared" si="2"/>
        <v>Jan</v>
      </c>
      <c r="M514" s="1" t="str">
        <f t="shared" si="3"/>
        <v>Loss</v>
      </c>
    </row>
    <row r="515" ht="14.25" customHeight="1">
      <c r="A515" s="1" t="s">
        <v>549</v>
      </c>
      <c r="B515" s="2">
        <v>45107.0</v>
      </c>
      <c r="C515" s="1" t="s">
        <v>26</v>
      </c>
      <c r="D515" s="1" t="s">
        <v>21</v>
      </c>
      <c r="E515" s="1" t="s">
        <v>37</v>
      </c>
      <c r="F515" s="1">
        <v>822.27</v>
      </c>
      <c r="G515" s="1">
        <v>-183.02</v>
      </c>
      <c r="H515" s="1">
        <v>1.0</v>
      </c>
      <c r="I515" s="1" t="s">
        <v>34</v>
      </c>
      <c r="J515" s="1" t="s">
        <v>35</v>
      </c>
      <c r="K515" s="1">
        <f t="shared" si="1"/>
        <v>2023</v>
      </c>
      <c r="L515" s="1" t="str">
        <f t="shared" si="2"/>
        <v>Jun</v>
      </c>
      <c r="M515" s="1" t="str">
        <f t="shared" si="3"/>
        <v>Loss</v>
      </c>
    </row>
    <row r="516" ht="14.25" customHeight="1">
      <c r="A516" s="1" t="s">
        <v>550</v>
      </c>
      <c r="B516" s="2">
        <v>45034.0</v>
      </c>
      <c r="C516" s="1" t="s">
        <v>30</v>
      </c>
      <c r="D516" s="1" t="s">
        <v>21</v>
      </c>
      <c r="E516" s="1" t="s">
        <v>37</v>
      </c>
      <c r="F516" s="1">
        <v>684.23</v>
      </c>
      <c r="G516" s="1">
        <v>10.28</v>
      </c>
      <c r="H516" s="1">
        <v>8.0</v>
      </c>
      <c r="I516" s="1" t="s">
        <v>17</v>
      </c>
      <c r="J516" s="1" t="s">
        <v>35</v>
      </c>
      <c r="K516" s="1">
        <f t="shared" si="1"/>
        <v>2023</v>
      </c>
      <c r="L516" s="1" t="str">
        <f t="shared" si="2"/>
        <v>Apr</v>
      </c>
      <c r="M516" s="1" t="str">
        <f t="shared" si="3"/>
        <v>Profit</v>
      </c>
    </row>
    <row r="517" ht="14.25" customHeight="1">
      <c r="A517" s="1" t="s">
        <v>551</v>
      </c>
      <c r="B517" s="2">
        <v>44306.0</v>
      </c>
      <c r="C517" s="1" t="s">
        <v>30</v>
      </c>
      <c r="D517" s="1" t="s">
        <v>27</v>
      </c>
      <c r="E517" s="1" t="s">
        <v>40</v>
      </c>
      <c r="F517" s="1">
        <v>167.2</v>
      </c>
      <c r="G517" s="1">
        <v>73.96</v>
      </c>
      <c r="H517" s="1">
        <v>8.0</v>
      </c>
      <c r="I517" s="1" t="s">
        <v>23</v>
      </c>
      <c r="J517" s="1" t="s">
        <v>18</v>
      </c>
      <c r="K517" s="1">
        <f t="shared" si="1"/>
        <v>2021</v>
      </c>
      <c r="L517" s="1" t="str">
        <f t="shared" si="2"/>
        <v>Apr</v>
      </c>
      <c r="M517" s="1" t="str">
        <f t="shared" si="3"/>
        <v>Profit</v>
      </c>
    </row>
    <row r="518" ht="14.25" customHeight="1">
      <c r="A518" s="1" t="s">
        <v>552</v>
      </c>
      <c r="B518" s="2">
        <v>44874.0</v>
      </c>
      <c r="C518" s="1" t="s">
        <v>14</v>
      </c>
      <c r="D518" s="1" t="s">
        <v>15</v>
      </c>
      <c r="E518" s="1" t="s">
        <v>16</v>
      </c>
      <c r="F518" s="1">
        <v>558.55</v>
      </c>
      <c r="G518" s="1">
        <v>-191.64</v>
      </c>
      <c r="H518" s="1">
        <v>5.0</v>
      </c>
      <c r="I518" s="1" t="s">
        <v>17</v>
      </c>
      <c r="J518" s="1" t="s">
        <v>18</v>
      </c>
      <c r="K518" s="1">
        <f t="shared" si="1"/>
        <v>2022</v>
      </c>
      <c r="L518" s="1" t="str">
        <f t="shared" si="2"/>
        <v>Nov</v>
      </c>
      <c r="M518" s="1" t="str">
        <f t="shared" si="3"/>
        <v>Loss</v>
      </c>
    </row>
    <row r="519" ht="14.25" customHeight="1">
      <c r="A519" s="1" t="s">
        <v>553</v>
      </c>
      <c r="B519" s="2">
        <v>44973.0</v>
      </c>
      <c r="C519" s="1" t="s">
        <v>20</v>
      </c>
      <c r="D519" s="1" t="s">
        <v>21</v>
      </c>
      <c r="E519" s="1" t="s">
        <v>22</v>
      </c>
      <c r="F519" s="1">
        <v>171.99</v>
      </c>
      <c r="G519" s="1">
        <v>-120.37</v>
      </c>
      <c r="H519" s="1">
        <v>5.0</v>
      </c>
      <c r="I519" s="1" t="s">
        <v>17</v>
      </c>
      <c r="J519" s="1" t="s">
        <v>18</v>
      </c>
      <c r="K519" s="1">
        <f t="shared" si="1"/>
        <v>2023</v>
      </c>
      <c r="L519" s="1" t="str">
        <f t="shared" si="2"/>
        <v>Feb</v>
      </c>
      <c r="M519" s="1" t="str">
        <f t="shared" si="3"/>
        <v>Loss</v>
      </c>
    </row>
    <row r="520" ht="14.25" customHeight="1">
      <c r="A520" s="1" t="s">
        <v>554</v>
      </c>
      <c r="B520" s="2">
        <v>44573.0</v>
      </c>
      <c r="C520" s="1" t="s">
        <v>30</v>
      </c>
      <c r="D520" s="1" t="s">
        <v>15</v>
      </c>
      <c r="E520" s="1" t="s">
        <v>16</v>
      </c>
      <c r="F520" s="1">
        <v>487.75</v>
      </c>
      <c r="G520" s="1">
        <v>226.72</v>
      </c>
      <c r="H520" s="1">
        <v>10.0</v>
      </c>
      <c r="I520" s="1" t="s">
        <v>34</v>
      </c>
      <c r="J520" s="1" t="s">
        <v>24</v>
      </c>
      <c r="K520" s="1">
        <f t="shared" si="1"/>
        <v>2022</v>
      </c>
      <c r="L520" s="1" t="str">
        <f t="shared" si="2"/>
        <v>Jan</v>
      </c>
      <c r="M520" s="1" t="str">
        <f t="shared" si="3"/>
        <v>Profit</v>
      </c>
    </row>
    <row r="521" ht="14.25" customHeight="1">
      <c r="A521" s="1" t="s">
        <v>555</v>
      </c>
      <c r="B521" s="2">
        <v>45069.0</v>
      </c>
      <c r="C521" s="1" t="s">
        <v>20</v>
      </c>
      <c r="D521" s="1" t="s">
        <v>15</v>
      </c>
      <c r="E521" s="1" t="s">
        <v>54</v>
      </c>
      <c r="F521" s="1">
        <v>200.58</v>
      </c>
      <c r="G521" s="1">
        <v>117.84</v>
      </c>
      <c r="H521" s="1">
        <v>3.0</v>
      </c>
      <c r="I521" s="1" t="s">
        <v>34</v>
      </c>
      <c r="J521" s="1" t="s">
        <v>24</v>
      </c>
      <c r="K521" s="1">
        <f t="shared" si="1"/>
        <v>2023</v>
      </c>
      <c r="L521" s="1" t="str">
        <f t="shared" si="2"/>
        <v>May</v>
      </c>
      <c r="M521" s="1" t="str">
        <f t="shared" si="3"/>
        <v>Profit</v>
      </c>
    </row>
    <row r="522" ht="14.25" customHeight="1">
      <c r="A522" s="1" t="s">
        <v>556</v>
      </c>
      <c r="B522" s="2">
        <v>44335.0</v>
      </c>
      <c r="C522" s="1" t="s">
        <v>14</v>
      </c>
      <c r="D522" s="1" t="s">
        <v>21</v>
      </c>
      <c r="E522" s="1" t="s">
        <v>22</v>
      </c>
      <c r="F522" s="1">
        <v>475.86</v>
      </c>
      <c r="G522" s="1">
        <v>178.14</v>
      </c>
      <c r="H522" s="1">
        <v>10.0</v>
      </c>
      <c r="I522" s="1" t="s">
        <v>34</v>
      </c>
      <c r="J522" s="1" t="s">
        <v>35</v>
      </c>
      <c r="K522" s="1">
        <f t="shared" si="1"/>
        <v>2021</v>
      </c>
      <c r="L522" s="1" t="str">
        <f t="shared" si="2"/>
        <v>May</v>
      </c>
      <c r="M522" s="1" t="str">
        <f t="shared" si="3"/>
        <v>Profit</v>
      </c>
    </row>
    <row r="523" ht="14.25" customHeight="1">
      <c r="A523" s="1" t="s">
        <v>557</v>
      </c>
      <c r="B523" s="2">
        <v>44673.0</v>
      </c>
      <c r="C523" s="1" t="s">
        <v>30</v>
      </c>
      <c r="D523" s="1" t="s">
        <v>21</v>
      </c>
      <c r="E523" s="1" t="s">
        <v>22</v>
      </c>
      <c r="F523" s="1">
        <v>736.41</v>
      </c>
      <c r="G523" s="1">
        <v>198.45</v>
      </c>
      <c r="H523" s="1">
        <v>8.0</v>
      </c>
      <c r="I523" s="1" t="s">
        <v>17</v>
      </c>
      <c r="J523" s="1" t="s">
        <v>18</v>
      </c>
      <c r="K523" s="1">
        <f t="shared" si="1"/>
        <v>2022</v>
      </c>
      <c r="L523" s="1" t="str">
        <f t="shared" si="2"/>
        <v>Apr</v>
      </c>
      <c r="M523" s="1" t="str">
        <f t="shared" si="3"/>
        <v>Profit</v>
      </c>
    </row>
    <row r="524" ht="14.25" customHeight="1">
      <c r="A524" s="1" t="s">
        <v>558</v>
      </c>
      <c r="B524" s="2">
        <v>44452.0</v>
      </c>
      <c r="C524" s="1" t="s">
        <v>26</v>
      </c>
      <c r="D524" s="1" t="s">
        <v>27</v>
      </c>
      <c r="E524" s="1" t="s">
        <v>40</v>
      </c>
      <c r="F524" s="1">
        <v>907.3</v>
      </c>
      <c r="G524" s="1">
        <v>33.2</v>
      </c>
      <c r="H524" s="1">
        <v>5.0</v>
      </c>
      <c r="I524" s="1" t="s">
        <v>23</v>
      </c>
      <c r="J524" s="1" t="s">
        <v>38</v>
      </c>
      <c r="K524" s="1">
        <f t="shared" si="1"/>
        <v>2021</v>
      </c>
      <c r="L524" s="1" t="str">
        <f t="shared" si="2"/>
        <v>Sep</v>
      </c>
      <c r="M524" s="1" t="str">
        <f t="shared" si="3"/>
        <v>Profit</v>
      </c>
    </row>
    <row r="525" ht="14.25" customHeight="1">
      <c r="A525" s="1" t="s">
        <v>559</v>
      </c>
      <c r="B525" s="2">
        <v>44474.0</v>
      </c>
      <c r="C525" s="1" t="s">
        <v>14</v>
      </c>
      <c r="D525" s="1" t="s">
        <v>21</v>
      </c>
      <c r="E525" s="1" t="s">
        <v>22</v>
      </c>
      <c r="F525" s="1">
        <v>179.09</v>
      </c>
      <c r="G525" s="1">
        <v>-64.01</v>
      </c>
      <c r="H525" s="1">
        <v>3.0</v>
      </c>
      <c r="I525" s="1" t="s">
        <v>17</v>
      </c>
      <c r="J525" s="1" t="s">
        <v>18</v>
      </c>
      <c r="K525" s="1">
        <f t="shared" si="1"/>
        <v>2021</v>
      </c>
      <c r="L525" s="1" t="str">
        <f t="shared" si="2"/>
        <v>Oct</v>
      </c>
      <c r="M525" s="1" t="str">
        <f t="shared" si="3"/>
        <v>Loss</v>
      </c>
    </row>
    <row r="526" ht="14.25" customHeight="1">
      <c r="A526" s="1" t="s">
        <v>560</v>
      </c>
      <c r="B526" s="2">
        <v>44544.0</v>
      </c>
      <c r="C526" s="1" t="s">
        <v>14</v>
      </c>
      <c r="D526" s="1" t="s">
        <v>21</v>
      </c>
      <c r="E526" s="1" t="s">
        <v>76</v>
      </c>
      <c r="F526" s="1">
        <v>975.79</v>
      </c>
      <c r="G526" s="1">
        <v>64.22</v>
      </c>
      <c r="H526" s="1">
        <v>4.0</v>
      </c>
      <c r="I526" s="1" t="s">
        <v>23</v>
      </c>
      <c r="J526" s="1" t="s">
        <v>18</v>
      </c>
      <c r="K526" s="1">
        <f t="shared" si="1"/>
        <v>2021</v>
      </c>
      <c r="L526" s="1" t="str">
        <f t="shared" si="2"/>
        <v>Dec</v>
      </c>
      <c r="M526" s="1" t="str">
        <f t="shared" si="3"/>
        <v>Profit</v>
      </c>
    </row>
    <row r="527" ht="14.25" customHeight="1">
      <c r="A527" s="1" t="s">
        <v>561</v>
      </c>
      <c r="B527" s="2">
        <v>44225.0</v>
      </c>
      <c r="C527" s="1" t="s">
        <v>30</v>
      </c>
      <c r="D527" s="1" t="s">
        <v>15</v>
      </c>
      <c r="E527" s="1" t="s">
        <v>54</v>
      </c>
      <c r="F527" s="1">
        <v>334.45</v>
      </c>
      <c r="G527" s="1">
        <v>105.23</v>
      </c>
      <c r="H527" s="1">
        <v>6.0</v>
      </c>
      <c r="I527" s="1" t="s">
        <v>17</v>
      </c>
      <c r="J527" s="1" t="s">
        <v>35</v>
      </c>
      <c r="K527" s="1">
        <f t="shared" si="1"/>
        <v>2021</v>
      </c>
      <c r="L527" s="1" t="str">
        <f t="shared" si="2"/>
        <v>Jan</v>
      </c>
      <c r="M527" s="1" t="str">
        <f t="shared" si="3"/>
        <v>Profit</v>
      </c>
    </row>
    <row r="528" ht="14.25" customHeight="1">
      <c r="A528" s="1" t="s">
        <v>562</v>
      </c>
      <c r="B528" s="2">
        <v>45066.0</v>
      </c>
      <c r="C528" s="1" t="s">
        <v>20</v>
      </c>
      <c r="D528" s="1" t="s">
        <v>21</v>
      </c>
      <c r="E528" s="1" t="s">
        <v>76</v>
      </c>
      <c r="F528" s="1">
        <v>21.89</v>
      </c>
      <c r="G528" s="1">
        <v>67.99</v>
      </c>
      <c r="H528" s="1">
        <v>6.0</v>
      </c>
      <c r="I528" s="1" t="s">
        <v>17</v>
      </c>
      <c r="J528" s="1" t="s">
        <v>24</v>
      </c>
      <c r="K528" s="1">
        <f t="shared" si="1"/>
        <v>2023</v>
      </c>
      <c r="L528" s="1" t="str">
        <f t="shared" si="2"/>
        <v>May</v>
      </c>
      <c r="M528" s="1" t="str">
        <f t="shared" si="3"/>
        <v>Profit</v>
      </c>
    </row>
    <row r="529" ht="14.25" customHeight="1">
      <c r="A529" s="1" t="s">
        <v>563</v>
      </c>
      <c r="B529" s="2">
        <v>45289.0</v>
      </c>
      <c r="C529" s="1" t="s">
        <v>26</v>
      </c>
      <c r="D529" s="1" t="s">
        <v>27</v>
      </c>
      <c r="E529" s="1" t="s">
        <v>33</v>
      </c>
      <c r="F529" s="1">
        <v>385.52</v>
      </c>
      <c r="G529" s="1">
        <v>230.99</v>
      </c>
      <c r="H529" s="1">
        <v>1.0</v>
      </c>
      <c r="I529" s="1" t="s">
        <v>17</v>
      </c>
      <c r="J529" s="1" t="s">
        <v>38</v>
      </c>
      <c r="K529" s="1">
        <f t="shared" si="1"/>
        <v>2023</v>
      </c>
      <c r="L529" s="1" t="str">
        <f t="shared" si="2"/>
        <v>Dec</v>
      </c>
      <c r="M529" s="1" t="str">
        <f t="shared" si="3"/>
        <v>Profit</v>
      </c>
    </row>
    <row r="530" ht="14.25" customHeight="1">
      <c r="A530" s="1" t="s">
        <v>564</v>
      </c>
      <c r="B530" s="2">
        <v>44345.0</v>
      </c>
      <c r="C530" s="1" t="s">
        <v>14</v>
      </c>
      <c r="D530" s="1" t="s">
        <v>21</v>
      </c>
      <c r="E530" s="1" t="s">
        <v>22</v>
      </c>
      <c r="F530" s="1">
        <v>247.93</v>
      </c>
      <c r="G530" s="1">
        <v>158.3</v>
      </c>
      <c r="H530" s="1">
        <v>2.0</v>
      </c>
      <c r="I530" s="1" t="s">
        <v>34</v>
      </c>
      <c r="J530" s="1" t="s">
        <v>24</v>
      </c>
      <c r="K530" s="1">
        <f t="shared" si="1"/>
        <v>2021</v>
      </c>
      <c r="L530" s="1" t="str">
        <f t="shared" si="2"/>
        <v>May</v>
      </c>
      <c r="M530" s="1" t="str">
        <f t="shared" si="3"/>
        <v>Profit</v>
      </c>
    </row>
    <row r="531" ht="14.25" customHeight="1">
      <c r="A531" s="1" t="s">
        <v>565</v>
      </c>
      <c r="B531" s="2">
        <v>44225.0</v>
      </c>
      <c r="C531" s="1" t="s">
        <v>26</v>
      </c>
      <c r="D531" s="1" t="s">
        <v>21</v>
      </c>
      <c r="E531" s="1" t="s">
        <v>22</v>
      </c>
      <c r="F531" s="1">
        <v>150.69</v>
      </c>
      <c r="G531" s="1">
        <v>264.76</v>
      </c>
      <c r="H531" s="1">
        <v>5.0</v>
      </c>
      <c r="I531" s="1" t="s">
        <v>17</v>
      </c>
      <c r="J531" s="1" t="s">
        <v>24</v>
      </c>
      <c r="K531" s="1">
        <f t="shared" si="1"/>
        <v>2021</v>
      </c>
      <c r="L531" s="1" t="str">
        <f t="shared" si="2"/>
        <v>Jan</v>
      </c>
      <c r="M531" s="1" t="str">
        <f t="shared" si="3"/>
        <v>Profit</v>
      </c>
    </row>
    <row r="532" ht="14.25" customHeight="1">
      <c r="A532" s="1" t="s">
        <v>566</v>
      </c>
      <c r="B532" s="2">
        <v>44779.0</v>
      </c>
      <c r="C532" s="1" t="s">
        <v>30</v>
      </c>
      <c r="D532" s="1" t="s">
        <v>27</v>
      </c>
      <c r="E532" s="1" t="s">
        <v>28</v>
      </c>
      <c r="F532" s="1">
        <v>919.17</v>
      </c>
      <c r="G532" s="1">
        <v>153.45</v>
      </c>
      <c r="H532" s="1">
        <v>5.0</v>
      </c>
      <c r="I532" s="1" t="s">
        <v>17</v>
      </c>
      <c r="J532" s="1" t="s">
        <v>38</v>
      </c>
      <c r="K532" s="1">
        <f t="shared" si="1"/>
        <v>2022</v>
      </c>
      <c r="L532" s="1" t="str">
        <f t="shared" si="2"/>
        <v>Aug</v>
      </c>
      <c r="M532" s="1" t="str">
        <f t="shared" si="3"/>
        <v>Profit</v>
      </c>
    </row>
    <row r="533" ht="14.25" customHeight="1">
      <c r="A533" s="1" t="s">
        <v>567</v>
      </c>
      <c r="B533" s="2">
        <v>45131.0</v>
      </c>
      <c r="C533" s="1" t="s">
        <v>20</v>
      </c>
      <c r="D533" s="1" t="s">
        <v>21</v>
      </c>
      <c r="E533" s="1" t="s">
        <v>37</v>
      </c>
      <c r="F533" s="1">
        <v>894.55</v>
      </c>
      <c r="G533" s="1">
        <v>28.84</v>
      </c>
      <c r="H533" s="1">
        <v>1.0</v>
      </c>
      <c r="I533" s="1" t="s">
        <v>17</v>
      </c>
      <c r="J533" s="1" t="s">
        <v>38</v>
      </c>
      <c r="K533" s="1">
        <f t="shared" si="1"/>
        <v>2023</v>
      </c>
      <c r="L533" s="1" t="str">
        <f t="shared" si="2"/>
        <v>Jul</v>
      </c>
      <c r="M533" s="1" t="str">
        <f t="shared" si="3"/>
        <v>Profit</v>
      </c>
    </row>
    <row r="534" ht="14.25" customHeight="1">
      <c r="A534" s="1" t="s">
        <v>568</v>
      </c>
      <c r="B534" s="2">
        <v>44955.0</v>
      </c>
      <c r="C534" s="1" t="s">
        <v>14</v>
      </c>
      <c r="D534" s="1" t="s">
        <v>27</v>
      </c>
      <c r="E534" s="1" t="s">
        <v>33</v>
      </c>
      <c r="F534" s="1">
        <v>763.91</v>
      </c>
      <c r="G534" s="1">
        <v>282.71</v>
      </c>
      <c r="H534" s="1">
        <v>9.0</v>
      </c>
      <c r="I534" s="1" t="s">
        <v>34</v>
      </c>
      <c r="J534" s="1" t="s">
        <v>24</v>
      </c>
      <c r="K534" s="1">
        <f t="shared" si="1"/>
        <v>2023</v>
      </c>
      <c r="L534" s="1" t="str">
        <f t="shared" si="2"/>
        <v>Jan</v>
      </c>
      <c r="M534" s="1" t="str">
        <f t="shared" si="3"/>
        <v>Profit</v>
      </c>
    </row>
    <row r="535" ht="14.25" customHeight="1">
      <c r="A535" s="1" t="s">
        <v>569</v>
      </c>
      <c r="B535" s="2">
        <v>44741.0</v>
      </c>
      <c r="C535" s="1" t="s">
        <v>30</v>
      </c>
      <c r="D535" s="1" t="s">
        <v>15</v>
      </c>
      <c r="E535" s="1" t="s">
        <v>31</v>
      </c>
      <c r="F535" s="1">
        <v>613.65</v>
      </c>
      <c r="G535" s="1">
        <v>-173.15</v>
      </c>
      <c r="H535" s="1">
        <v>10.0</v>
      </c>
      <c r="I535" s="1" t="s">
        <v>23</v>
      </c>
      <c r="J535" s="1" t="s">
        <v>38</v>
      </c>
      <c r="K535" s="1">
        <f t="shared" si="1"/>
        <v>2022</v>
      </c>
      <c r="L535" s="1" t="str">
        <f t="shared" si="2"/>
        <v>Jun</v>
      </c>
      <c r="M535" s="1" t="str">
        <f t="shared" si="3"/>
        <v>Loss</v>
      </c>
    </row>
    <row r="536" ht="14.25" customHeight="1">
      <c r="A536" s="1" t="s">
        <v>570</v>
      </c>
      <c r="B536" s="2">
        <v>44978.0</v>
      </c>
      <c r="C536" s="1" t="s">
        <v>14</v>
      </c>
      <c r="D536" s="1" t="s">
        <v>27</v>
      </c>
      <c r="E536" s="1" t="s">
        <v>40</v>
      </c>
      <c r="F536" s="1">
        <v>888.84</v>
      </c>
      <c r="G536" s="1">
        <v>-43.31</v>
      </c>
      <c r="H536" s="1">
        <v>3.0</v>
      </c>
      <c r="I536" s="1" t="s">
        <v>34</v>
      </c>
      <c r="J536" s="1" t="s">
        <v>24</v>
      </c>
      <c r="K536" s="1">
        <f t="shared" si="1"/>
        <v>2023</v>
      </c>
      <c r="L536" s="1" t="str">
        <f t="shared" si="2"/>
        <v>Feb</v>
      </c>
      <c r="M536" s="1" t="str">
        <f t="shared" si="3"/>
        <v>Loss</v>
      </c>
    </row>
    <row r="537" ht="14.25" customHeight="1">
      <c r="A537" s="1" t="s">
        <v>571</v>
      </c>
      <c r="B537" s="2">
        <v>44407.0</v>
      </c>
      <c r="C537" s="1" t="s">
        <v>14</v>
      </c>
      <c r="D537" s="1" t="s">
        <v>27</v>
      </c>
      <c r="E537" s="1" t="s">
        <v>40</v>
      </c>
      <c r="F537" s="1">
        <v>295.31</v>
      </c>
      <c r="G537" s="1">
        <v>17.15</v>
      </c>
      <c r="H537" s="1">
        <v>3.0</v>
      </c>
      <c r="I537" s="1" t="s">
        <v>23</v>
      </c>
      <c r="J537" s="1" t="s">
        <v>38</v>
      </c>
      <c r="K537" s="1">
        <f t="shared" si="1"/>
        <v>2021</v>
      </c>
      <c r="L537" s="1" t="str">
        <f t="shared" si="2"/>
        <v>Jul</v>
      </c>
      <c r="M537" s="1" t="str">
        <f t="shared" si="3"/>
        <v>Profit</v>
      </c>
    </row>
    <row r="538" ht="14.25" customHeight="1">
      <c r="A538" s="1" t="s">
        <v>572</v>
      </c>
      <c r="B538" s="2">
        <v>45201.0</v>
      </c>
      <c r="C538" s="1" t="s">
        <v>30</v>
      </c>
      <c r="D538" s="1" t="s">
        <v>15</v>
      </c>
      <c r="E538" s="1" t="s">
        <v>54</v>
      </c>
      <c r="F538" s="1">
        <v>51.83</v>
      </c>
      <c r="G538" s="1">
        <v>201.16</v>
      </c>
      <c r="H538" s="1">
        <v>7.0</v>
      </c>
      <c r="I538" s="1" t="s">
        <v>17</v>
      </c>
      <c r="J538" s="1" t="s">
        <v>38</v>
      </c>
      <c r="K538" s="1">
        <f t="shared" si="1"/>
        <v>2023</v>
      </c>
      <c r="L538" s="1" t="str">
        <f t="shared" si="2"/>
        <v>Oct</v>
      </c>
      <c r="M538" s="1" t="str">
        <f t="shared" si="3"/>
        <v>Profit</v>
      </c>
    </row>
    <row r="539" ht="14.25" customHeight="1">
      <c r="A539" s="1" t="s">
        <v>573</v>
      </c>
      <c r="B539" s="2">
        <v>44970.0</v>
      </c>
      <c r="C539" s="1" t="s">
        <v>20</v>
      </c>
      <c r="D539" s="1" t="s">
        <v>15</v>
      </c>
      <c r="E539" s="1" t="s">
        <v>31</v>
      </c>
      <c r="F539" s="1">
        <v>577.82</v>
      </c>
      <c r="G539" s="1">
        <v>-195.39</v>
      </c>
      <c r="H539" s="1">
        <v>5.0</v>
      </c>
      <c r="I539" s="1" t="s">
        <v>34</v>
      </c>
      <c r="J539" s="1" t="s">
        <v>18</v>
      </c>
      <c r="K539" s="1">
        <f t="shared" si="1"/>
        <v>2023</v>
      </c>
      <c r="L539" s="1" t="str">
        <f t="shared" si="2"/>
        <v>Feb</v>
      </c>
      <c r="M539" s="1" t="str">
        <f t="shared" si="3"/>
        <v>Loss</v>
      </c>
    </row>
    <row r="540" ht="14.25" customHeight="1">
      <c r="A540" s="1" t="s">
        <v>574</v>
      </c>
      <c r="B540" s="2">
        <v>44968.0</v>
      </c>
      <c r="C540" s="1" t="s">
        <v>30</v>
      </c>
      <c r="D540" s="1" t="s">
        <v>27</v>
      </c>
      <c r="E540" s="1" t="s">
        <v>28</v>
      </c>
      <c r="F540" s="1">
        <v>316.41</v>
      </c>
      <c r="G540" s="1">
        <v>90.52</v>
      </c>
      <c r="H540" s="1">
        <v>8.0</v>
      </c>
      <c r="I540" s="1" t="s">
        <v>17</v>
      </c>
      <c r="J540" s="1" t="s">
        <v>38</v>
      </c>
      <c r="K540" s="1">
        <f t="shared" si="1"/>
        <v>2023</v>
      </c>
      <c r="L540" s="1" t="str">
        <f t="shared" si="2"/>
        <v>Feb</v>
      </c>
      <c r="M540" s="1" t="str">
        <f t="shared" si="3"/>
        <v>Profit</v>
      </c>
    </row>
    <row r="541" ht="14.25" customHeight="1">
      <c r="A541" s="1" t="s">
        <v>575</v>
      </c>
      <c r="B541" s="2">
        <v>44919.0</v>
      </c>
      <c r="C541" s="1" t="s">
        <v>14</v>
      </c>
      <c r="D541" s="1" t="s">
        <v>27</v>
      </c>
      <c r="E541" s="1" t="s">
        <v>40</v>
      </c>
      <c r="F541" s="1">
        <v>423.68</v>
      </c>
      <c r="G541" s="1">
        <v>132.03</v>
      </c>
      <c r="H541" s="1">
        <v>4.0</v>
      </c>
      <c r="I541" s="1" t="s">
        <v>23</v>
      </c>
      <c r="J541" s="1" t="s">
        <v>24</v>
      </c>
      <c r="K541" s="1">
        <f t="shared" si="1"/>
        <v>2022</v>
      </c>
      <c r="L541" s="1" t="str">
        <f t="shared" si="2"/>
        <v>Dec</v>
      </c>
      <c r="M541" s="1" t="str">
        <f t="shared" si="3"/>
        <v>Profit</v>
      </c>
    </row>
    <row r="542" ht="14.25" customHeight="1">
      <c r="A542" s="1" t="s">
        <v>576</v>
      </c>
      <c r="B542" s="2">
        <v>45283.0</v>
      </c>
      <c r="C542" s="1" t="s">
        <v>30</v>
      </c>
      <c r="D542" s="1" t="s">
        <v>27</v>
      </c>
      <c r="E542" s="1" t="s">
        <v>28</v>
      </c>
      <c r="F542" s="1">
        <v>739.71</v>
      </c>
      <c r="G542" s="1">
        <v>-158.43</v>
      </c>
      <c r="H542" s="1">
        <v>8.0</v>
      </c>
      <c r="I542" s="1" t="s">
        <v>23</v>
      </c>
      <c r="J542" s="1" t="s">
        <v>18</v>
      </c>
      <c r="K542" s="1">
        <f t="shared" si="1"/>
        <v>2023</v>
      </c>
      <c r="L542" s="1" t="str">
        <f t="shared" si="2"/>
        <v>Dec</v>
      </c>
      <c r="M542" s="1" t="str">
        <f t="shared" si="3"/>
        <v>Loss</v>
      </c>
    </row>
    <row r="543" ht="14.25" customHeight="1">
      <c r="A543" s="1" t="s">
        <v>577</v>
      </c>
      <c r="B543" s="2">
        <v>45276.0</v>
      </c>
      <c r="C543" s="1" t="s">
        <v>14</v>
      </c>
      <c r="D543" s="1" t="s">
        <v>15</v>
      </c>
      <c r="E543" s="1" t="s">
        <v>54</v>
      </c>
      <c r="F543" s="1">
        <v>365.89</v>
      </c>
      <c r="G543" s="1">
        <v>276.88</v>
      </c>
      <c r="H543" s="1">
        <v>8.0</v>
      </c>
      <c r="I543" s="1" t="s">
        <v>23</v>
      </c>
      <c r="J543" s="1" t="s">
        <v>18</v>
      </c>
      <c r="K543" s="1">
        <f t="shared" si="1"/>
        <v>2023</v>
      </c>
      <c r="L543" s="1" t="str">
        <f t="shared" si="2"/>
        <v>Dec</v>
      </c>
      <c r="M543" s="1" t="str">
        <f t="shared" si="3"/>
        <v>Profit</v>
      </c>
    </row>
    <row r="544" ht="14.25" customHeight="1">
      <c r="A544" s="1" t="s">
        <v>578</v>
      </c>
      <c r="B544" s="2">
        <v>44721.0</v>
      </c>
      <c r="C544" s="1" t="s">
        <v>30</v>
      </c>
      <c r="D544" s="1" t="s">
        <v>21</v>
      </c>
      <c r="E544" s="1" t="s">
        <v>76</v>
      </c>
      <c r="F544" s="1">
        <v>645.44</v>
      </c>
      <c r="G544" s="1">
        <v>-151.71</v>
      </c>
      <c r="H544" s="1">
        <v>3.0</v>
      </c>
      <c r="I544" s="1" t="s">
        <v>17</v>
      </c>
      <c r="J544" s="1" t="s">
        <v>24</v>
      </c>
      <c r="K544" s="1">
        <f t="shared" si="1"/>
        <v>2022</v>
      </c>
      <c r="L544" s="1" t="str">
        <f t="shared" si="2"/>
        <v>Jun</v>
      </c>
      <c r="M544" s="1" t="str">
        <f t="shared" si="3"/>
        <v>Loss</v>
      </c>
    </row>
    <row r="545" ht="14.25" customHeight="1">
      <c r="A545" s="1" t="s">
        <v>579</v>
      </c>
      <c r="B545" s="2">
        <v>44889.0</v>
      </c>
      <c r="C545" s="1" t="s">
        <v>30</v>
      </c>
      <c r="D545" s="1" t="s">
        <v>21</v>
      </c>
      <c r="E545" s="1" t="s">
        <v>76</v>
      </c>
      <c r="F545" s="1">
        <v>517.55</v>
      </c>
      <c r="G545" s="1">
        <v>-84.07</v>
      </c>
      <c r="H545" s="1">
        <v>10.0</v>
      </c>
      <c r="I545" s="1" t="s">
        <v>34</v>
      </c>
      <c r="J545" s="1" t="s">
        <v>38</v>
      </c>
      <c r="K545" s="1">
        <f t="shared" si="1"/>
        <v>2022</v>
      </c>
      <c r="L545" s="1" t="str">
        <f t="shared" si="2"/>
        <v>Nov</v>
      </c>
      <c r="M545" s="1" t="str">
        <f t="shared" si="3"/>
        <v>Loss</v>
      </c>
    </row>
    <row r="546" ht="14.25" customHeight="1">
      <c r="A546" s="1" t="s">
        <v>580</v>
      </c>
      <c r="B546" s="2">
        <v>44614.0</v>
      </c>
      <c r="C546" s="1" t="s">
        <v>20</v>
      </c>
      <c r="D546" s="1" t="s">
        <v>27</v>
      </c>
      <c r="E546" s="1" t="s">
        <v>33</v>
      </c>
      <c r="F546" s="1">
        <v>261.18</v>
      </c>
      <c r="G546" s="1">
        <v>-89.42</v>
      </c>
      <c r="H546" s="1">
        <v>7.0</v>
      </c>
      <c r="I546" s="1" t="s">
        <v>17</v>
      </c>
      <c r="J546" s="1" t="s">
        <v>24</v>
      </c>
      <c r="K546" s="1">
        <f t="shared" si="1"/>
        <v>2022</v>
      </c>
      <c r="L546" s="1" t="str">
        <f t="shared" si="2"/>
        <v>Feb</v>
      </c>
      <c r="M546" s="1" t="str">
        <f t="shared" si="3"/>
        <v>Loss</v>
      </c>
    </row>
    <row r="547" ht="14.25" customHeight="1">
      <c r="A547" s="1" t="s">
        <v>581</v>
      </c>
      <c r="B547" s="2">
        <v>44989.0</v>
      </c>
      <c r="C547" s="1" t="s">
        <v>20</v>
      </c>
      <c r="D547" s="1" t="s">
        <v>21</v>
      </c>
      <c r="E547" s="1" t="s">
        <v>76</v>
      </c>
      <c r="F547" s="1">
        <v>855.24</v>
      </c>
      <c r="G547" s="1">
        <v>-137.87</v>
      </c>
      <c r="H547" s="1">
        <v>8.0</v>
      </c>
      <c r="I547" s="1" t="s">
        <v>17</v>
      </c>
      <c r="J547" s="1" t="s">
        <v>24</v>
      </c>
      <c r="K547" s="1">
        <f t="shared" si="1"/>
        <v>2023</v>
      </c>
      <c r="L547" s="1" t="str">
        <f t="shared" si="2"/>
        <v>Mar</v>
      </c>
      <c r="M547" s="1" t="str">
        <f t="shared" si="3"/>
        <v>Loss</v>
      </c>
    </row>
    <row r="548" ht="14.25" customHeight="1">
      <c r="A548" s="1" t="s">
        <v>582</v>
      </c>
      <c r="B548" s="2">
        <v>44816.0</v>
      </c>
      <c r="C548" s="1" t="s">
        <v>20</v>
      </c>
      <c r="D548" s="1" t="s">
        <v>21</v>
      </c>
      <c r="E548" s="1" t="s">
        <v>76</v>
      </c>
      <c r="F548" s="1">
        <v>121.79</v>
      </c>
      <c r="G548" s="1">
        <v>122.52</v>
      </c>
      <c r="H548" s="1">
        <v>9.0</v>
      </c>
      <c r="I548" s="1" t="s">
        <v>34</v>
      </c>
      <c r="J548" s="1" t="s">
        <v>35</v>
      </c>
      <c r="K548" s="1">
        <f t="shared" si="1"/>
        <v>2022</v>
      </c>
      <c r="L548" s="1" t="str">
        <f t="shared" si="2"/>
        <v>Sep</v>
      </c>
      <c r="M548" s="1" t="str">
        <f t="shared" si="3"/>
        <v>Profit</v>
      </c>
    </row>
    <row r="549" ht="14.25" customHeight="1">
      <c r="A549" s="1" t="s">
        <v>583</v>
      </c>
      <c r="B549" s="2">
        <v>44956.0</v>
      </c>
      <c r="C549" s="1" t="s">
        <v>26</v>
      </c>
      <c r="D549" s="1" t="s">
        <v>21</v>
      </c>
      <c r="E549" s="1" t="s">
        <v>22</v>
      </c>
      <c r="F549" s="1">
        <v>518.85</v>
      </c>
      <c r="G549" s="1">
        <v>149.19</v>
      </c>
      <c r="H549" s="1">
        <v>10.0</v>
      </c>
      <c r="I549" s="1" t="s">
        <v>17</v>
      </c>
      <c r="J549" s="1" t="s">
        <v>38</v>
      </c>
      <c r="K549" s="1">
        <f t="shared" si="1"/>
        <v>2023</v>
      </c>
      <c r="L549" s="1" t="str">
        <f t="shared" si="2"/>
        <v>Jan</v>
      </c>
      <c r="M549" s="1" t="str">
        <f t="shared" si="3"/>
        <v>Profit</v>
      </c>
    </row>
    <row r="550" ht="14.25" customHeight="1">
      <c r="A550" s="1" t="s">
        <v>584</v>
      </c>
      <c r="B550" s="2">
        <v>45145.0</v>
      </c>
      <c r="C550" s="1" t="s">
        <v>30</v>
      </c>
      <c r="D550" s="1" t="s">
        <v>27</v>
      </c>
      <c r="E550" s="1" t="s">
        <v>33</v>
      </c>
      <c r="F550" s="1">
        <v>802.14</v>
      </c>
      <c r="G550" s="1">
        <v>-65.99</v>
      </c>
      <c r="H550" s="1">
        <v>8.0</v>
      </c>
      <c r="I550" s="1" t="s">
        <v>17</v>
      </c>
      <c r="J550" s="1" t="s">
        <v>24</v>
      </c>
      <c r="K550" s="1">
        <f t="shared" si="1"/>
        <v>2023</v>
      </c>
      <c r="L550" s="1" t="str">
        <f t="shared" si="2"/>
        <v>Aug</v>
      </c>
      <c r="M550" s="1" t="str">
        <f t="shared" si="3"/>
        <v>Loss</v>
      </c>
    </row>
    <row r="551" ht="14.25" customHeight="1">
      <c r="A551" s="1" t="s">
        <v>585</v>
      </c>
      <c r="B551" s="2">
        <v>45150.0</v>
      </c>
      <c r="C551" s="1" t="s">
        <v>30</v>
      </c>
      <c r="D551" s="1" t="s">
        <v>15</v>
      </c>
      <c r="E551" s="1" t="s">
        <v>54</v>
      </c>
      <c r="F551" s="1">
        <v>50.08</v>
      </c>
      <c r="G551" s="1">
        <v>234.36</v>
      </c>
      <c r="H551" s="1">
        <v>6.0</v>
      </c>
      <c r="I551" s="1" t="s">
        <v>34</v>
      </c>
      <c r="J551" s="1" t="s">
        <v>24</v>
      </c>
      <c r="K551" s="1">
        <f t="shared" si="1"/>
        <v>2023</v>
      </c>
      <c r="L551" s="1" t="str">
        <f t="shared" si="2"/>
        <v>Aug</v>
      </c>
      <c r="M551" s="1" t="str">
        <f t="shared" si="3"/>
        <v>Profit</v>
      </c>
    </row>
    <row r="552" ht="14.25" customHeight="1">
      <c r="A552" s="1" t="s">
        <v>586</v>
      </c>
      <c r="B552" s="2">
        <v>44785.0</v>
      </c>
      <c r="C552" s="1" t="s">
        <v>20</v>
      </c>
      <c r="D552" s="1" t="s">
        <v>27</v>
      </c>
      <c r="E552" s="1" t="s">
        <v>40</v>
      </c>
      <c r="F552" s="1">
        <v>970.65</v>
      </c>
      <c r="G552" s="1">
        <v>103.33</v>
      </c>
      <c r="H552" s="1">
        <v>9.0</v>
      </c>
      <c r="I552" s="1" t="s">
        <v>34</v>
      </c>
      <c r="J552" s="1" t="s">
        <v>35</v>
      </c>
      <c r="K552" s="1">
        <f t="shared" si="1"/>
        <v>2022</v>
      </c>
      <c r="L552" s="1" t="str">
        <f t="shared" si="2"/>
        <v>Aug</v>
      </c>
      <c r="M552" s="1" t="str">
        <f t="shared" si="3"/>
        <v>Profit</v>
      </c>
    </row>
    <row r="553" ht="14.25" customHeight="1">
      <c r="A553" s="1" t="s">
        <v>587</v>
      </c>
      <c r="B553" s="2">
        <v>44985.0</v>
      </c>
      <c r="C553" s="1" t="s">
        <v>20</v>
      </c>
      <c r="D553" s="1" t="s">
        <v>27</v>
      </c>
      <c r="E553" s="1" t="s">
        <v>40</v>
      </c>
      <c r="F553" s="1">
        <v>557.97</v>
      </c>
      <c r="G553" s="1">
        <v>-142.71</v>
      </c>
      <c r="H553" s="1">
        <v>2.0</v>
      </c>
      <c r="I553" s="1" t="s">
        <v>34</v>
      </c>
      <c r="J553" s="1" t="s">
        <v>18</v>
      </c>
      <c r="K553" s="1">
        <f t="shared" si="1"/>
        <v>2023</v>
      </c>
      <c r="L553" s="1" t="str">
        <f t="shared" si="2"/>
        <v>Feb</v>
      </c>
      <c r="M553" s="1" t="str">
        <f t="shared" si="3"/>
        <v>Loss</v>
      </c>
    </row>
    <row r="554" ht="14.25" customHeight="1">
      <c r="A554" s="1" t="s">
        <v>588</v>
      </c>
      <c r="B554" s="2">
        <v>44958.0</v>
      </c>
      <c r="C554" s="1" t="s">
        <v>26</v>
      </c>
      <c r="D554" s="1" t="s">
        <v>21</v>
      </c>
      <c r="E554" s="1" t="s">
        <v>22</v>
      </c>
      <c r="F554" s="1">
        <v>532.91</v>
      </c>
      <c r="G554" s="1">
        <v>-159.98</v>
      </c>
      <c r="H554" s="1">
        <v>10.0</v>
      </c>
      <c r="I554" s="1" t="s">
        <v>34</v>
      </c>
      <c r="J554" s="1" t="s">
        <v>24</v>
      </c>
      <c r="K554" s="1">
        <f t="shared" si="1"/>
        <v>2023</v>
      </c>
      <c r="L554" s="1" t="str">
        <f t="shared" si="2"/>
        <v>Feb</v>
      </c>
      <c r="M554" s="1" t="str">
        <f t="shared" si="3"/>
        <v>Loss</v>
      </c>
    </row>
    <row r="555" ht="14.25" customHeight="1">
      <c r="A555" s="1" t="s">
        <v>589</v>
      </c>
      <c r="B555" s="2">
        <v>44580.0</v>
      </c>
      <c r="C555" s="1" t="s">
        <v>26</v>
      </c>
      <c r="D555" s="1" t="s">
        <v>15</v>
      </c>
      <c r="E555" s="1" t="s">
        <v>31</v>
      </c>
      <c r="F555" s="1">
        <v>827.54</v>
      </c>
      <c r="G555" s="1">
        <v>68.37</v>
      </c>
      <c r="H555" s="1">
        <v>5.0</v>
      </c>
      <c r="I555" s="1" t="s">
        <v>23</v>
      </c>
      <c r="J555" s="1" t="s">
        <v>35</v>
      </c>
      <c r="K555" s="1">
        <f t="shared" si="1"/>
        <v>2022</v>
      </c>
      <c r="L555" s="1" t="str">
        <f t="shared" si="2"/>
        <v>Jan</v>
      </c>
      <c r="M555" s="1" t="str">
        <f t="shared" si="3"/>
        <v>Profit</v>
      </c>
    </row>
    <row r="556" ht="14.25" customHeight="1">
      <c r="A556" s="1" t="s">
        <v>590</v>
      </c>
      <c r="B556" s="2">
        <v>44442.0</v>
      </c>
      <c r="C556" s="1" t="s">
        <v>14</v>
      </c>
      <c r="D556" s="1" t="s">
        <v>15</v>
      </c>
      <c r="E556" s="1" t="s">
        <v>54</v>
      </c>
      <c r="F556" s="1">
        <v>615.43</v>
      </c>
      <c r="G556" s="1">
        <v>45.18</v>
      </c>
      <c r="H556" s="1">
        <v>3.0</v>
      </c>
      <c r="I556" s="1" t="s">
        <v>34</v>
      </c>
      <c r="J556" s="1" t="s">
        <v>35</v>
      </c>
      <c r="K556" s="1">
        <f t="shared" si="1"/>
        <v>2021</v>
      </c>
      <c r="L556" s="1" t="str">
        <f t="shared" si="2"/>
        <v>Sep</v>
      </c>
      <c r="M556" s="1" t="str">
        <f t="shared" si="3"/>
        <v>Profit</v>
      </c>
    </row>
    <row r="557" ht="14.25" customHeight="1">
      <c r="A557" s="1" t="s">
        <v>591</v>
      </c>
      <c r="B557" s="2">
        <v>44965.0</v>
      </c>
      <c r="C557" s="1" t="s">
        <v>14</v>
      </c>
      <c r="D557" s="1" t="s">
        <v>21</v>
      </c>
      <c r="E557" s="1" t="s">
        <v>22</v>
      </c>
      <c r="F557" s="1">
        <v>910.41</v>
      </c>
      <c r="G557" s="1">
        <v>87.02</v>
      </c>
      <c r="H557" s="1">
        <v>5.0</v>
      </c>
      <c r="I557" s="1" t="s">
        <v>23</v>
      </c>
      <c r="J557" s="1" t="s">
        <v>24</v>
      </c>
      <c r="K557" s="1">
        <f t="shared" si="1"/>
        <v>2023</v>
      </c>
      <c r="L557" s="1" t="str">
        <f t="shared" si="2"/>
        <v>Feb</v>
      </c>
      <c r="M557" s="1" t="str">
        <f t="shared" si="3"/>
        <v>Profit</v>
      </c>
    </row>
    <row r="558" ht="14.25" customHeight="1">
      <c r="A558" s="1" t="s">
        <v>592</v>
      </c>
      <c r="B558" s="2">
        <v>45063.0</v>
      </c>
      <c r="C558" s="1" t="s">
        <v>30</v>
      </c>
      <c r="D558" s="1" t="s">
        <v>27</v>
      </c>
      <c r="E558" s="1" t="s">
        <v>28</v>
      </c>
      <c r="F558" s="1">
        <v>175.35</v>
      </c>
      <c r="G558" s="1">
        <v>163.96</v>
      </c>
      <c r="H558" s="1">
        <v>2.0</v>
      </c>
      <c r="I558" s="1" t="s">
        <v>23</v>
      </c>
      <c r="J558" s="1" t="s">
        <v>24</v>
      </c>
      <c r="K558" s="1">
        <f t="shared" si="1"/>
        <v>2023</v>
      </c>
      <c r="L558" s="1" t="str">
        <f t="shared" si="2"/>
        <v>May</v>
      </c>
      <c r="M558" s="1" t="str">
        <f t="shared" si="3"/>
        <v>Profit</v>
      </c>
    </row>
    <row r="559" ht="14.25" customHeight="1">
      <c r="A559" s="1" t="s">
        <v>593</v>
      </c>
      <c r="B559" s="2">
        <v>44394.0</v>
      </c>
      <c r="C559" s="1" t="s">
        <v>14</v>
      </c>
      <c r="D559" s="1" t="s">
        <v>15</v>
      </c>
      <c r="E559" s="1" t="s">
        <v>54</v>
      </c>
      <c r="F559" s="1">
        <v>112.0</v>
      </c>
      <c r="G559" s="1">
        <v>-93.86</v>
      </c>
      <c r="H559" s="1">
        <v>7.0</v>
      </c>
      <c r="I559" s="1" t="s">
        <v>23</v>
      </c>
      <c r="J559" s="1" t="s">
        <v>24</v>
      </c>
      <c r="K559" s="1">
        <f t="shared" si="1"/>
        <v>2021</v>
      </c>
      <c r="L559" s="1" t="str">
        <f t="shared" si="2"/>
        <v>Jul</v>
      </c>
      <c r="M559" s="1" t="str">
        <f t="shared" si="3"/>
        <v>Loss</v>
      </c>
    </row>
    <row r="560" ht="14.25" customHeight="1">
      <c r="A560" s="1" t="s">
        <v>594</v>
      </c>
      <c r="B560" s="2">
        <v>44582.0</v>
      </c>
      <c r="C560" s="1" t="s">
        <v>20</v>
      </c>
      <c r="D560" s="1" t="s">
        <v>27</v>
      </c>
      <c r="E560" s="1" t="s">
        <v>28</v>
      </c>
      <c r="F560" s="1">
        <v>337.76</v>
      </c>
      <c r="G560" s="1">
        <v>176.5</v>
      </c>
      <c r="H560" s="1">
        <v>8.0</v>
      </c>
      <c r="I560" s="1" t="s">
        <v>23</v>
      </c>
      <c r="J560" s="1" t="s">
        <v>24</v>
      </c>
      <c r="K560" s="1">
        <f t="shared" si="1"/>
        <v>2022</v>
      </c>
      <c r="L560" s="1" t="str">
        <f t="shared" si="2"/>
        <v>Jan</v>
      </c>
      <c r="M560" s="1" t="str">
        <f t="shared" si="3"/>
        <v>Profit</v>
      </c>
    </row>
    <row r="561" ht="14.25" customHeight="1">
      <c r="A561" s="1" t="s">
        <v>595</v>
      </c>
      <c r="B561" s="2">
        <v>44914.0</v>
      </c>
      <c r="C561" s="1" t="s">
        <v>14</v>
      </c>
      <c r="D561" s="1" t="s">
        <v>27</v>
      </c>
      <c r="E561" s="1" t="s">
        <v>40</v>
      </c>
      <c r="F561" s="1">
        <v>38.84</v>
      </c>
      <c r="G561" s="1">
        <v>-27.05</v>
      </c>
      <c r="H561" s="1">
        <v>3.0</v>
      </c>
      <c r="I561" s="1" t="s">
        <v>34</v>
      </c>
      <c r="J561" s="1" t="s">
        <v>35</v>
      </c>
      <c r="K561" s="1">
        <f t="shared" si="1"/>
        <v>2022</v>
      </c>
      <c r="L561" s="1" t="str">
        <f t="shared" si="2"/>
        <v>Dec</v>
      </c>
      <c r="M561" s="1" t="str">
        <f t="shared" si="3"/>
        <v>Loss</v>
      </c>
    </row>
    <row r="562" ht="14.25" customHeight="1">
      <c r="A562" s="1" t="s">
        <v>596</v>
      </c>
      <c r="B562" s="2">
        <v>44571.0</v>
      </c>
      <c r="C562" s="1" t="s">
        <v>14</v>
      </c>
      <c r="D562" s="1" t="s">
        <v>21</v>
      </c>
      <c r="E562" s="1" t="s">
        <v>37</v>
      </c>
      <c r="F562" s="1">
        <v>424.82</v>
      </c>
      <c r="G562" s="1">
        <v>-144.22</v>
      </c>
      <c r="H562" s="1">
        <v>8.0</v>
      </c>
      <c r="I562" s="1" t="s">
        <v>34</v>
      </c>
      <c r="J562" s="1" t="s">
        <v>35</v>
      </c>
      <c r="K562" s="1">
        <f t="shared" si="1"/>
        <v>2022</v>
      </c>
      <c r="L562" s="1" t="str">
        <f t="shared" si="2"/>
        <v>Jan</v>
      </c>
      <c r="M562" s="1" t="str">
        <f t="shared" si="3"/>
        <v>Loss</v>
      </c>
    </row>
    <row r="563" ht="14.25" customHeight="1">
      <c r="A563" s="1" t="s">
        <v>597</v>
      </c>
      <c r="B563" s="2">
        <v>44268.0</v>
      </c>
      <c r="C563" s="1" t="s">
        <v>26</v>
      </c>
      <c r="D563" s="1" t="s">
        <v>21</v>
      </c>
      <c r="E563" s="1" t="s">
        <v>37</v>
      </c>
      <c r="F563" s="1">
        <v>561.81</v>
      </c>
      <c r="G563" s="1">
        <v>124.16</v>
      </c>
      <c r="H563" s="1">
        <v>5.0</v>
      </c>
      <c r="I563" s="1" t="s">
        <v>23</v>
      </c>
      <c r="J563" s="1" t="s">
        <v>24</v>
      </c>
      <c r="K563" s="1">
        <f t="shared" si="1"/>
        <v>2021</v>
      </c>
      <c r="L563" s="1" t="str">
        <f t="shared" si="2"/>
        <v>Mar</v>
      </c>
      <c r="M563" s="1" t="str">
        <f t="shared" si="3"/>
        <v>Profit</v>
      </c>
    </row>
    <row r="564" ht="14.25" customHeight="1">
      <c r="A564" s="1" t="s">
        <v>598</v>
      </c>
      <c r="B564" s="2">
        <v>44581.0</v>
      </c>
      <c r="C564" s="1" t="s">
        <v>20</v>
      </c>
      <c r="D564" s="1" t="s">
        <v>15</v>
      </c>
      <c r="E564" s="1" t="s">
        <v>16</v>
      </c>
      <c r="F564" s="1">
        <v>673.22</v>
      </c>
      <c r="G564" s="1">
        <v>191.83</v>
      </c>
      <c r="H564" s="1">
        <v>6.0</v>
      </c>
      <c r="I564" s="1" t="s">
        <v>34</v>
      </c>
      <c r="J564" s="1" t="s">
        <v>18</v>
      </c>
      <c r="K564" s="1">
        <f t="shared" si="1"/>
        <v>2022</v>
      </c>
      <c r="L564" s="1" t="str">
        <f t="shared" si="2"/>
        <v>Jan</v>
      </c>
      <c r="M564" s="1" t="str">
        <f t="shared" si="3"/>
        <v>Profit</v>
      </c>
    </row>
    <row r="565" ht="14.25" customHeight="1">
      <c r="A565" s="1" t="s">
        <v>599</v>
      </c>
      <c r="B565" s="2">
        <v>45085.0</v>
      </c>
      <c r="C565" s="1" t="s">
        <v>30</v>
      </c>
      <c r="D565" s="1" t="s">
        <v>27</v>
      </c>
      <c r="E565" s="1" t="s">
        <v>33</v>
      </c>
      <c r="F565" s="1">
        <v>66.98</v>
      </c>
      <c r="G565" s="1">
        <v>224.31</v>
      </c>
      <c r="H565" s="1">
        <v>3.0</v>
      </c>
      <c r="I565" s="1" t="s">
        <v>23</v>
      </c>
      <c r="J565" s="1" t="s">
        <v>24</v>
      </c>
      <c r="K565" s="1">
        <f t="shared" si="1"/>
        <v>2023</v>
      </c>
      <c r="L565" s="1" t="str">
        <f t="shared" si="2"/>
        <v>Jun</v>
      </c>
      <c r="M565" s="1" t="str">
        <f t="shared" si="3"/>
        <v>Profit</v>
      </c>
    </row>
    <row r="566" ht="14.25" customHeight="1">
      <c r="A566" s="1" t="s">
        <v>600</v>
      </c>
      <c r="B566" s="2">
        <v>44882.0</v>
      </c>
      <c r="C566" s="1" t="s">
        <v>20</v>
      </c>
      <c r="D566" s="1" t="s">
        <v>15</v>
      </c>
      <c r="E566" s="1" t="s">
        <v>54</v>
      </c>
      <c r="F566" s="1">
        <v>36.98</v>
      </c>
      <c r="G566" s="1">
        <v>286.23</v>
      </c>
      <c r="H566" s="1">
        <v>3.0</v>
      </c>
      <c r="I566" s="1" t="s">
        <v>34</v>
      </c>
      <c r="J566" s="1" t="s">
        <v>18</v>
      </c>
      <c r="K566" s="1">
        <f t="shared" si="1"/>
        <v>2022</v>
      </c>
      <c r="L566" s="1" t="str">
        <f t="shared" si="2"/>
        <v>Nov</v>
      </c>
      <c r="M566" s="1" t="str">
        <f t="shared" si="3"/>
        <v>Profit</v>
      </c>
    </row>
    <row r="567" ht="14.25" customHeight="1">
      <c r="A567" s="1" t="s">
        <v>601</v>
      </c>
      <c r="B567" s="2">
        <v>44438.0</v>
      </c>
      <c r="C567" s="1" t="s">
        <v>20</v>
      </c>
      <c r="D567" s="1" t="s">
        <v>27</v>
      </c>
      <c r="E567" s="1" t="s">
        <v>40</v>
      </c>
      <c r="F567" s="1">
        <v>75.17</v>
      </c>
      <c r="G567" s="1">
        <v>175.63</v>
      </c>
      <c r="H567" s="1">
        <v>6.0</v>
      </c>
      <c r="I567" s="1" t="s">
        <v>17</v>
      </c>
      <c r="J567" s="1" t="s">
        <v>18</v>
      </c>
      <c r="K567" s="1">
        <f t="shared" si="1"/>
        <v>2021</v>
      </c>
      <c r="L567" s="1" t="str">
        <f t="shared" si="2"/>
        <v>Aug</v>
      </c>
      <c r="M567" s="1" t="str">
        <f t="shared" si="3"/>
        <v>Profit</v>
      </c>
    </row>
    <row r="568" ht="14.25" customHeight="1">
      <c r="A568" s="1" t="s">
        <v>602</v>
      </c>
      <c r="B568" s="2">
        <v>44307.0</v>
      </c>
      <c r="C568" s="1" t="s">
        <v>14</v>
      </c>
      <c r="D568" s="1" t="s">
        <v>27</v>
      </c>
      <c r="E568" s="1" t="s">
        <v>28</v>
      </c>
      <c r="F568" s="1">
        <v>919.41</v>
      </c>
      <c r="G568" s="1">
        <v>299.27</v>
      </c>
      <c r="H568" s="1">
        <v>5.0</v>
      </c>
      <c r="I568" s="1" t="s">
        <v>17</v>
      </c>
      <c r="J568" s="1" t="s">
        <v>38</v>
      </c>
      <c r="K568" s="1">
        <f t="shared" si="1"/>
        <v>2021</v>
      </c>
      <c r="L568" s="1" t="str">
        <f t="shared" si="2"/>
        <v>Apr</v>
      </c>
      <c r="M568" s="1" t="str">
        <f t="shared" si="3"/>
        <v>Profit</v>
      </c>
    </row>
    <row r="569" ht="14.25" customHeight="1">
      <c r="A569" s="1" t="s">
        <v>603</v>
      </c>
      <c r="B569" s="2">
        <v>45237.0</v>
      </c>
      <c r="C569" s="1" t="s">
        <v>26</v>
      </c>
      <c r="D569" s="1" t="s">
        <v>27</v>
      </c>
      <c r="E569" s="1" t="s">
        <v>28</v>
      </c>
      <c r="F569" s="1">
        <v>375.26</v>
      </c>
      <c r="G569" s="1">
        <v>-11.59</v>
      </c>
      <c r="H569" s="1">
        <v>3.0</v>
      </c>
      <c r="I569" s="1" t="s">
        <v>23</v>
      </c>
      <c r="J569" s="1" t="s">
        <v>18</v>
      </c>
      <c r="K569" s="1">
        <f t="shared" si="1"/>
        <v>2023</v>
      </c>
      <c r="L569" s="1" t="str">
        <f t="shared" si="2"/>
        <v>Nov</v>
      </c>
      <c r="M569" s="1" t="str">
        <f t="shared" si="3"/>
        <v>Loss</v>
      </c>
    </row>
    <row r="570" ht="14.25" customHeight="1">
      <c r="A570" s="1" t="s">
        <v>604</v>
      </c>
      <c r="B570" s="2">
        <v>44814.0</v>
      </c>
      <c r="C570" s="1" t="s">
        <v>30</v>
      </c>
      <c r="D570" s="1" t="s">
        <v>27</v>
      </c>
      <c r="E570" s="1" t="s">
        <v>28</v>
      </c>
      <c r="F570" s="1">
        <v>326.55</v>
      </c>
      <c r="G570" s="1">
        <v>-100.57</v>
      </c>
      <c r="H570" s="1">
        <v>7.0</v>
      </c>
      <c r="I570" s="1" t="s">
        <v>23</v>
      </c>
      <c r="J570" s="1" t="s">
        <v>24</v>
      </c>
      <c r="K570" s="1">
        <f t="shared" si="1"/>
        <v>2022</v>
      </c>
      <c r="L570" s="1" t="str">
        <f t="shared" si="2"/>
        <v>Sep</v>
      </c>
      <c r="M570" s="1" t="str">
        <f t="shared" si="3"/>
        <v>Loss</v>
      </c>
    </row>
    <row r="571" ht="14.25" customHeight="1">
      <c r="A571" s="1" t="s">
        <v>605</v>
      </c>
      <c r="B571" s="2">
        <v>44424.0</v>
      </c>
      <c r="C571" s="1" t="s">
        <v>20</v>
      </c>
      <c r="D571" s="1" t="s">
        <v>15</v>
      </c>
      <c r="E571" s="1" t="s">
        <v>31</v>
      </c>
      <c r="F571" s="1">
        <v>770.75</v>
      </c>
      <c r="G571" s="1">
        <v>-67.27</v>
      </c>
      <c r="H571" s="1">
        <v>7.0</v>
      </c>
      <c r="I571" s="1" t="s">
        <v>34</v>
      </c>
      <c r="J571" s="1" t="s">
        <v>35</v>
      </c>
      <c r="K571" s="1">
        <f t="shared" si="1"/>
        <v>2021</v>
      </c>
      <c r="L571" s="1" t="str">
        <f t="shared" si="2"/>
        <v>Aug</v>
      </c>
      <c r="M571" s="1" t="str">
        <f t="shared" si="3"/>
        <v>Loss</v>
      </c>
    </row>
    <row r="572" ht="14.25" customHeight="1">
      <c r="A572" s="1" t="s">
        <v>606</v>
      </c>
      <c r="B572" s="2">
        <v>44734.0</v>
      </c>
      <c r="C572" s="1" t="s">
        <v>30</v>
      </c>
      <c r="D572" s="1" t="s">
        <v>21</v>
      </c>
      <c r="E572" s="1" t="s">
        <v>22</v>
      </c>
      <c r="F572" s="1">
        <v>601.92</v>
      </c>
      <c r="G572" s="1">
        <v>-139.83</v>
      </c>
      <c r="H572" s="1">
        <v>5.0</v>
      </c>
      <c r="I572" s="1" t="s">
        <v>17</v>
      </c>
      <c r="J572" s="1" t="s">
        <v>35</v>
      </c>
      <c r="K572" s="1">
        <f t="shared" si="1"/>
        <v>2022</v>
      </c>
      <c r="L572" s="1" t="str">
        <f t="shared" si="2"/>
        <v>Jun</v>
      </c>
      <c r="M572" s="1" t="str">
        <f t="shared" si="3"/>
        <v>Loss</v>
      </c>
    </row>
    <row r="573" ht="14.25" customHeight="1">
      <c r="A573" s="1" t="s">
        <v>607</v>
      </c>
      <c r="B573" s="2">
        <v>44968.0</v>
      </c>
      <c r="C573" s="1" t="s">
        <v>14</v>
      </c>
      <c r="D573" s="1" t="s">
        <v>21</v>
      </c>
      <c r="E573" s="1" t="s">
        <v>22</v>
      </c>
      <c r="F573" s="1">
        <v>935.15</v>
      </c>
      <c r="G573" s="1">
        <v>9.34</v>
      </c>
      <c r="H573" s="1">
        <v>8.0</v>
      </c>
      <c r="I573" s="1" t="s">
        <v>17</v>
      </c>
      <c r="J573" s="1" t="s">
        <v>24</v>
      </c>
      <c r="K573" s="1">
        <f t="shared" si="1"/>
        <v>2023</v>
      </c>
      <c r="L573" s="1" t="str">
        <f t="shared" si="2"/>
        <v>Feb</v>
      </c>
      <c r="M573" s="1" t="str">
        <f t="shared" si="3"/>
        <v>Profit</v>
      </c>
    </row>
    <row r="574" ht="14.25" customHeight="1">
      <c r="A574" s="1" t="s">
        <v>608</v>
      </c>
      <c r="B574" s="2">
        <v>45220.0</v>
      </c>
      <c r="C574" s="1" t="s">
        <v>14</v>
      </c>
      <c r="D574" s="1" t="s">
        <v>15</v>
      </c>
      <c r="E574" s="1" t="s">
        <v>16</v>
      </c>
      <c r="F574" s="1">
        <v>455.56</v>
      </c>
      <c r="G574" s="1">
        <v>18.51</v>
      </c>
      <c r="H574" s="1">
        <v>7.0</v>
      </c>
      <c r="I574" s="1" t="s">
        <v>17</v>
      </c>
      <c r="J574" s="1" t="s">
        <v>18</v>
      </c>
      <c r="K574" s="1">
        <f t="shared" si="1"/>
        <v>2023</v>
      </c>
      <c r="L574" s="1" t="str">
        <f t="shared" si="2"/>
        <v>Oct</v>
      </c>
      <c r="M574" s="1" t="str">
        <f t="shared" si="3"/>
        <v>Profit</v>
      </c>
    </row>
    <row r="575" ht="14.25" customHeight="1">
      <c r="A575" s="1" t="s">
        <v>609</v>
      </c>
      <c r="B575" s="2">
        <v>44970.0</v>
      </c>
      <c r="C575" s="1" t="s">
        <v>30</v>
      </c>
      <c r="D575" s="1" t="s">
        <v>27</v>
      </c>
      <c r="E575" s="1" t="s">
        <v>40</v>
      </c>
      <c r="F575" s="1">
        <v>576.05</v>
      </c>
      <c r="G575" s="1">
        <v>100.87</v>
      </c>
      <c r="H575" s="1">
        <v>3.0</v>
      </c>
      <c r="I575" s="1" t="s">
        <v>17</v>
      </c>
      <c r="J575" s="1" t="s">
        <v>35</v>
      </c>
      <c r="K575" s="1">
        <f t="shared" si="1"/>
        <v>2023</v>
      </c>
      <c r="L575" s="1" t="str">
        <f t="shared" si="2"/>
        <v>Feb</v>
      </c>
      <c r="M575" s="1" t="str">
        <f t="shared" si="3"/>
        <v>Profit</v>
      </c>
    </row>
    <row r="576" ht="14.25" customHeight="1">
      <c r="A576" s="1" t="s">
        <v>610</v>
      </c>
      <c r="B576" s="2">
        <v>45130.0</v>
      </c>
      <c r="C576" s="1" t="s">
        <v>30</v>
      </c>
      <c r="D576" s="1" t="s">
        <v>21</v>
      </c>
      <c r="E576" s="1" t="s">
        <v>37</v>
      </c>
      <c r="F576" s="1">
        <v>458.35</v>
      </c>
      <c r="G576" s="1">
        <v>-44.07</v>
      </c>
      <c r="H576" s="1">
        <v>2.0</v>
      </c>
      <c r="I576" s="1" t="s">
        <v>23</v>
      </c>
      <c r="J576" s="1" t="s">
        <v>24</v>
      </c>
      <c r="K576" s="1">
        <f t="shared" si="1"/>
        <v>2023</v>
      </c>
      <c r="L576" s="1" t="str">
        <f t="shared" si="2"/>
        <v>Jul</v>
      </c>
      <c r="M576" s="1" t="str">
        <f t="shared" si="3"/>
        <v>Loss</v>
      </c>
    </row>
    <row r="577" ht="14.25" customHeight="1">
      <c r="A577" s="1" t="s">
        <v>611</v>
      </c>
      <c r="B577" s="2">
        <v>44665.0</v>
      </c>
      <c r="C577" s="1" t="s">
        <v>20</v>
      </c>
      <c r="D577" s="1" t="s">
        <v>21</v>
      </c>
      <c r="E577" s="1" t="s">
        <v>22</v>
      </c>
      <c r="F577" s="1">
        <v>302.82</v>
      </c>
      <c r="G577" s="1">
        <v>212.9</v>
      </c>
      <c r="H577" s="1">
        <v>3.0</v>
      </c>
      <c r="I577" s="1" t="s">
        <v>17</v>
      </c>
      <c r="J577" s="1" t="s">
        <v>35</v>
      </c>
      <c r="K577" s="1">
        <f t="shared" si="1"/>
        <v>2022</v>
      </c>
      <c r="L577" s="1" t="str">
        <f t="shared" si="2"/>
        <v>Apr</v>
      </c>
      <c r="M577" s="1" t="str">
        <f t="shared" si="3"/>
        <v>Profit</v>
      </c>
    </row>
    <row r="578" ht="14.25" customHeight="1">
      <c r="A578" s="1" t="s">
        <v>612</v>
      </c>
      <c r="B578" s="2">
        <v>44696.0</v>
      </c>
      <c r="C578" s="1" t="s">
        <v>26</v>
      </c>
      <c r="D578" s="1" t="s">
        <v>21</v>
      </c>
      <c r="E578" s="1" t="s">
        <v>76</v>
      </c>
      <c r="F578" s="1">
        <v>457.86</v>
      </c>
      <c r="G578" s="1">
        <v>-132.21</v>
      </c>
      <c r="H578" s="1">
        <v>6.0</v>
      </c>
      <c r="I578" s="1" t="s">
        <v>17</v>
      </c>
      <c r="J578" s="1" t="s">
        <v>35</v>
      </c>
      <c r="K578" s="1">
        <f t="shared" si="1"/>
        <v>2022</v>
      </c>
      <c r="L578" s="1" t="str">
        <f t="shared" si="2"/>
        <v>May</v>
      </c>
      <c r="M578" s="1" t="str">
        <f t="shared" si="3"/>
        <v>Loss</v>
      </c>
    </row>
    <row r="579" ht="14.25" customHeight="1">
      <c r="A579" s="1" t="s">
        <v>613</v>
      </c>
      <c r="B579" s="2">
        <v>44798.0</v>
      </c>
      <c r="C579" s="1" t="s">
        <v>20</v>
      </c>
      <c r="D579" s="1" t="s">
        <v>15</v>
      </c>
      <c r="E579" s="1" t="s">
        <v>16</v>
      </c>
      <c r="F579" s="1">
        <v>508.61</v>
      </c>
      <c r="G579" s="1">
        <v>192.59</v>
      </c>
      <c r="H579" s="1">
        <v>6.0</v>
      </c>
      <c r="I579" s="1" t="s">
        <v>34</v>
      </c>
      <c r="J579" s="1" t="s">
        <v>38</v>
      </c>
      <c r="K579" s="1">
        <f t="shared" si="1"/>
        <v>2022</v>
      </c>
      <c r="L579" s="1" t="str">
        <f t="shared" si="2"/>
        <v>Aug</v>
      </c>
      <c r="M579" s="1" t="str">
        <f t="shared" si="3"/>
        <v>Profit</v>
      </c>
    </row>
    <row r="580" ht="14.25" customHeight="1">
      <c r="A580" s="1" t="s">
        <v>614</v>
      </c>
      <c r="B580" s="2">
        <v>44248.0</v>
      </c>
      <c r="C580" s="1" t="s">
        <v>20</v>
      </c>
      <c r="D580" s="1" t="s">
        <v>15</v>
      </c>
      <c r="E580" s="1" t="s">
        <v>54</v>
      </c>
      <c r="F580" s="1">
        <v>116.23</v>
      </c>
      <c r="G580" s="1">
        <v>33.04</v>
      </c>
      <c r="H580" s="1">
        <v>5.0</v>
      </c>
      <c r="I580" s="1" t="s">
        <v>17</v>
      </c>
      <c r="J580" s="1" t="s">
        <v>38</v>
      </c>
      <c r="K580" s="1">
        <f t="shared" si="1"/>
        <v>2021</v>
      </c>
      <c r="L580" s="1" t="str">
        <f t="shared" si="2"/>
        <v>Feb</v>
      </c>
      <c r="M580" s="1" t="str">
        <f t="shared" si="3"/>
        <v>Profit</v>
      </c>
    </row>
    <row r="581" ht="14.25" customHeight="1">
      <c r="A581" s="1" t="s">
        <v>615</v>
      </c>
      <c r="B581" s="2">
        <v>44651.0</v>
      </c>
      <c r="C581" s="1" t="s">
        <v>20</v>
      </c>
      <c r="D581" s="1" t="s">
        <v>21</v>
      </c>
      <c r="E581" s="1" t="s">
        <v>37</v>
      </c>
      <c r="F581" s="1">
        <v>634.35</v>
      </c>
      <c r="G581" s="1">
        <v>51.53</v>
      </c>
      <c r="H581" s="1">
        <v>8.0</v>
      </c>
      <c r="I581" s="1" t="s">
        <v>17</v>
      </c>
      <c r="J581" s="1" t="s">
        <v>35</v>
      </c>
      <c r="K581" s="1">
        <f t="shared" si="1"/>
        <v>2022</v>
      </c>
      <c r="L581" s="1" t="str">
        <f t="shared" si="2"/>
        <v>Mar</v>
      </c>
      <c r="M581" s="1" t="str">
        <f t="shared" si="3"/>
        <v>Profit</v>
      </c>
    </row>
    <row r="582" ht="14.25" customHeight="1">
      <c r="A582" s="1" t="s">
        <v>616</v>
      </c>
      <c r="B582" s="2">
        <v>44457.0</v>
      </c>
      <c r="C582" s="1" t="s">
        <v>26</v>
      </c>
      <c r="D582" s="1" t="s">
        <v>15</v>
      </c>
      <c r="E582" s="1" t="s">
        <v>16</v>
      </c>
      <c r="F582" s="1">
        <v>867.15</v>
      </c>
      <c r="G582" s="1">
        <v>165.83</v>
      </c>
      <c r="H582" s="1">
        <v>4.0</v>
      </c>
      <c r="I582" s="1" t="s">
        <v>17</v>
      </c>
      <c r="J582" s="1" t="s">
        <v>24</v>
      </c>
      <c r="K582" s="1">
        <f t="shared" si="1"/>
        <v>2021</v>
      </c>
      <c r="L582" s="1" t="str">
        <f t="shared" si="2"/>
        <v>Sep</v>
      </c>
      <c r="M582" s="1" t="str">
        <f t="shared" si="3"/>
        <v>Profit</v>
      </c>
    </row>
    <row r="583" ht="14.25" customHeight="1">
      <c r="A583" s="1" t="s">
        <v>617</v>
      </c>
      <c r="B583" s="2">
        <v>45240.0</v>
      </c>
      <c r="C583" s="1" t="s">
        <v>26</v>
      </c>
      <c r="D583" s="1" t="s">
        <v>15</v>
      </c>
      <c r="E583" s="1" t="s">
        <v>16</v>
      </c>
      <c r="F583" s="1">
        <v>329.44</v>
      </c>
      <c r="G583" s="1">
        <v>291.11</v>
      </c>
      <c r="H583" s="1">
        <v>3.0</v>
      </c>
      <c r="I583" s="1" t="s">
        <v>34</v>
      </c>
      <c r="J583" s="1" t="s">
        <v>18</v>
      </c>
      <c r="K583" s="1">
        <f t="shared" si="1"/>
        <v>2023</v>
      </c>
      <c r="L583" s="1" t="str">
        <f t="shared" si="2"/>
        <v>Nov</v>
      </c>
      <c r="M583" s="1" t="str">
        <f t="shared" si="3"/>
        <v>Profit</v>
      </c>
    </row>
    <row r="584" ht="14.25" customHeight="1">
      <c r="A584" s="1" t="s">
        <v>618</v>
      </c>
      <c r="B584" s="2">
        <v>44848.0</v>
      </c>
      <c r="C584" s="1" t="s">
        <v>14</v>
      </c>
      <c r="D584" s="1" t="s">
        <v>15</v>
      </c>
      <c r="E584" s="1" t="s">
        <v>31</v>
      </c>
      <c r="F584" s="1">
        <v>672.38</v>
      </c>
      <c r="G584" s="1">
        <v>269.47</v>
      </c>
      <c r="H584" s="1">
        <v>9.0</v>
      </c>
      <c r="I584" s="1" t="s">
        <v>17</v>
      </c>
      <c r="J584" s="1" t="s">
        <v>18</v>
      </c>
      <c r="K584" s="1">
        <f t="shared" si="1"/>
        <v>2022</v>
      </c>
      <c r="L584" s="1" t="str">
        <f t="shared" si="2"/>
        <v>Oct</v>
      </c>
      <c r="M584" s="1" t="str">
        <f t="shared" si="3"/>
        <v>Profit</v>
      </c>
    </row>
    <row r="585" ht="14.25" customHeight="1">
      <c r="A585" s="1" t="s">
        <v>619</v>
      </c>
      <c r="B585" s="2">
        <v>44670.0</v>
      </c>
      <c r="C585" s="1" t="s">
        <v>14</v>
      </c>
      <c r="D585" s="1" t="s">
        <v>15</v>
      </c>
      <c r="E585" s="1" t="s">
        <v>31</v>
      </c>
      <c r="F585" s="1">
        <v>375.12</v>
      </c>
      <c r="G585" s="1">
        <v>-81.15</v>
      </c>
      <c r="H585" s="1">
        <v>7.0</v>
      </c>
      <c r="I585" s="1" t="s">
        <v>17</v>
      </c>
      <c r="J585" s="1" t="s">
        <v>35</v>
      </c>
      <c r="K585" s="1">
        <f t="shared" si="1"/>
        <v>2022</v>
      </c>
      <c r="L585" s="1" t="str">
        <f t="shared" si="2"/>
        <v>Apr</v>
      </c>
      <c r="M585" s="1" t="str">
        <f t="shared" si="3"/>
        <v>Loss</v>
      </c>
    </row>
    <row r="586" ht="14.25" customHeight="1">
      <c r="A586" s="1" t="s">
        <v>620</v>
      </c>
      <c r="B586" s="2">
        <v>44953.0</v>
      </c>
      <c r="C586" s="1" t="s">
        <v>30</v>
      </c>
      <c r="D586" s="1" t="s">
        <v>15</v>
      </c>
      <c r="E586" s="1" t="s">
        <v>16</v>
      </c>
      <c r="F586" s="1">
        <v>882.1</v>
      </c>
      <c r="G586" s="1">
        <v>156.69</v>
      </c>
      <c r="H586" s="1">
        <v>10.0</v>
      </c>
      <c r="I586" s="1" t="s">
        <v>17</v>
      </c>
      <c r="J586" s="1" t="s">
        <v>18</v>
      </c>
      <c r="K586" s="1">
        <f t="shared" si="1"/>
        <v>2023</v>
      </c>
      <c r="L586" s="1" t="str">
        <f t="shared" si="2"/>
        <v>Jan</v>
      </c>
      <c r="M586" s="1" t="str">
        <f t="shared" si="3"/>
        <v>Profit</v>
      </c>
    </row>
    <row r="587" ht="14.25" customHeight="1">
      <c r="A587" s="1" t="s">
        <v>621</v>
      </c>
      <c r="B587" s="2">
        <v>44401.0</v>
      </c>
      <c r="C587" s="1" t="s">
        <v>26</v>
      </c>
      <c r="D587" s="1" t="s">
        <v>27</v>
      </c>
      <c r="E587" s="1" t="s">
        <v>28</v>
      </c>
      <c r="F587" s="1">
        <v>893.14</v>
      </c>
      <c r="G587" s="1">
        <v>-28.64</v>
      </c>
      <c r="H587" s="1">
        <v>1.0</v>
      </c>
      <c r="I587" s="1" t="s">
        <v>17</v>
      </c>
      <c r="J587" s="1" t="s">
        <v>24</v>
      </c>
      <c r="K587" s="1">
        <f t="shared" si="1"/>
        <v>2021</v>
      </c>
      <c r="L587" s="1" t="str">
        <f t="shared" si="2"/>
        <v>Jul</v>
      </c>
      <c r="M587" s="1" t="str">
        <f t="shared" si="3"/>
        <v>Loss</v>
      </c>
    </row>
    <row r="588" ht="14.25" customHeight="1">
      <c r="A588" s="1" t="s">
        <v>622</v>
      </c>
      <c r="B588" s="2">
        <v>44979.0</v>
      </c>
      <c r="C588" s="1" t="s">
        <v>26</v>
      </c>
      <c r="D588" s="1" t="s">
        <v>15</v>
      </c>
      <c r="E588" s="1" t="s">
        <v>54</v>
      </c>
      <c r="F588" s="1">
        <v>950.58</v>
      </c>
      <c r="G588" s="1">
        <v>66.17</v>
      </c>
      <c r="H588" s="1">
        <v>4.0</v>
      </c>
      <c r="I588" s="1" t="s">
        <v>17</v>
      </c>
      <c r="J588" s="1" t="s">
        <v>24</v>
      </c>
      <c r="K588" s="1">
        <f t="shared" si="1"/>
        <v>2023</v>
      </c>
      <c r="L588" s="1" t="str">
        <f t="shared" si="2"/>
        <v>Feb</v>
      </c>
      <c r="M588" s="1" t="str">
        <f t="shared" si="3"/>
        <v>Profit</v>
      </c>
    </row>
    <row r="589" ht="14.25" customHeight="1">
      <c r="A589" s="1" t="s">
        <v>623</v>
      </c>
      <c r="B589" s="2">
        <v>44889.0</v>
      </c>
      <c r="C589" s="1" t="s">
        <v>20</v>
      </c>
      <c r="D589" s="1" t="s">
        <v>15</v>
      </c>
      <c r="E589" s="1" t="s">
        <v>54</v>
      </c>
      <c r="F589" s="1">
        <v>835.99</v>
      </c>
      <c r="G589" s="1">
        <v>-83.18</v>
      </c>
      <c r="H589" s="1">
        <v>2.0</v>
      </c>
      <c r="I589" s="1" t="s">
        <v>23</v>
      </c>
      <c r="J589" s="1" t="s">
        <v>24</v>
      </c>
      <c r="K589" s="1">
        <f t="shared" si="1"/>
        <v>2022</v>
      </c>
      <c r="L589" s="1" t="str">
        <f t="shared" si="2"/>
        <v>Nov</v>
      </c>
      <c r="M589" s="1" t="str">
        <f t="shared" si="3"/>
        <v>Loss</v>
      </c>
    </row>
    <row r="590" ht="14.25" customHeight="1">
      <c r="A590" s="1" t="s">
        <v>624</v>
      </c>
      <c r="B590" s="2">
        <v>44278.0</v>
      </c>
      <c r="C590" s="1" t="s">
        <v>26</v>
      </c>
      <c r="D590" s="1" t="s">
        <v>21</v>
      </c>
      <c r="E590" s="1" t="s">
        <v>22</v>
      </c>
      <c r="F590" s="1">
        <v>552.41</v>
      </c>
      <c r="G590" s="1">
        <v>78.92</v>
      </c>
      <c r="H590" s="1">
        <v>7.0</v>
      </c>
      <c r="I590" s="1" t="s">
        <v>34</v>
      </c>
      <c r="J590" s="1" t="s">
        <v>18</v>
      </c>
      <c r="K590" s="1">
        <f t="shared" si="1"/>
        <v>2021</v>
      </c>
      <c r="L590" s="1" t="str">
        <f t="shared" si="2"/>
        <v>Mar</v>
      </c>
      <c r="M590" s="1" t="str">
        <f t="shared" si="3"/>
        <v>Profit</v>
      </c>
    </row>
    <row r="591" ht="14.25" customHeight="1">
      <c r="A591" s="1" t="s">
        <v>625</v>
      </c>
      <c r="B591" s="2">
        <v>44997.0</v>
      </c>
      <c r="C591" s="1" t="s">
        <v>20</v>
      </c>
      <c r="D591" s="1" t="s">
        <v>21</v>
      </c>
      <c r="E591" s="1" t="s">
        <v>76</v>
      </c>
      <c r="F591" s="1">
        <v>32.42</v>
      </c>
      <c r="G591" s="1">
        <v>-139.64</v>
      </c>
      <c r="H591" s="1">
        <v>5.0</v>
      </c>
      <c r="I591" s="1" t="s">
        <v>17</v>
      </c>
      <c r="J591" s="1" t="s">
        <v>35</v>
      </c>
      <c r="K591" s="1">
        <f t="shared" si="1"/>
        <v>2023</v>
      </c>
      <c r="L591" s="1" t="str">
        <f t="shared" si="2"/>
        <v>Mar</v>
      </c>
      <c r="M591" s="1" t="str">
        <f t="shared" si="3"/>
        <v>Loss</v>
      </c>
    </row>
    <row r="592" ht="14.25" customHeight="1">
      <c r="A592" s="1" t="s">
        <v>626</v>
      </c>
      <c r="B592" s="2">
        <v>44706.0</v>
      </c>
      <c r="C592" s="1" t="s">
        <v>20</v>
      </c>
      <c r="D592" s="1" t="s">
        <v>21</v>
      </c>
      <c r="E592" s="1" t="s">
        <v>37</v>
      </c>
      <c r="F592" s="1">
        <v>678.44</v>
      </c>
      <c r="G592" s="1">
        <v>-177.85</v>
      </c>
      <c r="H592" s="1">
        <v>5.0</v>
      </c>
      <c r="I592" s="1" t="s">
        <v>17</v>
      </c>
      <c r="J592" s="1" t="s">
        <v>35</v>
      </c>
      <c r="K592" s="1">
        <f t="shared" si="1"/>
        <v>2022</v>
      </c>
      <c r="L592" s="1" t="str">
        <f t="shared" si="2"/>
        <v>May</v>
      </c>
      <c r="M592" s="1" t="str">
        <f t="shared" si="3"/>
        <v>Loss</v>
      </c>
    </row>
    <row r="593" ht="14.25" customHeight="1">
      <c r="A593" s="1" t="s">
        <v>627</v>
      </c>
      <c r="B593" s="2">
        <v>44827.0</v>
      </c>
      <c r="C593" s="1" t="s">
        <v>20</v>
      </c>
      <c r="D593" s="1" t="s">
        <v>21</v>
      </c>
      <c r="E593" s="1" t="s">
        <v>76</v>
      </c>
      <c r="F593" s="1">
        <v>693.69</v>
      </c>
      <c r="G593" s="1">
        <v>-5.15</v>
      </c>
      <c r="H593" s="1">
        <v>4.0</v>
      </c>
      <c r="I593" s="1" t="s">
        <v>17</v>
      </c>
      <c r="J593" s="1" t="s">
        <v>38</v>
      </c>
      <c r="K593" s="1">
        <f t="shared" si="1"/>
        <v>2022</v>
      </c>
      <c r="L593" s="1" t="str">
        <f t="shared" si="2"/>
        <v>Sep</v>
      </c>
      <c r="M593" s="1" t="str">
        <f t="shared" si="3"/>
        <v>Loss</v>
      </c>
    </row>
    <row r="594" ht="14.25" customHeight="1">
      <c r="A594" s="1" t="s">
        <v>628</v>
      </c>
      <c r="B594" s="2">
        <v>45205.0</v>
      </c>
      <c r="C594" s="1" t="s">
        <v>20</v>
      </c>
      <c r="D594" s="1" t="s">
        <v>21</v>
      </c>
      <c r="E594" s="1" t="s">
        <v>37</v>
      </c>
      <c r="F594" s="1">
        <v>489.8</v>
      </c>
      <c r="G594" s="1">
        <v>42.95</v>
      </c>
      <c r="H594" s="1">
        <v>7.0</v>
      </c>
      <c r="I594" s="1" t="s">
        <v>34</v>
      </c>
      <c r="J594" s="1" t="s">
        <v>24</v>
      </c>
      <c r="K594" s="1">
        <f t="shared" si="1"/>
        <v>2023</v>
      </c>
      <c r="L594" s="1" t="str">
        <f t="shared" si="2"/>
        <v>Oct</v>
      </c>
      <c r="M594" s="1" t="str">
        <f t="shared" si="3"/>
        <v>Profit</v>
      </c>
    </row>
    <row r="595" ht="14.25" customHeight="1">
      <c r="A595" s="1" t="s">
        <v>629</v>
      </c>
      <c r="B595" s="2">
        <v>44783.0</v>
      </c>
      <c r="C595" s="1" t="s">
        <v>14</v>
      </c>
      <c r="D595" s="1" t="s">
        <v>15</v>
      </c>
      <c r="E595" s="1" t="s">
        <v>16</v>
      </c>
      <c r="F595" s="1">
        <v>865.1</v>
      </c>
      <c r="G595" s="1">
        <v>-189.68</v>
      </c>
      <c r="H595" s="1">
        <v>10.0</v>
      </c>
      <c r="I595" s="1" t="s">
        <v>23</v>
      </c>
      <c r="J595" s="1" t="s">
        <v>38</v>
      </c>
      <c r="K595" s="1">
        <f t="shared" si="1"/>
        <v>2022</v>
      </c>
      <c r="L595" s="1" t="str">
        <f t="shared" si="2"/>
        <v>Aug</v>
      </c>
      <c r="M595" s="1" t="str">
        <f t="shared" si="3"/>
        <v>Loss</v>
      </c>
    </row>
    <row r="596" ht="14.25" customHeight="1">
      <c r="A596" s="1" t="s">
        <v>630</v>
      </c>
      <c r="B596" s="2">
        <v>44383.0</v>
      </c>
      <c r="C596" s="1" t="s">
        <v>14</v>
      </c>
      <c r="D596" s="1" t="s">
        <v>27</v>
      </c>
      <c r="E596" s="1" t="s">
        <v>33</v>
      </c>
      <c r="F596" s="1">
        <v>839.07</v>
      </c>
      <c r="G596" s="1">
        <v>-119.09</v>
      </c>
      <c r="H596" s="1">
        <v>3.0</v>
      </c>
      <c r="I596" s="1" t="s">
        <v>17</v>
      </c>
      <c r="J596" s="1" t="s">
        <v>38</v>
      </c>
      <c r="K596" s="1">
        <f t="shared" si="1"/>
        <v>2021</v>
      </c>
      <c r="L596" s="1" t="str">
        <f t="shared" si="2"/>
        <v>Jul</v>
      </c>
      <c r="M596" s="1" t="str">
        <f t="shared" si="3"/>
        <v>Loss</v>
      </c>
    </row>
    <row r="597" ht="14.25" customHeight="1">
      <c r="A597" s="1" t="s">
        <v>631</v>
      </c>
      <c r="B597" s="2">
        <v>44380.0</v>
      </c>
      <c r="C597" s="1" t="s">
        <v>30</v>
      </c>
      <c r="D597" s="1" t="s">
        <v>27</v>
      </c>
      <c r="E597" s="1" t="s">
        <v>28</v>
      </c>
      <c r="F597" s="1">
        <v>573.3</v>
      </c>
      <c r="G597" s="1">
        <v>38.39</v>
      </c>
      <c r="H597" s="1">
        <v>3.0</v>
      </c>
      <c r="I597" s="1" t="s">
        <v>23</v>
      </c>
      <c r="J597" s="1" t="s">
        <v>18</v>
      </c>
      <c r="K597" s="1">
        <f t="shared" si="1"/>
        <v>2021</v>
      </c>
      <c r="L597" s="1" t="str">
        <f t="shared" si="2"/>
        <v>Jul</v>
      </c>
      <c r="M597" s="1" t="str">
        <f t="shared" si="3"/>
        <v>Profit</v>
      </c>
    </row>
    <row r="598" ht="14.25" customHeight="1">
      <c r="A598" s="1" t="s">
        <v>632</v>
      </c>
      <c r="B598" s="2">
        <v>44300.0</v>
      </c>
      <c r="C598" s="1" t="s">
        <v>14</v>
      </c>
      <c r="D598" s="1" t="s">
        <v>27</v>
      </c>
      <c r="E598" s="1" t="s">
        <v>33</v>
      </c>
      <c r="F598" s="1">
        <v>880.0</v>
      </c>
      <c r="G598" s="1">
        <v>-38.71</v>
      </c>
      <c r="H598" s="1">
        <v>9.0</v>
      </c>
      <c r="I598" s="1" t="s">
        <v>17</v>
      </c>
      <c r="J598" s="1" t="s">
        <v>18</v>
      </c>
      <c r="K598" s="1">
        <f t="shared" si="1"/>
        <v>2021</v>
      </c>
      <c r="L598" s="1" t="str">
        <f t="shared" si="2"/>
        <v>Apr</v>
      </c>
      <c r="M598" s="1" t="str">
        <f t="shared" si="3"/>
        <v>Loss</v>
      </c>
    </row>
    <row r="599" ht="14.25" customHeight="1">
      <c r="A599" s="1" t="s">
        <v>633</v>
      </c>
      <c r="B599" s="2">
        <v>44584.0</v>
      </c>
      <c r="C599" s="1" t="s">
        <v>14</v>
      </c>
      <c r="D599" s="1" t="s">
        <v>15</v>
      </c>
      <c r="E599" s="1" t="s">
        <v>54</v>
      </c>
      <c r="F599" s="1">
        <v>480.5</v>
      </c>
      <c r="G599" s="1">
        <v>-123.3</v>
      </c>
      <c r="H599" s="1">
        <v>6.0</v>
      </c>
      <c r="I599" s="1" t="s">
        <v>34</v>
      </c>
      <c r="J599" s="1" t="s">
        <v>38</v>
      </c>
      <c r="K599" s="1">
        <f t="shared" si="1"/>
        <v>2022</v>
      </c>
      <c r="L599" s="1" t="str">
        <f t="shared" si="2"/>
        <v>Jan</v>
      </c>
      <c r="M599" s="1" t="str">
        <f t="shared" si="3"/>
        <v>Loss</v>
      </c>
    </row>
    <row r="600" ht="14.25" customHeight="1">
      <c r="A600" s="1" t="s">
        <v>634</v>
      </c>
      <c r="B600" s="2">
        <v>44871.0</v>
      </c>
      <c r="C600" s="1" t="s">
        <v>14</v>
      </c>
      <c r="D600" s="1" t="s">
        <v>21</v>
      </c>
      <c r="E600" s="1" t="s">
        <v>76</v>
      </c>
      <c r="F600" s="1">
        <v>385.06</v>
      </c>
      <c r="G600" s="1">
        <v>166.98</v>
      </c>
      <c r="H600" s="1">
        <v>10.0</v>
      </c>
      <c r="I600" s="1" t="s">
        <v>17</v>
      </c>
      <c r="J600" s="1" t="s">
        <v>38</v>
      </c>
      <c r="K600" s="1">
        <f t="shared" si="1"/>
        <v>2022</v>
      </c>
      <c r="L600" s="1" t="str">
        <f t="shared" si="2"/>
        <v>Nov</v>
      </c>
      <c r="M600" s="1" t="str">
        <f t="shared" si="3"/>
        <v>Profit</v>
      </c>
    </row>
    <row r="601" ht="14.25" customHeight="1">
      <c r="A601" s="1" t="s">
        <v>635</v>
      </c>
      <c r="B601" s="2">
        <v>44816.0</v>
      </c>
      <c r="C601" s="1" t="s">
        <v>20</v>
      </c>
      <c r="D601" s="1" t="s">
        <v>15</v>
      </c>
      <c r="E601" s="1" t="s">
        <v>16</v>
      </c>
      <c r="F601" s="1">
        <v>276.14</v>
      </c>
      <c r="G601" s="1">
        <v>46.76</v>
      </c>
      <c r="H601" s="1">
        <v>2.0</v>
      </c>
      <c r="I601" s="1" t="s">
        <v>23</v>
      </c>
      <c r="J601" s="1" t="s">
        <v>24</v>
      </c>
      <c r="K601" s="1">
        <f t="shared" si="1"/>
        <v>2022</v>
      </c>
      <c r="L601" s="1" t="str">
        <f t="shared" si="2"/>
        <v>Sep</v>
      </c>
      <c r="M601" s="1" t="str">
        <f t="shared" si="3"/>
        <v>Profit</v>
      </c>
    </row>
    <row r="602" ht="14.25" customHeight="1">
      <c r="A602" s="1" t="s">
        <v>636</v>
      </c>
      <c r="B602" s="2">
        <v>45187.0</v>
      </c>
      <c r="C602" s="1" t="s">
        <v>14</v>
      </c>
      <c r="D602" s="1" t="s">
        <v>21</v>
      </c>
      <c r="E602" s="1" t="s">
        <v>37</v>
      </c>
      <c r="F602" s="1">
        <v>270.99</v>
      </c>
      <c r="G602" s="1">
        <v>280.37</v>
      </c>
      <c r="H602" s="1">
        <v>6.0</v>
      </c>
      <c r="I602" s="1" t="s">
        <v>23</v>
      </c>
      <c r="J602" s="1" t="s">
        <v>24</v>
      </c>
      <c r="K602" s="1">
        <f t="shared" si="1"/>
        <v>2023</v>
      </c>
      <c r="L602" s="1" t="str">
        <f t="shared" si="2"/>
        <v>Sep</v>
      </c>
      <c r="M602" s="1" t="str">
        <f t="shared" si="3"/>
        <v>Profit</v>
      </c>
    </row>
    <row r="603" ht="14.25" customHeight="1">
      <c r="A603" s="1" t="s">
        <v>637</v>
      </c>
      <c r="B603" s="2">
        <v>45196.0</v>
      </c>
      <c r="C603" s="1" t="s">
        <v>30</v>
      </c>
      <c r="D603" s="1" t="s">
        <v>27</v>
      </c>
      <c r="E603" s="1" t="s">
        <v>40</v>
      </c>
      <c r="F603" s="1">
        <v>536.25</v>
      </c>
      <c r="G603" s="1">
        <v>-129.83</v>
      </c>
      <c r="H603" s="1">
        <v>3.0</v>
      </c>
      <c r="I603" s="1" t="s">
        <v>17</v>
      </c>
      <c r="J603" s="1" t="s">
        <v>38</v>
      </c>
      <c r="K603" s="1">
        <f t="shared" si="1"/>
        <v>2023</v>
      </c>
      <c r="L603" s="1" t="str">
        <f t="shared" si="2"/>
        <v>Sep</v>
      </c>
      <c r="M603" s="1" t="str">
        <f t="shared" si="3"/>
        <v>Loss</v>
      </c>
    </row>
    <row r="604" ht="14.25" customHeight="1">
      <c r="A604" s="1" t="s">
        <v>638</v>
      </c>
      <c r="B604" s="2">
        <v>44744.0</v>
      </c>
      <c r="C604" s="1" t="s">
        <v>14</v>
      </c>
      <c r="D604" s="1" t="s">
        <v>15</v>
      </c>
      <c r="E604" s="1" t="s">
        <v>16</v>
      </c>
      <c r="F604" s="1">
        <v>129.76</v>
      </c>
      <c r="G604" s="1">
        <v>-25.24</v>
      </c>
      <c r="H604" s="1">
        <v>4.0</v>
      </c>
      <c r="I604" s="1" t="s">
        <v>17</v>
      </c>
      <c r="J604" s="1" t="s">
        <v>24</v>
      </c>
      <c r="K604" s="1">
        <f t="shared" si="1"/>
        <v>2022</v>
      </c>
      <c r="L604" s="1" t="str">
        <f t="shared" si="2"/>
        <v>Jul</v>
      </c>
      <c r="M604" s="1" t="str">
        <f t="shared" si="3"/>
        <v>Loss</v>
      </c>
    </row>
    <row r="605" ht="14.25" customHeight="1">
      <c r="A605" s="1" t="s">
        <v>639</v>
      </c>
      <c r="B605" s="2">
        <v>45253.0</v>
      </c>
      <c r="C605" s="1" t="s">
        <v>30</v>
      </c>
      <c r="D605" s="1" t="s">
        <v>27</v>
      </c>
      <c r="E605" s="1" t="s">
        <v>28</v>
      </c>
      <c r="F605" s="1">
        <v>998.54</v>
      </c>
      <c r="G605" s="1">
        <v>-79.21</v>
      </c>
      <c r="H605" s="1">
        <v>1.0</v>
      </c>
      <c r="I605" s="1" t="s">
        <v>34</v>
      </c>
      <c r="J605" s="1" t="s">
        <v>24</v>
      </c>
      <c r="K605" s="1">
        <f t="shared" si="1"/>
        <v>2023</v>
      </c>
      <c r="L605" s="1" t="str">
        <f t="shared" si="2"/>
        <v>Nov</v>
      </c>
      <c r="M605" s="1" t="str">
        <f t="shared" si="3"/>
        <v>Loss</v>
      </c>
    </row>
    <row r="606" ht="14.25" customHeight="1">
      <c r="A606" s="1" t="s">
        <v>640</v>
      </c>
      <c r="B606" s="2">
        <v>44445.0</v>
      </c>
      <c r="C606" s="1" t="s">
        <v>26</v>
      </c>
      <c r="D606" s="1" t="s">
        <v>27</v>
      </c>
      <c r="E606" s="1" t="s">
        <v>33</v>
      </c>
      <c r="F606" s="1">
        <v>779.51</v>
      </c>
      <c r="G606" s="1">
        <v>-171.53</v>
      </c>
      <c r="H606" s="1">
        <v>3.0</v>
      </c>
      <c r="I606" s="1" t="s">
        <v>23</v>
      </c>
      <c r="J606" s="1" t="s">
        <v>35</v>
      </c>
      <c r="K606" s="1">
        <f t="shared" si="1"/>
        <v>2021</v>
      </c>
      <c r="L606" s="1" t="str">
        <f t="shared" si="2"/>
        <v>Sep</v>
      </c>
      <c r="M606" s="1" t="str">
        <f t="shared" si="3"/>
        <v>Loss</v>
      </c>
    </row>
    <row r="607" ht="14.25" customHeight="1">
      <c r="A607" s="1" t="s">
        <v>641</v>
      </c>
      <c r="B607" s="2">
        <v>44505.0</v>
      </c>
      <c r="C607" s="1" t="s">
        <v>20</v>
      </c>
      <c r="D607" s="1" t="s">
        <v>27</v>
      </c>
      <c r="E607" s="1" t="s">
        <v>28</v>
      </c>
      <c r="F607" s="1">
        <v>284.96</v>
      </c>
      <c r="G607" s="1">
        <v>111.58</v>
      </c>
      <c r="H607" s="1">
        <v>7.0</v>
      </c>
      <c r="I607" s="1" t="s">
        <v>23</v>
      </c>
      <c r="J607" s="1" t="s">
        <v>38</v>
      </c>
      <c r="K607" s="1">
        <f t="shared" si="1"/>
        <v>2021</v>
      </c>
      <c r="L607" s="1" t="str">
        <f t="shared" si="2"/>
        <v>Nov</v>
      </c>
      <c r="M607" s="1" t="str">
        <f t="shared" si="3"/>
        <v>Profit</v>
      </c>
    </row>
    <row r="608" ht="14.25" customHeight="1">
      <c r="A608" s="1" t="s">
        <v>642</v>
      </c>
      <c r="B608" s="2">
        <v>45257.0</v>
      </c>
      <c r="C608" s="1" t="s">
        <v>26</v>
      </c>
      <c r="D608" s="1" t="s">
        <v>27</v>
      </c>
      <c r="E608" s="1" t="s">
        <v>33</v>
      </c>
      <c r="F608" s="1">
        <v>676.9</v>
      </c>
      <c r="G608" s="1">
        <v>-186.54</v>
      </c>
      <c r="H608" s="1">
        <v>3.0</v>
      </c>
      <c r="I608" s="1" t="s">
        <v>34</v>
      </c>
      <c r="J608" s="1" t="s">
        <v>38</v>
      </c>
      <c r="K608" s="1">
        <f t="shared" si="1"/>
        <v>2023</v>
      </c>
      <c r="L608" s="1" t="str">
        <f t="shared" si="2"/>
        <v>Nov</v>
      </c>
      <c r="M608" s="1" t="str">
        <f t="shared" si="3"/>
        <v>Loss</v>
      </c>
    </row>
    <row r="609" ht="14.25" customHeight="1">
      <c r="A609" s="1" t="s">
        <v>643</v>
      </c>
      <c r="B609" s="2">
        <v>44300.0</v>
      </c>
      <c r="C609" s="1" t="s">
        <v>14</v>
      </c>
      <c r="D609" s="1" t="s">
        <v>15</v>
      </c>
      <c r="E609" s="1" t="s">
        <v>31</v>
      </c>
      <c r="F609" s="1">
        <v>531.75</v>
      </c>
      <c r="G609" s="1">
        <v>2.27</v>
      </c>
      <c r="H609" s="1">
        <v>1.0</v>
      </c>
      <c r="I609" s="1" t="s">
        <v>34</v>
      </c>
      <c r="J609" s="1" t="s">
        <v>24</v>
      </c>
      <c r="K609" s="1">
        <f t="shared" si="1"/>
        <v>2021</v>
      </c>
      <c r="L609" s="1" t="str">
        <f t="shared" si="2"/>
        <v>Apr</v>
      </c>
      <c r="M609" s="1" t="str">
        <f t="shared" si="3"/>
        <v>Profit</v>
      </c>
    </row>
    <row r="610" ht="14.25" customHeight="1">
      <c r="A610" s="1" t="s">
        <v>644</v>
      </c>
      <c r="B610" s="2">
        <v>45115.0</v>
      </c>
      <c r="C610" s="1" t="s">
        <v>26</v>
      </c>
      <c r="D610" s="1" t="s">
        <v>21</v>
      </c>
      <c r="E610" s="1" t="s">
        <v>22</v>
      </c>
      <c r="F610" s="1">
        <v>126.11</v>
      </c>
      <c r="G610" s="1">
        <v>-128.54</v>
      </c>
      <c r="H610" s="1">
        <v>1.0</v>
      </c>
      <c r="I610" s="1" t="s">
        <v>34</v>
      </c>
      <c r="J610" s="1" t="s">
        <v>35</v>
      </c>
      <c r="K610" s="1">
        <f t="shared" si="1"/>
        <v>2023</v>
      </c>
      <c r="L610" s="1" t="str">
        <f t="shared" si="2"/>
        <v>Jul</v>
      </c>
      <c r="M610" s="1" t="str">
        <f t="shared" si="3"/>
        <v>Loss</v>
      </c>
    </row>
    <row r="611" ht="14.25" customHeight="1">
      <c r="A611" s="1" t="s">
        <v>645</v>
      </c>
      <c r="B611" s="2">
        <v>44510.0</v>
      </c>
      <c r="C611" s="1" t="s">
        <v>14</v>
      </c>
      <c r="D611" s="1" t="s">
        <v>27</v>
      </c>
      <c r="E611" s="1" t="s">
        <v>33</v>
      </c>
      <c r="F611" s="1">
        <v>408.95</v>
      </c>
      <c r="G611" s="1">
        <v>20.53</v>
      </c>
      <c r="H611" s="1">
        <v>5.0</v>
      </c>
      <c r="I611" s="1" t="s">
        <v>34</v>
      </c>
      <c r="J611" s="1" t="s">
        <v>38</v>
      </c>
      <c r="K611" s="1">
        <f t="shared" si="1"/>
        <v>2021</v>
      </c>
      <c r="L611" s="1" t="str">
        <f t="shared" si="2"/>
        <v>Nov</v>
      </c>
      <c r="M611" s="1" t="str">
        <f t="shared" si="3"/>
        <v>Profit</v>
      </c>
    </row>
    <row r="612" ht="14.25" customHeight="1">
      <c r="A612" s="1" t="s">
        <v>646</v>
      </c>
      <c r="B612" s="2">
        <v>44642.0</v>
      </c>
      <c r="C612" s="1" t="s">
        <v>14</v>
      </c>
      <c r="D612" s="1" t="s">
        <v>15</v>
      </c>
      <c r="E612" s="1" t="s">
        <v>54</v>
      </c>
      <c r="F612" s="1">
        <v>715.1</v>
      </c>
      <c r="G612" s="1">
        <v>262.91</v>
      </c>
      <c r="H612" s="1">
        <v>2.0</v>
      </c>
      <c r="I612" s="1" t="s">
        <v>23</v>
      </c>
      <c r="J612" s="1" t="s">
        <v>35</v>
      </c>
      <c r="K612" s="1">
        <f t="shared" si="1"/>
        <v>2022</v>
      </c>
      <c r="L612" s="1" t="str">
        <f t="shared" si="2"/>
        <v>Mar</v>
      </c>
      <c r="M612" s="1" t="str">
        <f t="shared" si="3"/>
        <v>Profit</v>
      </c>
    </row>
    <row r="613" ht="14.25" customHeight="1">
      <c r="A613" s="1" t="s">
        <v>647</v>
      </c>
      <c r="B613" s="2">
        <v>44627.0</v>
      </c>
      <c r="C613" s="1" t="s">
        <v>14</v>
      </c>
      <c r="D613" s="1" t="s">
        <v>15</v>
      </c>
      <c r="E613" s="1" t="s">
        <v>54</v>
      </c>
      <c r="F613" s="1">
        <v>645.44</v>
      </c>
      <c r="G613" s="1">
        <v>40.55</v>
      </c>
      <c r="H613" s="1">
        <v>2.0</v>
      </c>
      <c r="I613" s="1" t="s">
        <v>17</v>
      </c>
      <c r="J613" s="1" t="s">
        <v>24</v>
      </c>
      <c r="K613" s="1">
        <f t="shared" si="1"/>
        <v>2022</v>
      </c>
      <c r="L613" s="1" t="str">
        <f t="shared" si="2"/>
        <v>Mar</v>
      </c>
      <c r="M613" s="1" t="str">
        <f t="shared" si="3"/>
        <v>Profit</v>
      </c>
    </row>
    <row r="614" ht="14.25" customHeight="1">
      <c r="A614" s="1" t="s">
        <v>648</v>
      </c>
      <c r="B614" s="2">
        <v>44736.0</v>
      </c>
      <c r="C614" s="1" t="s">
        <v>14</v>
      </c>
      <c r="D614" s="1" t="s">
        <v>21</v>
      </c>
      <c r="E614" s="1" t="s">
        <v>76</v>
      </c>
      <c r="F614" s="1">
        <v>229.88</v>
      </c>
      <c r="G614" s="1">
        <v>54.78</v>
      </c>
      <c r="H614" s="1">
        <v>10.0</v>
      </c>
      <c r="I614" s="1" t="s">
        <v>34</v>
      </c>
      <c r="J614" s="1" t="s">
        <v>18</v>
      </c>
      <c r="K614" s="1">
        <f t="shared" si="1"/>
        <v>2022</v>
      </c>
      <c r="L614" s="1" t="str">
        <f t="shared" si="2"/>
        <v>Jun</v>
      </c>
      <c r="M614" s="1" t="str">
        <f t="shared" si="3"/>
        <v>Profit</v>
      </c>
    </row>
    <row r="615" ht="14.25" customHeight="1">
      <c r="A615" s="1" t="s">
        <v>649</v>
      </c>
      <c r="B615" s="2">
        <v>44796.0</v>
      </c>
      <c r="C615" s="1" t="s">
        <v>26</v>
      </c>
      <c r="D615" s="1" t="s">
        <v>27</v>
      </c>
      <c r="E615" s="1" t="s">
        <v>28</v>
      </c>
      <c r="F615" s="1">
        <v>513.56</v>
      </c>
      <c r="G615" s="1">
        <v>194.47</v>
      </c>
      <c r="H615" s="1">
        <v>2.0</v>
      </c>
      <c r="I615" s="1" t="s">
        <v>17</v>
      </c>
      <c r="J615" s="1" t="s">
        <v>38</v>
      </c>
      <c r="K615" s="1">
        <f t="shared" si="1"/>
        <v>2022</v>
      </c>
      <c r="L615" s="1" t="str">
        <f t="shared" si="2"/>
        <v>Aug</v>
      </c>
      <c r="M615" s="1" t="str">
        <f t="shared" si="3"/>
        <v>Profit</v>
      </c>
    </row>
    <row r="616" ht="14.25" customHeight="1">
      <c r="A616" s="1" t="s">
        <v>650</v>
      </c>
      <c r="B616" s="2">
        <v>44603.0</v>
      </c>
      <c r="C616" s="1" t="s">
        <v>14</v>
      </c>
      <c r="D616" s="1" t="s">
        <v>21</v>
      </c>
      <c r="E616" s="1" t="s">
        <v>22</v>
      </c>
      <c r="F616" s="1">
        <v>547.08</v>
      </c>
      <c r="G616" s="1">
        <v>49.39</v>
      </c>
      <c r="H616" s="1">
        <v>1.0</v>
      </c>
      <c r="I616" s="1" t="s">
        <v>23</v>
      </c>
      <c r="J616" s="1" t="s">
        <v>35</v>
      </c>
      <c r="K616" s="1">
        <f t="shared" si="1"/>
        <v>2022</v>
      </c>
      <c r="L616" s="1" t="str">
        <f t="shared" si="2"/>
        <v>Feb</v>
      </c>
      <c r="M616" s="1" t="str">
        <f t="shared" si="3"/>
        <v>Profit</v>
      </c>
    </row>
    <row r="617" ht="14.25" customHeight="1">
      <c r="A617" s="1" t="s">
        <v>651</v>
      </c>
      <c r="B617" s="2">
        <v>45125.0</v>
      </c>
      <c r="C617" s="1" t="s">
        <v>20</v>
      </c>
      <c r="D617" s="1" t="s">
        <v>21</v>
      </c>
      <c r="E617" s="1" t="s">
        <v>76</v>
      </c>
      <c r="F617" s="1">
        <v>833.89</v>
      </c>
      <c r="G617" s="1">
        <v>-86.11</v>
      </c>
      <c r="H617" s="1">
        <v>8.0</v>
      </c>
      <c r="I617" s="1" t="s">
        <v>34</v>
      </c>
      <c r="J617" s="1" t="s">
        <v>24</v>
      </c>
      <c r="K617" s="1">
        <f t="shared" si="1"/>
        <v>2023</v>
      </c>
      <c r="L617" s="1" t="str">
        <f t="shared" si="2"/>
        <v>Jul</v>
      </c>
      <c r="M617" s="1" t="str">
        <f t="shared" si="3"/>
        <v>Loss</v>
      </c>
    </row>
    <row r="618" ht="14.25" customHeight="1">
      <c r="A618" s="1" t="s">
        <v>652</v>
      </c>
      <c r="B618" s="2">
        <v>44292.0</v>
      </c>
      <c r="C618" s="1" t="s">
        <v>20</v>
      </c>
      <c r="D618" s="1" t="s">
        <v>21</v>
      </c>
      <c r="E618" s="1" t="s">
        <v>37</v>
      </c>
      <c r="F618" s="1">
        <v>790.03</v>
      </c>
      <c r="G618" s="1">
        <v>-73.49</v>
      </c>
      <c r="H618" s="1">
        <v>10.0</v>
      </c>
      <c r="I618" s="1" t="s">
        <v>17</v>
      </c>
      <c r="J618" s="1" t="s">
        <v>38</v>
      </c>
      <c r="K618" s="1">
        <f t="shared" si="1"/>
        <v>2021</v>
      </c>
      <c r="L618" s="1" t="str">
        <f t="shared" si="2"/>
        <v>Apr</v>
      </c>
      <c r="M618" s="1" t="str">
        <f t="shared" si="3"/>
        <v>Loss</v>
      </c>
    </row>
    <row r="619" ht="14.25" customHeight="1">
      <c r="A619" s="1" t="s">
        <v>653</v>
      </c>
      <c r="B619" s="2">
        <v>45013.0</v>
      </c>
      <c r="C619" s="1" t="s">
        <v>26</v>
      </c>
      <c r="D619" s="1" t="s">
        <v>21</v>
      </c>
      <c r="E619" s="1" t="s">
        <v>76</v>
      </c>
      <c r="F619" s="1">
        <v>604.52</v>
      </c>
      <c r="G619" s="1">
        <v>22.8</v>
      </c>
      <c r="H619" s="1">
        <v>10.0</v>
      </c>
      <c r="I619" s="1" t="s">
        <v>23</v>
      </c>
      <c r="J619" s="1" t="s">
        <v>24</v>
      </c>
      <c r="K619" s="1">
        <f t="shared" si="1"/>
        <v>2023</v>
      </c>
      <c r="L619" s="1" t="str">
        <f t="shared" si="2"/>
        <v>Mar</v>
      </c>
      <c r="M619" s="1" t="str">
        <f t="shared" si="3"/>
        <v>Profit</v>
      </c>
    </row>
    <row r="620" ht="14.25" customHeight="1">
      <c r="A620" s="1" t="s">
        <v>654</v>
      </c>
      <c r="B620" s="2">
        <v>44647.0</v>
      </c>
      <c r="C620" s="1" t="s">
        <v>26</v>
      </c>
      <c r="D620" s="1" t="s">
        <v>27</v>
      </c>
      <c r="E620" s="1" t="s">
        <v>33</v>
      </c>
      <c r="F620" s="1">
        <v>518.63</v>
      </c>
      <c r="G620" s="1">
        <v>-104.18</v>
      </c>
      <c r="H620" s="1">
        <v>5.0</v>
      </c>
      <c r="I620" s="1" t="s">
        <v>23</v>
      </c>
      <c r="J620" s="1" t="s">
        <v>35</v>
      </c>
      <c r="K620" s="1">
        <f t="shared" si="1"/>
        <v>2022</v>
      </c>
      <c r="L620" s="1" t="str">
        <f t="shared" si="2"/>
        <v>Mar</v>
      </c>
      <c r="M620" s="1" t="str">
        <f t="shared" si="3"/>
        <v>Loss</v>
      </c>
    </row>
    <row r="621" ht="14.25" customHeight="1">
      <c r="A621" s="1" t="s">
        <v>655</v>
      </c>
      <c r="B621" s="2">
        <v>44645.0</v>
      </c>
      <c r="C621" s="1" t="s">
        <v>26</v>
      </c>
      <c r="D621" s="1" t="s">
        <v>21</v>
      </c>
      <c r="E621" s="1" t="s">
        <v>22</v>
      </c>
      <c r="F621" s="1">
        <v>218.22</v>
      </c>
      <c r="G621" s="1">
        <v>94.37</v>
      </c>
      <c r="H621" s="1">
        <v>8.0</v>
      </c>
      <c r="I621" s="1" t="s">
        <v>34</v>
      </c>
      <c r="J621" s="1" t="s">
        <v>18</v>
      </c>
      <c r="K621" s="1">
        <f t="shared" si="1"/>
        <v>2022</v>
      </c>
      <c r="L621" s="1" t="str">
        <f t="shared" si="2"/>
        <v>Mar</v>
      </c>
      <c r="M621" s="1" t="str">
        <f t="shared" si="3"/>
        <v>Profit</v>
      </c>
    </row>
    <row r="622" ht="14.25" customHeight="1">
      <c r="A622" s="1" t="s">
        <v>656</v>
      </c>
      <c r="B622" s="2">
        <v>45143.0</v>
      </c>
      <c r="C622" s="1" t="s">
        <v>20</v>
      </c>
      <c r="D622" s="1" t="s">
        <v>27</v>
      </c>
      <c r="E622" s="1" t="s">
        <v>40</v>
      </c>
      <c r="F622" s="1">
        <v>999.33</v>
      </c>
      <c r="G622" s="1">
        <v>113.34</v>
      </c>
      <c r="H622" s="1">
        <v>10.0</v>
      </c>
      <c r="I622" s="1" t="s">
        <v>23</v>
      </c>
      <c r="J622" s="1" t="s">
        <v>24</v>
      </c>
      <c r="K622" s="1">
        <f t="shared" si="1"/>
        <v>2023</v>
      </c>
      <c r="L622" s="1" t="str">
        <f t="shared" si="2"/>
        <v>Aug</v>
      </c>
      <c r="M622" s="1" t="str">
        <f t="shared" si="3"/>
        <v>Profit</v>
      </c>
    </row>
    <row r="623" ht="14.25" customHeight="1">
      <c r="A623" s="1" t="s">
        <v>657</v>
      </c>
      <c r="B623" s="2">
        <v>44424.0</v>
      </c>
      <c r="C623" s="1" t="s">
        <v>30</v>
      </c>
      <c r="D623" s="1" t="s">
        <v>15</v>
      </c>
      <c r="E623" s="1" t="s">
        <v>16</v>
      </c>
      <c r="F623" s="1">
        <v>369.05</v>
      </c>
      <c r="G623" s="1">
        <v>-1.88</v>
      </c>
      <c r="H623" s="1">
        <v>9.0</v>
      </c>
      <c r="I623" s="1" t="s">
        <v>34</v>
      </c>
      <c r="J623" s="1" t="s">
        <v>35</v>
      </c>
      <c r="K623" s="1">
        <f t="shared" si="1"/>
        <v>2021</v>
      </c>
      <c r="L623" s="1" t="str">
        <f t="shared" si="2"/>
        <v>Aug</v>
      </c>
      <c r="M623" s="1" t="str">
        <f t="shared" si="3"/>
        <v>Loss</v>
      </c>
    </row>
    <row r="624" ht="14.25" customHeight="1">
      <c r="A624" s="1" t="s">
        <v>658</v>
      </c>
      <c r="B624" s="2">
        <v>44920.0</v>
      </c>
      <c r="C624" s="1" t="s">
        <v>26</v>
      </c>
      <c r="D624" s="1" t="s">
        <v>15</v>
      </c>
      <c r="E624" s="1" t="s">
        <v>16</v>
      </c>
      <c r="F624" s="1">
        <v>802.3</v>
      </c>
      <c r="G624" s="1">
        <v>-33.1</v>
      </c>
      <c r="H624" s="1">
        <v>5.0</v>
      </c>
      <c r="I624" s="1" t="s">
        <v>17</v>
      </c>
      <c r="J624" s="1" t="s">
        <v>18</v>
      </c>
      <c r="K624" s="1">
        <f t="shared" si="1"/>
        <v>2022</v>
      </c>
      <c r="L624" s="1" t="str">
        <f t="shared" si="2"/>
        <v>Dec</v>
      </c>
      <c r="M624" s="1" t="str">
        <f t="shared" si="3"/>
        <v>Loss</v>
      </c>
    </row>
    <row r="625" ht="14.25" customHeight="1">
      <c r="A625" s="1" t="s">
        <v>659</v>
      </c>
      <c r="B625" s="2">
        <v>45121.0</v>
      </c>
      <c r="C625" s="1" t="s">
        <v>14</v>
      </c>
      <c r="D625" s="1" t="s">
        <v>21</v>
      </c>
      <c r="E625" s="1" t="s">
        <v>22</v>
      </c>
      <c r="F625" s="1">
        <v>510.36</v>
      </c>
      <c r="G625" s="1">
        <v>-1.2</v>
      </c>
      <c r="H625" s="1">
        <v>4.0</v>
      </c>
      <c r="I625" s="1" t="s">
        <v>34</v>
      </c>
      <c r="J625" s="1" t="s">
        <v>35</v>
      </c>
      <c r="K625" s="1">
        <f t="shared" si="1"/>
        <v>2023</v>
      </c>
      <c r="L625" s="1" t="str">
        <f t="shared" si="2"/>
        <v>Jul</v>
      </c>
      <c r="M625" s="1" t="str">
        <f t="shared" si="3"/>
        <v>Loss</v>
      </c>
    </row>
    <row r="626" ht="14.25" customHeight="1">
      <c r="A626" s="1" t="s">
        <v>660</v>
      </c>
      <c r="B626" s="2">
        <v>44770.0</v>
      </c>
      <c r="C626" s="1" t="s">
        <v>30</v>
      </c>
      <c r="D626" s="1" t="s">
        <v>21</v>
      </c>
      <c r="E626" s="1" t="s">
        <v>22</v>
      </c>
      <c r="F626" s="1">
        <v>936.11</v>
      </c>
      <c r="G626" s="1">
        <v>-41.0</v>
      </c>
      <c r="H626" s="1">
        <v>4.0</v>
      </c>
      <c r="I626" s="1" t="s">
        <v>34</v>
      </c>
      <c r="J626" s="1" t="s">
        <v>24</v>
      </c>
      <c r="K626" s="1">
        <f t="shared" si="1"/>
        <v>2022</v>
      </c>
      <c r="L626" s="1" t="str">
        <f t="shared" si="2"/>
        <v>Jul</v>
      </c>
      <c r="M626" s="1" t="str">
        <f t="shared" si="3"/>
        <v>Loss</v>
      </c>
    </row>
    <row r="627" ht="14.25" customHeight="1">
      <c r="A627" s="1" t="s">
        <v>661</v>
      </c>
      <c r="B627" s="2">
        <v>44241.0</v>
      </c>
      <c r="C627" s="1" t="s">
        <v>20</v>
      </c>
      <c r="D627" s="1" t="s">
        <v>21</v>
      </c>
      <c r="E627" s="1" t="s">
        <v>22</v>
      </c>
      <c r="F627" s="1">
        <v>126.47</v>
      </c>
      <c r="G627" s="1">
        <v>299.55</v>
      </c>
      <c r="H627" s="1">
        <v>10.0</v>
      </c>
      <c r="I627" s="1" t="s">
        <v>34</v>
      </c>
      <c r="J627" s="1" t="s">
        <v>35</v>
      </c>
      <c r="K627" s="1">
        <f t="shared" si="1"/>
        <v>2021</v>
      </c>
      <c r="L627" s="1" t="str">
        <f t="shared" si="2"/>
        <v>Feb</v>
      </c>
      <c r="M627" s="1" t="str">
        <f t="shared" si="3"/>
        <v>Profit</v>
      </c>
    </row>
    <row r="628" ht="14.25" customHeight="1">
      <c r="A628" s="1" t="s">
        <v>662</v>
      </c>
      <c r="B628" s="2">
        <v>45113.0</v>
      </c>
      <c r="C628" s="1" t="s">
        <v>30</v>
      </c>
      <c r="D628" s="1" t="s">
        <v>15</v>
      </c>
      <c r="E628" s="1" t="s">
        <v>54</v>
      </c>
      <c r="F628" s="1">
        <v>210.17</v>
      </c>
      <c r="G628" s="1">
        <v>100.55</v>
      </c>
      <c r="H628" s="1">
        <v>5.0</v>
      </c>
      <c r="I628" s="1" t="s">
        <v>34</v>
      </c>
      <c r="J628" s="1" t="s">
        <v>38</v>
      </c>
      <c r="K628" s="1">
        <f t="shared" si="1"/>
        <v>2023</v>
      </c>
      <c r="L628" s="1" t="str">
        <f t="shared" si="2"/>
        <v>Jul</v>
      </c>
      <c r="M628" s="1" t="str">
        <f t="shared" si="3"/>
        <v>Profit</v>
      </c>
    </row>
    <row r="629" ht="14.25" customHeight="1">
      <c r="A629" s="1" t="s">
        <v>663</v>
      </c>
      <c r="B629" s="2">
        <v>44211.0</v>
      </c>
      <c r="C629" s="1" t="s">
        <v>26</v>
      </c>
      <c r="D629" s="1" t="s">
        <v>21</v>
      </c>
      <c r="E629" s="1" t="s">
        <v>37</v>
      </c>
      <c r="F629" s="1">
        <v>871.2</v>
      </c>
      <c r="G629" s="1">
        <v>-63.64</v>
      </c>
      <c r="H629" s="1">
        <v>7.0</v>
      </c>
      <c r="I629" s="1" t="s">
        <v>23</v>
      </c>
      <c r="J629" s="1" t="s">
        <v>35</v>
      </c>
      <c r="K629" s="1">
        <f t="shared" si="1"/>
        <v>2021</v>
      </c>
      <c r="L629" s="1" t="str">
        <f t="shared" si="2"/>
        <v>Jan</v>
      </c>
      <c r="M629" s="1" t="str">
        <f t="shared" si="3"/>
        <v>Loss</v>
      </c>
    </row>
    <row r="630" ht="14.25" customHeight="1">
      <c r="A630" s="1" t="s">
        <v>664</v>
      </c>
      <c r="B630" s="2">
        <v>44457.0</v>
      </c>
      <c r="C630" s="1" t="s">
        <v>14</v>
      </c>
      <c r="D630" s="1" t="s">
        <v>27</v>
      </c>
      <c r="E630" s="1" t="s">
        <v>40</v>
      </c>
      <c r="F630" s="1">
        <v>189.06</v>
      </c>
      <c r="G630" s="1">
        <v>-11.67</v>
      </c>
      <c r="H630" s="1">
        <v>1.0</v>
      </c>
      <c r="I630" s="1" t="s">
        <v>23</v>
      </c>
      <c r="J630" s="1" t="s">
        <v>38</v>
      </c>
      <c r="K630" s="1">
        <f t="shared" si="1"/>
        <v>2021</v>
      </c>
      <c r="L630" s="1" t="str">
        <f t="shared" si="2"/>
        <v>Sep</v>
      </c>
      <c r="M630" s="1" t="str">
        <f t="shared" si="3"/>
        <v>Loss</v>
      </c>
    </row>
    <row r="631" ht="14.25" customHeight="1">
      <c r="A631" s="1" t="s">
        <v>665</v>
      </c>
      <c r="B631" s="2">
        <v>44578.0</v>
      </c>
      <c r="C631" s="1" t="s">
        <v>30</v>
      </c>
      <c r="D631" s="1" t="s">
        <v>27</v>
      </c>
      <c r="E631" s="1" t="s">
        <v>40</v>
      </c>
      <c r="F631" s="1">
        <v>317.37</v>
      </c>
      <c r="G631" s="1">
        <v>257.88</v>
      </c>
      <c r="H631" s="1">
        <v>6.0</v>
      </c>
      <c r="I631" s="1" t="s">
        <v>17</v>
      </c>
      <c r="J631" s="1" t="s">
        <v>35</v>
      </c>
      <c r="K631" s="1">
        <f t="shared" si="1"/>
        <v>2022</v>
      </c>
      <c r="L631" s="1" t="str">
        <f t="shared" si="2"/>
        <v>Jan</v>
      </c>
      <c r="M631" s="1" t="str">
        <f t="shared" si="3"/>
        <v>Profit</v>
      </c>
    </row>
    <row r="632" ht="14.25" customHeight="1">
      <c r="A632" s="1" t="s">
        <v>666</v>
      </c>
      <c r="B632" s="2">
        <v>44930.0</v>
      </c>
      <c r="C632" s="1" t="s">
        <v>20</v>
      </c>
      <c r="D632" s="1" t="s">
        <v>15</v>
      </c>
      <c r="E632" s="1" t="s">
        <v>54</v>
      </c>
      <c r="F632" s="1">
        <v>339.1</v>
      </c>
      <c r="G632" s="1">
        <v>214.34</v>
      </c>
      <c r="H632" s="1">
        <v>5.0</v>
      </c>
      <c r="I632" s="1" t="s">
        <v>23</v>
      </c>
      <c r="J632" s="1" t="s">
        <v>38</v>
      </c>
      <c r="K632" s="1">
        <f t="shared" si="1"/>
        <v>2023</v>
      </c>
      <c r="L632" s="1" t="str">
        <f t="shared" si="2"/>
        <v>Jan</v>
      </c>
      <c r="M632" s="1" t="str">
        <f t="shared" si="3"/>
        <v>Profit</v>
      </c>
    </row>
    <row r="633" ht="14.25" customHeight="1">
      <c r="A633" s="1" t="s">
        <v>667</v>
      </c>
      <c r="B633" s="2">
        <v>45229.0</v>
      </c>
      <c r="C633" s="1" t="s">
        <v>20</v>
      </c>
      <c r="D633" s="1" t="s">
        <v>21</v>
      </c>
      <c r="E633" s="1" t="s">
        <v>37</v>
      </c>
      <c r="F633" s="1">
        <v>537.45</v>
      </c>
      <c r="G633" s="1">
        <v>197.8</v>
      </c>
      <c r="H633" s="1">
        <v>2.0</v>
      </c>
      <c r="I633" s="1" t="s">
        <v>34</v>
      </c>
      <c r="J633" s="1" t="s">
        <v>35</v>
      </c>
      <c r="K633" s="1">
        <f t="shared" si="1"/>
        <v>2023</v>
      </c>
      <c r="L633" s="1" t="str">
        <f t="shared" si="2"/>
        <v>Oct</v>
      </c>
      <c r="M633" s="1" t="str">
        <f t="shared" si="3"/>
        <v>Profit</v>
      </c>
    </row>
    <row r="634" ht="14.25" customHeight="1">
      <c r="A634" s="1" t="s">
        <v>668</v>
      </c>
      <c r="B634" s="2">
        <v>44407.0</v>
      </c>
      <c r="C634" s="1" t="s">
        <v>26</v>
      </c>
      <c r="D634" s="1" t="s">
        <v>21</v>
      </c>
      <c r="E634" s="1" t="s">
        <v>22</v>
      </c>
      <c r="F634" s="1">
        <v>285.26</v>
      </c>
      <c r="G634" s="1">
        <v>55.08</v>
      </c>
      <c r="H634" s="1">
        <v>2.0</v>
      </c>
      <c r="I634" s="1" t="s">
        <v>23</v>
      </c>
      <c r="J634" s="1" t="s">
        <v>38</v>
      </c>
      <c r="K634" s="1">
        <f t="shared" si="1"/>
        <v>2021</v>
      </c>
      <c r="L634" s="1" t="str">
        <f t="shared" si="2"/>
        <v>Jul</v>
      </c>
      <c r="M634" s="1" t="str">
        <f t="shared" si="3"/>
        <v>Profit</v>
      </c>
    </row>
    <row r="635" ht="14.25" customHeight="1">
      <c r="A635" s="1" t="s">
        <v>669</v>
      </c>
      <c r="B635" s="2">
        <v>45139.0</v>
      </c>
      <c r="C635" s="1" t="s">
        <v>20</v>
      </c>
      <c r="D635" s="1" t="s">
        <v>15</v>
      </c>
      <c r="E635" s="1" t="s">
        <v>16</v>
      </c>
      <c r="F635" s="1">
        <v>294.16</v>
      </c>
      <c r="G635" s="1">
        <v>253.82</v>
      </c>
      <c r="H635" s="1">
        <v>3.0</v>
      </c>
      <c r="I635" s="1" t="s">
        <v>34</v>
      </c>
      <c r="J635" s="1" t="s">
        <v>35</v>
      </c>
      <c r="K635" s="1">
        <f t="shared" si="1"/>
        <v>2023</v>
      </c>
      <c r="L635" s="1" t="str">
        <f t="shared" si="2"/>
        <v>Aug</v>
      </c>
      <c r="M635" s="1" t="str">
        <f t="shared" si="3"/>
        <v>Profit</v>
      </c>
    </row>
    <row r="636" ht="14.25" customHeight="1">
      <c r="A636" s="1" t="s">
        <v>670</v>
      </c>
      <c r="B636" s="2">
        <v>45280.0</v>
      </c>
      <c r="C636" s="1" t="s">
        <v>30</v>
      </c>
      <c r="D636" s="1" t="s">
        <v>27</v>
      </c>
      <c r="E636" s="1" t="s">
        <v>28</v>
      </c>
      <c r="F636" s="1">
        <v>283.7</v>
      </c>
      <c r="G636" s="1">
        <v>23.86</v>
      </c>
      <c r="H636" s="1">
        <v>5.0</v>
      </c>
      <c r="I636" s="1" t="s">
        <v>34</v>
      </c>
      <c r="J636" s="1" t="s">
        <v>38</v>
      </c>
      <c r="K636" s="1">
        <f t="shared" si="1"/>
        <v>2023</v>
      </c>
      <c r="L636" s="1" t="str">
        <f t="shared" si="2"/>
        <v>Dec</v>
      </c>
      <c r="M636" s="1" t="str">
        <f t="shared" si="3"/>
        <v>Profit</v>
      </c>
    </row>
    <row r="637" ht="14.25" customHeight="1">
      <c r="A637" s="1" t="s">
        <v>671</v>
      </c>
      <c r="B637" s="2">
        <v>45058.0</v>
      </c>
      <c r="C637" s="1" t="s">
        <v>26</v>
      </c>
      <c r="D637" s="1" t="s">
        <v>27</v>
      </c>
      <c r="E637" s="1" t="s">
        <v>28</v>
      </c>
      <c r="F637" s="1">
        <v>110.89</v>
      </c>
      <c r="G637" s="1">
        <v>-129.04</v>
      </c>
      <c r="H637" s="1">
        <v>9.0</v>
      </c>
      <c r="I637" s="1" t="s">
        <v>34</v>
      </c>
      <c r="J637" s="1" t="s">
        <v>24</v>
      </c>
      <c r="K637" s="1">
        <f t="shared" si="1"/>
        <v>2023</v>
      </c>
      <c r="L637" s="1" t="str">
        <f t="shared" si="2"/>
        <v>May</v>
      </c>
      <c r="M637" s="1" t="str">
        <f t="shared" si="3"/>
        <v>Loss</v>
      </c>
    </row>
    <row r="638" ht="14.25" customHeight="1">
      <c r="A638" s="1" t="s">
        <v>672</v>
      </c>
      <c r="B638" s="2">
        <v>45144.0</v>
      </c>
      <c r="C638" s="1" t="s">
        <v>20</v>
      </c>
      <c r="D638" s="1" t="s">
        <v>27</v>
      </c>
      <c r="E638" s="1" t="s">
        <v>28</v>
      </c>
      <c r="F638" s="1">
        <v>673.62</v>
      </c>
      <c r="G638" s="1">
        <v>-152.61</v>
      </c>
      <c r="H638" s="1">
        <v>5.0</v>
      </c>
      <c r="I638" s="1" t="s">
        <v>34</v>
      </c>
      <c r="J638" s="1" t="s">
        <v>35</v>
      </c>
      <c r="K638" s="1">
        <f t="shared" si="1"/>
        <v>2023</v>
      </c>
      <c r="L638" s="1" t="str">
        <f t="shared" si="2"/>
        <v>Aug</v>
      </c>
      <c r="M638" s="1" t="str">
        <f t="shared" si="3"/>
        <v>Loss</v>
      </c>
    </row>
    <row r="639" ht="14.25" customHeight="1">
      <c r="A639" s="1" t="s">
        <v>673</v>
      </c>
      <c r="B639" s="2">
        <v>44217.0</v>
      </c>
      <c r="C639" s="1" t="s">
        <v>30</v>
      </c>
      <c r="D639" s="1" t="s">
        <v>27</v>
      </c>
      <c r="E639" s="1" t="s">
        <v>33</v>
      </c>
      <c r="F639" s="1">
        <v>991.6</v>
      </c>
      <c r="G639" s="1">
        <v>47.87</v>
      </c>
      <c r="H639" s="1">
        <v>7.0</v>
      </c>
      <c r="I639" s="1" t="s">
        <v>17</v>
      </c>
      <c r="J639" s="1" t="s">
        <v>35</v>
      </c>
      <c r="K639" s="1">
        <f t="shared" si="1"/>
        <v>2021</v>
      </c>
      <c r="L639" s="1" t="str">
        <f t="shared" si="2"/>
        <v>Jan</v>
      </c>
      <c r="M639" s="1" t="str">
        <f t="shared" si="3"/>
        <v>Profit</v>
      </c>
    </row>
    <row r="640" ht="14.25" customHeight="1">
      <c r="A640" s="1" t="s">
        <v>674</v>
      </c>
      <c r="B640" s="2">
        <v>44711.0</v>
      </c>
      <c r="C640" s="1" t="s">
        <v>20</v>
      </c>
      <c r="D640" s="1" t="s">
        <v>21</v>
      </c>
      <c r="E640" s="1" t="s">
        <v>22</v>
      </c>
      <c r="F640" s="1">
        <v>647.58</v>
      </c>
      <c r="G640" s="1">
        <v>209.66</v>
      </c>
      <c r="H640" s="1">
        <v>9.0</v>
      </c>
      <c r="I640" s="1" t="s">
        <v>23</v>
      </c>
      <c r="J640" s="1" t="s">
        <v>18</v>
      </c>
      <c r="K640" s="1">
        <f t="shared" si="1"/>
        <v>2022</v>
      </c>
      <c r="L640" s="1" t="str">
        <f t="shared" si="2"/>
        <v>May</v>
      </c>
      <c r="M640" s="1" t="str">
        <f t="shared" si="3"/>
        <v>Profit</v>
      </c>
    </row>
    <row r="641" ht="14.25" customHeight="1">
      <c r="A641" s="1" t="s">
        <v>675</v>
      </c>
      <c r="B641" s="2">
        <v>45268.0</v>
      </c>
      <c r="C641" s="1" t="s">
        <v>20</v>
      </c>
      <c r="D641" s="1" t="s">
        <v>27</v>
      </c>
      <c r="E641" s="1" t="s">
        <v>28</v>
      </c>
      <c r="F641" s="1">
        <v>706.08</v>
      </c>
      <c r="G641" s="1">
        <v>100.75</v>
      </c>
      <c r="H641" s="1">
        <v>4.0</v>
      </c>
      <c r="I641" s="1" t="s">
        <v>17</v>
      </c>
      <c r="J641" s="1" t="s">
        <v>18</v>
      </c>
      <c r="K641" s="1">
        <f t="shared" si="1"/>
        <v>2023</v>
      </c>
      <c r="L641" s="1" t="str">
        <f t="shared" si="2"/>
        <v>Dec</v>
      </c>
      <c r="M641" s="1" t="str">
        <f t="shared" si="3"/>
        <v>Profit</v>
      </c>
    </row>
    <row r="642" ht="14.25" customHeight="1">
      <c r="A642" s="1" t="s">
        <v>676</v>
      </c>
      <c r="B642" s="2">
        <v>44202.0</v>
      </c>
      <c r="C642" s="1" t="s">
        <v>14</v>
      </c>
      <c r="D642" s="1" t="s">
        <v>15</v>
      </c>
      <c r="E642" s="1" t="s">
        <v>16</v>
      </c>
      <c r="F642" s="1">
        <v>628.38</v>
      </c>
      <c r="G642" s="1">
        <v>196.61</v>
      </c>
      <c r="H642" s="1">
        <v>8.0</v>
      </c>
      <c r="I642" s="1" t="s">
        <v>34</v>
      </c>
      <c r="J642" s="1" t="s">
        <v>38</v>
      </c>
      <c r="K642" s="1">
        <f t="shared" si="1"/>
        <v>2021</v>
      </c>
      <c r="L642" s="1" t="str">
        <f t="shared" si="2"/>
        <v>Jan</v>
      </c>
      <c r="M642" s="1" t="str">
        <f t="shared" si="3"/>
        <v>Profit</v>
      </c>
    </row>
    <row r="643" ht="14.25" customHeight="1">
      <c r="A643" s="1" t="s">
        <v>677</v>
      </c>
      <c r="B643" s="2">
        <v>44544.0</v>
      </c>
      <c r="C643" s="1" t="s">
        <v>26</v>
      </c>
      <c r="D643" s="1" t="s">
        <v>21</v>
      </c>
      <c r="E643" s="1" t="s">
        <v>76</v>
      </c>
      <c r="F643" s="1">
        <v>939.33</v>
      </c>
      <c r="G643" s="1">
        <v>-153.48</v>
      </c>
      <c r="H643" s="1">
        <v>2.0</v>
      </c>
      <c r="I643" s="1" t="s">
        <v>23</v>
      </c>
      <c r="J643" s="1" t="s">
        <v>18</v>
      </c>
      <c r="K643" s="1">
        <f t="shared" si="1"/>
        <v>2021</v>
      </c>
      <c r="L643" s="1" t="str">
        <f t="shared" si="2"/>
        <v>Dec</v>
      </c>
      <c r="M643" s="1" t="str">
        <f t="shared" si="3"/>
        <v>Loss</v>
      </c>
    </row>
    <row r="644" ht="14.25" customHeight="1">
      <c r="A644" s="1" t="s">
        <v>678</v>
      </c>
      <c r="B644" s="2">
        <v>44892.0</v>
      </c>
      <c r="C644" s="1" t="s">
        <v>26</v>
      </c>
      <c r="D644" s="1" t="s">
        <v>21</v>
      </c>
      <c r="E644" s="1" t="s">
        <v>22</v>
      </c>
      <c r="F644" s="1">
        <v>552.42</v>
      </c>
      <c r="G644" s="1">
        <v>-135.25</v>
      </c>
      <c r="H644" s="1">
        <v>2.0</v>
      </c>
      <c r="I644" s="1" t="s">
        <v>17</v>
      </c>
      <c r="J644" s="1" t="s">
        <v>18</v>
      </c>
      <c r="K644" s="1">
        <f t="shared" si="1"/>
        <v>2022</v>
      </c>
      <c r="L644" s="1" t="str">
        <f t="shared" si="2"/>
        <v>Nov</v>
      </c>
      <c r="M644" s="1" t="str">
        <f t="shared" si="3"/>
        <v>Loss</v>
      </c>
    </row>
    <row r="645" ht="14.25" customHeight="1">
      <c r="A645" s="1" t="s">
        <v>679</v>
      </c>
      <c r="B645" s="2">
        <v>44685.0</v>
      </c>
      <c r="C645" s="1" t="s">
        <v>14</v>
      </c>
      <c r="D645" s="1" t="s">
        <v>15</v>
      </c>
      <c r="E645" s="1" t="s">
        <v>31</v>
      </c>
      <c r="F645" s="1">
        <v>721.36</v>
      </c>
      <c r="G645" s="1">
        <v>219.98</v>
      </c>
      <c r="H645" s="1">
        <v>5.0</v>
      </c>
      <c r="I645" s="1" t="s">
        <v>17</v>
      </c>
      <c r="J645" s="1" t="s">
        <v>18</v>
      </c>
      <c r="K645" s="1">
        <f t="shared" si="1"/>
        <v>2022</v>
      </c>
      <c r="L645" s="1" t="str">
        <f t="shared" si="2"/>
        <v>May</v>
      </c>
      <c r="M645" s="1" t="str">
        <f t="shared" si="3"/>
        <v>Profit</v>
      </c>
    </row>
    <row r="646" ht="14.25" customHeight="1">
      <c r="A646" s="1" t="s">
        <v>680</v>
      </c>
      <c r="B646" s="2">
        <v>44672.0</v>
      </c>
      <c r="C646" s="1" t="s">
        <v>20</v>
      </c>
      <c r="D646" s="1" t="s">
        <v>21</v>
      </c>
      <c r="E646" s="1" t="s">
        <v>37</v>
      </c>
      <c r="F646" s="1">
        <v>141.25</v>
      </c>
      <c r="G646" s="1">
        <v>-115.27</v>
      </c>
      <c r="H646" s="1">
        <v>8.0</v>
      </c>
      <c r="I646" s="1" t="s">
        <v>17</v>
      </c>
      <c r="J646" s="1" t="s">
        <v>18</v>
      </c>
      <c r="K646" s="1">
        <f t="shared" si="1"/>
        <v>2022</v>
      </c>
      <c r="L646" s="1" t="str">
        <f t="shared" si="2"/>
        <v>Apr</v>
      </c>
      <c r="M646" s="1" t="str">
        <f t="shared" si="3"/>
        <v>Loss</v>
      </c>
    </row>
    <row r="647" ht="14.25" customHeight="1">
      <c r="A647" s="1" t="s">
        <v>681</v>
      </c>
      <c r="B647" s="2">
        <v>44977.0</v>
      </c>
      <c r="C647" s="1" t="s">
        <v>14</v>
      </c>
      <c r="D647" s="1" t="s">
        <v>27</v>
      </c>
      <c r="E647" s="1" t="s">
        <v>40</v>
      </c>
      <c r="F647" s="1">
        <v>366.7</v>
      </c>
      <c r="G647" s="1">
        <v>194.37</v>
      </c>
      <c r="H647" s="1">
        <v>3.0</v>
      </c>
      <c r="I647" s="1" t="s">
        <v>23</v>
      </c>
      <c r="J647" s="1" t="s">
        <v>24</v>
      </c>
      <c r="K647" s="1">
        <f t="shared" si="1"/>
        <v>2023</v>
      </c>
      <c r="L647" s="1" t="str">
        <f t="shared" si="2"/>
        <v>Feb</v>
      </c>
      <c r="M647" s="1" t="str">
        <f t="shared" si="3"/>
        <v>Profit</v>
      </c>
    </row>
    <row r="648" ht="14.25" customHeight="1">
      <c r="A648" s="1" t="s">
        <v>682</v>
      </c>
      <c r="B648" s="2">
        <v>44885.0</v>
      </c>
      <c r="C648" s="1" t="s">
        <v>30</v>
      </c>
      <c r="D648" s="1" t="s">
        <v>15</v>
      </c>
      <c r="E648" s="1" t="s">
        <v>16</v>
      </c>
      <c r="F648" s="1">
        <v>503.96</v>
      </c>
      <c r="G648" s="1">
        <v>186.46</v>
      </c>
      <c r="H648" s="1">
        <v>6.0</v>
      </c>
      <c r="I648" s="1" t="s">
        <v>17</v>
      </c>
      <c r="J648" s="1" t="s">
        <v>18</v>
      </c>
      <c r="K648" s="1">
        <f t="shared" si="1"/>
        <v>2022</v>
      </c>
      <c r="L648" s="1" t="str">
        <f t="shared" si="2"/>
        <v>Nov</v>
      </c>
      <c r="M648" s="1" t="str">
        <f t="shared" si="3"/>
        <v>Profit</v>
      </c>
    </row>
    <row r="649" ht="14.25" customHeight="1">
      <c r="A649" s="1" t="s">
        <v>683</v>
      </c>
      <c r="B649" s="2">
        <v>44762.0</v>
      </c>
      <c r="C649" s="1" t="s">
        <v>30</v>
      </c>
      <c r="D649" s="1" t="s">
        <v>15</v>
      </c>
      <c r="E649" s="1" t="s">
        <v>54</v>
      </c>
      <c r="F649" s="1">
        <v>658.09</v>
      </c>
      <c r="G649" s="1">
        <v>20.04</v>
      </c>
      <c r="H649" s="1">
        <v>10.0</v>
      </c>
      <c r="I649" s="1" t="s">
        <v>23</v>
      </c>
      <c r="J649" s="1" t="s">
        <v>18</v>
      </c>
      <c r="K649" s="1">
        <f t="shared" si="1"/>
        <v>2022</v>
      </c>
      <c r="L649" s="1" t="str">
        <f t="shared" si="2"/>
        <v>Jul</v>
      </c>
      <c r="M649" s="1" t="str">
        <f t="shared" si="3"/>
        <v>Profit</v>
      </c>
    </row>
    <row r="650" ht="14.25" customHeight="1">
      <c r="A650" s="1" t="s">
        <v>684</v>
      </c>
      <c r="B650" s="2">
        <v>45083.0</v>
      </c>
      <c r="C650" s="1" t="s">
        <v>14</v>
      </c>
      <c r="D650" s="1" t="s">
        <v>15</v>
      </c>
      <c r="E650" s="1" t="s">
        <v>16</v>
      </c>
      <c r="F650" s="1">
        <v>499.1</v>
      </c>
      <c r="G650" s="1">
        <v>261.93</v>
      </c>
      <c r="H650" s="1">
        <v>10.0</v>
      </c>
      <c r="I650" s="1" t="s">
        <v>34</v>
      </c>
      <c r="J650" s="1" t="s">
        <v>35</v>
      </c>
      <c r="K650" s="1">
        <f t="shared" si="1"/>
        <v>2023</v>
      </c>
      <c r="L650" s="1" t="str">
        <f t="shared" si="2"/>
        <v>Jun</v>
      </c>
      <c r="M650" s="1" t="str">
        <f t="shared" si="3"/>
        <v>Profit</v>
      </c>
    </row>
    <row r="651" ht="14.25" customHeight="1">
      <c r="A651" s="1" t="s">
        <v>685</v>
      </c>
      <c r="B651" s="2">
        <v>44259.0</v>
      </c>
      <c r="C651" s="1" t="s">
        <v>26</v>
      </c>
      <c r="D651" s="1" t="s">
        <v>21</v>
      </c>
      <c r="E651" s="1" t="s">
        <v>37</v>
      </c>
      <c r="F651" s="1">
        <v>108.01</v>
      </c>
      <c r="G651" s="1">
        <v>-140.09</v>
      </c>
      <c r="H651" s="1">
        <v>7.0</v>
      </c>
      <c r="I651" s="1" t="s">
        <v>34</v>
      </c>
      <c r="J651" s="1" t="s">
        <v>18</v>
      </c>
      <c r="K651" s="1">
        <f t="shared" si="1"/>
        <v>2021</v>
      </c>
      <c r="L651" s="1" t="str">
        <f t="shared" si="2"/>
        <v>Mar</v>
      </c>
      <c r="M651" s="1" t="str">
        <f t="shared" si="3"/>
        <v>Loss</v>
      </c>
    </row>
    <row r="652" ht="14.25" customHeight="1">
      <c r="A652" s="1" t="s">
        <v>686</v>
      </c>
      <c r="B652" s="2">
        <v>45267.0</v>
      </c>
      <c r="C652" s="1" t="s">
        <v>14</v>
      </c>
      <c r="D652" s="1" t="s">
        <v>27</v>
      </c>
      <c r="E652" s="1" t="s">
        <v>33</v>
      </c>
      <c r="F652" s="1">
        <v>117.21</v>
      </c>
      <c r="G652" s="1">
        <v>-56.93</v>
      </c>
      <c r="H652" s="1">
        <v>3.0</v>
      </c>
      <c r="I652" s="1" t="s">
        <v>17</v>
      </c>
      <c r="J652" s="1" t="s">
        <v>35</v>
      </c>
      <c r="K652" s="1">
        <f t="shared" si="1"/>
        <v>2023</v>
      </c>
      <c r="L652" s="1" t="str">
        <f t="shared" si="2"/>
        <v>Dec</v>
      </c>
      <c r="M652" s="1" t="str">
        <f t="shared" si="3"/>
        <v>Loss</v>
      </c>
    </row>
    <row r="653" ht="14.25" customHeight="1">
      <c r="A653" s="1" t="s">
        <v>687</v>
      </c>
      <c r="B653" s="2">
        <v>44712.0</v>
      </c>
      <c r="C653" s="1" t="s">
        <v>20</v>
      </c>
      <c r="D653" s="1" t="s">
        <v>27</v>
      </c>
      <c r="E653" s="1" t="s">
        <v>33</v>
      </c>
      <c r="F653" s="1">
        <v>748.44</v>
      </c>
      <c r="G653" s="1">
        <v>165.89</v>
      </c>
      <c r="H653" s="1">
        <v>10.0</v>
      </c>
      <c r="I653" s="1" t="s">
        <v>23</v>
      </c>
      <c r="J653" s="1" t="s">
        <v>35</v>
      </c>
      <c r="K653" s="1">
        <f t="shared" si="1"/>
        <v>2022</v>
      </c>
      <c r="L653" s="1" t="str">
        <f t="shared" si="2"/>
        <v>May</v>
      </c>
      <c r="M653" s="1" t="str">
        <f t="shared" si="3"/>
        <v>Profit</v>
      </c>
    </row>
    <row r="654" ht="14.25" customHeight="1">
      <c r="A654" s="1" t="s">
        <v>688</v>
      </c>
      <c r="B654" s="2">
        <v>45210.0</v>
      </c>
      <c r="C654" s="1" t="s">
        <v>30</v>
      </c>
      <c r="D654" s="1" t="s">
        <v>15</v>
      </c>
      <c r="E654" s="1" t="s">
        <v>31</v>
      </c>
      <c r="F654" s="1">
        <v>190.64</v>
      </c>
      <c r="G654" s="1">
        <v>270.21</v>
      </c>
      <c r="H654" s="1">
        <v>6.0</v>
      </c>
      <c r="I654" s="1" t="s">
        <v>17</v>
      </c>
      <c r="J654" s="1" t="s">
        <v>24</v>
      </c>
      <c r="K654" s="1">
        <f t="shared" si="1"/>
        <v>2023</v>
      </c>
      <c r="L654" s="1" t="str">
        <f t="shared" si="2"/>
        <v>Oct</v>
      </c>
      <c r="M654" s="1" t="str">
        <f t="shared" si="3"/>
        <v>Profit</v>
      </c>
    </row>
    <row r="655" ht="14.25" customHeight="1">
      <c r="A655" s="1" t="s">
        <v>689</v>
      </c>
      <c r="B655" s="2">
        <v>44957.0</v>
      </c>
      <c r="C655" s="1" t="s">
        <v>20</v>
      </c>
      <c r="D655" s="1" t="s">
        <v>27</v>
      </c>
      <c r="E655" s="1" t="s">
        <v>33</v>
      </c>
      <c r="F655" s="1">
        <v>676.93</v>
      </c>
      <c r="G655" s="1">
        <v>-126.45</v>
      </c>
      <c r="H655" s="1">
        <v>4.0</v>
      </c>
      <c r="I655" s="1" t="s">
        <v>17</v>
      </c>
      <c r="J655" s="1" t="s">
        <v>24</v>
      </c>
      <c r="K655" s="1">
        <f t="shared" si="1"/>
        <v>2023</v>
      </c>
      <c r="L655" s="1" t="str">
        <f t="shared" si="2"/>
        <v>Jan</v>
      </c>
      <c r="M655" s="1" t="str">
        <f t="shared" si="3"/>
        <v>Loss</v>
      </c>
    </row>
    <row r="656" ht="14.25" customHeight="1">
      <c r="A656" s="1" t="s">
        <v>690</v>
      </c>
      <c r="B656" s="2">
        <v>44987.0</v>
      </c>
      <c r="C656" s="1" t="s">
        <v>30</v>
      </c>
      <c r="D656" s="1" t="s">
        <v>27</v>
      </c>
      <c r="E656" s="1" t="s">
        <v>40</v>
      </c>
      <c r="F656" s="1">
        <v>673.33</v>
      </c>
      <c r="G656" s="1">
        <v>154.13</v>
      </c>
      <c r="H656" s="1">
        <v>9.0</v>
      </c>
      <c r="I656" s="1" t="s">
        <v>17</v>
      </c>
      <c r="J656" s="1" t="s">
        <v>35</v>
      </c>
      <c r="K656" s="1">
        <f t="shared" si="1"/>
        <v>2023</v>
      </c>
      <c r="L656" s="1" t="str">
        <f t="shared" si="2"/>
        <v>Mar</v>
      </c>
      <c r="M656" s="1" t="str">
        <f t="shared" si="3"/>
        <v>Profit</v>
      </c>
    </row>
    <row r="657" ht="14.25" customHeight="1">
      <c r="A657" s="1" t="s">
        <v>691</v>
      </c>
      <c r="B657" s="2">
        <v>45153.0</v>
      </c>
      <c r="C657" s="1" t="s">
        <v>26</v>
      </c>
      <c r="D657" s="1" t="s">
        <v>15</v>
      </c>
      <c r="E657" s="1" t="s">
        <v>16</v>
      </c>
      <c r="F657" s="1">
        <v>947.6</v>
      </c>
      <c r="G657" s="1">
        <v>-139.18</v>
      </c>
      <c r="H657" s="1">
        <v>9.0</v>
      </c>
      <c r="I657" s="1" t="s">
        <v>17</v>
      </c>
      <c r="J657" s="1" t="s">
        <v>38</v>
      </c>
      <c r="K657" s="1">
        <f t="shared" si="1"/>
        <v>2023</v>
      </c>
      <c r="L657" s="1" t="str">
        <f t="shared" si="2"/>
        <v>Aug</v>
      </c>
      <c r="M657" s="1" t="str">
        <f t="shared" si="3"/>
        <v>Loss</v>
      </c>
    </row>
    <row r="658" ht="14.25" customHeight="1">
      <c r="A658" s="1" t="s">
        <v>692</v>
      </c>
      <c r="B658" s="2">
        <v>44600.0</v>
      </c>
      <c r="C658" s="1" t="s">
        <v>20</v>
      </c>
      <c r="D658" s="1" t="s">
        <v>21</v>
      </c>
      <c r="E658" s="1" t="s">
        <v>76</v>
      </c>
      <c r="F658" s="1">
        <v>396.75</v>
      </c>
      <c r="G658" s="1">
        <v>284.2</v>
      </c>
      <c r="H658" s="1">
        <v>8.0</v>
      </c>
      <c r="I658" s="1" t="s">
        <v>23</v>
      </c>
      <c r="J658" s="1" t="s">
        <v>38</v>
      </c>
      <c r="K658" s="1">
        <f t="shared" si="1"/>
        <v>2022</v>
      </c>
      <c r="L658" s="1" t="str">
        <f t="shared" si="2"/>
        <v>Feb</v>
      </c>
      <c r="M658" s="1" t="str">
        <f t="shared" si="3"/>
        <v>Profit</v>
      </c>
    </row>
    <row r="659" ht="14.25" customHeight="1">
      <c r="A659" s="1" t="s">
        <v>693</v>
      </c>
      <c r="B659" s="2">
        <v>44487.0</v>
      </c>
      <c r="C659" s="1" t="s">
        <v>14</v>
      </c>
      <c r="D659" s="1" t="s">
        <v>15</v>
      </c>
      <c r="E659" s="1" t="s">
        <v>31</v>
      </c>
      <c r="F659" s="1">
        <v>43.28</v>
      </c>
      <c r="G659" s="1">
        <v>297.96</v>
      </c>
      <c r="H659" s="1">
        <v>5.0</v>
      </c>
      <c r="I659" s="1" t="s">
        <v>17</v>
      </c>
      <c r="J659" s="1" t="s">
        <v>18</v>
      </c>
      <c r="K659" s="1">
        <f t="shared" si="1"/>
        <v>2021</v>
      </c>
      <c r="L659" s="1" t="str">
        <f t="shared" si="2"/>
        <v>Oct</v>
      </c>
      <c r="M659" s="1" t="str">
        <f t="shared" si="3"/>
        <v>Profit</v>
      </c>
    </row>
    <row r="660" ht="14.25" customHeight="1">
      <c r="A660" s="1" t="s">
        <v>694</v>
      </c>
      <c r="B660" s="2">
        <v>45229.0</v>
      </c>
      <c r="C660" s="1" t="s">
        <v>20</v>
      </c>
      <c r="D660" s="1" t="s">
        <v>15</v>
      </c>
      <c r="E660" s="1" t="s">
        <v>16</v>
      </c>
      <c r="F660" s="1">
        <v>104.52</v>
      </c>
      <c r="G660" s="1">
        <v>29.59</v>
      </c>
      <c r="H660" s="1">
        <v>8.0</v>
      </c>
      <c r="I660" s="1" t="s">
        <v>34</v>
      </c>
      <c r="J660" s="1" t="s">
        <v>38</v>
      </c>
      <c r="K660" s="1">
        <f t="shared" si="1"/>
        <v>2023</v>
      </c>
      <c r="L660" s="1" t="str">
        <f t="shared" si="2"/>
        <v>Oct</v>
      </c>
      <c r="M660" s="1" t="str">
        <f t="shared" si="3"/>
        <v>Profit</v>
      </c>
    </row>
    <row r="661" ht="14.25" customHeight="1">
      <c r="A661" s="1" t="s">
        <v>695</v>
      </c>
      <c r="B661" s="2">
        <v>45171.0</v>
      </c>
      <c r="C661" s="1" t="s">
        <v>30</v>
      </c>
      <c r="D661" s="1" t="s">
        <v>15</v>
      </c>
      <c r="E661" s="1" t="s">
        <v>54</v>
      </c>
      <c r="F661" s="1">
        <v>606.9</v>
      </c>
      <c r="G661" s="1">
        <v>228.61</v>
      </c>
      <c r="H661" s="1">
        <v>4.0</v>
      </c>
      <c r="I661" s="1" t="s">
        <v>34</v>
      </c>
      <c r="J661" s="1" t="s">
        <v>18</v>
      </c>
      <c r="K661" s="1">
        <f t="shared" si="1"/>
        <v>2023</v>
      </c>
      <c r="L661" s="1" t="str">
        <f t="shared" si="2"/>
        <v>Sep</v>
      </c>
      <c r="M661" s="1" t="str">
        <f t="shared" si="3"/>
        <v>Profit</v>
      </c>
    </row>
    <row r="662" ht="14.25" customHeight="1">
      <c r="A662" s="1" t="s">
        <v>696</v>
      </c>
      <c r="B662" s="2">
        <v>44205.0</v>
      </c>
      <c r="C662" s="1" t="s">
        <v>20</v>
      </c>
      <c r="D662" s="1" t="s">
        <v>21</v>
      </c>
      <c r="E662" s="1" t="s">
        <v>76</v>
      </c>
      <c r="F662" s="1">
        <v>344.77</v>
      </c>
      <c r="G662" s="1">
        <v>193.06</v>
      </c>
      <c r="H662" s="1">
        <v>10.0</v>
      </c>
      <c r="I662" s="1" t="s">
        <v>23</v>
      </c>
      <c r="J662" s="1" t="s">
        <v>35</v>
      </c>
      <c r="K662" s="1">
        <f t="shared" si="1"/>
        <v>2021</v>
      </c>
      <c r="L662" s="1" t="str">
        <f t="shared" si="2"/>
        <v>Jan</v>
      </c>
      <c r="M662" s="1" t="str">
        <f t="shared" si="3"/>
        <v>Profit</v>
      </c>
    </row>
    <row r="663" ht="14.25" customHeight="1">
      <c r="A663" s="1" t="s">
        <v>697</v>
      </c>
      <c r="B663" s="2">
        <v>44340.0</v>
      </c>
      <c r="C663" s="1" t="s">
        <v>14</v>
      </c>
      <c r="D663" s="1" t="s">
        <v>15</v>
      </c>
      <c r="E663" s="1" t="s">
        <v>54</v>
      </c>
      <c r="F663" s="1">
        <v>220.46</v>
      </c>
      <c r="G663" s="1">
        <v>-193.25</v>
      </c>
      <c r="H663" s="1">
        <v>4.0</v>
      </c>
      <c r="I663" s="1" t="s">
        <v>17</v>
      </c>
      <c r="J663" s="1" t="s">
        <v>18</v>
      </c>
      <c r="K663" s="1">
        <f t="shared" si="1"/>
        <v>2021</v>
      </c>
      <c r="L663" s="1" t="str">
        <f t="shared" si="2"/>
        <v>May</v>
      </c>
      <c r="M663" s="1" t="str">
        <f t="shared" si="3"/>
        <v>Loss</v>
      </c>
    </row>
    <row r="664" ht="14.25" customHeight="1">
      <c r="A664" s="1" t="s">
        <v>698</v>
      </c>
      <c r="B664" s="2">
        <v>44310.0</v>
      </c>
      <c r="C664" s="1" t="s">
        <v>30</v>
      </c>
      <c r="D664" s="1" t="s">
        <v>27</v>
      </c>
      <c r="E664" s="1" t="s">
        <v>28</v>
      </c>
      <c r="F664" s="1">
        <v>223.01</v>
      </c>
      <c r="G664" s="1">
        <v>-86.63</v>
      </c>
      <c r="H664" s="1">
        <v>10.0</v>
      </c>
      <c r="I664" s="1" t="s">
        <v>34</v>
      </c>
      <c r="J664" s="1" t="s">
        <v>35</v>
      </c>
      <c r="K664" s="1">
        <f t="shared" si="1"/>
        <v>2021</v>
      </c>
      <c r="L664" s="1" t="str">
        <f t="shared" si="2"/>
        <v>Apr</v>
      </c>
      <c r="M664" s="1" t="str">
        <f t="shared" si="3"/>
        <v>Loss</v>
      </c>
    </row>
    <row r="665" ht="14.25" customHeight="1">
      <c r="A665" s="1" t="s">
        <v>699</v>
      </c>
      <c r="B665" s="2">
        <v>45258.0</v>
      </c>
      <c r="C665" s="1" t="s">
        <v>30</v>
      </c>
      <c r="D665" s="1" t="s">
        <v>21</v>
      </c>
      <c r="E665" s="1" t="s">
        <v>22</v>
      </c>
      <c r="F665" s="1">
        <v>313.27</v>
      </c>
      <c r="G665" s="1">
        <v>-142.59</v>
      </c>
      <c r="H665" s="1">
        <v>4.0</v>
      </c>
      <c r="I665" s="1" t="s">
        <v>23</v>
      </c>
      <c r="J665" s="1" t="s">
        <v>18</v>
      </c>
      <c r="K665" s="1">
        <f t="shared" si="1"/>
        <v>2023</v>
      </c>
      <c r="L665" s="1" t="str">
        <f t="shared" si="2"/>
        <v>Nov</v>
      </c>
      <c r="M665" s="1" t="str">
        <f t="shared" si="3"/>
        <v>Loss</v>
      </c>
    </row>
    <row r="666" ht="14.25" customHeight="1">
      <c r="A666" s="1" t="s">
        <v>700</v>
      </c>
      <c r="B666" s="2">
        <v>44600.0</v>
      </c>
      <c r="C666" s="1" t="s">
        <v>14</v>
      </c>
      <c r="D666" s="1" t="s">
        <v>15</v>
      </c>
      <c r="E666" s="1" t="s">
        <v>31</v>
      </c>
      <c r="F666" s="1">
        <v>155.01</v>
      </c>
      <c r="G666" s="1">
        <v>-61.95</v>
      </c>
      <c r="H666" s="1">
        <v>6.0</v>
      </c>
      <c r="I666" s="1" t="s">
        <v>23</v>
      </c>
      <c r="J666" s="1" t="s">
        <v>24</v>
      </c>
      <c r="K666" s="1">
        <f t="shared" si="1"/>
        <v>2022</v>
      </c>
      <c r="L666" s="1" t="str">
        <f t="shared" si="2"/>
        <v>Feb</v>
      </c>
      <c r="M666" s="1" t="str">
        <f t="shared" si="3"/>
        <v>Loss</v>
      </c>
    </row>
    <row r="667" ht="14.25" customHeight="1">
      <c r="A667" s="1" t="s">
        <v>701</v>
      </c>
      <c r="B667" s="2">
        <v>45206.0</v>
      </c>
      <c r="C667" s="1" t="s">
        <v>26</v>
      </c>
      <c r="D667" s="1" t="s">
        <v>27</v>
      </c>
      <c r="E667" s="1" t="s">
        <v>28</v>
      </c>
      <c r="F667" s="1">
        <v>59.07</v>
      </c>
      <c r="G667" s="1">
        <v>285.28</v>
      </c>
      <c r="H667" s="1">
        <v>9.0</v>
      </c>
      <c r="I667" s="1" t="s">
        <v>23</v>
      </c>
      <c r="J667" s="1" t="s">
        <v>38</v>
      </c>
      <c r="K667" s="1">
        <f t="shared" si="1"/>
        <v>2023</v>
      </c>
      <c r="L667" s="1" t="str">
        <f t="shared" si="2"/>
        <v>Oct</v>
      </c>
      <c r="M667" s="1" t="str">
        <f t="shared" si="3"/>
        <v>Profit</v>
      </c>
    </row>
    <row r="668" ht="14.25" customHeight="1">
      <c r="A668" s="1" t="s">
        <v>702</v>
      </c>
      <c r="B668" s="2">
        <v>45182.0</v>
      </c>
      <c r="C668" s="1" t="s">
        <v>26</v>
      </c>
      <c r="D668" s="1" t="s">
        <v>27</v>
      </c>
      <c r="E668" s="1" t="s">
        <v>33</v>
      </c>
      <c r="F668" s="1">
        <v>121.73</v>
      </c>
      <c r="G668" s="1">
        <v>253.75</v>
      </c>
      <c r="H668" s="1">
        <v>3.0</v>
      </c>
      <c r="I668" s="1" t="s">
        <v>34</v>
      </c>
      <c r="J668" s="1" t="s">
        <v>18</v>
      </c>
      <c r="K668" s="1">
        <f t="shared" si="1"/>
        <v>2023</v>
      </c>
      <c r="L668" s="1" t="str">
        <f t="shared" si="2"/>
        <v>Sep</v>
      </c>
      <c r="M668" s="1" t="str">
        <f t="shared" si="3"/>
        <v>Profit</v>
      </c>
    </row>
    <row r="669" ht="14.25" customHeight="1">
      <c r="A669" s="1" t="s">
        <v>703</v>
      </c>
      <c r="B669" s="2">
        <v>44437.0</v>
      </c>
      <c r="C669" s="1" t="s">
        <v>20</v>
      </c>
      <c r="D669" s="1" t="s">
        <v>15</v>
      </c>
      <c r="E669" s="1" t="s">
        <v>54</v>
      </c>
      <c r="F669" s="1">
        <v>42.42</v>
      </c>
      <c r="G669" s="1">
        <v>223.14</v>
      </c>
      <c r="H669" s="1">
        <v>4.0</v>
      </c>
      <c r="I669" s="1" t="s">
        <v>17</v>
      </c>
      <c r="J669" s="1" t="s">
        <v>35</v>
      </c>
      <c r="K669" s="1">
        <f t="shared" si="1"/>
        <v>2021</v>
      </c>
      <c r="L669" s="1" t="str">
        <f t="shared" si="2"/>
        <v>Aug</v>
      </c>
      <c r="M669" s="1" t="str">
        <f t="shared" si="3"/>
        <v>Profit</v>
      </c>
    </row>
    <row r="670" ht="14.25" customHeight="1">
      <c r="A670" s="1" t="s">
        <v>704</v>
      </c>
      <c r="B670" s="2">
        <v>44536.0</v>
      </c>
      <c r="C670" s="1" t="s">
        <v>30</v>
      </c>
      <c r="D670" s="1" t="s">
        <v>21</v>
      </c>
      <c r="E670" s="1" t="s">
        <v>76</v>
      </c>
      <c r="F670" s="1">
        <v>237.45</v>
      </c>
      <c r="G670" s="1">
        <v>141.52</v>
      </c>
      <c r="H670" s="1">
        <v>7.0</v>
      </c>
      <c r="I670" s="1" t="s">
        <v>34</v>
      </c>
      <c r="J670" s="1" t="s">
        <v>24</v>
      </c>
      <c r="K670" s="1">
        <f t="shared" si="1"/>
        <v>2021</v>
      </c>
      <c r="L670" s="1" t="str">
        <f t="shared" si="2"/>
        <v>Dec</v>
      </c>
      <c r="M670" s="1" t="str">
        <f t="shared" si="3"/>
        <v>Profit</v>
      </c>
    </row>
    <row r="671" ht="14.25" customHeight="1">
      <c r="A671" s="1" t="s">
        <v>705</v>
      </c>
      <c r="B671" s="2">
        <v>44873.0</v>
      </c>
      <c r="C671" s="1" t="s">
        <v>14</v>
      </c>
      <c r="D671" s="1" t="s">
        <v>15</v>
      </c>
      <c r="E671" s="1" t="s">
        <v>16</v>
      </c>
      <c r="F671" s="1">
        <v>129.18</v>
      </c>
      <c r="G671" s="1">
        <v>136.04</v>
      </c>
      <c r="H671" s="1">
        <v>5.0</v>
      </c>
      <c r="I671" s="1" t="s">
        <v>34</v>
      </c>
      <c r="J671" s="1" t="s">
        <v>18</v>
      </c>
      <c r="K671" s="1">
        <f t="shared" si="1"/>
        <v>2022</v>
      </c>
      <c r="L671" s="1" t="str">
        <f t="shared" si="2"/>
        <v>Nov</v>
      </c>
      <c r="M671" s="1" t="str">
        <f t="shared" si="3"/>
        <v>Profit</v>
      </c>
    </row>
    <row r="672" ht="14.25" customHeight="1">
      <c r="A672" s="1" t="s">
        <v>706</v>
      </c>
      <c r="B672" s="2">
        <v>45202.0</v>
      </c>
      <c r="C672" s="1" t="s">
        <v>26</v>
      </c>
      <c r="D672" s="1" t="s">
        <v>21</v>
      </c>
      <c r="E672" s="1" t="s">
        <v>22</v>
      </c>
      <c r="F672" s="1">
        <v>489.5</v>
      </c>
      <c r="G672" s="1">
        <v>279.25</v>
      </c>
      <c r="H672" s="1">
        <v>6.0</v>
      </c>
      <c r="I672" s="1" t="s">
        <v>34</v>
      </c>
      <c r="J672" s="1" t="s">
        <v>38</v>
      </c>
      <c r="K672" s="1">
        <f t="shared" si="1"/>
        <v>2023</v>
      </c>
      <c r="L672" s="1" t="str">
        <f t="shared" si="2"/>
        <v>Oct</v>
      </c>
      <c r="M672" s="1" t="str">
        <f t="shared" si="3"/>
        <v>Profit</v>
      </c>
    </row>
    <row r="673" ht="14.25" customHeight="1">
      <c r="A673" s="1" t="s">
        <v>707</v>
      </c>
      <c r="B673" s="2">
        <v>44498.0</v>
      </c>
      <c r="C673" s="1" t="s">
        <v>20</v>
      </c>
      <c r="D673" s="1" t="s">
        <v>15</v>
      </c>
      <c r="E673" s="1" t="s">
        <v>31</v>
      </c>
      <c r="F673" s="1">
        <v>629.85</v>
      </c>
      <c r="G673" s="1">
        <v>-184.25</v>
      </c>
      <c r="H673" s="1">
        <v>8.0</v>
      </c>
      <c r="I673" s="1" t="s">
        <v>34</v>
      </c>
      <c r="J673" s="1" t="s">
        <v>35</v>
      </c>
      <c r="K673" s="1">
        <f t="shared" si="1"/>
        <v>2021</v>
      </c>
      <c r="L673" s="1" t="str">
        <f t="shared" si="2"/>
        <v>Oct</v>
      </c>
      <c r="M673" s="1" t="str">
        <f t="shared" si="3"/>
        <v>Loss</v>
      </c>
    </row>
    <row r="674" ht="14.25" customHeight="1">
      <c r="A674" s="1" t="s">
        <v>708</v>
      </c>
      <c r="B674" s="2">
        <v>45079.0</v>
      </c>
      <c r="C674" s="1" t="s">
        <v>20</v>
      </c>
      <c r="D674" s="1" t="s">
        <v>21</v>
      </c>
      <c r="E674" s="1" t="s">
        <v>22</v>
      </c>
      <c r="F674" s="1">
        <v>308.55</v>
      </c>
      <c r="G674" s="1">
        <v>156.14</v>
      </c>
      <c r="H674" s="1">
        <v>1.0</v>
      </c>
      <c r="I674" s="1" t="s">
        <v>17</v>
      </c>
      <c r="J674" s="1" t="s">
        <v>18</v>
      </c>
      <c r="K674" s="1">
        <f t="shared" si="1"/>
        <v>2023</v>
      </c>
      <c r="L674" s="1" t="str">
        <f t="shared" si="2"/>
        <v>Jun</v>
      </c>
      <c r="M674" s="1" t="str">
        <f t="shared" si="3"/>
        <v>Profit</v>
      </c>
    </row>
    <row r="675" ht="14.25" customHeight="1">
      <c r="A675" s="1" t="s">
        <v>709</v>
      </c>
      <c r="B675" s="2">
        <v>44873.0</v>
      </c>
      <c r="C675" s="1" t="s">
        <v>26</v>
      </c>
      <c r="D675" s="1" t="s">
        <v>15</v>
      </c>
      <c r="E675" s="1" t="s">
        <v>54</v>
      </c>
      <c r="F675" s="1">
        <v>654.68</v>
      </c>
      <c r="G675" s="1">
        <v>211.06</v>
      </c>
      <c r="H675" s="1">
        <v>10.0</v>
      </c>
      <c r="I675" s="1" t="s">
        <v>17</v>
      </c>
      <c r="J675" s="1" t="s">
        <v>18</v>
      </c>
      <c r="K675" s="1">
        <f t="shared" si="1"/>
        <v>2022</v>
      </c>
      <c r="L675" s="1" t="str">
        <f t="shared" si="2"/>
        <v>Nov</v>
      </c>
      <c r="M675" s="1" t="str">
        <f t="shared" si="3"/>
        <v>Profit</v>
      </c>
    </row>
    <row r="676" ht="14.25" customHeight="1">
      <c r="A676" s="1" t="s">
        <v>710</v>
      </c>
      <c r="B676" s="2">
        <v>44260.0</v>
      </c>
      <c r="C676" s="1" t="s">
        <v>30</v>
      </c>
      <c r="D676" s="1" t="s">
        <v>15</v>
      </c>
      <c r="E676" s="1" t="s">
        <v>54</v>
      </c>
      <c r="F676" s="1">
        <v>482.76</v>
      </c>
      <c r="G676" s="1">
        <v>-21.85</v>
      </c>
      <c r="H676" s="1">
        <v>7.0</v>
      </c>
      <c r="I676" s="1" t="s">
        <v>23</v>
      </c>
      <c r="J676" s="1" t="s">
        <v>35</v>
      </c>
      <c r="K676" s="1">
        <f t="shared" si="1"/>
        <v>2021</v>
      </c>
      <c r="L676" s="1" t="str">
        <f t="shared" si="2"/>
        <v>Mar</v>
      </c>
      <c r="M676" s="1" t="str">
        <f t="shared" si="3"/>
        <v>Loss</v>
      </c>
    </row>
    <row r="677" ht="14.25" customHeight="1">
      <c r="A677" s="1" t="s">
        <v>711</v>
      </c>
      <c r="B677" s="2">
        <v>45037.0</v>
      </c>
      <c r="C677" s="1" t="s">
        <v>20</v>
      </c>
      <c r="D677" s="1" t="s">
        <v>27</v>
      </c>
      <c r="E677" s="1" t="s">
        <v>33</v>
      </c>
      <c r="F677" s="1">
        <v>483.29</v>
      </c>
      <c r="G677" s="1">
        <v>-76.28</v>
      </c>
      <c r="H677" s="1">
        <v>8.0</v>
      </c>
      <c r="I677" s="1" t="s">
        <v>34</v>
      </c>
      <c r="J677" s="1" t="s">
        <v>18</v>
      </c>
      <c r="K677" s="1">
        <f t="shared" si="1"/>
        <v>2023</v>
      </c>
      <c r="L677" s="1" t="str">
        <f t="shared" si="2"/>
        <v>Apr</v>
      </c>
      <c r="M677" s="1" t="str">
        <f t="shared" si="3"/>
        <v>Loss</v>
      </c>
    </row>
    <row r="678" ht="14.25" customHeight="1">
      <c r="A678" s="1" t="s">
        <v>712</v>
      </c>
      <c r="B678" s="2">
        <v>44574.0</v>
      </c>
      <c r="C678" s="1" t="s">
        <v>30</v>
      </c>
      <c r="D678" s="1" t="s">
        <v>27</v>
      </c>
      <c r="E678" s="1" t="s">
        <v>40</v>
      </c>
      <c r="F678" s="1">
        <v>938.2</v>
      </c>
      <c r="G678" s="1">
        <v>-11.77</v>
      </c>
      <c r="H678" s="1">
        <v>1.0</v>
      </c>
      <c r="I678" s="1" t="s">
        <v>34</v>
      </c>
      <c r="J678" s="1" t="s">
        <v>18</v>
      </c>
      <c r="K678" s="1">
        <f t="shared" si="1"/>
        <v>2022</v>
      </c>
      <c r="L678" s="1" t="str">
        <f t="shared" si="2"/>
        <v>Jan</v>
      </c>
      <c r="M678" s="1" t="str">
        <f t="shared" si="3"/>
        <v>Loss</v>
      </c>
    </row>
    <row r="679" ht="14.25" customHeight="1">
      <c r="A679" s="1" t="s">
        <v>713</v>
      </c>
      <c r="B679" s="2">
        <v>44690.0</v>
      </c>
      <c r="C679" s="1" t="s">
        <v>20</v>
      </c>
      <c r="D679" s="1" t="s">
        <v>15</v>
      </c>
      <c r="E679" s="1" t="s">
        <v>54</v>
      </c>
      <c r="F679" s="1">
        <v>880.69</v>
      </c>
      <c r="G679" s="1">
        <v>21.68</v>
      </c>
      <c r="H679" s="1">
        <v>7.0</v>
      </c>
      <c r="I679" s="1" t="s">
        <v>34</v>
      </c>
      <c r="J679" s="1" t="s">
        <v>35</v>
      </c>
      <c r="K679" s="1">
        <f t="shared" si="1"/>
        <v>2022</v>
      </c>
      <c r="L679" s="1" t="str">
        <f t="shared" si="2"/>
        <v>May</v>
      </c>
      <c r="M679" s="1" t="str">
        <f t="shared" si="3"/>
        <v>Profit</v>
      </c>
    </row>
    <row r="680" ht="14.25" customHeight="1">
      <c r="A680" s="1" t="s">
        <v>714</v>
      </c>
      <c r="B680" s="2">
        <v>44680.0</v>
      </c>
      <c r="C680" s="1" t="s">
        <v>30</v>
      </c>
      <c r="D680" s="1" t="s">
        <v>15</v>
      </c>
      <c r="E680" s="1" t="s">
        <v>54</v>
      </c>
      <c r="F680" s="1">
        <v>644.8</v>
      </c>
      <c r="G680" s="1">
        <v>170.03</v>
      </c>
      <c r="H680" s="1">
        <v>1.0</v>
      </c>
      <c r="I680" s="1" t="s">
        <v>23</v>
      </c>
      <c r="J680" s="1" t="s">
        <v>24</v>
      </c>
      <c r="K680" s="1">
        <f t="shared" si="1"/>
        <v>2022</v>
      </c>
      <c r="L680" s="1" t="str">
        <f t="shared" si="2"/>
        <v>Apr</v>
      </c>
      <c r="M680" s="1" t="str">
        <f t="shared" si="3"/>
        <v>Profit</v>
      </c>
    </row>
    <row r="681" ht="14.25" customHeight="1">
      <c r="A681" s="1" t="s">
        <v>715</v>
      </c>
      <c r="B681" s="2">
        <v>44970.0</v>
      </c>
      <c r="C681" s="1" t="s">
        <v>26</v>
      </c>
      <c r="D681" s="1" t="s">
        <v>21</v>
      </c>
      <c r="E681" s="1" t="s">
        <v>37</v>
      </c>
      <c r="F681" s="1">
        <v>302.5</v>
      </c>
      <c r="G681" s="1">
        <v>-64.22</v>
      </c>
      <c r="H681" s="1">
        <v>8.0</v>
      </c>
      <c r="I681" s="1" t="s">
        <v>23</v>
      </c>
      <c r="J681" s="1" t="s">
        <v>38</v>
      </c>
      <c r="K681" s="1">
        <f t="shared" si="1"/>
        <v>2023</v>
      </c>
      <c r="L681" s="1" t="str">
        <f t="shared" si="2"/>
        <v>Feb</v>
      </c>
      <c r="M681" s="1" t="str">
        <f t="shared" si="3"/>
        <v>Loss</v>
      </c>
    </row>
    <row r="682" ht="14.25" customHeight="1">
      <c r="A682" s="1" t="s">
        <v>716</v>
      </c>
      <c r="B682" s="2">
        <v>44382.0</v>
      </c>
      <c r="C682" s="1" t="s">
        <v>30</v>
      </c>
      <c r="D682" s="1" t="s">
        <v>15</v>
      </c>
      <c r="E682" s="1" t="s">
        <v>31</v>
      </c>
      <c r="F682" s="1">
        <v>469.56</v>
      </c>
      <c r="G682" s="1">
        <v>-49.33</v>
      </c>
      <c r="H682" s="1">
        <v>7.0</v>
      </c>
      <c r="I682" s="1" t="s">
        <v>23</v>
      </c>
      <c r="J682" s="1" t="s">
        <v>35</v>
      </c>
      <c r="K682" s="1">
        <f t="shared" si="1"/>
        <v>2021</v>
      </c>
      <c r="L682" s="1" t="str">
        <f t="shared" si="2"/>
        <v>Jul</v>
      </c>
      <c r="M682" s="1" t="str">
        <f t="shared" si="3"/>
        <v>Loss</v>
      </c>
    </row>
    <row r="683" ht="14.25" customHeight="1">
      <c r="A683" s="1" t="s">
        <v>717</v>
      </c>
      <c r="B683" s="2">
        <v>45103.0</v>
      </c>
      <c r="C683" s="1" t="s">
        <v>26</v>
      </c>
      <c r="D683" s="1" t="s">
        <v>21</v>
      </c>
      <c r="E683" s="1" t="s">
        <v>37</v>
      </c>
      <c r="F683" s="1">
        <v>218.8</v>
      </c>
      <c r="G683" s="1">
        <v>269.89</v>
      </c>
      <c r="H683" s="1">
        <v>7.0</v>
      </c>
      <c r="I683" s="1" t="s">
        <v>17</v>
      </c>
      <c r="J683" s="1" t="s">
        <v>24</v>
      </c>
      <c r="K683" s="1">
        <f t="shared" si="1"/>
        <v>2023</v>
      </c>
      <c r="L683" s="1" t="str">
        <f t="shared" si="2"/>
        <v>Jun</v>
      </c>
      <c r="M683" s="1" t="str">
        <f t="shared" si="3"/>
        <v>Profit</v>
      </c>
    </row>
    <row r="684" ht="14.25" customHeight="1">
      <c r="A684" s="1" t="s">
        <v>718</v>
      </c>
      <c r="B684" s="2">
        <v>44650.0</v>
      </c>
      <c r="C684" s="1" t="s">
        <v>20</v>
      </c>
      <c r="D684" s="1" t="s">
        <v>27</v>
      </c>
      <c r="E684" s="1" t="s">
        <v>28</v>
      </c>
      <c r="F684" s="1">
        <v>494.47</v>
      </c>
      <c r="G684" s="1">
        <v>197.04</v>
      </c>
      <c r="H684" s="1">
        <v>3.0</v>
      </c>
      <c r="I684" s="1" t="s">
        <v>34</v>
      </c>
      <c r="J684" s="1" t="s">
        <v>24</v>
      </c>
      <c r="K684" s="1">
        <f t="shared" si="1"/>
        <v>2022</v>
      </c>
      <c r="L684" s="1" t="str">
        <f t="shared" si="2"/>
        <v>Mar</v>
      </c>
      <c r="M684" s="1" t="str">
        <f t="shared" si="3"/>
        <v>Profit</v>
      </c>
    </row>
    <row r="685" ht="14.25" customHeight="1">
      <c r="A685" s="1" t="s">
        <v>719</v>
      </c>
      <c r="B685" s="2">
        <v>44540.0</v>
      </c>
      <c r="C685" s="1" t="s">
        <v>30</v>
      </c>
      <c r="D685" s="1" t="s">
        <v>15</v>
      </c>
      <c r="E685" s="1" t="s">
        <v>54</v>
      </c>
      <c r="F685" s="1">
        <v>64.34</v>
      </c>
      <c r="G685" s="1">
        <v>277.77</v>
      </c>
      <c r="H685" s="1">
        <v>7.0</v>
      </c>
      <c r="I685" s="1" t="s">
        <v>34</v>
      </c>
      <c r="J685" s="1" t="s">
        <v>38</v>
      </c>
      <c r="K685" s="1">
        <f t="shared" si="1"/>
        <v>2021</v>
      </c>
      <c r="L685" s="1" t="str">
        <f t="shared" si="2"/>
        <v>Dec</v>
      </c>
      <c r="M685" s="1" t="str">
        <f t="shared" si="3"/>
        <v>Profit</v>
      </c>
    </row>
    <row r="686" ht="14.25" customHeight="1">
      <c r="A686" s="1" t="s">
        <v>720</v>
      </c>
      <c r="B686" s="2">
        <v>44700.0</v>
      </c>
      <c r="C686" s="1" t="s">
        <v>26</v>
      </c>
      <c r="D686" s="1" t="s">
        <v>15</v>
      </c>
      <c r="E686" s="1" t="s">
        <v>54</v>
      </c>
      <c r="F686" s="1">
        <v>811.18</v>
      </c>
      <c r="G686" s="1">
        <v>-15.43</v>
      </c>
      <c r="H686" s="1">
        <v>4.0</v>
      </c>
      <c r="I686" s="1" t="s">
        <v>23</v>
      </c>
      <c r="J686" s="1" t="s">
        <v>38</v>
      </c>
      <c r="K686" s="1">
        <f t="shared" si="1"/>
        <v>2022</v>
      </c>
      <c r="L686" s="1" t="str">
        <f t="shared" si="2"/>
        <v>May</v>
      </c>
      <c r="M686" s="1" t="str">
        <f t="shared" si="3"/>
        <v>Loss</v>
      </c>
    </row>
    <row r="687" ht="14.25" customHeight="1">
      <c r="A687" s="1" t="s">
        <v>721</v>
      </c>
      <c r="B687" s="2">
        <v>44821.0</v>
      </c>
      <c r="C687" s="1" t="s">
        <v>26</v>
      </c>
      <c r="D687" s="1" t="s">
        <v>27</v>
      </c>
      <c r="E687" s="1" t="s">
        <v>28</v>
      </c>
      <c r="F687" s="1">
        <v>332.08</v>
      </c>
      <c r="G687" s="1">
        <v>150.86</v>
      </c>
      <c r="H687" s="1">
        <v>10.0</v>
      </c>
      <c r="I687" s="1" t="s">
        <v>34</v>
      </c>
      <c r="J687" s="1" t="s">
        <v>18</v>
      </c>
      <c r="K687" s="1">
        <f t="shared" si="1"/>
        <v>2022</v>
      </c>
      <c r="L687" s="1" t="str">
        <f t="shared" si="2"/>
        <v>Sep</v>
      </c>
      <c r="M687" s="1" t="str">
        <f t="shared" si="3"/>
        <v>Profit</v>
      </c>
    </row>
    <row r="688" ht="14.25" customHeight="1">
      <c r="A688" s="1" t="s">
        <v>722</v>
      </c>
      <c r="B688" s="2">
        <v>44679.0</v>
      </c>
      <c r="C688" s="1" t="s">
        <v>30</v>
      </c>
      <c r="D688" s="1" t="s">
        <v>15</v>
      </c>
      <c r="E688" s="1" t="s">
        <v>31</v>
      </c>
      <c r="F688" s="1">
        <v>964.91</v>
      </c>
      <c r="G688" s="1">
        <v>-35.7</v>
      </c>
      <c r="H688" s="1">
        <v>3.0</v>
      </c>
      <c r="I688" s="1" t="s">
        <v>17</v>
      </c>
      <c r="J688" s="1" t="s">
        <v>18</v>
      </c>
      <c r="K688" s="1">
        <f t="shared" si="1"/>
        <v>2022</v>
      </c>
      <c r="L688" s="1" t="str">
        <f t="shared" si="2"/>
        <v>Apr</v>
      </c>
      <c r="M688" s="1" t="str">
        <f t="shared" si="3"/>
        <v>Loss</v>
      </c>
    </row>
    <row r="689" ht="14.25" customHeight="1">
      <c r="A689" s="1" t="s">
        <v>723</v>
      </c>
      <c r="B689" s="2">
        <v>44704.0</v>
      </c>
      <c r="C689" s="1" t="s">
        <v>30</v>
      </c>
      <c r="D689" s="1" t="s">
        <v>15</v>
      </c>
      <c r="E689" s="1" t="s">
        <v>16</v>
      </c>
      <c r="F689" s="1">
        <v>95.42</v>
      </c>
      <c r="G689" s="1">
        <v>-68.17</v>
      </c>
      <c r="H689" s="1">
        <v>9.0</v>
      </c>
      <c r="I689" s="1" t="s">
        <v>17</v>
      </c>
      <c r="J689" s="1" t="s">
        <v>35</v>
      </c>
      <c r="K689" s="1">
        <f t="shared" si="1"/>
        <v>2022</v>
      </c>
      <c r="L689" s="1" t="str">
        <f t="shared" si="2"/>
        <v>May</v>
      </c>
      <c r="M689" s="1" t="str">
        <f t="shared" si="3"/>
        <v>Loss</v>
      </c>
    </row>
    <row r="690" ht="14.25" customHeight="1">
      <c r="A690" s="1" t="s">
        <v>724</v>
      </c>
      <c r="B690" s="2">
        <v>45082.0</v>
      </c>
      <c r="C690" s="1" t="s">
        <v>14</v>
      </c>
      <c r="D690" s="1" t="s">
        <v>21</v>
      </c>
      <c r="E690" s="1" t="s">
        <v>22</v>
      </c>
      <c r="F690" s="1">
        <v>584.24</v>
      </c>
      <c r="G690" s="1">
        <v>62.96</v>
      </c>
      <c r="H690" s="1">
        <v>4.0</v>
      </c>
      <c r="I690" s="1" t="s">
        <v>23</v>
      </c>
      <c r="J690" s="1" t="s">
        <v>35</v>
      </c>
      <c r="K690" s="1">
        <f t="shared" si="1"/>
        <v>2023</v>
      </c>
      <c r="L690" s="1" t="str">
        <f t="shared" si="2"/>
        <v>Jun</v>
      </c>
      <c r="M690" s="1" t="str">
        <f t="shared" si="3"/>
        <v>Profit</v>
      </c>
    </row>
    <row r="691" ht="14.25" customHeight="1">
      <c r="A691" s="1" t="s">
        <v>725</v>
      </c>
      <c r="B691" s="2">
        <v>44208.0</v>
      </c>
      <c r="C691" s="1" t="s">
        <v>30</v>
      </c>
      <c r="D691" s="1" t="s">
        <v>21</v>
      </c>
      <c r="E691" s="1" t="s">
        <v>37</v>
      </c>
      <c r="F691" s="1">
        <v>129.2</v>
      </c>
      <c r="G691" s="1">
        <v>-144.98</v>
      </c>
      <c r="H691" s="1">
        <v>8.0</v>
      </c>
      <c r="I691" s="1" t="s">
        <v>17</v>
      </c>
      <c r="J691" s="1" t="s">
        <v>24</v>
      </c>
      <c r="K691" s="1">
        <f t="shared" si="1"/>
        <v>2021</v>
      </c>
      <c r="L691" s="1" t="str">
        <f t="shared" si="2"/>
        <v>Jan</v>
      </c>
      <c r="M691" s="1" t="str">
        <f t="shared" si="3"/>
        <v>Loss</v>
      </c>
    </row>
    <row r="692" ht="14.25" customHeight="1">
      <c r="A692" s="1" t="s">
        <v>726</v>
      </c>
      <c r="B692" s="2">
        <v>45193.0</v>
      </c>
      <c r="C692" s="1" t="s">
        <v>26</v>
      </c>
      <c r="D692" s="1" t="s">
        <v>27</v>
      </c>
      <c r="E692" s="1" t="s">
        <v>40</v>
      </c>
      <c r="F692" s="1">
        <v>88.81</v>
      </c>
      <c r="G692" s="1">
        <v>31.6</v>
      </c>
      <c r="H692" s="1">
        <v>5.0</v>
      </c>
      <c r="I692" s="1" t="s">
        <v>34</v>
      </c>
      <c r="J692" s="1" t="s">
        <v>35</v>
      </c>
      <c r="K692" s="1">
        <f t="shared" si="1"/>
        <v>2023</v>
      </c>
      <c r="L692" s="1" t="str">
        <f t="shared" si="2"/>
        <v>Sep</v>
      </c>
      <c r="M692" s="1" t="str">
        <f t="shared" si="3"/>
        <v>Profit</v>
      </c>
    </row>
    <row r="693" ht="14.25" customHeight="1">
      <c r="A693" s="1" t="s">
        <v>727</v>
      </c>
      <c r="B693" s="2">
        <v>44442.0</v>
      </c>
      <c r="C693" s="1" t="s">
        <v>20</v>
      </c>
      <c r="D693" s="1" t="s">
        <v>27</v>
      </c>
      <c r="E693" s="1" t="s">
        <v>40</v>
      </c>
      <c r="F693" s="1">
        <v>699.81</v>
      </c>
      <c r="G693" s="1">
        <v>55.25</v>
      </c>
      <c r="H693" s="1">
        <v>7.0</v>
      </c>
      <c r="I693" s="1" t="s">
        <v>23</v>
      </c>
      <c r="J693" s="1" t="s">
        <v>18</v>
      </c>
      <c r="K693" s="1">
        <f t="shared" si="1"/>
        <v>2021</v>
      </c>
      <c r="L693" s="1" t="str">
        <f t="shared" si="2"/>
        <v>Sep</v>
      </c>
      <c r="M693" s="1" t="str">
        <f t="shared" si="3"/>
        <v>Profit</v>
      </c>
    </row>
    <row r="694" ht="14.25" customHeight="1">
      <c r="A694" s="1" t="s">
        <v>728</v>
      </c>
      <c r="B694" s="2">
        <v>44879.0</v>
      </c>
      <c r="C694" s="1" t="s">
        <v>30</v>
      </c>
      <c r="D694" s="1" t="s">
        <v>21</v>
      </c>
      <c r="E694" s="1" t="s">
        <v>76</v>
      </c>
      <c r="F694" s="1">
        <v>504.27</v>
      </c>
      <c r="G694" s="1">
        <v>-126.84</v>
      </c>
      <c r="H694" s="1">
        <v>10.0</v>
      </c>
      <c r="I694" s="1" t="s">
        <v>23</v>
      </c>
      <c r="J694" s="1" t="s">
        <v>38</v>
      </c>
      <c r="K694" s="1">
        <f t="shared" si="1"/>
        <v>2022</v>
      </c>
      <c r="L694" s="1" t="str">
        <f t="shared" si="2"/>
        <v>Nov</v>
      </c>
      <c r="M694" s="1" t="str">
        <f t="shared" si="3"/>
        <v>Loss</v>
      </c>
    </row>
    <row r="695" ht="14.25" customHeight="1">
      <c r="A695" s="1" t="s">
        <v>729</v>
      </c>
      <c r="B695" s="2">
        <v>44576.0</v>
      </c>
      <c r="C695" s="1" t="s">
        <v>30</v>
      </c>
      <c r="D695" s="1" t="s">
        <v>15</v>
      </c>
      <c r="E695" s="1" t="s">
        <v>54</v>
      </c>
      <c r="F695" s="1">
        <v>914.61</v>
      </c>
      <c r="G695" s="1">
        <v>168.4</v>
      </c>
      <c r="H695" s="1">
        <v>4.0</v>
      </c>
      <c r="I695" s="1" t="s">
        <v>34</v>
      </c>
      <c r="J695" s="1" t="s">
        <v>18</v>
      </c>
      <c r="K695" s="1">
        <f t="shared" si="1"/>
        <v>2022</v>
      </c>
      <c r="L695" s="1" t="str">
        <f t="shared" si="2"/>
        <v>Jan</v>
      </c>
      <c r="M695" s="1" t="str">
        <f t="shared" si="3"/>
        <v>Profit</v>
      </c>
    </row>
    <row r="696" ht="14.25" customHeight="1">
      <c r="A696" s="1" t="s">
        <v>730</v>
      </c>
      <c r="B696" s="2">
        <v>45077.0</v>
      </c>
      <c r="C696" s="1" t="s">
        <v>14</v>
      </c>
      <c r="D696" s="1" t="s">
        <v>27</v>
      </c>
      <c r="E696" s="1" t="s">
        <v>33</v>
      </c>
      <c r="F696" s="1">
        <v>730.04</v>
      </c>
      <c r="G696" s="1">
        <v>190.55</v>
      </c>
      <c r="H696" s="1">
        <v>8.0</v>
      </c>
      <c r="I696" s="1" t="s">
        <v>23</v>
      </c>
      <c r="J696" s="1" t="s">
        <v>24</v>
      </c>
      <c r="K696" s="1">
        <f t="shared" si="1"/>
        <v>2023</v>
      </c>
      <c r="L696" s="1" t="str">
        <f t="shared" si="2"/>
        <v>May</v>
      </c>
      <c r="M696" s="1" t="str">
        <f t="shared" si="3"/>
        <v>Profit</v>
      </c>
    </row>
    <row r="697" ht="14.25" customHeight="1">
      <c r="A697" s="1" t="s">
        <v>731</v>
      </c>
      <c r="B697" s="2">
        <v>44652.0</v>
      </c>
      <c r="C697" s="1" t="s">
        <v>14</v>
      </c>
      <c r="D697" s="1" t="s">
        <v>27</v>
      </c>
      <c r="E697" s="1" t="s">
        <v>40</v>
      </c>
      <c r="F697" s="1">
        <v>490.69</v>
      </c>
      <c r="G697" s="1">
        <v>-41.74</v>
      </c>
      <c r="H697" s="1">
        <v>9.0</v>
      </c>
      <c r="I697" s="1" t="s">
        <v>34</v>
      </c>
      <c r="J697" s="1" t="s">
        <v>38</v>
      </c>
      <c r="K697" s="1">
        <f t="shared" si="1"/>
        <v>2022</v>
      </c>
      <c r="L697" s="1" t="str">
        <f t="shared" si="2"/>
        <v>Apr</v>
      </c>
      <c r="M697" s="1" t="str">
        <f t="shared" si="3"/>
        <v>Loss</v>
      </c>
    </row>
    <row r="698" ht="14.25" customHeight="1">
      <c r="A698" s="1" t="s">
        <v>732</v>
      </c>
      <c r="B698" s="2">
        <v>44484.0</v>
      </c>
      <c r="C698" s="1" t="s">
        <v>20</v>
      </c>
      <c r="D698" s="1" t="s">
        <v>27</v>
      </c>
      <c r="E698" s="1" t="s">
        <v>33</v>
      </c>
      <c r="F698" s="1">
        <v>109.28</v>
      </c>
      <c r="G698" s="1">
        <v>296.08</v>
      </c>
      <c r="H698" s="1">
        <v>7.0</v>
      </c>
      <c r="I698" s="1" t="s">
        <v>23</v>
      </c>
      <c r="J698" s="1" t="s">
        <v>24</v>
      </c>
      <c r="K698" s="1">
        <f t="shared" si="1"/>
        <v>2021</v>
      </c>
      <c r="L698" s="1" t="str">
        <f t="shared" si="2"/>
        <v>Oct</v>
      </c>
      <c r="M698" s="1" t="str">
        <f t="shared" si="3"/>
        <v>Profit</v>
      </c>
    </row>
    <row r="699" ht="14.25" customHeight="1">
      <c r="A699" s="1" t="s">
        <v>733</v>
      </c>
      <c r="B699" s="2">
        <v>45177.0</v>
      </c>
      <c r="C699" s="1" t="s">
        <v>30</v>
      </c>
      <c r="D699" s="1" t="s">
        <v>21</v>
      </c>
      <c r="E699" s="1" t="s">
        <v>37</v>
      </c>
      <c r="F699" s="1">
        <v>725.91</v>
      </c>
      <c r="G699" s="1">
        <v>-22.66</v>
      </c>
      <c r="H699" s="1">
        <v>7.0</v>
      </c>
      <c r="I699" s="1" t="s">
        <v>23</v>
      </c>
      <c r="J699" s="1" t="s">
        <v>38</v>
      </c>
      <c r="K699" s="1">
        <f t="shared" si="1"/>
        <v>2023</v>
      </c>
      <c r="L699" s="1" t="str">
        <f t="shared" si="2"/>
        <v>Sep</v>
      </c>
      <c r="M699" s="1" t="str">
        <f t="shared" si="3"/>
        <v>Loss</v>
      </c>
    </row>
    <row r="700" ht="14.25" customHeight="1">
      <c r="A700" s="1" t="s">
        <v>734</v>
      </c>
      <c r="B700" s="2">
        <v>44264.0</v>
      </c>
      <c r="C700" s="1" t="s">
        <v>30</v>
      </c>
      <c r="D700" s="1" t="s">
        <v>27</v>
      </c>
      <c r="E700" s="1" t="s">
        <v>40</v>
      </c>
      <c r="F700" s="1">
        <v>239.25</v>
      </c>
      <c r="G700" s="1">
        <v>-194.65</v>
      </c>
      <c r="H700" s="1">
        <v>1.0</v>
      </c>
      <c r="I700" s="1" t="s">
        <v>17</v>
      </c>
      <c r="J700" s="1" t="s">
        <v>38</v>
      </c>
      <c r="K700" s="1">
        <f t="shared" si="1"/>
        <v>2021</v>
      </c>
      <c r="L700" s="1" t="str">
        <f t="shared" si="2"/>
        <v>Mar</v>
      </c>
      <c r="M700" s="1" t="str">
        <f t="shared" si="3"/>
        <v>Loss</v>
      </c>
    </row>
    <row r="701" ht="14.25" customHeight="1">
      <c r="A701" s="1" t="s">
        <v>735</v>
      </c>
      <c r="B701" s="2">
        <v>44381.0</v>
      </c>
      <c r="C701" s="1" t="s">
        <v>14</v>
      </c>
      <c r="D701" s="1" t="s">
        <v>21</v>
      </c>
      <c r="E701" s="1" t="s">
        <v>22</v>
      </c>
      <c r="F701" s="1">
        <v>880.7</v>
      </c>
      <c r="G701" s="1">
        <v>-192.47</v>
      </c>
      <c r="H701" s="1">
        <v>10.0</v>
      </c>
      <c r="I701" s="1" t="s">
        <v>34</v>
      </c>
      <c r="J701" s="1" t="s">
        <v>18</v>
      </c>
      <c r="K701" s="1">
        <f t="shared" si="1"/>
        <v>2021</v>
      </c>
      <c r="L701" s="1" t="str">
        <f t="shared" si="2"/>
        <v>Jul</v>
      </c>
      <c r="M701" s="1" t="str">
        <f t="shared" si="3"/>
        <v>Loss</v>
      </c>
    </row>
    <row r="702" ht="14.25" customHeight="1">
      <c r="A702" s="1" t="s">
        <v>736</v>
      </c>
      <c r="B702" s="2">
        <v>45205.0</v>
      </c>
      <c r="C702" s="1" t="s">
        <v>20</v>
      </c>
      <c r="D702" s="1" t="s">
        <v>21</v>
      </c>
      <c r="E702" s="1" t="s">
        <v>76</v>
      </c>
      <c r="F702" s="1">
        <v>229.35</v>
      </c>
      <c r="G702" s="1">
        <v>-37.54</v>
      </c>
      <c r="H702" s="1">
        <v>9.0</v>
      </c>
      <c r="I702" s="1" t="s">
        <v>17</v>
      </c>
      <c r="J702" s="1" t="s">
        <v>35</v>
      </c>
      <c r="K702" s="1">
        <f t="shared" si="1"/>
        <v>2023</v>
      </c>
      <c r="L702" s="1" t="str">
        <f t="shared" si="2"/>
        <v>Oct</v>
      </c>
      <c r="M702" s="1" t="str">
        <f t="shared" si="3"/>
        <v>Loss</v>
      </c>
    </row>
    <row r="703" ht="14.25" customHeight="1">
      <c r="A703" s="1" t="s">
        <v>737</v>
      </c>
      <c r="B703" s="2">
        <v>44718.0</v>
      </c>
      <c r="C703" s="1" t="s">
        <v>20</v>
      </c>
      <c r="D703" s="1" t="s">
        <v>15</v>
      </c>
      <c r="E703" s="1" t="s">
        <v>31</v>
      </c>
      <c r="F703" s="1">
        <v>379.88</v>
      </c>
      <c r="G703" s="1">
        <v>30.93</v>
      </c>
      <c r="H703" s="1">
        <v>4.0</v>
      </c>
      <c r="I703" s="1" t="s">
        <v>17</v>
      </c>
      <c r="J703" s="1" t="s">
        <v>35</v>
      </c>
      <c r="K703" s="1">
        <f t="shared" si="1"/>
        <v>2022</v>
      </c>
      <c r="L703" s="1" t="str">
        <f t="shared" si="2"/>
        <v>Jun</v>
      </c>
      <c r="M703" s="1" t="str">
        <f t="shared" si="3"/>
        <v>Profit</v>
      </c>
    </row>
    <row r="704" ht="14.25" customHeight="1">
      <c r="A704" s="1" t="s">
        <v>738</v>
      </c>
      <c r="B704" s="2">
        <v>44302.0</v>
      </c>
      <c r="C704" s="1" t="s">
        <v>20</v>
      </c>
      <c r="D704" s="1" t="s">
        <v>15</v>
      </c>
      <c r="E704" s="1" t="s">
        <v>54</v>
      </c>
      <c r="F704" s="1">
        <v>351.6</v>
      </c>
      <c r="G704" s="1">
        <v>148.41</v>
      </c>
      <c r="H704" s="1">
        <v>2.0</v>
      </c>
      <c r="I704" s="1" t="s">
        <v>17</v>
      </c>
      <c r="J704" s="1" t="s">
        <v>18</v>
      </c>
      <c r="K704" s="1">
        <f t="shared" si="1"/>
        <v>2021</v>
      </c>
      <c r="L704" s="1" t="str">
        <f t="shared" si="2"/>
        <v>Apr</v>
      </c>
      <c r="M704" s="1" t="str">
        <f t="shared" si="3"/>
        <v>Profit</v>
      </c>
    </row>
    <row r="705" ht="14.25" customHeight="1">
      <c r="A705" s="1" t="s">
        <v>739</v>
      </c>
      <c r="B705" s="2">
        <v>44331.0</v>
      </c>
      <c r="C705" s="1" t="s">
        <v>30</v>
      </c>
      <c r="D705" s="1" t="s">
        <v>27</v>
      </c>
      <c r="E705" s="1" t="s">
        <v>40</v>
      </c>
      <c r="F705" s="1">
        <v>159.52</v>
      </c>
      <c r="G705" s="1">
        <v>-144.82</v>
      </c>
      <c r="H705" s="1">
        <v>5.0</v>
      </c>
      <c r="I705" s="1" t="s">
        <v>17</v>
      </c>
      <c r="J705" s="1" t="s">
        <v>18</v>
      </c>
      <c r="K705" s="1">
        <f t="shared" si="1"/>
        <v>2021</v>
      </c>
      <c r="L705" s="1" t="str">
        <f t="shared" si="2"/>
        <v>May</v>
      </c>
      <c r="M705" s="1" t="str">
        <f t="shared" si="3"/>
        <v>Loss</v>
      </c>
    </row>
    <row r="706" ht="14.25" customHeight="1">
      <c r="A706" s="1" t="s">
        <v>740</v>
      </c>
      <c r="B706" s="2">
        <v>44328.0</v>
      </c>
      <c r="C706" s="1" t="s">
        <v>14</v>
      </c>
      <c r="D706" s="1" t="s">
        <v>21</v>
      </c>
      <c r="E706" s="1" t="s">
        <v>76</v>
      </c>
      <c r="F706" s="1">
        <v>781.87</v>
      </c>
      <c r="G706" s="1">
        <v>154.38</v>
      </c>
      <c r="H706" s="1">
        <v>2.0</v>
      </c>
      <c r="I706" s="1" t="s">
        <v>17</v>
      </c>
      <c r="J706" s="1" t="s">
        <v>35</v>
      </c>
      <c r="K706" s="1">
        <f t="shared" si="1"/>
        <v>2021</v>
      </c>
      <c r="L706" s="1" t="str">
        <f t="shared" si="2"/>
        <v>May</v>
      </c>
      <c r="M706" s="1" t="str">
        <f t="shared" si="3"/>
        <v>Profit</v>
      </c>
    </row>
    <row r="707" ht="14.25" customHeight="1">
      <c r="A707" s="1" t="s">
        <v>741</v>
      </c>
      <c r="B707" s="2">
        <v>44905.0</v>
      </c>
      <c r="C707" s="1" t="s">
        <v>26</v>
      </c>
      <c r="D707" s="1" t="s">
        <v>21</v>
      </c>
      <c r="E707" s="1" t="s">
        <v>22</v>
      </c>
      <c r="F707" s="1">
        <v>251.62</v>
      </c>
      <c r="G707" s="1">
        <v>-126.59</v>
      </c>
      <c r="H707" s="1">
        <v>9.0</v>
      </c>
      <c r="I707" s="1" t="s">
        <v>17</v>
      </c>
      <c r="J707" s="1" t="s">
        <v>18</v>
      </c>
      <c r="K707" s="1">
        <f t="shared" si="1"/>
        <v>2022</v>
      </c>
      <c r="L707" s="1" t="str">
        <f t="shared" si="2"/>
        <v>Dec</v>
      </c>
      <c r="M707" s="1" t="str">
        <f t="shared" si="3"/>
        <v>Loss</v>
      </c>
    </row>
    <row r="708" ht="14.25" customHeight="1">
      <c r="A708" s="1" t="s">
        <v>742</v>
      </c>
      <c r="B708" s="2">
        <v>44255.0</v>
      </c>
      <c r="C708" s="1" t="s">
        <v>26</v>
      </c>
      <c r="D708" s="1" t="s">
        <v>21</v>
      </c>
      <c r="E708" s="1" t="s">
        <v>37</v>
      </c>
      <c r="F708" s="1">
        <v>350.62</v>
      </c>
      <c r="G708" s="1">
        <v>232.55</v>
      </c>
      <c r="H708" s="1">
        <v>5.0</v>
      </c>
      <c r="I708" s="1" t="s">
        <v>23</v>
      </c>
      <c r="J708" s="1" t="s">
        <v>24</v>
      </c>
      <c r="K708" s="1">
        <f t="shared" si="1"/>
        <v>2021</v>
      </c>
      <c r="L708" s="1" t="str">
        <f t="shared" si="2"/>
        <v>Feb</v>
      </c>
      <c r="M708" s="1" t="str">
        <f t="shared" si="3"/>
        <v>Profit</v>
      </c>
    </row>
    <row r="709" ht="14.25" customHeight="1">
      <c r="A709" s="1" t="s">
        <v>743</v>
      </c>
      <c r="B709" s="2">
        <v>44334.0</v>
      </c>
      <c r="C709" s="1" t="s">
        <v>30</v>
      </c>
      <c r="D709" s="1" t="s">
        <v>21</v>
      </c>
      <c r="E709" s="1" t="s">
        <v>22</v>
      </c>
      <c r="F709" s="1">
        <v>203.38</v>
      </c>
      <c r="G709" s="1">
        <v>118.93</v>
      </c>
      <c r="H709" s="1">
        <v>4.0</v>
      </c>
      <c r="I709" s="1" t="s">
        <v>17</v>
      </c>
      <c r="J709" s="1" t="s">
        <v>38</v>
      </c>
      <c r="K709" s="1">
        <f t="shared" si="1"/>
        <v>2021</v>
      </c>
      <c r="L709" s="1" t="str">
        <f t="shared" si="2"/>
        <v>May</v>
      </c>
      <c r="M709" s="1" t="str">
        <f t="shared" si="3"/>
        <v>Profit</v>
      </c>
    </row>
    <row r="710" ht="14.25" customHeight="1">
      <c r="A710" s="1" t="s">
        <v>744</v>
      </c>
      <c r="B710" s="2">
        <v>45050.0</v>
      </c>
      <c r="C710" s="1" t="s">
        <v>26</v>
      </c>
      <c r="D710" s="1" t="s">
        <v>15</v>
      </c>
      <c r="E710" s="1" t="s">
        <v>54</v>
      </c>
      <c r="F710" s="1">
        <v>333.66</v>
      </c>
      <c r="G710" s="1">
        <v>67.29</v>
      </c>
      <c r="H710" s="1">
        <v>2.0</v>
      </c>
      <c r="I710" s="1" t="s">
        <v>23</v>
      </c>
      <c r="J710" s="1" t="s">
        <v>18</v>
      </c>
      <c r="K710" s="1">
        <f t="shared" si="1"/>
        <v>2023</v>
      </c>
      <c r="L710" s="1" t="str">
        <f t="shared" si="2"/>
        <v>May</v>
      </c>
      <c r="M710" s="1" t="str">
        <f t="shared" si="3"/>
        <v>Profit</v>
      </c>
    </row>
    <row r="711" ht="14.25" customHeight="1">
      <c r="A711" s="1" t="s">
        <v>745</v>
      </c>
      <c r="B711" s="2">
        <v>44344.0</v>
      </c>
      <c r="C711" s="1" t="s">
        <v>26</v>
      </c>
      <c r="D711" s="1" t="s">
        <v>15</v>
      </c>
      <c r="E711" s="1" t="s">
        <v>31</v>
      </c>
      <c r="F711" s="1">
        <v>172.98</v>
      </c>
      <c r="G711" s="1">
        <v>232.85</v>
      </c>
      <c r="H711" s="1">
        <v>8.0</v>
      </c>
      <c r="I711" s="1" t="s">
        <v>23</v>
      </c>
      <c r="J711" s="1" t="s">
        <v>35</v>
      </c>
      <c r="K711" s="1">
        <f t="shared" si="1"/>
        <v>2021</v>
      </c>
      <c r="L711" s="1" t="str">
        <f t="shared" si="2"/>
        <v>May</v>
      </c>
      <c r="M711" s="1" t="str">
        <f t="shared" si="3"/>
        <v>Profit</v>
      </c>
    </row>
    <row r="712" ht="14.25" customHeight="1">
      <c r="A712" s="1" t="s">
        <v>746</v>
      </c>
      <c r="B712" s="2">
        <v>44457.0</v>
      </c>
      <c r="C712" s="1" t="s">
        <v>30</v>
      </c>
      <c r="D712" s="1" t="s">
        <v>21</v>
      </c>
      <c r="E712" s="1" t="s">
        <v>37</v>
      </c>
      <c r="F712" s="1">
        <v>113.58</v>
      </c>
      <c r="G712" s="1">
        <v>160.19</v>
      </c>
      <c r="H712" s="1">
        <v>4.0</v>
      </c>
      <c r="I712" s="1" t="s">
        <v>34</v>
      </c>
      <c r="J712" s="1" t="s">
        <v>35</v>
      </c>
      <c r="K712" s="1">
        <f t="shared" si="1"/>
        <v>2021</v>
      </c>
      <c r="L712" s="1" t="str">
        <f t="shared" si="2"/>
        <v>Sep</v>
      </c>
      <c r="M712" s="1" t="str">
        <f t="shared" si="3"/>
        <v>Profit</v>
      </c>
    </row>
    <row r="713" ht="14.25" customHeight="1">
      <c r="A713" s="1" t="s">
        <v>747</v>
      </c>
      <c r="B713" s="2">
        <v>44989.0</v>
      </c>
      <c r="C713" s="1" t="s">
        <v>26</v>
      </c>
      <c r="D713" s="1" t="s">
        <v>15</v>
      </c>
      <c r="E713" s="1" t="s">
        <v>16</v>
      </c>
      <c r="F713" s="1">
        <v>721.14</v>
      </c>
      <c r="G713" s="1">
        <v>140.86</v>
      </c>
      <c r="H713" s="1">
        <v>2.0</v>
      </c>
      <c r="I713" s="1" t="s">
        <v>34</v>
      </c>
      <c r="J713" s="1" t="s">
        <v>24</v>
      </c>
      <c r="K713" s="1">
        <f t="shared" si="1"/>
        <v>2023</v>
      </c>
      <c r="L713" s="1" t="str">
        <f t="shared" si="2"/>
        <v>Mar</v>
      </c>
      <c r="M713" s="1" t="str">
        <f t="shared" si="3"/>
        <v>Profit</v>
      </c>
    </row>
    <row r="714" ht="14.25" customHeight="1">
      <c r="A714" s="1" t="s">
        <v>748</v>
      </c>
      <c r="B714" s="2">
        <v>45224.0</v>
      </c>
      <c r="C714" s="1" t="s">
        <v>20</v>
      </c>
      <c r="D714" s="1" t="s">
        <v>21</v>
      </c>
      <c r="E714" s="1" t="s">
        <v>22</v>
      </c>
      <c r="F714" s="1">
        <v>813.13</v>
      </c>
      <c r="G714" s="1">
        <v>-55.55</v>
      </c>
      <c r="H714" s="1">
        <v>8.0</v>
      </c>
      <c r="I714" s="1" t="s">
        <v>34</v>
      </c>
      <c r="J714" s="1" t="s">
        <v>38</v>
      </c>
      <c r="K714" s="1">
        <f t="shared" si="1"/>
        <v>2023</v>
      </c>
      <c r="L714" s="1" t="str">
        <f t="shared" si="2"/>
        <v>Oct</v>
      </c>
      <c r="M714" s="1" t="str">
        <f t="shared" si="3"/>
        <v>Loss</v>
      </c>
    </row>
    <row r="715" ht="14.25" customHeight="1">
      <c r="A715" s="1" t="s">
        <v>749</v>
      </c>
      <c r="B715" s="2">
        <v>44410.0</v>
      </c>
      <c r="C715" s="1" t="s">
        <v>20</v>
      </c>
      <c r="D715" s="1" t="s">
        <v>15</v>
      </c>
      <c r="E715" s="1" t="s">
        <v>16</v>
      </c>
      <c r="F715" s="1">
        <v>423.21</v>
      </c>
      <c r="G715" s="1">
        <v>48.38</v>
      </c>
      <c r="H715" s="1">
        <v>4.0</v>
      </c>
      <c r="I715" s="1" t="s">
        <v>17</v>
      </c>
      <c r="J715" s="1" t="s">
        <v>24</v>
      </c>
      <c r="K715" s="1">
        <f t="shared" si="1"/>
        <v>2021</v>
      </c>
      <c r="L715" s="1" t="str">
        <f t="shared" si="2"/>
        <v>Aug</v>
      </c>
      <c r="M715" s="1" t="str">
        <f t="shared" si="3"/>
        <v>Profit</v>
      </c>
    </row>
    <row r="716" ht="14.25" customHeight="1">
      <c r="A716" s="1" t="s">
        <v>750</v>
      </c>
      <c r="B716" s="2">
        <v>45078.0</v>
      </c>
      <c r="C716" s="1" t="s">
        <v>14</v>
      </c>
      <c r="D716" s="1" t="s">
        <v>15</v>
      </c>
      <c r="E716" s="1" t="s">
        <v>31</v>
      </c>
      <c r="F716" s="1">
        <v>643.16</v>
      </c>
      <c r="G716" s="1">
        <v>-136.23</v>
      </c>
      <c r="H716" s="1">
        <v>1.0</v>
      </c>
      <c r="I716" s="1" t="s">
        <v>23</v>
      </c>
      <c r="J716" s="1" t="s">
        <v>18</v>
      </c>
      <c r="K716" s="1">
        <f t="shared" si="1"/>
        <v>2023</v>
      </c>
      <c r="L716" s="1" t="str">
        <f t="shared" si="2"/>
        <v>Jun</v>
      </c>
      <c r="M716" s="1" t="str">
        <f t="shared" si="3"/>
        <v>Loss</v>
      </c>
    </row>
    <row r="717" ht="14.25" customHeight="1">
      <c r="A717" s="1" t="s">
        <v>751</v>
      </c>
      <c r="B717" s="2">
        <v>44362.0</v>
      </c>
      <c r="C717" s="1" t="s">
        <v>30</v>
      </c>
      <c r="D717" s="1" t="s">
        <v>21</v>
      </c>
      <c r="E717" s="1" t="s">
        <v>37</v>
      </c>
      <c r="F717" s="1">
        <v>375.55</v>
      </c>
      <c r="G717" s="1">
        <v>-59.97</v>
      </c>
      <c r="H717" s="1">
        <v>3.0</v>
      </c>
      <c r="I717" s="1" t="s">
        <v>17</v>
      </c>
      <c r="J717" s="1" t="s">
        <v>24</v>
      </c>
      <c r="K717" s="1">
        <f t="shared" si="1"/>
        <v>2021</v>
      </c>
      <c r="L717" s="1" t="str">
        <f t="shared" si="2"/>
        <v>Jun</v>
      </c>
      <c r="M717" s="1" t="str">
        <f t="shared" si="3"/>
        <v>Loss</v>
      </c>
    </row>
    <row r="718" ht="14.25" customHeight="1">
      <c r="A718" s="1" t="s">
        <v>752</v>
      </c>
      <c r="B718" s="2">
        <v>44511.0</v>
      </c>
      <c r="C718" s="1" t="s">
        <v>14</v>
      </c>
      <c r="D718" s="1" t="s">
        <v>15</v>
      </c>
      <c r="E718" s="1" t="s">
        <v>54</v>
      </c>
      <c r="F718" s="1">
        <v>651.96</v>
      </c>
      <c r="G718" s="1">
        <v>-146.19</v>
      </c>
      <c r="H718" s="1">
        <v>4.0</v>
      </c>
      <c r="I718" s="1" t="s">
        <v>23</v>
      </c>
      <c r="J718" s="1" t="s">
        <v>38</v>
      </c>
      <c r="K718" s="1">
        <f t="shared" si="1"/>
        <v>2021</v>
      </c>
      <c r="L718" s="1" t="str">
        <f t="shared" si="2"/>
        <v>Nov</v>
      </c>
      <c r="M718" s="1" t="str">
        <f t="shared" si="3"/>
        <v>Loss</v>
      </c>
    </row>
    <row r="719" ht="14.25" customHeight="1">
      <c r="A719" s="1" t="s">
        <v>753</v>
      </c>
      <c r="B719" s="2">
        <v>44362.0</v>
      </c>
      <c r="C719" s="1" t="s">
        <v>26</v>
      </c>
      <c r="D719" s="1" t="s">
        <v>15</v>
      </c>
      <c r="E719" s="1" t="s">
        <v>54</v>
      </c>
      <c r="F719" s="1">
        <v>158.49</v>
      </c>
      <c r="G719" s="1">
        <v>-43.65</v>
      </c>
      <c r="H719" s="1">
        <v>7.0</v>
      </c>
      <c r="I719" s="1" t="s">
        <v>34</v>
      </c>
      <c r="J719" s="1" t="s">
        <v>18</v>
      </c>
      <c r="K719" s="1">
        <f t="shared" si="1"/>
        <v>2021</v>
      </c>
      <c r="L719" s="1" t="str">
        <f t="shared" si="2"/>
        <v>Jun</v>
      </c>
      <c r="M719" s="1" t="str">
        <f t="shared" si="3"/>
        <v>Loss</v>
      </c>
    </row>
    <row r="720" ht="14.25" customHeight="1">
      <c r="A720" s="1" t="s">
        <v>754</v>
      </c>
      <c r="B720" s="2">
        <v>44774.0</v>
      </c>
      <c r="C720" s="1" t="s">
        <v>30</v>
      </c>
      <c r="D720" s="1" t="s">
        <v>27</v>
      </c>
      <c r="E720" s="1" t="s">
        <v>28</v>
      </c>
      <c r="F720" s="1">
        <v>440.28</v>
      </c>
      <c r="G720" s="1">
        <v>75.46</v>
      </c>
      <c r="H720" s="1">
        <v>6.0</v>
      </c>
      <c r="I720" s="1" t="s">
        <v>34</v>
      </c>
      <c r="J720" s="1" t="s">
        <v>24</v>
      </c>
      <c r="K720" s="1">
        <f t="shared" si="1"/>
        <v>2022</v>
      </c>
      <c r="L720" s="1" t="str">
        <f t="shared" si="2"/>
        <v>Aug</v>
      </c>
      <c r="M720" s="1" t="str">
        <f t="shared" si="3"/>
        <v>Profit</v>
      </c>
    </row>
    <row r="721" ht="14.25" customHeight="1">
      <c r="A721" s="1" t="s">
        <v>755</v>
      </c>
      <c r="B721" s="2">
        <v>45118.0</v>
      </c>
      <c r="C721" s="1" t="s">
        <v>14</v>
      </c>
      <c r="D721" s="1" t="s">
        <v>21</v>
      </c>
      <c r="E721" s="1" t="s">
        <v>76</v>
      </c>
      <c r="F721" s="1">
        <v>759.94</v>
      </c>
      <c r="G721" s="1">
        <v>141.36</v>
      </c>
      <c r="H721" s="1">
        <v>6.0</v>
      </c>
      <c r="I721" s="1" t="s">
        <v>17</v>
      </c>
      <c r="J721" s="1" t="s">
        <v>38</v>
      </c>
      <c r="K721" s="1">
        <f t="shared" si="1"/>
        <v>2023</v>
      </c>
      <c r="L721" s="1" t="str">
        <f t="shared" si="2"/>
        <v>Jul</v>
      </c>
      <c r="M721" s="1" t="str">
        <f t="shared" si="3"/>
        <v>Profit</v>
      </c>
    </row>
    <row r="722" ht="14.25" customHeight="1">
      <c r="A722" s="1" t="s">
        <v>756</v>
      </c>
      <c r="B722" s="2">
        <v>44297.0</v>
      </c>
      <c r="C722" s="1" t="s">
        <v>26</v>
      </c>
      <c r="D722" s="1" t="s">
        <v>27</v>
      </c>
      <c r="E722" s="1" t="s">
        <v>28</v>
      </c>
      <c r="F722" s="1">
        <v>20.17</v>
      </c>
      <c r="G722" s="1">
        <v>195.62</v>
      </c>
      <c r="H722" s="1">
        <v>10.0</v>
      </c>
      <c r="I722" s="1" t="s">
        <v>17</v>
      </c>
      <c r="J722" s="1" t="s">
        <v>35</v>
      </c>
      <c r="K722" s="1">
        <f t="shared" si="1"/>
        <v>2021</v>
      </c>
      <c r="L722" s="1" t="str">
        <f t="shared" si="2"/>
        <v>Apr</v>
      </c>
      <c r="M722" s="1" t="str">
        <f t="shared" si="3"/>
        <v>Profit</v>
      </c>
    </row>
    <row r="723" ht="14.25" customHeight="1">
      <c r="A723" s="1" t="s">
        <v>757</v>
      </c>
      <c r="B723" s="2">
        <v>44714.0</v>
      </c>
      <c r="C723" s="1" t="s">
        <v>20</v>
      </c>
      <c r="D723" s="1" t="s">
        <v>21</v>
      </c>
      <c r="E723" s="1" t="s">
        <v>22</v>
      </c>
      <c r="F723" s="1">
        <v>681.28</v>
      </c>
      <c r="G723" s="1">
        <v>-113.03</v>
      </c>
      <c r="H723" s="1">
        <v>5.0</v>
      </c>
      <c r="I723" s="1" t="s">
        <v>23</v>
      </c>
      <c r="J723" s="1" t="s">
        <v>24</v>
      </c>
      <c r="K723" s="1">
        <f t="shared" si="1"/>
        <v>2022</v>
      </c>
      <c r="L723" s="1" t="str">
        <f t="shared" si="2"/>
        <v>Jun</v>
      </c>
      <c r="M723" s="1" t="str">
        <f t="shared" si="3"/>
        <v>Loss</v>
      </c>
    </row>
    <row r="724" ht="14.25" customHeight="1">
      <c r="A724" s="1" t="s">
        <v>758</v>
      </c>
      <c r="B724" s="2">
        <v>44223.0</v>
      </c>
      <c r="C724" s="1" t="s">
        <v>26</v>
      </c>
      <c r="D724" s="1" t="s">
        <v>21</v>
      </c>
      <c r="E724" s="1" t="s">
        <v>37</v>
      </c>
      <c r="F724" s="1">
        <v>243.88</v>
      </c>
      <c r="G724" s="1">
        <v>-115.45</v>
      </c>
      <c r="H724" s="1">
        <v>9.0</v>
      </c>
      <c r="I724" s="1" t="s">
        <v>17</v>
      </c>
      <c r="J724" s="1" t="s">
        <v>18</v>
      </c>
      <c r="K724" s="1">
        <f t="shared" si="1"/>
        <v>2021</v>
      </c>
      <c r="L724" s="1" t="str">
        <f t="shared" si="2"/>
        <v>Jan</v>
      </c>
      <c r="M724" s="1" t="str">
        <f t="shared" si="3"/>
        <v>Loss</v>
      </c>
    </row>
    <row r="725" ht="14.25" customHeight="1">
      <c r="A725" s="1" t="s">
        <v>759</v>
      </c>
      <c r="B725" s="2">
        <v>44779.0</v>
      </c>
      <c r="C725" s="1" t="s">
        <v>20</v>
      </c>
      <c r="D725" s="1" t="s">
        <v>15</v>
      </c>
      <c r="E725" s="1" t="s">
        <v>54</v>
      </c>
      <c r="F725" s="1">
        <v>608.89</v>
      </c>
      <c r="G725" s="1">
        <v>277.3</v>
      </c>
      <c r="H725" s="1">
        <v>4.0</v>
      </c>
      <c r="I725" s="1" t="s">
        <v>34</v>
      </c>
      <c r="J725" s="1" t="s">
        <v>18</v>
      </c>
      <c r="K725" s="1">
        <f t="shared" si="1"/>
        <v>2022</v>
      </c>
      <c r="L725" s="1" t="str">
        <f t="shared" si="2"/>
        <v>Aug</v>
      </c>
      <c r="M725" s="1" t="str">
        <f t="shared" si="3"/>
        <v>Profit</v>
      </c>
    </row>
    <row r="726" ht="14.25" customHeight="1">
      <c r="A726" s="1" t="s">
        <v>760</v>
      </c>
      <c r="B726" s="2">
        <v>44389.0</v>
      </c>
      <c r="C726" s="1" t="s">
        <v>26</v>
      </c>
      <c r="D726" s="1" t="s">
        <v>15</v>
      </c>
      <c r="E726" s="1" t="s">
        <v>16</v>
      </c>
      <c r="F726" s="1">
        <v>789.27</v>
      </c>
      <c r="G726" s="1">
        <v>156.04</v>
      </c>
      <c r="H726" s="1">
        <v>5.0</v>
      </c>
      <c r="I726" s="1" t="s">
        <v>23</v>
      </c>
      <c r="J726" s="1" t="s">
        <v>38</v>
      </c>
      <c r="K726" s="1">
        <f t="shared" si="1"/>
        <v>2021</v>
      </c>
      <c r="L726" s="1" t="str">
        <f t="shared" si="2"/>
        <v>Jul</v>
      </c>
      <c r="M726" s="1" t="str">
        <f t="shared" si="3"/>
        <v>Profit</v>
      </c>
    </row>
    <row r="727" ht="14.25" customHeight="1">
      <c r="A727" s="1" t="s">
        <v>761</v>
      </c>
      <c r="B727" s="2">
        <v>44197.0</v>
      </c>
      <c r="C727" s="1" t="s">
        <v>14</v>
      </c>
      <c r="D727" s="1" t="s">
        <v>27</v>
      </c>
      <c r="E727" s="1" t="s">
        <v>28</v>
      </c>
      <c r="F727" s="1">
        <v>659.76</v>
      </c>
      <c r="G727" s="1">
        <v>-30.93</v>
      </c>
      <c r="H727" s="1">
        <v>10.0</v>
      </c>
      <c r="I727" s="1" t="s">
        <v>23</v>
      </c>
      <c r="J727" s="1" t="s">
        <v>38</v>
      </c>
      <c r="K727" s="1">
        <f t="shared" si="1"/>
        <v>2021</v>
      </c>
      <c r="L727" s="1" t="str">
        <f t="shared" si="2"/>
        <v>Jan</v>
      </c>
      <c r="M727" s="1" t="str">
        <f t="shared" si="3"/>
        <v>Loss</v>
      </c>
    </row>
    <row r="728" ht="14.25" customHeight="1">
      <c r="A728" s="1" t="s">
        <v>762</v>
      </c>
      <c r="B728" s="2">
        <v>45230.0</v>
      </c>
      <c r="C728" s="1" t="s">
        <v>30</v>
      </c>
      <c r="D728" s="1" t="s">
        <v>27</v>
      </c>
      <c r="E728" s="1" t="s">
        <v>40</v>
      </c>
      <c r="F728" s="1">
        <v>475.85</v>
      </c>
      <c r="G728" s="1">
        <v>-124.29</v>
      </c>
      <c r="H728" s="1">
        <v>3.0</v>
      </c>
      <c r="I728" s="1" t="s">
        <v>23</v>
      </c>
      <c r="J728" s="1" t="s">
        <v>24</v>
      </c>
      <c r="K728" s="1">
        <f t="shared" si="1"/>
        <v>2023</v>
      </c>
      <c r="L728" s="1" t="str">
        <f t="shared" si="2"/>
        <v>Oct</v>
      </c>
      <c r="M728" s="1" t="str">
        <f t="shared" si="3"/>
        <v>Loss</v>
      </c>
    </row>
    <row r="729" ht="14.25" customHeight="1">
      <c r="A729" s="1" t="s">
        <v>763</v>
      </c>
      <c r="B729" s="2">
        <v>45194.0</v>
      </c>
      <c r="C729" s="1" t="s">
        <v>14</v>
      </c>
      <c r="D729" s="1" t="s">
        <v>27</v>
      </c>
      <c r="E729" s="1" t="s">
        <v>40</v>
      </c>
      <c r="F729" s="1">
        <v>119.66</v>
      </c>
      <c r="G729" s="1">
        <v>-156.96</v>
      </c>
      <c r="H729" s="1">
        <v>10.0</v>
      </c>
      <c r="I729" s="1" t="s">
        <v>17</v>
      </c>
      <c r="J729" s="1" t="s">
        <v>35</v>
      </c>
      <c r="K729" s="1">
        <f t="shared" si="1"/>
        <v>2023</v>
      </c>
      <c r="L729" s="1" t="str">
        <f t="shared" si="2"/>
        <v>Sep</v>
      </c>
      <c r="M729" s="1" t="str">
        <f t="shared" si="3"/>
        <v>Loss</v>
      </c>
    </row>
    <row r="730" ht="14.25" customHeight="1">
      <c r="A730" s="1" t="s">
        <v>764</v>
      </c>
      <c r="B730" s="2">
        <v>44827.0</v>
      </c>
      <c r="C730" s="1" t="s">
        <v>26</v>
      </c>
      <c r="D730" s="1" t="s">
        <v>27</v>
      </c>
      <c r="E730" s="1" t="s">
        <v>28</v>
      </c>
      <c r="F730" s="1">
        <v>545.96</v>
      </c>
      <c r="G730" s="1">
        <v>-51.74</v>
      </c>
      <c r="H730" s="1">
        <v>8.0</v>
      </c>
      <c r="I730" s="1" t="s">
        <v>34</v>
      </c>
      <c r="J730" s="1" t="s">
        <v>38</v>
      </c>
      <c r="K730" s="1">
        <f t="shared" si="1"/>
        <v>2022</v>
      </c>
      <c r="L730" s="1" t="str">
        <f t="shared" si="2"/>
        <v>Sep</v>
      </c>
      <c r="M730" s="1" t="str">
        <f t="shared" si="3"/>
        <v>Loss</v>
      </c>
    </row>
    <row r="731" ht="14.25" customHeight="1">
      <c r="A731" s="1" t="s">
        <v>765</v>
      </c>
      <c r="B731" s="2">
        <v>44920.0</v>
      </c>
      <c r="C731" s="1" t="s">
        <v>30</v>
      </c>
      <c r="D731" s="1" t="s">
        <v>21</v>
      </c>
      <c r="E731" s="1" t="s">
        <v>22</v>
      </c>
      <c r="F731" s="1">
        <v>229.29</v>
      </c>
      <c r="G731" s="1">
        <v>-174.0</v>
      </c>
      <c r="H731" s="1">
        <v>6.0</v>
      </c>
      <c r="I731" s="1" t="s">
        <v>17</v>
      </c>
      <c r="J731" s="1" t="s">
        <v>35</v>
      </c>
      <c r="K731" s="1">
        <f t="shared" si="1"/>
        <v>2022</v>
      </c>
      <c r="L731" s="1" t="str">
        <f t="shared" si="2"/>
        <v>Dec</v>
      </c>
      <c r="M731" s="1" t="str">
        <f t="shared" si="3"/>
        <v>Loss</v>
      </c>
    </row>
    <row r="732" ht="14.25" customHeight="1">
      <c r="A732" s="1" t="s">
        <v>766</v>
      </c>
      <c r="B732" s="2">
        <v>44589.0</v>
      </c>
      <c r="C732" s="1" t="s">
        <v>20</v>
      </c>
      <c r="D732" s="1" t="s">
        <v>27</v>
      </c>
      <c r="E732" s="1" t="s">
        <v>33</v>
      </c>
      <c r="F732" s="1">
        <v>700.38</v>
      </c>
      <c r="G732" s="1">
        <v>14.72</v>
      </c>
      <c r="H732" s="1">
        <v>5.0</v>
      </c>
      <c r="I732" s="1" t="s">
        <v>23</v>
      </c>
      <c r="J732" s="1" t="s">
        <v>24</v>
      </c>
      <c r="K732" s="1">
        <f t="shared" si="1"/>
        <v>2022</v>
      </c>
      <c r="L732" s="1" t="str">
        <f t="shared" si="2"/>
        <v>Jan</v>
      </c>
      <c r="M732" s="1" t="str">
        <f t="shared" si="3"/>
        <v>Profit</v>
      </c>
    </row>
    <row r="733" ht="14.25" customHeight="1">
      <c r="A733" s="1" t="s">
        <v>767</v>
      </c>
      <c r="B733" s="2">
        <v>45122.0</v>
      </c>
      <c r="C733" s="1" t="s">
        <v>20</v>
      </c>
      <c r="D733" s="1" t="s">
        <v>21</v>
      </c>
      <c r="E733" s="1" t="s">
        <v>76</v>
      </c>
      <c r="F733" s="1">
        <v>442.6</v>
      </c>
      <c r="G733" s="1">
        <v>147.68</v>
      </c>
      <c r="H733" s="1">
        <v>9.0</v>
      </c>
      <c r="I733" s="1" t="s">
        <v>34</v>
      </c>
      <c r="J733" s="1" t="s">
        <v>24</v>
      </c>
      <c r="K733" s="1">
        <f t="shared" si="1"/>
        <v>2023</v>
      </c>
      <c r="L733" s="1" t="str">
        <f t="shared" si="2"/>
        <v>Jul</v>
      </c>
      <c r="M733" s="1" t="str">
        <f t="shared" si="3"/>
        <v>Profit</v>
      </c>
    </row>
    <row r="734" ht="14.25" customHeight="1">
      <c r="A734" s="1" t="s">
        <v>768</v>
      </c>
      <c r="B734" s="2">
        <v>44367.0</v>
      </c>
      <c r="C734" s="1" t="s">
        <v>26</v>
      </c>
      <c r="D734" s="1" t="s">
        <v>21</v>
      </c>
      <c r="E734" s="1" t="s">
        <v>37</v>
      </c>
      <c r="F734" s="1">
        <v>573.28</v>
      </c>
      <c r="G734" s="1">
        <v>-23.84</v>
      </c>
      <c r="H734" s="1">
        <v>9.0</v>
      </c>
      <c r="I734" s="1" t="s">
        <v>34</v>
      </c>
      <c r="J734" s="1" t="s">
        <v>24</v>
      </c>
      <c r="K734" s="1">
        <f t="shared" si="1"/>
        <v>2021</v>
      </c>
      <c r="L734" s="1" t="str">
        <f t="shared" si="2"/>
        <v>Jun</v>
      </c>
      <c r="M734" s="1" t="str">
        <f t="shared" si="3"/>
        <v>Loss</v>
      </c>
    </row>
    <row r="735" ht="14.25" customHeight="1">
      <c r="A735" s="1" t="s">
        <v>769</v>
      </c>
      <c r="B735" s="2">
        <v>44483.0</v>
      </c>
      <c r="C735" s="1" t="s">
        <v>30</v>
      </c>
      <c r="D735" s="1" t="s">
        <v>15</v>
      </c>
      <c r="E735" s="1" t="s">
        <v>54</v>
      </c>
      <c r="F735" s="1">
        <v>404.76</v>
      </c>
      <c r="G735" s="1">
        <v>-3.35</v>
      </c>
      <c r="H735" s="1">
        <v>6.0</v>
      </c>
      <c r="I735" s="1" t="s">
        <v>23</v>
      </c>
      <c r="J735" s="1" t="s">
        <v>24</v>
      </c>
      <c r="K735" s="1">
        <f t="shared" si="1"/>
        <v>2021</v>
      </c>
      <c r="L735" s="1" t="str">
        <f t="shared" si="2"/>
        <v>Oct</v>
      </c>
      <c r="M735" s="1" t="str">
        <f t="shared" si="3"/>
        <v>Loss</v>
      </c>
    </row>
    <row r="736" ht="14.25" customHeight="1">
      <c r="A736" s="1" t="s">
        <v>770</v>
      </c>
      <c r="B736" s="2">
        <v>44309.0</v>
      </c>
      <c r="C736" s="1" t="s">
        <v>14</v>
      </c>
      <c r="D736" s="1" t="s">
        <v>15</v>
      </c>
      <c r="E736" s="1" t="s">
        <v>54</v>
      </c>
      <c r="F736" s="1">
        <v>159.37</v>
      </c>
      <c r="G736" s="1">
        <v>-75.77</v>
      </c>
      <c r="H736" s="1">
        <v>5.0</v>
      </c>
      <c r="I736" s="1" t="s">
        <v>34</v>
      </c>
      <c r="J736" s="1" t="s">
        <v>24</v>
      </c>
      <c r="K736" s="1">
        <f t="shared" si="1"/>
        <v>2021</v>
      </c>
      <c r="L736" s="1" t="str">
        <f t="shared" si="2"/>
        <v>Apr</v>
      </c>
      <c r="M736" s="1" t="str">
        <f t="shared" si="3"/>
        <v>Loss</v>
      </c>
    </row>
    <row r="737" ht="14.25" customHeight="1">
      <c r="A737" s="1" t="s">
        <v>771</v>
      </c>
      <c r="B737" s="2">
        <v>45095.0</v>
      </c>
      <c r="C737" s="1" t="s">
        <v>14</v>
      </c>
      <c r="D737" s="1" t="s">
        <v>21</v>
      </c>
      <c r="E737" s="1" t="s">
        <v>76</v>
      </c>
      <c r="F737" s="1">
        <v>140.46</v>
      </c>
      <c r="G737" s="1">
        <v>37.99</v>
      </c>
      <c r="H737" s="1">
        <v>4.0</v>
      </c>
      <c r="I737" s="1" t="s">
        <v>23</v>
      </c>
      <c r="J737" s="1" t="s">
        <v>24</v>
      </c>
      <c r="K737" s="1">
        <f t="shared" si="1"/>
        <v>2023</v>
      </c>
      <c r="L737" s="1" t="str">
        <f t="shared" si="2"/>
        <v>Jun</v>
      </c>
      <c r="M737" s="1" t="str">
        <f t="shared" si="3"/>
        <v>Profit</v>
      </c>
    </row>
    <row r="738" ht="14.25" customHeight="1">
      <c r="A738" s="1" t="s">
        <v>772</v>
      </c>
      <c r="B738" s="2">
        <v>44420.0</v>
      </c>
      <c r="C738" s="1" t="s">
        <v>26</v>
      </c>
      <c r="D738" s="1" t="s">
        <v>15</v>
      </c>
      <c r="E738" s="1" t="s">
        <v>16</v>
      </c>
      <c r="F738" s="1">
        <v>612.76</v>
      </c>
      <c r="G738" s="1">
        <v>-165.58</v>
      </c>
      <c r="H738" s="1">
        <v>4.0</v>
      </c>
      <c r="I738" s="1" t="s">
        <v>34</v>
      </c>
      <c r="J738" s="1" t="s">
        <v>18</v>
      </c>
      <c r="K738" s="1">
        <f t="shared" si="1"/>
        <v>2021</v>
      </c>
      <c r="L738" s="1" t="str">
        <f t="shared" si="2"/>
        <v>Aug</v>
      </c>
      <c r="M738" s="1" t="str">
        <f t="shared" si="3"/>
        <v>Loss</v>
      </c>
    </row>
    <row r="739" ht="14.25" customHeight="1">
      <c r="A739" s="1" t="s">
        <v>773</v>
      </c>
      <c r="B739" s="2">
        <v>44689.0</v>
      </c>
      <c r="C739" s="1" t="s">
        <v>30</v>
      </c>
      <c r="D739" s="1" t="s">
        <v>15</v>
      </c>
      <c r="E739" s="1" t="s">
        <v>31</v>
      </c>
      <c r="F739" s="1">
        <v>486.83</v>
      </c>
      <c r="G739" s="1">
        <v>-5.12</v>
      </c>
      <c r="H739" s="1">
        <v>4.0</v>
      </c>
      <c r="I739" s="1" t="s">
        <v>17</v>
      </c>
      <c r="J739" s="1" t="s">
        <v>35</v>
      </c>
      <c r="K739" s="1">
        <f t="shared" si="1"/>
        <v>2022</v>
      </c>
      <c r="L739" s="1" t="str">
        <f t="shared" si="2"/>
        <v>May</v>
      </c>
      <c r="M739" s="1" t="str">
        <f t="shared" si="3"/>
        <v>Loss</v>
      </c>
    </row>
    <row r="740" ht="14.25" customHeight="1">
      <c r="A740" s="1" t="s">
        <v>774</v>
      </c>
      <c r="B740" s="2">
        <v>44944.0</v>
      </c>
      <c r="C740" s="1" t="s">
        <v>20</v>
      </c>
      <c r="D740" s="1" t="s">
        <v>21</v>
      </c>
      <c r="E740" s="1" t="s">
        <v>76</v>
      </c>
      <c r="F740" s="1">
        <v>58.18</v>
      </c>
      <c r="G740" s="1">
        <v>-22.51</v>
      </c>
      <c r="H740" s="1">
        <v>4.0</v>
      </c>
      <c r="I740" s="1" t="s">
        <v>34</v>
      </c>
      <c r="J740" s="1" t="s">
        <v>18</v>
      </c>
      <c r="K740" s="1">
        <f t="shared" si="1"/>
        <v>2023</v>
      </c>
      <c r="L740" s="1" t="str">
        <f t="shared" si="2"/>
        <v>Jan</v>
      </c>
      <c r="M740" s="1" t="str">
        <f t="shared" si="3"/>
        <v>Loss</v>
      </c>
    </row>
    <row r="741" ht="14.25" customHeight="1">
      <c r="A741" s="1" t="s">
        <v>775</v>
      </c>
      <c r="B741" s="2">
        <v>45105.0</v>
      </c>
      <c r="C741" s="1" t="s">
        <v>20</v>
      </c>
      <c r="D741" s="1" t="s">
        <v>27</v>
      </c>
      <c r="E741" s="1" t="s">
        <v>28</v>
      </c>
      <c r="F741" s="1">
        <v>140.45</v>
      </c>
      <c r="G741" s="1">
        <v>133.19</v>
      </c>
      <c r="H741" s="1">
        <v>9.0</v>
      </c>
      <c r="I741" s="1" t="s">
        <v>23</v>
      </c>
      <c r="J741" s="1" t="s">
        <v>24</v>
      </c>
      <c r="K741" s="1">
        <f t="shared" si="1"/>
        <v>2023</v>
      </c>
      <c r="L741" s="1" t="str">
        <f t="shared" si="2"/>
        <v>Jun</v>
      </c>
      <c r="M741" s="1" t="str">
        <f t="shared" si="3"/>
        <v>Profit</v>
      </c>
    </row>
    <row r="742" ht="14.25" customHeight="1">
      <c r="A742" s="1" t="s">
        <v>776</v>
      </c>
      <c r="B742" s="2">
        <v>45267.0</v>
      </c>
      <c r="C742" s="1" t="s">
        <v>20</v>
      </c>
      <c r="D742" s="1" t="s">
        <v>15</v>
      </c>
      <c r="E742" s="1" t="s">
        <v>54</v>
      </c>
      <c r="F742" s="1">
        <v>581.79</v>
      </c>
      <c r="G742" s="1">
        <v>-53.85</v>
      </c>
      <c r="H742" s="1">
        <v>9.0</v>
      </c>
      <c r="I742" s="1" t="s">
        <v>34</v>
      </c>
      <c r="J742" s="1" t="s">
        <v>24</v>
      </c>
      <c r="K742" s="1">
        <f t="shared" si="1"/>
        <v>2023</v>
      </c>
      <c r="L742" s="1" t="str">
        <f t="shared" si="2"/>
        <v>Dec</v>
      </c>
      <c r="M742" s="1" t="str">
        <f t="shared" si="3"/>
        <v>Loss</v>
      </c>
    </row>
    <row r="743" ht="14.25" customHeight="1">
      <c r="A743" s="1" t="s">
        <v>777</v>
      </c>
      <c r="B743" s="2">
        <v>45226.0</v>
      </c>
      <c r="C743" s="1" t="s">
        <v>14</v>
      </c>
      <c r="D743" s="1" t="s">
        <v>21</v>
      </c>
      <c r="E743" s="1" t="s">
        <v>22</v>
      </c>
      <c r="F743" s="1">
        <v>487.85</v>
      </c>
      <c r="G743" s="1">
        <v>112.15</v>
      </c>
      <c r="H743" s="1">
        <v>1.0</v>
      </c>
      <c r="I743" s="1" t="s">
        <v>17</v>
      </c>
      <c r="J743" s="1" t="s">
        <v>38</v>
      </c>
      <c r="K743" s="1">
        <f t="shared" si="1"/>
        <v>2023</v>
      </c>
      <c r="L743" s="1" t="str">
        <f t="shared" si="2"/>
        <v>Oct</v>
      </c>
      <c r="M743" s="1" t="str">
        <f t="shared" si="3"/>
        <v>Profit</v>
      </c>
    </row>
    <row r="744" ht="14.25" customHeight="1">
      <c r="A744" s="1" t="s">
        <v>778</v>
      </c>
      <c r="B744" s="2">
        <v>44925.0</v>
      </c>
      <c r="C744" s="1" t="s">
        <v>20</v>
      </c>
      <c r="D744" s="1" t="s">
        <v>15</v>
      </c>
      <c r="E744" s="1" t="s">
        <v>31</v>
      </c>
      <c r="F744" s="1">
        <v>152.28</v>
      </c>
      <c r="G744" s="1">
        <v>-6.53</v>
      </c>
      <c r="H744" s="1">
        <v>3.0</v>
      </c>
      <c r="I744" s="1" t="s">
        <v>17</v>
      </c>
      <c r="J744" s="1" t="s">
        <v>38</v>
      </c>
      <c r="K744" s="1">
        <f t="shared" si="1"/>
        <v>2022</v>
      </c>
      <c r="L744" s="1" t="str">
        <f t="shared" si="2"/>
        <v>Dec</v>
      </c>
      <c r="M744" s="1" t="str">
        <f t="shared" si="3"/>
        <v>Loss</v>
      </c>
    </row>
    <row r="745" ht="14.25" customHeight="1">
      <c r="A745" s="1" t="s">
        <v>779</v>
      </c>
      <c r="B745" s="2">
        <v>44860.0</v>
      </c>
      <c r="C745" s="1" t="s">
        <v>20</v>
      </c>
      <c r="D745" s="1" t="s">
        <v>27</v>
      </c>
      <c r="E745" s="1" t="s">
        <v>28</v>
      </c>
      <c r="F745" s="1">
        <v>146.21</v>
      </c>
      <c r="G745" s="1">
        <v>-134.94</v>
      </c>
      <c r="H745" s="1">
        <v>9.0</v>
      </c>
      <c r="I745" s="1" t="s">
        <v>17</v>
      </c>
      <c r="J745" s="1" t="s">
        <v>24</v>
      </c>
      <c r="K745" s="1">
        <f t="shared" si="1"/>
        <v>2022</v>
      </c>
      <c r="L745" s="1" t="str">
        <f t="shared" si="2"/>
        <v>Oct</v>
      </c>
      <c r="M745" s="1" t="str">
        <f t="shared" si="3"/>
        <v>Loss</v>
      </c>
    </row>
    <row r="746" ht="14.25" customHeight="1">
      <c r="A746" s="1" t="s">
        <v>780</v>
      </c>
      <c r="B746" s="2">
        <v>44818.0</v>
      </c>
      <c r="C746" s="1" t="s">
        <v>30</v>
      </c>
      <c r="D746" s="1" t="s">
        <v>15</v>
      </c>
      <c r="E746" s="1" t="s">
        <v>16</v>
      </c>
      <c r="F746" s="1">
        <v>54.68</v>
      </c>
      <c r="G746" s="1">
        <v>141.06</v>
      </c>
      <c r="H746" s="1">
        <v>4.0</v>
      </c>
      <c r="I746" s="1" t="s">
        <v>17</v>
      </c>
      <c r="J746" s="1" t="s">
        <v>18</v>
      </c>
      <c r="K746" s="1">
        <f t="shared" si="1"/>
        <v>2022</v>
      </c>
      <c r="L746" s="1" t="str">
        <f t="shared" si="2"/>
        <v>Sep</v>
      </c>
      <c r="M746" s="1" t="str">
        <f t="shared" si="3"/>
        <v>Profit</v>
      </c>
    </row>
    <row r="747" ht="14.25" customHeight="1">
      <c r="A747" s="1" t="s">
        <v>781</v>
      </c>
      <c r="B747" s="2">
        <v>44519.0</v>
      </c>
      <c r="C747" s="1" t="s">
        <v>30</v>
      </c>
      <c r="D747" s="1" t="s">
        <v>15</v>
      </c>
      <c r="E747" s="1" t="s">
        <v>16</v>
      </c>
      <c r="F747" s="1">
        <v>325.85</v>
      </c>
      <c r="G747" s="1">
        <v>210.03</v>
      </c>
      <c r="H747" s="1">
        <v>2.0</v>
      </c>
      <c r="I747" s="1" t="s">
        <v>17</v>
      </c>
      <c r="J747" s="1" t="s">
        <v>38</v>
      </c>
      <c r="K747" s="1">
        <f t="shared" si="1"/>
        <v>2021</v>
      </c>
      <c r="L747" s="1" t="str">
        <f t="shared" si="2"/>
        <v>Nov</v>
      </c>
      <c r="M747" s="1" t="str">
        <f t="shared" si="3"/>
        <v>Profit</v>
      </c>
    </row>
    <row r="748" ht="14.25" customHeight="1">
      <c r="A748" s="1" t="s">
        <v>782</v>
      </c>
      <c r="B748" s="2">
        <v>45109.0</v>
      </c>
      <c r="C748" s="1" t="s">
        <v>26</v>
      </c>
      <c r="D748" s="1" t="s">
        <v>15</v>
      </c>
      <c r="E748" s="1" t="s">
        <v>54</v>
      </c>
      <c r="F748" s="1">
        <v>279.77</v>
      </c>
      <c r="G748" s="1">
        <v>74.4</v>
      </c>
      <c r="H748" s="1">
        <v>2.0</v>
      </c>
      <c r="I748" s="1" t="s">
        <v>34</v>
      </c>
      <c r="J748" s="1" t="s">
        <v>38</v>
      </c>
      <c r="K748" s="1">
        <f t="shared" si="1"/>
        <v>2023</v>
      </c>
      <c r="L748" s="1" t="str">
        <f t="shared" si="2"/>
        <v>Jul</v>
      </c>
      <c r="M748" s="1" t="str">
        <f t="shared" si="3"/>
        <v>Profit</v>
      </c>
    </row>
    <row r="749" ht="14.25" customHeight="1">
      <c r="A749" s="1" t="s">
        <v>783</v>
      </c>
      <c r="B749" s="2">
        <v>45042.0</v>
      </c>
      <c r="C749" s="1" t="s">
        <v>30</v>
      </c>
      <c r="D749" s="1" t="s">
        <v>27</v>
      </c>
      <c r="E749" s="1" t="s">
        <v>28</v>
      </c>
      <c r="F749" s="1">
        <v>322.63</v>
      </c>
      <c r="G749" s="1">
        <v>-58.97</v>
      </c>
      <c r="H749" s="1">
        <v>4.0</v>
      </c>
      <c r="I749" s="1" t="s">
        <v>17</v>
      </c>
      <c r="J749" s="1" t="s">
        <v>18</v>
      </c>
      <c r="K749" s="1">
        <f t="shared" si="1"/>
        <v>2023</v>
      </c>
      <c r="L749" s="1" t="str">
        <f t="shared" si="2"/>
        <v>Apr</v>
      </c>
      <c r="M749" s="1" t="str">
        <f t="shared" si="3"/>
        <v>Loss</v>
      </c>
    </row>
    <row r="750" ht="14.25" customHeight="1">
      <c r="A750" s="1" t="s">
        <v>784</v>
      </c>
      <c r="B750" s="2">
        <v>45237.0</v>
      </c>
      <c r="C750" s="1" t="s">
        <v>30</v>
      </c>
      <c r="D750" s="1" t="s">
        <v>21</v>
      </c>
      <c r="E750" s="1" t="s">
        <v>37</v>
      </c>
      <c r="F750" s="1">
        <v>514.79</v>
      </c>
      <c r="G750" s="1">
        <v>241.71</v>
      </c>
      <c r="H750" s="1">
        <v>8.0</v>
      </c>
      <c r="I750" s="1" t="s">
        <v>17</v>
      </c>
      <c r="J750" s="1" t="s">
        <v>18</v>
      </c>
      <c r="K750" s="1">
        <f t="shared" si="1"/>
        <v>2023</v>
      </c>
      <c r="L750" s="1" t="str">
        <f t="shared" si="2"/>
        <v>Nov</v>
      </c>
      <c r="M750" s="1" t="str">
        <f t="shared" si="3"/>
        <v>Profit</v>
      </c>
    </row>
    <row r="751" ht="14.25" customHeight="1">
      <c r="A751" s="1" t="s">
        <v>785</v>
      </c>
      <c r="B751" s="2">
        <v>44349.0</v>
      </c>
      <c r="C751" s="1" t="s">
        <v>20</v>
      </c>
      <c r="D751" s="1" t="s">
        <v>15</v>
      </c>
      <c r="E751" s="1" t="s">
        <v>54</v>
      </c>
      <c r="F751" s="1">
        <v>446.9</v>
      </c>
      <c r="G751" s="1">
        <v>140.36</v>
      </c>
      <c r="H751" s="1">
        <v>7.0</v>
      </c>
      <c r="I751" s="1" t="s">
        <v>23</v>
      </c>
      <c r="J751" s="1" t="s">
        <v>38</v>
      </c>
      <c r="K751" s="1">
        <f t="shared" si="1"/>
        <v>2021</v>
      </c>
      <c r="L751" s="1" t="str">
        <f t="shared" si="2"/>
        <v>Jun</v>
      </c>
      <c r="M751" s="1" t="str">
        <f t="shared" si="3"/>
        <v>Profit</v>
      </c>
    </row>
    <row r="752" ht="14.25" customHeight="1">
      <c r="A752" s="1" t="s">
        <v>786</v>
      </c>
      <c r="B752" s="2">
        <v>44858.0</v>
      </c>
      <c r="C752" s="1" t="s">
        <v>20</v>
      </c>
      <c r="D752" s="1" t="s">
        <v>21</v>
      </c>
      <c r="E752" s="1" t="s">
        <v>76</v>
      </c>
      <c r="F752" s="1">
        <v>943.23</v>
      </c>
      <c r="G752" s="1">
        <v>-164.16</v>
      </c>
      <c r="H752" s="1">
        <v>9.0</v>
      </c>
      <c r="I752" s="1" t="s">
        <v>17</v>
      </c>
      <c r="J752" s="1" t="s">
        <v>35</v>
      </c>
      <c r="K752" s="1">
        <f t="shared" si="1"/>
        <v>2022</v>
      </c>
      <c r="L752" s="1" t="str">
        <f t="shared" si="2"/>
        <v>Oct</v>
      </c>
      <c r="M752" s="1" t="str">
        <f t="shared" si="3"/>
        <v>Loss</v>
      </c>
    </row>
    <row r="753" ht="14.25" customHeight="1">
      <c r="A753" s="1" t="s">
        <v>787</v>
      </c>
      <c r="B753" s="2">
        <v>44222.0</v>
      </c>
      <c r="C753" s="1" t="s">
        <v>26</v>
      </c>
      <c r="D753" s="1" t="s">
        <v>27</v>
      </c>
      <c r="E753" s="1" t="s">
        <v>33</v>
      </c>
      <c r="F753" s="1">
        <v>318.19</v>
      </c>
      <c r="G753" s="1">
        <v>-65.94</v>
      </c>
      <c r="H753" s="1">
        <v>1.0</v>
      </c>
      <c r="I753" s="1" t="s">
        <v>17</v>
      </c>
      <c r="J753" s="1" t="s">
        <v>24</v>
      </c>
      <c r="K753" s="1">
        <f t="shared" si="1"/>
        <v>2021</v>
      </c>
      <c r="L753" s="1" t="str">
        <f t="shared" si="2"/>
        <v>Jan</v>
      </c>
      <c r="M753" s="1" t="str">
        <f t="shared" si="3"/>
        <v>Loss</v>
      </c>
    </row>
    <row r="754" ht="14.25" customHeight="1">
      <c r="A754" s="1" t="s">
        <v>788</v>
      </c>
      <c r="B754" s="2">
        <v>44836.0</v>
      </c>
      <c r="C754" s="1" t="s">
        <v>14</v>
      </c>
      <c r="D754" s="1" t="s">
        <v>15</v>
      </c>
      <c r="E754" s="1" t="s">
        <v>31</v>
      </c>
      <c r="F754" s="1">
        <v>208.6</v>
      </c>
      <c r="G754" s="1">
        <v>251.85</v>
      </c>
      <c r="H754" s="1">
        <v>4.0</v>
      </c>
      <c r="I754" s="1" t="s">
        <v>23</v>
      </c>
      <c r="J754" s="1" t="s">
        <v>38</v>
      </c>
      <c r="K754" s="1">
        <f t="shared" si="1"/>
        <v>2022</v>
      </c>
      <c r="L754" s="1" t="str">
        <f t="shared" si="2"/>
        <v>Oct</v>
      </c>
      <c r="M754" s="1" t="str">
        <f t="shared" si="3"/>
        <v>Profit</v>
      </c>
    </row>
    <row r="755" ht="14.25" customHeight="1">
      <c r="A755" s="1" t="s">
        <v>789</v>
      </c>
      <c r="B755" s="2">
        <v>44892.0</v>
      </c>
      <c r="C755" s="1" t="s">
        <v>14</v>
      </c>
      <c r="D755" s="1" t="s">
        <v>15</v>
      </c>
      <c r="E755" s="1" t="s">
        <v>31</v>
      </c>
      <c r="F755" s="1">
        <v>746.98</v>
      </c>
      <c r="G755" s="1">
        <v>-97.42</v>
      </c>
      <c r="H755" s="1">
        <v>7.0</v>
      </c>
      <c r="I755" s="1" t="s">
        <v>17</v>
      </c>
      <c r="J755" s="1" t="s">
        <v>24</v>
      </c>
      <c r="K755" s="1">
        <f t="shared" si="1"/>
        <v>2022</v>
      </c>
      <c r="L755" s="1" t="str">
        <f t="shared" si="2"/>
        <v>Nov</v>
      </c>
      <c r="M755" s="1" t="str">
        <f t="shared" si="3"/>
        <v>Loss</v>
      </c>
    </row>
    <row r="756" ht="14.25" customHeight="1">
      <c r="A756" s="1" t="s">
        <v>790</v>
      </c>
      <c r="B756" s="2">
        <v>44979.0</v>
      </c>
      <c r="C756" s="1" t="s">
        <v>26</v>
      </c>
      <c r="D756" s="1" t="s">
        <v>27</v>
      </c>
      <c r="E756" s="1" t="s">
        <v>40</v>
      </c>
      <c r="F756" s="1">
        <v>959.52</v>
      </c>
      <c r="G756" s="1">
        <v>67.48</v>
      </c>
      <c r="H756" s="1">
        <v>2.0</v>
      </c>
      <c r="I756" s="1" t="s">
        <v>17</v>
      </c>
      <c r="J756" s="1" t="s">
        <v>35</v>
      </c>
      <c r="K756" s="1">
        <f t="shared" si="1"/>
        <v>2023</v>
      </c>
      <c r="L756" s="1" t="str">
        <f t="shared" si="2"/>
        <v>Feb</v>
      </c>
      <c r="M756" s="1" t="str">
        <f t="shared" si="3"/>
        <v>Profit</v>
      </c>
    </row>
    <row r="757" ht="14.25" customHeight="1">
      <c r="A757" s="1" t="s">
        <v>791</v>
      </c>
      <c r="B757" s="2">
        <v>44681.0</v>
      </c>
      <c r="C757" s="1" t="s">
        <v>30</v>
      </c>
      <c r="D757" s="1" t="s">
        <v>15</v>
      </c>
      <c r="E757" s="1" t="s">
        <v>54</v>
      </c>
      <c r="F757" s="1">
        <v>279.1</v>
      </c>
      <c r="G757" s="1">
        <v>-24.1</v>
      </c>
      <c r="H757" s="1">
        <v>3.0</v>
      </c>
      <c r="I757" s="1" t="s">
        <v>17</v>
      </c>
      <c r="J757" s="1" t="s">
        <v>35</v>
      </c>
      <c r="K757" s="1">
        <f t="shared" si="1"/>
        <v>2022</v>
      </c>
      <c r="L757" s="1" t="str">
        <f t="shared" si="2"/>
        <v>Apr</v>
      </c>
      <c r="M757" s="1" t="str">
        <f t="shared" si="3"/>
        <v>Loss</v>
      </c>
    </row>
    <row r="758" ht="14.25" customHeight="1">
      <c r="A758" s="1" t="s">
        <v>792</v>
      </c>
      <c r="B758" s="2">
        <v>44520.0</v>
      </c>
      <c r="C758" s="1" t="s">
        <v>20</v>
      </c>
      <c r="D758" s="1" t="s">
        <v>21</v>
      </c>
      <c r="E758" s="1" t="s">
        <v>22</v>
      </c>
      <c r="F758" s="1">
        <v>300.92</v>
      </c>
      <c r="G758" s="1">
        <v>-83.99</v>
      </c>
      <c r="H758" s="1">
        <v>1.0</v>
      </c>
      <c r="I758" s="1" t="s">
        <v>23</v>
      </c>
      <c r="J758" s="1" t="s">
        <v>35</v>
      </c>
      <c r="K758" s="1">
        <f t="shared" si="1"/>
        <v>2021</v>
      </c>
      <c r="L758" s="1" t="str">
        <f t="shared" si="2"/>
        <v>Nov</v>
      </c>
      <c r="M758" s="1" t="str">
        <f t="shared" si="3"/>
        <v>Loss</v>
      </c>
    </row>
    <row r="759" ht="14.25" customHeight="1">
      <c r="A759" s="1" t="s">
        <v>793</v>
      </c>
      <c r="B759" s="2">
        <v>45028.0</v>
      </c>
      <c r="C759" s="1" t="s">
        <v>20</v>
      </c>
      <c r="D759" s="1" t="s">
        <v>21</v>
      </c>
      <c r="E759" s="1" t="s">
        <v>76</v>
      </c>
      <c r="F759" s="1">
        <v>745.59</v>
      </c>
      <c r="G759" s="1">
        <v>247.39</v>
      </c>
      <c r="H759" s="1">
        <v>4.0</v>
      </c>
      <c r="I759" s="1" t="s">
        <v>23</v>
      </c>
      <c r="J759" s="1" t="s">
        <v>18</v>
      </c>
      <c r="K759" s="1">
        <f t="shared" si="1"/>
        <v>2023</v>
      </c>
      <c r="L759" s="1" t="str">
        <f t="shared" si="2"/>
        <v>Apr</v>
      </c>
      <c r="M759" s="1" t="str">
        <f t="shared" si="3"/>
        <v>Profit</v>
      </c>
    </row>
    <row r="760" ht="14.25" customHeight="1">
      <c r="A760" s="1" t="s">
        <v>794</v>
      </c>
      <c r="B760" s="2">
        <v>44667.0</v>
      </c>
      <c r="C760" s="1" t="s">
        <v>30</v>
      </c>
      <c r="D760" s="1" t="s">
        <v>27</v>
      </c>
      <c r="E760" s="1" t="s">
        <v>28</v>
      </c>
      <c r="F760" s="1">
        <v>111.76</v>
      </c>
      <c r="G760" s="1">
        <v>-177.44</v>
      </c>
      <c r="H760" s="1">
        <v>6.0</v>
      </c>
      <c r="I760" s="1" t="s">
        <v>23</v>
      </c>
      <c r="J760" s="1" t="s">
        <v>24</v>
      </c>
      <c r="K760" s="1">
        <f t="shared" si="1"/>
        <v>2022</v>
      </c>
      <c r="L760" s="1" t="str">
        <f t="shared" si="2"/>
        <v>Apr</v>
      </c>
      <c r="M760" s="1" t="str">
        <f t="shared" si="3"/>
        <v>Loss</v>
      </c>
    </row>
    <row r="761" ht="14.25" customHeight="1">
      <c r="A761" s="1" t="s">
        <v>795</v>
      </c>
      <c r="B761" s="2">
        <v>44875.0</v>
      </c>
      <c r="C761" s="1" t="s">
        <v>14</v>
      </c>
      <c r="D761" s="1" t="s">
        <v>21</v>
      </c>
      <c r="E761" s="1" t="s">
        <v>37</v>
      </c>
      <c r="F761" s="1">
        <v>463.46</v>
      </c>
      <c r="G761" s="1">
        <v>211.9</v>
      </c>
      <c r="H761" s="1">
        <v>8.0</v>
      </c>
      <c r="I761" s="1" t="s">
        <v>17</v>
      </c>
      <c r="J761" s="1" t="s">
        <v>24</v>
      </c>
      <c r="K761" s="1">
        <f t="shared" si="1"/>
        <v>2022</v>
      </c>
      <c r="L761" s="1" t="str">
        <f t="shared" si="2"/>
        <v>Nov</v>
      </c>
      <c r="M761" s="1" t="str">
        <f t="shared" si="3"/>
        <v>Profit</v>
      </c>
    </row>
    <row r="762" ht="14.25" customHeight="1">
      <c r="A762" s="1" t="s">
        <v>796</v>
      </c>
      <c r="B762" s="2">
        <v>45169.0</v>
      </c>
      <c r="C762" s="1" t="s">
        <v>30</v>
      </c>
      <c r="D762" s="1" t="s">
        <v>15</v>
      </c>
      <c r="E762" s="1" t="s">
        <v>54</v>
      </c>
      <c r="F762" s="1">
        <v>20.13</v>
      </c>
      <c r="G762" s="1">
        <v>241.18</v>
      </c>
      <c r="H762" s="1">
        <v>1.0</v>
      </c>
      <c r="I762" s="1" t="s">
        <v>23</v>
      </c>
      <c r="J762" s="1" t="s">
        <v>18</v>
      </c>
      <c r="K762" s="1">
        <f t="shared" si="1"/>
        <v>2023</v>
      </c>
      <c r="L762" s="1" t="str">
        <f t="shared" si="2"/>
        <v>Aug</v>
      </c>
      <c r="M762" s="1" t="str">
        <f t="shared" si="3"/>
        <v>Profit</v>
      </c>
    </row>
    <row r="763" ht="14.25" customHeight="1">
      <c r="A763" s="1" t="s">
        <v>797</v>
      </c>
      <c r="B763" s="2">
        <v>44856.0</v>
      </c>
      <c r="C763" s="1" t="s">
        <v>30</v>
      </c>
      <c r="D763" s="1" t="s">
        <v>15</v>
      </c>
      <c r="E763" s="1" t="s">
        <v>54</v>
      </c>
      <c r="F763" s="1">
        <v>763.84</v>
      </c>
      <c r="G763" s="1">
        <v>-110.07</v>
      </c>
      <c r="H763" s="1">
        <v>3.0</v>
      </c>
      <c r="I763" s="1" t="s">
        <v>23</v>
      </c>
      <c r="J763" s="1" t="s">
        <v>18</v>
      </c>
      <c r="K763" s="1">
        <f t="shared" si="1"/>
        <v>2022</v>
      </c>
      <c r="L763" s="1" t="str">
        <f t="shared" si="2"/>
        <v>Oct</v>
      </c>
      <c r="M763" s="1" t="str">
        <f t="shared" si="3"/>
        <v>Loss</v>
      </c>
    </row>
    <row r="764" ht="14.25" customHeight="1">
      <c r="A764" s="1" t="s">
        <v>798</v>
      </c>
      <c r="B764" s="2">
        <v>45020.0</v>
      </c>
      <c r="C764" s="1" t="s">
        <v>20</v>
      </c>
      <c r="D764" s="1" t="s">
        <v>15</v>
      </c>
      <c r="E764" s="1" t="s">
        <v>54</v>
      </c>
      <c r="F764" s="1">
        <v>594.83</v>
      </c>
      <c r="G764" s="1">
        <v>272.14</v>
      </c>
      <c r="H764" s="1">
        <v>8.0</v>
      </c>
      <c r="I764" s="1" t="s">
        <v>23</v>
      </c>
      <c r="J764" s="1" t="s">
        <v>38</v>
      </c>
      <c r="K764" s="1">
        <f t="shared" si="1"/>
        <v>2023</v>
      </c>
      <c r="L764" s="1" t="str">
        <f t="shared" si="2"/>
        <v>Apr</v>
      </c>
      <c r="M764" s="1" t="str">
        <f t="shared" si="3"/>
        <v>Profit</v>
      </c>
    </row>
    <row r="765" ht="14.25" customHeight="1">
      <c r="A765" s="1" t="s">
        <v>799</v>
      </c>
      <c r="B765" s="2">
        <v>44917.0</v>
      </c>
      <c r="C765" s="1" t="s">
        <v>26</v>
      </c>
      <c r="D765" s="1" t="s">
        <v>15</v>
      </c>
      <c r="E765" s="1" t="s">
        <v>54</v>
      </c>
      <c r="F765" s="1">
        <v>684.99</v>
      </c>
      <c r="G765" s="1">
        <v>-29.54</v>
      </c>
      <c r="H765" s="1">
        <v>9.0</v>
      </c>
      <c r="I765" s="1" t="s">
        <v>34</v>
      </c>
      <c r="J765" s="1" t="s">
        <v>35</v>
      </c>
      <c r="K765" s="1">
        <f t="shared" si="1"/>
        <v>2022</v>
      </c>
      <c r="L765" s="1" t="str">
        <f t="shared" si="2"/>
        <v>Dec</v>
      </c>
      <c r="M765" s="1" t="str">
        <f t="shared" si="3"/>
        <v>Loss</v>
      </c>
    </row>
    <row r="766" ht="14.25" customHeight="1">
      <c r="A766" s="1" t="s">
        <v>800</v>
      </c>
      <c r="B766" s="2">
        <v>44525.0</v>
      </c>
      <c r="C766" s="1" t="s">
        <v>20</v>
      </c>
      <c r="D766" s="1" t="s">
        <v>21</v>
      </c>
      <c r="E766" s="1" t="s">
        <v>37</v>
      </c>
      <c r="F766" s="1">
        <v>527.11</v>
      </c>
      <c r="G766" s="1">
        <v>26.71</v>
      </c>
      <c r="H766" s="1">
        <v>1.0</v>
      </c>
      <c r="I766" s="1" t="s">
        <v>17</v>
      </c>
      <c r="J766" s="1" t="s">
        <v>38</v>
      </c>
      <c r="K766" s="1">
        <f t="shared" si="1"/>
        <v>2021</v>
      </c>
      <c r="L766" s="1" t="str">
        <f t="shared" si="2"/>
        <v>Nov</v>
      </c>
      <c r="M766" s="1" t="str">
        <f t="shared" si="3"/>
        <v>Profit</v>
      </c>
    </row>
    <row r="767" ht="14.25" customHeight="1">
      <c r="A767" s="1" t="s">
        <v>801</v>
      </c>
      <c r="B767" s="2">
        <v>44696.0</v>
      </c>
      <c r="C767" s="1" t="s">
        <v>26</v>
      </c>
      <c r="D767" s="1" t="s">
        <v>27</v>
      </c>
      <c r="E767" s="1" t="s">
        <v>40</v>
      </c>
      <c r="F767" s="1">
        <v>480.68</v>
      </c>
      <c r="G767" s="1">
        <v>-18.53</v>
      </c>
      <c r="H767" s="1">
        <v>3.0</v>
      </c>
      <c r="I767" s="1" t="s">
        <v>17</v>
      </c>
      <c r="J767" s="1" t="s">
        <v>24</v>
      </c>
      <c r="K767" s="1">
        <f t="shared" si="1"/>
        <v>2022</v>
      </c>
      <c r="L767" s="1" t="str">
        <f t="shared" si="2"/>
        <v>May</v>
      </c>
      <c r="M767" s="1" t="str">
        <f t="shared" si="3"/>
        <v>Loss</v>
      </c>
    </row>
    <row r="768" ht="14.25" customHeight="1">
      <c r="A768" s="1" t="s">
        <v>802</v>
      </c>
      <c r="B768" s="2">
        <v>45226.0</v>
      </c>
      <c r="C768" s="1" t="s">
        <v>30</v>
      </c>
      <c r="D768" s="1" t="s">
        <v>21</v>
      </c>
      <c r="E768" s="1" t="s">
        <v>37</v>
      </c>
      <c r="F768" s="1">
        <v>252.7</v>
      </c>
      <c r="G768" s="1">
        <v>40.86</v>
      </c>
      <c r="H768" s="1">
        <v>1.0</v>
      </c>
      <c r="I768" s="1" t="s">
        <v>17</v>
      </c>
      <c r="J768" s="1" t="s">
        <v>35</v>
      </c>
      <c r="K768" s="1">
        <f t="shared" si="1"/>
        <v>2023</v>
      </c>
      <c r="L768" s="1" t="str">
        <f t="shared" si="2"/>
        <v>Oct</v>
      </c>
      <c r="M768" s="1" t="str">
        <f t="shared" si="3"/>
        <v>Profit</v>
      </c>
    </row>
    <row r="769" ht="14.25" customHeight="1">
      <c r="A769" s="1" t="s">
        <v>803</v>
      </c>
      <c r="B769" s="2">
        <v>44277.0</v>
      </c>
      <c r="C769" s="1" t="s">
        <v>30</v>
      </c>
      <c r="D769" s="1" t="s">
        <v>15</v>
      </c>
      <c r="E769" s="1" t="s">
        <v>54</v>
      </c>
      <c r="F769" s="1">
        <v>418.52</v>
      </c>
      <c r="G769" s="1">
        <v>-27.6</v>
      </c>
      <c r="H769" s="1">
        <v>2.0</v>
      </c>
      <c r="I769" s="1" t="s">
        <v>23</v>
      </c>
      <c r="J769" s="1" t="s">
        <v>35</v>
      </c>
      <c r="K769" s="1">
        <f t="shared" si="1"/>
        <v>2021</v>
      </c>
      <c r="L769" s="1" t="str">
        <f t="shared" si="2"/>
        <v>Mar</v>
      </c>
      <c r="M769" s="1" t="str">
        <f t="shared" si="3"/>
        <v>Loss</v>
      </c>
    </row>
    <row r="770" ht="14.25" customHeight="1">
      <c r="A770" s="1" t="s">
        <v>804</v>
      </c>
      <c r="B770" s="2">
        <v>45090.0</v>
      </c>
      <c r="C770" s="1" t="s">
        <v>26</v>
      </c>
      <c r="D770" s="1" t="s">
        <v>15</v>
      </c>
      <c r="E770" s="1" t="s">
        <v>16</v>
      </c>
      <c r="F770" s="1">
        <v>642.6</v>
      </c>
      <c r="G770" s="1">
        <v>-160.85</v>
      </c>
      <c r="H770" s="1">
        <v>3.0</v>
      </c>
      <c r="I770" s="1" t="s">
        <v>23</v>
      </c>
      <c r="J770" s="1" t="s">
        <v>38</v>
      </c>
      <c r="K770" s="1">
        <f t="shared" si="1"/>
        <v>2023</v>
      </c>
      <c r="L770" s="1" t="str">
        <f t="shared" si="2"/>
        <v>Jun</v>
      </c>
      <c r="M770" s="1" t="str">
        <f t="shared" si="3"/>
        <v>Loss</v>
      </c>
    </row>
    <row r="771" ht="14.25" customHeight="1">
      <c r="A771" s="1" t="s">
        <v>805</v>
      </c>
      <c r="B771" s="2">
        <v>44527.0</v>
      </c>
      <c r="C771" s="1" t="s">
        <v>26</v>
      </c>
      <c r="D771" s="1" t="s">
        <v>21</v>
      </c>
      <c r="E771" s="1" t="s">
        <v>76</v>
      </c>
      <c r="F771" s="1">
        <v>430.57</v>
      </c>
      <c r="G771" s="1">
        <v>-52.24</v>
      </c>
      <c r="H771" s="1">
        <v>1.0</v>
      </c>
      <c r="I771" s="1" t="s">
        <v>17</v>
      </c>
      <c r="J771" s="1" t="s">
        <v>38</v>
      </c>
      <c r="K771" s="1">
        <f t="shared" si="1"/>
        <v>2021</v>
      </c>
      <c r="L771" s="1" t="str">
        <f t="shared" si="2"/>
        <v>Nov</v>
      </c>
      <c r="M771" s="1" t="str">
        <f t="shared" si="3"/>
        <v>Loss</v>
      </c>
    </row>
    <row r="772" ht="14.25" customHeight="1">
      <c r="A772" s="1" t="s">
        <v>806</v>
      </c>
      <c r="B772" s="2">
        <v>45131.0</v>
      </c>
      <c r="C772" s="1" t="s">
        <v>14</v>
      </c>
      <c r="D772" s="1" t="s">
        <v>15</v>
      </c>
      <c r="E772" s="1" t="s">
        <v>54</v>
      </c>
      <c r="F772" s="1">
        <v>428.33</v>
      </c>
      <c r="G772" s="1">
        <v>-77.52</v>
      </c>
      <c r="H772" s="1">
        <v>8.0</v>
      </c>
      <c r="I772" s="1" t="s">
        <v>34</v>
      </c>
      <c r="J772" s="1" t="s">
        <v>35</v>
      </c>
      <c r="K772" s="1">
        <f t="shared" si="1"/>
        <v>2023</v>
      </c>
      <c r="L772" s="1" t="str">
        <f t="shared" si="2"/>
        <v>Jul</v>
      </c>
      <c r="M772" s="1" t="str">
        <f t="shared" si="3"/>
        <v>Loss</v>
      </c>
    </row>
    <row r="773" ht="14.25" customHeight="1">
      <c r="A773" s="1" t="s">
        <v>807</v>
      </c>
      <c r="B773" s="2">
        <v>44361.0</v>
      </c>
      <c r="C773" s="1" t="s">
        <v>14</v>
      </c>
      <c r="D773" s="1" t="s">
        <v>27</v>
      </c>
      <c r="E773" s="1" t="s">
        <v>33</v>
      </c>
      <c r="F773" s="1">
        <v>889.57</v>
      </c>
      <c r="G773" s="1">
        <v>-26.48</v>
      </c>
      <c r="H773" s="1">
        <v>5.0</v>
      </c>
      <c r="I773" s="1" t="s">
        <v>34</v>
      </c>
      <c r="J773" s="1" t="s">
        <v>24</v>
      </c>
      <c r="K773" s="1">
        <f t="shared" si="1"/>
        <v>2021</v>
      </c>
      <c r="L773" s="1" t="str">
        <f t="shared" si="2"/>
        <v>Jun</v>
      </c>
      <c r="M773" s="1" t="str">
        <f t="shared" si="3"/>
        <v>Loss</v>
      </c>
    </row>
    <row r="774" ht="14.25" customHeight="1">
      <c r="A774" s="1" t="s">
        <v>808</v>
      </c>
      <c r="B774" s="2">
        <v>44542.0</v>
      </c>
      <c r="C774" s="1" t="s">
        <v>20</v>
      </c>
      <c r="D774" s="1" t="s">
        <v>15</v>
      </c>
      <c r="E774" s="1" t="s">
        <v>31</v>
      </c>
      <c r="F774" s="1">
        <v>227.17</v>
      </c>
      <c r="G774" s="1">
        <v>31.81</v>
      </c>
      <c r="H774" s="1">
        <v>9.0</v>
      </c>
      <c r="I774" s="1" t="s">
        <v>17</v>
      </c>
      <c r="J774" s="1" t="s">
        <v>24</v>
      </c>
      <c r="K774" s="1">
        <f t="shared" si="1"/>
        <v>2021</v>
      </c>
      <c r="L774" s="1" t="str">
        <f t="shared" si="2"/>
        <v>Dec</v>
      </c>
      <c r="M774" s="1" t="str">
        <f t="shared" si="3"/>
        <v>Profit</v>
      </c>
    </row>
    <row r="775" ht="14.25" customHeight="1">
      <c r="A775" s="1" t="s">
        <v>809</v>
      </c>
      <c r="B775" s="2">
        <v>44825.0</v>
      </c>
      <c r="C775" s="1" t="s">
        <v>14</v>
      </c>
      <c r="D775" s="1" t="s">
        <v>27</v>
      </c>
      <c r="E775" s="1" t="s">
        <v>40</v>
      </c>
      <c r="F775" s="1">
        <v>393.72</v>
      </c>
      <c r="G775" s="1">
        <v>-25.73</v>
      </c>
      <c r="H775" s="1">
        <v>2.0</v>
      </c>
      <c r="I775" s="1" t="s">
        <v>34</v>
      </c>
      <c r="J775" s="1" t="s">
        <v>35</v>
      </c>
      <c r="K775" s="1">
        <f t="shared" si="1"/>
        <v>2022</v>
      </c>
      <c r="L775" s="1" t="str">
        <f t="shared" si="2"/>
        <v>Sep</v>
      </c>
      <c r="M775" s="1" t="str">
        <f t="shared" si="3"/>
        <v>Loss</v>
      </c>
    </row>
    <row r="776" ht="14.25" customHeight="1">
      <c r="A776" s="1" t="s">
        <v>810</v>
      </c>
      <c r="B776" s="2">
        <v>44970.0</v>
      </c>
      <c r="C776" s="1" t="s">
        <v>20</v>
      </c>
      <c r="D776" s="1" t="s">
        <v>27</v>
      </c>
      <c r="E776" s="1" t="s">
        <v>40</v>
      </c>
      <c r="F776" s="1">
        <v>105.37</v>
      </c>
      <c r="G776" s="1">
        <v>244.06</v>
      </c>
      <c r="H776" s="1">
        <v>9.0</v>
      </c>
      <c r="I776" s="1" t="s">
        <v>34</v>
      </c>
      <c r="J776" s="1" t="s">
        <v>24</v>
      </c>
      <c r="K776" s="1">
        <f t="shared" si="1"/>
        <v>2023</v>
      </c>
      <c r="L776" s="1" t="str">
        <f t="shared" si="2"/>
        <v>Feb</v>
      </c>
      <c r="M776" s="1" t="str">
        <f t="shared" si="3"/>
        <v>Profit</v>
      </c>
    </row>
    <row r="777" ht="14.25" customHeight="1">
      <c r="A777" s="1" t="s">
        <v>811</v>
      </c>
      <c r="B777" s="2">
        <v>44629.0</v>
      </c>
      <c r="C777" s="1" t="s">
        <v>30</v>
      </c>
      <c r="D777" s="1" t="s">
        <v>27</v>
      </c>
      <c r="E777" s="1" t="s">
        <v>28</v>
      </c>
      <c r="F777" s="1">
        <v>637.0</v>
      </c>
      <c r="G777" s="1">
        <v>115.28</v>
      </c>
      <c r="H777" s="1">
        <v>2.0</v>
      </c>
      <c r="I777" s="1" t="s">
        <v>34</v>
      </c>
      <c r="J777" s="1" t="s">
        <v>24</v>
      </c>
      <c r="K777" s="1">
        <f t="shared" si="1"/>
        <v>2022</v>
      </c>
      <c r="L777" s="1" t="str">
        <f t="shared" si="2"/>
        <v>Mar</v>
      </c>
      <c r="M777" s="1" t="str">
        <f t="shared" si="3"/>
        <v>Profit</v>
      </c>
    </row>
    <row r="778" ht="14.25" customHeight="1">
      <c r="A778" s="1" t="s">
        <v>812</v>
      </c>
      <c r="B778" s="2">
        <v>45046.0</v>
      </c>
      <c r="C778" s="1" t="s">
        <v>30</v>
      </c>
      <c r="D778" s="1" t="s">
        <v>27</v>
      </c>
      <c r="E778" s="1" t="s">
        <v>28</v>
      </c>
      <c r="F778" s="1">
        <v>278.01</v>
      </c>
      <c r="G778" s="1">
        <v>13.29</v>
      </c>
      <c r="H778" s="1">
        <v>3.0</v>
      </c>
      <c r="I778" s="1" t="s">
        <v>34</v>
      </c>
      <c r="J778" s="1" t="s">
        <v>24</v>
      </c>
      <c r="K778" s="1">
        <f t="shared" si="1"/>
        <v>2023</v>
      </c>
      <c r="L778" s="1" t="str">
        <f t="shared" si="2"/>
        <v>Apr</v>
      </c>
      <c r="M778" s="1" t="str">
        <f t="shared" si="3"/>
        <v>Profit</v>
      </c>
    </row>
    <row r="779" ht="14.25" customHeight="1">
      <c r="A779" s="1" t="s">
        <v>813</v>
      </c>
      <c r="B779" s="2">
        <v>44605.0</v>
      </c>
      <c r="C779" s="1" t="s">
        <v>30</v>
      </c>
      <c r="D779" s="1" t="s">
        <v>21</v>
      </c>
      <c r="E779" s="1" t="s">
        <v>37</v>
      </c>
      <c r="F779" s="1">
        <v>640.36</v>
      </c>
      <c r="G779" s="1">
        <v>48.4</v>
      </c>
      <c r="H779" s="1">
        <v>4.0</v>
      </c>
      <c r="I779" s="1" t="s">
        <v>23</v>
      </c>
      <c r="J779" s="1" t="s">
        <v>24</v>
      </c>
      <c r="K779" s="1">
        <f t="shared" si="1"/>
        <v>2022</v>
      </c>
      <c r="L779" s="1" t="str">
        <f t="shared" si="2"/>
        <v>Feb</v>
      </c>
      <c r="M779" s="1" t="str">
        <f t="shared" si="3"/>
        <v>Profit</v>
      </c>
    </row>
    <row r="780" ht="14.25" customHeight="1">
      <c r="A780" s="1" t="s">
        <v>814</v>
      </c>
      <c r="B780" s="2">
        <v>45022.0</v>
      </c>
      <c r="C780" s="1" t="s">
        <v>14</v>
      </c>
      <c r="D780" s="1" t="s">
        <v>21</v>
      </c>
      <c r="E780" s="1" t="s">
        <v>22</v>
      </c>
      <c r="F780" s="1">
        <v>347.45</v>
      </c>
      <c r="G780" s="1">
        <v>165.51</v>
      </c>
      <c r="H780" s="1">
        <v>6.0</v>
      </c>
      <c r="I780" s="1" t="s">
        <v>23</v>
      </c>
      <c r="J780" s="1" t="s">
        <v>18</v>
      </c>
      <c r="K780" s="1">
        <f t="shared" si="1"/>
        <v>2023</v>
      </c>
      <c r="L780" s="1" t="str">
        <f t="shared" si="2"/>
        <v>Apr</v>
      </c>
      <c r="M780" s="1" t="str">
        <f t="shared" si="3"/>
        <v>Profit</v>
      </c>
    </row>
    <row r="781" ht="14.25" customHeight="1">
      <c r="A781" s="1" t="s">
        <v>815</v>
      </c>
      <c r="B781" s="2">
        <v>45119.0</v>
      </c>
      <c r="C781" s="1" t="s">
        <v>14</v>
      </c>
      <c r="D781" s="1" t="s">
        <v>27</v>
      </c>
      <c r="E781" s="1" t="s">
        <v>33</v>
      </c>
      <c r="F781" s="1">
        <v>658.8</v>
      </c>
      <c r="G781" s="1">
        <v>-118.24</v>
      </c>
      <c r="H781" s="1">
        <v>4.0</v>
      </c>
      <c r="I781" s="1" t="s">
        <v>34</v>
      </c>
      <c r="J781" s="1" t="s">
        <v>38</v>
      </c>
      <c r="K781" s="1">
        <f t="shared" si="1"/>
        <v>2023</v>
      </c>
      <c r="L781" s="1" t="str">
        <f t="shared" si="2"/>
        <v>Jul</v>
      </c>
      <c r="M781" s="1" t="str">
        <f t="shared" si="3"/>
        <v>Loss</v>
      </c>
    </row>
    <row r="782" ht="14.25" customHeight="1">
      <c r="A782" s="1" t="s">
        <v>816</v>
      </c>
      <c r="B782" s="2">
        <v>45044.0</v>
      </c>
      <c r="C782" s="1" t="s">
        <v>26</v>
      </c>
      <c r="D782" s="1" t="s">
        <v>21</v>
      </c>
      <c r="E782" s="1" t="s">
        <v>37</v>
      </c>
      <c r="F782" s="1">
        <v>622.55</v>
      </c>
      <c r="G782" s="1">
        <v>172.85</v>
      </c>
      <c r="H782" s="1">
        <v>10.0</v>
      </c>
      <c r="I782" s="1" t="s">
        <v>23</v>
      </c>
      <c r="J782" s="1" t="s">
        <v>18</v>
      </c>
      <c r="K782" s="1">
        <f t="shared" si="1"/>
        <v>2023</v>
      </c>
      <c r="L782" s="1" t="str">
        <f t="shared" si="2"/>
        <v>Apr</v>
      </c>
      <c r="M782" s="1" t="str">
        <f t="shared" si="3"/>
        <v>Profit</v>
      </c>
    </row>
    <row r="783" ht="14.25" customHeight="1">
      <c r="A783" s="1" t="s">
        <v>817</v>
      </c>
      <c r="B783" s="2">
        <v>44468.0</v>
      </c>
      <c r="C783" s="1" t="s">
        <v>26</v>
      </c>
      <c r="D783" s="1" t="s">
        <v>21</v>
      </c>
      <c r="E783" s="1" t="s">
        <v>37</v>
      </c>
      <c r="F783" s="1">
        <v>975.82</v>
      </c>
      <c r="G783" s="1">
        <v>168.09</v>
      </c>
      <c r="H783" s="1">
        <v>7.0</v>
      </c>
      <c r="I783" s="1" t="s">
        <v>23</v>
      </c>
      <c r="J783" s="1" t="s">
        <v>35</v>
      </c>
      <c r="K783" s="1">
        <f t="shared" si="1"/>
        <v>2021</v>
      </c>
      <c r="L783" s="1" t="str">
        <f t="shared" si="2"/>
        <v>Sep</v>
      </c>
      <c r="M783" s="1" t="str">
        <f t="shared" si="3"/>
        <v>Profit</v>
      </c>
    </row>
    <row r="784" ht="14.25" customHeight="1">
      <c r="A784" s="1" t="s">
        <v>818</v>
      </c>
      <c r="B784" s="2">
        <v>44641.0</v>
      </c>
      <c r="C784" s="1" t="s">
        <v>14</v>
      </c>
      <c r="D784" s="1" t="s">
        <v>15</v>
      </c>
      <c r="E784" s="1" t="s">
        <v>54</v>
      </c>
      <c r="F784" s="1">
        <v>199.29</v>
      </c>
      <c r="G784" s="1">
        <v>207.22</v>
      </c>
      <c r="H784" s="1">
        <v>4.0</v>
      </c>
      <c r="I784" s="1" t="s">
        <v>17</v>
      </c>
      <c r="J784" s="1" t="s">
        <v>18</v>
      </c>
      <c r="K784" s="1">
        <f t="shared" si="1"/>
        <v>2022</v>
      </c>
      <c r="L784" s="1" t="str">
        <f t="shared" si="2"/>
        <v>Mar</v>
      </c>
      <c r="M784" s="1" t="str">
        <f t="shared" si="3"/>
        <v>Profit</v>
      </c>
    </row>
    <row r="785" ht="14.25" customHeight="1">
      <c r="A785" s="1" t="s">
        <v>819</v>
      </c>
      <c r="B785" s="2">
        <v>44602.0</v>
      </c>
      <c r="C785" s="1" t="s">
        <v>20</v>
      </c>
      <c r="D785" s="1" t="s">
        <v>21</v>
      </c>
      <c r="E785" s="1" t="s">
        <v>22</v>
      </c>
      <c r="F785" s="1">
        <v>791.65</v>
      </c>
      <c r="G785" s="1">
        <v>60.11</v>
      </c>
      <c r="H785" s="1">
        <v>7.0</v>
      </c>
      <c r="I785" s="1" t="s">
        <v>17</v>
      </c>
      <c r="J785" s="1" t="s">
        <v>18</v>
      </c>
      <c r="K785" s="1">
        <f t="shared" si="1"/>
        <v>2022</v>
      </c>
      <c r="L785" s="1" t="str">
        <f t="shared" si="2"/>
        <v>Feb</v>
      </c>
      <c r="M785" s="1" t="str">
        <f t="shared" si="3"/>
        <v>Profit</v>
      </c>
    </row>
    <row r="786" ht="14.25" customHeight="1">
      <c r="A786" s="1" t="s">
        <v>820</v>
      </c>
      <c r="B786" s="2">
        <v>44753.0</v>
      </c>
      <c r="C786" s="1" t="s">
        <v>30</v>
      </c>
      <c r="D786" s="1" t="s">
        <v>27</v>
      </c>
      <c r="E786" s="1" t="s">
        <v>28</v>
      </c>
      <c r="F786" s="1">
        <v>805.62</v>
      </c>
      <c r="G786" s="1">
        <v>8.57</v>
      </c>
      <c r="H786" s="1">
        <v>7.0</v>
      </c>
      <c r="I786" s="1" t="s">
        <v>23</v>
      </c>
      <c r="J786" s="1" t="s">
        <v>24</v>
      </c>
      <c r="K786" s="1">
        <f t="shared" si="1"/>
        <v>2022</v>
      </c>
      <c r="L786" s="1" t="str">
        <f t="shared" si="2"/>
        <v>Jul</v>
      </c>
      <c r="M786" s="1" t="str">
        <f t="shared" si="3"/>
        <v>Profit</v>
      </c>
    </row>
    <row r="787" ht="14.25" customHeight="1">
      <c r="A787" s="1" t="s">
        <v>821</v>
      </c>
      <c r="B787" s="2">
        <v>45277.0</v>
      </c>
      <c r="C787" s="1" t="s">
        <v>20</v>
      </c>
      <c r="D787" s="1" t="s">
        <v>27</v>
      </c>
      <c r="E787" s="1" t="s">
        <v>28</v>
      </c>
      <c r="F787" s="1">
        <v>568.29</v>
      </c>
      <c r="G787" s="1">
        <v>-29.93</v>
      </c>
      <c r="H787" s="1">
        <v>3.0</v>
      </c>
      <c r="I787" s="1" t="s">
        <v>17</v>
      </c>
      <c r="J787" s="1" t="s">
        <v>35</v>
      </c>
      <c r="K787" s="1">
        <f t="shared" si="1"/>
        <v>2023</v>
      </c>
      <c r="L787" s="1" t="str">
        <f t="shared" si="2"/>
        <v>Dec</v>
      </c>
      <c r="M787" s="1" t="str">
        <f t="shared" si="3"/>
        <v>Loss</v>
      </c>
    </row>
    <row r="788" ht="14.25" customHeight="1">
      <c r="A788" s="1" t="s">
        <v>822</v>
      </c>
      <c r="B788" s="2">
        <v>44450.0</v>
      </c>
      <c r="C788" s="1" t="s">
        <v>30</v>
      </c>
      <c r="D788" s="1" t="s">
        <v>15</v>
      </c>
      <c r="E788" s="1" t="s">
        <v>31</v>
      </c>
      <c r="F788" s="1">
        <v>744.73</v>
      </c>
      <c r="G788" s="1">
        <v>169.97</v>
      </c>
      <c r="H788" s="1">
        <v>5.0</v>
      </c>
      <c r="I788" s="1" t="s">
        <v>17</v>
      </c>
      <c r="J788" s="1" t="s">
        <v>24</v>
      </c>
      <c r="K788" s="1">
        <f t="shared" si="1"/>
        <v>2021</v>
      </c>
      <c r="L788" s="1" t="str">
        <f t="shared" si="2"/>
        <v>Sep</v>
      </c>
      <c r="M788" s="1" t="str">
        <f t="shared" si="3"/>
        <v>Profit</v>
      </c>
    </row>
    <row r="789" ht="14.25" customHeight="1">
      <c r="A789" s="1" t="s">
        <v>823</v>
      </c>
      <c r="B789" s="2">
        <v>44227.0</v>
      </c>
      <c r="C789" s="1" t="s">
        <v>30</v>
      </c>
      <c r="D789" s="1" t="s">
        <v>21</v>
      </c>
      <c r="E789" s="1" t="s">
        <v>76</v>
      </c>
      <c r="F789" s="1">
        <v>48.93</v>
      </c>
      <c r="G789" s="1">
        <v>246.3</v>
      </c>
      <c r="H789" s="1">
        <v>2.0</v>
      </c>
      <c r="I789" s="1" t="s">
        <v>34</v>
      </c>
      <c r="J789" s="1" t="s">
        <v>18</v>
      </c>
      <c r="K789" s="1">
        <f t="shared" si="1"/>
        <v>2021</v>
      </c>
      <c r="L789" s="1" t="str">
        <f t="shared" si="2"/>
        <v>Jan</v>
      </c>
      <c r="M789" s="1" t="str">
        <f t="shared" si="3"/>
        <v>Profit</v>
      </c>
    </row>
    <row r="790" ht="14.25" customHeight="1">
      <c r="A790" s="1" t="s">
        <v>824</v>
      </c>
      <c r="B790" s="2">
        <v>45205.0</v>
      </c>
      <c r="C790" s="1" t="s">
        <v>20</v>
      </c>
      <c r="D790" s="1" t="s">
        <v>21</v>
      </c>
      <c r="E790" s="1" t="s">
        <v>37</v>
      </c>
      <c r="F790" s="1">
        <v>603.49</v>
      </c>
      <c r="G790" s="1">
        <v>-156.3</v>
      </c>
      <c r="H790" s="1">
        <v>10.0</v>
      </c>
      <c r="I790" s="1" t="s">
        <v>23</v>
      </c>
      <c r="J790" s="1" t="s">
        <v>38</v>
      </c>
      <c r="K790" s="1">
        <f t="shared" si="1"/>
        <v>2023</v>
      </c>
      <c r="L790" s="1" t="str">
        <f t="shared" si="2"/>
        <v>Oct</v>
      </c>
      <c r="M790" s="1" t="str">
        <f t="shared" si="3"/>
        <v>Loss</v>
      </c>
    </row>
    <row r="791" ht="14.25" customHeight="1">
      <c r="A791" s="1" t="s">
        <v>825</v>
      </c>
      <c r="B791" s="2">
        <v>45065.0</v>
      </c>
      <c r="C791" s="1" t="s">
        <v>30</v>
      </c>
      <c r="D791" s="1" t="s">
        <v>15</v>
      </c>
      <c r="E791" s="1" t="s">
        <v>54</v>
      </c>
      <c r="F791" s="1">
        <v>869.82</v>
      </c>
      <c r="G791" s="1">
        <v>-46.24</v>
      </c>
      <c r="H791" s="1">
        <v>1.0</v>
      </c>
      <c r="I791" s="1" t="s">
        <v>23</v>
      </c>
      <c r="J791" s="1" t="s">
        <v>38</v>
      </c>
      <c r="K791" s="1">
        <f t="shared" si="1"/>
        <v>2023</v>
      </c>
      <c r="L791" s="1" t="str">
        <f t="shared" si="2"/>
        <v>May</v>
      </c>
      <c r="M791" s="1" t="str">
        <f t="shared" si="3"/>
        <v>Loss</v>
      </c>
    </row>
    <row r="792" ht="14.25" customHeight="1">
      <c r="A792" s="1" t="s">
        <v>826</v>
      </c>
      <c r="B792" s="2">
        <v>44342.0</v>
      </c>
      <c r="C792" s="1" t="s">
        <v>26</v>
      </c>
      <c r="D792" s="1" t="s">
        <v>15</v>
      </c>
      <c r="E792" s="1" t="s">
        <v>31</v>
      </c>
      <c r="F792" s="1">
        <v>532.45</v>
      </c>
      <c r="G792" s="1">
        <v>-198.98</v>
      </c>
      <c r="H792" s="1">
        <v>7.0</v>
      </c>
      <c r="I792" s="1" t="s">
        <v>34</v>
      </c>
      <c r="J792" s="1" t="s">
        <v>38</v>
      </c>
      <c r="K792" s="1">
        <f t="shared" si="1"/>
        <v>2021</v>
      </c>
      <c r="L792" s="1" t="str">
        <f t="shared" si="2"/>
        <v>May</v>
      </c>
      <c r="M792" s="1" t="str">
        <f t="shared" si="3"/>
        <v>Loss</v>
      </c>
    </row>
    <row r="793" ht="14.25" customHeight="1">
      <c r="A793" s="1" t="s">
        <v>827</v>
      </c>
      <c r="B793" s="2">
        <v>44334.0</v>
      </c>
      <c r="C793" s="1" t="s">
        <v>20</v>
      </c>
      <c r="D793" s="1" t="s">
        <v>21</v>
      </c>
      <c r="E793" s="1" t="s">
        <v>37</v>
      </c>
      <c r="F793" s="1">
        <v>455.57</v>
      </c>
      <c r="G793" s="1">
        <v>186.54</v>
      </c>
      <c r="H793" s="1">
        <v>1.0</v>
      </c>
      <c r="I793" s="1" t="s">
        <v>34</v>
      </c>
      <c r="J793" s="1" t="s">
        <v>35</v>
      </c>
      <c r="K793" s="1">
        <f t="shared" si="1"/>
        <v>2021</v>
      </c>
      <c r="L793" s="1" t="str">
        <f t="shared" si="2"/>
        <v>May</v>
      </c>
      <c r="M793" s="1" t="str">
        <f t="shared" si="3"/>
        <v>Profit</v>
      </c>
    </row>
    <row r="794" ht="14.25" customHeight="1">
      <c r="A794" s="1" t="s">
        <v>828</v>
      </c>
      <c r="B794" s="2">
        <v>44740.0</v>
      </c>
      <c r="C794" s="1" t="s">
        <v>14</v>
      </c>
      <c r="D794" s="1" t="s">
        <v>21</v>
      </c>
      <c r="E794" s="1" t="s">
        <v>22</v>
      </c>
      <c r="F794" s="1">
        <v>613.28</v>
      </c>
      <c r="G794" s="1">
        <v>-119.25</v>
      </c>
      <c r="H794" s="1">
        <v>4.0</v>
      </c>
      <c r="I794" s="1" t="s">
        <v>34</v>
      </c>
      <c r="J794" s="1" t="s">
        <v>35</v>
      </c>
      <c r="K794" s="1">
        <f t="shared" si="1"/>
        <v>2022</v>
      </c>
      <c r="L794" s="1" t="str">
        <f t="shared" si="2"/>
        <v>Jun</v>
      </c>
      <c r="M794" s="1" t="str">
        <f t="shared" si="3"/>
        <v>Loss</v>
      </c>
    </row>
    <row r="795" ht="14.25" customHeight="1">
      <c r="A795" s="1" t="s">
        <v>829</v>
      </c>
      <c r="B795" s="2">
        <v>45216.0</v>
      </c>
      <c r="C795" s="1" t="s">
        <v>20</v>
      </c>
      <c r="D795" s="1" t="s">
        <v>21</v>
      </c>
      <c r="E795" s="1" t="s">
        <v>76</v>
      </c>
      <c r="F795" s="1">
        <v>637.5</v>
      </c>
      <c r="G795" s="1">
        <v>263.26</v>
      </c>
      <c r="H795" s="1">
        <v>8.0</v>
      </c>
      <c r="I795" s="1" t="s">
        <v>17</v>
      </c>
      <c r="J795" s="1" t="s">
        <v>18</v>
      </c>
      <c r="K795" s="1">
        <f t="shared" si="1"/>
        <v>2023</v>
      </c>
      <c r="L795" s="1" t="str">
        <f t="shared" si="2"/>
        <v>Oct</v>
      </c>
      <c r="M795" s="1" t="str">
        <f t="shared" si="3"/>
        <v>Profit</v>
      </c>
    </row>
    <row r="796" ht="14.25" customHeight="1">
      <c r="A796" s="1" t="s">
        <v>830</v>
      </c>
      <c r="B796" s="2">
        <v>44987.0</v>
      </c>
      <c r="C796" s="1" t="s">
        <v>14</v>
      </c>
      <c r="D796" s="1" t="s">
        <v>27</v>
      </c>
      <c r="E796" s="1" t="s">
        <v>28</v>
      </c>
      <c r="F796" s="1">
        <v>105.4</v>
      </c>
      <c r="G796" s="1">
        <v>-23.12</v>
      </c>
      <c r="H796" s="1">
        <v>2.0</v>
      </c>
      <c r="I796" s="1" t="s">
        <v>34</v>
      </c>
      <c r="J796" s="1" t="s">
        <v>18</v>
      </c>
      <c r="K796" s="1">
        <f t="shared" si="1"/>
        <v>2023</v>
      </c>
      <c r="L796" s="1" t="str">
        <f t="shared" si="2"/>
        <v>Mar</v>
      </c>
      <c r="M796" s="1" t="str">
        <f t="shared" si="3"/>
        <v>Loss</v>
      </c>
    </row>
    <row r="797" ht="14.25" customHeight="1">
      <c r="A797" s="1" t="s">
        <v>831</v>
      </c>
      <c r="B797" s="2">
        <v>44610.0</v>
      </c>
      <c r="C797" s="1" t="s">
        <v>26</v>
      </c>
      <c r="D797" s="1" t="s">
        <v>15</v>
      </c>
      <c r="E797" s="1" t="s">
        <v>54</v>
      </c>
      <c r="F797" s="1">
        <v>238.34</v>
      </c>
      <c r="G797" s="1">
        <v>-88.83</v>
      </c>
      <c r="H797" s="1">
        <v>1.0</v>
      </c>
      <c r="I797" s="1" t="s">
        <v>34</v>
      </c>
      <c r="J797" s="1" t="s">
        <v>38</v>
      </c>
      <c r="K797" s="1">
        <f t="shared" si="1"/>
        <v>2022</v>
      </c>
      <c r="L797" s="1" t="str">
        <f t="shared" si="2"/>
        <v>Feb</v>
      </c>
      <c r="M797" s="1" t="str">
        <f t="shared" si="3"/>
        <v>Loss</v>
      </c>
    </row>
    <row r="798" ht="14.25" customHeight="1">
      <c r="A798" s="1" t="s">
        <v>832</v>
      </c>
      <c r="B798" s="2">
        <v>44698.0</v>
      </c>
      <c r="C798" s="1" t="s">
        <v>20</v>
      </c>
      <c r="D798" s="1" t="s">
        <v>15</v>
      </c>
      <c r="E798" s="1" t="s">
        <v>16</v>
      </c>
      <c r="F798" s="1">
        <v>527.17</v>
      </c>
      <c r="G798" s="1">
        <v>78.34</v>
      </c>
      <c r="H798" s="1">
        <v>4.0</v>
      </c>
      <c r="I798" s="1" t="s">
        <v>17</v>
      </c>
      <c r="J798" s="1" t="s">
        <v>18</v>
      </c>
      <c r="K798" s="1">
        <f t="shared" si="1"/>
        <v>2022</v>
      </c>
      <c r="L798" s="1" t="str">
        <f t="shared" si="2"/>
        <v>May</v>
      </c>
      <c r="M798" s="1" t="str">
        <f t="shared" si="3"/>
        <v>Profit</v>
      </c>
    </row>
    <row r="799" ht="14.25" customHeight="1">
      <c r="A799" s="1" t="s">
        <v>833</v>
      </c>
      <c r="B799" s="2">
        <v>44576.0</v>
      </c>
      <c r="C799" s="1" t="s">
        <v>14</v>
      </c>
      <c r="D799" s="1" t="s">
        <v>21</v>
      </c>
      <c r="E799" s="1" t="s">
        <v>22</v>
      </c>
      <c r="F799" s="1">
        <v>596.53</v>
      </c>
      <c r="G799" s="1">
        <v>228.45</v>
      </c>
      <c r="H799" s="1">
        <v>6.0</v>
      </c>
      <c r="I799" s="1" t="s">
        <v>17</v>
      </c>
      <c r="J799" s="1" t="s">
        <v>18</v>
      </c>
      <c r="K799" s="1">
        <f t="shared" si="1"/>
        <v>2022</v>
      </c>
      <c r="L799" s="1" t="str">
        <f t="shared" si="2"/>
        <v>Jan</v>
      </c>
      <c r="M799" s="1" t="str">
        <f t="shared" si="3"/>
        <v>Profit</v>
      </c>
    </row>
    <row r="800" ht="14.25" customHeight="1">
      <c r="A800" s="1" t="s">
        <v>834</v>
      </c>
      <c r="B800" s="2">
        <v>44900.0</v>
      </c>
      <c r="C800" s="1" t="s">
        <v>20</v>
      </c>
      <c r="D800" s="1" t="s">
        <v>27</v>
      </c>
      <c r="E800" s="1" t="s">
        <v>40</v>
      </c>
      <c r="F800" s="1">
        <v>71.98</v>
      </c>
      <c r="G800" s="1">
        <v>-45.34</v>
      </c>
      <c r="H800" s="1">
        <v>2.0</v>
      </c>
      <c r="I800" s="1" t="s">
        <v>34</v>
      </c>
      <c r="J800" s="1" t="s">
        <v>38</v>
      </c>
      <c r="K800" s="1">
        <f t="shared" si="1"/>
        <v>2022</v>
      </c>
      <c r="L800" s="1" t="str">
        <f t="shared" si="2"/>
        <v>Dec</v>
      </c>
      <c r="M800" s="1" t="str">
        <f t="shared" si="3"/>
        <v>Loss</v>
      </c>
    </row>
    <row r="801" ht="14.25" customHeight="1">
      <c r="A801" s="1" t="s">
        <v>835</v>
      </c>
      <c r="B801" s="2">
        <v>44569.0</v>
      </c>
      <c r="C801" s="1" t="s">
        <v>14</v>
      </c>
      <c r="D801" s="1" t="s">
        <v>15</v>
      </c>
      <c r="E801" s="1" t="s">
        <v>16</v>
      </c>
      <c r="F801" s="1">
        <v>503.93</v>
      </c>
      <c r="G801" s="1">
        <v>-26.37</v>
      </c>
      <c r="H801" s="1">
        <v>7.0</v>
      </c>
      <c r="I801" s="1" t="s">
        <v>17</v>
      </c>
      <c r="J801" s="1" t="s">
        <v>35</v>
      </c>
      <c r="K801" s="1">
        <f t="shared" si="1"/>
        <v>2022</v>
      </c>
      <c r="L801" s="1" t="str">
        <f t="shared" si="2"/>
        <v>Jan</v>
      </c>
      <c r="M801" s="1" t="str">
        <f t="shared" si="3"/>
        <v>Loss</v>
      </c>
    </row>
    <row r="802" ht="14.25" customHeight="1">
      <c r="A802" s="1" t="s">
        <v>836</v>
      </c>
      <c r="B802" s="2">
        <v>44607.0</v>
      </c>
      <c r="C802" s="1" t="s">
        <v>26</v>
      </c>
      <c r="D802" s="1" t="s">
        <v>21</v>
      </c>
      <c r="E802" s="1" t="s">
        <v>37</v>
      </c>
      <c r="F802" s="1">
        <v>55.49</v>
      </c>
      <c r="G802" s="1">
        <v>9.04</v>
      </c>
      <c r="H802" s="1">
        <v>7.0</v>
      </c>
      <c r="I802" s="1" t="s">
        <v>23</v>
      </c>
      <c r="J802" s="1" t="s">
        <v>35</v>
      </c>
      <c r="K802" s="1">
        <f t="shared" si="1"/>
        <v>2022</v>
      </c>
      <c r="L802" s="1" t="str">
        <f t="shared" si="2"/>
        <v>Feb</v>
      </c>
      <c r="M802" s="1" t="str">
        <f t="shared" si="3"/>
        <v>Profit</v>
      </c>
    </row>
    <row r="803" ht="14.25" customHeight="1">
      <c r="A803" s="1" t="s">
        <v>837</v>
      </c>
      <c r="B803" s="2">
        <v>45263.0</v>
      </c>
      <c r="C803" s="1" t="s">
        <v>30</v>
      </c>
      <c r="D803" s="1" t="s">
        <v>21</v>
      </c>
      <c r="E803" s="1" t="s">
        <v>22</v>
      </c>
      <c r="F803" s="1">
        <v>775.15</v>
      </c>
      <c r="G803" s="1">
        <v>-171.86</v>
      </c>
      <c r="H803" s="1">
        <v>2.0</v>
      </c>
      <c r="I803" s="1" t="s">
        <v>23</v>
      </c>
      <c r="J803" s="1" t="s">
        <v>24</v>
      </c>
      <c r="K803" s="1">
        <f t="shared" si="1"/>
        <v>2023</v>
      </c>
      <c r="L803" s="1" t="str">
        <f t="shared" si="2"/>
        <v>Dec</v>
      </c>
      <c r="M803" s="1" t="str">
        <f t="shared" si="3"/>
        <v>Loss</v>
      </c>
    </row>
    <row r="804" ht="14.25" customHeight="1">
      <c r="A804" s="1" t="s">
        <v>838</v>
      </c>
      <c r="B804" s="2">
        <v>44475.0</v>
      </c>
      <c r="C804" s="1" t="s">
        <v>30</v>
      </c>
      <c r="D804" s="1" t="s">
        <v>15</v>
      </c>
      <c r="E804" s="1" t="s">
        <v>31</v>
      </c>
      <c r="F804" s="1">
        <v>679.33</v>
      </c>
      <c r="G804" s="1">
        <v>-86.13</v>
      </c>
      <c r="H804" s="1">
        <v>7.0</v>
      </c>
      <c r="I804" s="1" t="s">
        <v>23</v>
      </c>
      <c r="J804" s="1" t="s">
        <v>18</v>
      </c>
      <c r="K804" s="1">
        <f t="shared" si="1"/>
        <v>2021</v>
      </c>
      <c r="L804" s="1" t="str">
        <f t="shared" si="2"/>
        <v>Oct</v>
      </c>
      <c r="M804" s="1" t="str">
        <f t="shared" si="3"/>
        <v>Loss</v>
      </c>
    </row>
    <row r="805" ht="14.25" customHeight="1">
      <c r="A805" s="1" t="s">
        <v>839</v>
      </c>
      <c r="B805" s="2">
        <v>44334.0</v>
      </c>
      <c r="C805" s="1" t="s">
        <v>30</v>
      </c>
      <c r="D805" s="1" t="s">
        <v>15</v>
      </c>
      <c r="E805" s="1" t="s">
        <v>31</v>
      </c>
      <c r="F805" s="1">
        <v>140.71</v>
      </c>
      <c r="G805" s="1">
        <v>-13.54</v>
      </c>
      <c r="H805" s="1">
        <v>4.0</v>
      </c>
      <c r="I805" s="1" t="s">
        <v>23</v>
      </c>
      <c r="J805" s="1" t="s">
        <v>18</v>
      </c>
      <c r="K805" s="1">
        <f t="shared" si="1"/>
        <v>2021</v>
      </c>
      <c r="L805" s="1" t="str">
        <f t="shared" si="2"/>
        <v>May</v>
      </c>
      <c r="M805" s="1" t="str">
        <f t="shared" si="3"/>
        <v>Loss</v>
      </c>
    </row>
    <row r="806" ht="14.25" customHeight="1">
      <c r="A806" s="1" t="s">
        <v>840</v>
      </c>
      <c r="B806" s="2">
        <v>44481.0</v>
      </c>
      <c r="C806" s="1" t="s">
        <v>20</v>
      </c>
      <c r="D806" s="1" t="s">
        <v>27</v>
      </c>
      <c r="E806" s="1" t="s">
        <v>33</v>
      </c>
      <c r="F806" s="1">
        <v>617.95</v>
      </c>
      <c r="G806" s="1">
        <v>-22.72</v>
      </c>
      <c r="H806" s="1">
        <v>6.0</v>
      </c>
      <c r="I806" s="1" t="s">
        <v>34</v>
      </c>
      <c r="J806" s="1" t="s">
        <v>35</v>
      </c>
      <c r="K806" s="1">
        <f t="shared" si="1"/>
        <v>2021</v>
      </c>
      <c r="L806" s="1" t="str">
        <f t="shared" si="2"/>
        <v>Oct</v>
      </c>
      <c r="M806" s="1" t="str">
        <f t="shared" si="3"/>
        <v>Loss</v>
      </c>
    </row>
    <row r="807" ht="14.25" customHeight="1">
      <c r="A807" s="1" t="s">
        <v>841</v>
      </c>
      <c r="B807" s="2">
        <v>44408.0</v>
      </c>
      <c r="C807" s="1" t="s">
        <v>30</v>
      </c>
      <c r="D807" s="1" t="s">
        <v>15</v>
      </c>
      <c r="E807" s="1" t="s">
        <v>16</v>
      </c>
      <c r="F807" s="1">
        <v>171.83</v>
      </c>
      <c r="G807" s="1">
        <v>200.47</v>
      </c>
      <c r="H807" s="1">
        <v>7.0</v>
      </c>
      <c r="I807" s="1" t="s">
        <v>17</v>
      </c>
      <c r="J807" s="1" t="s">
        <v>35</v>
      </c>
      <c r="K807" s="1">
        <f t="shared" si="1"/>
        <v>2021</v>
      </c>
      <c r="L807" s="1" t="str">
        <f t="shared" si="2"/>
        <v>Jul</v>
      </c>
      <c r="M807" s="1" t="str">
        <f t="shared" si="3"/>
        <v>Profit</v>
      </c>
    </row>
    <row r="808" ht="14.25" customHeight="1">
      <c r="A808" s="1" t="s">
        <v>842</v>
      </c>
      <c r="B808" s="2">
        <v>44320.0</v>
      </c>
      <c r="C808" s="1" t="s">
        <v>30</v>
      </c>
      <c r="D808" s="1" t="s">
        <v>15</v>
      </c>
      <c r="E808" s="1" t="s">
        <v>16</v>
      </c>
      <c r="F808" s="1">
        <v>958.5</v>
      </c>
      <c r="G808" s="1">
        <v>-131.06</v>
      </c>
      <c r="H808" s="1">
        <v>4.0</v>
      </c>
      <c r="I808" s="1" t="s">
        <v>23</v>
      </c>
      <c r="J808" s="1" t="s">
        <v>18</v>
      </c>
      <c r="K808" s="1">
        <f t="shared" si="1"/>
        <v>2021</v>
      </c>
      <c r="L808" s="1" t="str">
        <f t="shared" si="2"/>
        <v>May</v>
      </c>
      <c r="M808" s="1" t="str">
        <f t="shared" si="3"/>
        <v>Loss</v>
      </c>
    </row>
    <row r="809" ht="14.25" customHeight="1">
      <c r="A809" s="1" t="s">
        <v>843</v>
      </c>
      <c r="B809" s="2">
        <v>44947.0</v>
      </c>
      <c r="C809" s="1" t="s">
        <v>26</v>
      </c>
      <c r="D809" s="1" t="s">
        <v>15</v>
      </c>
      <c r="E809" s="1" t="s">
        <v>31</v>
      </c>
      <c r="F809" s="1">
        <v>324.39</v>
      </c>
      <c r="G809" s="1">
        <v>-103.44</v>
      </c>
      <c r="H809" s="1">
        <v>3.0</v>
      </c>
      <c r="I809" s="1" t="s">
        <v>34</v>
      </c>
      <c r="J809" s="1" t="s">
        <v>38</v>
      </c>
      <c r="K809" s="1">
        <f t="shared" si="1"/>
        <v>2023</v>
      </c>
      <c r="L809" s="1" t="str">
        <f t="shared" si="2"/>
        <v>Jan</v>
      </c>
      <c r="M809" s="1" t="str">
        <f t="shared" si="3"/>
        <v>Loss</v>
      </c>
    </row>
    <row r="810" ht="14.25" customHeight="1">
      <c r="A810" s="1" t="s">
        <v>844</v>
      </c>
      <c r="B810" s="2">
        <v>44547.0</v>
      </c>
      <c r="C810" s="1" t="s">
        <v>14</v>
      </c>
      <c r="D810" s="1" t="s">
        <v>15</v>
      </c>
      <c r="E810" s="1" t="s">
        <v>54</v>
      </c>
      <c r="F810" s="1">
        <v>550.83</v>
      </c>
      <c r="G810" s="1">
        <v>241.81</v>
      </c>
      <c r="H810" s="1">
        <v>8.0</v>
      </c>
      <c r="I810" s="1" t="s">
        <v>17</v>
      </c>
      <c r="J810" s="1" t="s">
        <v>24</v>
      </c>
      <c r="K810" s="1">
        <f t="shared" si="1"/>
        <v>2021</v>
      </c>
      <c r="L810" s="1" t="str">
        <f t="shared" si="2"/>
        <v>Dec</v>
      </c>
      <c r="M810" s="1" t="str">
        <f t="shared" si="3"/>
        <v>Profit</v>
      </c>
    </row>
    <row r="811" ht="14.25" customHeight="1">
      <c r="A811" s="1" t="s">
        <v>845</v>
      </c>
      <c r="B811" s="2">
        <v>44923.0</v>
      </c>
      <c r="C811" s="1" t="s">
        <v>26</v>
      </c>
      <c r="D811" s="1" t="s">
        <v>27</v>
      </c>
      <c r="E811" s="1" t="s">
        <v>40</v>
      </c>
      <c r="F811" s="1">
        <v>286.13</v>
      </c>
      <c r="G811" s="1">
        <v>293.81</v>
      </c>
      <c r="H811" s="1">
        <v>6.0</v>
      </c>
      <c r="I811" s="1" t="s">
        <v>17</v>
      </c>
      <c r="J811" s="1" t="s">
        <v>18</v>
      </c>
      <c r="K811" s="1">
        <f t="shared" si="1"/>
        <v>2022</v>
      </c>
      <c r="L811" s="1" t="str">
        <f t="shared" si="2"/>
        <v>Dec</v>
      </c>
      <c r="M811" s="1" t="str">
        <f t="shared" si="3"/>
        <v>Profit</v>
      </c>
    </row>
    <row r="812" ht="14.25" customHeight="1">
      <c r="A812" s="1" t="s">
        <v>846</v>
      </c>
      <c r="B812" s="2">
        <v>45147.0</v>
      </c>
      <c r="C812" s="1" t="s">
        <v>20</v>
      </c>
      <c r="D812" s="1" t="s">
        <v>27</v>
      </c>
      <c r="E812" s="1" t="s">
        <v>33</v>
      </c>
      <c r="F812" s="1">
        <v>75.51</v>
      </c>
      <c r="G812" s="1">
        <v>258.16</v>
      </c>
      <c r="H812" s="1">
        <v>6.0</v>
      </c>
      <c r="I812" s="1" t="s">
        <v>23</v>
      </c>
      <c r="J812" s="1" t="s">
        <v>18</v>
      </c>
      <c r="K812" s="1">
        <f t="shared" si="1"/>
        <v>2023</v>
      </c>
      <c r="L812" s="1" t="str">
        <f t="shared" si="2"/>
        <v>Aug</v>
      </c>
      <c r="M812" s="1" t="str">
        <f t="shared" si="3"/>
        <v>Profit</v>
      </c>
    </row>
    <row r="813" ht="14.25" customHeight="1">
      <c r="A813" s="1" t="s">
        <v>847</v>
      </c>
      <c r="B813" s="2">
        <v>45206.0</v>
      </c>
      <c r="C813" s="1" t="s">
        <v>30</v>
      </c>
      <c r="D813" s="1" t="s">
        <v>27</v>
      </c>
      <c r="E813" s="1" t="s">
        <v>33</v>
      </c>
      <c r="F813" s="1">
        <v>351.56</v>
      </c>
      <c r="G813" s="1">
        <v>-17.16</v>
      </c>
      <c r="H813" s="1">
        <v>3.0</v>
      </c>
      <c r="I813" s="1" t="s">
        <v>17</v>
      </c>
      <c r="J813" s="1" t="s">
        <v>24</v>
      </c>
      <c r="K813" s="1">
        <f t="shared" si="1"/>
        <v>2023</v>
      </c>
      <c r="L813" s="1" t="str">
        <f t="shared" si="2"/>
        <v>Oct</v>
      </c>
      <c r="M813" s="1" t="str">
        <f t="shared" si="3"/>
        <v>Loss</v>
      </c>
    </row>
    <row r="814" ht="14.25" customHeight="1">
      <c r="A814" s="1" t="s">
        <v>848</v>
      </c>
      <c r="B814" s="2">
        <v>44854.0</v>
      </c>
      <c r="C814" s="1" t="s">
        <v>14</v>
      </c>
      <c r="D814" s="1" t="s">
        <v>15</v>
      </c>
      <c r="E814" s="1" t="s">
        <v>54</v>
      </c>
      <c r="F814" s="1">
        <v>779.11</v>
      </c>
      <c r="G814" s="1">
        <v>136.56</v>
      </c>
      <c r="H814" s="1">
        <v>6.0</v>
      </c>
      <c r="I814" s="1" t="s">
        <v>23</v>
      </c>
      <c r="J814" s="1" t="s">
        <v>35</v>
      </c>
      <c r="K814" s="1">
        <f t="shared" si="1"/>
        <v>2022</v>
      </c>
      <c r="L814" s="1" t="str">
        <f t="shared" si="2"/>
        <v>Oct</v>
      </c>
      <c r="M814" s="1" t="str">
        <f t="shared" si="3"/>
        <v>Profit</v>
      </c>
    </row>
    <row r="815" ht="14.25" customHeight="1">
      <c r="A815" s="1" t="s">
        <v>849</v>
      </c>
      <c r="B815" s="2">
        <v>44670.0</v>
      </c>
      <c r="C815" s="1" t="s">
        <v>30</v>
      </c>
      <c r="D815" s="1" t="s">
        <v>27</v>
      </c>
      <c r="E815" s="1" t="s">
        <v>40</v>
      </c>
      <c r="F815" s="1">
        <v>926.06</v>
      </c>
      <c r="G815" s="1">
        <v>-197.41</v>
      </c>
      <c r="H815" s="1">
        <v>3.0</v>
      </c>
      <c r="I815" s="1" t="s">
        <v>34</v>
      </c>
      <c r="J815" s="1" t="s">
        <v>38</v>
      </c>
      <c r="K815" s="1">
        <f t="shared" si="1"/>
        <v>2022</v>
      </c>
      <c r="L815" s="1" t="str">
        <f t="shared" si="2"/>
        <v>Apr</v>
      </c>
      <c r="M815" s="1" t="str">
        <f t="shared" si="3"/>
        <v>Loss</v>
      </c>
    </row>
    <row r="816" ht="14.25" customHeight="1">
      <c r="A816" s="1" t="s">
        <v>850</v>
      </c>
      <c r="B816" s="2">
        <v>45008.0</v>
      </c>
      <c r="C816" s="1" t="s">
        <v>26</v>
      </c>
      <c r="D816" s="1" t="s">
        <v>27</v>
      </c>
      <c r="E816" s="1" t="s">
        <v>28</v>
      </c>
      <c r="F816" s="1">
        <v>821.02</v>
      </c>
      <c r="G816" s="1">
        <v>-88.12</v>
      </c>
      <c r="H816" s="1">
        <v>7.0</v>
      </c>
      <c r="I816" s="1" t="s">
        <v>17</v>
      </c>
      <c r="J816" s="1" t="s">
        <v>18</v>
      </c>
      <c r="K816" s="1">
        <f t="shared" si="1"/>
        <v>2023</v>
      </c>
      <c r="L816" s="1" t="str">
        <f t="shared" si="2"/>
        <v>Mar</v>
      </c>
      <c r="M816" s="1" t="str">
        <f t="shared" si="3"/>
        <v>Loss</v>
      </c>
    </row>
    <row r="817" ht="14.25" customHeight="1">
      <c r="A817" s="1" t="s">
        <v>851</v>
      </c>
      <c r="B817" s="2">
        <v>44635.0</v>
      </c>
      <c r="C817" s="1" t="s">
        <v>20</v>
      </c>
      <c r="D817" s="1" t="s">
        <v>27</v>
      </c>
      <c r="E817" s="1" t="s">
        <v>28</v>
      </c>
      <c r="F817" s="1">
        <v>827.31</v>
      </c>
      <c r="G817" s="1">
        <v>-18.07</v>
      </c>
      <c r="H817" s="1">
        <v>4.0</v>
      </c>
      <c r="I817" s="1" t="s">
        <v>23</v>
      </c>
      <c r="J817" s="1" t="s">
        <v>38</v>
      </c>
      <c r="K817" s="1">
        <f t="shared" si="1"/>
        <v>2022</v>
      </c>
      <c r="L817" s="1" t="str">
        <f t="shared" si="2"/>
        <v>Mar</v>
      </c>
      <c r="M817" s="1" t="str">
        <f t="shared" si="3"/>
        <v>Loss</v>
      </c>
    </row>
    <row r="818" ht="14.25" customHeight="1">
      <c r="A818" s="1" t="s">
        <v>852</v>
      </c>
      <c r="B818" s="2">
        <v>44492.0</v>
      </c>
      <c r="C818" s="1" t="s">
        <v>26</v>
      </c>
      <c r="D818" s="1" t="s">
        <v>15</v>
      </c>
      <c r="E818" s="1" t="s">
        <v>31</v>
      </c>
      <c r="F818" s="1">
        <v>342.92</v>
      </c>
      <c r="G818" s="1">
        <v>207.31</v>
      </c>
      <c r="H818" s="1">
        <v>1.0</v>
      </c>
      <c r="I818" s="1" t="s">
        <v>34</v>
      </c>
      <c r="J818" s="1" t="s">
        <v>35</v>
      </c>
      <c r="K818" s="1">
        <f t="shared" si="1"/>
        <v>2021</v>
      </c>
      <c r="L818" s="1" t="str">
        <f t="shared" si="2"/>
        <v>Oct</v>
      </c>
      <c r="M818" s="1" t="str">
        <f t="shared" si="3"/>
        <v>Profit</v>
      </c>
    </row>
    <row r="819" ht="14.25" customHeight="1">
      <c r="A819" s="1" t="s">
        <v>853</v>
      </c>
      <c r="B819" s="2">
        <v>44818.0</v>
      </c>
      <c r="C819" s="1" t="s">
        <v>30</v>
      </c>
      <c r="D819" s="1" t="s">
        <v>27</v>
      </c>
      <c r="E819" s="1" t="s">
        <v>28</v>
      </c>
      <c r="F819" s="1">
        <v>961.8</v>
      </c>
      <c r="G819" s="1">
        <v>144.41</v>
      </c>
      <c r="H819" s="1">
        <v>7.0</v>
      </c>
      <c r="I819" s="1" t="s">
        <v>34</v>
      </c>
      <c r="J819" s="1" t="s">
        <v>24</v>
      </c>
      <c r="K819" s="1">
        <f t="shared" si="1"/>
        <v>2022</v>
      </c>
      <c r="L819" s="1" t="str">
        <f t="shared" si="2"/>
        <v>Sep</v>
      </c>
      <c r="M819" s="1" t="str">
        <f t="shared" si="3"/>
        <v>Profit</v>
      </c>
    </row>
    <row r="820" ht="14.25" customHeight="1">
      <c r="A820" s="1" t="s">
        <v>854</v>
      </c>
      <c r="B820" s="2">
        <v>44259.0</v>
      </c>
      <c r="C820" s="1" t="s">
        <v>14</v>
      </c>
      <c r="D820" s="1" t="s">
        <v>15</v>
      </c>
      <c r="E820" s="1" t="s">
        <v>54</v>
      </c>
      <c r="F820" s="1">
        <v>510.33</v>
      </c>
      <c r="G820" s="1">
        <v>-129.93</v>
      </c>
      <c r="H820" s="1">
        <v>8.0</v>
      </c>
      <c r="I820" s="1" t="s">
        <v>17</v>
      </c>
      <c r="J820" s="1" t="s">
        <v>24</v>
      </c>
      <c r="K820" s="1">
        <f t="shared" si="1"/>
        <v>2021</v>
      </c>
      <c r="L820" s="1" t="str">
        <f t="shared" si="2"/>
        <v>Mar</v>
      </c>
      <c r="M820" s="1" t="str">
        <f t="shared" si="3"/>
        <v>Loss</v>
      </c>
    </row>
    <row r="821" ht="14.25" customHeight="1">
      <c r="A821" s="1" t="s">
        <v>855</v>
      </c>
      <c r="B821" s="2">
        <v>44294.0</v>
      </c>
      <c r="C821" s="1" t="s">
        <v>14</v>
      </c>
      <c r="D821" s="1" t="s">
        <v>27</v>
      </c>
      <c r="E821" s="1" t="s">
        <v>28</v>
      </c>
      <c r="F821" s="1">
        <v>152.88</v>
      </c>
      <c r="G821" s="1">
        <v>272.41</v>
      </c>
      <c r="H821" s="1">
        <v>6.0</v>
      </c>
      <c r="I821" s="1" t="s">
        <v>23</v>
      </c>
      <c r="J821" s="1" t="s">
        <v>38</v>
      </c>
      <c r="K821" s="1">
        <f t="shared" si="1"/>
        <v>2021</v>
      </c>
      <c r="L821" s="1" t="str">
        <f t="shared" si="2"/>
        <v>Apr</v>
      </c>
      <c r="M821" s="1" t="str">
        <f t="shared" si="3"/>
        <v>Profit</v>
      </c>
    </row>
    <row r="822" ht="14.25" customHeight="1">
      <c r="A822" s="1" t="s">
        <v>856</v>
      </c>
      <c r="B822" s="2">
        <v>44225.0</v>
      </c>
      <c r="C822" s="1" t="s">
        <v>14</v>
      </c>
      <c r="D822" s="1" t="s">
        <v>27</v>
      </c>
      <c r="E822" s="1" t="s">
        <v>28</v>
      </c>
      <c r="F822" s="1">
        <v>738.05</v>
      </c>
      <c r="G822" s="1">
        <v>167.98</v>
      </c>
      <c r="H822" s="1">
        <v>4.0</v>
      </c>
      <c r="I822" s="1" t="s">
        <v>23</v>
      </c>
      <c r="J822" s="1" t="s">
        <v>35</v>
      </c>
      <c r="K822" s="1">
        <f t="shared" si="1"/>
        <v>2021</v>
      </c>
      <c r="L822" s="1" t="str">
        <f t="shared" si="2"/>
        <v>Jan</v>
      </c>
      <c r="M822" s="1" t="str">
        <f t="shared" si="3"/>
        <v>Profit</v>
      </c>
    </row>
    <row r="823" ht="14.25" customHeight="1">
      <c r="A823" s="1" t="s">
        <v>857</v>
      </c>
      <c r="B823" s="2">
        <v>44457.0</v>
      </c>
      <c r="C823" s="1" t="s">
        <v>14</v>
      </c>
      <c r="D823" s="1" t="s">
        <v>21</v>
      </c>
      <c r="E823" s="1" t="s">
        <v>22</v>
      </c>
      <c r="F823" s="1">
        <v>46.17</v>
      </c>
      <c r="G823" s="1">
        <v>41.14</v>
      </c>
      <c r="H823" s="1">
        <v>6.0</v>
      </c>
      <c r="I823" s="1" t="s">
        <v>34</v>
      </c>
      <c r="J823" s="1" t="s">
        <v>38</v>
      </c>
      <c r="K823" s="1">
        <f t="shared" si="1"/>
        <v>2021</v>
      </c>
      <c r="L823" s="1" t="str">
        <f t="shared" si="2"/>
        <v>Sep</v>
      </c>
      <c r="M823" s="1" t="str">
        <f t="shared" si="3"/>
        <v>Profit</v>
      </c>
    </row>
    <row r="824" ht="14.25" customHeight="1">
      <c r="A824" s="1" t="s">
        <v>858</v>
      </c>
      <c r="B824" s="2">
        <v>44210.0</v>
      </c>
      <c r="C824" s="1" t="s">
        <v>30</v>
      </c>
      <c r="D824" s="1" t="s">
        <v>27</v>
      </c>
      <c r="E824" s="1" t="s">
        <v>40</v>
      </c>
      <c r="F824" s="1">
        <v>681.67</v>
      </c>
      <c r="G824" s="1">
        <v>-109.31</v>
      </c>
      <c r="H824" s="1">
        <v>6.0</v>
      </c>
      <c r="I824" s="1" t="s">
        <v>17</v>
      </c>
      <c r="J824" s="1" t="s">
        <v>18</v>
      </c>
      <c r="K824" s="1">
        <f t="shared" si="1"/>
        <v>2021</v>
      </c>
      <c r="L824" s="1" t="str">
        <f t="shared" si="2"/>
        <v>Jan</v>
      </c>
      <c r="M824" s="1" t="str">
        <f t="shared" si="3"/>
        <v>Loss</v>
      </c>
    </row>
    <row r="825" ht="14.25" customHeight="1">
      <c r="A825" s="1" t="s">
        <v>859</v>
      </c>
      <c r="B825" s="2">
        <v>45111.0</v>
      </c>
      <c r="C825" s="1" t="s">
        <v>14</v>
      </c>
      <c r="D825" s="1" t="s">
        <v>15</v>
      </c>
      <c r="E825" s="1" t="s">
        <v>31</v>
      </c>
      <c r="F825" s="1">
        <v>302.11</v>
      </c>
      <c r="G825" s="1">
        <v>1.76</v>
      </c>
      <c r="H825" s="1">
        <v>3.0</v>
      </c>
      <c r="I825" s="1" t="s">
        <v>17</v>
      </c>
      <c r="J825" s="1" t="s">
        <v>38</v>
      </c>
      <c r="K825" s="1">
        <f t="shared" si="1"/>
        <v>2023</v>
      </c>
      <c r="L825" s="1" t="str">
        <f t="shared" si="2"/>
        <v>Jul</v>
      </c>
      <c r="M825" s="1" t="str">
        <f t="shared" si="3"/>
        <v>Profit</v>
      </c>
    </row>
    <row r="826" ht="14.25" customHeight="1">
      <c r="A826" s="1" t="s">
        <v>860</v>
      </c>
      <c r="B826" s="2">
        <v>45261.0</v>
      </c>
      <c r="C826" s="1" t="s">
        <v>20</v>
      </c>
      <c r="D826" s="1" t="s">
        <v>21</v>
      </c>
      <c r="E826" s="1" t="s">
        <v>37</v>
      </c>
      <c r="F826" s="1">
        <v>994.56</v>
      </c>
      <c r="G826" s="1">
        <v>17.37</v>
      </c>
      <c r="H826" s="1">
        <v>4.0</v>
      </c>
      <c r="I826" s="1" t="s">
        <v>23</v>
      </c>
      <c r="J826" s="1" t="s">
        <v>24</v>
      </c>
      <c r="K826" s="1">
        <f t="shared" si="1"/>
        <v>2023</v>
      </c>
      <c r="L826" s="1" t="str">
        <f t="shared" si="2"/>
        <v>Dec</v>
      </c>
      <c r="M826" s="1" t="str">
        <f t="shared" si="3"/>
        <v>Profit</v>
      </c>
    </row>
    <row r="827" ht="14.25" customHeight="1">
      <c r="A827" s="1" t="s">
        <v>861</v>
      </c>
      <c r="B827" s="2">
        <v>44911.0</v>
      </c>
      <c r="C827" s="1" t="s">
        <v>20</v>
      </c>
      <c r="D827" s="1" t="s">
        <v>21</v>
      </c>
      <c r="E827" s="1" t="s">
        <v>76</v>
      </c>
      <c r="F827" s="1">
        <v>822.46</v>
      </c>
      <c r="G827" s="1">
        <v>118.64</v>
      </c>
      <c r="H827" s="1">
        <v>3.0</v>
      </c>
      <c r="I827" s="1" t="s">
        <v>34</v>
      </c>
      <c r="J827" s="1" t="s">
        <v>18</v>
      </c>
      <c r="K827" s="1">
        <f t="shared" si="1"/>
        <v>2022</v>
      </c>
      <c r="L827" s="1" t="str">
        <f t="shared" si="2"/>
        <v>Dec</v>
      </c>
      <c r="M827" s="1" t="str">
        <f t="shared" si="3"/>
        <v>Profit</v>
      </c>
    </row>
    <row r="828" ht="14.25" customHeight="1">
      <c r="A828" s="1" t="s">
        <v>862</v>
      </c>
      <c r="B828" s="2">
        <v>45280.0</v>
      </c>
      <c r="C828" s="1" t="s">
        <v>30</v>
      </c>
      <c r="D828" s="1" t="s">
        <v>21</v>
      </c>
      <c r="E828" s="1" t="s">
        <v>76</v>
      </c>
      <c r="F828" s="1">
        <v>419.92</v>
      </c>
      <c r="G828" s="1">
        <v>182.94</v>
      </c>
      <c r="H828" s="1">
        <v>3.0</v>
      </c>
      <c r="I828" s="1" t="s">
        <v>23</v>
      </c>
      <c r="J828" s="1" t="s">
        <v>38</v>
      </c>
      <c r="K828" s="1">
        <f t="shared" si="1"/>
        <v>2023</v>
      </c>
      <c r="L828" s="1" t="str">
        <f t="shared" si="2"/>
        <v>Dec</v>
      </c>
      <c r="M828" s="1" t="str">
        <f t="shared" si="3"/>
        <v>Profit</v>
      </c>
    </row>
    <row r="829" ht="14.25" customHeight="1">
      <c r="A829" s="1" t="s">
        <v>863</v>
      </c>
      <c r="B829" s="2">
        <v>44752.0</v>
      </c>
      <c r="C829" s="1" t="s">
        <v>14</v>
      </c>
      <c r="D829" s="1" t="s">
        <v>15</v>
      </c>
      <c r="E829" s="1" t="s">
        <v>54</v>
      </c>
      <c r="F829" s="1">
        <v>31.18</v>
      </c>
      <c r="G829" s="1">
        <v>59.3</v>
      </c>
      <c r="H829" s="1">
        <v>3.0</v>
      </c>
      <c r="I829" s="1" t="s">
        <v>23</v>
      </c>
      <c r="J829" s="1" t="s">
        <v>18</v>
      </c>
      <c r="K829" s="1">
        <f t="shared" si="1"/>
        <v>2022</v>
      </c>
      <c r="L829" s="1" t="str">
        <f t="shared" si="2"/>
        <v>Jul</v>
      </c>
      <c r="M829" s="1" t="str">
        <f t="shared" si="3"/>
        <v>Profit</v>
      </c>
    </row>
    <row r="830" ht="14.25" customHeight="1">
      <c r="A830" s="1" t="s">
        <v>864</v>
      </c>
      <c r="B830" s="2">
        <v>45013.0</v>
      </c>
      <c r="C830" s="1" t="s">
        <v>30</v>
      </c>
      <c r="D830" s="1" t="s">
        <v>21</v>
      </c>
      <c r="E830" s="1" t="s">
        <v>22</v>
      </c>
      <c r="F830" s="1">
        <v>739.37</v>
      </c>
      <c r="G830" s="1">
        <v>239.63</v>
      </c>
      <c r="H830" s="1">
        <v>8.0</v>
      </c>
      <c r="I830" s="1" t="s">
        <v>23</v>
      </c>
      <c r="J830" s="1" t="s">
        <v>18</v>
      </c>
      <c r="K830" s="1">
        <f t="shared" si="1"/>
        <v>2023</v>
      </c>
      <c r="L830" s="1" t="str">
        <f t="shared" si="2"/>
        <v>Mar</v>
      </c>
      <c r="M830" s="1" t="str">
        <f t="shared" si="3"/>
        <v>Profit</v>
      </c>
    </row>
    <row r="831" ht="14.25" customHeight="1">
      <c r="A831" s="1" t="s">
        <v>865</v>
      </c>
      <c r="B831" s="2">
        <v>45278.0</v>
      </c>
      <c r="C831" s="1" t="s">
        <v>20</v>
      </c>
      <c r="D831" s="1" t="s">
        <v>27</v>
      </c>
      <c r="E831" s="1" t="s">
        <v>33</v>
      </c>
      <c r="F831" s="1">
        <v>706.26</v>
      </c>
      <c r="G831" s="1">
        <v>-61.17</v>
      </c>
      <c r="H831" s="1">
        <v>2.0</v>
      </c>
      <c r="I831" s="1" t="s">
        <v>34</v>
      </c>
      <c r="J831" s="1" t="s">
        <v>24</v>
      </c>
      <c r="K831" s="1">
        <f t="shared" si="1"/>
        <v>2023</v>
      </c>
      <c r="L831" s="1" t="str">
        <f t="shared" si="2"/>
        <v>Dec</v>
      </c>
      <c r="M831" s="1" t="str">
        <f t="shared" si="3"/>
        <v>Loss</v>
      </c>
    </row>
    <row r="832" ht="14.25" customHeight="1">
      <c r="A832" s="1" t="s">
        <v>866</v>
      </c>
      <c r="B832" s="2">
        <v>45195.0</v>
      </c>
      <c r="C832" s="1" t="s">
        <v>30</v>
      </c>
      <c r="D832" s="1" t="s">
        <v>15</v>
      </c>
      <c r="E832" s="1" t="s">
        <v>54</v>
      </c>
      <c r="F832" s="1">
        <v>496.95</v>
      </c>
      <c r="G832" s="1">
        <v>138.43</v>
      </c>
      <c r="H832" s="1">
        <v>6.0</v>
      </c>
      <c r="I832" s="1" t="s">
        <v>34</v>
      </c>
      <c r="J832" s="1" t="s">
        <v>24</v>
      </c>
      <c r="K832" s="1">
        <f t="shared" si="1"/>
        <v>2023</v>
      </c>
      <c r="L832" s="1" t="str">
        <f t="shared" si="2"/>
        <v>Sep</v>
      </c>
      <c r="M832" s="1" t="str">
        <f t="shared" si="3"/>
        <v>Profit</v>
      </c>
    </row>
    <row r="833" ht="14.25" customHeight="1">
      <c r="A833" s="1" t="s">
        <v>867</v>
      </c>
      <c r="B833" s="2">
        <v>44857.0</v>
      </c>
      <c r="C833" s="1" t="s">
        <v>30</v>
      </c>
      <c r="D833" s="1" t="s">
        <v>21</v>
      </c>
      <c r="E833" s="1" t="s">
        <v>22</v>
      </c>
      <c r="F833" s="1">
        <v>375.95</v>
      </c>
      <c r="G833" s="1">
        <v>64.73</v>
      </c>
      <c r="H833" s="1">
        <v>8.0</v>
      </c>
      <c r="I833" s="1" t="s">
        <v>17</v>
      </c>
      <c r="J833" s="1" t="s">
        <v>24</v>
      </c>
      <c r="K833" s="1">
        <f t="shared" si="1"/>
        <v>2022</v>
      </c>
      <c r="L833" s="1" t="str">
        <f t="shared" si="2"/>
        <v>Oct</v>
      </c>
      <c r="M833" s="1" t="str">
        <f t="shared" si="3"/>
        <v>Profit</v>
      </c>
    </row>
    <row r="834" ht="14.25" customHeight="1">
      <c r="A834" s="1" t="s">
        <v>868</v>
      </c>
      <c r="B834" s="2">
        <v>44942.0</v>
      </c>
      <c r="C834" s="1" t="s">
        <v>14</v>
      </c>
      <c r="D834" s="1" t="s">
        <v>15</v>
      </c>
      <c r="E834" s="1" t="s">
        <v>16</v>
      </c>
      <c r="F834" s="1">
        <v>684.33</v>
      </c>
      <c r="G834" s="1">
        <v>275.32</v>
      </c>
      <c r="H834" s="1">
        <v>1.0</v>
      </c>
      <c r="I834" s="1" t="s">
        <v>34</v>
      </c>
      <c r="J834" s="1" t="s">
        <v>38</v>
      </c>
      <c r="K834" s="1">
        <f t="shared" si="1"/>
        <v>2023</v>
      </c>
      <c r="L834" s="1" t="str">
        <f t="shared" si="2"/>
        <v>Jan</v>
      </c>
      <c r="M834" s="1" t="str">
        <f t="shared" si="3"/>
        <v>Profit</v>
      </c>
    </row>
    <row r="835" ht="14.25" customHeight="1">
      <c r="A835" s="1" t="s">
        <v>869</v>
      </c>
      <c r="B835" s="2">
        <v>45120.0</v>
      </c>
      <c r="C835" s="1" t="s">
        <v>30</v>
      </c>
      <c r="D835" s="1" t="s">
        <v>21</v>
      </c>
      <c r="E835" s="1" t="s">
        <v>76</v>
      </c>
      <c r="F835" s="1">
        <v>675.61</v>
      </c>
      <c r="G835" s="1">
        <v>252.47</v>
      </c>
      <c r="H835" s="1">
        <v>3.0</v>
      </c>
      <c r="I835" s="1" t="s">
        <v>34</v>
      </c>
      <c r="J835" s="1" t="s">
        <v>35</v>
      </c>
      <c r="K835" s="1">
        <f t="shared" si="1"/>
        <v>2023</v>
      </c>
      <c r="L835" s="1" t="str">
        <f t="shared" si="2"/>
        <v>Jul</v>
      </c>
      <c r="M835" s="1" t="str">
        <f t="shared" si="3"/>
        <v>Profit</v>
      </c>
    </row>
    <row r="836" ht="14.25" customHeight="1">
      <c r="A836" s="1" t="s">
        <v>870</v>
      </c>
      <c r="B836" s="2">
        <v>44950.0</v>
      </c>
      <c r="C836" s="1" t="s">
        <v>14</v>
      </c>
      <c r="D836" s="1" t="s">
        <v>15</v>
      </c>
      <c r="E836" s="1" t="s">
        <v>54</v>
      </c>
      <c r="F836" s="1">
        <v>328.37</v>
      </c>
      <c r="G836" s="1">
        <v>52.14</v>
      </c>
      <c r="H836" s="1">
        <v>3.0</v>
      </c>
      <c r="I836" s="1" t="s">
        <v>34</v>
      </c>
      <c r="J836" s="1" t="s">
        <v>38</v>
      </c>
      <c r="K836" s="1">
        <f t="shared" si="1"/>
        <v>2023</v>
      </c>
      <c r="L836" s="1" t="str">
        <f t="shared" si="2"/>
        <v>Jan</v>
      </c>
      <c r="M836" s="1" t="str">
        <f t="shared" si="3"/>
        <v>Profit</v>
      </c>
    </row>
    <row r="837" ht="14.25" customHeight="1">
      <c r="A837" s="1" t="s">
        <v>871</v>
      </c>
      <c r="B837" s="2">
        <v>44894.0</v>
      </c>
      <c r="C837" s="1" t="s">
        <v>30</v>
      </c>
      <c r="D837" s="1" t="s">
        <v>27</v>
      </c>
      <c r="E837" s="1" t="s">
        <v>28</v>
      </c>
      <c r="F837" s="1">
        <v>133.34</v>
      </c>
      <c r="G837" s="1">
        <v>-145.94</v>
      </c>
      <c r="H837" s="1">
        <v>9.0</v>
      </c>
      <c r="I837" s="1" t="s">
        <v>34</v>
      </c>
      <c r="J837" s="1" t="s">
        <v>35</v>
      </c>
      <c r="K837" s="1">
        <f t="shared" si="1"/>
        <v>2022</v>
      </c>
      <c r="L837" s="1" t="str">
        <f t="shared" si="2"/>
        <v>Nov</v>
      </c>
      <c r="M837" s="1" t="str">
        <f t="shared" si="3"/>
        <v>Loss</v>
      </c>
    </row>
    <row r="838" ht="14.25" customHeight="1">
      <c r="A838" s="1" t="s">
        <v>872</v>
      </c>
      <c r="B838" s="2">
        <v>44511.0</v>
      </c>
      <c r="C838" s="1" t="s">
        <v>26</v>
      </c>
      <c r="D838" s="1" t="s">
        <v>27</v>
      </c>
      <c r="E838" s="1" t="s">
        <v>33</v>
      </c>
      <c r="F838" s="1">
        <v>592.37</v>
      </c>
      <c r="G838" s="1">
        <v>-104.3</v>
      </c>
      <c r="H838" s="1">
        <v>9.0</v>
      </c>
      <c r="I838" s="1" t="s">
        <v>34</v>
      </c>
      <c r="J838" s="1" t="s">
        <v>38</v>
      </c>
      <c r="K838" s="1">
        <f t="shared" si="1"/>
        <v>2021</v>
      </c>
      <c r="L838" s="1" t="str">
        <f t="shared" si="2"/>
        <v>Nov</v>
      </c>
      <c r="M838" s="1" t="str">
        <f t="shared" si="3"/>
        <v>Loss</v>
      </c>
    </row>
    <row r="839" ht="14.25" customHeight="1">
      <c r="A839" s="1" t="s">
        <v>873</v>
      </c>
      <c r="B839" s="2">
        <v>44635.0</v>
      </c>
      <c r="C839" s="1" t="s">
        <v>26</v>
      </c>
      <c r="D839" s="1" t="s">
        <v>27</v>
      </c>
      <c r="E839" s="1" t="s">
        <v>40</v>
      </c>
      <c r="F839" s="1">
        <v>73.17</v>
      </c>
      <c r="G839" s="1">
        <v>9.97</v>
      </c>
      <c r="H839" s="1">
        <v>6.0</v>
      </c>
      <c r="I839" s="1" t="s">
        <v>23</v>
      </c>
      <c r="J839" s="1" t="s">
        <v>35</v>
      </c>
      <c r="K839" s="1">
        <f t="shared" si="1"/>
        <v>2022</v>
      </c>
      <c r="L839" s="1" t="str">
        <f t="shared" si="2"/>
        <v>Mar</v>
      </c>
      <c r="M839" s="1" t="str">
        <f t="shared" si="3"/>
        <v>Profit</v>
      </c>
    </row>
    <row r="840" ht="14.25" customHeight="1">
      <c r="A840" s="1" t="s">
        <v>874</v>
      </c>
      <c r="B840" s="2">
        <v>44334.0</v>
      </c>
      <c r="C840" s="1" t="s">
        <v>30</v>
      </c>
      <c r="D840" s="1" t="s">
        <v>15</v>
      </c>
      <c r="E840" s="1" t="s">
        <v>31</v>
      </c>
      <c r="F840" s="1">
        <v>261.19</v>
      </c>
      <c r="G840" s="1">
        <v>83.16</v>
      </c>
      <c r="H840" s="1">
        <v>3.0</v>
      </c>
      <c r="I840" s="1" t="s">
        <v>23</v>
      </c>
      <c r="J840" s="1" t="s">
        <v>24</v>
      </c>
      <c r="K840" s="1">
        <f t="shared" si="1"/>
        <v>2021</v>
      </c>
      <c r="L840" s="1" t="str">
        <f t="shared" si="2"/>
        <v>May</v>
      </c>
      <c r="M840" s="1" t="str">
        <f t="shared" si="3"/>
        <v>Profit</v>
      </c>
    </row>
    <row r="841" ht="14.25" customHeight="1">
      <c r="A841" s="1" t="s">
        <v>875</v>
      </c>
      <c r="B841" s="2">
        <v>44408.0</v>
      </c>
      <c r="C841" s="1" t="s">
        <v>20</v>
      </c>
      <c r="D841" s="1" t="s">
        <v>21</v>
      </c>
      <c r="E841" s="1" t="s">
        <v>37</v>
      </c>
      <c r="F841" s="1">
        <v>396.57</v>
      </c>
      <c r="G841" s="1">
        <v>-24.88</v>
      </c>
      <c r="H841" s="1">
        <v>5.0</v>
      </c>
      <c r="I841" s="1" t="s">
        <v>23</v>
      </c>
      <c r="J841" s="1" t="s">
        <v>35</v>
      </c>
      <c r="K841" s="1">
        <f t="shared" si="1"/>
        <v>2021</v>
      </c>
      <c r="L841" s="1" t="str">
        <f t="shared" si="2"/>
        <v>Jul</v>
      </c>
      <c r="M841" s="1" t="str">
        <f t="shared" si="3"/>
        <v>Loss</v>
      </c>
    </row>
    <row r="842" ht="14.25" customHeight="1">
      <c r="A842" s="1" t="s">
        <v>876</v>
      </c>
      <c r="B842" s="2">
        <v>44621.0</v>
      </c>
      <c r="C842" s="1" t="s">
        <v>20</v>
      </c>
      <c r="D842" s="1" t="s">
        <v>15</v>
      </c>
      <c r="E842" s="1" t="s">
        <v>54</v>
      </c>
      <c r="F842" s="1">
        <v>441.25</v>
      </c>
      <c r="G842" s="1">
        <v>72.0</v>
      </c>
      <c r="H842" s="1">
        <v>7.0</v>
      </c>
      <c r="I842" s="1" t="s">
        <v>23</v>
      </c>
      <c r="J842" s="1" t="s">
        <v>24</v>
      </c>
      <c r="K842" s="1">
        <f t="shared" si="1"/>
        <v>2022</v>
      </c>
      <c r="L842" s="1" t="str">
        <f t="shared" si="2"/>
        <v>Mar</v>
      </c>
      <c r="M842" s="1" t="str">
        <f t="shared" si="3"/>
        <v>Profit</v>
      </c>
    </row>
    <row r="843" ht="14.25" customHeight="1">
      <c r="A843" s="1" t="s">
        <v>877</v>
      </c>
      <c r="B843" s="2">
        <v>45238.0</v>
      </c>
      <c r="C843" s="1" t="s">
        <v>14</v>
      </c>
      <c r="D843" s="1" t="s">
        <v>21</v>
      </c>
      <c r="E843" s="1" t="s">
        <v>76</v>
      </c>
      <c r="F843" s="1">
        <v>578.22</v>
      </c>
      <c r="G843" s="1">
        <v>-99.57</v>
      </c>
      <c r="H843" s="1">
        <v>4.0</v>
      </c>
      <c r="I843" s="1" t="s">
        <v>34</v>
      </c>
      <c r="J843" s="1" t="s">
        <v>35</v>
      </c>
      <c r="K843" s="1">
        <f t="shared" si="1"/>
        <v>2023</v>
      </c>
      <c r="L843" s="1" t="str">
        <f t="shared" si="2"/>
        <v>Nov</v>
      </c>
      <c r="M843" s="1" t="str">
        <f t="shared" si="3"/>
        <v>Loss</v>
      </c>
    </row>
    <row r="844" ht="14.25" customHeight="1">
      <c r="A844" s="1" t="s">
        <v>878</v>
      </c>
      <c r="B844" s="2">
        <v>44295.0</v>
      </c>
      <c r="C844" s="1" t="s">
        <v>20</v>
      </c>
      <c r="D844" s="1" t="s">
        <v>15</v>
      </c>
      <c r="E844" s="1" t="s">
        <v>31</v>
      </c>
      <c r="F844" s="1">
        <v>356.9</v>
      </c>
      <c r="G844" s="1">
        <v>205.98</v>
      </c>
      <c r="H844" s="1">
        <v>10.0</v>
      </c>
      <c r="I844" s="1" t="s">
        <v>34</v>
      </c>
      <c r="J844" s="1" t="s">
        <v>18</v>
      </c>
      <c r="K844" s="1">
        <f t="shared" si="1"/>
        <v>2021</v>
      </c>
      <c r="L844" s="1" t="str">
        <f t="shared" si="2"/>
        <v>Apr</v>
      </c>
      <c r="M844" s="1" t="str">
        <f t="shared" si="3"/>
        <v>Profit</v>
      </c>
    </row>
    <row r="845" ht="14.25" customHeight="1">
      <c r="A845" s="1" t="s">
        <v>879</v>
      </c>
      <c r="B845" s="2">
        <v>45218.0</v>
      </c>
      <c r="C845" s="1" t="s">
        <v>30</v>
      </c>
      <c r="D845" s="1" t="s">
        <v>21</v>
      </c>
      <c r="E845" s="1" t="s">
        <v>22</v>
      </c>
      <c r="F845" s="1">
        <v>615.42</v>
      </c>
      <c r="G845" s="1">
        <v>-119.48</v>
      </c>
      <c r="H845" s="1">
        <v>10.0</v>
      </c>
      <c r="I845" s="1" t="s">
        <v>23</v>
      </c>
      <c r="J845" s="1" t="s">
        <v>24</v>
      </c>
      <c r="K845" s="1">
        <f t="shared" si="1"/>
        <v>2023</v>
      </c>
      <c r="L845" s="1" t="str">
        <f t="shared" si="2"/>
        <v>Oct</v>
      </c>
      <c r="M845" s="1" t="str">
        <f t="shared" si="3"/>
        <v>Loss</v>
      </c>
    </row>
    <row r="846" ht="14.25" customHeight="1">
      <c r="A846" s="1" t="s">
        <v>880</v>
      </c>
      <c r="B846" s="2">
        <v>44603.0</v>
      </c>
      <c r="C846" s="1" t="s">
        <v>20</v>
      </c>
      <c r="D846" s="1" t="s">
        <v>15</v>
      </c>
      <c r="E846" s="1" t="s">
        <v>54</v>
      </c>
      <c r="F846" s="1">
        <v>694.03</v>
      </c>
      <c r="G846" s="1">
        <v>-138.18</v>
      </c>
      <c r="H846" s="1">
        <v>1.0</v>
      </c>
      <c r="I846" s="1" t="s">
        <v>34</v>
      </c>
      <c r="J846" s="1" t="s">
        <v>24</v>
      </c>
      <c r="K846" s="1">
        <f t="shared" si="1"/>
        <v>2022</v>
      </c>
      <c r="L846" s="1" t="str">
        <f t="shared" si="2"/>
        <v>Feb</v>
      </c>
      <c r="M846" s="1" t="str">
        <f t="shared" si="3"/>
        <v>Loss</v>
      </c>
    </row>
    <row r="847" ht="14.25" customHeight="1">
      <c r="A847" s="1" t="s">
        <v>881</v>
      </c>
      <c r="B847" s="2">
        <v>44703.0</v>
      </c>
      <c r="C847" s="1" t="s">
        <v>14</v>
      </c>
      <c r="D847" s="1" t="s">
        <v>21</v>
      </c>
      <c r="E847" s="1" t="s">
        <v>37</v>
      </c>
      <c r="F847" s="1">
        <v>63.88</v>
      </c>
      <c r="G847" s="1">
        <v>-31.79</v>
      </c>
      <c r="H847" s="1">
        <v>10.0</v>
      </c>
      <c r="I847" s="1" t="s">
        <v>17</v>
      </c>
      <c r="J847" s="1" t="s">
        <v>38</v>
      </c>
      <c r="K847" s="1">
        <f t="shared" si="1"/>
        <v>2022</v>
      </c>
      <c r="L847" s="1" t="str">
        <f t="shared" si="2"/>
        <v>May</v>
      </c>
      <c r="M847" s="1" t="str">
        <f t="shared" si="3"/>
        <v>Loss</v>
      </c>
    </row>
    <row r="848" ht="14.25" customHeight="1">
      <c r="A848" s="1" t="s">
        <v>882</v>
      </c>
      <c r="B848" s="2">
        <v>44247.0</v>
      </c>
      <c r="C848" s="1" t="s">
        <v>26</v>
      </c>
      <c r="D848" s="1" t="s">
        <v>21</v>
      </c>
      <c r="E848" s="1" t="s">
        <v>76</v>
      </c>
      <c r="F848" s="1">
        <v>530.76</v>
      </c>
      <c r="G848" s="1">
        <v>-81.86</v>
      </c>
      <c r="H848" s="1">
        <v>10.0</v>
      </c>
      <c r="I848" s="1" t="s">
        <v>17</v>
      </c>
      <c r="J848" s="1" t="s">
        <v>24</v>
      </c>
      <c r="K848" s="1">
        <f t="shared" si="1"/>
        <v>2021</v>
      </c>
      <c r="L848" s="1" t="str">
        <f t="shared" si="2"/>
        <v>Feb</v>
      </c>
      <c r="M848" s="1" t="str">
        <f t="shared" si="3"/>
        <v>Loss</v>
      </c>
    </row>
    <row r="849" ht="14.25" customHeight="1">
      <c r="A849" s="1" t="s">
        <v>883</v>
      </c>
      <c r="B849" s="2">
        <v>45260.0</v>
      </c>
      <c r="C849" s="1" t="s">
        <v>20</v>
      </c>
      <c r="D849" s="1" t="s">
        <v>27</v>
      </c>
      <c r="E849" s="1" t="s">
        <v>33</v>
      </c>
      <c r="F849" s="1">
        <v>501.32</v>
      </c>
      <c r="G849" s="1">
        <v>269.51</v>
      </c>
      <c r="H849" s="1">
        <v>5.0</v>
      </c>
      <c r="I849" s="1" t="s">
        <v>23</v>
      </c>
      <c r="J849" s="1" t="s">
        <v>24</v>
      </c>
      <c r="K849" s="1">
        <f t="shared" si="1"/>
        <v>2023</v>
      </c>
      <c r="L849" s="1" t="str">
        <f t="shared" si="2"/>
        <v>Nov</v>
      </c>
      <c r="M849" s="1" t="str">
        <f t="shared" si="3"/>
        <v>Profit</v>
      </c>
    </row>
    <row r="850" ht="14.25" customHeight="1">
      <c r="A850" s="1" t="s">
        <v>884</v>
      </c>
      <c r="B850" s="2">
        <v>44978.0</v>
      </c>
      <c r="C850" s="1" t="s">
        <v>26</v>
      </c>
      <c r="D850" s="1" t="s">
        <v>27</v>
      </c>
      <c r="E850" s="1" t="s">
        <v>40</v>
      </c>
      <c r="F850" s="1">
        <v>506.76</v>
      </c>
      <c r="G850" s="1">
        <v>278.55</v>
      </c>
      <c r="H850" s="1">
        <v>5.0</v>
      </c>
      <c r="I850" s="1" t="s">
        <v>34</v>
      </c>
      <c r="J850" s="1" t="s">
        <v>35</v>
      </c>
      <c r="K850" s="1">
        <f t="shared" si="1"/>
        <v>2023</v>
      </c>
      <c r="L850" s="1" t="str">
        <f t="shared" si="2"/>
        <v>Feb</v>
      </c>
      <c r="M850" s="1" t="str">
        <f t="shared" si="3"/>
        <v>Profit</v>
      </c>
    </row>
    <row r="851" ht="14.25" customHeight="1">
      <c r="A851" s="1" t="s">
        <v>885</v>
      </c>
      <c r="B851" s="2">
        <v>44553.0</v>
      </c>
      <c r="C851" s="1" t="s">
        <v>14</v>
      </c>
      <c r="D851" s="1" t="s">
        <v>27</v>
      </c>
      <c r="E851" s="1" t="s">
        <v>33</v>
      </c>
      <c r="F851" s="1">
        <v>136.58</v>
      </c>
      <c r="G851" s="1">
        <v>80.86</v>
      </c>
      <c r="H851" s="1">
        <v>4.0</v>
      </c>
      <c r="I851" s="1" t="s">
        <v>17</v>
      </c>
      <c r="J851" s="1" t="s">
        <v>38</v>
      </c>
      <c r="K851" s="1">
        <f t="shared" si="1"/>
        <v>2021</v>
      </c>
      <c r="L851" s="1" t="str">
        <f t="shared" si="2"/>
        <v>Dec</v>
      </c>
      <c r="M851" s="1" t="str">
        <f t="shared" si="3"/>
        <v>Profit</v>
      </c>
    </row>
    <row r="852" ht="14.25" customHeight="1">
      <c r="A852" s="1" t="s">
        <v>886</v>
      </c>
      <c r="B852" s="2">
        <v>44625.0</v>
      </c>
      <c r="C852" s="1" t="s">
        <v>20</v>
      </c>
      <c r="D852" s="1" t="s">
        <v>27</v>
      </c>
      <c r="E852" s="1" t="s">
        <v>40</v>
      </c>
      <c r="F852" s="1">
        <v>263.41</v>
      </c>
      <c r="G852" s="1">
        <v>68.72</v>
      </c>
      <c r="H852" s="1">
        <v>4.0</v>
      </c>
      <c r="I852" s="1" t="s">
        <v>17</v>
      </c>
      <c r="J852" s="1" t="s">
        <v>24</v>
      </c>
      <c r="K852" s="1">
        <f t="shared" si="1"/>
        <v>2022</v>
      </c>
      <c r="L852" s="1" t="str">
        <f t="shared" si="2"/>
        <v>Mar</v>
      </c>
      <c r="M852" s="1" t="str">
        <f t="shared" si="3"/>
        <v>Profit</v>
      </c>
    </row>
    <row r="853" ht="14.25" customHeight="1">
      <c r="A853" s="1" t="s">
        <v>887</v>
      </c>
      <c r="B853" s="2">
        <v>44854.0</v>
      </c>
      <c r="C853" s="1" t="s">
        <v>30</v>
      </c>
      <c r="D853" s="1" t="s">
        <v>21</v>
      </c>
      <c r="E853" s="1" t="s">
        <v>22</v>
      </c>
      <c r="F853" s="1">
        <v>972.68</v>
      </c>
      <c r="G853" s="1">
        <v>-148.18</v>
      </c>
      <c r="H853" s="1">
        <v>8.0</v>
      </c>
      <c r="I853" s="1" t="s">
        <v>34</v>
      </c>
      <c r="J853" s="1" t="s">
        <v>18</v>
      </c>
      <c r="K853" s="1">
        <f t="shared" si="1"/>
        <v>2022</v>
      </c>
      <c r="L853" s="1" t="str">
        <f t="shared" si="2"/>
        <v>Oct</v>
      </c>
      <c r="M853" s="1" t="str">
        <f t="shared" si="3"/>
        <v>Loss</v>
      </c>
    </row>
    <row r="854" ht="14.25" customHeight="1">
      <c r="A854" s="1" t="s">
        <v>888</v>
      </c>
      <c r="B854" s="2">
        <v>45120.0</v>
      </c>
      <c r="C854" s="1" t="s">
        <v>26</v>
      </c>
      <c r="D854" s="1" t="s">
        <v>27</v>
      </c>
      <c r="E854" s="1" t="s">
        <v>40</v>
      </c>
      <c r="F854" s="1">
        <v>783.51</v>
      </c>
      <c r="G854" s="1">
        <v>-137.35</v>
      </c>
      <c r="H854" s="1">
        <v>3.0</v>
      </c>
      <c r="I854" s="1" t="s">
        <v>23</v>
      </c>
      <c r="J854" s="1" t="s">
        <v>35</v>
      </c>
      <c r="K854" s="1">
        <f t="shared" si="1"/>
        <v>2023</v>
      </c>
      <c r="L854" s="1" t="str">
        <f t="shared" si="2"/>
        <v>Jul</v>
      </c>
      <c r="M854" s="1" t="str">
        <f t="shared" si="3"/>
        <v>Loss</v>
      </c>
    </row>
    <row r="855" ht="14.25" customHeight="1">
      <c r="A855" s="1" t="s">
        <v>889</v>
      </c>
      <c r="B855" s="2">
        <v>44347.0</v>
      </c>
      <c r="C855" s="1" t="s">
        <v>30</v>
      </c>
      <c r="D855" s="1" t="s">
        <v>21</v>
      </c>
      <c r="E855" s="1" t="s">
        <v>22</v>
      </c>
      <c r="F855" s="1">
        <v>215.1</v>
      </c>
      <c r="G855" s="1">
        <v>92.12</v>
      </c>
      <c r="H855" s="1">
        <v>10.0</v>
      </c>
      <c r="I855" s="1" t="s">
        <v>17</v>
      </c>
      <c r="J855" s="1" t="s">
        <v>18</v>
      </c>
      <c r="K855" s="1">
        <f t="shared" si="1"/>
        <v>2021</v>
      </c>
      <c r="L855" s="1" t="str">
        <f t="shared" si="2"/>
        <v>May</v>
      </c>
      <c r="M855" s="1" t="str">
        <f t="shared" si="3"/>
        <v>Profit</v>
      </c>
    </row>
    <row r="856" ht="14.25" customHeight="1">
      <c r="A856" s="1" t="s">
        <v>890</v>
      </c>
      <c r="B856" s="2">
        <v>45188.0</v>
      </c>
      <c r="C856" s="1" t="s">
        <v>20</v>
      </c>
      <c r="D856" s="1" t="s">
        <v>27</v>
      </c>
      <c r="E856" s="1" t="s">
        <v>33</v>
      </c>
      <c r="F856" s="1">
        <v>961.35</v>
      </c>
      <c r="G856" s="1">
        <v>-59.74</v>
      </c>
      <c r="H856" s="1">
        <v>9.0</v>
      </c>
      <c r="I856" s="1" t="s">
        <v>17</v>
      </c>
      <c r="J856" s="1" t="s">
        <v>38</v>
      </c>
      <c r="K856" s="1">
        <f t="shared" si="1"/>
        <v>2023</v>
      </c>
      <c r="L856" s="1" t="str">
        <f t="shared" si="2"/>
        <v>Sep</v>
      </c>
      <c r="M856" s="1" t="str">
        <f t="shared" si="3"/>
        <v>Loss</v>
      </c>
    </row>
    <row r="857" ht="14.25" customHeight="1">
      <c r="A857" s="1" t="s">
        <v>891</v>
      </c>
      <c r="B857" s="2">
        <v>44972.0</v>
      </c>
      <c r="C857" s="1" t="s">
        <v>20</v>
      </c>
      <c r="D857" s="1" t="s">
        <v>15</v>
      </c>
      <c r="E857" s="1" t="s">
        <v>31</v>
      </c>
      <c r="F857" s="1">
        <v>303.64</v>
      </c>
      <c r="G857" s="1">
        <v>9.42</v>
      </c>
      <c r="H857" s="1">
        <v>4.0</v>
      </c>
      <c r="I857" s="1" t="s">
        <v>34</v>
      </c>
      <c r="J857" s="1" t="s">
        <v>35</v>
      </c>
      <c r="K857" s="1">
        <f t="shared" si="1"/>
        <v>2023</v>
      </c>
      <c r="L857" s="1" t="str">
        <f t="shared" si="2"/>
        <v>Feb</v>
      </c>
      <c r="M857" s="1" t="str">
        <f t="shared" si="3"/>
        <v>Profit</v>
      </c>
    </row>
    <row r="858" ht="14.25" customHeight="1">
      <c r="A858" s="1" t="s">
        <v>892</v>
      </c>
      <c r="B858" s="2">
        <v>45249.0</v>
      </c>
      <c r="C858" s="1" t="s">
        <v>26</v>
      </c>
      <c r="D858" s="1" t="s">
        <v>27</v>
      </c>
      <c r="E858" s="1" t="s">
        <v>28</v>
      </c>
      <c r="F858" s="1">
        <v>66.68</v>
      </c>
      <c r="G858" s="1">
        <v>243.91</v>
      </c>
      <c r="H858" s="1">
        <v>8.0</v>
      </c>
      <c r="I858" s="1" t="s">
        <v>17</v>
      </c>
      <c r="J858" s="1" t="s">
        <v>35</v>
      </c>
      <c r="K858" s="1">
        <f t="shared" si="1"/>
        <v>2023</v>
      </c>
      <c r="L858" s="1" t="str">
        <f t="shared" si="2"/>
        <v>Nov</v>
      </c>
      <c r="M858" s="1" t="str">
        <f t="shared" si="3"/>
        <v>Profit</v>
      </c>
    </row>
    <row r="859" ht="14.25" customHeight="1">
      <c r="A859" s="1" t="s">
        <v>893</v>
      </c>
      <c r="B859" s="2">
        <v>44570.0</v>
      </c>
      <c r="C859" s="1" t="s">
        <v>26</v>
      </c>
      <c r="D859" s="1" t="s">
        <v>15</v>
      </c>
      <c r="E859" s="1" t="s">
        <v>54</v>
      </c>
      <c r="F859" s="1">
        <v>268.73</v>
      </c>
      <c r="G859" s="1">
        <v>-38.92</v>
      </c>
      <c r="H859" s="1">
        <v>8.0</v>
      </c>
      <c r="I859" s="1" t="s">
        <v>34</v>
      </c>
      <c r="J859" s="1" t="s">
        <v>24</v>
      </c>
      <c r="K859" s="1">
        <f t="shared" si="1"/>
        <v>2022</v>
      </c>
      <c r="L859" s="1" t="str">
        <f t="shared" si="2"/>
        <v>Jan</v>
      </c>
      <c r="M859" s="1" t="str">
        <f t="shared" si="3"/>
        <v>Loss</v>
      </c>
    </row>
    <row r="860" ht="14.25" customHeight="1">
      <c r="A860" s="1" t="s">
        <v>894</v>
      </c>
      <c r="B860" s="2">
        <v>44536.0</v>
      </c>
      <c r="C860" s="1" t="s">
        <v>14</v>
      </c>
      <c r="D860" s="1" t="s">
        <v>27</v>
      </c>
      <c r="E860" s="1" t="s">
        <v>40</v>
      </c>
      <c r="F860" s="1">
        <v>991.89</v>
      </c>
      <c r="G860" s="1">
        <v>256.99</v>
      </c>
      <c r="H860" s="1">
        <v>8.0</v>
      </c>
      <c r="I860" s="1" t="s">
        <v>34</v>
      </c>
      <c r="J860" s="1" t="s">
        <v>18</v>
      </c>
      <c r="K860" s="1">
        <f t="shared" si="1"/>
        <v>2021</v>
      </c>
      <c r="L860" s="1" t="str">
        <f t="shared" si="2"/>
        <v>Dec</v>
      </c>
      <c r="M860" s="1" t="str">
        <f t="shared" si="3"/>
        <v>Profit</v>
      </c>
    </row>
    <row r="861" ht="14.25" customHeight="1">
      <c r="A861" s="1" t="s">
        <v>895</v>
      </c>
      <c r="B861" s="2">
        <v>45276.0</v>
      </c>
      <c r="C861" s="1" t="s">
        <v>30</v>
      </c>
      <c r="D861" s="1" t="s">
        <v>15</v>
      </c>
      <c r="E861" s="1" t="s">
        <v>16</v>
      </c>
      <c r="F861" s="1">
        <v>613.41</v>
      </c>
      <c r="G861" s="1">
        <v>56.61</v>
      </c>
      <c r="H861" s="1">
        <v>2.0</v>
      </c>
      <c r="I861" s="1" t="s">
        <v>17</v>
      </c>
      <c r="J861" s="1" t="s">
        <v>18</v>
      </c>
      <c r="K861" s="1">
        <f t="shared" si="1"/>
        <v>2023</v>
      </c>
      <c r="L861" s="1" t="str">
        <f t="shared" si="2"/>
        <v>Dec</v>
      </c>
      <c r="M861" s="1" t="str">
        <f t="shared" si="3"/>
        <v>Profit</v>
      </c>
    </row>
    <row r="862" ht="14.25" customHeight="1">
      <c r="A862" s="1" t="s">
        <v>896</v>
      </c>
      <c r="B862" s="2">
        <v>45280.0</v>
      </c>
      <c r="C862" s="1" t="s">
        <v>26</v>
      </c>
      <c r="D862" s="1" t="s">
        <v>21</v>
      </c>
      <c r="E862" s="1" t="s">
        <v>37</v>
      </c>
      <c r="F862" s="1">
        <v>420.0</v>
      </c>
      <c r="G862" s="1">
        <v>64.21</v>
      </c>
      <c r="H862" s="1">
        <v>1.0</v>
      </c>
      <c r="I862" s="1" t="s">
        <v>23</v>
      </c>
      <c r="J862" s="1" t="s">
        <v>24</v>
      </c>
      <c r="K862" s="1">
        <f t="shared" si="1"/>
        <v>2023</v>
      </c>
      <c r="L862" s="1" t="str">
        <f t="shared" si="2"/>
        <v>Dec</v>
      </c>
      <c r="M862" s="1" t="str">
        <f t="shared" si="3"/>
        <v>Profit</v>
      </c>
    </row>
    <row r="863" ht="14.25" customHeight="1">
      <c r="A863" s="1" t="s">
        <v>897</v>
      </c>
      <c r="B863" s="2">
        <v>45117.0</v>
      </c>
      <c r="C863" s="1" t="s">
        <v>14</v>
      </c>
      <c r="D863" s="1" t="s">
        <v>21</v>
      </c>
      <c r="E863" s="1" t="s">
        <v>37</v>
      </c>
      <c r="F863" s="1">
        <v>387.81</v>
      </c>
      <c r="G863" s="1">
        <v>-56.62</v>
      </c>
      <c r="H863" s="1">
        <v>3.0</v>
      </c>
      <c r="I863" s="1" t="s">
        <v>23</v>
      </c>
      <c r="J863" s="1" t="s">
        <v>35</v>
      </c>
      <c r="K863" s="1">
        <f t="shared" si="1"/>
        <v>2023</v>
      </c>
      <c r="L863" s="1" t="str">
        <f t="shared" si="2"/>
        <v>Jul</v>
      </c>
      <c r="M863" s="1" t="str">
        <f t="shared" si="3"/>
        <v>Loss</v>
      </c>
    </row>
    <row r="864" ht="14.25" customHeight="1">
      <c r="A864" s="1" t="s">
        <v>898</v>
      </c>
      <c r="B864" s="2">
        <v>44312.0</v>
      </c>
      <c r="C864" s="1" t="s">
        <v>26</v>
      </c>
      <c r="D864" s="1" t="s">
        <v>15</v>
      </c>
      <c r="E864" s="1" t="s">
        <v>54</v>
      </c>
      <c r="F864" s="1">
        <v>762.6</v>
      </c>
      <c r="G864" s="1">
        <v>139.05</v>
      </c>
      <c r="H864" s="1">
        <v>9.0</v>
      </c>
      <c r="I864" s="1" t="s">
        <v>23</v>
      </c>
      <c r="J864" s="1" t="s">
        <v>35</v>
      </c>
      <c r="K864" s="1">
        <f t="shared" si="1"/>
        <v>2021</v>
      </c>
      <c r="L864" s="1" t="str">
        <f t="shared" si="2"/>
        <v>Apr</v>
      </c>
      <c r="M864" s="1" t="str">
        <f t="shared" si="3"/>
        <v>Profit</v>
      </c>
    </row>
    <row r="865" ht="14.25" customHeight="1">
      <c r="A865" s="1" t="s">
        <v>899</v>
      </c>
      <c r="B865" s="2">
        <v>44452.0</v>
      </c>
      <c r="C865" s="1" t="s">
        <v>30</v>
      </c>
      <c r="D865" s="1" t="s">
        <v>21</v>
      </c>
      <c r="E865" s="1" t="s">
        <v>37</v>
      </c>
      <c r="F865" s="1">
        <v>939.15</v>
      </c>
      <c r="G865" s="1">
        <v>-141.57</v>
      </c>
      <c r="H865" s="1">
        <v>5.0</v>
      </c>
      <c r="I865" s="1" t="s">
        <v>34</v>
      </c>
      <c r="J865" s="1" t="s">
        <v>24</v>
      </c>
      <c r="K865" s="1">
        <f t="shared" si="1"/>
        <v>2021</v>
      </c>
      <c r="L865" s="1" t="str">
        <f t="shared" si="2"/>
        <v>Sep</v>
      </c>
      <c r="M865" s="1" t="str">
        <f t="shared" si="3"/>
        <v>Loss</v>
      </c>
    </row>
    <row r="866" ht="14.25" customHeight="1">
      <c r="A866" s="1" t="s">
        <v>900</v>
      </c>
      <c r="B866" s="2">
        <v>45214.0</v>
      </c>
      <c r="C866" s="1" t="s">
        <v>30</v>
      </c>
      <c r="D866" s="1" t="s">
        <v>21</v>
      </c>
      <c r="E866" s="1" t="s">
        <v>76</v>
      </c>
      <c r="F866" s="1">
        <v>230.24</v>
      </c>
      <c r="G866" s="1">
        <v>280.47</v>
      </c>
      <c r="H866" s="1">
        <v>3.0</v>
      </c>
      <c r="I866" s="1" t="s">
        <v>17</v>
      </c>
      <c r="J866" s="1" t="s">
        <v>18</v>
      </c>
      <c r="K866" s="1">
        <f t="shared" si="1"/>
        <v>2023</v>
      </c>
      <c r="L866" s="1" t="str">
        <f t="shared" si="2"/>
        <v>Oct</v>
      </c>
      <c r="M866" s="1" t="str">
        <f t="shared" si="3"/>
        <v>Profit</v>
      </c>
    </row>
    <row r="867" ht="14.25" customHeight="1">
      <c r="A867" s="1" t="s">
        <v>901</v>
      </c>
      <c r="B867" s="2">
        <v>44348.0</v>
      </c>
      <c r="C867" s="1" t="s">
        <v>20</v>
      </c>
      <c r="D867" s="1" t="s">
        <v>15</v>
      </c>
      <c r="E867" s="1" t="s">
        <v>54</v>
      </c>
      <c r="F867" s="1">
        <v>320.06</v>
      </c>
      <c r="G867" s="1">
        <v>69.83</v>
      </c>
      <c r="H867" s="1">
        <v>10.0</v>
      </c>
      <c r="I867" s="1" t="s">
        <v>34</v>
      </c>
      <c r="J867" s="1" t="s">
        <v>35</v>
      </c>
      <c r="K867" s="1">
        <f t="shared" si="1"/>
        <v>2021</v>
      </c>
      <c r="L867" s="1" t="str">
        <f t="shared" si="2"/>
        <v>Jun</v>
      </c>
      <c r="M867" s="1" t="str">
        <f t="shared" si="3"/>
        <v>Profit</v>
      </c>
    </row>
    <row r="868" ht="14.25" customHeight="1">
      <c r="A868" s="1" t="s">
        <v>902</v>
      </c>
      <c r="B868" s="2">
        <v>44668.0</v>
      </c>
      <c r="C868" s="1" t="s">
        <v>26</v>
      </c>
      <c r="D868" s="1" t="s">
        <v>27</v>
      </c>
      <c r="E868" s="1" t="s">
        <v>40</v>
      </c>
      <c r="F868" s="1">
        <v>797.05</v>
      </c>
      <c r="G868" s="1">
        <v>-119.99</v>
      </c>
      <c r="H868" s="1">
        <v>6.0</v>
      </c>
      <c r="I868" s="1" t="s">
        <v>23</v>
      </c>
      <c r="J868" s="1" t="s">
        <v>38</v>
      </c>
      <c r="K868" s="1">
        <f t="shared" si="1"/>
        <v>2022</v>
      </c>
      <c r="L868" s="1" t="str">
        <f t="shared" si="2"/>
        <v>Apr</v>
      </c>
      <c r="M868" s="1" t="str">
        <f t="shared" si="3"/>
        <v>Loss</v>
      </c>
    </row>
    <row r="869" ht="14.25" customHeight="1">
      <c r="A869" s="1" t="s">
        <v>903</v>
      </c>
      <c r="B869" s="2">
        <v>45041.0</v>
      </c>
      <c r="C869" s="1" t="s">
        <v>30</v>
      </c>
      <c r="D869" s="1" t="s">
        <v>27</v>
      </c>
      <c r="E869" s="1" t="s">
        <v>33</v>
      </c>
      <c r="F869" s="1">
        <v>886.94</v>
      </c>
      <c r="G869" s="1">
        <v>24.86</v>
      </c>
      <c r="H869" s="1">
        <v>5.0</v>
      </c>
      <c r="I869" s="1" t="s">
        <v>17</v>
      </c>
      <c r="J869" s="1" t="s">
        <v>35</v>
      </c>
      <c r="K869" s="1">
        <f t="shared" si="1"/>
        <v>2023</v>
      </c>
      <c r="L869" s="1" t="str">
        <f t="shared" si="2"/>
        <v>Apr</v>
      </c>
      <c r="M869" s="1" t="str">
        <f t="shared" si="3"/>
        <v>Profit</v>
      </c>
    </row>
    <row r="870" ht="14.25" customHeight="1">
      <c r="A870" s="1" t="s">
        <v>904</v>
      </c>
      <c r="B870" s="2">
        <v>45127.0</v>
      </c>
      <c r="C870" s="1" t="s">
        <v>26</v>
      </c>
      <c r="D870" s="1" t="s">
        <v>21</v>
      </c>
      <c r="E870" s="1" t="s">
        <v>37</v>
      </c>
      <c r="F870" s="1">
        <v>186.91</v>
      </c>
      <c r="G870" s="1">
        <v>179.64</v>
      </c>
      <c r="H870" s="1">
        <v>4.0</v>
      </c>
      <c r="I870" s="1" t="s">
        <v>23</v>
      </c>
      <c r="J870" s="1" t="s">
        <v>38</v>
      </c>
      <c r="K870" s="1">
        <f t="shared" si="1"/>
        <v>2023</v>
      </c>
      <c r="L870" s="1" t="str">
        <f t="shared" si="2"/>
        <v>Jul</v>
      </c>
      <c r="M870" s="1" t="str">
        <f t="shared" si="3"/>
        <v>Profit</v>
      </c>
    </row>
    <row r="871" ht="14.25" customHeight="1">
      <c r="A871" s="1" t="s">
        <v>905</v>
      </c>
      <c r="B871" s="2">
        <v>45121.0</v>
      </c>
      <c r="C871" s="1" t="s">
        <v>30</v>
      </c>
      <c r="D871" s="1" t="s">
        <v>27</v>
      </c>
      <c r="E871" s="1" t="s">
        <v>28</v>
      </c>
      <c r="F871" s="1">
        <v>45.49</v>
      </c>
      <c r="G871" s="1">
        <v>81.58</v>
      </c>
      <c r="H871" s="1">
        <v>2.0</v>
      </c>
      <c r="I871" s="1" t="s">
        <v>17</v>
      </c>
      <c r="J871" s="1" t="s">
        <v>18</v>
      </c>
      <c r="K871" s="1">
        <f t="shared" si="1"/>
        <v>2023</v>
      </c>
      <c r="L871" s="1" t="str">
        <f t="shared" si="2"/>
        <v>Jul</v>
      </c>
      <c r="M871" s="1" t="str">
        <f t="shared" si="3"/>
        <v>Profit</v>
      </c>
    </row>
    <row r="872" ht="14.25" customHeight="1">
      <c r="A872" s="1" t="s">
        <v>906</v>
      </c>
      <c r="B872" s="2">
        <v>44378.0</v>
      </c>
      <c r="C872" s="1" t="s">
        <v>26</v>
      </c>
      <c r="D872" s="1" t="s">
        <v>15</v>
      </c>
      <c r="E872" s="1" t="s">
        <v>16</v>
      </c>
      <c r="F872" s="1">
        <v>694.29</v>
      </c>
      <c r="G872" s="1">
        <v>182.43</v>
      </c>
      <c r="H872" s="1">
        <v>1.0</v>
      </c>
      <c r="I872" s="1" t="s">
        <v>17</v>
      </c>
      <c r="J872" s="1" t="s">
        <v>35</v>
      </c>
      <c r="K872" s="1">
        <f t="shared" si="1"/>
        <v>2021</v>
      </c>
      <c r="L872" s="1" t="str">
        <f t="shared" si="2"/>
        <v>Jul</v>
      </c>
      <c r="M872" s="1" t="str">
        <f t="shared" si="3"/>
        <v>Profit</v>
      </c>
    </row>
    <row r="873" ht="14.25" customHeight="1">
      <c r="A873" s="1" t="s">
        <v>907</v>
      </c>
      <c r="B873" s="2">
        <v>44520.0</v>
      </c>
      <c r="C873" s="1" t="s">
        <v>30</v>
      </c>
      <c r="D873" s="1" t="s">
        <v>27</v>
      </c>
      <c r="E873" s="1" t="s">
        <v>28</v>
      </c>
      <c r="F873" s="1">
        <v>593.03</v>
      </c>
      <c r="G873" s="1">
        <v>238.5</v>
      </c>
      <c r="H873" s="1">
        <v>10.0</v>
      </c>
      <c r="I873" s="1" t="s">
        <v>23</v>
      </c>
      <c r="J873" s="1" t="s">
        <v>38</v>
      </c>
      <c r="K873" s="1">
        <f t="shared" si="1"/>
        <v>2021</v>
      </c>
      <c r="L873" s="1" t="str">
        <f t="shared" si="2"/>
        <v>Nov</v>
      </c>
      <c r="M873" s="1" t="str">
        <f t="shared" si="3"/>
        <v>Profit</v>
      </c>
    </row>
    <row r="874" ht="14.25" customHeight="1">
      <c r="A874" s="1" t="s">
        <v>908</v>
      </c>
      <c r="B874" s="2">
        <v>44819.0</v>
      </c>
      <c r="C874" s="1" t="s">
        <v>30</v>
      </c>
      <c r="D874" s="1" t="s">
        <v>15</v>
      </c>
      <c r="E874" s="1" t="s">
        <v>54</v>
      </c>
      <c r="F874" s="1">
        <v>909.0</v>
      </c>
      <c r="G874" s="1">
        <v>-37.04</v>
      </c>
      <c r="H874" s="1">
        <v>2.0</v>
      </c>
      <c r="I874" s="1" t="s">
        <v>34</v>
      </c>
      <c r="J874" s="1" t="s">
        <v>18</v>
      </c>
      <c r="K874" s="1">
        <f t="shared" si="1"/>
        <v>2022</v>
      </c>
      <c r="L874" s="1" t="str">
        <f t="shared" si="2"/>
        <v>Sep</v>
      </c>
      <c r="M874" s="1" t="str">
        <f t="shared" si="3"/>
        <v>Loss</v>
      </c>
    </row>
    <row r="875" ht="14.25" customHeight="1">
      <c r="A875" s="1" t="s">
        <v>909</v>
      </c>
      <c r="B875" s="2">
        <v>44817.0</v>
      </c>
      <c r="C875" s="1" t="s">
        <v>20</v>
      </c>
      <c r="D875" s="1" t="s">
        <v>21</v>
      </c>
      <c r="E875" s="1" t="s">
        <v>22</v>
      </c>
      <c r="F875" s="1">
        <v>43.28</v>
      </c>
      <c r="G875" s="1">
        <v>-153.74</v>
      </c>
      <c r="H875" s="1">
        <v>5.0</v>
      </c>
      <c r="I875" s="1" t="s">
        <v>23</v>
      </c>
      <c r="J875" s="1" t="s">
        <v>35</v>
      </c>
      <c r="K875" s="1">
        <f t="shared" si="1"/>
        <v>2022</v>
      </c>
      <c r="L875" s="1" t="str">
        <f t="shared" si="2"/>
        <v>Sep</v>
      </c>
      <c r="M875" s="1" t="str">
        <f t="shared" si="3"/>
        <v>Loss</v>
      </c>
    </row>
    <row r="876" ht="14.25" customHeight="1">
      <c r="A876" s="1" t="s">
        <v>910</v>
      </c>
      <c r="B876" s="2">
        <v>44290.0</v>
      </c>
      <c r="C876" s="1" t="s">
        <v>14</v>
      </c>
      <c r="D876" s="1" t="s">
        <v>15</v>
      </c>
      <c r="E876" s="1" t="s">
        <v>54</v>
      </c>
      <c r="F876" s="1">
        <v>976.81</v>
      </c>
      <c r="G876" s="1">
        <v>-45.01</v>
      </c>
      <c r="H876" s="1">
        <v>5.0</v>
      </c>
      <c r="I876" s="1" t="s">
        <v>34</v>
      </c>
      <c r="J876" s="1" t="s">
        <v>35</v>
      </c>
      <c r="K876" s="1">
        <f t="shared" si="1"/>
        <v>2021</v>
      </c>
      <c r="L876" s="1" t="str">
        <f t="shared" si="2"/>
        <v>Apr</v>
      </c>
      <c r="M876" s="1" t="str">
        <f t="shared" si="3"/>
        <v>Loss</v>
      </c>
    </row>
    <row r="877" ht="14.25" customHeight="1">
      <c r="A877" s="1" t="s">
        <v>911</v>
      </c>
      <c r="B877" s="2">
        <v>44641.0</v>
      </c>
      <c r="C877" s="1" t="s">
        <v>26</v>
      </c>
      <c r="D877" s="1" t="s">
        <v>27</v>
      </c>
      <c r="E877" s="1" t="s">
        <v>40</v>
      </c>
      <c r="F877" s="1">
        <v>345.1</v>
      </c>
      <c r="G877" s="1">
        <v>5.59</v>
      </c>
      <c r="H877" s="1">
        <v>10.0</v>
      </c>
      <c r="I877" s="1" t="s">
        <v>23</v>
      </c>
      <c r="J877" s="1" t="s">
        <v>24</v>
      </c>
      <c r="K877" s="1">
        <f t="shared" si="1"/>
        <v>2022</v>
      </c>
      <c r="L877" s="1" t="str">
        <f t="shared" si="2"/>
        <v>Mar</v>
      </c>
      <c r="M877" s="1" t="str">
        <f t="shared" si="3"/>
        <v>Profit</v>
      </c>
    </row>
    <row r="878" ht="14.25" customHeight="1">
      <c r="A878" s="1" t="s">
        <v>912</v>
      </c>
      <c r="B878" s="2">
        <v>45236.0</v>
      </c>
      <c r="C878" s="1" t="s">
        <v>30</v>
      </c>
      <c r="D878" s="1" t="s">
        <v>21</v>
      </c>
      <c r="E878" s="1" t="s">
        <v>22</v>
      </c>
      <c r="F878" s="1">
        <v>845.36</v>
      </c>
      <c r="G878" s="1">
        <v>225.44</v>
      </c>
      <c r="H878" s="1">
        <v>9.0</v>
      </c>
      <c r="I878" s="1" t="s">
        <v>34</v>
      </c>
      <c r="J878" s="1" t="s">
        <v>38</v>
      </c>
      <c r="K878" s="1">
        <f t="shared" si="1"/>
        <v>2023</v>
      </c>
      <c r="L878" s="1" t="str">
        <f t="shared" si="2"/>
        <v>Nov</v>
      </c>
      <c r="M878" s="1" t="str">
        <f t="shared" si="3"/>
        <v>Profit</v>
      </c>
    </row>
    <row r="879" ht="14.25" customHeight="1">
      <c r="A879" s="1" t="s">
        <v>913</v>
      </c>
      <c r="B879" s="2">
        <v>44767.0</v>
      </c>
      <c r="C879" s="1" t="s">
        <v>20</v>
      </c>
      <c r="D879" s="1" t="s">
        <v>15</v>
      </c>
      <c r="E879" s="1" t="s">
        <v>54</v>
      </c>
      <c r="F879" s="1">
        <v>445.08</v>
      </c>
      <c r="G879" s="1">
        <v>183.25</v>
      </c>
      <c r="H879" s="1">
        <v>9.0</v>
      </c>
      <c r="I879" s="1" t="s">
        <v>17</v>
      </c>
      <c r="J879" s="1" t="s">
        <v>24</v>
      </c>
      <c r="K879" s="1">
        <f t="shared" si="1"/>
        <v>2022</v>
      </c>
      <c r="L879" s="1" t="str">
        <f t="shared" si="2"/>
        <v>Jul</v>
      </c>
      <c r="M879" s="1" t="str">
        <f t="shared" si="3"/>
        <v>Profit</v>
      </c>
    </row>
    <row r="880" ht="14.25" customHeight="1">
      <c r="A880" s="1" t="s">
        <v>914</v>
      </c>
      <c r="B880" s="2">
        <v>44510.0</v>
      </c>
      <c r="C880" s="1" t="s">
        <v>20</v>
      </c>
      <c r="D880" s="1" t="s">
        <v>27</v>
      </c>
      <c r="E880" s="1" t="s">
        <v>28</v>
      </c>
      <c r="F880" s="1">
        <v>181.36</v>
      </c>
      <c r="G880" s="1">
        <v>-95.47</v>
      </c>
      <c r="H880" s="1">
        <v>1.0</v>
      </c>
      <c r="I880" s="1" t="s">
        <v>17</v>
      </c>
      <c r="J880" s="1" t="s">
        <v>18</v>
      </c>
      <c r="K880" s="1">
        <f t="shared" si="1"/>
        <v>2021</v>
      </c>
      <c r="L880" s="1" t="str">
        <f t="shared" si="2"/>
        <v>Nov</v>
      </c>
      <c r="M880" s="1" t="str">
        <f t="shared" si="3"/>
        <v>Loss</v>
      </c>
    </row>
    <row r="881" ht="14.25" customHeight="1">
      <c r="A881" s="1" t="s">
        <v>915</v>
      </c>
      <c r="B881" s="2">
        <v>44349.0</v>
      </c>
      <c r="C881" s="1" t="s">
        <v>14</v>
      </c>
      <c r="D881" s="1" t="s">
        <v>21</v>
      </c>
      <c r="E881" s="1" t="s">
        <v>37</v>
      </c>
      <c r="F881" s="1">
        <v>376.59</v>
      </c>
      <c r="G881" s="1">
        <v>-107.14</v>
      </c>
      <c r="H881" s="1">
        <v>9.0</v>
      </c>
      <c r="I881" s="1" t="s">
        <v>23</v>
      </c>
      <c r="J881" s="1" t="s">
        <v>18</v>
      </c>
      <c r="K881" s="1">
        <f t="shared" si="1"/>
        <v>2021</v>
      </c>
      <c r="L881" s="1" t="str">
        <f t="shared" si="2"/>
        <v>Jun</v>
      </c>
      <c r="M881" s="1" t="str">
        <f t="shared" si="3"/>
        <v>Loss</v>
      </c>
    </row>
    <row r="882" ht="14.25" customHeight="1">
      <c r="A882" s="1" t="s">
        <v>916</v>
      </c>
      <c r="B882" s="2">
        <v>44693.0</v>
      </c>
      <c r="C882" s="1" t="s">
        <v>26</v>
      </c>
      <c r="D882" s="1" t="s">
        <v>21</v>
      </c>
      <c r="E882" s="1" t="s">
        <v>22</v>
      </c>
      <c r="F882" s="1">
        <v>102.71</v>
      </c>
      <c r="G882" s="1">
        <v>290.61</v>
      </c>
      <c r="H882" s="1">
        <v>6.0</v>
      </c>
      <c r="I882" s="1" t="s">
        <v>23</v>
      </c>
      <c r="J882" s="1" t="s">
        <v>35</v>
      </c>
      <c r="K882" s="1">
        <f t="shared" si="1"/>
        <v>2022</v>
      </c>
      <c r="L882" s="1" t="str">
        <f t="shared" si="2"/>
        <v>May</v>
      </c>
      <c r="M882" s="1" t="str">
        <f t="shared" si="3"/>
        <v>Profit</v>
      </c>
    </row>
    <row r="883" ht="14.25" customHeight="1">
      <c r="A883" s="1" t="s">
        <v>917</v>
      </c>
      <c r="B883" s="2">
        <v>44477.0</v>
      </c>
      <c r="C883" s="1" t="s">
        <v>14</v>
      </c>
      <c r="D883" s="1" t="s">
        <v>21</v>
      </c>
      <c r="E883" s="1" t="s">
        <v>22</v>
      </c>
      <c r="F883" s="1">
        <v>800.38</v>
      </c>
      <c r="G883" s="1">
        <v>-129.51</v>
      </c>
      <c r="H883" s="1">
        <v>2.0</v>
      </c>
      <c r="I883" s="1" t="s">
        <v>34</v>
      </c>
      <c r="J883" s="1" t="s">
        <v>24</v>
      </c>
      <c r="K883" s="1">
        <f t="shared" si="1"/>
        <v>2021</v>
      </c>
      <c r="L883" s="1" t="str">
        <f t="shared" si="2"/>
        <v>Oct</v>
      </c>
      <c r="M883" s="1" t="str">
        <f t="shared" si="3"/>
        <v>Loss</v>
      </c>
    </row>
    <row r="884" ht="14.25" customHeight="1">
      <c r="A884" s="1" t="s">
        <v>918</v>
      </c>
      <c r="B884" s="2">
        <v>44977.0</v>
      </c>
      <c r="C884" s="1" t="s">
        <v>26</v>
      </c>
      <c r="D884" s="1" t="s">
        <v>27</v>
      </c>
      <c r="E884" s="1" t="s">
        <v>28</v>
      </c>
      <c r="F884" s="1">
        <v>59.17</v>
      </c>
      <c r="G884" s="1">
        <v>-7.32</v>
      </c>
      <c r="H884" s="1">
        <v>5.0</v>
      </c>
      <c r="I884" s="1" t="s">
        <v>17</v>
      </c>
      <c r="J884" s="1" t="s">
        <v>24</v>
      </c>
      <c r="K884" s="1">
        <f t="shared" si="1"/>
        <v>2023</v>
      </c>
      <c r="L884" s="1" t="str">
        <f t="shared" si="2"/>
        <v>Feb</v>
      </c>
      <c r="M884" s="1" t="str">
        <f t="shared" si="3"/>
        <v>Loss</v>
      </c>
    </row>
    <row r="885" ht="14.25" customHeight="1">
      <c r="A885" s="1" t="s">
        <v>919</v>
      </c>
      <c r="B885" s="2">
        <v>44476.0</v>
      </c>
      <c r="C885" s="1" t="s">
        <v>26</v>
      </c>
      <c r="D885" s="1" t="s">
        <v>15</v>
      </c>
      <c r="E885" s="1" t="s">
        <v>54</v>
      </c>
      <c r="F885" s="1">
        <v>666.54</v>
      </c>
      <c r="G885" s="1">
        <v>252.11</v>
      </c>
      <c r="H885" s="1">
        <v>10.0</v>
      </c>
      <c r="I885" s="1" t="s">
        <v>17</v>
      </c>
      <c r="J885" s="1" t="s">
        <v>38</v>
      </c>
      <c r="K885" s="1">
        <f t="shared" si="1"/>
        <v>2021</v>
      </c>
      <c r="L885" s="1" t="str">
        <f t="shared" si="2"/>
        <v>Oct</v>
      </c>
      <c r="M885" s="1" t="str">
        <f t="shared" si="3"/>
        <v>Profit</v>
      </c>
    </row>
    <row r="886" ht="14.25" customHeight="1">
      <c r="A886" s="1" t="s">
        <v>920</v>
      </c>
      <c r="B886" s="2">
        <v>45005.0</v>
      </c>
      <c r="C886" s="1" t="s">
        <v>20</v>
      </c>
      <c r="D886" s="1" t="s">
        <v>21</v>
      </c>
      <c r="E886" s="1" t="s">
        <v>22</v>
      </c>
      <c r="F886" s="1">
        <v>536.82</v>
      </c>
      <c r="G886" s="1">
        <v>-84.64</v>
      </c>
      <c r="H886" s="1">
        <v>1.0</v>
      </c>
      <c r="I886" s="1" t="s">
        <v>34</v>
      </c>
      <c r="J886" s="1" t="s">
        <v>38</v>
      </c>
      <c r="K886" s="1">
        <f t="shared" si="1"/>
        <v>2023</v>
      </c>
      <c r="L886" s="1" t="str">
        <f t="shared" si="2"/>
        <v>Mar</v>
      </c>
      <c r="M886" s="1" t="str">
        <f t="shared" si="3"/>
        <v>Loss</v>
      </c>
    </row>
    <row r="887" ht="14.25" customHeight="1">
      <c r="A887" s="1" t="s">
        <v>921</v>
      </c>
      <c r="B887" s="2">
        <v>44992.0</v>
      </c>
      <c r="C887" s="1" t="s">
        <v>30</v>
      </c>
      <c r="D887" s="1" t="s">
        <v>15</v>
      </c>
      <c r="E887" s="1" t="s">
        <v>16</v>
      </c>
      <c r="F887" s="1">
        <v>972.34</v>
      </c>
      <c r="G887" s="1">
        <v>171.62</v>
      </c>
      <c r="H887" s="1">
        <v>1.0</v>
      </c>
      <c r="I887" s="1" t="s">
        <v>34</v>
      </c>
      <c r="J887" s="1" t="s">
        <v>18</v>
      </c>
      <c r="K887" s="1">
        <f t="shared" si="1"/>
        <v>2023</v>
      </c>
      <c r="L887" s="1" t="str">
        <f t="shared" si="2"/>
        <v>Mar</v>
      </c>
      <c r="M887" s="1" t="str">
        <f t="shared" si="3"/>
        <v>Profit</v>
      </c>
    </row>
    <row r="888" ht="14.25" customHeight="1">
      <c r="A888" s="1" t="s">
        <v>922</v>
      </c>
      <c r="B888" s="2">
        <v>44790.0</v>
      </c>
      <c r="C888" s="1" t="s">
        <v>26</v>
      </c>
      <c r="D888" s="1" t="s">
        <v>27</v>
      </c>
      <c r="E888" s="1" t="s">
        <v>33</v>
      </c>
      <c r="F888" s="1">
        <v>94.13</v>
      </c>
      <c r="G888" s="1">
        <v>138.82</v>
      </c>
      <c r="H888" s="1">
        <v>1.0</v>
      </c>
      <c r="I888" s="1" t="s">
        <v>23</v>
      </c>
      <c r="J888" s="1" t="s">
        <v>24</v>
      </c>
      <c r="K888" s="1">
        <f t="shared" si="1"/>
        <v>2022</v>
      </c>
      <c r="L888" s="1" t="str">
        <f t="shared" si="2"/>
        <v>Aug</v>
      </c>
      <c r="M888" s="1" t="str">
        <f t="shared" si="3"/>
        <v>Profit</v>
      </c>
    </row>
    <row r="889" ht="14.25" customHeight="1">
      <c r="A889" s="1" t="s">
        <v>923</v>
      </c>
      <c r="B889" s="2">
        <v>45202.0</v>
      </c>
      <c r="C889" s="1" t="s">
        <v>26</v>
      </c>
      <c r="D889" s="1" t="s">
        <v>21</v>
      </c>
      <c r="E889" s="1" t="s">
        <v>37</v>
      </c>
      <c r="F889" s="1">
        <v>372.19</v>
      </c>
      <c r="G889" s="1">
        <v>210.48</v>
      </c>
      <c r="H889" s="1">
        <v>3.0</v>
      </c>
      <c r="I889" s="1" t="s">
        <v>23</v>
      </c>
      <c r="J889" s="1" t="s">
        <v>24</v>
      </c>
      <c r="K889" s="1">
        <f t="shared" si="1"/>
        <v>2023</v>
      </c>
      <c r="L889" s="1" t="str">
        <f t="shared" si="2"/>
        <v>Oct</v>
      </c>
      <c r="M889" s="1" t="str">
        <f t="shared" si="3"/>
        <v>Profit</v>
      </c>
    </row>
    <row r="890" ht="14.25" customHeight="1">
      <c r="A890" s="1" t="s">
        <v>924</v>
      </c>
      <c r="B890" s="2">
        <v>45085.0</v>
      </c>
      <c r="C890" s="1" t="s">
        <v>26</v>
      </c>
      <c r="D890" s="1" t="s">
        <v>21</v>
      </c>
      <c r="E890" s="1" t="s">
        <v>76</v>
      </c>
      <c r="F890" s="1">
        <v>506.84</v>
      </c>
      <c r="G890" s="1">
        <v>17.66</v>
      </c>
      <c r="H890" s="1">
        <v>7.0</v>
      </c>
      <c r="I890" s="1" t="s">
        <v>17</v>
      </c>
      <c r="J890" s="1" t="s">
        <v>18</v>
      </c>
      <c r="K890" s="1">
        <f t="shared" si="1"/>
        <v>2023</v>
      </c>
      <c r="L890" s="1" t="str">
        <f t="shared" si="2"/>
        <v>Jun</v>
      </c>
      <c r="M890" s="1" t="str">
        <f t="shared" si="3"/>
        <v>Profit</v>
      </c>
    </row>
    <row r="891" ht="14.25" customHeight="1">
      <c r="A891" s="1" t="s">
        <v>925</v>
      </c>
      <c r="B891" s="2">
        <v>45163.0</v>
      </c>
      <c r="C891" s="1" t="s">
        <v>26</v>
      </c>
      <c r="D891" s="1" t="s">
        <v>21</v>
      </c>
      <c r="E891" s="1" t="s">
        <v>76</v>
      </c>
      <c r="F891" s="1">
        <v>893.14</v>
      </c>
      <c r="G891" s="1">
        <v>-106.69</v>
      </c>
      <c r="H891" s="1">
        <v>6.0</v>
      </c>
      <c r="I891" s="1" t="s">
        <v>23</v>
      </c>
      <c r="J891" s="1" t="s">
        <v>35</v>
      </c>
      <c r="K891" s="1">
        <f t="shared" si="1"/>
        <v>2023</v>
      </c>
      <c r="L891" s="1" t="str">
        <f t="shared" si="2"/>
        <v>Aug</v>
      </c>
      <c r="M891" s="1" t="str">
        <f t="shared" si="3"/>
        <v>Loss</v>
      </c>
    </row>
    <row r="892" ht="14.25" customHeight="1">
      <c r="A892" s="1" t="s">
        <v>926</v>
      </c>
      <c r="B892" s="2">
        <v>44736.0</v>
      </c>
      <c r="C892" s="1" t="s">
        <v>20</v>
      </c>
      <c r="D892" s="1" t="s">
        <v>21</v>
      </c>
      <c r="E892" s="1" t="s">
        <v>76</v>
      </c>
      <c r="F892" s="1">
        <v>480.15</v>
      </c>
      <c r="G892" s="1">
        <v>31.1</v>
      </c>
      <c r="H892" s="1">
        <v>6.0</v>
      </c>
      <c r="I892" s="1" t="s">
        <v>17</v>
      </c>
      <c r="J892" s="1" t="s">
        <v>24</v>
      </c>
      <c r="K892" s="1">
        <f t="shared" si="1"/>
        <v>2022</v>
      </c>
      <c r="L892" s="1" t="str">
        <f t="shared" si="2"/>
        <v>Jun</v>
      </c>
      <c r="M892" s="1" t="str">
        <f t="shared" si="3"/>
        <v>Profit</v>
      </c>
    </row>
    <row r="893" ht="14.25" customHeight="1">
      <c r="A893" s="1" t="s">
        <v>927</v>
      </c>
      <c r="B893" s="2">
        <v>44530.0</v>
      </c>
      <c r="C893" s="1" t="s">
        <v>26</v>
      </c>
      <c r="D893" s="1" t="s">
        <v>15</v>
      </c>
      <c r="E893" s="1" t="s">
        <v>31</v>
      </c>
      <c r="F893" s="1">
        <v>996.53</v>
      </c>
      <c r="G893" s="1">
        <v>280.32</v>
      </c>
      <c r="H893" s="1">
        <v>7.0</v>
      </c>
      <c r="I893" s="1" t="s">
        <v>23</v>
      </c>
      <c r="J893" s="1" t="s">
        <v>18</v>
      </c>
      <c r="K893" s="1">
        <f t="shared" si="1"/>
        <v>2021</v>
      </c>
      <c r="L893" s="1" t="str">
        <f t="shared" si="2"/>
        <v>Nov</v>
      </c>
      <c r="M893" s="1" t="str">
        <f t="shared" si="3"/>
        <v>Profit</v>
      </c>
    </row>
    <row r="894" ht="14.25" customHeight="1">
      <c r="A894" s="1" t="s">
        <v>928</v>
      </c>
      <c r="B894" s="2">
        <v>45024.0</v>
      </c>
      <c r="C894" s="1" t="s">
        <v>26</v>
      </c>
      <c r="D894" s="1" t="s">
        <v>21</v>
      </c>
      <c r="E894" s="1" t="s">
        <v>37</v>
      </c>
      <c r="F894" s="1">
        <v>311.49</v>
      </c>
      <c r="G894" s="1">
        <v>-45.09</v>
      </c>
      <c r="H894" s="1">
        <v>1.0</v>
      </c>
      <c r="I894" s="1" t="s">
        <v>23</v>
      </c>
      <c r="J894" s="1" t="s">
        <v>18</v>
      </c>
      <c r="K894" s="1">
        <f t="shared" si="1"/>
        <v>2023</v>
      </c>
      <c r="L894" s="1" t="str">
        <f t="shared" si="2"/>
        <v>Apr</v>
      </c>
      <c r="M894" s="1" t="str">
        <f t="shared" si="3"/>
        <v>Loss</v>
      </c>
    </row>
    <row r="895" ht="14.25" customHeight="1">
      <c r="A895" s="1" t="s">
        <v>929</v>
      </c>
      <c r="B895" s="2">
        <v>45061.0</v>
      </c>
      <c r="C895" s="1" t="s">
        <v>30</v>
      </c>
      <c r="D895" s="1" t="s">
        <v>15</v>
      </c>
      <c r="E895" s="1" t="s">
        <v>16</v>
      </c>
      <c r="F895" s="1">
        <v>595.92</v>
      </c>
      <c r="G895" s="1">
        <v>-47.28</v>
      </c>
      <c r="H895" s="1">
        <v>9.0</v>
      </c>
      <c r="I895" s="1" t="s">
        <v>17</v>
      </c>
      <c r="J895" s="1" t="s">
        <v>35</v>
      </c>
      <c r="K895" s="1">
        <f t="shared" si="1"/>
        <v>2023</v>
      </c>
      <c r="L895" s="1" t="str">
        <f t="shared" si="2"/>
        <v>May</v>
      </c>
      <c r="M895" s="1" t="str">
        <f t="shared" si="3"/>
        <v>Loss</v>
      </c>
    </row>
    <row r="896" ht="14.25" customHeight="1">
      <c r="A896" s="1" t="s">
        <v>930</v>
      </c>
      <c r="B896" s="2">
        <v>44559.0</v>
      </c>
      <c r="C896" s="1" t="s">
        <v>20</v>
      </c>
      <c r="D896" s="1" t="s">
        <v>27</v>
      </c>
      <c r="E896" s="1" t="s">
        <v>28</v>
      </c>
      <c r="F896" s="1">
        <v>598.57</v>
      </c>
      <c r="G896" s="1">
        <v>248.82</v>
      </c>
      <c r="H896" s="1">
        <v>9.0</v>
      </c>
      <c r="I896" s="1" t="s">
        <v>34</v>
      </c>
      <c r="J896" s="1" t="s">
        <v>38</v>
      </c>
      <c r="K896" s="1">
        <f t="shared" si="1"/>
        <v>2021</v>
      </c>
      <c r="L896" s="1" t="str">
        <f t="shared" si="2"/>
        <v>Dec</v>
      </c>
      <c r="M896" s="1" t="str">
        <f t="shared" si="3"/>
        <v>Profit</v>
      </c>
    </row>
    <row r="897" ht="14.25" customHeight="1">
      <c r="A897" s="1" t="s">
        <v>931</v>
      </c>
      <c r="B897" s="2">
        <v>44396.0</v>
      </c>
      <c r="C897" s="1" t="s">
        <v>30</v>
      </c>
      <c r="D897" s="1" t="s">
        <v>21</v>
      </c>
      <c r="E897" s="1" t="s">
        <v>76</v>
      </c>
      <c r="F897" s="1">
        <v>38.28</v>
      </c>
      <c r="G897" s="1">
        <v>201.78</v>
      </c>
      <c r="H897" s="1">
        <v>5.0</v>
      </c>
      <c r="I897" s="1" t="s">
        <v>34</v>
      </c>
      <c r="J897" s="1" t="s">
        <v>24</v>
      </c>
      <c r="K897" s="1">
        <f t="shared" si="1"/>
        <v>2021</v>
      </c>
      <c r="L897" s="1" t="str">
        <f t="shared" si="2"/>
        <v>Jul</v>
      </c>
      <c r="M897" s="1" t="str">
        <f t="shared" si="3"/>
        <v>Profit</v>
      </c>
    </row>
    <row r="898" ht="14.25" customHeight="1">
      <c r="A898" s="1" t="s">
        <v>932</v>
      </c>
      <c r="B898" s="2">
        <v>44226.0</v>
      </c>
      <c r="C898" s="1" t="s">
        <v>20</v>
      </c>
      <c r="D898" s="1" t="s">
        <v>15</v>
      </c>
      <c r="E898" s="1" t="s">
        <v>54</v>
      </c>
      <c r="F898" s="1">
        <v>237.04</v>
      </c>
      <c r="G898" s="1">
        <v>-180.16</v>
      </c>
      <c r="H898" s="1">
        <v>4.0</v>
      </c>
      <c r="I898" s="1" t="s">
        <v>23</v>
      </c>
      <c r="J898" s="1" t="s">
        <v>18</v>
      </c>
      <c r="K898" s="1">
        <f t="shared" si="1"/>
        <v>2021</v>
      </c>
      <c r="L898" s="1" t="str">
        <f t="shared" si="2"/>
        <v>Jan</v>
      </c>
      <c r="M898" s="1" t="str">
        <f t="shared" si="3"/>
        <v>Loss</v>
      </c>
    </row>
    <row r="899" ht="14.25" customHeight="1">
      <c r="A899" s="1" t="s">
        <v>933</v>
      </c>
      <c r="B899" s="2">
        <v>44351.0</v>
      </c>
      <c r="C899" s="1" t="s">
        <v>20</v>
      </c>
      <c r="D899" s="1" t="s">
        <v>15</v>
      </c>
      <c r="E899" s="1" t="s">
        <v>31</v>
      </c>
      <c r="F899" s="1">
        <v>870.37</v>
      </c>
      <c r="G899" s="1">
        <v>196.34</v>
      </c>
      <c r="H899" s="1">
        <v>5.0</v>
      </c>
      <c r="I899" s="1" t="s">
        <v>17</v>
      </c>
      <c r="J899" s="1" t="s">
        <v>24</v>
      </c>
      <c r="K899" s="1">
        <f t="shared" si="1"/>
        <v>2021</v>
      </c>
      <c r="L899" s="1" t="str">
        <f t="shared" si="2"/>
        <v>Jun</v>
      </c>
      <c r="M899" s="1" t="str">
        <f t="shared" si="3"/>
        <v>Profit</v>
      </c>
    </row>
    <row r="900" ht="14.25" customHeight="1">
      <c r="A900" s="1" t="s">
        <v>934</v>
      </c>
      <c r="B900" s="2">
        <v>44741.0</v>
      </c>
      <c r="C900" s="1" t="s">
        <v>30</v>
      </c>
      <c r="D900" s="1" t="s">
        <v>27</v>
      </c>
      <c r="E900" s="1" t="s">
        <v>40</v>
      </c>
      <c r="F900" s="1">
        <v>258.35</v>
      </c>
      <c r="G900" s="1">
        <v>64.29</v>
      </c>
      <c r="H900" s="1">
        <v>6.0</v>
      </c>
      <c r="I900" s="1" t="s">
        <v>17</v>
      </c>
      <c r="J900" s="1" t="s">
        <v>38</v>
      </c>
      <c r="K900" s="1">
        <f t="shared" si="1"/>
        <v>2022</v>
      </c>
      <c r="L900" s="1" t="str">
        <f t="shared" si="2"/>
        <v>Jun</v>
      </c>
      <c r="M900" s="1" t="str">
        <f t="shared" si="3"/>
        <v>Profit</v>
      </c>
    </row>
    <row r="901" ht="14.25" customHeight="1">
      <c r="A901" s="1" t="s">
        <v>935</v>
      </c>
      <c r="B901" s="2">
        <v>44725.0</v>
      </c>
      <c r="C901" s="1" t="s">
        <v>26</v>
      </c>
      <c r="D901" s="1" t="s">
        <v>27</v>
      </c>
      <c r="E901" s="1" t="s">
        <v>33</v>
      </c>
      <c r="F901" s="1">
        <v>488.02</v>
      </c>
      <c r="G901" s="1">
        <v>274.24</v>
      </c>
      <c r="H901" s="1">
        <v>7.0</v>
      </c>
      <c r="I901" s="1" t="s">
        <v>23</v>
      </c>
      <c r="J901" s="1" t="s">
        <v>18</v>
      </c>
      <c r="K901" s="1">
        <f t="shared" si="1"/>
        <v>2022</v>
      </c>
      <c r="L901" s="1" t="str">
        <f t="shared" si="2"/>
        <v>Jun</v>
      </c>
      <c r="M901" s="1" t="str">
        <f t="shared" si="3"/>
        <v>Profit</v>
      </c>
    </row>
    <row r="902" ht="14.25" customHeight="1">
      <c r="A902" s="1" t="s">
        <v>936</v>
      </c>
      <c r="B902" s="2">
        <v>44662.0</v>
      </c>
      <c r="C902" s="1" t="s">
        <v>26</v>
      </c>
      <c r="D902" s="1" t="s">
        <v>21</v>
      </c>
      <c r="E902" s="1" t="s">
        <v>37</v>
      </c>
      <c r="F902" s="1">
        <v>905.55</v>
      </c>
      <c r="G902" s="1">
        <v>-49.33</v>
      </c>
      <c r="H902" s="1">
        <v>9.0</v>
      </c>
      <c r="I902" s="1" t="s">
        <v>23</v>
      </c>
      <c r="J902" s="1" t="s">
        <v>35</v>
      </c>
      <c r="K902" s="1">
        <f t="shared" si="1"/>
        <v>2022</v>
      </c>
      <c r="L902" s="1" t="str">
        <f t="shared" si="2"/>
        <v>Apr</v>
      </c>
      <c r="M902" s="1" t="str">
        <f t="shared" si="3"/>
        <v>Loss</v>
      </c>
    </row>
    <row r="903" ht="14.25" customHeight="1">
      <c r="A903" s="1" t="s">
        <v>937</v>
      </c>
      <c r="B903" s="2">
        <v>44548.0</v>
      </c>
      <c r="C903" s="1" t="s">
        <v>20</v>
      </c>
      <c r="D903" s="1" t="s">
        <v>15</v>
      </c>
      <c r="E903" s="1" t="s">
        <v>16</v>
      </c>
      <c r="F903" s="1">
        <v>991.53</v>
      </c>
      <c r="G903" s="1">
        <v>103.37</v>
      </c>
      <c r="H903" s="1">
        <v>1.0</v>
      </c>
      <c r="I903" s="1" t="s">
        <v>17</v>
      </c>
      <c r="J903" s="1" t="s">
        <v>18</v>
      </c>
      <c r="K903" s="1">
        <f t="shared" si="1"/>
        <v>2021</v>
      </c>
      <c r="L903" s="1" t="str">
        <f t="shared" si="2"/>
        <v>Dec</v>
      </c>
      <c r="M903" s="1" t="str">
        <f t="shared" si="3"/>
        <v>Profit</v>
      </c>
    </row>
    <row r="904" ht="14.25" customHeight="1">
      <c r="A904" s="1" t="s">
        <v>938</v>
      </c>
      <c r="B904" s="2">
        <v>44451.0</v>
      </c>
      <c r="C904" s="1" t="s">
        <v>20</v>
      </c>
      <c r="D904" s="1" t="s">
        <v>21</v>
      </c>
      <c r="E904" s="1" t="s">
        <v>76</v>
      </c>
      <c r="F904" s="1">
        <v>733.5</v>
      </c>
      <c r="G904" s="1">
        <v>-52.52</v>
      </c>
      <c r="H904" s="1">
        <v>9.0</v>
      </c>
      <c r="I904" s="1" t="s">
        <v>34</v>
      </c>
      <c r="J904" s="1" t="s">
        <v>38</v>
      </c>
      <c r="K904" s="1">
        <f t="shared" si="1"/>
        <v>2021</v>
      </c>
      <c r="L904" s="1" t="str">
        <f t="shared" si="2"/>
        <v>Sep</v>
      </c>
      <c r="M904" s="1" t="str">
        <f t="shared" si="3"/>
        <v>Loss</v>
      </c>
    </row>
    <row r="905" ht="14.25" customHeight="1">
      <c r="A905" s="1" t="s">
        <v>939</v>
      </c>
      <c r="B905" s="2">
        <v>45181.0</v>
      </c>
      <c r="C905" s="1" t="s">
        <v>20</v>
      </c>
      <c r="D905" s="1" t="s">
        <v>21</v>
      </c>
      <c r="E905" s="1" t="s">
        <v>22</v>
      </c>
      <c r="F905" s="1">
        <v>442.06</v>
      </c>
      <c r="G905" s="1">
        <v>42.16</v>
      </c>
      <c r="H905" s="1">
        <v>5.0</v>
      </c>
      <c r="I905" s="1" t="s">
        <v>34</v>
      </c>
      <c r="J905" s="1" t="s">
        <v>24</v>
      </c>
      <c r="K905" s="1">
        <f t="shared" si="1"/>
        <v>2023</v>
      </c>
      <c r="L905" s="1" t="str">
        <f t="shared" si="2"/>
        <v>Sep</v>
      </c>
      <c r="M905" s="1" t="str">
        <f t="shared" si="3"/>
        <v>Profit</v>
      </c>
    </row>
    <row r="906" ht="14.25" customHeight="1">
      <c r="A906" s="1" t="s">
        <v>940</v>
      </c>
      <c r="B906" s="2">
        <v>44919.0</v>
      </c>
      <c r="C906" s="1" t="s">
        <v>14</v>
      </c>
      <c r="D906" s="1" t="s">
        <v>27</v>
      </c>
      <c r="E906" s="1" t="s">
        <v>28</v>
      </c>
      <c r="F906" s="1">
        <v>869.64</v>
      </c>
      <c r="G906" s="1">
        <v>164.8</v>
      </c>
      <c r="H906" s="1">
        <v>9.0</v>
      </c>
      <c r="I906" s="1" t="s">
        <v>23</v>
      </c>
      <c r="J906" s="1" t="s">
        <v>38</v>
      </c>
      <c r="K906" s="1">
        <f t="shared" si="1"/>
        <v>2022</v>
      </c>
      <c r="L906" s="1" t="str">
        <f t="shared" si="2"/>
        <v>Dec</v>
      </c>
      <c r="M906" s="1" t="str">
        <f t="shared" si="3"/>
        <v>Profit</v>
      </c>
    </row>
    <row r="907" ht="14.25" customHeight="1">
      <c r="A907" s="1" t="s">
        <v>941</v>
      </c>
      <c r="B907" s="2">
        <v>45022.0</v>
      </c>
      <c r="C907" s="1" t="s">
        <v>14</v>
      </c>
      <c r="D907" s="1" t="s">
        <v>21</v>
      </c>
      <c r="E907" s="1" t="s">
        <v>37</v>
      </c>
      <c r="F907" s="1">
        <v>91.99</v>
      </c>
      <c r="G907" s="1">
        <v>162.13</v>
      </c>
      <c r="H907" s="1">
        <v>9.0</v>
      </c>
      <c r="I907" s="1" t="s">
        <v>17</v>
      </c>
      <c r="J907" s="1" t="s">
        <v>35</v>
      </c>
      <c r="K907" s="1">
        <f t="shared" si="1"/>
        <v>2023</v>
      </c>
      <c r="L907" s="1" t="str">
        <f t="shared" si="2"/>
        <v>Apr</v>
      </c>
      <c r="M907" s="1" t="str">
        <f t="shared" si="3"/>
        <v>Profit</v>
      </c>
    </row>
    <row r="908" ht="14.25" customHeight="1">
      <c r="A908" s="1" t="s">
        <v>942</v>
      </c>
      <c r="B908" s="2">
        <v>44397.0</v>
      </c>
      <c r="C908" s="1" t="s">
        <v>20</v>
      </c>
      <c r="D908" s="1" t="s">
        <v>27</v>
      </c>
      <c r="E908" s="1" t="s">
        <v>33</v>
      </c>
      <c r="F908" s="1">
        <v>555.86</v>
      </c>
      <c r="G908" s="1">
        <v>-133.48</v>
      </c>
      <c r="H908" s="1">
        <v>5.0</v>
      </c>
      <c r="I908" s="1" t="s">
        <v>17</v>
      </c>
      <c r="J908" s="1" t="s">
        <v>24</v>
      </c>
      <c r="K908" s="1">
        <f t="shared" si="1"/>
        <v>2021</v>
      </c>
      <c r="L908" s="1" t="str">
        <f t="shared" si="2"/>
        <v>Jul</v>
      </c>
      <c r="M908" s="1" t="str">
        <f t="shared" si="3"/>
        <v>Loss</v>
      </c>
    </row>
    <row r="909" ht="14.25" customHeight="1">
      <c r="A909" s="1" t="s">
        <v>943</v>
      </c>
      <c r="B909" s="2">
        <v>44302.0</v>
      </c>
      <c r="C909" s="1" t="s">
        <v>26</v>
      </c>
      <c r="D909" s="1" t="s">
        <v>15</v>
      </c>
      <c r="E909" s="1" t="s">
        <v>54</v>
      </c>
      <c r="F909" s="1">
        <v>182.03</v>
      </c>
      <c r="G909" s="1">
        <v>-145.82</v>
      </c>
      <c r="H909" s="1">
        <v>3.0</v>
      </c>
      <c r="I909" s="1" t="s">
        <v>34</v>
      </c>
      <c r="J909" s="1" t="s">
        <v>38</v>
      </c>
      <c r="K909" s="1">
        <f t="shared" si="1"/>
        <v>2021</v>
      </c>
      <c r="L909" s="1" t="str">
        <f t="shared" si="2"/>
        <v>Apr</v>
      </c>
      <c r="M909" s="1" t="str">
        <f t="shared" si="3"/>
        <v>Loss</v>
      </c>
    </row>
    <row r="910" ht="14.25" customHeight="1">
      <c r="A910" s="1" t="s">
        <v>944</v>
      </c>
      <c r="B910" s="2">
        <v>44683.0</v>
      </c>
      <c r="C910" s="1" t="s">
        <v>20</v>
      </c>
      <c r="D910" s="1" t="s">
        <v>27</v>
      </c>
      <c r="E910" s="1" t="s">
        <v>33</v>
      </c>
      <c r="F910" s="1">
        <v>188.05</v>
      </c>
      <c r="G910" s="1">
        <v>-140.49</v>
      </c>
      <c r="H910" s="1">
        <v>4.0</v>
      </c>
      <c r="I910" s="1" t="s">
        <v>34</v>
      </c>
      <c r="J910" s="1" t="s">
        <v>18</v>
      </c>
      <c r="K910" s="1">
        <f t="shared" si="1"/>
        <v>2022</v>
      </c>
      <c r="L910" s="1" t="str">
        <f t="shared" si="2"/>
        <v>May</v>
      </c>
      <c r="M910" s="1" t="str">
        <f t="shared" si="3"/>
        <v>Loss</v>
      </c>
    </row>
    <row r="911" ht="14.25" customHeight="1">
      <c r="A911" s="1" t="s">
        <v>945</v>
      </c>
      <c r="B911" s="2">
        <v>45147.0</v>
      </c>
      <c r="C911" s="1" t="s">
        <v>30</v>
      </c>
      <c r="D911" s="1" t="s">
        <v>21</v>
      </c>
      <c r="E911" s="1" t="s">
        <v>76</v>
      </c>
      <c r="F911" s="1">
        <v>550.84</v>
      </c>
      <c r="G911" s="1">
        <v>-116.97</v>
      </c>
      <c r="H911" s="1">
        <v>8.0</v>
      </c>
      <c r="I911" s="1" t="s">
        <v>34</v>
      </c>
      <c r="J911" s="1" t="s">
        <v>35</v>
      </c>
      <c r="K911" s="1">
        <f t="shared" si="1"/>
        <v>2023</v>
      </c>
      <c r="L911" s="1" t="str">
        <f t="shared" si="2"/>
        <v>Aug</v>
      </c>
      <c r="M911" s="1" t="str">
        <f t="shared" si="3"/>
        <v>Loss</v>
      </c>
    </row>
    <row r="912" ht="14.25" customHeight="1">
      <c r="A912" s="1" t="s">
        <v>946</v>
      </c>
      <c r="B912" s="2">
        <v>44944.0</v>
      </c>
      <c r="C912" s="1" t="s">
        <v>20</v>
      </c>
      <c r="D912" s="1" t="s">
        <v>27</v>
      </c>
      <c r="E912" s="1" t="s">
        <v>40</v>
      </c>
      <c r="F912" s="1">
        <v>779.13</v>
      </c>
      <c r="G912" s="1">
        <v>-64.03</v>
      </c>
      <c r="H912" s="1">
        <v>6.0</v>
      </c>
      <c r="I912" s="1" t="s">
        <v>17</v>
      </c>
      <c r="J912" s="1" t="s">
        <v>38</v>
      </c>
      <c r="K912" s="1">
        <f t="shared" si="1"/>
        <v>2023</v>
      </c>
      <c r="L912" s="1" t="str">
        <f t="shared" si="2"/>
        <v>Jan</v>
      </c>
      <c r="M912" s="1" t="str">
        <f t="shared" si="3"/>
        <v>Loss</v>
      </c>
    </row>
    <row r="913" ht="14.25" customHeight="1">
      <c r="A913" s="1" t="s">
        <v>947</v>
      </c>
      <c r="B913" s="2">
        <v>45072.0</v>
      </c>
      <c r="C913" s="1" t="s">
        <v>14</v>
      </c>
      <c r="D913" s="1" t="s">
        <v>15</v>
      </c>
      <c r="E913" s="1" t="s">
        <v>16</v>
      </c>
      <c r="F913" s="1">
        <v>98.73</v>
      </c>
      <c r="G913" s="1">
        <v>-189.76</v>
      </c>
      <c r="H913" s="1">
        <v>6.0</v>
      </c>
      <c r="I913" s="1" t="s">
        <v>23</v>
      </c>
      <c r="J913" s="1" t="s">
        <v>35</v>
      </c>
      <c r="K913" s="1">
        <f t="shared" si="1"/>
        <v>2023</v>
      </c>
      <c r="L913" s="1" t="str">
        <f t="shared" si="2"/>
        <v>May</v>
      </c>
      <c r="M913" s="1" t="str">
        <f t="shared" si="3"/>
        <v>Loss</v>
      </c>
    </row>
    <row r="914" ht="14.25" customHeight="1">
      <c r="A914" s="1" t="s">
        <v>948</v>
      </c>
      <c r="B914" s="2">
        <v>44967.0</v>
      </c>
      <c r="C914" s="1" t="s">
        <v>26</v>
      </c>
      <c r="D914" s="1" t="s">
        <v>15</v>
      </c>
      <c r="E914" s="1" t="s">
        <v>31</v>
      </c>
      <c r="F914" s="1">
        <v>400.69</v>
      </c>
      <c r="G914" s="1">
        <v>279.21</v>
      </c>
      <c r="H914" s="1">
        <v>8.0</v>
      </c>
      <c r="I914" s="1" t="s">
        <v>23</v>
      </c>
      <c r="J914" s="1" t="s">
        <v>38</v>
      </c>
      <c r="K914" s="1">
        <f t="shared" si="1"/>
        <v>2023</v>
      </c>
      <c r="L914" s="1" t="str">
        <f t="shared" si="2"/>
        <v>Feb</v>
      </c>
      <c r="M914" s="1" t="str">
        <f t="shared" si="3"/>
        <v>Profit</v>
      </c>
    </row>
    <row r="915" ht="14.25" customHeight="1">
      <c r="A915" s="1" t="s">
        <v>949</v>
      </c>
      <c r="B915" s="2">
        <v>44937.0</v>
      </c>
      <c r="C915" s="1" t="s">
        <v>20</v>
      </c>
      <c r="D915" s="1" t="s">
        <v>27</v>
      </c>
      <c r="E915" s="1" t="s">
        <v>40</v>
      </c>
      <c r="F915" s="1">
        <v>967.02</v>
      </c>
      <c r="G915" s="1">
        <v>284.05</v>
      </c>
      <c r="H915" s="1">
        <v>8.0</v>
      </c>
      <c r="I915" s="1" t="s">
        <v>17</v>
      </c>
      <c r="J915" s="1" t="s">
        <v>35</v>
      </c>
      <c r="K915" s="1">
        <f t="shared" si="1"/>
        <v>2023</v>
      </c>
      <c r="L915" s="1" t="str">
        <f t="shared" si="2"/>
        <v>Jan</v>
      </c>
      <c r="M915" s="1" t="str">
        <f t="shared" si="3"/>
        <v>Profit</v>
      </c>
    </row>
    <row r="916" ht="14.25" customHeight="1">
      <c r="A916" s="1" t="s">
        <v>950</v>
      </c>
      <c r="B916" s="2">
        <v>45158.0</v>
      </c>
      <c r="C916" s="1" t="s">
        <v>14</v>
      </c>
      <c r="D916" s="1" t="s">
        <v>27</v>
      </c>
      <c r="E916" s="1" t="s">
        <v>33</v>
      </c>
      <c r="F916" s="1">
        <v>86.66</v>
      </c>
      <c r="G916" s="1">
        <v>60.3</v>
      </c>
      <c r="H916" s="1">
        <v>8.0</v>
      </c>
      <c r="I916" s="1" t="s">
        <v>17</v>
      </c>
      <c r="J916" s="1" t="s">
        <v>35</v>
      </c>
      <c r="K916" s="1">
        <f t="shared" si="1"/>
        <v>2023</v>
      </c>
      <c r="L916" s="1" t="str">
        <f t="shared" si="2"/>
        <v>Aug</v>
      </c>
      <c r="M916" s="1" t="str">
        <f t="shared" si="3"/>
        <v>Profit</v>
      </c>
    </row>
    <row r="917" ht="14.25" customHeight="1">
      <c r="A917" s="1" t="s">
        <v>951</v>
      </c>
      <c r="B917" s="2">
        <v>44786.0</v>
      </c>
      <c r="C917" s="1" t="s">
        <v>14</v>
      </c>
      <c r="D917" s="1" t="s">
        <v>21</v>
      </c>
      <c r="E917" s="1" t="s">
        <v>22</v>
      </c>
      <c r="F917" s="1">
        <v>219.16</v>
      </c>
      <c r="G917" s="1">
        <v>-97.55</v>
      </c>
      <c r="H917" s="1">
        <v>8.0</v>
      </c>
      <c r="I917" s="1" t="s">
        <v>17</v>
      </c>
      <c r="J917" s="1" t="s">
        <v>35</v>
      </c>
      <c r="K917" s="1">
        <f t="shared" si="1"/>
        <v>2022</v>
      </c>
      <c r="L917" s="1" t="str">
        <f t="shared" si="2"/>
        <v>Aug</v>
      </c>
      <c r="M917" s="1" t="str">
        <f t="shared" si="3"/>
        <v>Loss</v>
      </c>
    </row>
    <row r="918" ht="14.25" customHeight="1">
      <c r="A918" s="1" t="s">
        <v>952</v>
      </c>
      <c r="B918" s="2">
        <v>44911.0</v>
      </c>
      <c r="C918" s="1" t="s">
        <v>14</v>
      </c>
      <c r="D918" s="1" t="s">
        <v>15</v>
      </c>
      <c r="E918" s="1" t="s">
        <v>31</v>
      </c>
      <c r="F918" s="1">
        <v>431.6</v>
      </c>
      <c r="G918" s="1">
        <v>105.12</v>
      </c>
      <c r="H918" s="1">
        <v>7.0</v>
      </c>
      <c r="I918" s="1" t="s">
        <v>23</v>
      </c>
      <c r="J918" s="1" t="s">
        <v>38</v>
      </c>
      <c r="K918" s="1">
        <f t="shared" si="1"/>
        <v>2022</v>
      </c>
      <c r="L918" s="1" t="str">
        <f t="shared" si="2"/>
        <v>Dec</v>
      </c>
      <c r="M918" s="1" t="str">
        <f t="shared" si="3"/>
        <v>Profit</v>
      </c>
    </row>
    <row r="919" ht="14.25" customHeight="1">
      <c r="A919" s="1" t="s">
        <v>953</v>
      </c>
      <c r="B919" s="2">
        <v>44691.0</v>
      </c>
      <c r="C919" s="1" t="s">
        <v>26</v>
      </c>
      <c r="D919" s="1" t="s">
        <v>15</v>
      </c>
      <c r="E919" s="1" t="s">
        <v>31</v>
      </c>
      <c r="F919" s="1">
        <v>791.61</v>
      </c>
      <c r="G919" s="1">
        <v>-116.49</v>
      </c>
      <c r="H919" s="1">
        <v>6.0</v>
      </c>
      <c r="I919" s="1" t="s">
        <v>23</v>
      </c>
      <c r="J919" s="1" t="s">
        <v>35</v>
      </c>
      <c r="K919" s="1">
        <f t="shared" si="1"/>
        <v>2022</v>
      </c>
      <c r="L919" s="1" t="str">
        <f t="shared" si="2"/>
        <v>May</v>
      </c>
      <c r="M919" s="1" t="str">
        <f t="shared" si="3"/>
        <v>Loss</v>
      </c>
    </row>
    <row r="920" ht="14.25" customHeight="1">
      <c r="A920" s="1" t="s">
        <v>954</v>
      </c>
      <c r="B920" s="2">
        <v>45046.0</v>
      </c>
      <c r="C920" s="1" t="s">
        <v>14</v>
      </c>
      <c r="D920" s="1" t="s">
        <v>21</v>
      </c>
      <c r="E920" s="1" t="s">
        <v>37</v>
      </c>
      <c r="F920" s="1">
        <v>390.6</v>
      </c>
      <c r="G920" s="1">
        <v>151.65</v>
      </c>
      <c r="H920" s="1">
        <v>3.0</v>
      </c>
      <c r="I920" s="1" t="s">
        <v>17</v>
      </c>
      <c r="J920" s="1" t="s">
        <v>38</v>
      </c>
      <c r="K920" s="1">
        <f t="shared" si="1"/>
        <v>2023</v>
      </c>
      <c r="L920" s="1" t="str">
        <f t="shared" si="2"/>
        <v>Apr</v>
      </c>
      <c r="M920" s="1" t="str">
        <f t="shared" si="3"/>
        <v>Profit</v>
      </c>
    </row>
    <row r="921" ht="14.25" customHeight="1">
      <c r="A921" s="1" t="s">
        <v>955</v>
      </c>
      <c r="B921" s="2">
        <v>44279.0</v>
      </c>
      <c r="C921" s="1" t="s">
        <v>20</v>
      </c>
      <c r="D921" s="1" t="s">
        <v>27</v>
      </c>
      <c r="E921" s="1" t="s">
        <v>28</v>
      </c>
      <c r="F921" s="1">
        <v>768.47</v>
      </c>
      <c r="G921" s="1">
        <v>102.01</v>
      </c>
      <c r="H921" s="1">
        <v>6.0</v>
      </c>
      <c r="I921" s="1" t="s">
        <v>23</v>
      </c>
      <c r="J921" s="1" t="s">
        <v>18</v>
      </c>
      <c r="K921" s="1">
        <f t="shared" si="1"/>
        <v>2021</v>
      </c>
      <c r="L921" s="1" t="str">
        <f t="shared" si="2"/>
        <v>Mar</v>
      </c>
      <c r="M921" s="1" t="str">
        <f t="shared" si="3"/>
        <v>Profit</v>
      </c>
    </row>
    <row r="922" ht="14.25" customHeight="1">
      <c r="A922" s="1" t="s">
        <v>956</v>
      </c>
      <c r="B922" s="2">
        <v>44568.0</v>
      </c>
      <c r="C922" s="1" t="s">
        <v>20</v>
      </c>
      <c r="D922" s="1" t="s">
        <v>15</v>
      </c>
      <c r="E922" s="1" t="s">
        <v>31</v>
      </c>
      <c r="F922" s="1">
        <v>233.61</v>
      </c>
      <c r="G922" s="1">
        <v>-36.23</v>
      </c>
      <c r="H922" s="1">
        <v>2.0</v>
      </c>
      <c r="I922" s="1" t="s">
        <v>17</v>
      </c>
      <c r="J922" s="1" t="s">
        <v>38</v>
      </c>
      <c r="K922" s="1">
        <f t="shared" si="1"/>
        <v>2022</v>
      </c>
      <c r="L922" s="1" t="str">
        <f t="shared" si="2"/>
        <v>Jan</v>
      </c>
      <c r="M922" s="1" t="str">
        <f t="shared" si="3"/>
        <v>Loss</v>
      </c>
    </row>
    <row r="923" ht="14.25" customHeight="1">
      <c r="A923" s="1" t="s">
        <v>957</v>
      </c>
      <c r="B923" s="2">
        <v>44671.0</v>
      </c>
      <c r="C923" s="1" t="s">
        <v>30</v>
      </c>
      <c r="D923" s="1" t="s">
        <v>15</v>
      </c>
      <c r="E923" s="1" t="s">
        <v>16</v>
      </c>
      <c r="F923" s="1">
        <v>676.51</v>
      </c>
      <c r="G923" s="1">
        <v>-189.89</v>
      </c>
      <c r="H923" s="1">
        <v>10.0</v>
      </c>
      <c r="I923" s="1" t="s">
        <v>23</v>
      </c>
      <c r="J923" s="1" t="s">
        <v>38</v>
      </c>
      <c r="K923" s="1">
        <f t="shared" si="1"/>
        <v>2022</v>
      </c>
      <c r="L923" s="1" t="str">
        <f t="shared" si="2"/>
        <v>Apr</v>
      </c>
      <c r="M923" s="1" t="str">
        <f t="shared" si="3"/>
        <v>Loss</v>
      </c>
    </row>
    <row r="924" ht="14.25" customHeight="1">
      <c r="A924" s="1" t="s">
        <v>958</v>
      </c>
      <c r="B924" s="2">
        <v>44974.0</v>
      </c>
      <c r="C924" s="1" t="s">
        <v>30</v>
      </c>
      <c r="D924" s="1" t="s">
        <v>15</v>
      </c>
      <c r="E924" s="1" t="s">
        <v>16</v>
      </c>
      <c r="F924" s="1">
        <v>652.98</v>
      </c>
      <c r="G924" s="1">
        <v>-186.42</v>
      </c>
      <c r="H924" s="1">
        <v>6.0</v>
      </c>
      <c r="I924" s="1" t="s">
        <v>34</v>
      </c>
      <c r="J924" s="1" t="s">
        <v>18</v>
      </c>
      <c r="K924" s="1">
        <f t="shared" si="1"/>
        <v>2023</v>
      </c>
      <c r="L924" s="1" t="str">
        <f t="shared" si="2"/>
        <v>Feb</v>
      </c>
      <c r="M924" s="1" t="str">
        <f t="shared" si="3"/>
        <v>Loss</v>
      </c>
    </row>
    <row r="925" ht="14.25" customHeight="1">
      <c r="A925" s="1" t="s">
        <v>959</v>
      </c>
      <c r="B925" s="2">
        <v>44408.0</v>
      </c>
      <c r="C925" s="1" t="s">
        <v>20</v>
      </c>
      <c r="D925" s="1" t="s">
        <v>15</v>
      </c>
      <c r="E925" s="1" t="s">
        <v>54</v>
      </c>
      <c r="F925" s="1">
        <v>695.87</v>
      </c>
      <c r="G925" s="1">
        <v>26.01</v>
      </c>
      <c r="H925" s="1">
        <v>1.0</v>
      </c>
      <c r="I925" s="1" t="s">
        <v>23</v>
      </c>
      <c r="J925" s="1" t="s">
        <v>24</v>
      </c>
      <c r="K925" s="1">
        <f t="shared" si="1"/>
        <v>2021</v>
      </c>
      <c r="L925" s="1" t="str">
        <f t="shared" si="2"/>
        <v>Jul</v>
      </c>
      <c r="M925" s="1" t="str">
        <f t="shared" si="3"/>
        <v>Profit</v>
      </c>
    </row>
    <row r="926" ht="14.25" customHeight="1">
      <c r="A926" s="1" t="s">
        <v>960</v>
      </c>
      <c r="B926" s="2">
        <v>44247.0</v>
      </c>
      <c r="C926" s="1" t="s">
        <v>14</v>
      </c>
      <c r="D926" s="1" t="s">
        <v>21</v>
      </c>
      <c r="E926" s="1" t="s">
        <v>76</v>
      </c>
      <c r="F926" s="1">
        <v>592.29</v>
      </c>
      <c r="G926" s="1">
        <v>158.82</v>
      </c>
      <c r="H926" s="1">
        <v>4.0</v>
      </c>
      <c r="I926" s="1" t="s">
        <v>23</v>
      </c>
      <c r="J926" s="1" t="s">
        <v>38</v>
      </c>
      <c r="K926" s="1">
        <f t="shared" si="1"/>
        <v>2021</v>
      </c>
      <c r="L926" s="1" t="str">
        <f t="shared" si="2"/>
        <v>Feb</v>
      </c>
      <c r="M926" s="1" t="str">
        <f t="shared" si="3"/>
        <v>Profit</v>
      </c>
    </row>
    <row r="927" ht="14.25" customHeight="1">
      <c r="A927" s="1" t="s">
        <v>961</v>
      </c>
      <c r="B927" s="2">
        <v>44390.0</v>
      </c>
      <c r="C927" s="1" t="s">
        <v>26</v>
      </c>
      <c r="D927" s="1" t="s">
        <v>27</v>
      </c>
      <c r="E927" s="1" t="s">
        <v>28</v>
      </c>
      <c r="F927" s="1">
        <v>646.9</v>
      </c>
      <c r="G927" s="1">
        <v>258.88</v>
      </c>
      <c r="H927" s="1">
        <v>10.0</v>
      </c>
      <c r="I927" s="1" t="s">
        <v>17</v>
      </c>
      <c r="J927" s="1" t="s">
        <v>35</v>
      </c>
      <c r="K927" s="1">
        <f t="shared" si="1"/>
        <v>2021</v>
      </c>
      <c r="L927" s="1" t="str">
        <f t="shared" si="2"/>
        <v>Jul</v>
      </c>
      <c r="M927" s="1" t="str">
        <f t="shared" si="3"/>
        <v>Profit</v>
      </c>
    </row>
    <row r="928" ht="14.25" customHeight="1">
      <c r="A928" s="1" t="s">
        <v>962</v>
      </c>
      <c r="B928" s="2">
        <v>45017.0</v>
      </c>
      <c r="C928" s="1" t="s">
        <v>14</v>
      </c>
      <c r="D928" s="1" t="s">
        <v>21</v>
      </c>
      <c r="E928" s="1" t="s">
        <v>76</v>
      </c>
      <c r="F928" s="1">
        <v>515.1</v>
      </c>
      <c r="G928" s="1">
        <v>2.4</v>
      </c>
      <c r="H928" s="1">
        <v>3.0</v>
      </c>
      <c r="I928" s="1" t="s">
        <v>17</v>
      </c>
      <c r="J928" s="1" t="s">
        <v>35</v>
      </c>
      <c r="K928" s="1">
        <f t="shared" si="1"/>
        <v>2023</v>
      </c>
      <c r="L928" s="1" t="str">
        <f t="shared" si="2"/>
        <v>Apr</v>
      </c>
      <c r="M928" s="1" t="str">
        <f t="shared" si="3"/>
        <v>Profit</v>
      </c>
    </row>
    <row r="929" ht="14.25" customHeight="1">
      <c r="A929" s="1" t="s">
        <v>963</v>
      </c>
      <c r="B929" s="2">
        <v>44694.0</v>
      </c>
      <c r="C929" s="1" t="s">
        <v>26</v>
      </c>
      <c r="D929" s="1" t="s">
        <v>21</v>
      </c>
      <c r="E929" s="1" t="s">
        <v>37</v>
      </c>
      <c r="F929" s="1">
        <v>587.49</v>
      </c>
      <c r="G929" s="1">
        <v>233.82</v>
      </c>
      <c r="H929" s="1">
        <v>6.0</v>
      </c>
      <c r="I929" s="1" t="s">
        <v>23</v>
      </c>
      <c r="J929" s="1" t="s">
        <v>38</v>
      </c>
      <c r="K929" s="1">
        <f t="shared" si="1"/>
        <v>2022</v>
      </c>
      <c r="L929" s="1" t="str">
        <f t="shared" si="2"/>
        <v>May</v>
      </c>
      <c r="M929" s="1" t="str">
        <f t="shared" si="3"/>
        <v>Profit</v>
      </c>
    </row>
    <row r="930" ht="14.25" customHeight="1">
      <c r="A930" s="1" t="s">
        <v>964</v>
      </c>
      <c r="B930" s="2">
        <v>44843.0</v>
      </c>
      <c r="C930" s="1" t="s">
        <v>26</v>
      </c>
      <c r="D930" s="1" t="s">
        <v>21</v>
      </c>
      <c r="E930" s="1" t="s">
        <v>37</v>
      </c>
      <c r="F930" s="1">
        <v>913.49</v>
      </c>
      <c r="G930" s="1">
        <v>70.7</v>
      </c>
      <c r="H930" s="1">
        <v>5.0</v>
      </c>
      <c r="I930" s="1" t="s">
        <v>23</v>
      </c>
      <c r="J930" s="1" t="s">
        <v>24</v>
      </c>
      <c r="K930" s="1">
        <f t="shared" si="1"/>
        <v>2022</v>
      </c>
      <c r="L930" s="1" t="str">
        <f t="shared" si="2"/>
        <v>Oct</v>
      </c>
      <c r="M930" s="1" t="str">
        <f t="shared" si="3"/>
        <v>Profit</v>
      </c>
    </row>
    <row r="931" ht="14.25" customHeight="1">
      <c r="A931" s="1" t="s">
        <v>965</v>
      </c>
      <c r="B931" s="2">
        <v>44671.0</v>
      </c>
      <c r="C931" s="1" t="s">
        <v>26</v>
      </c>
      <c r="D931" s="1" t="s">
        <v>21</v>
      </c>
      <c r="E931" s="1" t="s">
        <v>76</v>
      </c>
      <c r="F931" s="1">
        <v>159.61</v>
      </c>
      <c r="G931" s="1">
        <v>-57.99</v>
      </c>
      <c r="H931" s="1">
        <v>10.0</v>
      </c>
      <c r="I931" s="1" t="s">
        <v>23</v>
      </c>
      <c r="J931" s="1" t="s">
        <v>38</v>
      </c>
      <c r="K931" s="1">
        <f t="shared" si="1"/>
        <v>2022</v>
      </c>
      <c r="L931" s="1" t="str">
        <f t="shared" si="2"/>
        <v>Apr</v>
      </c>
      <c r="M931" s="1" t="str">
        <f t="shared" si="3"/>
        <v>Loss</v>
      </c>
    </row>
    <row r="932" ht="14.25" customHeight="1">
      <c r="A932" s="1" t="s">
        <v>966</v>
      </c>
      <c r="B932" s="2">
        <v>45223.0</v>
      </c>
      <c r="C932" s="1" t="s">
        <v>26</v>
      </c>
      <c r="D932" s="1" t="s">
        <v>15</v>
      </c>
      <c r="E932" s="1" t="s">
        <v>31</v>
      </c>
      <c r="F932" s="1">
        <v>295.82</v>
      </c>
      <c r="G932" s="1">
        <v>212.62</v>
      </c>
      <c r="H932" s="1">
        <v>9.0</v>
      </c>
      <c r="I932" s="1" t="s">
        <v>17</v>
      </c>
      <c r="J932" s="1" t="s">
        <v>18</v>
      </c>
      <c r="K932" s="1">
        <f t="shared" si="1"/>
        <v>2023</v>
      </c>
      <c r="L932" s="1" t="str">
        <f t="shared" si="2"/>
        <v>Oct</v>
      </c>
      <c r="M932" s="1" t="str">
        <f t="shared" si="3"/>
        <v>Profit</v>
      </c>
    </row>
    <row r="933" ht="14.25" customHeight="1">
      <c r="A933" s="1" t="s">
        <v>967</v>
      </c>
      <c r="B933" s="2">
        <v>44997.0</v>
      </c>
      <c r="C933" s="1" t="s">
        <v>20</v>
      </c>
      <c r="D933" s="1" t="s">
        <v>27</v>
      </c>
      <c r="E933" s="1" t="s">
        <v>28</v>
      </c>
      <c r="F933" s="1">
        <v>791.6</v>
      </c>
      <c r="G933" s="1">
        <v>-109.61</v>
      </c>
      <c r="H933" s="1">
        <v>6.0</v>
      </c>
      <c r="I933" s="1" t="s">
        <v>17</v>
      </c>
      <c r="J933" s="1" t="s">
        <v>18</v>
      </c>
      <c r="K933" s="1">
        <f t="shared" si="1"/>
        <v>2023</v>
      </c>
      <c r="L933" s="1" t="str">
        <f t="shared" si="2"/>
        <v>Mar</v>
      </c>
      <c r="M933" s="1" t="str">
        <f t="shared" si="3"/>
        <v>Loss</v>
      </c>
    </row>
    <row r="934" ht="14.25" customHeight="1">
      <c r="A934" s="1" t="s">
        <v>968</v>
      </c>
      <c r="B934" s="2">
        <v>44611.0</v>
      </c>
      <c r="C934" s="1" t="s">
        <v>14</v>
      </c>
      <c r="D934" s="1" t="s">
        <v>15</v>
      </c>
      <c r="E934" s="1" t="s">
        <v>16</v>
      </c>
      <c r="F934" s="1">
        <v>333.37</v>
      </c>
      <c r="G934" s="1">
        <v>-127.23</v>
      </c>
      <c r="H934" s="1">
        <v>9.0</v>
      </c>
      <c r="I934" s="1" t="s">
        <v>23</v>
      </c>
      <c r="J934" s="1" t="s">
        <v>35</v>
      </c>
      <c r="K934" s="1">
        <f t="shared" si="1"/>
        <v>2022</v>
      </c>
      <c r="L934" s="1" t="str">
        <f t="shared" si="2"/>
        <v>Feb</v>
      </c>
      <c r="M934" s="1" t="str">
        <f t="shared" si="3"/>
        <v>Loss</v>
      </c>
    </row>
    <row r="935" ht="14.25" customHeight="1">
      <c r="A935" s="1" t="s">
        <v>969</v>
      </c>
      <c r="B935" s="2">
        <v>44428.0</v>
      </c>
      <c r="C935" s="1" t="s">
        <v>14</v>
      </c>
      <c r="D935" s="1" t="s">
        <v>27</v>
      </c>
      <c r="E935" s="1" t="s">
        <v>33</v>
      </c>
      <c r="F935" s="1">
        <v>482.57</v>
      </c>
      <c r="G935" s="1">
        <v>-45.01</v>
      </c>
      <c r="H935" s="1">
        <v>6.0</v>
      </c>
      <c r="I935" s="1" t="s">
        <v>17</v>
      </c>
      <c r="J935" s="1" t="s">
        <v>35</v>
      </c>
      <c r="K935" s="1">
        <f t="shared" si="1"/>
        <v>2021</v>
      </c>
      <c r="L935" s="1" t="str">
        <f t="shared" si="2"/>
        <v>Aug</v>
      </c>
      <c r="M935" s="1" t="str">
        <f t="shared" si="3"/>
        <v>Loss</v>
      </c>
    </row>
    <row r="936" ht="14.25" customHeight="1">
      <c r="A936" s="1" t="s">
        <v>970</v>
      </c>
      <c r="B936" s="2">
        <v>45051.0</v>
      </c>
      <c r="C936" s="1" t="s">
        <v>30</v>
      </c>
      <c r="D936" s="1" t="s">
        <v>27</v>
      </c>
      <c r="E936" s="1" t="s">
        <v>40</v>
      </c>
      <c r="F936" s="1">
        <v>933.53</v>
      </c>
      <c r="G936" s="1">
        <v>169.19</v>
      </c>
      <c r="H936" s="1">
        <v>9.0</v>
      </c>
      <c r="I936" s="1" t="s">
        <v>34</v>
      </c>
      <c r="J936" s="1" t="s">
        <v>35</v>
      </c>
      <c r="K936" s="1">
        <f t="shared" si="1"/>
        <v>2023</v>
      </c>
      <c r="L936" s="1" t="str">
        <f t="shared" si="2"/>
        <v>May</v>
      </c>
      <c r="M936" s="1" t="str">
        <f t="shared" si="3"/>
        <v>Profit</v>
      </c>
    </row>
    <row r="937" ht="14.25" customHeight="1">
      <c r="A937" s="1" t="s">
        <v>971</v>
      </c>
      <c r="B937" s="2">
        <v>44631.0</v>
      </c>
      <c r="C937" s="1" t="s">
        <v>30</v>
      </c>
      <c r="D937" s="1" t="s">
        <v>15</v>
      </c>
      <c r="E937" s="1" t="s">
        <v>31</v>
      </c>
      <c r="F937" s="1">
        <v>53.43</v>
      </c>
      <c r="G937" s="1">
        <v>290.7</v>
      </c>
      <c r="H937" s="1">
        <v>9.0</v>
      </c>
      <c r="I937" s="1" t="s">
        <v>17</v>
      </c>
      <c r="J937" s="1" t="s">
        <v>35</v>
      </c>
      <c r="K937" s="1">
        <f t="shared" si="1"/>
        <v>2022</v>
      </c>
      <c r="L937" s="1" t="str">
        <f t="shared" si="2"/>
        <v>Mar</v>
      </c>
      <c r="M937" s="1" t="str">
        <f t="shared" si="3"/>
        <v>Profit</v>
      </c>
    </row>
    <row r="938" ht="14.25" customHeight="1">
      <c r="A938" s="1" t="s">
        <v>972</v>
      </c>
      <c r="B938" s="2">
        <v>45007.0</v>
      </c>
      <c r="C938" s="1" t="s">
        <v>26</v>
      </c>
      <c r="D938" s="1" t="s">
        <v>27</v>
      </c>
      <c r="E938" s="1" t="s">
        <v>33</v>
      </c>
      <c r="F938" s="1">
        <v>292.71</v>
      </c>
      <c r="G938" s="1">
        <v>252.83</v>
      </c>
      <c r="H938" s="1">
        <v>10.0</v>
      </c>
      <c r="I938" s="1" t="s">
        <v>23</v>
      </c>
      <c r="J938" s="1" t="s">
        <v>35</v>
      </c>
      <c r="K938" s="1">
        <f t="shared" si="1"/>
        <v>2023</v>
      </c>
      <c r="L938" s="1" t="str">
        <f t="shared" si="2"/>
        <v>Mar</v>
      </c>
      <c r="M938" s="1" t="str">
        <f t="shared" si="3"/>
        <v>Profit</v>
      </c>
    </row>
    <row r="939" ht="14.25" customHeight="1">
      <c r="A939" s="1" t="s">
        <v>973</v>
      </c>
      <c r="B939" s="2">
        <v>44808.0</v>
      </c>
      <c r="C939" s="1" t="s">
        <v>30</v>
      </c>
      <c r="D939" s="1" t="s">
        <v>21</v>
      </c>
      <c r="E939" s="1" t="s">
        <v>76</v>
      </c>
      <c r="F939" s="1">
        <v>402.13</v>
      </c>
      <c r="G939" s="1">
        <v>182.97</v>
      </c>
      <c r="H939" s="1">
        <v>7.0</v>
      </c>
      <c r="I939" s="1" t="s">
        <v>23</v>
      </c>
      <c r="J939" s="1" t="s">
        <v>24</v>
      </c>
      <c r="K939" s="1">
        <f t="shared" si="1"/>
        <v>2022</v>
      </c>
      <c r="L939" s="1" t="str">
        <f t="shared" si="2"/>
        <v>Sep</v>
      </c>
      <c r="M939" s="1" t="str">
        <f t="shared" si="3"/>
        <v>Profit</v>
      </c>
    </row>
    <row r="940" ht="14.25" customHeight="1">
      <c r="A940" s="1" t="s">
        <v>974</v>
      </c>
      <c r="B940" s="2">
        <v>45142.0</v>
      </c>
      <c r="C940" s="1" t="s">
        <v>14</v>
      </c>
      <c r="D940" s="1" t="s">
        <v>27</v>
      </c>
      <c r="E940" s="1" t="s">
        <v>33</v>
      </c>
      <c r="F940" s="1">
        <v>899.44</v>
      </c>
      <c r="G940" s="1">
        <v>281.58</v>
      </c>
      <c r="H940" s="1">
        <v>5.0</v>
      </c>
      <c r="I940" s="1" t="s">
        <v>34</v>
      </c>
      <c r="J940" s="1" t="s">
        <v>18</v>
      </c>
      <c r="K940" s="1">
        <f t="shared" si="1"/>
        <v>2023</v>
      </c>
      <c r="L940" s="1" t="str">
        <f t="shared" si="2"/>
        <v>Aug</v>
      </c>
      <c r="M940" s="1" t="str">
        <f t="shared" si="3"/>
        <v>Profit</v>
      </c>
    </row>
    <row r="941" ht="14.25" customHeight="1">
      <c r="A941" s="1" t="s">
        <v>975</v>
      </c>
      <c r="B941" s="2">
        <v>44483.0</v>
      </c>
      <c r="C941" s="1" t="s">
        <v>26</v>
      </c>
      <c r="D941" s="1" t="s">
        <v>15</v>
      </c>
      <c r="E941" s="1" t="s">
        <v>31</v>
      </c>
      <c r="F941" s="1">
        <v>864.18</v>
      </c>
      <c r="G941" s="1">
        <v>219.64</v>
      </c>
      <c r="H941" s="1">
        <v>6.0</v>
      </c>
      <c r="I941" s="1" t="s">
        <v>17</v>
      </c>
      <c r="J941" s="1" t="s">
        <v>38</v>
      </c>
      <c r="K941" s="1">
        <f t="shared" si="1"/>
        <v>2021</v>
      </c>
      <c r="L941" s="1" t="str">
        <f t="shared" si="2"/>
        <v>Oct</v>
      </c>
      <c r="M941" s="1" t="str">
        <f t="shared" si="3"/>
        <v>Profit</v>
      </c>
    </row>
    <row r="942" ht="14.25" customHeight="1">
      <c r="A942" s="1" t="s">
        <v>976</v>
      </c>
      <c r="B942" s="2">
        <v>44649.0</v>
      </c>
      <c r="C942" s="1" t="s">
        <v>26</v>
      </c>
      <c r="D942" s="1" t="s">
        <v>27</v>
      </c>
      <c r="E942" s="1" t="s">
        <v>28</v>
      </c>
      <c r="F942" s="1">
        <v>443.8</v>
      </c>
      <c r="G942" s="1">
        <v>177.07</v>
      </c>
      <c r="H942" s="1">
        <v>7.0</v>
      </c>
      <c r="I942" s="1" t="s">
        <v>23</v>
      </c>
      <c r="J942" s="1" t="s">
        <v>38</v>
      </c>
      <c r="K942" s="1">
        <f t="shared" si="1"/>
        <v>2022</v>
      </c>
      <c r="L942" s="1" t="str">
        <f t="shared" si="2"/>
        <v>Mar</v>
      </c>
      <c r="M942" s="1" t="str">
        <f t="shared" si="3"/>
        <v>Profit</v>
      </c>
    </row>
    <row r="943" ht="14.25" customHeight="1">
      <c r="A943" s="1" t="s">
        <v>977</v>
      </c>
      <c r="B943" s="2">
        <v>44255.0</v>
      </c>
      <c r="C943" s="1" t="s">
        <v>20</v>
      </c>
      <c r="D943" s="1" t="s">
        <v>27</v>
      </c>
      <c r="E943" s="1" t="s">
        <v>40</v>
      </c>
      <c r="F943" s="1">
        <v>485.61</v>
      </c>
      <c r="G943" s="1">
        <v>-181.24</v>
      </c>
      <c r="H943" s="1">
        <v>3.0</v>
      </c>
      <c r="I943" s="1" t="s">
        <v>17</v>
      </c>
      <c r="J943" s="1" t="s">
        <v>35</v>
      </c>
      <c r="K943" s="1">
        <f t="shared" si="1"/>
        <v>2021</v>
      </c>
      <c r="L943" s="1" t="str">
        <f t="shared" si="2"/>
        <v>Feb</v>
      </c>
      <c r="M943" s="1" t="str">
        <f t="shared" si="3"/>
        <v>Loss</v>
      </c>
    </row>
    <row r="944" ht="14.25" customHeight="1">
      <c r="A944" s="1" t="s">
        <v>978</v>
      </c>
      <c r="B944" s="2">
        <v>44287.0</v>
      </c>
      <c r="C944" s="1" t="s">
        <v>26</v>
      </c>
      <c r="D944" s="1" t="s">
        <v>27</v>
      </c>
      <c r="E944" s="1" t="s">
        <v>40</v>
      </c>
      <c r="F944" s="1">
        <v>793.87</v>
      </c>
      <c r="G944" s="1">
        <v>59.53</v>
      </c>
      <c r="H944" s="1">
        <v>5.0</v>
      </c>
      <c r="I944" s="1" t="s">
        <v>17</v>
      </c>
      <c r="J944" s="1" t="s">
        <v>24</v>
      </c>
      <c r="K944" s="1">
        <f t="shared" si="1"/>
        <v>2021</v>
      </c>
      <c r="L944" s="1" t="str">
        <f t="shared" si="2"/>
        <v>Apr</v>
      </c>
      <c r="M944" s="1" t="str">
        <f t="shared" si="3"/>
        <v>Profit</v>
      </c>
    </row>
    <row r="945" ht="14.25" customHeight="1">
      <c r="A945" s="1" t="s">
        <v>979</v>
      </c>
      <c r="B945" s="2">
        <v>44219.0</v>
      </c>
      <c r="C945" s="1" t="s">
        <v>30</v>
      </c>
      <c r="D945" s="1" t="s">
        <v>21</v>
      </c>
      <c r="E945" s="1" t="s">
        <v>22</v>
      </c>
      <c r="F945" s="1">
        <v>978.53</v>
      </c>
      <c r="G945" s="1">
        <v>-98.92</v>
      </c>
      <c r="H945" s="1">
        <v>6.0</v>
      </c>
      <c r="I945" s="1" t="s">
        <v>23</v>
      </c>
      <c r="J945" s="1" t="s">
        <v>18</v>
      </c>
      <c r="K945" s="1">
        <f t="shared" si="1"/>
        <v>2021</v>
      </c>
      <c r="L945" s="1" t="str">
        <f t="shared" si="2"/>
        <v>Jan</v>
      </c>
      <c r="M945" s="1" t="str">
        <f t="shared" si="3"/>
        <v>Loss</v>
      </c>
    </row>
    <row r="946" ht="14.25" customHeight="1">
      <c r="A946" s="1" t="s">
        <v>980</v>
      </c>
      <c r="B946" s="2">
        <v>44550.0</v>
      </c>
      <c r="C946" s="1" t="s">
        <v>30</v>
      </c>
      <c r="D946" s="1" t="s">
        <v>15</v>
      </c>
      <c r="E946" s="1" t="s">
        <v>16</v>
      </c>
      <c r="F946" s="1">
        <v>774.14</v>
      </c>
      <c r="G946" s="1">
        <v>1.03</v>
      </c>
      <c r="H946" s="1">
        <v>1.0</v>
      </c>
      <c r="I946" s="1" t="s">
        <v>17</v>
      </c>
      <c r="J946" s="1" t="s">
        <v>35</v>
      </c>
      <c r="K946" s="1">
        <f t="shared" si="1"/>
        <v>2021</v>
      </c>
      <c r="L946" s="1" t="str">
        <f t="shared" si="2"/>
        <v>Dec</v>
      </c>
      <c r="M946" s="1" t="str">
        <f t="shared" si="3"/>
        <v>Profit</v>
      </c>
    </row>
    <row r="947" ht="14.25" customHeight="1">
      <c r="A947" s="1" t="s">
        <v>981</v>
      </c>
      <c r="B947" s="2">
        <v>44753.0</v>
      </c>
      <c r="C947" s="1" t="s">
        <v>14</v>
      </c>
      <c r="D947" s="1" t="s">
        <v>27</v>
      </c>
      <c r="E947" s="1" t="s">
        <v>33</v>
      </c>
      <c r="F947" s="1">
        <v>543.64</v>
      </c>
      <c r="G947" s="1">
        <v>-161.16</v>
      </c>
      <c r="H947" s="1">
        <v>4.0</v>
      </c>
      <c r="I947" s="1" t="s">
        <v>23</v>
      </c>
      <c r="J947" s="1" t="s">
        <v>24</v>
      </c>
      <c r="K947" s="1">
        <f t="shared" si="1"/>
        <v>2022</v>
      </c>
      <c r="L947" s="1" t="str">
        <f t="shared" si="2"/>
        <v>Jul</v>
      </c>
      <c r="M947" s="1" t="str">
        <f t="shared" si="3"/>
        <v>Loss</v>
      </c>
    </row>
    <row r="948" ht="14.25" customHeight="1">
      <c r="A948" s="1" t="s">
        <v>982</v>
      </c>
      <c r="B948" s="2">
        <v>45129.0</v>
      </c>
      <c r="C948" s="1" t="s">
        <v>26</v>
      </c>
      <c r="D948" s="1" t="s">
        <v>15</v>
      </c>
      <c r="E948" s="1" t="s">
        <v>54</v>
      </c>
      <c r="F948" s="1">
        <v>51.15</v>
      </c>
      <c r="G948" s="1">
        <v>199.75</v>
      </c>
      <c r="H948" s="1">
        <v>4.0</v>
      </c>
      <c r="I948" s="1" t="s">
        <v>34</v>
      </c>
      <c r="J948" s="1" t="s">
        <v>24</v>
      </c>
      <c r="K948" s="1">
        <f t="shared" si="1"/>
        <v>2023</v>
      </c>
      <c r="L948" s="1" t="str">
        <f t="shared" si="2"/>
        <v>Jul</v>
      </c>
      <c r="M948" s="1" t="str">
        <f t="shared" si="3"/>
        <v>Profit</v>
      </c>
    </row>
    <row r="949" ht="14.25" customHeight="1">
      <c r="A949" s="1" t="s">
        <v>983</v>
      </c>
      <c r="B949" s="2">
        <v>44527.0</v>
      </c>
      <c r="C949" s="1" t="s">
        <v>14</v>
      </c>
      <c r="D949" s="1" t="s">
        <v>15</v>
      </c>
      <c r="E949" s="1" t="s">
        <v>31</v>
      </c>
      <c r="F949" s="1">
        <v>584.8</v>
      </c>
      <c r="G949" s="1">
        <v>-34.9</v>
      </c>
      <c r="H949" s="1">
        <v>10.0</v>
      </c>
      <c r="I949" s="1" t="s">
        <v>17</v>
      </c>
      <c r="J949" s="1" t="s">
        <v>18</v>
      </c>
      <c r="K949" s="1">
        <f t="shared" si="1"/>
        <v>2021</v>
      </c>
      <c r="L949" s="1" t="str">
        <f t="shared" si="2"/>
        <v>Nov</v>
      </c>
      <c r="M949" s="1" t="str">
        <f t="shared" si="3"/>
        <v>Loss</v>
      </c>
    </row>
    <row r="950" ht="14.25" customHeight="1">
      <c r="A950" s="1" t="s">
        <v>984</v>
      </c>
      <c r="B950" s="2">
        <v>44989.0</v>
      </c>
      <c r="C950" s="1" t="s">
        <v>14</v>
      </c>
      <c r="D950" s="1" t="s">
        <v>27</v>
      </c>
      <c r="E950" s="1" t="s">
        <v>28</v>
      </c>
      <c r="F950" s="1">
        <v>949.77</v>
      </c>
      <c r="G950" s="1">
        <v>46.85</v>
      </c>
      <c r="H950" s="1">
        <v>7.0</v>
      </c>
      <c r="I950" s="1" t="s">
        <v>34</v>
      </c>
      <c r="J950" s="1" t="s">
        <v>24</v>
      </c>
      <c r="K950" s="1">
        <f t="shared" si="1"/>
        <v>2023</v>
      </c>
      <c r="L950" s="1" t="str">
        <f t="shared" si="2"/>
        <v>Mar</v>
      </c>
      <c r="M950" s="1" t="str">
        <f t="shared" si="3"/>
        <v>Profit</v>
      </c>
    </row>
    <row r="951" ht="14.25" customHeight="1">
      <c r="A951" s="1" t="s">
        <v>985</v>
      </c>
      <c r="B951" s="2">
        <v>45175.0</v>
      </c>
      <c r="C951" s="1" t="s">
        <v>14</v>
      </c>
      <c r="D951" s="1" t="s">
        <v>27</v>
      </c>
      <c r="E951" s="1" t="s">
        <v>40</v>
      </c>
      <c r="F951" s="1">
        <v>280.79</v>
      </c>
      <c r="G951" s="1">
        <v>98.36</v>
      </c>
      <c r="H951" s="1">
        <v>10.0</v>
      </c>
      <c r="I951" s="1" t="s">
        <v>34</v>
      </c>
      <c r="J951" s="1" t="s">
        <v>24</v>
      </c>
      <c r="K951" s="1">
        <f t="shared" si="1"/>
        <v>2023</v>
      </c>
      <c r="L951" s="1" t="str">
        <f t="shared" si="2"/>
        <v>Sep</v>
      </c>
      <c r="M951" s="1" t="str">
        <f t="shared" si="3"/>
        <v>Profit</v>
      </c>
    </row>
    <row r="952" ht="14.25" customHeight="1">
      <c r="A952" s="1" t="s">
        <v>986</v>
      </c>
      <c r="B952" s="2">
        <v>44789.0</v>
      </c>
      <c r="C952" s="1" t="s">
        <v>30</v>
      </c>
      <c r="D952" s="1" t="s">
        <v>27</v>
      </c>
      <c r="E952" s="1" t="s">
        <v>33</v>
      </c>
      <c r="F952" s="1">
        <v>920.32</v>
      </c>
      <c r="G952" s="1">
        <v>-194.99</v>
      </c>
      <c r="H952" s="1">
        <v>9.0</v>
      </c>
      <c r="I952" s="1" t="s">
        <v>17</v>
      </c>
      <c r="J952" s="1" t="s">
        <v>35</v>
      </c>
      <c r="K952" s="1">
        <f t="shared" si="1"/>
        <v>2022</v>
      </c>
      <c r="L952" s="1" t="str">
        <f t="shared" si="2"/>
        <v>Aug</v>
      </c>
      <c r="M952" s="1" t="str">
        <f t="shared" si="3"/>
        <v>Loss</v>
      </c>
    </row>
    <row r="953" ht="14.25" customHeight="1">
      <c r="A953" s="1" t="s">
        <v>987</v>
      </c>
      <c r="B953" s="2">
        <v>44651.0</v>
      </c>
      <c r="C953" s="1" t="s">
        <v>26</v>
      </c>
      <c r="D953" s="1" t="s">
        <v>27</v>
      </c>
      <c r="E953" s="1" t="s">
        <v>33</v>
      </c>
      <c r="F953" s="1">
        <v>713.19</v>
      </c>
      <c r="G953" s="1">
        <v>78.05</v>
      </c>
      <c r="H953" s="1">
        <v>1.0</v>
      </c>
      <c r="I953" s="1" t="s">
        <v>34</v>
      </c>
      <c r="J953" s="1" t="s">
        <v>35</v>
      </c>
      <c r="K953" s="1">
        <f t="shared" si="1"/>
        <v>2022</v>
      </c>
      <c r="L953" s="1" t="str">
        <f t="shared" si="2"/>
        <v>Mar</v>
      </c>
      <c r="M953" s="1" t="str">
        <f t="shared" si="3"/>
        <v>Profit</v>
      </c>
    </row>
    <row r="954" ht="14.25" customHeight="1">
      <c r="A954" s="1" t="s">
        <v>988</v>
      </c>
      <c r="B954" s="2">
        <v>44629.0</v>
      </c>
      <c r="C954" s="1" t="s">
        <v>26</v>
      </c>
      <c r="D954" s="1" t="s">
        <v>15</v>
      </c>
      <c r="E954" s="1" t="s">
        <v>54</v>
      </c>
      <c r="F954" s="1">
        <v>200.51</v>
      </c>
      <c r="G954" s="1">
        <v>-65.46</v>
      </c>
      <c r="H954" s="1">
        <v>1.0</v>
      </c>
      <c r="I954" s="1" t="s">
        <v>17</v>
      </c>
      <c r="J954" s="1" t="s">
        <v>18</v>
      </c>
      <c r="K954" s="1">
        <f t="shared" si="1"/>
        <v>2022</v>
      </c>
      <c r="L954" s="1" t="str">
        <f t="shared" si="2"/>
        <v>Mar</v>
      </c>
      <c r="M954" s="1" t="str">
        <f t="shared" si="3"/>
        <v>Loss</v>
      </c>
    </row>
    <row r="955" ht="14.25" customHeight="1">
      <c r="A955" s="1" t="s">
        <v>989</v>
      </c>
      <c r="B955" s="2">
        <v>45207.0</v>
      </c>
      <c r="C955" s="1" t="s">
        <v>26</v>
      </c>
      <c r="D955" s="1" t="s">
        <v>27</v>
      </c>
      <c r="E955" s="1" t="s">
        <v>40</v>
      </c>
      <c r="F955" s="1">
        <v>686.33</v>
      </c>
      <c r="G955" s="1">
        <v>31.01</v>
      </c>
      <c r="H955" s="1">
        <v>10.0</v>
      </c>
      <c r="I955" s="1" t="s">
        <v>23</v>
      </c>
      <c r="J955" s="1" t="s">
        <v>24</v>
      </c>
      <c r="K955" s="1">
        <f t="shared" si="1"/>
        <v>2023</v>
      </c>
      <c r="L955" s="1" t="str">
        <f t="shared" si="2"/>
        <v>Oct</v>
      </c>
      <c r="M955" s="1" t="str">
        <f t="shared" si="3"/>
        <v>Profit</v>
      </c>
    </row>
    <row r="956" ht="14.25" customHeight="1">
      <c r="A956" s="1" t="s">
        <v>990</v>
      </c>
      <c r="B956" s="2">
        <v>44591.0</v>
      </c>
      <c r="C956" s="1" t="s">
        <v>14</v>
      </c>
      <c r="D956" s="1" t="s">
        <v>21</v>
      </c>
      <c r="E956" s="1" t="s">
        <v>76</v>
      </c>
      <c r="F956" s="1">
        <v>862.88</v>
      </c>
      <c r="G956" s="1">
        <v>4.79</v>
      </c>
      <c r="H956" s="1">
        <v>5.0</v>
      </c>
      <c r="I956" s="1" t="s">
        <v>23</v>
      </c>
      <c r="J956" s="1" t="s">
        <v>38</v>
      </c>
      <c r="K956" s="1">
        <f t="shared" si="1"/>
        <v>2022</v>
      </c>
      <c r="L956" s="1" t="str">
        <f t="shared" si="2"/>
        <v>Jan</v>
      </c>
      <c r="M956" s="1" t="str">
        <f t="shared" si="3"/>
        <v>Profit</v>
      </c>
    </row>
    <row r="957" ht="14.25" customHeight="1">
      <c r="A957" s="1" t="s">
        <v>991</v>
      </c>
      <c r="B957" s="2">
        <v>44829.0</v>
      </c>
      <c r="C957" s="1" t="s">
        <v>30</v>
      </c>
      <c r="D957" s="1" t="s">
        <v>21</v>
      </c>
      <c r="E957" s="1" t="s">
        <v>37</v>
      </c>
      <c r="F957" s="1">
        <v>861.92</v>
      </c>
      <c r="G957" s="1">
        <v>-41.51</v>
      </c>
      <c r="H957" s="1">
        <v>8.0</v>
      </c>
      <c r="I957" s="1" t="s">
        <v>23</v>
      </c>
      <c r="J957" s="1" t="s">
        <v>35</v>
      </c>
      <c r="K957" s="1">
        <f t="shared" si="1"/>
        <v>2022</v>
      </c>
      <c r="L957" s="1" t="str">
        <f t="shared" si="2"/>
        <v>Sep</v>
      </c>
      <c r="M957" s="1" t="str">
        <f t="shared" si="3"/>
        <v>Loss</v>
      </c>
    </row>
    <row r="958" ht="14.25" customHeight="1">
      <c r="A958" s="1" t="s">
        <v>992</v>
      </c>
      <c r="B958" s="2">
        <v>45281.0</v>
      </c>
      <c r="C958" s="1" t="s">
        <v>30</v>
      </c>
      <c r="D958" s="1" t="s">
        <v>21</v>
      </c>
      <c r="E958" s="1" t="s">
        <v>37</v>
      </c>
      <c r="F958" s="1">
        <v>753.25</v>
      </c>
      <c r="G958" s="1">
        <v>156.33</v>
      </c>
      <c r="H958" s="1">
        <v>10.0</v>
      </c>
      <c r="I958" s="1" t="s">
        <v>23</v>
      </c>
      <c r="J958" s="1" t="s">
        <v>18</v>
      </c>
      <c r="K958" s="1">
        <f t="shared" si="1"/>
        <v>2023</v>
      </c>
      <c r="L958" s="1" t="str">
        <f t="shared" si="2"/>
        <v>Dec</v>
      </c>
      <c r="M958" s="1" t="str">
        <f t="shared" si="3"/>
        <v>Profit</v>
      </c>
    </row>
    <row r="959" ht="14.25" customHeight="1">
      <c r="A959" s="1" t="s">
        <v>993</v>
      </c>
      <c r="B959" s="2">
        <v>44708.0</v>
      </c>
      <c r="C959" s="1" t="s">
        <v>26</v>
      </c>
      <c r="D959" s="1" t="s">
        <v>15</v>
      </c>
      <c r="E959" s="1" t="s">
        <v>16</v>
      </c>
      <c r="F959" s="1">
        <v>600.16</v>
      </c>
      <c r="G959" s="1">
        <v>-3.54</v>
      </c>
      <c r="H959" s="1">
        <v>2.0</v>
      </c>
      <c r="I959" s="1" t="s">
        <v>17</v>
      </c>
      <c r="J959" s="1" t="s">
        <v>35</v>
      </c>
      <c r="K959" s="1">
        <f t="shared" si="1"/>
        <v>2022</v>
      </c>
      <c r="L959" s="1" t="str">
        <f t="shared" si="2"/>
        <v>May</v>
      </c>
      <c r="M959" s="1" t="str">
        <f t="shared" si="3"/>
        <v>Loss</v>
      </c>
    </row>
    <row r="960" ht="14.25" customHeight="1">
      <c r="A960" s="1" t="s">
        <v>994</v>
      </c>
      <c r="B960" s="2">
        <v>45155.0</v>
      </c>
      <c r="C960" s="1" t="s">
        <v>26</v>
      </c>
      <c r="D960" s="1" t="s">
        <v>27</v>
      </c>
      <c r="E960" s="1" t="s">
        <v>28</v>
      </c>
      <c r="F960" s="1">
        <v>540.56</v>
      </c>
      <c r="G960" s="1">
        <v>288.53</v>
      </c>
      <c r="H960" s="1">
        <v>4.0</v>
      </c>
      <c r="I960" s="1" t="s">
        <v>17</v>
      </c>
      <c r="J960" s="1" t="s">
        <v>18</v>
      </c>
      <c r="K960" s="1">
        <f t="shared" si="1"/>
        <v>2023</v>
      </c>
      <c r="L960" s="1" t="str">
        <f t="shared" si="2"/>
        <v>Aug</v>
      </c>
      <c r="M960" s="1" t="str">
        <f t="shared" si="3"/>
        <v>Profit</v>
      </c>
    </row>
    <row r="961" ht="14.25" customHeight="1">
      <c r="A961" s="1" t="s">
        <v>995</v>
      </c>
      <c r="B961" s="2">
        <v>45027.0</v>
      </c>
      <c r="C961" s="1" t="s">
        <v>14</v>
      </c>
      <c r="D961" s="1" t="s">
        <v>27</v>
      </c>
      <c r="E961" s="1" t="s">
        <v>33</v>
      </c>
      <c r="F961" s="1">
        <v>603.51</v>
      </c>
      <c r="G961" s="1">
        <v>-150.58</v>
      </c>
      <c r="H961" s="1">
        <v>7.0</v>
      </c>
      <c r="I961" s="1" t="s">
        <v>34</v>
      </c>
      <c r="J961" s="1" t="s">
        <v>18</v>
      </c>
      <c r="K961" s="1">
        <f t="shared" si="1"/>
        <v>2023</v>
      </c>
      <c r="L961" s="1" t="str">
        <f t="shared" si="2"/>
        <v>Apr</v>
      </c>
      <c r="M961" s="1" t="str">
        <f t="shared" si="3"/>
        <v>Loss</v>
      </c>
    </row>
    <row r="962" ht="14.25" customHeight="1">
      <c r="A962" s="1" t="s">
        <v>996</v>
      </c>
      <c r="B962" s="2">
        <v>44862.0</v>
      </c>
      <c r="C962" s="1" t="s">
        <v>30</v>
      </c>
      <c r="D962" s="1" t="s">
        <v>15</v>
      </c>
      <c r="E962" s="1" t="s">
        <v>54</v>
      </c>
      <c r="F962" s="1">
        <v>406.38</v>
      </c>
      <c r="G962" s="1">
        <v>-2.9</v>
      </c>
      <c r="H962" s="1">
        <v>7.0</v>
      </c>
      <c r="I962" s="1" t="s">
        <v>17</v>
      </c>
      <c r="J962" s="1" t="s">
        <v>35</v>
      </c>
      <c r="K962" s="1">
        <f t="shared" si="1"/>
        <v>2022</v>
      </c>
      <c r="L962" s="1" t="str">
        <f t="shared" si="2"/>
        <v>Oct</v>
      </c>
      <c r="M962" s="1" t="str">
        <f t="shared" si="3"/>
        <v>Loss</v>
      </c>
    </row>
    <row r="963" ht="14.25" customHeight="1">
      <c r="A963" s="1" t="s">
        <v>997</v>
      </c>
      <c r="B963" s="2">
        <v>44847.0</v>
      </c>
      <c r="C963" s="1" t="s">
        <v>20</v>
      </c>
      <c r="D963" s="1" t="s">
        <v>15</v>
      </c>
      <c r="E963" s="1" t="s">
        <v>16</v>
      </c>
      <c r="F963" s="1">
        <v>546.03</v>
      </c>
      <c r="G963" s="1">
        <v>167.16</v>
      </c>
      <c r="H963" s="1">
        <v>5.0</v>
      </c>
      <c r="I963" s="1" t="s">
        <v>17</v>
      </c>
      <c r="J963" s="1" t="s">
        <v>18</v>
      </c>
      <c r="K963" s="1">
        <f t="shared" si="1"/>
        <v>2022</v>
      </c>
      <c r="L963" s="1" t="str">
        <f t="shared" si="2"/>
        <v>Oct</v>
      </c>
      <c r="M963" s="1" t="str">
        <f t="shared" si="3"/>
        <v>Profit</v>
      </c>
    </row>
    <row r="964" ht="14.25" customHeight="1">
      <c r="A964" s="1" t="s">
        <v>998</v>
      </c>
      <c r="B964" s="2">
        <v>44408.0</v>
      </c>
      <c r="C964" s="1" t="s">
        <v>26</v>
      </c>
      <c r="D964" s="1" t="s">
        <v>15</v>
      </c>
      <c r="E964" s="1" t="s">
        <v>31</v>
      </c>
      <c r="F964" s="1">
        <v>947.09</v>
      </c>
      <c r="G964" s="1">
        <v>205.22</v>
      </c>
      <c r="H964" s="1">
        <v>6.0</v>
      </c>
      <c r="I964" s="1" t="s">
        <v>23</v>
      </c>
      <c r="J964" s="1" t="s">
        <v>24</v>
      </c>
      <c r="K964" s="1">
        <f t="shared" si="1"/>
        <v>2021</v>
      </c>
      <c r="L964" s="1" t="str">
        <f t="shared" si="2"/>
        <v>Jul</v>
      </c>
      <c r="M964" s="1" t="str">
        <f t="shared" si="3"/>
        <v>Profit</v>
      </c>
    </row>
    <row r="965" ht="14.25" customHeight="1">
      <c r="A965" s="1" t="s">
        <v>999</v>
      </c>
      <c r="B965" s="2">
        <v>44915.0</v>
      </c>
      <c r="C965" s="1" t="s">
        <v>26</v>
      </c>
      <c r="D965" s="1" t="s">
        <v>15</v>
      </c>
      <c r="E965" s="1" t="s">
        <v>31</v>
      </c>
      <c r="F965" s="1">
        <v>919.43</v>
      </c>
      <c r="G965" s="1">
        <v>-145.77</v>
      </c>
      <c r="H965" s="1">
        <v>9.0</v>
      </c>
      <c r="I965" s="1" t="s">
        <v>17</v>
      </c>
      <c r="J965" s="1" t="s">
        <v>35</v>
      </c>
      <c r="K965" s="1">
        <f t="shared" si="1"/>
        <v>2022</v>
      </c>
      <c r="L965" s="1" t="str">
        <f t="shared" si="2"/>
        <v>Dec</v>
      </c>
      <c r="M965" s="1" t="str">
        <f t="shared" si="3"/>
        <v>Loss</v>
      </c>
    </row>
    <row r="966" ht="14.25" customHeight="1">
      <c r="A966" s="1" t="s">
        <v>1000</v>
      </c>
      <c r="B966" s="2">
        <v>44287.0</v>
      </c>
      <c r="C966" s="1" t="s">
        <v>30</v>
      </c>
      <c r="D966" s="1" t="s">
        <v>27</v>
      </c>
      <c r="E966" s="1" t="s">
        <v>28</v>
      </c>
      <c r="F966" s="1">
        <v>558.08</v>
      </c>
      <c r="G966" s="1">
        <v>-195.52</v>
      </c>
      <c r="H966" s="1">
        <v>1.0</v>
      </c>
      <c r="I966" s="1" t="s">
        <v>17</v>
      </c>
      <c r="J966" s="1" t="s">
        <v>35</v>
      </c>
      <c r="K966" s="1">
        <f t="shared" si="1"/>
        <v>2021</v>
      </c>
      <c r="L966" s="1" t="str">
        <f t="shared" si="2"/>
        <v>Apr</v>
      </c>
      <c r="M966" s="1" t="str">
        <f t="shared" si="3"/>
        <v>Loss</v>
      </c>
    </row>
    <row r="967" ht="14.25" customHeight="1">
      <c r="A967" s="1" t="s">
        <v>1001</v>
      </c>
      <c r="B967" s="2">
        <v>44933.0</v>
      </c>
      <c r="C967" s="1" t="s">
        <v>30</v>
      </c>
      <c r="D967" s="1" t="s">
        <v>27</v>
      </c>
      <c r="E967" s="1" t="s">
        <v>28</v>
      </c>
      <c r="F967" s="1">
        <v>679.6</v>
      </c>
      <c r="G967" s="1">
        <v>-163.33</v>
      </c>
      <c r="H967" s="1">
        <v>2.0</v>
      </c>
      <c r="I967" s="1" t="s">
        <v>34</v>
      </c>
      <c r="J967" s="1" t="s">
        <v>18</v>
      </c>
      <c r="K967" s="1">
        <f t="shared" si="1"/>
        <v>2023</v>
      </c>
      <c r="L967" s="1" t="str">
        <f t="shared" si="2"/>
        <v>Jan</v>
      </c>
      <c r="M967" s="1" t="str">
        <f t="shared" si="3"/>
        <v>Loss</v>
      </c>
    </row>
    <row r="968" ht="14.25" customHeight="1">
      <c r="A968" s="1" t="s">
        <v>1002</v>
      </c>
      <c r="B968" s="2">
        <v>44705.0</v>
      </c>
      <c r="C968" s="1" t="s">
        <v>20</v>
      </c>
      <c r="D968" s="1" t="s">
        <v>15</v>
      </c>
      <c r="E968" s="1" t="s">
        <v>31</v>
      </c>
      <c r="F968" s="1">
        <v>319.67</v>
      </c>
      <c r="G968" s="1">
        <v>77.85</v>
      </c>
      <c r="H968" s="1">
        <v>6.0</v>
      </c>
      <c r="I968" s="1" t="s">
        <v>34</v>
      </c>
      <c r="J968" s="1" t="s">
        <v>35</v>
      </c>
      <c r="K968" s="1">
        <f t="shared" si="1"/>
        <v>2022</v>
      </c>
      <c r="L968" s="1" t="str">
        <f t="shared" si="2"/>
        <v>May</v>
      </c>
      <c r="M968" s="1" t="str">
        <f t="shared" si="3"/>
        <v>Profit</v>
      </c>
    </row>
    <row r="969" ht="14.25" customHeight="1">
      <c r="A969" s="1" t="s">
        <v>1003</v>
      </c>
      <c r="B969" s="2">
        <v>44339.0</v>
      </c>
      <c r="C969" s="1" t="s">
        <v>14</v>
      </c>
      <c r="D969" s="1" t="s">
        <v>21</v>
      </c>
      <c r="E969" s="1" t="s">
        <v>22</v>
      </c>
      <c r="F969" s="1">
        <v>671.54</v>
      </c>
      <c r="G969" s="1">
        <v>143.47</v>
      </c>
      <c r="H969" s="1">
        <v>3.0</v>
      </c>
      <c r="I969" s="1" t="s">
        <v>23</v>
      </c>
      <c r="J969" s="1" t="s">
        <v>18</v>
      </c>
      <c r="K969" s="1">
        <f t="shared" si="1"/>
        <v>2021</v>
      </c>
      <c r="L969" s="1" t="str">
        <f t="shared" si="2"/>
        <v>May</v>
      </c>
      <c r="M969" s="1" t="str">
        <f t="shared" si="3"/>
        <v>Profit</v>
      </c>
    </row>
    <row r="970" ht="14.25" customHeight="1">
      <c r="A970" s="1" t="s">
        <v>1004</v>
      </c>
      <c r="B970" s="2">
        <v>44248.0</v>
      </c>
      <c r="C970" s="1" t="s">
        <v>14</v>
      </c>
      <c r="D970" s="1" t="s">
        <v>15</v>
      </c>
      <c r="E970" s="1" t="s">
        <v>16</v>
      </c>
      <c r="F970" s="1">
        <v>581.72</v>
      </c>
      <c r="G970" s="1">
        <v>-90.99</v>
      </c>
      <c r="H970" s="1">
        <v>6.0</v>
      </c>
      <c r="I970" s="1" t="s">
        <v>17</v>
      </c>
      <c r="J970" s="1" t="s">
        <v>38</v>
      </c>
      <c r="K970" s="1">
        <f t="shared" si="1"/>
        <v>2021</v>
      </c>
      <c r="L970" s="1" t="str">
        <f t="shared" si="2"/>
        <v>Feb</v>
      </c>
      <c r="M970" s="1" t="str">
        <f t="shared" si="3"/>
        <v>Loss</v>
      </c>
    </row>
    <row r="971" ht="14.25" customHeight="1">
      <c r="A971" s="1" t="s">
        <v>1005</v>
      </c>
      <c r="B971" s="2">
        <v>44608.0</v>
      </c>
      <c r="C971" s="1" t="s">
        <v>14</v>
      </c>
      <c r="D971" s="1" t="s">
        <v>27</v>
      </c>
      <c r="E971" s="1" t="s">
        <v>33</v>
      </c>
      <c r="F971" s="1">
        <v>395.05</v>
      </c>
      <c r="G971" s="1">
        <v>-72.9</v>
      </c>
      <c r="H971" s="1">
        <v>3.0</v>
      </c>
      <c r="I971" s="1" t="s">
        <v>17</v>
      </c>
      <c r="J971" s="1" t="s">
        <v>38</v>
      </c>
      <c r="K971" s="1">
        <f t="shared" si="1"/>
        <v>2022</v>
      </c>
      <c r="L971" s="1" t="str">
        <f t="shared" si="2"/>
        <v>Feb</v>
      </c>
      <c r="M971" s="1" t="str">
        <f t="shared" si="3"/>
        <v>Loss</v>
      </c>
    </row>
    <row r="972" ht="14.25" customHeight="1">
      <c r="A972" s="1" t="s">
        <v>1006</v>
      </c>
      <c r="B972" s="2">
        <v>45021.0</v>
      </c>
      <c r="C972" s="1" t="s">
        <v>30</v>
      </c>
      <c r="D972" s="1" t="s">
        <v>27</v>
      </c>
      <c r="E972" s="1" t="s">
        <v>28</v>
      </c>
      <c r="F972" s="1">
        <v>944.38</v>
      </c>
      <c r="G972" s="1">
        <v>-26.0</v>
      </c>
      <c r="H972" s="1">
        <v>4.0</v>
      </c>
      <c r="I972" s="1" t="s">
        <v>34</v>
      </c>
      <c r="J972" s="1" t="s">
        <v>38</v>
      </c>
      <c r="K972" s="1">
        <f t="shared" si="1"/>
        <v>2023</v>
      </c>
      <c r="L972" s="1" t="str">
        <f t="shared" si="2"/>
        <v>Apr</v>
      </c>
      <c r="M972" s="1" t="str">
        <f t="shared" si="3"/>
        <v>Loss</v>
      </c>
    </row>
    <row r="973" ht="14.25" customHeight="1">
      <c r="A973" s="1" t="s">
        <v>1007</v>
      </c>
      <c r="B973" s="2">
        <v>44323.0</v>
      </c>
      <c r="C973" s="1" t="s">
        <v>26</v>
      </c>
      <c r="D973" s="1" t="s">
        <v>15</v>
      </c>
      <c r="E973" s="1" t="s">
        <v>16</v>
      </c>
      <c r="F973" s="1">
        <v>464.98</v>
      </c>
      <c r="G973" s="1">
        <v>-186.37</v>
      </c>
      <c r="H973" s="1">
        <v>3.0</v>
      </c>
      <c r="I973" s="1" t="s">
        <v>17</v>
      </c>
      <c r="J973" s="1" t="s">
        <v>38</v>
      </c>
      <c r="K973" s="1">
        <f t="shared" si="1"/>
        <v>2021</v>
      </c>
      <c r="L973" s="1" t="str">
        <f t="shared" si="2"/>
        <v>May</v>
      </c>
      <c r="M973" s="1" t="str">
        <f t="shared" si="3"/>
        <v>Loss</v>
      </c>
    </row>
    <row r="974" ht="14.25" customHeight="1">
      <c r="A974" s="1" t="s">
        <v>1008</v>
      </c>
      <c r="B974" s="2">
        <v>45220.0</v>
      </c>
      <c r="C974" s="1" t="s">
        <v>20</v>
      </c>
      <c r="D974" s="1" t="s">
        <v>15</v>
      </c>
      <c r="E974" s="1" t="s">
        <v>16</v>
      </c>
      <c r="F974" s="1">
        <v>272.96</v>
      </c>
      <c r="G974" s="1">
        <v>-155.27</v>
      </c>
      <c r="H974" s="1">
        <v>2.0</v>
      </c>
      <c r="I974" s="1" t="s">
        <v>17</v>
      </c>
      <c r="J974" s="1" t="s">
        <v>18</v>
      </c>
      <c r="K974" s="1">
        <f t="shared" si="1"/>
        <v>2023</v>
      </c>
      <c r="L974" s="1" t="str">
        <f t="shared" si="2"/>
        <v>Oct</v>
      </c>
      <c r="M974" s="1" t="str">
        <f t="shared" si="3"/>
        <v>Loss</v>
      </c>
    </row>
    <row r="975" ht="14.25" customHeight="1">
      <c r="A975" s="1" t="s">
        <v>1009</v>
      </c>
      <c r="B975" s="2">
        <v>44910.0</v>
      </c>
      <c r="C975" s="1" t="s">
        <v>30</v>
      </c>
      <c r="D975" s="1" t="s">
        <v>27</v>
      </c>
      <c r="E975" s="1" t="s">
        <v>40</v>
      </c>
      <c r="F975" s="1">
        <v>402.24</v>
      </c>
      <c r="G975" s="1">
        <v>231.51</v>
      </c>
      <c r="H975" s="1">
        <v>7.0</v>
      </c>
      <c r="I975" s="1" t="s">
        <v>17</v>
      </c>
      <c r="J975" s="1" t="s">
        <v>38</v>
      </c>
      <c r="K975" s="1">
        <f t="shared" si="1"/>
        <v>2022</v>
      </c>
      <c r="L975" s="1" t="str">
        <f t="shared" si="2"/>
        <v>Dec</v>
      </c>
      <c r="M975" s="1" t="str">
        <f t="shared" si="3"/>
        <v>Profit</v>
      </c>
    </row>
    <row r="976" ht="14.25" customHeight="1">
      <c r="A976" s="1" t="s">
        <v>1010</v>
      </c>
      <c r="B976" s="2">
        <v>44766.0</v>
      </c>
      <c r="C976" s="1" t="s">
        <v>20</v>
      </c>
      <c r="D976" s="1" t="s">
        <v>15</v>
      </c>
      <c r="E976" s="1" t="s">
        <v>54</v>
      </c>
      <c r="F976" s="1">
        <v>174.33</v>
      </c>
      <c r="G976" s="1">
        <v>62.41</v>
      </c>
      <c r="H976" s="1">
        <v>7.0</v>
      </c>
      <c r="I976" s="1" t="s">
        <v>23</v>
      </c>
      <c r="J976" s="1" t="s">
        <v>35</v>
      </c>
      <c r="K976" s="1">
        <f t="shared" si="1"/>
        <v>2022</v>
      </c>
      <c r="L976" s="1" t="str">
        <f t="shared" si="2"/>
        <v>Jul</v>
      </c>
      <c r="M976" s="1" t="str">
        <f t="shared" si="3"/>
        <v>Profit</v>
      </c>
    </row>
    <row r="977" ht="14.25" customHeight="1">
      <c r="A977" s="1" t="s">
        <v>1011</v>
      </c>
      <c r="B977" s="2">
        <v>44769.0</v>
      </c>
      <c r="C977" s="1" t="s">
        <v>30</v>
      </c>
      <c r="D977" s="1" t="s">
        <v>27</v>
      </c>
      <c r="E977" s="1" t="s">
        <v>33</v>
      </c>
      <c r="F977" s="1">
        <v>759.82</v>
      </c>
      <c r="G977" s="1">
        <v>-82.5</v>
      </c>
      <c r="H977" s="1">
        <v>1.0</v>
      </c>
      <c r="I977" s="1" t="s">
        <v>17</v>
      </c>
      <c r="J977" s="1" t="s">
        <v>38</v>
      </c>
      <c r="K977" s="1">
        <f t="shared" si="1"/>
        <v>2022</v>
      </c>
      <c r="L977" s="1" t="str">
        <f t="shared" si="2"/>
        <v>Jul</v>
      </c>
      <c r="M977" s="1" t="str">
        <f t="shared" si="3"/>
        <v>Loss</v>
      </c>
    </row>
    <row r="978" ht="14.25" customHeight="1">
      <c r="A978" s="1" t="s">
        <v>1012</v>
      </c>
      <c r="B978" s="2">
        <v>44533.0</v>
      </c>
      <c r="C978" s="1" t="s">
        <v>20</v>
      </c>
      <c r="D978" s="1" t="s">
        <v>27</v>
      </c>
      <c r="E978" s="1" t="s">
        <v>33</v>
      </c>
      <c r="F978" s="1">
        <v>972.83</v>
      </c>
      <c r="G978" s="1">
        <v>-152.52</v>
      </c>
      <c r="H978" s="1">
        <v>10.0</v>
      </c>
      <c r="I978" s="1" t="s">
        <v>23</v>
      </c>
      <c r="J978" s="1" t="s">
        <v>24</v>
      </c>
      <c r="K978" s="1">
        <f t="shared" si="1"/>
        <v>2021</v>
      </c>
      <c r="L978" s="1" t="str">
        <f t="shared" si="2"/>
        <v>Dec</v>
      </c>
      <c r="M978" s="1" t="str">
        <f t="shared" si="3"/>
        <v>Loss</v>
      </c>
    </row>
    <row r="979" ht="14.25" customHeight="1">
      <c r="A979" s="1" t="s">
        <v>1013</v>
      </c>
      <c r="B979" s="2">
        <v>44221.0</v>
      </c>
      <c r="C979" s="1" t="s">
        <v>14</v>
      </c>
      <c r="D979" s="1" t="s">
        <v>15</v>
      </c>
      <c r="E979" s="1" t="s">
        <v>54</v>
      </c>
      <c r="F979" s="1">
        <v>310.69</v>
      </c>
      <c r="G979" s="1">
        <v>5.83</v>
      </c>
      <c r="H979" s="1">
        <v>3.0</v>
      </c>
      <c r="I979" s="1" t="s">
        <v>34</v>
      </c>
      <c r="J979" s="1" t="s">
        <v>38</v>
      </c>
      <c r="K979" s="1">
        <f t="shared" si="1"/>
        <v>2021</v>
      </c>
      <c r="L979" s="1" t="str">
        <f t="shared" si="2"/>
        <v>Jan</v>
      </c>
      <c r="M979" s="1" t="str">
        <f t="shared" si="3"/>
        <v>Profit</v>
      </c>
    </row>
    <row r="980" ht="14.25" customHeight="1">
      <c r="A980" s="1" t="s">
        <v>1014</v>
      </c>
      <c r="B980" s="2">
        <v>44208.0</v>
      </c>
      <c r="C980" s="1" t="s">
        <v>30</v>
      </c>
      <c r="D980" s="1" t="s">
        <v>21</v>
      </c>
      <c r="E980" s="1" t="s">
        <v>37</v>
      </c>
      <c r="F980" s="1">
        <v>395.57</v>
      </c>
      <c r="G980" s="1">
        <v>-44.46</v>
      </c>
      <c r="H980" s="1">
        <v>4.0</v>
      </c>
      <c r="I980" s="1" t="s">
        <v>23</v>
      </c>
      <c r="J980" s="1" t="s">
        <v>35</v>
      </c>
      <c r="K980" s="1">
        <f t="shared" si="1"/>
        <v>2021</v>
      </c>
      <c r="L980" s="1" t="str">
        <f t="shared" si="2"/>
        <v>Jan</v>
      </c>
      <c r="M980" s="1" t="str">
        <f t="shared" si="3"/>
        <v>Loss</v>
      </c>
    </row>
    <row r="981" ht="14.25" customHeight="1">
      <c r="A981" s="1" t="s">
        <v>1015</v>
      </c>
      <c r="B981" s="2">
        <v>44700.0</v>
      </c>
      <c r="C981" s="1" t="s">
        <v>26</v>
      </c>
      <c r="D981" s="1" t="s">
        <v>21</v>
      </c>
      <c r="E981" s="1" t="s">
        <v>37</v>
      </c>
      <c r="F981" s="1">
        <v>268.84</v>
      </c>
      <c r="G981" s="1">
        <v>177.99</v>
      </c>
      <c r="H981" s="1">
        <v>9.0</v>
      </c>
      <c r="I981" s="1" t="s">
        <v>17</v>
      </c>
      <c r="J981" s="1" t="s">
        <v>24</v>
      </c>
      <c r="K981" s="1">
        <f t="shared" si="1"/>
        <v>2022</v>
      </c>
      <c r="L981" s="1" t="str">
        <f t="shared" si="2"/>
        <v>May</v>
      </c>
      <c r="M981" s="1" t="str">
        <f t="shared" si="3"/>
        <v>Profit</v>
      </c>
    </row>
    <row r="982" ht="14.25" customHeight="1">
      <c r="A982" s="1" t="s">
        <v>1016</v>
      </c>
      <c r="B982" s="2">
        <v>44620.0</v>
      </c>
      <c r="C982" s="1" t="s">
        <v>14</v>
      </c>
      <c r="D982" s="1" t="s">
        <v>21</v>
      </c>
      <c r="E982" s="1" t="s">
        <v>37</v>
      </c>
      <c r="F982" s="1">
        <v>840.85</v>
      </c>
      <c r="G982" s="1">
        <v>257.07</v>
      </c>
      <c r="H982" s="1">
        <v>10.0</v>
      </c>
      <c r="I982" s="1" t="s">
        <v>23</v>
      </c>
      <c r="J982" s="1" t="s">
        <v>24</v>
      </c>
      <c r="K982" s="1">
        <f t="shared" si="1"/>
        <v>2022</v>
      </c>
      <c r="L982" s="1" t="str">
        <f t="shared" si="2"/>
        <v>Feb</v>
      </c>
      <c r="M982" s="1" t="str">
        <f t="shared" si="3"/>
        <v>Profit</v>
      </c>
    </row>
    <row r="983" ht="14.25" customHeight="1">
      <c r="A983" s="1" t="s">
        <v>1017</v>
      </c>
      <c r="B983" s="2">
        <v>44562.0</v>
      </c>
      <c r="C983" s="1" t="s">
        <v>26</v>
      </c>
      <c r="D983" s="1" t="s">
        <v>27</v>
      </c>
      <c r="E983" s="1" t="s">
        <v>40</v>
      </c>
      <c r="F983" s="1">
        <v>628.42</v>
      </c>
      <c r="G983" s="1">
        <v>-161.59</v>
      </c>
      <c r="H983" s="1">
        <v>2.0</v>
      </c>
      <c r="I983" s="1" t="s">
        <v>23</v>
      </c>
      <c r="J983" s="1" t="s">
        <v>18</v>
      </c>
      <c r="K983" s="1">
        <f t="shared" si="1"/>
        <v>2022</v>
      </c>
      <c r="L983" s="1" t="str">
        <f t="shared" si="2"/>
        <v>Jan</v>
      </c>
      <c r="M983" s="1" t="str">
        <f t="shared" si="3"/>
        <v>Loss</v>
      </c>
    </row>
    <row r="984" ht="14.25" customHeight="1">
      <c r="A984" s="1" t="s">
        <v>1018</v>
      </c>
      <c r="B984" s="2">
        <v>45070.0</v>
      </c>
      <c r="C984" s="1" t="s">
        <v>30</v>
      </c>
      <c r="D984" s="1" t="s">
        <v>15</v>
      </c>
      <c r="E984" s="1" t="s">
        <v>16</v>
      </c>
      <c r="F984" s="1">
        <v>829.6</v>
      </c>
      <c r="G984" s="1">
        <v>-32.43</v>
      </c>
      <c r="H984" s="1">
        <v>10.0</v>
      </c>
      <c r="I984" s="1" t="s">
        <v>23</v>
      </c>
      <c r="J984" s="1" t="s">
        <v>24</v>
      </c>
      <c r="K984" s="1">
        <f t="shared" si="1"/>
        <v>2023</v>
      </c>
      <c r="L984" s="1" t="str">
        <f t="shared" si="2"/>
        <v>May</v>
      </c>
      <c r="M984" s="1" t="str">
        <f t="shared" si="3"/>
        <v>Loss</v>
      </c>
    </row>
    <row r="985" ht="14.25" customHeight="1">
      <c r="A985" s="1" t="s">
        <v>1019</v>
      </c>
      <c r="B985" s="2">
        <v>44293.0</v>
      </c>
      <c r="C985" s="1" t="s">
        <v>30</v>
      </c>
      <c r="D985" s="1" t="s">
        <v>27</v>
      </c>
      <c r="E985" s="1" t="s">
        <v>40</v>
      </c>
      <c r="F985" s="1">
        <v>921.71</v>
      </c>
      <c r="G985" s="1">
        <v>97.84</v>
      </c>
      <c r="H985" s="1">
        <v>6.0</v>
      </c>
      <c r="I985" s="1" t="s">
        <v>34</v>
      </c>
      <c r="J985" s="1" t="s">
        <v>24</v>
      </c>
      <c r="K985" s="1">
        <f t="shared" si="1"/>
        <v>2021</v>
      </c>
      <c r="L985" s="1" t="str">
        <f t="shared" si="2"/>
        <v>Apr</v>
      </c>
      <c r="M985" s="1" t="str">
        <f t="shared" si="3"/>
        <v>Profit</v>
      </c>
    </row>
    <row r="986" ht="14.25" customHeight="1">
      <c r="A986" s="1" t="s">
        <v>1020</v>
      </c>
      <c r="B986" s="2">
        <v>44470.0</v>
      </c>
      <c r="C986" s="1" t="s">
        <v>14</v>
      </c>
      <c r="D986" s="1" t="s">
        <v>15</v>
      </c>
      <c r="E986" s="1" t="s">
        <v>16</v>
      </c>
      <c r="F986" s="1">
        <v>735.75</v>
      </c>
      <c r="G986" s="1">
        <v>-144.77</v>
      </c>
      <c r="H986" s="1">
        <v>6.0</v>
      </c>
      <c r="I986" s="1" t="s">
        <v>17</v>
      </c>
      <c r="J986" s="1" t="s">
        <v>24</v>
      </c>
      <c r="K986" s="1">
        <f t="shared" si="1"/>
        <v>2021</v>
      </c>
      <c r="L986" s="1" t="str">
        <f t="shared" si="2"/>
        <v>Oct</v>
      </c>
      <c r="M986" s="1" t="str">
        <f t="shared" si="3"/>
        <v>Loss</v>
      </c>
    </row>
    <row r="987" ht="14.25" customHeight="1">
      <c r="A987" s="1" t="s">
        <v>1021</v>
      </c>
      <c r="B987" s="2">
        <v>44592.0</v>
      </c>
      <c r="C987" s="1" t="s">
        <v>30</v>
      </c>
      <c r="D987" s="1" t="s">
        <v>27</v>
      </c>
      <c r="E987" s="1" t="s">
        <v>28</v>
      </c>
      <c r="F987" s="1">
        <v>244.7</v>
      </c>
      <c r="G987" s="1">
        <v>160.71</v>
      </c>
      <c r="H987" s="1">
        <v>2.0</v>
      </c>
      <c r="I987" s="1" t="s">
        <v>23</v>
      </c>
      <c r="J987" s="1" t="s">
        <v>38</v>
      </c>
      <c r="K987" s="1">
        <f t="shared" si="1"/>
        <v>2022</v>
      </c>
      <c r="L987" s="1" t="str">
        <f t="shared" si="2"/>
        <v>Jan</v>
      </c>
      <c r="M987" s="1" t="str">
        <f t="shared" si="3"/>
        <v>Profit</v>
      </c>
    </row>
    <row r="988" ht="14.25" customHeight="1">
      <c r="A988" s="1" t="s">
        <v>1022</v>
      </c>
      <c r="B988" s="2">
        <v>45279.0</v>
      </c>
      <c r="C988" s="1" t="s">
        <v>14</v>
      </c>
      <c r="D988" s="1" t="s">
        <v>15</v>
      </c>
      <c r="E988" s="1" t="s">
        <v>31</v>
      </c>
      <c r="F988" s="1">
        <v>739.89</v>
      </c>
      <c r="G988" s="1">
        <v>3.58</v>
      </c>
      <c r="H988" s="1">
        <v>7.0</v>
      </c>
      <c r="I988" s="1" t="s">
        <v>34</v>
      </c>
      <c r="J988" s="1" t="s">
        <v>35</v>
      </c>
      <c r="K988" s="1">
        <f t="shared" si="1"/>
        <v>2023</v>
      </c>
      <c r="L988" s="1" t="str">
        <f t="shared" si="2"/>
        <v>Dec</v>
      </c>
      <c r="M988" s="1" t="str">
        <f t="shared" si="3"/>
        <v>Profit</v>
      </c>
    </row>
    <row r="989" ht="14.25" customHeight="1">
      <c r="A989" s="1" t="s">
        <v>1023</v>
      </c>
      <c r="B989" s="2">
        <v>45244.0</v>
      </c>
      <c r="C989" s="1" t="s">
        <v>20</v>
      </c>
      <c r="D989" s="1" t="s">
        <v>15</v>
      </c>
      <c r="E989" s="1" t="s">
        <v>54</v>
      </c>
      <c r="F989" s="1">
        <v>167.15</v>
      </c>
      <c r="G989" s="1">
        <v>83.83</v>
      </c>
      <c r="H989" s="1">
        <v>9.0</v>
      </c>
      <c r="I989" s="1" t="s">
        <v>34</v>
      </c>
      <c r="J989" s="1" t="s">
        <v>38</v>
      </c>
      <c r="K989" s="1">
        <f t="shared" si="1"/>
        <v>2023</v>
      </c>
      <c r="L989" s="1" t="str">
        <f t="shared" si="2"/>
        <v>Nov</v>
      </c>
      <c r="M989" s="1" t="str">
        <f t="shared" si="3"/>
        <v>Profit</v>
      </c>
    </row>
    <row r="990" ht="14.25" customHeight="1">
      <c r="A990" s="1" t="s">
        <v>1024</v>
      </c>
      <c r="B990" s="2">
        <v>44197.0</v>
      </c>
      <c r="C990" s="1" t="s">
        <v>30</v>
      </c>
      <c r="D990" s="1" t="s">
        <v>15</v>
      </c>
      <c r="E990" s="1" t="s">
        <v>54</v>
      </c>
      <c r="F990" s="1">
        <v>799.69</v>
      </c>
      <c r="G990" s="1">
        <v>-154.67</v>
      </c>
      <c r="H990" s="1">
        <v>2.0</v>
      </c>
      <c r="I990" s="1" t="s">
        <v>17</v>
      </c>
      <c r="J990" s="1" t="s">
        <v>18</v>
      </c>
      <c r="K990" s="1">
        <f t="shared" si="1"/>
        <v>2021</v>
      </c>
      <c r="L990" s="1" t="str">
        <f t="shared" si="2"/>
        <v>Jan</v>
      </c>
      <c r="M990" s="1" t="str">
        <f t="shared" si="3"/>
        <v>Loss</v>
      </c>
    </row>
    <row r="991" ht="14.25" customHeight="1">
      <c r="A991" s="1" t="s">
        <v>1025</v>
      </c>
      <c r="B991" s="2">
        <v>45010.0</v>
      </c>
      <c r="C991" s="1" t="s">
        <v>30</v>
      </c>
      <c r="D991" s="1" t="s">
        <v>21</v>
      </c>
      <c r="E991" s="1" t="s">
        <v>37</v>
      </c>
      <c r="F991" s="1">
        <v>957.56</v>
      </c>
      <c r="G991" s="1">
        <v>-65.11</v>
      </c>
      <c r="H991" s="1">
        <v>3.0</v>
      </c>
      <c r="I991" s="1" t="s">
        <v>17</v>
      </c>
      <c r="J991" s="1" t="s">
        <v>38</v>
      </c>
      <c r="K991" s="1">
        <f t="shared" si="1"/>
        <v>2023</v>
      </c>
      <c r="L991" s="1" t="str">
        <f t="shared" si="2"/>
        <v>Mar</v>
      </c>
      <c r="M991" s="1" t="str">
        <f t="shared" si="3"/>
        <v>Loss</v>
      </c>
    </row>
    <row r="992" ht="14.25" customHeight="1">
      <c r="A992" s="1" t="s">
        <v>1026</v>
      </c>
      <c r="B992" s="2">
        <v>44285.0</v>
      </c>
      <c r="C992" s="1" t="s">
        <v>20</v>
      </c>
      <c r="D992" s="1" t="s">
        <v>21</v>
      </c>
      <c r="E992" s="1" t="s">
        <v>37</v>
      </c>
      <c r="F992" s="1">
        <v>143.79</v>
      </c>
      <c r="G992" s="1">
        <v>-157.96</v>
      </c>
      <c r="H992" s="1">
        <v>2.0</v>
      </c>
      <c r="I992" s="1" t="s">
        <v>23</v>
      </c>
      <c r="J992" s="1" t="s">
        <v>35</v>
      </c>
      <c r="K992" s="1">
        <f t="shared" si="1"/>
        <v>2021</v>
      </c>
      <c r="L992" s="1" t="str">
        <f t="shared" si="2"/>
        <v>Mar</v>
      </c>
      <c r="M992" s="1" t="str">
        <f t="shared" si="3"/>
        <v>Loss</v>
      </c>
    </row>
    <row r="993" ht="14.25" customHeight="1">
      <c r="A993" s="1" t="s">
        <v>1027</v>
      </c>
      <c r="B993" s="2">
        <v>44895.0</v>
      </c>
      <c r="C993" s="1" t="s">
        <v>14</v>
      </c>
      <c r="D993" s="1" t="s">
        <v>27</v>
      </c>
      <c r="E993" s="1" t="s">
        <v>40</v>
      </c>
      <c r="F993" s="1">
        <v>229.7</v>
      </c>
      <c r="G993" s="1">
        <v>131.2</v>
      </c>
      <c r="H993" s="1">
        <v>9.0</v>
      </c>
      <c r="I993" s="1" t="s">
        <v>17</v>
      </c>
      <c r="J993" s="1" t="s">
        <v>38</v>
      </c>
      <c r="K993" s="1">
        <f t="shared" si="1"/>
        <v>2022</v>
      </c>
      <c r="L993" s="1" t="str">
        <f t="shared" si="2"/>
        <v>Nov</v>
      </c>
      <c r="M993" s="1" t="str">
        <f t="shared" si="3"/>
        <v>Profit</v>
      </c>
    </row>
    <row r="994" ht="14.25" customHeight="1">
      <c r="A994" s="1" t="s">
        <v>1028</v>
      </c>
      <c r="B994" s="2">
        <v>44484.0</v>
      </c>
      <c r="C994" s="1" t="s">
        <v>20</v>
      </c>
      <c r="D994" s="1" t="s">
        <v>27</v>
      </c>
      <c r="E994" s="1" t="s">
        <v>28</v>
      </c>
      <c r="F994" s="1">
        <v>586.87</v>
      </c>
      <c r="G994" s="1">
        <v>181.75</v>
      </c>
      <c r="H994" s="1">
        <v>8.0</v>
      </c>
      <c r="I994" s="1" t="s">
        <v>17</v>
      </c>
      <c r="J994" s="1" t="s">
        <v>38</v>
      </c>
      <c r="K994" s="1">
        <f t="shared" si="1"/>
        <v>2021</v>
      </c>
      <c r="L994" s="1" t="str">
        <f t="shared" si="2"/>
        <v>Oct</v>
      </c>
      <c r="M994" s="1" t="str">
        <f t="shared" si="3"/>
        <v>Profit</v>
      </c>
    </row>
    <row r="995" ht="14.25" customHeight="1">
      <c r="A995" s="1" t="s">
        <v>1029</v>
      </c>
      <c r="B995" s="2">
        <v>44454.0</v>
      </c>
      <c r="C995" s="1" t="s">
        <v>26</v>
      </c>
      <c r="D995" s="1" t="s">
        <v>21</v>
      </c>
      <c r="E995" s="1" t="s">
        <v>76</v>
      </c>
      <c r="F995" s="1">
        <v>993.18</v>
      </c>
      <c r="G995" s="1">
        <v>-121.26</v>
      </c>
      <c r="H995" s="1">
        <v>8.0</v>
      </c>
      <c r="I995" s="1" t="s">
        <v>17</v>
      </c>
      <c r="J995" s="1" t="s">
        <v>38</v>
      </c>
      <c r="K995" s="1">
        <f t="shared" si="1"/>
        <v>2021</v>
      </c>
      <c r="L995" s="1" t="str">
        <f t="shared" si="2"/>
        <v>Sep</v>
      </c>
      <c r="M995" s="1" t="str">
        <f t="shared" si="3"/>
        <v>Loss</v>
      </c>
    </row>
    <row r="996" ht="14.25" customHeight="1">
      <c r="A996" s="1" t="s">
        <v>1030</v>
      </c>
      <c r="B996" s="2">
        <v>44603.0</v>
      </c>
      <c r="C996" s="1" t="s">
        <v>30</v>
      </c>
      <c r="D996" s="1" t="s">
        <v>15</v>
      </c>
      <c r="E996" s="1" t="s">
        <v>16</v>
      </c>
      <c r="F996" s="1">
        <v>165.83</v>
      </c>
      <c r="G996" s="1">
        <v>177.26</v>
      </c>
      <c r="H996" s="1">
        <v>8.0</v>
      </c>
      <c r="I996" s="1" t="s">
        <v>34</v>
      </c>
      <c r="J996" s="1" t="s">
        <v>38</v>
      </c>
      <c r="K996" s="1">
        <f t="shared" si="1"/>
        <v>2022</v>
      </c>
      <c r="L996" s="1" t="str">
        <f t="shared" si="2"/>
        <v>Feb</v>
      </c>
      <c r="M996" s="1" t="str">
        <f t="shared" si="3"/>
        <v>Profit</v>
      </c>
    </row>
    <row r="997" ht="14.25" customHeight="1">
      <c r="A997" s="1" t="s">
        <v>1031</v>
      </c>
      <c r="B997" s="2">
        <v>44568.0</v>
      </c>
      <c r="C997" s="1" t="s">
        <v>20</v>
      </c>
      <c r="D997" s="1" t="s">
        <v>27</v>
      </c>
      <c r="E997" s="1" t="s">
        <v>33</v>
      </c>
      <c r="F997" s="1">
        <v>981.61</v>
      </c>
      <c r="G997" s="1">
        <v>-153.83</v>
      </c>
      <c r="H997" s="1">
        <v>1.0</v>
      </c>
      <c r="I997" s="1" t="s">
        <v>23</v>
      </c>
      <c r="J997" s="1" t="s">
        <v>24</v>
      </c>
      <c r="K997" s="1">
        <f t="shared" si="1"/>
        <v>2022</v>
      </c>
      <c r="L997" s="1" t="str">
        <f t="shared" si="2"/>
        <v>Jan</v>
      </c>
      <c r="M997" s="1" t="str">
        <f t="shared" si="3"/>
        <v>Loss</v>
      </c>
    </row>
    <row r="998" ht="14.25" customHeight="1">
      <c r="A998" s="1" t="s">
        <v>1032</v>
      </c>
      <c r="B998" s="2">
        <v>45226.0</v>
      </c>
      <c r="C998" s="1" t="s">
        <v>30</v>
      </c>
      <c r="D998" s="1" t="s">
        <v>21</v>
      </c>
      <c r="E998" s="1" t="s">
        <v>37</v>
      </c>
      <c r="F998" s="1">
        <v>40.41</v>
      </c>
      <c r="G998" s="1">
        <v>47.89</v>
      </c>
      <c r="H998" s="1">
        <v>7.0</v>
      </c>
      <c r="I998" s="1" t="s">
        <v>17</v>
      </c>
      <c r="J998" s="1" t="s">
        <v>38</v>
      </c>
      <c r="K998" s="1">
        <f t="shared" si="1"/>
        <v>2023</v>
      </c>
      <c r="L998" s="1" t="str">
        <f t="shared" si="2"/>
        <v>Oct</v>
      </c>
      <c r="M998" s="1" t="str">
        <f t="shared" si="3"/>
        <v>Profit</v>
      </c>
    </row>
    <row r="999" ht="14.25" customHeight="1">
      <c r="A999" s="1" t="s">
        <v>1033</v>
      </c>
      <c r="B999" s="2">
        <v>45185.0</v>
      </c>
      <c r="C999" s="1" t="s">
        <v>30</v>
      </c>
      <c r="D999" s="1" t="s">
        <v>21</v>
      </c>
      <c r="E999" s="1" t="s">
        <v>76</v>
      </c>
      <c r="F999" s="1">
        <v>338.8</v>
      </c>
      <c r="G999" s="1">
        <v>20.88</v>
      </c>
      <c r="H999" s="1">
        <v>2.0</v>
      </c>
      <c r="I999" s="1" t="s">
        <v>23</v>
      </c>
      <c r="J999" s="1" t="s">
        <v>35</v>
      </c>
      <c r="K999" s="1">
        <f t="shared" si="1"/>
        <v>2023</v>
      </c>
      <c r="L999" s="1" t="str">
        <f t="shared" si="2"/>
        <v>Sep</v>
      </c>
      <c r="M999" s="1" t="str">
        <f t="shared" si="3"/>
        <v>Profit</v>
      </c>
    </row>
    <row r="1000" ht="14.25" customHeight="1">
      <c r="A1000" s="1" t="s">
        <v>1034</v>
      </c>
      <c r="B1000" s="2">
        <v>45121.0</v>
      </c>
      <c r="C1000" s="1" t="s">
        <v>20</v>
      </c>
      <c r="D1000" s="1" t="s">
        <v>21</v>
      </c>
      <c r="E1000" s="1" t="s">
        <v>76</v>
      </c>
      <c r="F1000" s="1">
        <v>914.43</v>
      </c>
      <c r="G1000" s="1">
        <v>15.29</v>
      </c>
      <c r="H1000" s="1">
        <v>1.0</v>
      </c>
      <c r="I1000" s="1" t="s">
        <v>23</v>
      </c>
      <c r="J1000" s="1" t="s">
        <v>38</v>
      </c>
      <c r="K1000" s="1">
        <f t="shared" si="1"/>
        <v>2023</v>
      </c>
      <c r="L1000" s="1" t="str">
        <f t="shared" si="2"/>
        <v>Jul</v>
      </c>
      <c r="M1000" s="1" t="str">
        <f t="shared" si="3"/>
        <v>Profit</v>
      </c>
    </row>
    <row r="1001" ht="14.25" customHeight="1">
      <c r="A1001" s="1" t="s">
        <v>1035</v>
      </c>
      <c r="B1001" s="2">
        <v>44434.0</v>
      </c>
      <c r="C1001" s="1" t="s">
        <v>30</v>
      </c>
      <c r="D1001" s="1" t="s">
        <v>27</v>
      </c>
      <c r="E1001" s="1" t="s">
        <v>33</v>
      </c>
      <c r="F1001" s="1">
        <v>841.71</v>
      </c>
      <c r="G1001" s="1">
        <v>295.97</v>
      </c>
      <c r="H1001" s="1">
        <v>7.0</v>
      </c>
      <c r="I1001" s="1" t="s">
        <v>23</v>
      </c>
      <c r="J1001" s="1" t="s">
        <v>18</v>
      </c>
      <c r="K1001" s="1">
        <f t="shared" si="1"/>
        <v>2021</v>
      </c>
      <c r="L1001" s="1" t="str">
        <f t="shared" si="2"/>
        <v>Aug</v>
      </c>
      <c r="M1001" s="1" t="str">
        <f t="shared" si="3"/>
        <v>Profit</v>
      </c>
    </row>
    <row r="1002" ht="14.25" customHeight="1">
      <c r="A1002" s="1" t="s">
        <v>1036</v>
      </c>
      <c r="B1002" s="2">
        <v>44370.0</v>
      </c>
      <c r="C1002" s="1" t="s">
        <v>20</v>
      </c>
      <c r="D1002" s="1" t="s">
        <v>21</v>
      </c>
      <c r="E1002" s="1" t="s">
        <v>76</v>
      </c>
      <c r="F1002" s="1">
        <v>819.68</v>
      </c>
      <c r="G1002" s="1">
        <v>26.12</v>
      </c>
      <c r="H1002" s="1">
        <v>9.0</v>
      </c>
      <c r="I1002" s="1" t="s">
        <v>23</v>
      </c>
      <c r="J1002" s="1" t="s">
        <v>18</v>
      </c>
      <c r="K1002" s="1">
        <f t="shared" si="1"/>
        <v>2021</v>
      </c>
      <c r="L1002" s="1" t="str">
        <f t="shared" si="2"/>
        <v>Jun</v>
      </c>
      <c r="M1002" s="1" t="str">
        <f t="shared" si="3"/>
        <v>Profit</v>
      </c>
    </row>
    <row r="1003" ht="14.25" customHeight="1">
      <c r="A1003" s="1" t="s">
        <v>1037</v>
      </c>
      <c r="B1003" s="2">
        <v>44236.0</v>
      </c>
      <c r="C1003" s="1" t="s">
        <v>26</v>
      </c>
      <c r="D1003" s="1" t="s">
        <v>21</v>
      </c>
      <c r="E1003" s="1" t="s">
        <v>37</v>
      </c>
      <c r="F1003" s="1">
        <v>524.02</v>
      </c>
      <c r="G1003" s="1">
        <v>-72.53</v>
      </c>
      <c r="H1003" s="1">
        <v>10.0</v>
      </c>
      <c r="I1003" s="1" t="s">
        <v>17</v>
      </c>
      <c r="J1003" s="1" t="s">
        <v>38</v>
      </c>
      <c r="K1003" s="1">
        <f t="shared" si="1"/>
        <v>2021</v>
      </c>
      <c r="L1003" s="1" t="str">
        <f t="shared" si="2"/>
        <v>Feb</v>
      </c>
      <c r="M1003" s="1" t="str">
        <f t="shared" si="3"/>
        <v>Loss</v>
      </c>
    </row>
    <row r="1004" ht="14.25" customHeight="1">
      <c r="A1004" s="1" t="s">
        <v>1038</v>
      </c>
      <c r="B1004" s="2">
        <v>44807.0</v>
      </c>
      <c r="C1004" s="1" t="s">
        <v>26</v>
      </c>
      <c r="D1004" s="1" t="s">
        <v>27</v>
      </c>
      <c r="E1004" s="1" t="s">
        <v>28</v>
      </c>
      <c r="F1004" s="1">
        <v>674.62</v>
      </c>
      <c r="G1004" s="1">
        <v>167.36</v>
      </c>
      <c r="H1004" s="1">
        <v>8.0</v>
      </c>
      <c r="I1004" s="1" t="s">
        <v>23</v>
      </c>
      <c r="J1004" s="1" t="s">
        <v>24</v>
      </c>
      <c r="K1004" s="1">
        <f t="shared" si="1"/>
        <v>2022</v>
      </c>
      <c r="L1004" s="1" t="str">
        <f t="shared" si="2"/>
        <v>Sep</v>
      </c>
      <c r="M1004" s="1" t="str">
        <f t="shared" si="3"/>
        <v>Profit</v>
      </c>
    </row>
    <row r="1005" ht="14.25" customHeight="1">
      <c r="A1005" s="1" t="s">
        <v>1039</v>
      </c>
      <c r="B1005" s="2">
        <v>45034.0</v>
      </c>
      <c r="C1005" s="1" t="s">
        <v>14</v>
      </c>
      <c r="D1005" s="1" t="s">
        <v>15</v>
      </c>
      <c r="E1005" s="1" t="s">
        <v>54</v>
      </c>
      <c r="F1005" s="1">
        <v>354.97</v>
      </c>
      <c r="G1005" s="1">
        <v>-65.89</v>
      </c>
      <c r="H1005" s="1">
        <v>2.0</v>
      </c>
      <c r="I1005" s="1" t="s">
        <v>34</v>
      </c>
      <c r="J1005" s="1" t="s">
        <v>24</v>
      </c>
      <c r="K1005" s="1">
        <f t="shared" si="1"/>
        <v>2023</v>
      </c>
      <c r="L1005" s="1" t="str">
        <f t="shared" si="2"/>
        <v>Apr</v>
      </c>
      <c r="M1005" s="1" t="str">
        <f t="shared" si="3"/>
        <v>Loss</v>
      </c>
    </row>
    <row r="1006" ht="14.25" customHeight="1">
      <c r="A1006" s="1" t="s">
        <v>1040</v>
      </c>
      <c r="B1006" s="2">
        <v>44711.0</v>
      </c>
      <c r="C1006" s="1" t="s">
        <v>26</v>
      </c>
      <c r="D1006" s="1" t="s">
        <v>21</v>
      </c>
      <c r="E1006" s="1" t="s">
        <v>76</v>
      </c>
      <c r="F1006" s="1">
        <v>837.65</v>
      </c>
      <c r="G1006" s="1">
        <v>222.89</v>
      </c>
      <c r="H1006" s="1">
        <v>5.0</v>
      </c>
      <c r="I1006" s="1" t="s">
        <v>34</v>
      </c>
      <c r="J1006" s="1" t="s">
        <v>24</v>
      </c>
      <c r="K1006" s="1">
        <f t="shared" si="1"/>
        <v>2022</v>
      </c>
      <c r="L1006" s="1" t="str">
        <f t="shared" si="2"/>
        <v>May</v>
      </c>
      <c r="M1006" s="1" t="str">
        <f t="shared" si="3"/>
        <v>Profit</v>
      </c>
    </row>
    <row r="1007" ht="14.25" customHeight="1">
      <c r="A1007" s="1" t="s">
        <v>1041</v>
      </c>
      <c r="B1007" s="2">
        <v>44588.0</v>
      </c>
      <c r="C1007" s="1" t="s">
        <v>20</v>
      </c>
      <c r="D1007" s="1" t="s">
        <v>27</v>
      </c>
      <c r="E1007" s="1" t="s">
        <v>33</v>
      </c>
      <c r="F1007" s="1">
        <v>231.2</v>
      </c>
      <c r="G1007" s="1">
        <v>273.13</v>
      </c>
      <c r="H1007" s="1">
        <v>6.0</v>
      </c>
      <c r="I1007" s="1" t="s">
        <v>34</v>
      </c>
      <c r="J1007" s="1" t="s">
        <v>38</v>
      </c>
      <c r="K1007" s="1">
        <f t="shared" si="1"/>
        <v>2022</v>
      </c>
      <c r="L1007" s="1" t="str">
        <f t="shared" si="2"/>
        <v>Jan</v>
      </c>
      <c r="M1007" s="1" t="str">
        <f t="shared" si="3"/>
        <v>Profit</v>
      </c>
    </row>
    <row r="1008" ht="14.25" customHeight="1">
      <c r="A1008" s="1" t="s">
        <v>1042</v>
      </c>
      <c r="B1008" s="2">
        <v>44979.0</v>
      </c>
      <c r="C1008" s="1" t="s">
        <v>14</v>
      </c>
      <c r="D1008" s="1" t="s">
        <v>27</v>
      </c>
      <c r="E1008" s="1" t="s">
        <v>28</v>
      </c>
      <c r="F1008" s="1">
        <v>206.91</v>
      </c>
      <c r="G1008" s="1">
        <v>159.14</v>
      </c>
      <c r="H1008" s="1">
        <v>9.0</v>
      </c>
      <c r="I1008" s="1" t="s">
        <v>23</v>
      </c>
      <c r="J1008" s="1" t="s">
        <v>24</v>
      </c>
      <c r="K1008" s="1">
        <f t="shared" si="1"/>
        <v>2023</v>
      </c>
      <c r="L1008" s="1" t="str">
        <f t="shared" si="2"/>
        <v>Feb</v>
      </c>
      <c r="M1008" s="1" t="str">
        <f t="shared" si="3"/>
        <v>Profit</v>
      </c>
    </row>
    <row r="1009" ht="14.25" customHeight="1">
      <c r="A1009" s="1" t="s">
        <v>1043</v>
      </c>
      <c r="B1009" s="2">
        <v>45228.0</v>
      </c>
      <c r="C1009" s="1" t="s">
        <v>20</v>
      </c>
      <c r="D1009" s="1" t="s">
        <v>15</v>
      </c>
      <c r="E1009" s="1" t="s">
        <v>54</v>
      </c>
      <c r="F1009" s="1">
        <v>761.01</v>
      </c>
      <c r="G1009" s="1">
        <v>-112.33</v>
      </c>
      <c r="H1009" s="1">
        <v>9.0</v>
      </c>
      <c r="I1009" s="1" t="s">
        <v>34</v>
      </c>
      <c r="J1009" s="1" t="s">
        <v>18</v>
      </c>
      <c r="K1009" s="1">
        <f t="shared" si="1"/>
        <v>2023</v>
      </c>
      <c r="L1009" s="1" t="str">
        <f t="shared" si="2"/>
        <v>Oct</v>
      </c>
      <c r="M1009" s="1" t="str">
        <f t="shared" si="3"/>
        <v>Loss</v>
      </c>
    </row>
    <row r="1010" ht="14.25" customHeight="1">
      <c r="A1010" s="1" t="s">
        <v>1044</v>
      </c>
      <c r="B1010" s="2">
        <v>45077.0</v>
      </c>
      <c r="C1010" s="1" t="s">
        <v>20</v>
      </c>
      <c r="D1010" s="1" t="s">
        <v>15</v>
      </c>
      <c r="E1010" s="1" t="s">
        <v>16</v>
      </c>
      <c r="F1010" s="1">
        <v>509.46</v>
      </c>
      <c r="G1010" s="1">
        <v>-161.28</v>
      </c>
      <c r="H1010" s="1">
        <v>10.0</v>
      </c>
      <c r="I1010" s="1" t="s">
        <v>17</v>
      </c>
      <c r="J1010" s="1" t="s">
        <v>18</v>
      </c>
      <c r="K1010" s="1">
        <f t="shared" si="1"/>
        <v>2023</v>
      </c>
      <c r="L1010" s="1" t="str">
        <f t="shared" si="2"/>
        <v>May</v>
      </c>
      <c r="M1010" s="1" t="str">
        <f t="shared" si="3"/>
        <v>Loss</v>
      </c>
    </row>
    <row r="1011" ht="14.25" customHeight="1">
      <c r="A1011" s="1" t="s">
        <v>1045</v>
      </c>
      <c r="B1011" s="2">
        <v>44244.0</v>
      </c>
      <c r="C1011" s="1" t="s">
        <v>14</v>
      </c>
      <c r="D1011" s="1" t="s">
        <v>27</v>
      </c>
      <c r="E1011" s="1" t="s">
        <v>40</v>
      </c>
      <c r="F1011" s="1">
        <v>172.22</v>
      </c>
      <c r="G1011" s="1">
        <v>-159.11</v>
      </c>
      <c r="H1011" s="1">
        <v>9.0</v>
      </c>
      <c r="I1011" s="1" t="s">
        <v>23</v>
      </c>
      <c r="J1011" s="1" t="s">
        <v>38</v>
      </c>
      <c r="K1011" s="1">
        <f t="shared" si="1"/>
        <v>2021</v>
      </c>
      <c r="L1011" s="1" t="str">
        <f t="shared" si="2"/>
        <v>Feb</v>
      </c>
      <c r="M1011" s="1" t="str">
        <f t="shared" si="3"/>
        <v>Loss</v>
      </c>
    </row>
    <row r="1012" ht="14.25" customHeight="1">
      <c r="A1012" s="1" t="s">
        <v>1046</v>
      </c>
      <c r="B1012" s="2">
        <v>45233.0</v>
      </c>
      <c r="C1012" s="1" t="s">
        <v>30</v>
      </c>
      <c r="D1012" s="1" t="s">
        <v>15</v>
      </c>
      <c r="E1012" s="1" t="s">
        <v>16</v>
      </c>
      <c r="F1012" s="1">
        <v>303.12</v>
      </c>
      <c r="G1012" s="1">
        <v>-29.84</v>
      </c>
      <c r="H1012" s="1">
        <v>10.0</v>
      </c>
      <c r="I1012" s="1" t="s">
        <v>23</v>
      </c>
      <c r="J1012" s="1" t="s">
        <v>38</v>
      </c>
      <c r="K1012" s="1">
        <f t="shared" si="1"/>
        <v>2023</v>
      </c>
      <c r="L1012" s="1" t="str">
        <f t="shared" si="2"/>
        <v>Nov</v>
      </c>
      <c r="M1012" s="1" t="str">
        <f t="shared" si="3"/>
        <v>Loss</v>
      </c>
    </row>
    <row r="1013" ht="14.25" customHeight="1">
      <c r="A1013" s="1" t="s">
        <v>1047</v>
      </c>
      <c r="B1013" s="2">
        <v>44345.0</v>
      </c>
      <c r="C1013" s="1" t="s">
        <v>26</v>
      </c>
      <c r="D1013" s="1" t="s">
        <v>27</v>
      </c>
      <c r="E1013" s="1" t="s">
        <v>33</v>
      </c>
      <c r="F1013" s="1">
        <v>379.69</v>
      </c>
      <c r="G1013" s="1">
        <v>212.17</v>
      </c>
      <c r="H1013" s="1">
        <v>1.0</v>
      </c>
      <c r="I1013" s="1" t="s">
        <v>17</v>
      </c>
      <c r="J1013" s="1" t="s">
        <v>24</v>
      </c>
      <c r="K1013" s="1">
        <f t="shared" si="1"/>
        <v>2021</v>
      </c>
      <c r="L1013" s="1" t="str">
        <f t="shared" si="2"/>
        <v>May</v>
      </c>
      <c r="M1013" s="1" t="str">
        <f t="shared" si="3"/>
        <v>Profit</v>
      </c>
    </row>
    <row r="1014" ht="14.25" customHeight="1">
      <c r="A1014" s="1" t="s">
        <v>1048</v>
      </c>
      <c r="B1014" s="2">
        <v>45104.0</v>
      </c>
      <c r="C1014" s="1" t="s">
        <v>20</v>
      </c>
      <c r="D1014" s="1" t="s">
        <v>15</v>
      </c>
      <c r="E1014" s="1" t="s">
        <v>31</v>
      </c>
      <c r="F1014" s="1">
        <v>728.38</v>
      </c>
      <c r="G1014" s="1">
        <v>-178.28</v>
      </c>
      <c r="H1014" s="1">
        <v>2.0</v>
      </c>
      <c r="I1014" s="1" t="s">
        <v>17</v>
      </c>
      <c r="J1014" s="1" t="s">
        <v>35</v>
      </c>
      <c r="K1014" s="1">
        <f t="shared" si="1"/>
        <v>2023</v>
      </c>
      <c r="L1014" s="1" t="str">
        <f t="shared" si="2"/>
        <v>Jun</v>
      </c>
      <c r="M1014" s="1" t="str">
        <f t="shared" si="3"/>
        <v>Loss</v>
      </c>
    </row>
    <row r="1015" ht="14.25" customHeight="1">
      <c r="A1015" s="1" t="s">
        <v>1049</v>
      </c>
      <c r="B1015" s="2">
        <v>44697.0</v>
      </c>
      <c r="C1015" s="1" t="s">
        <v>14</v>
      </c>
      <c r="D1015" s="1" t="s">
        <v>15</v>
      </c>
      <c r="E1015" s="1" t="s">
        <v>54</v>
      </c>
      <c r="F1015" s="1">
        <v>287.33</v>
      </c>
      <c r="G1015" s="1">
        <v>-50.92</v>
      </c>
      <c r="H1015" s="1">
        <v>10.0</v>
      </c>
      <c r="I1015" s="1" t="s">
        <v>23</v>
      </c>
      <c r="J1015" s="1" t="s">
        <v>18</v>
      </c>
      <c r="K1015" s="1">
        <f t="shared" si="1"/>
        <v>2022</v>
      </c>
      <c r="L1015" s="1" t="str">
        <f t="shared" si="2"/>
        <v>May</v>
      </c>
      <c r="M1015" s="1" t="str">
        <f t="shared" si="3"/>
        <v>Loss</v>
      </c>
    </row>
    <row r="1016" ht="14.25" customHeight="1">
      <c r="A1016" s="1" t="s">
        <v>1050</v>
      </c>
      <c r="B1016" s="2">
        <v>45139.0</v>
      </c>
      <c r="C1016" s="1" t="s">
        <v>30</v>
      </c>
      <c r="D1016" s="1" t="s">
        <v>21</v>
      </c>
      <c r="E1016" s="1" t="s">
        <v>37</v>
      </c>
      <c r="F1016" s="1">
        <v>403.59</v>
      </c>
      <c r="G1016" s="1">
        <v>210.1</v>
      </c>
      <c r="H1016" s="1">
        <v>1.0</v>
      </c>
      <c r="I1016" s="1" t="s">
        <v>34</v>
      </c>
      <c r="J1016" s="1" t="s">
        <v>18</v>
      </c>
      <c r="K1016" s="1">
        <f t="shared" si="1"/>
        <v>2023</v>
      </c>
      <c r="L1016" s="1" t="str">
        <f t="shared" si="2"/>
        <v>Aug</v>
      </c>
      <c r="M1016" s="1" t="str">
        <f t="shared" si="3"/>
        <v>Profit</v>
      </c>
    </row>
    <row r="1017" ht="14.25" customHeight="1">
      <c r="A1017" s="1" t="s">
        <v>1051</v>
      </c>
      <c r="B1017" s="2">
        <v>44983.0</v>
      </c>
      <c r="C1017" s="1" t="s">
        <v>14</v>
      </c>
      <c r="D1017" s="1" t="s">
        <v>27</v>
      </c>
      <c r="E1017" s="1" t="s">
        <v>33</v>
      </c>
      <c r="F1017" s="1">
        <v>647.96</v>
      </c>
      <c r="G1017" s="1">
        <v>240.8</v>
      </c>
      <c r="H1017" s="1">
        <v>7.0</v>
      </c>
      <c r="I1017" s="1" t="s">
        <v>17</v>
      </c>
      <c r="J1017" s="1" t="s">
        <v>38</v>
      </c>
      <c r="K1017" s="1">
        <f t="shared" si="1"/>
        <v>2023</v>
      </c>
      <c r="L1017" s="1" t="str">
        <f t="shared" si="2"/>
        <v>Feb</v>
      </c>
      <c r="M1017" s="1" t="str">
        <f t="shared" si="3"/>
        <v>Profit</v>
      </c>
    </row>
    <row r="1018" ht="14.25" customHeight="1">
      <c r="A1018" s="1" t="s">
        <v>1052</v>
      </c>
      <c r="B1018" s="2">
        <v>44733.0</v>
      </c>
      <c r="C1018" s="1" t="s">
        <v>30</v>
      </c>
      <c r="D1018" s="1" t="s">
        <v>21</v>
      </c>
      <c r="E1018" s="1" t="s">
        <v>37</v>
      </c>
      <c r="F1018" s="1">
        <v>262.44</v>
      </c>
      <c r="G1018" s="1">
        <v>72.35</v>
      </c>
      <c r="H1018" s="1">
        <v>2.0</v>
      </c>
      <c r="I1018" s="1" t="s">
        <v>34</v>
      </c>
      <c r="J1018" s="1" t="s">
        <v>35</v>
      </c>
      <c r="K1018" s="1">
        <f t="shared" si="1"/>
        <v>2022</v>
      </c>
      <c r="L1018" s="1" t="str">
        <f t="shared" si="2"/>
        <v>Jun</v>
      </c>
      <c r="M1018" s="1" t="str">
        <f t="shared" si="3"/>
        <v>Profit</v>
      </c>
    </row>
    <row r="1019" ht="14.25" customHeight="1">
      <c r="A1019" s="1" t="s">
        <v>1053</v>
      </c>
      <c r="B1019" s="2">
        <v>44233.0</v>
      </c>
      <c r="C1019" s="1" t="s">
        <v>26</v>
      </c>
      <c r="D1019" s="1" t="s">
        <v>27</v>
      </c>
      <c r="E1019" s="1" t="s">
        <v>40</v>
      </c>
      <c r="F1019" s="1">
        <v>969.83</v>
      </c>
      <c r="G1019" s="1">
        <v>40.83</v>
      </c>
      <c r="H1019" s="1">
        <v>4.0</v>
      </c>
      <c r="I1019" s="1" t="s">
        <v>34</v>
      </c>
      <c r="J1019" s="1" t="s">
        <v>35</v>
      </c>
      <c r="K1019" s="1">
        <f t="shared" si="1"/>
        <v>2021</v>
      </c>
      <c r="L1019" s="1" t="str">
        <f t="shared" si="2"/>
        <v>Feb</v>
      </c>
      <c r="M1019" s="1" t="str">
        <f t="shared" si="3"/>
        <v>Profit</v>
      </c>
    </row>
    <row r="1020" ht="14.25" customHeight="1">
      <c r="A1020" s="1" t="s">
        <v>1054</v>
      </c>
      <c r="B1020" s="2">
        <v>44885.0</v>
      </c>
      <c r="C1020" s="1" t="s">
        <v>26</v>
      </c>
      <c r="D1020" s="1" t="s">
        <v>21</v>
      </c>
      <c r="E1020" s="1" t="s">
        <v>22</v>
      </c>
      <c r="F1020" s="1">
        <v>644.94</v>
      </c>
      <c r="G1020" s="1">
        <v>0.61</v>
      </c>
      <c r="H1020" s="1">
        <v>5.0</v>
      </c>
      <c r="I1020" s="1" t="s">
        <v>34</v>
      </c>
      <c r="J1020" s="1" t="s">
        <v>35</v>
      </c>
      <c r="K1020" s="1">
        <f t="shared" si="1"/>
        <v>2022</v>
      </c>
      <c r="L1020" s="1" t="str">
        <f t="shared" si="2"/>
        <v>Nov</v>
      </c>
      <c r="M1020" s="1" t="str">
        <f t="shared" si="3"/>
        <v>Profit</v>
      </c>
    </row>
    <row r="1021" ht="14.25" customHeight="1">
      <c r="A1021" s="1" t="s">
        <v>1055</v>
      </c>
      <c r="B1021" s="2">
        <v>44878.0</v>
      </c>
      <c r="C1021" s="1" t="s">
        <v>26</v>
      </c>
      <c r="D1021" s="1" t="s">
        <v>27</v>
      </c>
      <c r="E1021" s="1" t="s">
        <v>33</v>
      </c>
      <c r="F1021" s="1">
        <v>616.22</v>
      </c>
      <c r="G1021" s="1">
        <v>-187.52</v>
      </c>
      <c r="H1021" s="1">
        <v>3.0</v>
      </c>
      <c r="I1021" s="1" t="s">
        <v>17</v>
      </c>
      <c r="J1021" s="1" t="s">
        <v>18</v>
      </c>
      <c r="K1021" s="1">
        <f t="shared" si="1"/>
        <v>2022</v>
      </c>
      <c r="L1021" s="1" t="str">
        <f t="shared" si="2"/>
        <v>Nov</v>
      </c>
      <c r="M1021" s="1" t="str">
        <f t="shared" si="3"/>
        <v>Loss</v>
      </c>
    </row>
    <row r="1022" ht="14.25" customHeight="1">
      <c r="A1022" s="1" t="s">
        <v>1056</v>
      </c>
      <c r="B1022" s="2">
        <v>44455.0</v>
      </c>
      <c r="C1022" s="1" t="s">
        <v>14</v>
      </c>
      <c r="D1022" s="1" t="s">
        <v>21</v>
      </c>
      <c r="E1022" s="1" t="s">
        <v>22</v>
      </c>
      <c r="F1022" s="1">
        <v>189.01</v>
      </c>
      <c r="G1022" s="1">
        <v>119.92</v>
      </c>
      <c r="H1022" s="1">
        <v>2.0</v>
      </c>
      <c r="I1022" s="1" t="s">
        <v>23</v>
      </c>
      <c r="J1022" s="1" t="s">
        <v>35</v>
      </c>
      <c r="K1022" s="1">
        <f t="shared" si="1"/>
        <v>2021</v>
      </c>
      <c r="L1022" s="1" t="str">
        <f t="shared" si="2"/>
        <v>Sep</v>
      </c>
      <c r="M1022" s="1" t="str">
        <f t="shared" si="3"/>
        <v>Profit</v>
      </c>
    </row>
    <row r="1023" ht="14.25" customHeight="1">
      <c r="A1023" s="1" t="s">
        <v>1057</v>
      </c>
      <c r="B1023" s="2">
        <v>44704.0</v>
      </c>
      <c r="C1023" s="1" t="s">
        <v>14</v>
      </c>
      <c r="D1023" s="1" t="s">
        <v>27</v>
      </c>
      <c r="E1023" s="1" t="s">
        <v>28</v>
      </c>
      <c r="F1023" s="1">
        <v>487.61</v>
      </c>
      <c r="G1023" s="1">
        <v>-95.49</v>
      </c>
      <c r="H1023" s="1">
        <v>10.0</v>
      </c>
      <c r="I1023" s="1" t="s">
        <v>17</v>
      </c>
      <c r="J1023" s="1" t="s">
        <v>38</v>
      </c>
      <c r="K1023" s="1">
        <f t="shared" si="1"/>
        <v>2022</v>
      </c>
      <c r="L1023" s="1" t="str">
        <f t="shared" si="2"/>
        <v>May</v>
      </c>
      <c r="M1023" s="1" t="str">
        <f t="shared" si="3"/>
        <v>Loss</v>
      </c>
    </row>
    <row r="1024" ht="14.25" customHeight="1">
      <c r="A1024" s="1" t="s">
        <v>1058</v>
      </c>
      <c r="B1024" s="2">
        <v>44971.0</v>
      </c>
      <c r="C1024" s="1" t="s">
        <v>20</v>
      </c>
      <c r="D1024" s="1" t="s">
        <v>15</v>
      </c>
      <c r="E1024" s="1" t="s">
        <v>16</v>
      </c>
      <c r="F1024" s="1">
        <v>677.42</v>
      </c>
      <c r="G1024" s="1">
        <v>-190.71</v>
      </c>
      <c r="H1024" s="1">
        <v>6.0</v>
      </c>
      <c r="I1024" s="1" t="s">
        <v>17</v>
      </c>
      <c r="J1024" s="1" t="s">
        <v>35</v>
      </c>
      <c r="K1024" s="1">
        <f t="shared" si="1"/>
        <v>2023</v>
      </c>
      <c r="L1024" s="1" t="str">
        <f t="shared" si="2"/>
        <v>Feb</v>
      </c>
      <c r="M1024" s="1" t="str">
        <f t="shared" si="3"/>
        <v>Loss</v>
      </c>
    </row>
    <row r="1025" ht="14.25" customHeight="1">
      <c r="A1025" s="1" t="s">
        <v>1059</v>
      </c>
      <c r="B1025" s="2">
        <v>44360.0</v>
      </c>
      <c r="C1025" s="1" t="s">
        <v>14</v>
      </c>
      <c r="D1025" s="1" t="s">
        <v>21</v>
      </c>
      <c r="E1025" s="1" t="s">
        <v>37</v>
      </c>
      <c r="F1025" s="1">
        <v>705.64</v>
      </c>
      <c r="G1025" s="1">
        <v>126.84</v>
      </c>
      <c r="H1025" s="1">
        <v>9.0</v>
      </c>
      <c r="I1025" s="1" t="s">
        <v>23</v>
      </c>
      <c r="J1025" s="1" t="s">
        <v>18</v>
      </c>
      <c r="K1025" s="1">
        <f t="shared" si="1"/>
        <v>2021</v>
      </c>
      <c r="L1025" s="1" t="str">
        <f t="shared" si="2"/>
        <v>Jun</v>
      </c>
      <c r="M1025" s="1" t="str">
        <f t="shared" si="3"/>
        <v>Profit</v>
      </c>
    </row>
    <row r="1026" ht="14.25" customHeight="1">
      <c r="A1026" s="1" t="s">
        <v>1060</v>
      </c>
      <c r="B1026" s="2">
        <v>45059.0</v>
      </c>
      <c r="C1026" s="1" t="s">
        <v>26</v>
      </c>
      <c r="D1026" s="1" t="s">
        <v>27</v>
      </c>
      <c r="E1026" s="1" t="s">
        <v>28</v>
      </c>
      <c r="F1026" s="1">
        <v>455.64</v>
      </c>
      <c r="G1026" s="1">
        <v>-89.53</v>
      </c>
      <c r="H1026" s="1">
        <v>3.0</v>
      </c>
      <c r="I1026" s="1" t="s">
        <v>17</v>
      </c>
      <c r="J1026" s="1" t="s">
        <v>35</v>
      </c>
      <c r="K1026" s="1">
        <f t="shared" si="1"/>
        <v>2023</v>
      </c>
      <c r="L1026" s="1" t="str">
        <f t="shared" si="2"/>
        <v>May</v>
      </c>
      <c r="M1026" s="1" t="str">
        <f t="shared" si="3"/>
        <v>Loss</v>
      </c>
    </row>
    <row r="1027" ht="14.25" customHeight="1">
      <c r="A1027" s="1" t="s">
        <v>1061</v>
      </c>
      <c r="B1027" s="2">
        <v>44578.0</v>
      </c>
      <c r="C1027" s="1" t="s">
        <v>14</v>
      </c>
      <c r="D1027" s="1" t="s">
        <v>15</v>
      </c>
      <c r="E1027" s="1" t="s">
        <v>54</v>
      </c>
      <c r="F1027" s="1">
        <v>798.17</v>
      </c>
      <c r="G1027" s="1">
        <v>82.64</v>
      </c>
      <c r="H1027" s="1">
        <v>1.0</v>
      </c>
      <c r="I1027" s="1" t="s">
        <v>23</v>
      </c>
      <c r="J1027" s="1" t="s">
        <v>18</v>
      </c>
      <c r="K1027" s="1">
        <f t="shared" si="1"/>
        <v>2022</v>
      </c>
      <c r="L1027" s="1" t="str">
        <f t="shared" si="2"/>
        <v>Jan</v>
      </c>
      <c r="M1027" s="1" t="str">
        <f t="shared" si="3"/>
        <v>Profit</v>
      </c>
    </row>
    <row r="1028" ht="14.25" customHeight="1">
      <c r="A1028" s="1" t="s">
        <v>1062</v>
      </c>
      <c r="B1028" s="2">
        <v>45203.0</v>
      </c>
      <c r="C1028" s="1" t="s">
        <v>26</v>
      </c>
      <c r="D1028" s="1" t="s">
        <v>15</v>
      </c>
      <c r="E1028" s="1" t="s">
        <v>31</v>
      </c>
      <c r="F1028" s="1">
        <v>885.91</v>
      </c>
      <c r="G1028" s="1">
        <v>-103.69</v>
      </c>
      <c r="H1028" s="1">
        <v>7.0</v>
      </c>
      <c r="I1028" s="1" t="s">
        <v>23</v>
      </c>
      <c r="J1028" s="1" t="s">
        <v>24</v>
      </c>
      <c r="K1028" s="1">
        <f t="shared" si="1"/>
        <v>2023</v>
      </c>
      <c r="L1028" s="1" t="str">
        <f t="shared" si="2"/>
        <v>Oct</v>
      </c>
      <c r="M1028" s="1" t="str">
        <f t="shared" si="3"/>
        <v>Loss</v>
      </c>
    </row>
    <row r="1029" ht="14.25" customHeight="1">
      <c r="A1029" s="1" t="s">
        <v>1063</v>
      </c>
      <c r="B1029" s="2">
        <v>44762.0</v>
      </c>
      <c r="C1029" s="1" t="s">
        <v>14</v>
      </c>
      <c r="D1029" s="1" t="s">
        <v>15</v>
      </c>
      <c r="E1029" s="1" t="s">
        <v>54</v>
      </c>
      <c r="F1029" s="1">
        <v>708.08</v>
      </c>
      <c r="G1029" s="1">
        <v>259.46</v>
      </c>
      <c r="H1029" s="1">
        <v>3.0</v>
      </c>
      <c r="I1029" s="1" t="s">
        <v>23</v>
      </c>
      <c r="J1029" s="1" t="s">
        <v>18</v>
      </c>
      <c r="K1029" s="1">
        <f t="shared" si="1"/>
        <v>2022</v>
      </c>
      <c r="L1029" s="1" t="str">
        <f t="shared" si="2"/>
        <v>Jul</v>
      </c>
      <c r="M1029" s="1" t="str">
        <f t="shared" si="3"/>
        <v>Profit</v>
      </c>
    </row>
    <row r="1030" ht="14.25" customHeight="1">
      <c r="A1030" s="1" t="s">
        <v>1064</v>
      </c>
      <c r="B1030" s="2">
        <v>44649.0</v>
      </c>
      <c r="C1030" s="1" t="s">
        <v>26</v>
      </c>
      <c r="D1030" s="1" t="s">
        <v>15</v>
      </c>
      <c r="E1030" s="1" t="s">
        <v>31</v>
      </c>
      <c r="F1030" s="1">
        <v>556.6</v>
      </c>
      <c r="G1030" s="1">
        <v>161.8</v>
      </c>
      <c r="H1030" s="1">
        <v>3.0</v>
      </c>
      <c r="I1030" s="1" t="s">
        <v>34</v>
      </c>
      <c r="J1030" s="1" t="s">
        <v>38</v>
      </c>
      <c r="K1030" s="1">
        <f t="shared" si="1"/>
        <v>2022</v>
      </c>
      <c r="L1030" s="1" t="str">
        <f t="shared" si="2"/>
        <v>Mar</v>
      </c>
      <c r="M1030" s="1" t="str">
        <f t="shared" si="3"/>
        <v>Profit</v>
      </c>
    </row>
    <row r="1031" ht="14.25" customHeight="1">
      <c r="A1031" s="1" t="s">
        <v>1065</v>
      </c>
      <c r="B1031" s="2">
        <v>44515.0</v>
      </c>
      <c r="C1031" s="1" t="s">
        <v>30</v>
      </c>
      <c r="D1031" s="1" t="s">
        <v>27</v>
      </c>
      <c r="E1031" s="1" t="s">
        <v>28</v>
      </c>
      <c r="F1031" s="1">
        <v>296.47</v>
      </c>
      <c r="G1031" s="1">
        <v>88.77</v>
      </c>
      <c r="H1031" s="1">
        <v>8.0</v>
      </c>
      <c r="I1031" s="1" t="s">
        <v>17</v>
      </c>
      <c r="J1031" s="1" t="s">
        <v>35</v>
      </c>
      <c r="K1031" s="1">
        <f t="shared" si="1"/>
        <v>2021</v>
      </c>
      <c r="L1031" s="1" t="str">
        <f t="shared" si="2"/>
        <v>Nov</v>
      </c>
      <c r="M1031" s="1" t="str">
        <f t="shared" si="3"/>
        <v>Profit</v>
      </c>
    </row>
    <row r="1032" ht="14.25" customHeight="1">
      <c r="A1032" s="1" t="s">
        <v>1066</v>
      </c>
      <c r="B1032" s="2">
        <v>45137.0</v>
      </c>
      <c r="C1032" s="1" t="s">
        <v>20</v>
      </c>
      <c r="D1032" s="1" t="s">
        <v>21</v>
      </c>
      <c r="E1032" s="1" t="s">
        <v>37</v>
      </c>
      <c r="F1032" s="1">
        <v>648.39</v>
      </c>
      <c r="G1032" s="1">
        <v>276.67</v>
      </c>
      <c r="H1032" s="1">
        <v>6.0</v>
      </c>
      <c r="I1032" s="1" t="s">
        <v>23</v>
      </c>
      <c r="J1032" s="1" t="s">
        <v>24</v>
      </c>
      <c r="K1032" s="1">
        <f t="shared" si="1"/>
        <v>2023</v>
      </c>
      <c r="L1032" s="1" t="str">
        <f t="shared" si="2"/>
        <v>Jul</v>
      </c>
      <c r="M1032" s="1" t="str">
        <f t="shared" si="3"/>
        <v>Profit</v>
      </c>
    </row>
    <row r="1033" ht="14.25" customHeight="1">
      <c r="A1033" s="1" t="s">
        <v>1067</v>
      </c>
      <c r="B1033" s="2">
        <v>44790.0</v>
      </c>
      <c r="C1033" s="1" t="s">
        <v>20</v>
      </c>
      <c r="D1033" s="1" t="s">
        <v>21</v>
      </c>
      <c r="E1033" s="1" t="s">
        <v>37</v>
      </c>
      <c r="F1033" s="1">
        <v>405.14</v>
      </c>
      <c r="G1033" s="1">
        <v>-147.36</v>
      </c>
      <c r="H1033" s="1">
        <v>8.0</v>
      </c>
      <c r="I1033" s="1" t="s">
        <v>34</v>
      </c>
      <c r="J1033" s="1" t="s">
        <v>18</v>
      </c>
      <c r="K1033" s="1">
        <f t="shared" si="1"/>
        <v>2022</v>
      </c>
      <c r="L1033" s="1" t="str">
        <f t="shared" si="2"/>
        <v>Aug</v>
      </c>
      <c r="M1033" s="1" t="str">
        <f t="shared" si="3"/>
        <v>Loss</v>
      </c>
    </row>
    <row r="1034" ht="14.25" customHeight="1">
      <c r="A1034" s="1" t="s">
        <v>1068</v>
      </c>
      <c r="B1034" s="2">
        <v>44459.0</v>
      </c>
      <c r="C1034" s="1" t="s">
        <v>14</v>
      </c>
      <c r="D1034" s="1" t="s">
        <v>21</v>
      </c>
      <c r="E1034" s="1" t="s">
        <v>37</v>
      </c>
      <c r="F1034" s="1">
        <v>800.41</v>
      </c>
      <c r="G1034" s="1">
        <v>32.44</v>
      </c>
      <c r="H1034" s="1">
        <v>9.0</v>
      </c>
      <c r="I1034" s="1" t="s">
        <v>34</v>
      </c>
      <c r="J1034" s="1" t="s">
        <v>38</v>
      </c>
      <c r="K1034" s="1">
        <f t="shared" si="1"/>
        <v>2021</v>
      </c>
      <c r="L1034" s="1" t="str">
        <f t="shared" si="2"/>
        <v>Sep</v>
      </c>
      <c r="M1034" s="1" t="str">
        <f t="shared" si="3"/>
        <v>Profit</v>
      </c>
    </row>
    <row r="1035" ht="14.25" customHeight="1">
      <c r="A1035" s="1" t="s">
        <v>1069</v>
      </c>
      <c r="B1035" s="2">
        <v>44627.0</v>
      </c>
      <c r="C1035" s="1" t="s">
        <v>14</v>
      </c>
      <c r="D1035" s="1" t="s">
        <v>27</v>
      </c>
      <c r="E1035" s="1" t="s">
        <v>40</v>
      </c>
      <c r="F1035" s="1">
        <v>613.62</v>
      </c>
      <c r="G1035" s="1">
        <v>133.58</v>
      </c>
      <c r="H1035" s="1">
        <v>1.0</v>
      </c>
      <c r="I1035" s="1" t="s">
        <v>34</v>
      </c>
      <c r="J1035" s="1" t="s">
        <v>18</v>
      </c>
      <c r="K1035" s="1">
        <f t="shared" si="1"/>
        <v>2022</v>
      </c>
      <c r="L1035" s="1" t="str">
        <f t="shared" si="2"/>
        <v>Mar</v>
      </c>
      <c r="M1035" s="1" t="str">
        <f t="shared" si="3"/>
        <v>Profit</v>
      </c>
    </row>
    <row r="1036" ht="14.25" customHeight="1">
      <c r="A1036" s="1" t="s">
        <v>1070</v>
      </c>
      <c r="B1036" s="2">
        <v>44893.0</v>
      </c>
      <c r="C1036" s="1" t="s">
        <v>20</v>
      </c>
      <c r="D1036" s="1" t="s">
        <v>21</v>
      </c>
      <c r="E1036" s="1" t="s">
        <v>22</v>
      </c>
      <c r="F1036" s="1">
        <v>818.85</v>
      </c>
      <c r="G1036" s="1">
        <v>255.88</v>
      </c>
      <c r="H1036" s="1">
        <v>1.0</v>
      </c>
      <c r="I1036" s="1" t="s">
        <v>23</v>
      </c>
      <c r="J1036" s="1" t="s">
        <v>38</v>
      </c>
      <c r="K1036" s="1">
        <f t="shared" si="1"/>
        <v>2022</v>
      </c>
      <c r="L1036" s="1" t="str">
        <f t="shared" si="2"/>
        <v>Nov</v>
      </c>
      <c r="M1036" s="1" t="str">
        <f t="shared" si="3"/>
        <v>Profit</v>
      </c>
    </row>
    <row r="1037" ht="14.25" customHeight="1">
      <c r="A1037" s="1" t="s">
        <v>1071</v>
      </c>
      <c r="B1037" s="2">
        <v>45130.0</v>
      </c>
      <c r="C1037" s="1" t="s">
        <v>26</v>
      </c>
      <c r="D1037" s="1" t="s">
        <v>27</v>
      </c>
      <c r="E1037" s="1" t="s">
        <v>40</v>
      </c>
      <c r="F1037" s="1">
        <v>507.19</v>
      </c>
      <c r="G1037" s="1">
        <v>-32.49</v>
      </c>
      <c r="H1037" s="1">
        <v>8.0</v>
      </c>
      <c r="I1037" s="1" t="s">
        <v>17</v>
      </c>
      <c r="J1037" s="1" t="s">
        <v>35</v>
      </c>
      <c r="K1037" s="1">
        <f t="shared" si="1"/>
        <v>2023</v>
      </c>
      <c r="L1037" s="1" t="str">
        <f t="shared" si="2"/>
        <v>Jul</v>
      </c>
      <c r="M1037" s="1" t="str">
        <f t="shared" si="3"/>
        <v>Loss</v>
      </c>
    </row>
    <row r="1038" ht="14.25" customHeight="1">
      <c r="A1038" s="1" t="s">
        <v>1072</v>
      </c>
      <c r="B1038" s="2">
        <v>44776.0</v>
      </c>
      <c r="C1038" s="1" t="s">
        <v>20</v>
      </c>
      <c r="D1038" s="1" t="s">
        <v>21</v>
      </c>
      <c r="E1038" s="1" t="s">
        <v>76</v>
      </c>
      <c r="F1038" s="1">
        <v>461.86</v>
      </c>
      <c r="G1038" s="1">
        <v>296.49</v>
      </c>
      <c r="H1038" s="1">
        <v>7.0</v>
      </c>
      <c r="I1038" s="1" t="s">
        <v>17</v>
      </c>
      <c r="J1038" s="1" t="s">
        <v>38</v>
      </c>
      <c r="K1038" s="1">
        <f t="shared" si="1"/>
        <v>2022</v>
      </c>
      <c r="L1038" s="1" t="str">
        <f t="shared" si="2"/>
        <v>Aug</v>
      </c>
      <c r="M1038" s="1" t="str">
        <f t="shared" si="3"/>
        <v>Profit</v>
      </c>
    </row>
    <row r="1039" ht="14.25" customHeight="1">
      <c r="A1039" s="1" t="s">
        <v>1073</v>
      </c>
      <c r="B1039" s="2">
        <v>44493.0</v>
      </c>
      <c r="C1039" s="1" t="s">
        <v>20</v>
      </c>
      <c r="D1039" s="1" t="s">
        <v>21</v>
      </c>
      <c r="E1039" s="1" t="s">
        <v>76</v>
      </c>
      <c r="F1039" s="1">
        <v>493.34</v>
      </c>
      <c r="G1039" s="1">
        <v>-88.54</v>
      </c>
      <c r="H1039" s="1">
        <v>4.0</v>
      </c>
      <c r="I1039" s="1" t="s">
        <v>17</v>
      </c>
      <c r="J1039" s="1" t="s">
        <v>18</v>
      </c>
      <c r="K1039" s="1">
        <f t="shared" si="1"/>
        <v>2021</v>
      </c>
      <c r="L1039" s="1" t="str">
        <f t="shared" si="2"/>
        <v>Oct</v>
      </c>
      <c r="M1039" s="1" t="str">
        <f t="shared" si="3"/>
        <v>Loss</v>
      </c>
    </row>
    <row r="1040" ht="14.25" customHeight="1">
      <c r="A1040" s="1" t="s">
        <v>1074</v>
      </c>
      <c r="B1040" s="2">
        <v>44257.0</v>
      </c>
      <c r="C1040" s="1" t="s">
        <v>20</v>
      </c>
      <c r="D1040" s="1" t="s">
        <v>27</v>
      </c>
      <c r="E1040" s="1" t="s">
        <v>28</v>
      </c>
      <c r="F1040" s="1">
        <v>881.21</v>
      </c>
      <c r="G1040" s="1">
        <v>-127.09</v>
      </c>
      <c r="H1040" s="1">
        <v>2.0</v>
      </c>
      <c r="I1040" s="1" t="s">
        <v>34</v>
      </c>
      <c r="J1040" s="1" t="s">
        <v>38</v>
      </c>
      <c r="K1040" s="1">
        <f t="shared" si="1"/>
        <v>2021</v>
      </c>
      <c r="L1040" s="1" t="str">
        <f t="shared" si="2"/>
        <v>Mar</v>
      </c>
      <c r="M1040" s="1" t="str">
        <f t="shared" si="3"/>
        <v>Loss</v>
      </c>
    </row>
    <row r="1041" ht="14.25" customHeight="1">
      <c r="A1041" s="1" t="s">
        <v>1075</v>
      </c>
      <c r="B1041" s="2">
        <v>45095.0</v>
      </c>
      <c r="C1041" s="1" t="s">
        <v>26</v>
      </c>
      <c r="D1041" s="1" t="s">
        <v>21</v>
      </c>
      <c r="E1041" s="1" t="s">
        <v>76</v>
      </c>
      <c r="F1041" s="1">
        <v>632.29</v>
      </c>
      <c r="G1041" s="1">
        <v>125.13</v>
      </c>
      <c r="H1041" s="1">
        <v>10.0</v>
      </c>
      <c r="I1041" s="1" t="s">
        <v>23</v>
      </c>
      <c r="J1041" s="1" t="s">
        <v>35</v>
      </c>
      <c r="K1041" s="1">
        <f t="shared" si="1"/>
        <v>2023</v>
      </c>
      <c r="L1041" s="1" t="str">
        <f t="shared" si="2"/>
        <v>Jun</v>
      </c>
      <c r="M1041" s="1" t="str">
        <f t="shared" si="3"/>
        <v>Profit</v>
      </c>
    </row>
    <row r="1042" ht="14.25" customHeight="1">
      <c r="A1042" s="1" t="s">
        <v>1076</v>
      </c>
      <c r="B1042" s="2">
        <v>44670.0</v>
      </c>
      <c r="C1042" s="1" t="s">
        <v>14</v>
      </c>
      <c r="D1042" s="1" t="s">
        <v>21</v>
      </c>
      <c r="E1042" s="1" t="s">
        <v>22</v>
      </c>
      <c r="F1042" s="1">
        <v>862.96</v>
      </c>
      <c r="G1042" s="1">
        <v>271.81</v>
      </c>
      <c r="H1042" s="1">
        <v>8.0</v>
      </c>
      <c r="I1042" s="1" t="s">
        <v>17</v>
      </c>
      <c r="J1042" s="1" t="s">
        <v>18</v>
      </c>
      <c r="K1042" s="1">
        <f t="shared" si="1"/>
        <v>2022</v>
      </c>
      <c r="L1042" s="1" t="str">
        <f t="shared" si="2"/>
        <v>Apr</v>
      </c>
      <c r="M1042" s="1" t="str">
        <f t="shared" si="3"/>
        <v>Profit</v>
      </c>
    </row>
    <row r="1043" ht="14.25" customHeight="1">
      <c r="A1043" s="1" t="s">
        <v>1077</v>
      </c>
      <c r="B1043" s="2">
        <v>44642.0</v>
      </c>
      <c r="C1043" s="1" t="s">
        <v>20</v>
      </c>
      <c r="D1043" s="1" t="s">
        <v>27</v>
      </c>
      <c r="E1043" s="1" t="s">
        <v>28</v>
      </c>
      <c r="F1043" s="1">
        <v>661.62</v>
      </c>
      <c r="G1043" s="1">
        <v>-144.59</v>
      </c>
      <c r="H1043" s="1">
        <v>4.0</v>
      </c>
      <c r="I1043" s="1" t="s">
        <v>23</v>
      </c>
      <c r="J1043" s="1" t="s">
        <v>18</v>
      </c>
      <c r="K1043" s="1">
        <f t="shared" si="1"/>
        <v>2022</v>
      </c>
      <c r="L1043" s="1" t="str">
        <f t="shared" si="2"/>
        <v>Mar</v>
      </c>
      <c r="M1043" s="1" t="str">
        <f t="shared" si="3"/>
        <v>Loss</v>
      </c>
    </row>
    <row r="1044" ht="14.25" customHeight="1">
      <c r="A1044" s="1" t="s">
        <v>1078</v>
      </c>
      <c r="B1044" s="2">
        <v>44757.0</v>
      </c>
      <c r="C1044" s="1" t="s">
        <v>14</v>
      </c>
      <c r="D1044" s="1" t="s">
        <v>21</v>
      </c>
      <c r="E1044" s="1" t="s">
        <v>76</v>
      </c>
      <c r="F1044" s="1">
        <v>915.12</v>
      </c>
      <c r="G1044" s="1">
        <v>-103.85</v>
      </c>
      <c r="H1044" s="1">
        <v>1.0</v>
      </c>
      <c r="I1044" s="1" t="s">
        <v>34</v>
      </c>
      <c r="J1044" s="1" t="s">
        <v>38</v>
      </c>
      <c r="K1044" s="1">
        <f t="shared" si="1"/>
        <v>2022</v>
      </c>
      <c r="L1044" s="1" t="str">
        <f t="shared" si="2"/>
        <v>Jul</v>
      </c>
      <c r="M1044" s="1" t="str">
        <f t="shared" si="3"/>
        <v>Loss</v>
      </c>
    </row>
    <row r="1045" ht="14.25" customHeight="1">
      <c r="A1045" s="1" t="s">
        <v>1079</v>
      </c>
      <c r="B1045" s="2">
        <v>44272.0</v>
      </c>
      <c r="C1045" s="1" t="s">
        <v>14</v>
      </c>
      <c r="D1045" s="1" t="s">
        <v>27</v>
      </c>
      <c r="E1045" s="1" t="s">
        <v>40</v>
      </c>
      <c r="F1045" s="1">
        <v>597.41</v>
      </c>
      <c r="G1045" s="1">
        <v>-104.58</v>
      </c>
      <c r="H1045" s="1">
        <v>10.0</v>
      </c>
      <c r="I1045" s="1" t="s">
        <v>23</v>
      </c>
      <c r="J1045" s="1" t="s">
        <v>35</v>
      </c>
      <c r="K1045" s="1">
        <f t="shared" si="1"/>
        <v>2021</v>
      </c>
      <c r="L1045" s="1" t="str">
        <f t="shared" si="2"/>
        <v>Mar</v>
      </c>
      <c r="M1045" s="1" t="str">
        <f t="shared" si="3"/>
        <v>Loss</v>
      </c>
    </row>
    <row r="1046" ht="14.25" customHeight="1">
      <c r="A1046" s="1" t="s">
        <v>1080</v>
      </c>
      <c r="B1046" s="2">
        <v>44869.0</v>
      </c>
      <c r="C1046" s="1" t="s">
        <v>30</v>
      </c>
      <c r="D1046" s="1" t="s">
        <v>15</v>
      </c>
      <c r="E1046" s="1" t="s">
        <v>16</v>
      </c>
      <c r="F1046" s="1">
        <v>865.62</v>
      </c>
      <c r="G1046" s="1">
        <v>-196.25</v>
      </c>
      <c r="H1046" s="1">
        <v>3.0</v>
      </c>
      <c r="I1046" s="1" t="s">
        <v>34</v>
      </c>
      <c r="J1046" s="1" t="s">
        <v>24</v>
      </c>
      <c r="K1046" s="1">
        <f t="shared" si="1"/>
        <v>2022</v>
      </c>
      <c r="L1046" s="1" t="str">
        <f t="shared" si="2"/>
        <v>Nov</v>
      </c>
      <c r="M1046" s="1" t="str">
        <f t="shared" si="3"/>
        <v>Loss</v>
      </c>
    </row>
    <row r="1047" ht="14.25" customHeight="1">
      <c r="A1047" s="1" t="s">
        <v>1081</v>
      </c>
      <c r="B1047" s="2">
        <v>44566.0</v>
      </c>
      <c r="C1047" s="1" t="s">
        <v>14</v>
      </c>
      <c r="D1047" s="1" t="s">
        <v>21</v>
      </c>
      <c r="E1047" s="1" t="s">
        <v>37</v>
      </c>
      <c r="F1047" s="1">
        <v>924.17</v>
      </c>
      <c r="G1047" s="1">
        <v>-4.3</v>
      </c>
      <c r="H1047" s="1">
        <v>5.0</v>
      </c>
      <c r="I1047" s="1" t="s">
        <v>23</v>
      </c>
      <c r="J1047" s="1" t="s">
        <v>18</v>
      </c>
      <c r="K1047" s="1">
        <f t="shared" si="1"/>
        <v>2022</v>
      </c>
      <c r="L1047" s="1" t="str">
        <f t="shared" si="2"/>
        <v>Jan</v>
      </c>
      <c r="M1047" s="1" t="str">
        <f t="shared" si="3"/>
        <v>Loss</v>
      </c>
    </row>
    <row r="1048" ht="14.25" customHeight="1">
      <c r="A1048" s="1" t="s">
        <v>1082</v>
      </c>
      <c r="B1048" s="2">
        <v>44619.0</v>
      </c>
      <c r="C1048" s="1" t="s">
        <v>30</v>
      </c>
      <c r="D1048" s="1" t="s">
        <v>21</v>
      </c>
      <c r="E1048" s="1" t="s">
        <v>22</v>
      </c>
      <c r="F1048" s="1">
        <v>248.19</v>
      </c>
      <c r="G1048" s="1">
        <v>-118.52</v>
      </c>
      <c r="H1048" s="1">
        <v>6.0</v>
      </c>
      <c r="I1048" s="1" t="s">
        <v>17</v>
      </c>
      <c r="J1048" s="1" t="s">
        <v>35</v>
      </c>
      <c r="K1048" s="1">
        <f t="shared" si="1"/>
        <v>2022</v>
      </c>
      <c r="L1048" s="1" t="str">
        <f t="shared" si="2"/>
        <v>Feb</v>
      </c>
      <c r="M1048" s="1" t="str">
        <f t="shared" si="3"/>
        <v>Loss</v>
      </c>
    </row>
    <row r="1049" ht="14.25" customHeight="1">
      <c r="A1049" s="1" t="s">
        <v>1083</v>
      </c>
      <c r="B1049" s="2">
        <v>44402.0</v>
      </c>
      <c r="C1049" s="1" t="s">
        <v>14</v>
      </c>
      <c r="D1049" s="1" t="s">
        <v>27</v>
      </c>
      <c r="E1049" s="1" t="s">
        <v>28</v>
      </c>
      <c r="F1049" s="1">
        <v>356.27</v>
      </c>
      <c r="G1049" s="1">
        <v>162.95</v>
      </c>
      <c r="H1049" s="1">
        <v>4.0</v>
      </c>
      <c r="I1049" s="1" t="s">
        <v>17</v>
      </c>
      <c r="J1049" s="1" t="s">
        <v>24</v>
      </c>
      <c r="K1049" s="1">
        <f t="shared" si="1"/>
        <v>2021</v>
      </c>
      <c r="L1049" s="1" t="str">
        <f t="shared" si="2"/>
        <v>Jul</v>
      </c>
      <c r="M1049" s="1" t="str">
        <f t="shared" si="3"/>
        <v>Profit</v>
      </c>
    </row>
    <row r="1050" ht="14.25" customHeight="1">
      <c r="A1050" s="1" t="s">
        <v>1084</v>
      </c>
      <c r="B1050" s="2">
        <v>45249.0</v>
      </c>
      <c r="C1050" s="1" t="s">
        <v>14</v>
      </c>
      <c r="D1050" s="1" t="s">
        <v>15</v>
      </c>
      <c r="E1050" s="1" t="s">
        <v>16</v>
      </c>
      <c r="F1050" s="1">
        <v>139.08</v>
      </c>
      <c r="G1050" s="1">
        <v>100.92</v>
      </c>
      <c r="H1050" s="1">
        <v>1.0</v>
      </c>
      <c r="I1050" s="1" t="s">
        <v>23</v>
      </c>
      <c r="J1050" s="1" t="s">
        <v>24</v>
      </c>
      <c r="K1050" s="1">
        <f t="shared" si="1"/>
        <v>2023</v>
      </c>
      <c r="L1050" s="1" t="str">
        <f t="shared" si="2"/>
        <v>Nov</v>
      </c>
      <c r="M1050" s="1" t="str">
        <f t="shared" si="3"/>
        <v>Profit</v>
      </c>
    </row>
    <row r="1051" ht="14.25" customHeight="1">
      <c r="A1051" s="1" t="s">
        <v>1085</v>
      </c>
      <c r="B1051" s="2">
        <v>44306.0</v>
      </c>
      <c r="C1051" s="1" t="s">
        <v>20</v>
      </c>
      <c r="D1051" s="1" t="s">
        <v>21</v>
      </c>
      <c r="E1051" s="1" t="s">
        <v>76</v>
      </c>
      <c r="F1051" s="1">
        <v>582.38</v>
      </c>
      <c r="G1051" s="1">
        <v>-70.69</v>
      </c>
      <c r="H1051" s="1">
        <v>6.0</v>
      </c>
      <c r="I1051" s="1" t="s">
        <v>34</v>
      </c>
      <c r="J1051" s="1" t="s">
        <v>18</v>
      </c>
      <c r="K1051" s="1">
        <f t="shared" si="1"/>
        <v>2021</v>
      </c>
      <c r="L1051" s="1" t="str">
        <f t="shared" si="2"/>
        <v>Apr</v>
      </c>
      <c r="M1051" s="1" t="str">
        <f t="shared" si="3"/>
        <v>Loss</v>
      </c>
    </row>
    <row r="1052" ht="14.25" customHeight="1">
      <c r="A1052" s="1" t="s">
        <v>1086</v>
      </c>
      <c r="B1052" s="2">
        <v>44330.0</v>
      </c>
      <c r="C1052" s="1" t="s">
        <v>26</v>
      </c>
      <c r="D1052" s="1" t="s">
        <v>27</v>
      </c>
      <c r="E1052" s="1" t="s">
        <v>28</v>
      </c>
      <c r="F1052" s="1">
        <v>268.94</v>
      </c>
      <c r="G1052" s="1">
        <v>-172.09</v>
      </c>
      <c r="H1052" s="1">
        <v>9.0</v>
      </c>
      <c r="I1052" s="1" t="s">
        <v>34</v>
      </c>
      <c r="J1052" s="1" t="s">
        <v>18</v>
      </c>
      <c r="K1052" s="1">
        <f t="shared" si="1"/>
        <v>2021</v>
      </c>
      <c r="L1052" s="1" t="str">
        <f t="shared" si="2"/>
        <v>May</v>
      </c>
      <c r="M1052" s="1" t="str">
        <f t="shared" si="3"/>
        <v>Loss</v>
      </c>
    </row>
    <row r="1053" ht="14.25" customHeight="1">
      <c r="A1053" s="1" t="s">
        <v>1087</v>
      </c>
      <c r="B1053" s="2">
        <v>45054.0</v>
      </c>
      <c r="C1053" s="1" t="s">
        <v>26</v>
      </c>
      <c r="D1053" s="1" t="s">
        <v>15</v>
      </c>
      <c r="E1053" s="1" t="s">
        <v>16</v>
      </c>
      <c r="F1053" s="1">
        <v>349.52</v>
      </c>
      <c r="G1053" s="1">
        <v>-12.41</v>
      </c>
      <c r="H1053" s="1">
        <v>4.0</v>
      </c>
      <c r="I1053" s="1" t="s">
        <v>34</v>
      </c>
      <c r="J1053" s="1" t="s">
        <v>18</v>
      </c>
      <c r="K1053" s="1">
        <f t="shared" si="1"/>
        <v>2023</v>
      </c>
      <c r="L1053" s="1" t="str">
        <f t="shared" si="2"/>
        <v>May</v>
      </c>
      <c r="M1053" s="1" t="str">
        <f t="shared" si="3"/>
        <v>Loss</v>
      </c>
    </row>
    <row r="1054" ht="14.25" customHeight="1">
      <c r="A1054" s="1" t="s">
        <v>1088</v>
      </c>
      <c r="B1054" s="2">
        <v>44690.0</v>
      </c>
      <c r="C1054" s="1" t="s">
        <v>14</v>
      </c>
      <c r="D1054" s="1" t="s">
        <v>21</v>
      </c>
      <c r="E1054" s="1" t="s">
        <v>76</v>
      </c>
      <c r="F1054" s="1">
        <v>48.9</v>
      </c>
      <c r="G1054" s="1">
        <v>86.2</v>
      </c>
      <c r="H1054" s="1">
        <v>5.0</v>
      </c>
      <c r="I1054" s="1" t="s">
        <v>34</v>
      </c>
      <c r="J1054" s="1" t="s">
        <v>38</v>
      </c>
      <c r="K1054" s="1">
        <f t="shared" si="1"/>
        <v>2022</v>
      </c>
      <c r="L1054" s="1" t="str">
        <f t="shared" si="2"/>
        <v>May</v>
      </c>
      <c r="M1054" s="1" t="str">
        <f t="shared" si="3"/>
        <v>Profit</v>
      </c>
    </row>
    <row r="1055" ht="14.25" customHeight="1">
      <c r="A1055" s="1" t="s">
        <v>1089</v>
      </c>
      <c r="B1055" s="2">
        <v>44243.0</v>
      </c>
      <c r="C1055" s="1" t="s">
        <v>14</v>
      </c>
      <c r="D1055" s="1" t="s">
        <v>15</v>
      </c>
      <c r="E1055" s="1" t="s">
        <v>16</v>
      </c>
      <c r="F1055" s="1">
        <v>419.02</v>
      </c>
      <c r="G1055" s="1">
        <v>-145.23</v>
      </c>
      <c r="H1055" s="1">
        <v>8.0</v>
      </c>
      <c r="I1055" s="1" t="s">
        <v>23</v>
      </c>
      <c r="J1055" s="1" t="s">
        <v>18</v>
      </c>
      <c r="K1055" s="1">
        <f t="shared" si="1"/>
        <v>2021</v>
      </c>
      <c r="L1055" s="1" t="str">
        <f t="shared" si="2"/>
        <v>Feb</v>
      </c>
      <c r="M1055" s="1" t="str">
        <f t="shared" si="3"/>
        <v>Loss</v>
      </c>
    </row>
    <row r="1056" ht="14.25" customHeight="1">
      <c r="A1056" s="1" t="s">
        <v>1090</v>
      </c>
      <c r="B1056" s="2">
        <v>44299.0</v>
      </c>
      <c r="C1056" s="1" t="s">
        <v>20</v>
      </c>
      <c r="D1056" s="1" t="s">
        <v>15</v>
      </c>
      <c r="E1056" s="1" t="s">
        <v>54</v>
      </c>
      <c r="F1056" s="1">
        <v>598.1</v>
      </c>
      <c r="G1056" s="1">
        <v>34.12</v>
      </c>
      <c r="H1056" s="1">
        <v>7.0</v>
      </c>
      <c r="I1056" s="1" t="s">
        <v>23</v>
      </c>
      <c r="J1056" s="1" t="s">
        <v>35</v>
      </c>
      <c r="K1056" s="1">
        <f t="shared" si="1"/>
        <v>2021</v>
      </c>
      <c r="L1056" s="1" t="str">
        <f t="shared" si="2"/>
        <v>Apr</v>
      </c>
      <c r="M1056" s="1" t="str">
        <f t="shared" si="3"/>
        <v>Profit</v>
      </c>
    </row>
    <row r="1057" ht="14.25" customHeight="1">
      <c r="A1057" s="1" t="s">
        <v>1091</v>
      </c>
      <c r="B1057" s="2">
        <v>45217.0</v>
      </c>
      <c r="C1057" s="1" t="s">
        <v>14</v>
      </c>
      <c r="D1057" s="1" t="s">
        <v>15</v>
      </c>
      <c r="E1057" s="1" t="s">
        <v>54</v>
      </c>
      <c r="F1057" s="1">
        <v>429.72</v>
      </c>
      <c r="G1057" s="1">
        <v>-157.34</v>
      </c>
      <c r="H1057" s="1">
        <v>6.0</v>
      </c>
      <c r="I1057" s="1" t="s">
        <v>17</v>
      </c>
      <c r="J1057" s="1" t="s">
        <v>18</v>
      </c>
      <c r="K1057" s="1">
        <f t="shared" si="1"/>
        <v>2023</v>
      </c>
      <c r="L1057" s="1" t="str">
        <f t="shared" si="2"/>
        <v>Oct</v>
      </c>
      <c r="M1057" s="1" t="str">
        <f t="shared" si="3"/>
        <v>Loss</v>
      </c>
    </row>
    <row r="1058" ht="14.25" customHeight="1">
      <c r="A1058" s="1" t="s">
        <v>1092</v>
      </c>
      <c r="B1058" s="2">
        <v>44903.0</v>
      </c>
      <c r="C1058" s="1" t="s">
        <v>14</v>
      </c>
      <c r="D1058" s="1" t="s">
        <v>21</v>
      </c>
      <c r="E1058" s="1" t="s">
        <v>22</v>
      </c>
      <c r="F1058" s="1">
        <v>449.37</v>
      </c>
      <c r="G1058" s="1">
        <v>248.93</v>
      </c>
      <c r="H1058" s="1">
        <v>4.0</v>
      </c>
      <c r="I1058" s="1" t="s">
        <v>23</v>
      </c>
      <c r="J1058" s="1" t="s">
        <v>35</v>
      </c>
      <c r="K1058" s="1">
        <f t="shared" si="1"/>
        <v>2022</v>
      </c>
      <c r="L1058" s="1" t="str">
        <f t="shared" si="2"/>
        <v>Dec</v>
      </c>
      <c r="M1058" s="1" t="str">
        <f t="shared" si="3"/>
        <v>Profit</v>
      </c>
    </row>
    <row r="1059" ht="14.25" customHeight="1">
      <c r="A1059" s="1" t="s">
        <v>1093</v>
      </c>
      <c r="B1059" s="2">
        <v>44664.0</v>
      </c>
      <c r="C1059" s="1" t="s">
        <v>14</v>
      </c>
      <c r="D1059" s="1" t="s">
        <v>21</v>
      </c>
      <c r="E1059" s="1" t="s">
        <v>76</v>
      </c>
      <c r="F1059" s="1">
        <v>853.31</v>
      </c>
      <c r="G1059" s="1">
        <v>-109.4</v>
      </c>
      <c r="H1059" s="1">
        <v>8.0</v>
      </c>
      <c r="I1059" s="1" t="s">
        <v>23</v>
      </c>
      <c r="J1059" s="1" t="s">
        <v>35</v>
      </c>
      <c r="K1059" s="1">
        <f t="shared" si="1"/>
        <v>2022</v>
      </c>
      <c r="L1059" s="1" t="str">
        <f t="shared" si="2"/>
        <v>Apr</v>
      </c>
      <c r="M1059" s="1" t="str">
        <f t="shared" si="3"/>
        <v>Loss</v>
      </c>
    </row>
    <row r="1060" ht="14.25" customHeight="1">
      <c r="A1060" s="1" t="s">
        <v>1094</v>
      </c>
      <c r="B1060" s="2">
        <v>44838.0</v>
      </c>
      <c r="C1060" s="1" t="s">
        <v>20</v>
      </c>
      <c r="D1060" s="1" t="s">
        <v>21</v>
      </c>
      <c r="E1060" s="1" t="s">
        <v>76</v>
      </c>
      <c r="F1060" s="1">
        <v>88.95</v>
      </c>
      <c r="G1060" s="1">
        <v>-108.0</v>
      </c>
      <c r="H1060" s="1">
        <v>4.0</v>
      </c>
      <c r="I1060" s="1" t="s">
        <v>17</v>
      </c>
      <c r="J1060" s="1" t="s">
        <v>24</v>
      </c>
      <c r="K1060" s="1">
        <f t="shared" si="1"/>
        <v>2022</v>
      </c>
      <c r="L1060" s="1" t="str">
        <f t="shared" si="2"/>
        <v>Oct</v>
      </c>
      <c r="M1060" s="1" t="str">
        <f t="shared" si="3"/>
        <v>Loss</v>
      </c>
    </row>
    <row r="1061" ht="14.25" customHeight="1">
      <c r="A1061" s="1" t="s">
        <v>1095</v>
      </c>
      <c r="B1061" s="2">
        <v>44239.0</v>
      </c>
      <c r="C1061" s="1" t="s">
        <v>26</v>
      </c>
      <c r="D1061" s="1" t="s">
        <v>15</v>
      </c>
      <c r="E1061" s="1" t="s">
        <v>16</v>
      </c>
      <c r="F1061" s="1">
        <v>395.48</v>
      </c>
      <c r="G1061" s="1">
        <v>25.77</v>
      </c>
      <c r="H1061" s="1">
        <v>7.0</v>
      </c>
      <c r="I1061" s="1" t="s">
        <v>23</v>
      </c>
      <c r="J1061" s="1" t="s">
        <v>18</v>
      </c>
      <c r="K1061" s="1">
        <f t="shared" si="1"/>
        <v>2021</v>
      </c>
      <c r="L1061" s="1" t="str">
        <f t="shared" si="2"/>
        <v>Feb</v>
      </c>
      <c r="M1061" s="1" t="str">
        <f t="shared" si="3"/>
        <v>Profit</v>
      </c>
    </row>
    <row r="1062" ht="14.25" customHeight="1">
      <c r="A1062" s="1" t="s">
        <v>1096</v>
      </c>
      <c r="B1062" s="2">
        <v>44926.0</v>
      </c>
      <c r="C1062" s="1" t="s">
        <v>30</v>
      </c>
      <c r="D1062" s="1" t="s">
        <v>27</v>
      </c>
      <c r="E1062" s="1" t="s">
        <v>33</v>
      </c>
      <c r="F1062" s="1">
        <v>449.76</v>
      </c>
      <c r="G1062" s="1">
        <v>69.95</v>
      </c>
      <c r="H1062" s="1">
        <v>2.0</v>
      </c>
      <c r="I1062" s="1" t="s">
        <v>23</v>
      </c>
      <c r="J1062" s="1" t="s">
        <v>24</v>
      </c>
      <c r="K1062" s="1">
        <f t="shared" si="1"/>
        <v>2022</v>
      </c>
      <c r="L1062" s="1" t="str">
        <f t="shared" si="2"/>
        <v>Dec</v>
      </c>
      <c r="M1062" s="1" t="str">
        <f t="shared" si="3"/>
        <v>Profit</v>
      </c>
    </row>
    <row r="1063" ht="14.25" customHeight="1">
      <c r="A1063" s="1" t="s">
        <v>1097</v>
      </c>
      <c r="B1063" s="2">
        <v>44761.0</v>
      </c>
      <c r="C1063" s="1" t="s">
        <v>20</v>
      </c>
      <c r="D1063" s="1" t="s">
        <v>15</v>
      </c>
      <c r="E1063" s="1" t="s">
        <v>16</v>
      </c>
      <c r="F1063" s="1">
        <v>696.62</v>
      </c>
      <c r="G1063" s="1">
        <v>43.4</v>
      </c>
      <c r="H1063" s="1">
        <v>3.0</v>
      </c>
      <c r="I1063" s="1" t="s">
        <v>34</v>
      </c>
      <c r="J1063" s="1" t="s">
        <v>38</v>
      </c>
      <c r="K1063" s="1">
        <f t="shared" si="1"/>
        <v>2022</v>
      </c>
      <c r="L1063" s="1" t="str">
        <f t="shared" si="2"/>
        <v>Jul</v>
      </c>
      <c r="M1063" s="1" t="str">
        <f t="shared" si="3"/>
        <v>Profit</v>
      </c>
    </row>
    <row r="1064" ht="14.25" customHeight="1">
      <c r="A1064" s="1" t="s">
        <v>1098</v>
      </c>
      <c r="B1064" s="2">
        <v>45059.0</v>
      </c>
      <c r="C1064" s="1" t="s">
        <v>20</v>
      </c>
      <c r="D1064" s="1" t="s">
        <v>21</v>
      </c>
      <c r="E1064" s="1" t="s">
        <v>76</v>
      </c>
      <c r="F1064" s="1">
        <v>513.8</v>
      </c>
      <c r="G1064" s="1">
        <v>251.57</v>
      </c>
      <c r="H1064" s="1">
        <v>9.0</v>
      </c>
      <c r="I1064" s="1" t="s">
        <v>17</v>
      </c>
      <c r="J1064" s="1" t="s">
        <v>24</v>
      </c>
      <c r="K1064" s="1">
        <f t="shared" si="1"/>
        <v>2023</v>
      </c>
      <c r="L1064" s="1" t="str">
        <f t="shared" si="2"/>
        <v>May</v>
      </c>
      <c r="M1064" s="1" t="str">
        <f t="shared" si="3"/>
        <v>Profit</v>
      </c>
    </row>
    <row r="1065" ht="14.25" customHeight="1">
      <c r="A1065" s="1" t="s">
        <v>1099</v>
      </c>
      <c r="B1065" s="2">
        <v>44463.0</v>
      </c>
      <c r="C1065" s="1" t="s">
        <v>14</v>
      </c>
      <c r="D1065" s="1" t="s">
        <v>21</v>
      </c>
      <c r="E1065" s="1" t="s">
        <v>76</v>
      </c>
      <c r="F1065" s="1">
        <v>337.76</v>
      </c>
      <c r="G1065" s="1">
        <v>-101.08</v>
      </c>
      <c r="H1065" s="1">
        <v>3.0</v>
      </c>
      <c r="I1065" s="1" t="s">
        <v>23</v>
      </c>
      <c r="J1065" s="1" t="s">
        <v>38</v>
      </c>
      <c r="K1065" s="1">
        <f t="shared" si="1"/>
        <v>2021</v>
      </c>
      <c r="L1065" s="1" t="str">
        <f t="shared" si="2"/>
        <v>Sep</v>
      </c>
      <c r="M1065" s="1" t="str">
        <f t="shared" si="3"/>
        <v>Loss</v>
      </c>
    </row>
    <row r="1066" ht="14.25" customHeight="1">
      <c r="A1066" s="1" t="s">
        <v>1100</v>
      </c>
      <c r="B1066" s="2">
        <v>44210.0</v>
      </c>
      <c r="C1066" s="1" t="s">
        <v>26</v>
      </c>
      <c r="D1066" s="1" t="s">
        <v>15</v>
      </c>
      <c r="E1066" s="1" t="s">
        <v>31</v>
      </c>
      <c r="F1066" s="1">
        <v>342.45</v>
      </c>
      <c r="G1066" s="1">
        <v>172.91</v>
      </c>
      <c r="H1066" s="1">
        <v>8.0</v>
      </c>
      <c r="I1066" s="1" t="s">
        <v>34</v>
      </c>
      <c r="J1066" s="1" t="s">
        <v>24</v>
      </c>
      <c r="K1066" s="1">
        <f t="shared" si="1"/>
        <v>2021</v>
      </c>
      <c r="L1066" s="1" t="str">
        <f t="shared" si="2"/>
        <v>Jan</v>
      </c>
      <c r="M1066" s="1" t="str">
        <f t="shared" si="3"/>
        <v>Profit</v>
      </c>
    </row>
    <row r="1067" ht="14.25" customHeight="1">
      <c r="A1067" s="1" t="s">
        <v>1101</v>
      </c>
      <c r="B1067" s="2">
        <v>44506.0</v>
      </c>
      <c r="C1067" s="1" t="s">
        <v>14</v>
      </c>
      <c r="D1067" s="1" t="s">
        <v>21</v>
      </c>
      <c r="E1067" s="1" t="s">
        <v>22</v>
      </c>
      <c r="F1067" s="1">
        <v>438.55</v>
      </c>
      <c r="G1067" s="1">
        <v>-40.17</v>
      </c>
      <c r="H1067" s="1">
        <v>10.0</v>
      </c>
      <c r="I1067" s="1" t="s">
        <v>17</v>
      </c>
      <c r="J1067" s="1" t="s">
        <v>35</v>
      </c>
      <c r="K1067" s="1">
        <f t="shared" si="1"/>
        <v>2021</v>
      </c>
      <c r="L1067" s="1" t="str">
        <f t="shared" si="2"/>
        <v>Nov</v>
      </c>
      <c r="M1067" s="1" t="str">
        <f t="shared" si="3"/>
        <v>Loss</v>
      </c>
    </row>
    <row r="1068" ht="14.25" customHeight="1">
      <c r="A1068" s="1" t="s">
        <v>1102</v>
      </c>
      <c r="B1068" s="2">
        <v>44893.0</v>
      </c>
      <c r="C1068" s="1" t="s">
        <v>30</v>
      </c>
      <c r="D1068" s="1" t="s">
        <v>27</v>
      </c>
      <c r="E1068" s="1" t="s">
        <v>28</v>
      </c>
      <c r="F1068" s="1">
        <v>999.29</v>
      </c>
      <c r="G1068" s="1">
        <v>191.02</v>
      </c>
      <c r="H1068" s="1">
        <v>7.0</v>
      </c>
      <c r="I1068" s="1" t="s">
        <v>23</v>
      </c>
      <c r="J1068" s="1" t="s">
        <v>18</v>
      </c>
      <c r="K1068" s="1">
        <f t="shared" si="1"/>
        <v>2022</v>
      </c>
      <c r="L1068" s="1" t="str">
        <f t="shared" si="2"/>
        <v>Nov</v>
      </c>
      <c r="M1068" s="1" t="str">
        <f t="shared" si="3"/>
        <v>Profit</v>
      </c>
    </row>
    <row r="1069" ht="14.25" customHeight="1">
      <c r="A1069" s="1" t="s">
        <v>1103</v>
      </c>
      <c r="B1069" s="2">
        <v>45053.0</v>
      </c>
      <c r="C1069" s="1" t="s">
        <v>20</v>
      </c>
      <c r="D1069" s="1" t="s">
        <v>27</v>
      </c>
      <c r="E1069" s="1" t="s">
        <v>28</v>
      </c>
      <c r="F1069" s="1">
        <v>249.41</v>
      </c>
      <c r="G1069" s="1">
        <v>240.93</v>
      </c>
      <c r="H1069" s="1">
        <v>9.0</v>
      </c>
      <c r="I1069" s="1" t="s">
        <v>23</v>
      </c>
      <c r="J1069" s="1" t="s">
        <v>35</v>
      </c>
      <c r="K1069" s="1">
        <f t="shared" si="1"/>
        <v>2023</v>
      </c>
      <c r="L1069" s="1" t="str">
        <f t="shared" si="2"/>
        <v>May</v>
      </c>
      <c r="M1069" s="1" t="str">
        <f t="shared" si="3"/>
        <v>Profit</v>
      </c>
    </row>
    <row r="1070" ht="14.25" customHeight="1">
      <c r="A1070" s="1" t="s">
        <v>1104</v>
      </c>
      <c r="B1070" s="2">
        <v>45194.0</v>
      </c>
      <c r="C1070" s="1" t="s">
        <v>14</v>
      </c>
      <c r="D1070" s="1" t="s">
        <v>21</v>
      </c>
      <c r="E1070" s="1" t="s">
        <v>22</v>
      </c>
      <c r="F1070" s="1">
        <v>430.45</v>
      </c>
      <c r="G1070" s="1">
        <v>-135.08</v>
      </c>
      <c r="H1070" s="1">
        <v>10.0</v>
      </c>
      <c r="I1070" s="1" t="s">
        <v>17</v>
      </c>
      <c r="J1070" s="1" t="s">
        <v>38</v>
      </c>
      <c r="K1070" s="1">
        <f t="shared" si="1"/>
        <v>2023</v>
      </c>
      <c r="L1070" s="1" t="str">
        <f t="shared" si="2"/>
        <v>Sep</v>
      </c>
      <c r="M1070" s="1" t="str">
        <f t="shared" si="3"/>
        <v>Loss</v>
      </c>
    </row>
    <row r="1071" ht="14.25" customHeight="1">
      <c r="A1071" s="1" t="s">
        <v>1105</v>
      </c>
      <c r="B1071" s="2">
        <v>44273.0</v>
      </c>
      <c r="C1071" s="1" t="s">
        <v>14</v>
      </c>
      <c r="D1071" s="1" t="s">
        <v>15</v>
      </c>
      <c r="E1071" s="1" t="s">
        <v>16</v>
      </c>
      <c r="F1071" s="1">
        <v>380.63</v>
      </c>
      <c r="G1071" s="1">
        <v>23.82</v>
      </c>
      <c r="H1071" s="1">
        <v>10.0</v>
      </c>
      <c r="I1071" s="1" t="s">
        <v>23</v>
      </c>
      <c r="J1071" s="1" t="s">
        <v>24</v>
      </c>
      <c r="K1071" s="1">
        <f t="shared" si="1"/>
        <v>2021</v>
      </c>
      <c r="L1071" s="1" t="str">
        <f t="shared" si="2"/>
        <v>Mar</v>
      </c>
      <c r="M1071" s="1" t="str">
        <f t="shared" si="3"/>
        <v>Profit</v>
      </c>
    </row>
    <row r="1072" ht="14.25" customHeight="1">
      <c r="A1072" s="1" t="s">
        <v>1106</v>
      </c>
      <c r="B1072" s="2">
        <v>44671.0</v>
      </c>
      <c r="C1072" s="1" t="s">
        <v>14</v>
      </c>
      <c r="D1072" s="1" t="s">
        <v>21</v>
      </c>
      <c r="E1072" s="1" t="s">
        <v>37</v>
      </c>
      <c r="F1072" s="1">
        <v>995.49</v>
      </c>
      <c r="G1072" s="1">
        <v>-135.13</v>
      </c>
      <c r="H1072" s="1">
        <v>3.0</v>
      </c>
      <c r="I1072" s="1" t="s">
        <v>23</v>
      </c>
      <c r="J1072" s="1" t="s">
        <v>24</v>
      </c>
      <c r="K1072" s="1">
        <f t="shared" si="1"/>
        <v>2022</v>
      </c>
      <c r="L1072" s="1" t="str">
        <f t="shared" si="2"/>
        <v>Apr</v>
      </c>
      <c r="M1072" s="1" t="str">
        <f t="shared" si="3"/>
        <v>Loss</v>
      </c>
    </row>
    <row r="1073" ht="14.25" customHeight="1">
      <c r="A1073" s="1" t="s">
        <v>1107</v>
      </c>
      <c r="B1073" s="2">
        <v>45205.0</v>
      </c>
      <c r="C1073" s="1" t="s">
        <v>14</v>
      </c>
      <c r="D1073" s="1" t="s">
        <v>27</v>
      </c>
      <c r="E1073" s="1" t="s">
        <v>33</v>
      </c>
      <c r="F1073" s="1">
        <v>354.92</v>
      </c>
      <c r="G1073" s="1">
        <v>-160.46</v>
      </c>
      <c r="H1073" s="1">
        <v>1.0</v>
      </c>
      <c r="I1073" s="1" t="s">
        <v>17</v>
      </c>
      <c r="J1073" s="1" t="s">
        <v>38</v>
      </c>
      <c r="K1073" s="1">
        <f t="shared" si="1"/>
        <v>2023</v>
      </c>
      <c r="L1073" s="1" t="str">
        <f t="shared" si="2"/>
        <v>Oct</v>
      </c>
      <c r="M1073" s="1" t="str">
        <f t="shared" si="3"/>
        <v>Loss</v>
      </c>
    </row>
    <row r="1074" ht="14.25" customHeight="1">
      <c r="A1074" s="1" t="s">
        <v>1108</v>
      </c>
      <c r="B1074" s="2">
        <v>45187.0</v>
      </c>
      <c r="C1074" s="1" t="s">
        <v>14</v>
      </c>
      <c r="D1074" s="1" t="s">
        <v>27</v>
      </c>
      <c r="E1074" s="1" t="s">
        <v>28</v>
      </c>
      <c r="F1074" s="1">
        <v>402.99</v>
      </c>
      <c r="G1074" s="1">
        <v>141.04</v>
      </c>
      <c r="H1074" s="1">
        <v>5.0</v>
      </c>
      <c r="I1074" s="1" t="s">
        <v>34</v>
      </c>
      <c r="J1074" s="1" t="s">
        <v>38</v>
      </c>
      <c r="K1074" s="1">
        <f t="shared" si="1"/>
        <v>2023</v>
      </c>
      <c r="L1074" s="1" t="str">
        <f t="shared" si="2"/>
        <v>Sep</v>
      </c>
      <c r="M1074" s="1" t="str">
        <f t="shared" si="3"/>
        <v>Profit</v>
      </c>
    </row>
    <row r="1075" ht="14.25" customHeight="1">
      <c r="A1075" s="1" t="s">
        <v>1109</v>
      </c>
      <c r="B1075" s="2">
        <v>45064.0</v>
      </c>
      <c r="C1075" s="1" t="s">
        <v>26</v>
      </c>
      <c r="D1075" s="1" t="s">
        <v>21</v>
      </c>
      <c r="E1075" s="1" t="s">
        <v>22</v>
      </c>
      <c r="F1075" s="1">
        <v>749.72</v>
      </c>
      <c r="G1075" s="1">
        <v>-64.25</v>
      </c>
      <c r="H1075" s="1">
        <v>1.0</v>
      </c>
      <c r="I1075" s="1" t="s">
        <v>23</v>
      </c>
      <c r="J1075" s="1" t="s">
        <v>35</v>
      </c>
      <c r="K1075" s="1">
        <f t="shared" si="1"/>
        <v>2023</v>
      </c>
      <c r="L1075" s="1" t="str">
        <f t="shared" si="2"/>
        <v>May</v>
      </c>
      <c r="M1075" s="1" t="str">
        <f t="shared" si="3"/>
        <v>Loss</v>
      </c>
    </row>
    <row r="1076" ht="14.25" customHeight="1">
      <c r="A1076" s="1" t="s">
        <v>1110</v>
      </c>
      <c r="B1076" s="2">
        <v>44845.0</v>
      </c>
      <c r="C1076" s="1" t="s">
        <v>20</v>
      </c>
      <c r="D1076" s="1" t="s">
        <v>15</v>
      </c>
      <c r="E1076" s="1" t="s">
        <v>16</v>
      </c>
      <c r="F1076" s="1">
        <v>781.75</v>
      </c>
      <c r="G1076" s="1">
        <v>-118.78</v>
      </c>
      <c r="H1076" s="1">
        <v>8.0</v>
      </c>
      <c r="I1076" s="1" t="s">
        <v>34</v>
      </c>
      <c r="J1076" s="1" t="s">
        <v>18</v>
      </c>
      <c r="K1076" s="1">
        <f t="shared" si="1"/>
        <v>2022</v>
      </c>
      <c r="L1076" s="1" t="str">
        <f t="shared" si="2"/>
        <v>Oct</v>
      </c>
      <c r="M1076" s="1" t="str">
        <f t="shared" si="3"/>
        <v>Loss</v>
      </c>
    </row>
    <row r="1077" ht="14.25" customHeight="1">
      <c r="A1077" s="1" t="s">
        <v>1111</v>
      </c>
      <c r="B1077" s="2">
        <v>44701.0</v>
      </c>
      <c r="C1077" s="1" t="s">
        <v>26</v>
      </c>
      <c r="D1077" s="1" t="s">
        <v>21</v>
      </c>
      <c r="E1077" s="1" t="s">
        <v>37</v>
      </c>
      <c r="F1077" s="1">
        <v>664.69</v>
      </c>
      <c r="G1077" s="1">
        <v>-2.52</v>
      </c>
      <c r="H1077" s="1">
        <v>4.0</v>
      </c>
      <c r="I1077" s="1" t="s">
        <v>17</v>
      </c>
      <c r="J1077" s="1" t="s">
        <v>38</v>
      </c>
      <c r="K1077" s="1">
        <f t="shared" si="1"/>
        <v>2022</v>
      </c>
      <c r="L1077" s="1" t="str">
        <f t="shared" si="2"/>
        <v>May</v>
      </c>
      <c r="M1077" s="1" t="str">
        <f t="shared" si="3"/>
        <v>Loss</v>
      </c>
    </row>
    <row r="1078" ht="14.25" customHeight="1">
      <c r="A1078" s="1" t="s">
        <v>1112</v>
      </c>
      <c r="B1078" s="2">
        <v>44465.0</v>
      </c>
      <c r="C1078" s="1" t="s">
        <v>30</v>
      </c>
      <c r="D1078" s="1" t="s">
        <v>21</v>
      </c>
      <c r="E1078" s="1" t="s">
        <v>37</v>
      </c>
      <c r="F1078" s="1">
        <v>75.56</v>
      </c>
      <c r="G1078" s="1">
        <v>80.44</v>
      </c>
      <c r="H1078" s="1">
        <v>8.0</v>
      </c>
      <c r="I1078" s="1" t="s">
        <v>17</v>
      </c>
      <c r="J1078" s="1" t="s">
        <v>35</v>
      </c>
      <c r="K1078" s="1">
        <f t="shared" si="1"/>
        <v>2021</v>
      </c>
      <c r="L1078" s="1" t="str">
        <f t="shared" si="2"/>
        <v>Sep</v>
      </c>
      <c r="M1078" s="1" t="str">
        <f t="shared" si="3"/>
        <v>Profit</v>
      </c>
    </row>
    <row r="1079" ht="14.25" customHeight="1">
      <c r="A1079" s="1" t="s">
        <v>1113</v>
      </c>
      <c r="B1079" s="2">
        <v>44365.0</v>
      </c>
      <c r="C1079" s="1" t="s">
        <v>20</v>
      </c>
      <c r="D1079" s="1" t="s">
        <v>27</v>
      </c>
      <c r="E1079" s="1" t="s">
        <v>33</v>
      </c>
      <c r="F1079" s="1">
        <v>422.85</v>
      </c>
      <c r="G1079" s="1">
        <v>98.08</v>
      </c>
      <c r="H1079" s="1">
        <v>2.0</v>
      </c>
      <c r="I1079" s="1" t="s">
        <v>23</v>
      </c>
      <c r="J1079" s="1" t="s">
        <v>24</v>
      </c>
      <c r="K1079" s="1">
        <f t="shared" si="1"/>
        <v>2021</v>
      </c>
      <c r="L1079" s="1" t="str">
        <f t="shared" si="2"/>
        <v>Jun</v>
      </c>
      <c r="M1079" s="1" t="str">
        <f t="shared" si="3"/>
        <v>Profit</v>
      </c>
    </row>
    <row r="1080" ht="14.25" customHeight="1">
      <c r="A1080" s="1" t="s">
        <v>1114</v>
      </c>
      <c r="B1080" s="2">
        <v>44839.0</v>
      </c>
      <c r="C1080" s="1" t="s">
        <v>20</v>
      </c>
      <c r="D1080" s="1" t="s">
        <v>27</v>
      </c>
      <c r="E1080" s="1" t="s">
        <v>40</v>
      </c>
      <c r="F1080" s="1">
        <v>360.22</v>
      </c>
      <c r="G1080" s="1">
        <v>163.18</v>
      </c>
      <c r="H1080" s="1">
        <v>5.0</v>
      </c>
      <c r="I1080" s="1" t="s">
        <v>17</v>
      </c>
      <c r="J1080" s="1" t="s">
        <v>24</v>
      </c>
      <c r="K1080" s="1">
        <f t="shared" si="1"/>
        <v>2022</v>
      </c>
      <c r="L1080" s="1" t="str">
        <f t="shared" si="2"/>
        <v>Oct</v>
      </c>
      <c r="M1080" s="1" t="str">
        <f t="shared" si="3"/>
        <v>Profit</v>
      </c>
    </row>
    <row r="1081" ht="14.25" customHeight="1">
      <c r="A1081" s="1" t="s">
        <v>1115</v>
      </c>
      <c r="B1081" s="2">
        <v>45186.0</v>
      </c>
      <c r="C1081" s="1" t="s">
        <v>14</v>
      </c>
      <c r="D1081" s="1" t="s">
        <v>15</v>
      </c>
      <c r="E1081" s="1" t="s">
        <v>54</v>
      </c>
      <c r="F1081" s="1">
        <v>165.75</v>
      </c>
      <c r="G1081" s="1">
        <v>49.52</v>
      </c>
      <c r="H1081" s="1">
        <v>9.0</v>
      </c>
      <c r="I1081" s="1" t="s">
        <v>23</v>
      </c>
      <c r="J1081" s="1" t="s">
        <v>24</v>
      </c>
      <c r="K1081" s="1">
        <f t="shared" si="1"/>
        <v>2023</v>
      </c>
      <c r="L1081" s="1" t="str">
        <f t="shared" si="2"/>
        <v>Sep</v>
      </c>
      <c r="M1081" s="1" t="str">
        <f t="shared" si="3"/>
        <v>Profit</v>
      </c>
    </row>
    <row r="1082" ht="14.25" customHeight="1">
      <c r="A1082" s="1" t="s">
        <v>1116</v>
      </c>
      <c r="B1082" s="2">
        <v>44488.0</v>
      </c>
      <c r="C1082" s="1" t="s">
        <v>14</v>
      </c>
      <c r="D1082" s="1" t="s">
        <v>15</v>
      </c>
      <c r="E1082" s="1" t="s">
        <v>31</v>
      </c>
      <c r="F1082" s="1">
        <v>674.36</v>
      </c>
      <c r="G1082" s="1">
        <v>12.95</v>
      </c>
      <c r="H1082" s="1">
        <v>4.0</v>
      </c>
      <c r="I1082" s="1" t="s">
        <v>23</v>
      </c>
      <c r="J1082" s="1" t="s">
        <v>18</v>
      </c>
      <c r="K1082" s="1">
        <f t="shared" si="1"/>
        <v>2021</v>
      </c>
      <c r="L1082" s="1" t="str">
        <f t="shared" si="2"/>
        <v>Oct</v>
      </c>
      <c r="M1082" s="1" t="str">
        <f t="shared" si="3"/>
        <v>Profit</v>
      </c>
    </row>
    <row r="1083" ht="14.25" customHeight="1">
      <c r="A1083" s="1" t="s">
        <v>1117</v>
      </c>
      <c r="B1083" s="2">
        <v>44250.0</v>
      </c>
      <c r="C1083" s="1" t="s">
        <v>20</v>
      </c>
      <c r="D1083" s="1" t="s">
        <v>21</v>
      </c>
      <c r="E1083" s="1" t="s">
        <v>37</v>
      </c>
      <c r="F1083" s="1">
        <v>606.91</v>
      </c>
      <c r="G1083" s="1">
        <v>206.32</v>
      </c>
      <c r="H1083" s="1">
        <v>7.0</v>
      </c>
      <c r="I1083" s="1" t="s">
        <v>17</v>
      </c>
      <c r="J1083" s="1" t="s">
        <v>24</v>
      </c>
      <c r="K1083" s="1">
        <f t="shared" si="1"/>
        <v>2021</v>
      </c>
      <c r="L1083" s="1" t="str">
        <f t="shared" si="2"/>
        <v>Feb</v>
      </c>
      <c r="M1083" s="1" t="str">
        <f t="shared" si="3"/>
        <v>Profit</v>
      </c>
    </row>
    <row r="1084" ht="14.25" customHeight="1">
      <c r="A1084" s="1" t="s">
        <v>1118</v>
      </c>
      <c r="B1084" s="2">
        <v>44448.0</v>
      </c>
      <c r="C1084" s="1" t="s">
        <v>26</v>
      </c>
      <c r="D1084" s="1" t="s">
        <v>15</v>
      </c>
      <c r="E1084" s="1" t="s">
        <v>31</v>
      </c>
      <c r="F1084" s="1">
        <v>758.11</v>
      </c>
      <c r="G1084" s="1">
        <v>18.69</v>
      </c>
      <c r="H1084" s="1">
        <v>9.0</v>
      </c>
      <c r="I1084" s="1" t="s">
        <v>34</v>
      </c>
      <c r="J1084" s="1" t="s">
        <v>35</v>
      </c>
      <c r="K1084" s="1">
        <f t="shared" si="1"/>
        <v>2021</v>
      </c>
      <c r="L1084" s="1" t="str">
        <f t="shared" si="2"/>
        <v>Sep</v>
      </c>
      <c r="M1084" s="1" t="str">
        <f t="shared" si="3"/>
        <v>Profit</v>
      </c>
    </row>
    <row r="1085" ht="14.25" customHeight="1">
      <c r="A1085" s="1" t="s">
        <v>1119</v>
      </c>
      <c r="B1085" s="2">
        <v>44370.0</v>
      </c>
      <c r="C1085" s="1" t="s">
        <v>14</v>
      </c>
      <c r="D1085" s="1" t="s">
        <v>15</v>
      </c>
      <c r="E1085" s="1" t="s">
        <v>54</v>
      </c>
      <c r="F1085" s="1">
        <v>459.76</v>
      </c>
      <c r="G1085" s="1">
        <v>-158.56</v>
      </c>
      <c r="H1085" s="1">
        <v>2.0</v>
      </c>
      <c r="I1085" s="1" t="s">
        <v>34</v>
      </c>
      <c r="J1085" s="1" t="s">
        <v>38</v>
      </c>
      <c r="K1085" s="1">
        <f t="shared" si="1"/>
        <v>2021</v>
      </c>
      <c r="L1085" s="1" t="str">
        <f t="shared" si="2"/>
        <v>Jun</v>
      </c>
      <c r="M1085" s="1" t="str">
        <f t="shared" si="3"/>
        <v>Loss</v>
      </c>
    </row>
    <row r="1086" ht="14.25" customHeight="1">
      <c r="A1086" s="1" t="s">
        <v>1120</v>
      </c>
      <c r="B1086" s="2">
        <v>44843.0</v>
      </c>
      <c r="C1086" s="1" t="s">
        <v>14</v>
      </c>
      <c r="D1086" s="1" t="s">
        <v>21</v>
      </c>
      <c r="E1086" s="1" t="s">
        <v>37</v>
      </c>
      <c r="F1086" s="1">
        <v>317.03</v>
      </c>
      <c r="G1086" s="1">
        <v>-141.21</v>
      </c>
      <c r="H1086" s="1">
        <v>2.0</v>
      </c>
      <c r="I1086" s="1" t="s">
        <v>34</v>
      </c>
      <c r="J1086" s="1" t="s">
        <v>24</v>
      </c>
      <c r="K1086" s="1">
        <f t="shared" si="1"/>
        <v>2022</v>
      </c>
      <c r="L1086" s="1" t="str">
        <f t="shared" si="2"/>
        <v>Oct</v>
      </c>
      <c r="M1086" s="1" t="str">
        <f t="shared" si="3"/>
        <v>Loss</v>
      </c>
    </row>
    <row r="1087" ht="14.25" customHeight="1">
      <c r="A1087" s="1" t="s">
        <v>1121</v>
      </c>
      <c r="B1087" s="2">
        <v>44770.0</v>
      </c>
      <c r="C1087" s="1" t="s">
        <v>20</v>
      </c>
      <c r="D1087" s="1" t="s">
        <v>21</v>
      </c>
      <c r="E1087" s="1" t="s">
        <v>37</v>
      </c>
      <c r="F1087" s="1">
        <v>245.46</v>
      </c>
      <c r="G1087" s="1">
        <v>-53.75</v>
      </c>
      <c r="H1087" s="1">
        <v>6.0</v>
      </c>
      <c r="I1087" s="1" t="s">
        <v>34</v>
      </c>
      <c r="J1087" s="1" t="s">
        <v>35</v>
      </c>
      <c r="K1087" s="1">
        <f t="shared" si="1"/>
        <v>2022</v>
      </c>
      <c r="L1087" s="1" t="str">
        <f t="shared" si="2"/>
        <v>Jul</v>
      </c>
      <c r="M1087" s="1" t="str">
        <f t="shared" si="3"/>
        <v>Loss</v>
      </c>
    </row>
    <row r="1088" ht="14.25" customHeight="1">
      <c r="A1088" s="1" t="s">
        <v>1122</v>
      </c>
      <c r="B1088" s="2">
        <v>44420.0</v>
      </c>
      <c r="C1088" s="1" t="s">
        <v>14</v>
      </c>
      <c r="D1088" s="1" t="s">
        <v>15</v>
      </c>
      <c r="E1088" s="1" t="s">
        <v>31</v>
      </c>
      <c r="F1088" s="1">
        <v>183.63</v>
      </c>
      <c r="G1088" s="1">
        <v>-178.52</v>
      </c>
      <c r="H1088" s="1">
        <v>7.0</v>
      </c>
      <c r="I1088" s="1" t="s">
        <v>23</v>
      </c>
      <c r="J1088" s="1" t="s">
        <v>18</v>
      </c>
      <c r="K1088" s="1">
        <f t="shared" si="1"/>
        <v>2021</v>
      </c>
      <c r="L1088" s="1" t="str">
        <f t="shared" si="2"/>
        <v>Aug</v>
      </c>
      <c r="M1088" s="1" t="str">
        <f t="shared" si="3"/>
        <v>Loss</v>
      </c>
    </row>
    <row r="1089" ht="14.25" customHeight="1">
      <c r="A1089" s="1" t="s">
        <v>1123</v>
      </c>
      <c r="B1089" s="2">
        <v>44249.0</v>
      </c>
      <c r="C1089" s="1" t="s">
        <v>20</v>
      </c>
      <c r="D1089" s="1" t="s">
        <v>15</v>
      </c>
      <c r="E1089" s="1" t="s">
        <v>16</v>
      </c>
      <c r="F1089" s="1">
        <v>429.59</v>
      </c>
      <c r="G1089" s="1">
        <v>-57.89</v>
      </c>
      <c r="H1089" s="1">
        <v>6.0</v>
      </c>
      <c r="I1089" s="1" t="s">
        <v>23</v>
      </c>
      <c r="J1089" s="1" t="s">
        <v>35</v>
      </c>
      <c r="K1089" s="1">
        <f t="shared" si="1"/>
        <v>2021</v>
      </c>
      <c r="L1089" s="1" t="str">
        <f t="shared" si="2"/>
        <v>Feb</v>
      </c>
      <c r="M1089" s="1" t="str">
        <f t="shared" si="3"/>
        <v>Loss</v>
      </c>
    </row>
    <row r="1090" ht="14.25" customHeight="1">
      <c r="A1090" s="1" t="s">
        <v>1124</v>
      </c>
      <c r="B1090" s="2">
        <v>44608.0</v>
      </c>
      <c r="C1090" s="1" t="s">
        <v>20</v>
      </c>
      <c r="D1090" s="1" t="s">
        <v>15</v>
      </c>
      <c r="E1090" s="1" t="s">
        <v>16</v>
      </c>
      <c r="F1090" s="1">
        <v>838.08</v>
      </c>
      <c r="G1090" s="1">
        <v>85.52</v>
      </c>
      <c r="H1090" s="1">
        <v>1.0</v>
      </c>
      <c r="I1090" s="1" t="s">
        <v>23</v>
      </c>
      <c r="J1090" s="1" t="s">
        <v>24</v>
      </c>
      <c r="K1090" s="1">
        <f t="shared" si="1"/>
        <v>2022</v>
      </c>
      <c r="L1090" s="1" t="str">
        <f t="shared" si="2"/>
        <v>Feb</v>
      </c>
      <c r="M1090" s="1" t="str">
        <f t="shared" si="3"/>
        <v>Profit</v>
      </c>
    </row>
    <row r="1091" ht="14.25" customHeight="1">
      <c r="A1091" s="1" t="s">
        <v>1125</v>
      </c>
      <c r="B1091" s="2">
        <v>45236.0</v>
      </c>
      <c r="C1091" s="1" t="s">
        <v>14</v>
      </c>
      <c r="D1091" s="1" t="s">
        <v>27</v>
      </c>
      <c r="E1091" s="1" t="s">
        <v>28</v>
      </c>
      <c r="F1091" s="1">
        <v>933.61</v>
      </c>
      <c r="G1091" s="1">
        <v>106.94</v>
      </c>
      <c r="H1091" s="1">
        <v>7.0</v>
      </c>
      <c r="I1091" s="1" t="s">
        <v>17</v>
      </c>
      <c r="J1091" s="1" t="s">
        <v>18</v>
      </c>
      <c r="K1091" s="1">
        <f t="shared" si="1"/>
        <v>2023</v>
      </c>
      <c r="L1091" s="1" t="str">
        <f t="shared" si="2"/>
        <v>Nov</v>
      </c>
      <c r="M1091" s="1" t="str">
        <f t="shared" si="3"/>
        <v>Profit</v>
      </c>
    </row>
    <row r="1092" ht="14.25" customHeight="1">
      <c r="A1092" s="1" t="s">
        <v>1126</v>
      </c>
      <c r="B1092" s="2">
        <v>44427.0</v>
      </c>
      <c r="C1092" s="1" t="s">
        <v>26</v>
      </c>
      <c r="D1092" s="1" t="s">
        <v>27</v>
      </c>
      <c r="E1092" s="1" t="s">
        <v>28</v>
      </c>
      <c r="F1092" s="1">
        <v>154.1</v>
      </c>
      <c r="G1092" s="1">
        <v>-149.05</v>
      </c>
      <c r="H1092" s="1">
        <v>2.0</v>
      </c>
      <c r="I1092" s="1" t="s">
        <v>34</v>
      </c>
      <c r="J1092" s="1" t="s">
        <v>38</v>
      </c>
      <c r="K1092" s="1">
        <f t="shared" si="1"/>
        <v>2021</v>
      </c>
      <c r="L1092" s="1" t="str">
        <f t="shared" si="2"/>
        <v>Aug</v>
      </c>
      <c r="M1092" s="1" t="str">
        <f t="shared" si="3"/>
        <v>Loss</v>
      </c>
    </row>
    <row r="1093" ht="14.25" customHeight="1">
      <c r="A1093" s="1" t="s">
        <v>1127</v>
      </c>
      <c r="B1093" s="2">
        <v>44358.0</v>
      </c>
      <c r="C1093" s="1" t="s">
        <v>30</v>
      </c>
      <c r="D1093" s="1" t="s">
        <v>27</v>
      </c>
      <c r="E1093" s="1" t="s">
        <v>33</v>
      </c>
      <c r="F1093" s="1">
        <v>267.26</v>
      </c>
      <c r="G1093" s="1">
        <v>96.86</v>
      </c>
      <c r="H1093" s="1">
        <v>10.0</v>
      </c>
      <c r="I1093" s="1" t="s">
        <v>23</v>
      </c>
      <c r="J1093" s="1" t="s">
        <v>24</v>
      </c>
      <c r="K1093" s="1">
        <f t="shared" si="1"/>
        <v>2021</v>
      </c>
      <c r="L1093" s="1" t="str">
        <f t="shared" si="2"/>
        <v>Jun</v>
      </c>
      <c r="M1093" s="1" t="str">
        <f t="shared" si="3"/>
        <v>Profit</v>
      </c>
    </row>
    <row r="1094" ht="14.25" customHeight="1">
      <c r="A1094" s="1" t="s">
        <v>1128</v>
      </c>
      <c r="B1094" s="2">
        <v>44343.0</v>
      </c>
      <c r="C1094" s="1" t="s">
        <v>30</v>
      </c>
      <c r="D1094" s="1" t="s">
        <v>27</v>
      </c>
      <c r="E1094" s="1" t="s">
        <v>28</v>
      </c>
      <c r="F1094" s="1">
        <v>293.57</v>
      </c>
      <c r="G1094" s="1">
        <v>-99.05</v>
      </c>
      <c r="H1094" s="1">
        <v>1.0</v>
      </c>
      <c r="I1094" s="1" t="s">
        <v>23</v>
      </c>
      <c r="J1094" s="1" t="s">
        <v>38</v>
      </c>
      <c r="K1094" s="1">
        <f t="shared" si="1"/>
        <v>2021</v>
      </c>
      <c r="L1094" s="1" t="str">
        <f t="shared" si="2"/>
        <v>May</v>
      </c>
      <c r="M1094" s="1" t="str">
        <f t="shared" si="3"/>
        <v>Loss</v>
      </c>
    </row>
    <row r="1095" ht="14.25" customHeight="1">
      <c r="A1095" s="1" t="s">
        <v>1129</v>
      </c>
      <c r="B1095" s="2">
        <v>44475.0</v>
      </c>
      <c r="C1095" s="1" t="s">
        <v>30</v>
      </c>
      <c r="D1095" s="1" t="s">
        <v>27</v>
      </c>
      <c r="E1095" s="1" t="s">
        <v>33</v>
      </c>
      <c r="F1095" s="1">
        <v>736.6</v>
      </c>
      <c r="G1095" s="1">
        <v>47.98</v>
      </c>
      <c r="H1095" s="1">
        <v>2.0</v>
      </c>
      <c r="I1095" s="1" t="s">
        <v>17</v>
      </c>
      <c r="J1095" s="1" t="s">
        <v>18</v>
      </c>
      <c r="K1095" s="1">
        <f t="shared" si="1"/>
        <v>2021</v>
      </c>
      <c r="L1095" s="1" t="str">
        <f t="shared" si="2"/>
        <v>Oct</v>
      </c>
      <c r="M1095" s="1" t="str">
        <f t="shared" si="3"/>
        <v>Profit</v>
      </c>
    </row>
    <row r="1096" ht="14.25" customHeight="1">
      <c r="A1096" s="1" t="s">
        <v>1130</v>
      </c>
      <c r="B1096" s="2">
        <v>44461.0</v>
      </c>
      <c r="C1096" s="1" t="s">
        <v>26</v>
      </c>
      <c r="D1096" s="1" t="s">
        <v>21</v>
      </c>
      <c r="E1096" s="1" t="s">
        <v>22</v>
      </c>
      <c r="F1096" s="1">
        <v>735.51</v>
      </c>
      <c r="G1096" s="1">
        <v>-140.44</v>
      </c>
      <c r="H1096" s="1">
        <v>3.0</v>
      </c>
      <c r="I1096" s="1" t="s">
        <v>34</v>
      </c>
      <c r="J1096" s="1" t="s">
        <v>38</v>
      </c>
      <c r="K1096" s="1">
        <f t="shared" si="1"/>
        <v>2021</v>
      </c>
      <c r="L1096" s="1" t="str">
        <f t="shared" si="2"/>
        <v>Sep</v>
      </c>
      <c r="M1096" s="1" t="str">
        <f t="shared" si="3"/>
        <v>Loss</v>
      </c>
    </row>
    <row r="1097" ht="14.25" customHeight="1">
      <c r="A1097" s="1" t="s">
        <v>1131</v>
      </c>
      <c r="B1097" s="2">
        <v>45150.0</v>
      </c>
      <c r="C1097" s="1" t="s">
        <v>20</v>
      </c>
      <c r="D1097" s="1" t="s">
        <v>15</v>
      </c>
      <c r="E1097" s="1" t="s">
        <v>16</v>
      </c>
      <c r="F1097" s="1">
        <v>884.15</v>
      </c>
      <c r="G1097" s="1">
        <v>298.65</v>
      </c>
      <c r="H1097" s="1">
        <v>6.0</v>
      </c>
      <c r="I1097" s="1" t="s">
        <v>17</v>
      </c>
      <c r="J1097" s="1" t="s">
        <v>35</v>
      </c>
      <c r="K1097" s="1">
        <f t="shared" si="1"/>
        <v>2023</v>
      </c>
      <c r="L1097" s="1" t="str">
        <f t="shared" si="2"/>
        <v>Aug</v>
      </c>
      <c r="M1097" s="1" t="str">
        <f t="shared" si="3"/>
        <v>Profit</v>
      </c>
    </row>
    <row r="1098" ht="14.25" customHeight="1">
      <c r="A1098" s="1" t="s">
        <v>1132</v>
      </c>
      <c r="B1098" s="2">
        <v>45189.0</v>
      </c>
      <c r="C1098" s="1" t="s">
        <v>20</v>
      </c>
      <c r="D1098" s="1" t="s">
        <v>27</v>
      </c>
      <c r="E1098" s="1" t="s">
        <v>33</v>
      </c>
      <c r="F1098" s="1">
        <v>809.32</v>
      </c>
      <c r="G1098" s="1">
        <v>273.9</v>
      </c>
      <c r="H1098" s="1">
        <v>3.0</v>
      </c>
      <c r="I1098" s="1" t="s">
        <v>34</v>
      </c>
      <c r="J1098" s="1" t="s">
        <v>38</v>
      </c>
      <c r="K1098" s="1">
        <f t="shared" si="1"/>
        <v>2023</v>
      </c>
      <c r="L1098" s="1" t="str">
        <f t="shared" si="2"/>
        <v>Sep</v>
      </c>
      <c r="M1098" s="1" t="str">
        <f t="shared" si="3"/>
        <v>Profit</v>
      </c>
    </row>
    <row r="1099" ht="14.25" customHeight="1">
      <c r="A1099" s="1" t="s">
        <v>1133</v>
      </c>
      <c r="B1099" s="2">
        <v>44704.0</v>
      </c>
      <c r="C1099" s="1" t="s">
        <v>20</v>
      </c>
      <c r="D1099" s="1" t="s">
        <v>21</v>
      </c>
      <c r="E1099" s="1" t="s">
        <v>37</v>
      </c>
      <c r="F1099" s="1">
        <v>234.92</v>
      </c>
      <c r="G1099" s="1">
        <v>214.71</v>
      </c>
      <c r="H1099" s="1">
        <v>6.0</v>
      </c>
      <c r="I1099" s="1" t="s">
        <v>23</v>
      </c>
      <c r="J1099" s="1" t="s">
        <v>38</v>
      </c>
      <c r="K1099" s="1">
        <f t="shared" si="1"/>
        <v>2022</v>
      </c>
      <c r="L1099" s="1" t="str">
        <f t="shared" si="2"/>
        <v>May</v>
      </c>
      <c r="M1099" s="1" t="str">
        <f t="shared" si="3"/>
        <v>Profit</v>
      </c>
    </row>
    <row r="1100" ht="14.25" customHeight="1">
      <c r="A1100" s="1" t="s">
        <v>1134</v>
      </c>
      <c r="B1100" s="2">
        <v>45113.0</v>
      </c>
      <c r="C1100" s="1" t="s">
        <v>30</v>
      </c>
      <c r="D1100" s="1" t="s">
        <v>27</v>
      </c>
      <c r="E1100" s="1" t="s">
        <v>40</v>
      </c>
      <c r="F1100" s="1">
        <v>56.62</v>
      </c>
      <c r="G1100" s="1">
        <v>119.08</v>
      </c>
      <c r="H1100" s="1">
        <v>4.0</v>
      </c>
      <c r="I1100" s="1" t="s">
        <v>23</v>
      </c>
      <c r="J1100" s="1" t="s">
        <v>38</v>
      </c>
      <c r="K1100" s="1">
        <f t="shared" si="1"/>
        <v>2023</v>
      </c>
      <c r="L1100" s="1" t="str">
        <f t="shared" si="2"/>
        <v>Jul</v>
      </c>
      <c r="M1100" s="1" t="str">
        <f t="shared" si="3"/>
        <v>Profit</v>
      </c>
    </row>
    <row r="1101" ht="14.25" customHeight="1">
      <c r="A1101" s="1" t="s">
        <v>1135</v>
      </c>
      <c r="B1101" s="2">
        <v>44965.0</v>
      </c>
      <c r="C1101" s="1" t="s">
        <v>14</v>
      </c>
      <c r="D1101" s="1" t="s">
        <v>21</v>
      </c>
      <c r="E1101" s="1" t="s">
        <v>22</v>
      </c>
      <c r="F1101" s="1">
        <v>160.91</v>
      </c>
      <c r="G1101" s="1">
        <v>-161.63</v>
      </c>
      <c r="H1101" s="1">
        <v>10.0</v>
      </c>
      <c r="I1101" s="1" t="s">
        <v>23</v>
      </c>
      <c r="J1101" s="1" t="s">
        <v>18</v>
      </c>
      <c r="K1101" s="1">
        <f t="shared" si="1"/>
        <v>2023</v>
      </c>
      <c r="L1101" s="1" t="str">
        <f t="shared" si="2"/>
        <v>Feb</v>
      </c>
      <c r="M1101" s="1" t="str">
        <f t="shared" si="3"/>
        <v>Loss</v>
      </c>
    </row>
    <row r="1102" ht="14.25" customHeight="1">
      <c r="A1102" s="1" t="s">
        <v>1136</v>
      </c>
      <c r="B1102" s="2">
        <v>45119.0</v>
      </c>
      <c r="C1102" s="1" t="s">
        <v>26</v>
      </c>
      <c r="D1102" s="1" t="s">
        <v>15</v>
      </c>
      <c r="E1102" s="1" t="s">
        <v>31</v>
      </c>
      <c r="F1102" s="1">
        <v>703.72</v>
      </c>
      <c r="G1102" s="1">
        <v>-190.77</v>
      </c>
      <c r="H1102" s="1">
        <v>9.0</v>
      </c>
      <c r="I1102" s="1" t="s">
        <v>17</v>
      </c>
      <c r="J1102" s="1" t="s">
        <v>38</v>
      </c>
      <c r="K1102" s="1">
        <f t="shared" si="1"/>
        <v>2023</v>
      </c>
      <c r="L1102" s="1" t="str">
        <f t="shared" si="2"/>
        <v>Jul</v>
      </c>
      <c r="M1102" s="1" t="str">
        <f t="shared" si="3"/>
        <v>Loss</v>
      </c>
    </row>
    <row r="1103" ht="14.25" customHeight="1">
      <c r="A1103" s="1" t="s">
        <v>1137</v>
      </c>
      <c r="B1103" s="2">
        <v>44704.0</v>
      </c>
      <c r="C1103" s="1" t="s">
        <v>26</v>
      </c>
      <c r="D1103" s="1" t="s">
        <v>27</v>
      </c>
      <c r="E1103" s="1" t="s">
        <v>33</v>
      </c>
      <c r="F1103" s="1">
        <v>111.78</v>
      </c>
      <c r="G1103" s="1">
        <v>275.33</v>
      </c>
      <c r="H1103" s="1">
        <v>1.0</v>
      </c>
      <c r="I1103" s="1" t="s">
        <v>17</v>
      </c>
      <c r="J1103" s="1" t="s">
        <v>24</v>
      </c>
      <c r="K1103" s="1">
        <f t="shared" si="1"/>
        <v>2022</v>
      </c>
      <c r="L1103" s="1" t="str">
        <f t="shared" si="2"/>
        <v>May</v>
      </c>
      <c r="M1103" s="1" t="str">
        <f t="shared" si="3"/>
        <v>Profit</v>
      </c>
    </row>
    <row r="1104" ht="14.25" customHeight="1">
      <c r="A1104" s="1" t="s">
        <v>1138</v>
      </c>
      <c r="B1104" s="2">
        <v>44317.0</v>
      </c>
      <c r="C1104" s="1" t="s">
        <v>30</v>
      </c>
      <c r="D1104" s="1" t="s">
        <v>27</v>
      </c>
      <c r="E1104" s="1" t="s">
        <v>40</v>
      </c>
      <c r="F1104" s="1">
        <v>512.13</v>
      </c>
      <c r="G1104" s="1">
        <v>-74.01</v>
      </c>
      <c r="H1104" s="1">
        <v>4.0</v>
      </c>
      <c r="I1104" s="1" t="s">
        <v>34</v>
      </c>
      <c r="J1104" s="1" t="s">
        <v>18</v>
      </c>
      <c r="K1104" s="1">
        <f t="shared" si="1"/>
        <v>2021</v>
      </c>
      <c r="L1104" s="1" t="str">
        <f t="shared" si="2"/>
        <v>May</v>
      </c>
      <c r="M1104" s="1" t="str">
        <f t="shared" si="3"/>
        <v>Loss</v>
      </c>
    </row>
    <row r="1105" ht="14.25" customHeight="1">
      <c r="A1105" s="1" t="s">
        <v>1139</v>
      </c>
      <c r="B1105" s="2">
        <v>44912.0</v>
      </c>
      <c r="C1105" s="1" t="s">
        <v>30</v>
      </c>
      <c r="D1105" s="1" t="s">
        <v>21</v>
      </c>
      <c r="E1105" s="1" t="s">
        <v>76</v>
      </c>
      <c r="F1105" s="1">
        <v>993.37</v>
      </c>
      <c r="G1105" s="1">
        <v>-191.99</v>
      </c>
      <c r="H1105" s="1">
        <v>10.0</v>
      </c>
      <c r="I1105" s="1" t="s">
        <v>17</v>
      </c>
      <c r="J1105" s="1" t="s">
        <v>18</v>
      </c>
      <c r="K1105" s="1">
        <f t="shared" si="1"/>
        <v>2022</v>
      </c>
      <c r="L1105" s="1" t="str">
        <f t="shared" si="2"/>
        <v>Dec</v>
      </c>
      <c r="M1105" s="1" t="str">
        <f t="shared" si="3"/>
        <v>Loss</v>
      </c>
    </row>
    <row r="1106" ht="14.25" customHeight="1">
      <c r="A1106" s="1" t="s">
        <v>1140</v>
      </c>
      <c r="B1106" s="2">
        <v>44741.0</v>
      </c>
      <c r="C1106" s="1" t="s">
        <v>20</v>
      </c>
      <c r="D1106" s="1" t="s">
        <v>21</v>
      </c>
      <c r="E1106" s="1" t="s">
        <v>37</v>
      </c>
      <c r="F1106" s="1">
        <v>886.06</v>
      </c>
      <c r="G1106" s="1">
        <v>-154.93</v>
      </c>
      <c r="H1106" s="1">
        <v>10.0</v>
      </c>
      <c r="I1106" s="1" t="s">
        <v>23</v>
      </c>
      <c r="J1106" s="1" t="s">
        <v>18</v>
      </c>
      <c r="K1106" s="1">
        <f t="shared" si="1"/>
        <v>2022</v>
      </c>
      <c r="L1106" s="1" t="str">
        <f t="shared" si="2"/>
        <v>Jun</v>
      </c>
      <c r="M1106" s="1" t="str">
        <f t="shared" si="3"/>
        <v>Loss</v>
      </c>
    </row>
    <row r="1107" ht="14.25" customHeight="1">
      <c r="A1107" s="1" t="s">
        <v>1141</v>
      </c>
      <c r="B1107" s="2">
        <v>44624.0</v>
      </c>
      <c r="C1107" s="1" t="s">
        <v>20</v>
      </c>
      <c r="D1107" s="1" t="s">
        <v>15</v>
      </c>
      <c r="E1107" s="1" t="s">
        <v>31</v>
      </c>
      <c r="F1107" s="1">
        <v>652.56</v>
      </c>
      <c r="G1107" s="1">
        <v>-57.56</v>
      </c>
      <c r="H1107" s="1">
        <v>4.0</v>
      </c>
      <c r="I1107" s="1" t="s">
        <v>23</v>
      </c>
      <c r="J1107" s="1" t="s">
        <v>38</v>
      </c>
      <c r="K1107" s="1">
        <f t="shared" si="1"/>
        <v>2022</v>
      </c>
      <c r="L1107" s="1" t="str">
        <f t="shared" si="2"/>
        <v>Mar</v>
      </c>
      <c r="M1107" s="1" t="str">
        <f t="shared" si="3"/>
        <v>Loss</v>
      </c>
    </row>
    <row r="1108" ht="14.25" customHeight="1">
      <c r="A1108" s="1" t="s">
        <v>1142</v>
      </c>
      <c r="B1108" s="2">
        <v>45271.0</v>
      </c>
      <c r="C1108" s="1" t="s">
        <v>30</v>
      </c>
      <c r="D1108" s="1" t="s">
        <v>27</v>
      </c>
      <c r="E1108" s="1" t="s">
        <v>28</v>
      </c>
      <c r="F1108" s="1">
        <v>714.84</v>
      </c>
      <c r="G1108" s="1">
        <v>208.37</v>
      </c>
      <c r="H1108" s="1">
        <v>7.0</v>
      </c>
      <c r="I1108" s="1" t="s">
        <v>17</v>
      </c>
      <c r="J1108" s="1" t="s">
        <v>24</v>
      </c>
      <c r="K1108" s="1">
        <f t="shared" si="1"/>
        <v>2023</v>
      </c>
      <c r="L1108" s="1" t="str">
        <f t="shared" si="2"/>
        <v>Dec</v>
      </c>
      <c r="M1108" s="1" t="str">
        <f t="shared" si="3"/>
        <v>Profit</v>
      </c>
    </row>
    <row r="1109" ht="14.25" customHeight="1">
      <c r="A1109" s="1" t="s">
        <v>1143</v>
      </c>
      <c r="B1109" s="2">
        <v>45174.0</v>
      </c>
      <c r="C1109" s="1" t="s">
        <v>26</v>
      </c>
      <c r="D1109" s="1" t="s">
        <v>21</v>
      </c>
      <c r="E1109" s="1" t="s">
        <v>37</v>
      </c>
      <c r="F1109" s="1">
        <v>302.79</v>
      </c>
      <c r="G1109" s="1">
        <v>282.07</v>
      </c>
      <c r="H1109" s="1">
        <v>1.0</v>
      </c>
      <c r="I1109" s="1" t="s">
        <v>34</v>
      </c>
      <c r="J1109" s="1" t="s">
        <v>18</v>
      </c>
      <c r="K1109" s="1">
        <f t="shared" si="1"/>
        <v>2023</v>
      </c>
      <c r="L1109" s="1" t="str">
        <f t="shared" si="2"/>
        <v>Sep</v>
      </c>
      <c r="M1109" s="1" t="str">
        <f t="shared" si="3"/>
        <v>Profit</v>
      </c>
    </row>
    <row r="1110" ht="14.25" customHeight="1">
      <c r="A1110" s="1" t="s">
        <v>1144</v>
      </c>
      <c r="B1110" s="2">
        <v>44410.0</v>
      </c>
      <c r="C1110" s="1" t="s">
        <v>14</v>
      </c>
      <c r="D1110" s="1" t="s">
        <v>27</v>
      </c>
      <c r="E1110" s="1" t="s">
        <v>33</v>
      </c>
      <c r="F1110" s="1">
        <v>752.0</v>
      </c>
      <c r="G1110" s="1">
        <v>97.77</v>
      </c>
      <c r="H1110" s="1">
        <v>4.0</v>
      </c>
      <c r="I1110" s="1" t="s">
        <v>23</v>
      </c>
      <c r="J1110" s="1" t="s">
        <v>24</v>
      </c>
      <c r="K1110" s="1">
        <f t="shared" si="1"/>
        <v>2021</v>
      </c>
      <c r="L1110" s="1" t="str">
        <f t="shared" si="2"/>
        <v>Aug</v>
      </c>
      <c r="M1110" s="1" t="str">
        <f t="shared" si="3"/>
        <v>Profit</v>
      </c>
    </row>
    <row r="1111" ht="14.25" customHeight="1">
      <c r="A1111" s="1" t="s">
        <v>1145</v>
      </c>
      <c r="B1111" s="2">
        <v>44487.0</v>
      </c>
      <c r="C1111" s="1" t="s">
        <v>26</v>
      </c>
      <c r="D1111" s="1" t="s">
        <v>21</v>
      </c>
      <c r="E1111" s="1" t="s">
        <v>37</v>
      </c>
      <c r="F1111" s="1">
        <v>841.81</v>
      </c>
      <c r="G1111" s="1">
        <v>231.43</v>
      </c>
      <c r="H1111" s="1">
        <v>5.0</v>
      </c>
      <c r="I1111" s="1" t="s">
        <v>23</v>
      </c>
      <c r="J1111" s="1" t="s">
        <v>18</v>
      </c>
      <c r="K1111" s="1">
        <f t="shared" si="1"/>
        <v>2021</v>
      </c>
      <c r="L1111" s="1" t="str">
        <f t="shared" si="2"/>
        <v>Oct</v>
      </c>
      <c r="M1111" s="1" t="str">
        <f t="shared" si="3"/>
        <v>Profit</v>
      </c>
    </row>
    <row r="1112" ht="14.25" customHeight="1">
      <c r="A1112" s="1" t="s">
        <v>1146</v>
      </c>
      <c r="B1112" s="2">
        <v>45133.0</v>
      </c>
      <c r="C1112" s="1" t="s">
        <v>14</v>
      </c>
      <c r="D1112" s="1" t="s">
        <v>27</v>
      </c>
      <c r="E1112" s="1" t="s">
        <v>28</v>
      </c>
      <c r="F1112" s="1">
        <v>179.64</v>
      </c>
      <c r="G1112" s="1">
        <v>-152.82</v>
      </c>
      <c r="H1112" s="1">
        <v>5.0</v>
      </c>
      <c r="I1112" s="1" t="s">
        <v>34</v>
      </c>
      <c r="J1112" s="1" t="s">
        <v>35</v>
      </c>
      <c r="K1112" s="1">
        <f t="shared" si="1"/>
        <v>2023</v>
      </c>
      <c r="L1112" s="1" t="str">
        <f t="shared" si="2"/>
        <v>Jul</v>
      </c>
      <c r="M1112" s="1" t="str">
        <f t="shared" si="3"/>
        <v>Loss</v>
      </c>
    </row>
    <row r="1113" ht="14.25" customHeight="1">
      <c r="A1113" s="1" t="s">
        <v>1147</v>
      </c>
      <c r="B1113" s="2">
        <v>44656.0</v>
      </c>
      <c r="C1113" s="1" t="s">
        <v>30</v>
      </c>
      <c r="D1113" s="1" t="s">
        <v>15</v>
      </c>
      <c r="E1113" s="1" t="s">
        <v>16</v>
      </c>
      <c r="F1113" s="1">
        <v>878.17</v>
      </c>
      <c r="G1113" s="1">
        <v>206.53</v>
      </c>
      <c r="H1113" s="1">
        <v>9.0</v>
      </c>
      <c r="I1113" s="1" t="s">
        <v>23</v>
      </c>
      <c r="J1113" s="1" t="s">
        <v>35</v>
      </c>
      <c r="K1113" s="1">
        <f t="shared" si="1"/>
        <v>2022</v>
      </c>
      <c r="L1113" s="1" t="str">
        <f t="shared" si="2"/>
        <v>Apr</v>
      </c>
      <c r="M1113" s="1" t="str">
        <f t="shared" si="3"/>
        <v>Profit</v>
      </c>
    </row>
    <row r="1114" ht="14.25" customHeight="1">
      <c r="A1114" s="1" t="s">
        <v>1148</v>
      </c>
      <c r="B1114" s="2">
        <v>44372.0</v>
      </c>
      <c r="C1114" s="1" t="s">
        <v>26</v>
      </c>
      <c r="D1114" s="1" t="s">
        <v>21</v>
      </c>
      <c r="E1114" s="1" t="s">
        <v>76</v>
      </c>
      <c r="F1114" s="1">
        <v>31.0</v>
      </c>
      <c r="G1114" s="1">
        <v>-96.87</v>
      </c>
      <c r="H1114" s="1">
        <v>4.0</v>
      </c>
      <c r="I1114" s="1" t="s">
        <v>23</v>
      </c>
      <c r="J1114" s="1" t="s">
        <v>38</v>
      </c>
      <c r="K1114" s="1">
        <f t="shared" si="1"/>
        <v>2021</v>
      </c>
      <c r="L1114" s="1" t="str">
        <f t="shared" si="2"/>
        <v>Jun</v>
      </c>
      <c r="M1114" s="1" t="str">
        <f t="shared" si="3"/>
        <v>Loss</v>
      </c>
    </row>
    <row r="1115" ht="14.25" customHeight="1">
      <c r="A1115" s="1" t="s">
        <v>1149</v>
      </c>
      <c r="B1115" s="2">
        <v>44294.0</v>
      </c>
      <c r="C1115" s="1" t="s">
        <v>30</v>
      </c>
      <c r="D1115" s="1" t="s">
        <v>27</v>
      </c>
      <c r="E1115" s="1" t="s">
        <v>28</v>
      </c>
      <c r="F1115" s="1">
        <v>901.95</v>
      </c>
      <c r="G1115" s="1">
        <v>81.6</v>
      </c>
      <c r="H1115" s="1">
        <v>1.0</v>
      </c>
      <c r="I1115" s="1" t="s">
        <v>17</v>
      </c>
      <c r="J1115" s="1" t="s">
        <v>35</v>
      </c>
      <c r="K1115" s="1">
        <f t="shared" si="1"/>
        <v>2021</v>
      </c>
      <c r="L1115" s="1" t="str">
        <f t="shared" si="2"/>
        <v>Apr</v>
      </c>
      <c r="M1115" s="1" t="str">
        <f t="shared" si="3"/>
        <v>Profit</v>
      </c>
    </row>
    <row r="1116" ht="14.25" customHeight="1">
      <c r="A1116" s="1" t="s">
        <v>1150</v>
      </c>
      <c r="B1116" s="2">
        <v>45096.0</v>
      </c>
      <c r="C1116" s="1" t="s">
        <v>14</v>
      </c>
      <c r="D1116" s="1" t="s">
        <v>27</v>
      </c>
      <c r="E1116" s="1" t="s">
        <v>33</v>
      </c>
      <c r="F1116" s="1">
        <v>475.41</v>
      </c>
      <c r="G1116" s="1">
        <v>-112.7</v>
      </c>
      <c r="H1116" s="1">
        <v>2.0</v>
      </c>
      <c r="I1116" s="1" t="s">
        <v>23</v>
      </c>
      <c r="J1116" s="1" t="s">
        <v>35</v>
      </c>
      <c r="K1116" s="1">
        <f t="shared" si="1"/>
        <v>2023</v>
      </c>
      <c r="L1116" s="1" t="str">
        <f t="shared" si="2"/>
        <v>Jun</v>
      </c>
      <c r="M1116" s="1" t="str">
        <f t="shared" si="3"/>
        <v>Loss</v>
      </c>
    </row>
    <row r="1117" ht="14.25" customHeight="1">
      <c r="A1117" s="1" t="s">
        <v>1151</v>
      </c>
      <c r="B1117" s="2">
        <v>45121.0</v>
      </c>
      <c r="C1117" s="1" t="s">
        <v>26</v>
      </c>
      <c r="D1117" s="1" t="s">
        <v>27</v>
      </c>
      <c r="E1117" s="1" t="s">
        <v>40</v>
      </c>
      <c r="F1117" s="1">
        <v>955.75</v>
      </c>
      <c r="G1117" s="1">
        <v>263.19</v>
      </c>
      <c r="H1117" s="1">
        <v>8.0</v>
      </c>
      <c r="I1117" s="1" t="s">
        <v>23</v>
      </c>
      <c r="J1117" s="1" t="s">
        <v>38</v>
      </c>
      <c r="K1117" s="1">
        <f t="shared" si="1"/>
        <v>2023</v>
      </c>
      <c r="L1117" s="1" t="str">
        <f t="shared" si="2"/>
        <v>Jul</v>
      </c>
      <c r="M1117" s="1" t="str">
        <f t="shared" si="3"/>
        <v>Profit</v>
      </c>
    </row>
    <row r="1118" ht="14.25" customHeight="1">
      <c r="A1118" s="1" t="s">
        <v>1152</v>
      </c>
      <c r="B1118" s="2">
        <v>44366.0</v>
      </c>
      <c r="C1118" s="1" t="s">
        <v>30</v>
      </c>
      <c r="D1118" s="1" t="s">
        <v>15</v>
      </c>
      <c r="E1118" s="1" t="s">
        <v>54</v>
      </c>
      <c r="F1118" s="1">
        <v>589.36</v>
      </c>
      <c r="G1118" s="1">
        <v>223.48</v>
      </c>
      <c r="H1118" s="1">
        <v>9.0</v>
      </c>
      <c r="I1118" s="1" t="s">
        <v>17</v>
      </c>
      <c r="J1118" s="1" t="s">
        <v>18</v>
      </c>
      <c r="K1118" s="1">
        <f t="shared" si="1"/>
        <v>2021</v>
      </c>
      <c r="L1118" s="1" t="str">
        <f t="shared" si="2"/>
        <v>Jun</v>
      </c>
      <c r="M1118" s="1" t="str">
        <f t="shared" si="3"/>
        <v>Profit</v>
      </c>
    </row>
    <row r="1119" ht="14.25" customHeight="1">
      <c r="A1119" s="1" t="s">
        <v>1153</v>
      </c>
      <c r="B1119" s="2">
        <v>44776.0</v>
      </c>
      <c r="C1119" s="1" t="s">
        <v>14</v>
      </c>
      <c r="D1119" s="1" t="s">
        <v>15</v>
      </c>
      <c r="E1119" s="1" t="s">
        <v>16</v>
      </c>
      <c r="F1119" s="1">
        <v>962.22</v>
      </c>
      <c r="G1119" s="1">
        <v>128.16</v>
      </c>
      <c r="H1119" s="1">
        <v>10.0</v>
      </c>
      <c r="I1119" s="1" t="s">
        <v>34</v>
      </c>
      <c r="J1119" s="1" t="s">
        <v>18</v>
      </c>
      <c r="K1119" s="1">
        <f t="shared" si="1"/>
        <v>2022</v>
      </c>
      <c r="L1119" s="1" t="str">
        <f t="shared" si="2"/>
        <v>Aug</v>
      </c>
      <c r="M1119" s="1" t="str">
        <f t="shared" si="3"/>
        <v>Profit</v>
      </c>
    </row>
    <row r="1120" ht="14.25" customHeight="1">
      <c r="A1120" s="1" t="s">
        <v>1154</v>
      </c>
      <c r="B1120" s="2">
        <v>44463.0</v>
      </c>
      <c r="C1120" s="1" t="s">
        <v>14</v>
      </c>
      <c r="D1120" s="1" t="s">
        <v>15</v>
      </c>
      <c r="E1120" s="1" t="s">
        <v>16</v>
      </c>
      <c r="F1120" s="1">
        <v>994.97</v>
      </c>
      <c r="G1120" s="1">
        <v>156.77</v>
      </c>
      <c r="H1120" s="1">
        <v>3.0</v>
      </c>
      <c r="I1120" s="1" t="s">
        <v>17</v>
      </c>
      <c r="J1120" s="1" t="s">
        <v>38</v>
      </c>
      <c r="K1120" s="1">
        <f t="shared" si="1"/>
        <v>2021</v>
      </c>
      <c r="L1120" s="1" t="str">
        <f t="shared" si="2"/>
        <v>Sep</v>
      </c>
      <c r="M1120" s="1" t="str">
        <f t="shared" si="3"/>
        <v>Profit</v>
      </c>
    </row>
    <row r="1121" ht="14.25" customHeight="1">
      <c r="A1121" s="1" t="s">
        <v>1155</v>
      </c>
      <c r="B1121" s="2">
        <v>44687.0</v>
      </c>
      <c r="C1121" s="1" t="s">
        <v>26</v>
      </c>
      <c r="D1121" s="1" t="s">
        <v>21</v>
      </c>
      <c r="E1121" s="1" t="s">
        <v>37</v>
      </c>
      <c r="F1121" s="1">
        <v>245.92</v>
      </c>
      <c r="G1121" s="1">
        <v>161.94</v>
      </c>
      <c r="H1121" s="1">
        <v>6.0</v>
      </c>
      <c r="I1121" s="1" t="s">
        <v>34</v>
      </c>
      <c r="J1121" s="1" t="s">
        <v>38</v>
      </c>
      <c r="K1121" s="1">
        <f t="shared" si="1"/>
        <v>2022</v>
      </c>
      <c r="L1121" s="1" t="str">
        <f t="shared" si="2"/>
        <v>May</v>
      </c>
      <c r="M1121" s="1" t="str">
        <f t="shared" si="3"/>
        <v>Profit</v>
      </c>
    </row>
    <row r="1122" ht="14.25" customHeight="1">
      <c r="A1122" s="1" t="s">
        <v>1156</v>
      </c>
      <c r="B1122" s="2">
        <v>45139.0</v>
      </c>
      <c r="C1122" s="1" t="s">
        <v>14</v>
      </c>
      <c r="D1122" s="1" t="s">
        <v>15</v>
      </c>
      <c r="E1122" s="1" t="s">
        <v>54</v>
      </c>
      <c r="F1122" s="1">
        <v>22.73</v>
      </c>
      <c r="G1122" s="1">
        <v>29.68</v>
      </c>
      <c r="H1122" s="1">
        <v>6.0</v>
      </c>
      <c r="I1122" s="1" t="s">
        <v>34</v>
      </c>
      <c r="J1122" s="1" t="s">
        <v>18</v>
      </c>
      <c r="K1122" s="1">
        <f t="shared" si="1"/>
        <v>2023</v>
      </c>
      <c r="L1122" s="1" t="str">
        <f t="shared" si="2"/>
        <v>Aug</v>
      </c>
      <c r="M1122" s="1" t="str">
        <f t="shared" si="3"/>
        <v>Profit</v>
      </c>
    </row>
    <row r="1123" ht="14.25" customHeight="1">
      <c r="A1123" s="1" t="s">
        <v>1157</v>
      </c>
      <c r="B1123" s="2">
        <v>45158.0</v>
      </c>
      <c r="C1123" s="1" t="s">
        <v>20</v>
      </c>
      <c r="D1123" s="1" t="s">
        <v>21</v>
      </c>
      <c r="E1123" s="1" t="s">
        <v>37</v>
      </c>
      <c r="F1123" s="1">
        <v>208.43</v>
      </c>
      <c r="G1123" s="1">
        <v>21.27</v>
      </c>
      <c r="H1123" s="1">
        <v>4.0</v>
      </c>
      <c r="I1123" s="1" t="s">
        <v>17</v>
      </c>
      <c r="J1123" s="1" t="s">
        <v>35</v>
      </c>
      <c r="K1123" s="1">
        <f t="shared" si="1"/>
        <v>2023</v>
      </c>
      <c r="L1123" s="1" t="str">
        <f t="shared" si="2"/>
        <v>Aug</v>
      </c>
      <c r="M1123" s="1" t="str">
        <f t="shared" si="3"/>
        <v>Profit</v>
      </c>
    </row>
    <row r="1124" ht="14.25" customHeight="1">
      <c r="A1124" s="1" t="s">
        <v>1158</v>
      </c>
      <c r="B1124" s="2">
        <v>45212.0</v>
      </c>
      <c r="C1124" s="1" t="s">
        <v>26</v>
      </c>
      <c r="D1124" s="1" t="s">
        <v>21</v>
      </c>
      <c r="E1124" s="1" t="s">
        <v>37</v>
      </c>
      <c r="F1124" s="1">
        <v>155.75</v>
      </c>
      <c r="G1124" s="1">
        <v>40.41</v>
      </c>
      <c r="H1124" s="1">
        <v>4.0</v>
      </c>
      <c r="I1124" s="1" t="s">
        <v>34</v>
      </c>
      <c r="J1124" s="1" t="s">
        <v>35</v>
      </c>
      <c r="K1124" s="1">
        <f t="shared" si="1"/>
        <v>2023</v>
      </c>
      <c r="L1124" s="1" t="str">
        <f t="shared" si="2"/>
        <v>Oct</v>
      </c>
      <c r="M1124" s="1" t="str">
        <f t="shared" si="3"/>
        <v>Profit</v>
      </c>
    </row>
    <row r="1125" ht="14.25" customHeight="1">
      <c r="A1125" s="1" t="s">
        <v>1159</v>
      </c>
      <c r="B1125" s="2">
        <v>45167.0</v>
      </c>
      <c r="C1125" s="1" t="s">
        <v>14</v>
      </c>
      <c r="D1125" s="1" t="s">
        <v>15</v>
      </c>
      <c r="E1125" s="1" t="s">
        <v>31</v>
      </c>
      <c r="F1125" s="1">
        <v>562.54</v>
      </c>
      <c r="G1125" s="1">
        <v>17.97</v>
      </c>
      <c r="H1125" s="1">
        <v>4.0</v>
      </c>
      <c r="I1125" s="1" t="s">
        <v>23</v>
      </c>
      <c r="J1125" s="1" t="s">
        <v>38</v>
      </c>
      <c r="K1125" s="1">
        <f t="shared" si="1"/>
        <v>2023</v>
      </c>
      <c r="L1125" s="1" t="str">
        <f t="shared" si="2"/>
        <v>Aug</v>
      </c>
      <c r="M1125" s="1" t="str">
        <f t="shared" si="3"/>
        <v>Profit</v>
      </c>
    </row>
    <row r="1126" ht="14.25" customHeight="1">
      <c r="A1126" s="1" t="s">
        <v>1160</v>
      </c>
      <c r="B1126" s="2">
        <v>44991.0</v>
      </c>
      <c r="C1126" s="1" t="s">
        <v>14</v>
      </c>
      <c r="D1126" s="1" t="s">
        <v>15</v>
      </c>
      <c r="E1126" s="1" t="s">
        <v>54</v>
      </c>
      <c r="F1126" s="1">
        <v>602.5</v>
      </c>
      <c r="G1126" s="1">
        <v>-16.58</v>
      </c>
      <c r="H1126" s="1">
        <v>8.0</v>
      </c>
      <c r="I1126" s="1" t="s">
        <v>34</v>
      </c>
      <c r="J1126" s="1" t="s">
        <v>24</v>
      </c>
      <c r="K1126" s="1">
        <f t="shared" si="1"/>
        <v>2023</v>
      </c>
      <c r="L1126" s="1" t="str">
        <f t="shared" si="2"/>
        <v>Mar</v>
      </c>
      <c r="M1126" s="1" t="str">
        <f t="shared" si="3"/>
        <v>Loss</v>
      </c>
    </row>
    <row r="1127" ht="14.25" customHeight="1">
      <c r="A1127" s="1" t="s">
        <v>1161</v>
      </c>
      <c r="B1127" s="2">
        <v>44737.0</v>
      </c>
      <c r="C1127" s="1" t="s">
        <v>30</v>
      </c>
      <c r="D1127" s="1" t="s">
        <v>27</v>
      </c>
      <c r="E1127" s="1" t="s">
        <v>33</v>
      </c>
      <c r="F1127" s="1">
        <v>88.4</v>
      </c>
      <c r="G1127" s="1">
        <v>-192.97</v>
      </c>
      <c r="H1127" s="1">
        <v>2.0</v>
      </c>
      <c r="I1127" s="1" t="s">
        <v>17</v>
      </c>
      <c r="J1127" s="1" t="s">
        <v>35</v>
      </c>
      <c r="K1127" s="1">
        <f t="shared" si="1"/>
        <v>2022</v>
      </c>
      <c r="L1127" s="1" t="str">
        <f t="shared" si="2"/>
        <v>Jun</v>
      </c>
      <c r="M1127" s="1" t="str">
        <f t="shared" si="3"/>
        <v>Loss</v>
      </c>
    </row>
    <row r="1128" ht="14.25" customHeight="1">
      <c r="A1128" s="1" t="s">
        <v>1162</v>
      </c>
      <c r="B1128" s="2">
        <v>44352.0</v>
      </c>
      <c r="C1128" s="1" t="s">
        <v>20</v>
      </c>
      <c r="D1128" s="1" t="s">
        <v>27</v>
      </c>
      <c r="E1128" s="1" t="s">
        <v>40</v>
      </c>
      <c r="F1128" s="1">
        <v>375.71</v>
      </c>
      <c r="G1128" s="1">
        <v>-189.14</v>
      </c>
      <c r="H1128" s="1">
        <v>9.0</v>
      </c>
      <c r="I1128" s="1" t="s">
        <v>17</v>
      </c>
      <c r="J1128" s="1" t="s">
        <v>24</v>
      </c>
      <c r="K1128" s="1">
        <f t="shared" si="1"/>
        <v>2021</v>
      </c>
      <c r="L1128" s="1" t="str">
        <f t="shared" si="2"/>
        <v>Jun</v>
      </c>
      <c r="M1128" s="1" t="str">
        <f t="shared" si="3"/>
        <v>Loss</v>
      </c>
    </row>
    <row r="1129" ht="14.25" customHeight="1">
      <c r="A1129" s="1" t="s">
        <v>1163</v>
      </c>
      <c r="B1129" s="2">
        <v>45044.0</v>
      </c>
      <c r="C1129" s="1" t="s">
        <v>20</v>
      </c>
      <c r="D1129" s="1" t="s">
        <v>15</v>
      </c>
      <c r="E1129" s="1" t="s">
        <v>54</v>
      </c>
      <c r="F1129" s="1">
        <v>442.56</v>
      </c>
      <c r="G1129" s="1">
        <v>-166.03</v>
      </c>
      <c r="H1129" s="1">
        <v>3.0</v>
      </c>
      <c r="I1129" s="1" t="s">
        <v>17</v>
      </c>
      <c r="J1129" s="1" t="s">
        <v>35</v>
      </c>
      <c r="K1129" s="1">
        <f t="shared" si="1"/>
        <v>2023</v>
      </c>
      <c r="L1129" s="1" t="str">
        <f t="shared" si="2"/>
        <v>Apr</v>
      </c>
      <c r="M1129" s="1" t="str">
        <f t="shared" si="3"/>
        <v>Loss</v>
      </c>
    </row>
    <row r="1130" ht="14.25" customHeight="1">
      <c r="A1130" s="1" t="s">
        <v>1164</v>
      </c>
      <c r="B1130" s="2">
        <v>44782.0</v>
      </c>
      <c r="C1130" s="1" t="s">
        <v>14</v>
      </c>
      <c r="D1130" s="1" t="s">
        <v>21</v>
      </c>
      <c r="E1130" s="1" t="s">
        <v>76</v>
      </c>
      <c r="F1130" s="1">
        <v>617.73</v>
      </c>
      <c r="G1130" s="1">
        <v>47.4</v>
      </c>
      <c r="H1130" s="1">
        <v>6.0</v>
      </c>
      <c r="I1130" s="1" t="s">
        <v>34</v>
      </c>
      <c r="J1130" s="1" t="s">
        <v>24</v>
      </c>
      <c r="K1130" s="1">
        <f t="shared" si="1"/>
        <v>2022</v>
      </c>
      <c r="L1130" s="1" t="str">
        <f t="shared" si="2"/>
        <v>Aug</v>
      </c>
      <c r="M1130" s="1" t="str">
        <f t="shared" si="3"/>
        <v>Profit</v>
      </c>
    </row>
    <row r="1131" ht="14.25" customHeight="1">
      <c r="A1131" s="1" t="s">
        <v>1165</v>
      </c>
      <c r="B1131" s="2">
        <v>44965.0</v>
      </c>
      <c r="C1131" s="1" t="s">
        <v>20</v>
      </c>
      <c r="D1131" s="1" t="s">
        <v>21</v>
      </c>
      <c r="E1131" s="1" t="s">
        <v>76</v>
      </c>
      <c r="F1131" s="1">
        <v>846.27</v>
      </c>
      <c r="G1131" s="1">
        <v>270.07</v>
      </c>
      <c r="H1131" s="1">
        <v>8.0</v>
      </c>
      <c r="I1131" s="1" t="s">
        <v>17</v>
      </c>
      <c r="J1131" s="1" t="s">
        <v>24</v>
      </c>
      <c r="K1131" s="1">
        <f t="shared" si="1"/>
        <v>2023</v>
      </c>
      <c r="L1131" s="1" t="str">
        <f t="shared" si="2"/>
        <v>Feb</v>
      </c>
      <c r="M1131" s="1" t="str">
        <f t="shared" si="3"/>
        <v>Profit</v>
      </c>
    </row>
    <row r="1132" ht="14.25" customHeight="1">
      <c r="A1132" s="1" t="s">
        <v>1166</v>
      </c>
      <c r="B1132" s="2">
        <v>44365.0</v>
      </c>
      <c r="C1132" s="1" t="s">
        <v>30</v>
      </c>
      <c r="D1132" s="1" t="s">
        <v>21</v>
      </c>
      <c r="E1132" s="1" t="s">
        <v>76</v>
      </c>
      <c r="F1132" s="1">
        <v>416.95</v>
      </c>
      <c r="G1132" s="1">
        <v>277.52</v>
      </c>
      <c r="H1132" s="1">
        <v>6.0</v>
      </c>
      <c r="I1132" s="1" t="s">
        <v>34</v>
      </c>
      <c r="J1132" s="1" t="s">
        <v>35</v>
      </c>
      <c r="K1132" s="1">
        <f t="shared" si="1"/>
        <v>2021</v>
      </c>
      <c r="L1132" s="1" t="str">
        <f t="shared" si="2"/>
        <v>Jun</v>
      </c>
      <c r="M1132" s="1" t="str">
        <f t="shared" si="3"/>
        <v>Profit</v>
      </c>
    </row>
    <row r="1133" ht="14.25" customHeight="1">
      <c r="A1133" s="1" t="s">
        <v>1167</v>
      </c>
      <c r="B1133" s="2">
        <v>44288.0</v>
      </c>
      <c r="C1133" s="1" t="s">
        <v>30</v>
      </c>
      <c r="D1133" s="1" t="s">
        <v>27</v>
      </c>
      <c r="E1133" s="1" t="s">
        <v>40</v>
      </c>
      <c r="F1133" s="1">
        <v>612.73</v>
      </c>
      <c r="G1133" s="1">
        <v>-163.7</v>
      </c>
      <c r="H1133" s="1">
        <v>4.0</v>
      </c>
      <c r="I1133" s="1" t="s">
        <v>23</v>
      </c>
      <c r="J1133" s="1" t="s">
        <v>18</v>
      </c>
      <c r="K1133" s="1">
        <f t="shared" si="1"/>
        <v>2021</v>
      </c>
      <c r="L1133" s="1" t="str">
        <f t="shared" si="2"/>
        <v>Apr</v>
      </c>
      <c r="M1133" s="1" t="str">
        <f t="shared" si="3"/>
        <v>Loss</v>
      </c>
    </row>
    <row r="1134" ht="14.25" customHeight="1">
      <c r="A1134" s="1" t="s">
        <v>1168</v>
      </c>
      <c r="B1134" s="2">
        <v>44684.0</v>
      </c>
      <c r="C1134" s="1" t="s">
        <v>26</v>
      </c>
      <c r="D1134" s="1" t="s">
        <v>21</v>
      </c>
      <c r="E1134" s="1" t="s">
        <v>22</v>
      </c>
      <c r="F1134" s="1">
        <v>457.98</v>
      </c>
      <c r="G1134" s="1">
        <v>91.25</v>
      </c>
      <c r="H1134" s="1">
        <v>9.0</v>
      </c>
      <c r="I1134" s="1" t="s">
        <v>23</v>
      </c>
      <c r="J1134" s="1" t="s">
        <v>18</v>
      </c>
      <c r="K1134" s="1">
        <f t="shared" si="1"/>
        <v>2022</v>
      </c>
      <c r="L1134" s="1" t="str">
        <f t="shared" si="2"/>
        <v>May</v>
      </c>
      <c r="M1134" s="1" t="str">
        <f t="shared" si="3"/>
        <v>Profit</v>
      </c>
    </row>
    <row r="1135" ht="14.25" customHeight="1">
      <c r="A1135" s="1" t="s">
        <v>1169</v>
      </c>
      <c r="B1135" s="2">
        <v>44657.0</v>
      </c>
      <c r="C1135" s="1" t="s">
        <v>14</v>
      </c>
      <c r="D1135" s="1" t="s">
        <v>27</v>
      </c>
      <c r="E1135" s="1" t="s">
        <v>40</v>
      </c>
      <c r="F1135" s="1">
        <v>170.13</v>
      </c>
      <c r="G1135" s="1">
        <v>91.96</v>
      </c>
      <c r="H1135" s="1">
        <v>4.0</v>
      </c>
      <c r="I1135" s="1" t="s">
        <v>34</v>
      </c>
      <c r="J1135" s="1" t="s">
        <v>24</v>
      </c>
      <c r="K1135" s="1">
        <f t="shared" si="1"/>
        <v>2022</v>
      </c>
      <c r="L1135" s="1" t="str">
        <f t="shared" si="2"/>
        <v>Apr</v>
      </c>
      <c r="M1135" s="1" t="str">
        <f t="shared" si="3"/>
        <v>Profit</v>
      </c>
    </row>
    <row r="1136" ht="14.25" customHeight="1">
      <c r="A1136" s="1" t="s">
        <v>1170</v>
      </c>
      <c r="B1136" s="2">
        <v>45055.0</v>
      </c>
      <c r="C1136" s="1" t="s">
        <v>30</v>
      </c>
      <c r="D1136" s="1" t="s">
        <v>27</v>
      </c>
      <c r="E1136" s="1" t="s">
        <v>40</v>
      </c>
      <c r="F1136" s="1">
        <v>461.67</v>
      </c>
      <c r="G1136" s="1">
        <v>263.43</v>
      </c>
      <c r="H1136" s="1">
        <v>6.0</v>
      </c>
      <c r="I1136" s="1" t="s">
        <v>34</v>
      </c>
      <c r="J1136" s="1" t="s">
        <v>18</v>
      </c>
      <c r="K1136" s="1">
        <f t="shared" si="1"/>
        <v>2023</v>
      </c>
      <c r="L1136" s="1" t="str">
        <f t="shared" si="2"/>
        <v>May</v>
      </c>
      <c r="M1136" s="1" t="str">
        <f t="shared" si="3"/>
        <v>Profit</v>
      </c>
    </row>
    <row r="1137" ht="14.25" customHeight="1">
      <c r="A1137" s="1" t="s">
        <v>1171</v>
      </c>
      <c r="B1137" s="2">
        <v>45291.0</v>
      </c>
      <c r="C1137" s="1" t="s">
        <v>26</v>
      </c>
      <c r="D1137" s="1" t="s">
        <v>21</v>
      </c>
      <c r="E1137" s="1" t="s">
        <v>76</v>
      </c>
      <c r="F1137" s="1">
        <v>291.36</v>
      </c>
      <c r="G1137" s="1">
        <v>241.85</v>
      </c>
      <c r="H1137" s="1">
        <v>1.0</v>
      </c>
      <c r="I1137" s="1" t="s">
        <v>23</v>
      </c>
      <c r="J1137" s="1" t="s">
        <v>35</v>
      </c>
      <c r="K1137" s="1">
        <f t="shared" si="1"/>
        <v>2023</v>
      </c>
      <c r="L1137" s="1" t="str">
        <f t="shared" si="2"/>
        <v>Dec</v>
      </c>
      <c r="M1137" s="1" t="str">
        <f t="shared" si="3"/>
        <v>Profit</v>
      </c>
    </row>
    <row r="1138" ht="14.25" customHeight="1">
      <c r="A1138" s="1" t="s">
        <v>1172</v>
      </c>
      <c r="B1138" s="2">
        <v>44218.0</v>
      </c>
      <c r="C1138" s="1" t="s">
        <v>20</v>
      </c>
      <c r="D1138" s="1" t="s">
        <v>27</v>
      </c>
      <c r="E1138" s="1" t="s">
        <v>28</v>
      </c>
      <c r="F1138" s="1">
        <v>756.47</v>
      </c>
      <c r="G1138" s="1">
        <v>243.69</v>
      </c>
      <c r="H1138" s="1">
        <v>9.0</v>
      </c>
      <c r="I1138" s="1" t="s">
        <v>23</v>
      </c>
      <c r="J1138" s="1" t="s">
        <v>24</v>
      </c>
      <c r="K1138" s="1">
        <f t="shared" si="1"/>
        <v>2021</v>
      </c>
      <c r="L1138" s="1" t="str">
        <f t="shared" si="2"/>
        <v>Jan</v>
      </c>
      <c r="M1138" s="1" t="str">
        <f t="shared" si="3"/>
        <v>Profit</v>
      </c>
    </row>
    <row r="1139" ht="14.25" customHeight="1">
      <c r="A1139" s="1" t="s">
        <v>1173</v>
      </c>
      <c r="B1139" s="2">
        <v>45150.0</v>
      </c>
      <c r="C1139" s="1" t="s">
        <v>30</v>
      </c>
      <c r="D1139" s="1" t="s">
        <v>27</v>
      </c>
      <c r="E1139" s="1" t="s">
        <v>40</v>
      </c>
      <c r="F1139" s="1">
        <v>926.43</v>
      </c>
      <c r="G1139" s="1">
        <v>89.01</v>
      </c>
      <c r="H1139" s="1">
        <v>8.0</v>
      </c>
      <c r="I1139" s="1" t="s">
        <v>17</v>
      </c>
      <c r="J1139" s="1" t="s">
        <v>18</v>
      </c>
      <c r="K1139" s="1">
        <f t="shared" si="1"/>
        <v>2023</v>
      </c>
      <c r="L1139" s="1" t="str">
        <f t="shared" si="2"/>
        <v>Aug</v>
      </c>
      <c r="M1139" s="1" t="str">
        <f t="shared" si="3"/>
        <v>Profit</v>
      </c>
    </row>
    <row r="1140" ht="14.25" customHeight="1">
      <c r="A1140" s="1" t="s">
        <v>1174</v>
      </c>
      <c r="B1140" s="2">
        <v>45282.0</v>
      </c>
      <c r="C1140" s="1" t="s">
        <v>20</v>
      </c>
      <c r="D1140" s="1" t="s">
        <v>21</v>
      </c>
      <c r="E1140" s="1" t="s">
        <v>37</v>
      </c>
      <c r="F1140" s="1">
        <v>259.98</v>
      </c>
      <c r="G1140" s="1">
        <v>34.92</v>
      </c>
      <c r="H1140" s="1">
        <v>8.0</v>
      </c>
      <c r="I1140" s="1" t="s">
        <v>23</v>
      </c>
      <c r="J1140" s="1" t="s">
        <v>35</v>
      </c>
      <c r="K1140" s="1">
        <f t="shared" si="1"/>
        <v>2023</v>
      </c>
      <c r="L1140" s="1" t="str">
        <f t="shared" si="2"/>
        <v>Dec</v>
      </c>
      <c r="M1140" s="1" t="str">
        <f t="shared" si="3"/>
        <v>Profit</v>
      </c>
    </row>
    <row r="1141" ht="14.25" customHeight="1">
      <c r="A1141" s="1" t="s">
        <v>1175</v>
      </c>
      <c r="B1141" s="2">
        <v>45068.0</v>
      </c>
      <c r="C1141" s="1" t="s">
        <v>30</v>
      </c>
      <c r="D1141" s="1" t="s">
        <v>15</v>
      </c>
      <c r="E1141" s="1" t="s">
        <v>16</v>
      </c>
      <c r="F1141" s="1">
        <v>659.62</v>
      </c>
      <c r="G1141" s="1">
        <v>269.61</v>
      </c>
      <c r="H1141" s="1">
        <v>10.0</v>
      </c>
      <c r="I1141" s="1" t="s">
        <v>17</v>
      </c>
      <c r="J1141" s="1" t="s">
        <v>18</v>
      </c>
      <c r="K1141" s="1">
        <f t="shared" si="1"/>
        <v>2023</v>
      </c>
      <c r="L1141" s="1" t="str">
        <f t="shared" si="2"/>
        <v>May</v>
      </c>
      <c r="M1141" s="1" t="str">
        <f t="shared" si="3"/>
        <v>Profit</v>
      </c>
    </row>
    <row r="1142" ht="14.25" customHeight="1">
      <c r="A1142" s="1" t="s">
        <v>1176</v>
      </c>
      <c r="B1142" s="2">
        <v>44590.0</v>
      </c>
      <c r="C1142" s="1" t="s">
        <v>26</v>
      </c>
      <c r="D1142" s="1" t="s">
        <v>27</v>
      </c>
      <c r="E1142" s="1" t="s">
        <v>40</v>
      </c>
      <c r="F1142" s="1">
        <v>482.8</v>
      </c>
      <c r="G1142" s="1">
        <v>159.99</v>
      </c>
      <c r="H1142" s="1">
        <v>1.0</v>
      </c>
      <c r="I1142" s="1" t="s">
        <v>17</v>
      </c>
      <c r="J1142" s="1" t="s">
        <v>38</v>
      </c>
      <c r="K1142" s="1">
        <f t="shared" si="1"/>
        <v>2022</v>
      </c>
      <c r="L1142" s="1" t="str">
        <f t="shared" si="2"/>
        <v>Jan</v>
      </c>
      <c r="M1142" s="1" t="str">
        <f t="shared" si="3"/>
        <v>Profit</v>
      </c>
    </row>
    <row r="1143" ht="14.25" customHeight="1">
      <c r="A1143" s="1" t="s">
        <v>1177</v>
      </c>
      <c r="B1143" s="2">
        <v>45003.0</v>
      </c>
      <c r="C1143" s="1" t="s">
        <v>20</v>
      </c>
      <c r="D1143" s="1" t="s">
        <v>21</v>
      </c>
      <c r="E1143" s="1" t="s">
        <v>76</v>
      </c>
      <c r="F1143" s="1">
        <v>122.8</v>
      </c>
      <c r="G1143" s="1">
        <v>-155.2</v>
      </c>
      <c r="H1143" s="1">
        <v>7.0</v>
      </c>
      <c r="I1143" s="1" t="s">
        <v>17</v>
      </c>
      <c r="J1143" s="1" t="s">
        <v>38</v>
      </c>
      <c r="K1143" s="1">
        <f t="shared" si="1"/>
        <v>2023</v>
      </c>
      <c r="L1143" s="1" t="str">
        <f t="shared" si="2"/>
        <v>Mar</v>
      </c>
      <c r="M1143" s="1" t="str">
        <f t="shared" si="3"/>
        <v>Loss</v>
      </c>
    </row>
    <row r="1144" ht="14.25" customHeight="1">
      <c r="A1144" s="1" t="s">
        <v>1178</v>
      </c>
      <c r="B1144" s="2">
        <v>44912.0</v>
      </c>
      <c r="C1144" s="1" t="s">
        <v>30</v>
      </c>
      <c r="D1144" s="1" t="s">
        <v>27</v>
      </c>
      <c r="E1144" s="1" t="s">
        <v>33</v>
      </c>
      <c r="F1144" s="1">
        <v>74.78</v>
      </c>
      <c r="G1144" s="1">
        <v>46.76</v>
      </c>
      <c r="H1144" s="1">
        <v>4.0</v>
      </c>
      <c r="I1144" s="1" t="s">
        <v>17</v>
      </c>
      <c r="J1144" s="1" t="s">
        <v>24</v>
      </c>
      <c r="K1144" s="1">
        <f t="shared" si="1"/>
        <v>2022</v>
      </c>
      <c r="L1144" s="1" t="str">
        <f t="shared" si="2"/>
        <v>Dec</v>
      </c>
      <c r="M1144" s="1" t="str">
        <f t="shared" si="3"/>
        <v>Profit</v>
      </c>
    </row>
    <row r="1145" ht="14.25" customHeight="1">
      <c r="A1145" s="1" t="s">
        <v>1179</v>
      </c>
      <c r="B1145" s="2">
        <v>44274.0</v>
      </c>
      <c r="C1145" s="1" t="s">
        <v>26</v>
      </c>
      <c r="D1145" s="1" t="s">
        <v>27</v>
      </c>
      <c r="E1145" s="1" t="s">
        <v>28</v>
      </c>
      <c r="F1145" s="1">
        <v>681.31</v>
      </c>
      <c r="G1145" s="1">
        <v>25.35</v>
      </c>
      <c r="H1145" s="1">
        <v>7.0</v>
      </c>
      <c r="I1145" s="1" t="s">
        <v>34</v>
      </c>
      <c r="J1145" s="1" t="s">
        <v>35</v>
      </c>
      <c r="K1145" s="1">
        <f t="shared" si="1"/>
        <v>2021</v>
      </c>
      <c r="L1145" s="1" t="str">
        <f t="shared" si="2"/>
        <v>Mar</v>
      </c>
      <c r="M1145" s="1" t="str">
        <f t="shared" si="3"/>
        <v>Profit</v>
      </c>
    </row>
    <row r="1146" ht="14.25" customHeight="1">
      <c r="A1146" s="1" t="s">
        <v>1180</v>
      </c>
      <c r="B1146" s="2">
        <v>44472.0</v>
      </c>
      <c r="C1146" s="1" t="s">
        <v>26</v>
      </c>
      <c r="D1146" s="1" t="s">
        <v>21</v>
      </c>
      <c r="E1146" s="1" t="s">
        <v>22</v>
      </c>
      <c r="F1146" s="1">
        <v>341.56</v>
      </c>
      <c r="G1146" s="1">
        <v>-77.12</v>
      </c>
      <c r="H1146" s="1">
        <v>9.0</v>
      </c>
      <c r="I1146" s="1" t="s">
        <v>34</v>
      </c>
      <c r="J1146" s="1" t="s">
        <v>35</v>
      </c>
      <c r="K1146" s="1">
        <f t="shared" si="1"/>
        <v>2021</v>
      </c>
      <c r="L1146" s="1" t="str">
        <f t="shared" si="2"/>
        <v>Oct</v>
      </c>
      <c r="M1146" s="1" t="str">
        <f t="shared" si="3"/>
        <v>Loss</v>
      </c>
    </row>
    <row r="1147" ht="14.25" customHeight="1">
      <c r="A1147" s="1" t="s">
        <v>1181</v>
      </c>
      <c r="B1147" s="2">
        <v>45127.0</v>
      </c>
      <c r="C1147" s="1" t="s">
        <v>30</v>
      </c>
      <c r="D1147" s="1" t="s">
        <v>21</v>
      </c>
      <c r="E1147" s="1" t="s">
        <v>22</v>
      </c>
      <c r="F1147" s="1">
        <v>654.71</v>
      </c>
      <c r="G1147" s="1">
        <v>-142.95</v>
      </c>
      <c r="H1147" s="1">
        <v>9.0</v>
      </c>
      <c r="I1147" s="1" t="s">
        <v>23</v>
      </c>
      <c r="J1147" s="1" t="s">
        <v>24</v>
      </c>
      <c r="K1147" s="1">
        <f t="shared" si="1"/>
        <v>2023</v>
      </c>
      <c r="L1147" s="1" t="str">
        <f t="shared" si="2"/>
        <v>Jul</v>
      </c>
      <c r="M1147" s="1" t="str">
        <f t="shared" si="3"/>
        <v>Loss</v>
      </c>
    </row>
    <row r="1148" ht="14.25" customHeight="1">
      <c r="A1148" s="1" t="s">
        <v>1182</v>
      </c>
      <c r="B1148" s="2">
        <v>45088.0</v>
      </c>
      <c r="C1148" s="1" t="s">
        <v>30</v>
      </c>
      <c r="D1148" s="1" t="s">
        <v>27</v>
      </c>
      <c r="E1148" s="1" t="s">
        <v>33</v>
      </c>
      <c r="F1148" s="1">
        <v>33.31</v>
      </c>
      <c r="G1148" s="1">
        <v>222.0</v>
      </c>
      <c r="H1148" s="1">
        <v>9.0</v>
      </c>
      <c r="I1148" s="1" t="s">
        <v>23</v>
      </c>
      <c r="J1148" s="1" t="s">
        <v>24</v>
      </c>
      <c r="K1148" s="1">
        <f t="shared" si="1"/>
        <v>2023</v>
      </c>
      <c r="L1148" s="1" t="str">
        <f t="shared" si="2"/>
        <v>Jun</v>
      </c>
      <c r="M1148" s="1" t="str">
        <f t="shared" si="3"/>
        <v>Profit</v>
      </c>
    </row>
    <row r="1149" ht="14.25" customHeight="1">
      <c r="A1149" s="1" t="s">
        <v>1183</v>
      </c>
      <c r="B1149" s="2">
        <v>45250.0</v>
      </c>
      <c r="C1149" s="1" t="s">
        <v>26</v>
      </c>
      <c r="D1149" s="1" t="s">
        <v>15</v>
      </c>
      <c r="E1149" s="1" t="s">
        <v>16</v>
      </c>
      <c r="F1149" s="1">
        <v>407.51</v>
      </c>
      <c r="G1149" s="1">
        <v>29.62</v>
      </c>
      <c r="H1149" s="1">
        <v>8.0</v>
      </c>
      <c r="I1149" s="1" t="s">
        <v>17</v>
      </c>
      <c r="J1149" s="1" t="s">
        <v>24</v>
      </c>
      <c r="K1149" s="1">
        <f t="shared" si="1"/>
        <v>2023</v>
      </c>
      <c r="L1149" s="1" t="str">
        <f t="shared" si="2"/>
        <v>Nov</v>
      </c>
      <c r="M1149" s="1" t="str">
        <f t="shared" si="3"/>
        <v>Profit</v>
      </c>
    </row>
    <row r="1150" ht="14.25" customHeight="1">
      <c r="A1150" s="1" t="s">
        <v>1184</v>
      </c>
      <c r="B1150" s="2">
        <v>44861.0</v>
      </c>
      <c r="C1150" s="1" t="s">
        <v>20</v>
      </c>
      <c r="D1150" s="1" t="s">
        <v>15</v>
      </c>
      <c r="E1150" s="1" t="s">
        <v>16</v>
      </c>
      <c r="F1150" s="1">
        <v>304.15</v>
      </c>
      <c r="G1150" s="1">
        <v>125.38</v>
      </c>
      <c r="H1150" s="1">
        <v>6.0</v>
      </c>
      <c r="I1150" s="1" t="s">
        <v>17</v>
      </c>
      <c r="J1150" s="1" t="s">
        <v>18</v>
      </c>
      <c r="K1150" s="1">
        <f t="shared" si="1"/>
        <v>2022</v>
      </c>
      <c r="L1150" s="1" t="str">
        <f t="shared" si="2"/>
        <v>Oct</v>
      </c>
      <c r="M1150" s="1" t="str">
        <f t="shared" si="3"/>
        <v>Profit</v>
      </c>
    </row>
    <row r="1151" ht="14.25" customHeight="1">
      <c r="A1151" s="1" t="s">
        <v>1185</v>
      </c>
      <c r="B1151" s="2">
        <v>44862.0</v>
      </c>
      <c r="C1151" s="1" t="s">
        <v>14</v>
      </c>
      <c r="D1151" s="1" t="s">
        <v>27</v>
      </c>
      <c r="E1151" s="1" t="s">
        <v>28</v>
      </c>
      <c r="F1151" s="1">
        <v>465.45</v>
      </c>
      <c r="G1151" s="1">
        <v>-84.74</v>
      </c>
      <c r="H1151" s="1">
        <v>1.0</v>
      </c>
      <c r="I1151" s="1" t="s">
        <v>23</v>
      </c>
      <c r="J1151" s="1" t="s">
        <v>18</v>
      </c>
      <c r="K1151" s="1">
        <f t="shared" si="1"/>
        <v>2022</v>
      </c>
      <c r="L1151" s="1" t="str">
        <f t="shared" si="2"/>
        <v>Oct</v>
      </c>
      <c r="M1151" s="1" t="str">
        <f t="shared" si="3"/>
        <v>Loss</v>
      </c>
    </row>
    <row r="1152" ht="14.25" customHeight="1">
      <c r="A1152" s="1" t="s">
        <v>1186</v>
      </c>
      <c r="B1152" s="2">
        <v>44831.0</v>
      </c>
      <c r="C1152" s="1" t="s">
        <v>30</v>
      </c>
      <c r="D1152" s="1" t="s">
        <v>15</v>
      </c>
      <c r="E1152" s="1" t="s">
        <v>31</v>
      </c>
      <c r="F1152" s="1">
        <v>403.65</v>
      </c>
      <c r="G1152" s="1">
        <v>25.95</v>
      </c>
      <c r="H1152" s="1">
        <v>6.0</v>
      </c>
      <c r="I1152" s="1" t="s">
        <v>17</v>
      </c>
      <c r="J1152" s="1" t="s">
        <v>18</v>
      </c>
      <c r="K1152" s="1">
        <f t="shared" si="1"/>
        <v>2022</v>
      </c>
      <c r="L1152" s="1" t="str">
        <f t="shared" si="2"/>
        <v>Sep</v>
      </c>
      <c r="M1152" s="1" t="str">
        <f t="shared" si="3"/>
        <v>Profit</v>
      </c>
    </row>
    <row r="1153" ht="14.25" customHeight="1">
      <c r="A1153" s="1" t="s">
        <v>1187</v>
      </c>
      <c r="B1153" s="2">
        <v>44251.0</v>
      </c>
      <c r="C1153" s="1" t="s">
        <v>30</v>
      </c>
      <c r="D1153" s="1" t="s">
        <v>21</v>
      </c>
      <c r="E1153" s="1" t="s">
        <v>37</v>
      </c>
      <c r="F1153" s="1">
        <v>414.85</v>
      </c>
      <c r="G1153" s="1">
        <v>-46.03</v>
      </c>
      <c r="H1153" s="1">
        <v>7.0</v>
      </c>
      <c r="I1153" s="1" t="s">
        <v>23</v>
      </c>
      <c r="J1153" s="1" t="s">
        <v>18</v>
      </c>
      <c r="K1153" s="1">
        <f t="shared" si="1"/>
        <v>2021</v>
      </c>
      <c r="L1153" s="1" t="str">
        <f t="shared" si="2"/>
        <v>Feb</v>
      </c>
      <c r="M1153" s="1" t="str">
        <f t="shared" si="3"/>
        <v>Loss</v>
      </c>
    </row>
    <row r="1154" ht="14.25" customHeight="1">
      <c r="A1154" s="1" t="s">
        <v>1188</v>
      </c>
      <c r="B1154" s="2">
        <v>44213.0</v>
      </c>
      <c r="C1154" s="1" t="s">
        <v>26</v>
      </c>
      <c r="D1154" s="1" t="s">
        <v>15</v>
      </c>
      <c r="E1154" s="1" t="s">
        <v>31</v>
      </c>
      <c r="F1154" s="1">
        <v>470.54</v>
      </c>
      <c r="G1154" s="1">
        <v>-110.78</v>
      </c>
      <c r="H1154" s="1">
        <v>9.0</v>
      </c>
      <c r="I1154" s="1" t="s">
        <v>34</v>
      </c>
      <c r="J1154" s="1" t="s">
        <v>18</v>
      </c>
      <c r="K1154" s="1">
        <f t="shared" si="1"/>
        <v>2021</v>
      </c>
      <c r="L1154" s="1" t="str">
        <f t="shared" si="2"/>
        <v>Jan</v>
      </c>
      <c r="M1154" s="1" t="str">
        <f t="shared" si="3"/>
        <v>Loss</v>
      </c>
    </row>
    <row r="1155" ht="14.25" customHeight="1">
      <c r="A1155" s="1" t="s">
        <v>1189</v>
      </c>
      <c r="B1155" s="2">
        <v>44608.0</v>
      </c>
      <c r="C1155" s="1" t="s">
        <v>26</v>
      </c>
      <c r="D1155" s="1" t="s">
        <v>27</v>
      </c>
      <c r="E1155" s="1" t="s">
        <v>33</v>
      </c>
      <c r="F1155" s="1">
        <v>749.67</v>
      </c>
      <c r="G1155" s="1">
        <v>-61.9</v>
      </c>
      <c r="H1155" s="1">
        <v>6.0</v>
      </c>
      <c r="I1155" s="1" t="s">
        <v>34</v>
      </c>
      <c r="J1155" s="1" t="s">
        <v>38</v>
      </c>
      <c r="K1155" s="1">
        <f t="shared" si="1"/>
        <v>2022</v>
      </c>
      <c r="L1155" s="1" t="str">
        <f t="shared" si="2"/>
        <v>Feb</v>
      </c>
      <c r="M1155" s="1" t="str">
        <f t="shared" si="3"/>
        <v>Loss</v>
      </c>
    </row>
    <row r="1156" ht="14.25" customHeight="1">
      <c r="A1156" s="1" t="s">
        <v>1190</v>
      </c>
      <c r="B1156" s="2">
        <v>45004.0</v>
      </c>
      <c r="C1156" s="1" t="s">
        <v>30</v>
      </c>
      <c r="D1156" s="1" t="s">
        <v>27</v>
      </c>
      <c r="E1156" s="1" t="s">
        <v>28</v>
      </c>
      <c r="F1156" s="1">
        <v>235.65</v>
      </c>
      <c r="G1156" s="1">
        <v>158.13</v>
      </c>
      <c r="H1156" s="1">
        <v>4.0</v>
      </c>
      <c r="I1156" s="1" t="s">
        <v>23</v>
      </c>
      <c r="J1156" s="1" t="s">
        <v>24</v>
      </c>
      <c r="K1156" s="1">
        <f t="shared" si="1"/>
        <v>2023</v>
      </c>
      <c r="L1156" s="1" t="str">
        <f t="shared" si="2"/>
        <v>Mar</v>
      </c>
      <c r="M1156" s="1" t="str">
        <f t="shared" si="3"/>
        <v>Profit</v>
      </c>
    </row>
    <row r="1157" ht="14.25" customHeight="1">
      <c r="A1157" s="1" t="s">
        <v>1191</v>
      </c>
      <c r="B1157" s="2">
        <v>44651.0</v>
      </c>
      <c r="C1157" s="1" t="s">
        <v>20</v>
      </c>
      <c r="D1157" s="1" t="s">
        <v>21</v>
      </c>
      <c r="E1157" s="1" t="s">
        <v>22</v>
      </c>
      <c r="F1157" s="1">
        <v>733.25</v>
      </c>
      <c r="G1157" s="1">
        <v>157.04</v>
      </c>
      <c r="H1157" s="1">
        <v>9.0</v>
      </c>
      <c r="I1157" s="1" t="s">
        <v>34</v>
      </c>
      <c r="J1157" s="1" t="s">
        <v>38</v>
      </c>
      <c r="K1157" s="1">
        <f t="shared" si="1"/>
        <v>2022</v>
      </c>
      <c r="L1157" s="1" t="str">
        <f t="shared" si="2"/>
        <v>Mar</v>
      </c>
      <c r="M1157" s="1" t="str">
        <f t="shared" si="3"/>
        <v>Profit</v>
      </c>
    </row>
    <row r="1158" ht="14.25" customHeight="1">
      <c r="A1158" s="1" t="s">
        <v>1192</v>
      </c>
      <c r="B1158" s="2">
        <v>45128.0</v>
      </c>
      <c r="C1158" s="1" t="s">
        <v>14</v>
      </c>
      <c r="D1158" s="1" t="s">
        <v>21</v>
      </c>
      <c r="E1158" s="1" t="s">
        <v>22</v>
      </c>
      <c r="F1158" s="1">
        <v>548.49</v>
      </c>
      <c r="G1158" s="1">
        <v>121.84</v>
      </c>
      <c r="H1158" s="1">
        <v>7.0</v>
      </c>
      <c r="I1158" s="1" t="s">
        <v>34</v>
      </c>
      <c r="J1158" s="1" t="s">
        <v>24</v>
      </c>
      <c r="K1158" s="1">
        <f t="shared" si="1"/>
        <v>2023</v>
      </c>
      <c r="L1158" s="1" t="str">
        <f t="shared" si="2"/>
        <v>Jul</v>
      </c>
      <c r="M1158" s="1" t="str">
        <f t="shared" si="3"/>
        <v>Profit</v>
      </c>
    </row>
    <row r="1159" ht="14.25" customHeight="1">
      <c r="A1159" s="1" t="s">
        <v>1193</v>
      </c>
      <c r="B1159" s="2">
        <v>44570.0</v>
      </c>
      <c r="C1159" s="1" t="s">
        <v>20</v>
      </c>
      <c r="D1159" s="1" t="s">
        <v>15</v>
      </c>
      <c r="E1159" s="1" t="s">
        <v>16</v>
      </c>
      <c r="F1159" s="1">
        <v>185.06</v>
      </c>
      <c r="G1159" s="1">
        <v>159.08</v>
      </c>
      <c r="H1159" s="1">
        <v>5.0</v>
      </c>
      <c r="I1159" s="1" t="s">
        <v>34</v>
      </c>
      <c r="J1159" s="1" t="s">
        <v>35</v>
      </c>
      <c r="K1159" s="1">
        <f t="shared" si="1"/>
        <v>2022</v>
      </c>
      <c r="L1159" s="1" t="str">
        <f t="shared" si="2"/>
        <v>Jan</v>
      </c>
      <c r="M1159" s="1" t="str">
        <f t="shared" si="3"/>
        <v>Profit</v>
      </c>
    </row>
    <row r="1160" ht="14.25" customHeight="1">
      <c r="A1160" s="1" t="s">
        <v>1194</v>
      </c>
      <c r="B1160" s="2">
        <v>45110.0</v>
      </c>
      <c r="C1160" s="1" t="s">
        <v>30</v>
      </c>
      <c r="D1160" s="1" t="s">
        <v>15</v>
      </c>
      <c r="E1160" s="1" t="s">
        <v>54</v>
      </c>
      <c r="F1160" s="1">
        <v>241.24</v>
      </c>
      <c r="G1160" s="1">
        <v>97.03</v>
      </c>
      <c r="H1160" s="1">
        <v>6.0</v>
      </c>
      <c r="I1160" s="1" t="s">
        <v>34</v>
      </c>
      <c r="J1160" s="1" t="s">
        <v>38</v>
      </c>
      <c r="K1160" s="1">
        <f t="shared" si="1"/>
        <v>2023</v>
      </c>
      <c r="L1160" s="1" t="str">
        <f t="shared" si="2"/>
        <v>Jul</v>
      </c>
      <c r="M1160" s="1" t="str">
        <f t="shared" si="3"/>
        <v>Profit</v>
      </c>
    </row>
    <row r="1161" ht="14.25" customHeight="1">
      <c r="A1161" s="1" t="s">
        <v>1195</v>
      </c>
      <c r="B1161" s="2">
        <v>45162.0</v>
      </c>
      <c r="C1161" s="1" t="s">
        <v>20</v>
      </c>
      <c r="D1161" s="1" t="s">
        <v>21</v>
      </c>
      <c r="E1161" s="1" t="s">
        <v>37</v>
      </c>
      <c r="F1161" s="1">
        <v>197.8</v>
      </c>
      <c r="G1161" s="1">
        <v>223.16</v>
      </c>
      <c r="H1161" s="1">
        <v>7.0</v>
      </c>
      <c r="I1161" s="1" t="s">
        <v>17</v>
      </c>
      <c r="J1161" s="1" t="s">
        <v>35</v>
      </c>
      <c r="K1161" s="1">
        <f t="shared" si="1"/>
        <v>2023</v>
      </c>
      <c r="L1161" s="1" t="str">
        <f t="shared" si="2"/>
        <v>Aug</v>
      </c>
      <c r="M1161" s="1" t="str">
        <f t="shared" si="3"/>
        <v>Profit</v>
      </c>
    </row>
    <row r="1162" ht="14.25" customHeight="1">
      <c r="A1162" s="1" t="s">
        <v>1196</v>
      </c>
      <c r="B1162" s="2">
        <v>44945.0</v>
      </c>
      <c r="C1162" s="1" t="s">
        <v>20</v>
      </c>
      <c r="D1162" s="1" t="s">
        <v>21</v>
      </c>
      <c r="E1162" s="1" t="s">
        <v>22</v>
      </c>
      <c r="F1162" s="1">
        <v>897.83</v>
      </c>
      <c r="G1162" s="1">
        <v>-33.71</v>
      </c>
      <c r="H1162" s="1">
        <v>1.0</v>
      </c>
      <c r="I1162" s="1" t="s">
        <v>17</v>
      </c>
      <c r="J1162" s="1" t="s">
        <v>24</v>
      </c>
      <c r="K1162" s="1">
        <f t="shared" si="1"/>
        <v>2023</v>
      </c>
      <c r="L1162" s="1" t="str">
        <f t="shared" si="2"/>
        <v>Jan</v>
      </c>
      <c r="M1162" s="1" t="str">
        <f t="shared" si="3"/>
        <v>Loss</v>
      </c>
    </row>
    <row r="1163" ht="14.25" customHeight="1">
      <c r="A1163" s="1" t="s">
        <v>1197</v>
      </c>
      <c r="B1163" s="2">
        <v>44583.0</v>
      </c>
      <c r="C1163" s="1" t="s">
        <v>30</v>
      </c>
      <c r="D1163" s="1" t="s">
        <v>15</v>
      </c>
      <c r="E1163" s="1" t="s">
        <v>54</v>
      </c>
      <c r="F1163" s="1">
        <v>935.3</v>
      </c>
      <c r="G1163" s="1">
        <v>235.54</v>
      </c>
      <c r="H1163" s="1">
        <v>9.0</v>
      </c>
      <c r="I1163" s="1" t="s">
        <v>34</v>
      </c>
      <c r="J1163" s="1" t="s">
        <v>18</v>
      </c>
      <c r="K1163" s="1">
        <f t="shared" si="1"/>
        <v>2022</v>
      </c>
      <c r="L1163" s="1" t="str">
        <f t="shared" si="2"/>
        <v>Jan</v>
      </c>
      <c r="M1163" s="1" t="str">
        <f t="shared" si="3"/>
        <v>Profit</v>
      </c>
    </row>
    <row r="1164" ht="14.25" customHeight="1">
      <c r="A1164" s="1" t="s">
        <v>1198</v>
      </c>
      <c r="B1164" s="2">
        <v>45059.0</v>
      </c>
      <c r="C1164" s="1" t="s">
        <v>20</v>
      </c>
      <c r="D1164" s="1" t="s">
        <v>27</v>
      </c>
      <c r="E1164" s="1" t="s">
        <v>40</v>
      </c>
      <c r="F1164" s="1">
        <v>577.71</v>
      </c>
      <c r="G1164" s="1">
        <v>220.36</v>
      </c>
      <c r="H1164" s="1">
        <v>10.0</v>
      </c>
      <c r="I1164" s="1" t="s">
        <v>17</v>
      </c>
      <c r="J1164" s="1" t="s">
        <v>38</v>
      </c>
      <c r="K1164" s="1">
        <f t="shared" si="1"/>
        <v>2023</v>
      </c>
      <c r="L1164" s="1" t="str">
        <f t="shared" si="2"/>
        <v>May</v>
      </c>
      <c r="M1164" s="1" t="str">
        <f t="shared" si="3"/>
        <v>Profit</v>
      </c>
    </row>
    <row r="1165" ht="14.25" customHeight="1">
      <c r="A1165" s="1" t="s">
        <v>1199</v>
      </c>
      <c r="B1165" s="2">
        <v>45226.0</v>
      </c>
      <c r="C1165" s="1" t="s">
        <v>14</v>
      </c>
      <c r="D1165" s="1" t="s">
        <v>27</v>
      </c>
      <c r="E1165" s="1" t="s">
        <v>28</v>
      </c>
      <c r="F1165" s="1">
        <v>25.22</v>
      </c>
      <c r="G1165" s="1">
        <v>3.49</v>
      </c>
      <c r="H1165" s="1">
        <v>3.0</v>
      </c>
      <c r="I1165" s="1" t="s">
        <v>17</v>
      </c>
      <c r="J1165" s="1" t="s">
        <v>38</v>
      </c>
      <c r="K1165" s="1">
        <f t="shared" si="1"/>
        <v>2023</v>
      </c>
      <c r="L1165" s="1" t="str">
        <f t="shared" si="2"/>
        <v>Oct</v>
      </c>
      <c r="M1165" s="1" t="str">
        <f t="shared" si="3"/>
        <v>Profit</v>
      </c>
    </row>
    <row r="1166" ht="14.25" customHeight="1">
      <c r="A1166" s="1" t="s">
        <v>1200</v>
      </c>
      <c r="B1166" s="2">
        <v>44380.0</v>
      </c>
      <c r="C1166" s="1" t="s">
        <v>26</v>
      </c>
      <c r="D1166" s="1" t="s">
        <v>21</v>
      </c>
      <c r="E1166" s="1" t="s">
        <v>76</v>
      </c>
      <c r="F1166" s="1">
        <v>104.43</v>
      </c>
      <c r="G1166" s="1">
        <v>-108.82</v>
      </c>
      <c r="H1166" s="1">
        <v>5.0</v>
      </c>
      <c r="I1166" s="1" t="s">
        <v>17</v>
      </c>
      <c r="J1166" s="1" t="s">
        <v>24</v>
      </c>
      <c r="K1166" s="1">
        <f t="shared" si="1"/>
        <v>2021</v>
      </c>
      <c r="L1166" s="1" t="str">
        <f t="shared" si="2"/>
        <v>Jul</v>
      </c>
      <c r="M1166" s="1" t="str">
        <f t="shared" si="3"/>
        <v>Loss</v>
      </c>
    </row>
    <row r="1167" ht="14.25" customHeight="1">
      <c r="A1167" s="1" t="s">
        <v>1201</v>
      </c>
      <c r="B1167" s="2">
        <v>44718.0</v>
      </c>
      <c r="C1167" s="1" t="s">
        <v>14</v>
      </c>
      <c r="D1167" s="1" t="s">
        <v>21</v>
      </c>
      <c r="E1167" s="1" t="s">
        <v>37</v>
      </c>
      <c r="F1167" s="1">
        <v>63.64</v>
      </c>
      <c r="G1167" s="1">
        <v>271.28</v>
      </c>
      <c r="H1167" s="1">
        <v>9.0</v>
      </c>
      <c r="I1167" s="1" t="s">
        <v>23</v>
      </c>
      <c r="J1167" s="1" t="s">
        <v>35</v>
      </c>
      <c r="K1167" s="1">
        <f t="shared" si="1"/>
        <v>2022</v>
      </c>
      <c r="L1167" s="1" t="str">
        <f t="shared" si="2"/>
        <v>Jun</v>
      </c>
      <c r="M1167" s="1" t="str">
        <f t="shared" si="3"/>
        <v>Profit</v>
      </c>
    </row>
    <row r="1168" ht="14.25" customHeight="1">
      <c r="A1168" s="1" t="s">
        <v>1202</v>
      </c>
      <c r="B1168" s="2">
        <v>44261.0</v>
      </c>
      <c r="C1168" s="1" t="s">
        <v>20</v>
      </c>
      <c r="D1168" s="1" t="s">
        <v>15</v>
      </c>
      <c r="E1168" s="1" t="s">
        <v>54</v>
      </c>
      <c r="F1168" s="1">
        <v>877.89</v>
      </c>
      <c r="G1168" s="1">
        <v>271.04</v>
      </c>
      <c r="H1168" s="1">
        <v>9.0</v>
      </c>
      <c r="I1168" s="1" t="s">
        <v>23</v>
      </c>
      <c r="J1168" s="1" t="s">
        <v>35</v>
      </c>
      <c r="K1168" s="1">
        <f t="shared" si="1"/>
        <v>2021</v>
      </c>
      <c r="L1168" s="1" t="str">
        <f t="shared" si="2"/>
        <v>Mar</v>
      </c>
      <c r="M1168" s="1" t="str">
        <f t="shared" si="3"/>
        <v>Profit</v>
      </c>
    </row>
    <row r="1169" ht="14.25" customHeight="1">
      <c r="A1169" s="1" t="s">
        <v>1203</v>
      </c>
      <c r="B1169" s="2">
        <v>44936.0</v>
      </c>
      <c r="C1169" s="1" t="s">
        <v>20</v>
      </c>
      <c r="D1169" s="1" t="s">
        <v>27</v>
      </c>
      <c r="E1169" s="1" t="s">
        <v>40</v>
      </c>
      <c r="F1169" s="1">
        <v>836.14</v>
      </c>
      <c r="G1169" s="1">
        <v>259.06</v>
      </c>
      <c r="H1169" s="1">
        <v>2.0</v>
      </c>
      <c r="I1169" s="1" t="s">
        <v>17</v>
      </c>
      <c r="J1169" s="1" t="s">
        <v>24</v>
      </c>
      <c r="K1169" s="1">
        <f t="shared" si="1"/>
        <v>2023</v>
      </c>
      <c r="L1169" s="1" t="str">
        <f t="shared" si="2"/>
        <v>Jan</v>
      </c>
      <c r="M1169" s="1" t="str">
        <f t="shared" si="3"/>
        <v>Profit</v>
      </c>
    </row>
    <row r="1170" ht="14.25" customHeight="1">
      <c r="A1170" s="1" t="s">
        <v>1204</v>
      </c>
      <c r="B1170" s="2">
        <v>44331.0</v>
      </c>
      <c r="C1170" s="1" t="s">
        <v>30</v>
      </c>
      <c r="D1170" s="1" t="s">
        <v>15</v>
      </c>
      <c r="E1170" s="1" t="s">
        <v>16</v>
      </c>
      <c r="F1170" s="1">
        <v>959.5</v>
      </c>
      <c r="G1170" s="1">
        <v>-185.82</v>
      </c>
      <c r="H1170" s="1">
        <v>5.0</v>
      </c>
      <c r="I1170" s="1" t="s">
        <v>17</v>
      </c>
      <c r="J1170" s="1" t="s">
        <v>35</v>
      </c>
      <c r="K1170" s="1">
        <f t="shared" si="1"/>
        <v>2021</v>
      </c>
      <c r="L1170" s="1" t="str">
        <f t="shared" si="2"/>
        <v>May</v>
      </c>
      <c r="M1170" s="1" t="str">
        <f t="shared" si="3"/>
        <v>Loss</v>
      </c>
    </row>
    <row r="1171" ht="14.25" customHeight="1">
      <c r="A1171" s="1" t="s">
        <v>1205</v>
      </c>
      <c r="B1171" s="2">
        <v>44307.0</v>
      </c>
      <c r="C1171" s="1" t="s">
        <v>20</v>
      </c>
      <c r="D1171" s="1" t="s">
        <v>15</v>
      </c>
      <c r="E1171" s="1" t="s">
        <v>16</v>
      </c>
      <c r="F1171" s="1">
        <v>528.21</v>
      </c>
      <c r="G1171" s="1">
        <v>-45.41</v>
      </c>
      <c r="H1171" s="1">
        <v>2.0</v>
      </c>
      <c r="I1171" s="1" t="s">
        <v>17</v>
      </c>
      <c r="J1171" s="1" t="s">
        <v>18</v>
      </c>
      <c r="K1171" s="1">
        <f t="shared" si="1"/>
        <v>2021</v>
      </c>
      <c r="L1171" s="1" t="str">
        <f t="shared" si="2"/>
        <v>Apr</v>
      </c>
      <c r="M1171" s="1" t="str">
        <f t="shared" si="3"/>
        <v>Loss</v>
      </c>
    </row>
    <row r="1172" ht="14.25" customHeight="1">
      <c r="A1172" s="1" t="s">
        <v>1206</v>
      </c>
      <c r="B1172" s="2">
        <v>44630.0</v>
      </c>
      <c r="C1172" s="1" t="s">
        <v>20</v>
      </c>
      <c r="D1172" s="1" t="s">
        <v>21</v>
      </c>
      <c r="E1172" s="1" t="s">
        <v>76</v>
      </c>
      <c r="F1172" s="1">
        <v>156.08</v>
      </c>
      <c r="G1172" s="1">
        <v>57.94</v>
      </c>
      <c r="H1172" s="1">
        <v>1.0</v>
      </c>
      <c r="I1172" s="1" t="s">
        <v>34</v>
      </c>
      <c r="J1172" s="1" t="s">
        <v>24</v>
      </c>
      <c r="K1172" s="1">
        <f t="shared" si="1"/>
        <v>2022</v>
      </c>
      <c r="L1172" s="1" t="str">
        <f t="shared" si="2"/>
        <v>Mar</v>
      </c>
      <c r="M1172" s="1" t="str">
        <f t="shared" si="3"/>
        <v>Profit</v>
      </c>
    </row>
    <row r="1173" ht="14.25" customHeight="1">
      <c r="A1173" s="1" t="s">
        <v>1207</v>
      </c>
      <c r="B1173" s="2">
        <v>44938.0</v>
      </c>
      <c r="C1173" s="1" t="s">
        <v>26</v>
      </c>
      <c r="D1173" s="1" t="s">
        <v>21</v>
      </c>
      <c r="E1173" s="1" t="s">
        <v>76</v>
      </c>
      <c r="F1173" s="1">
        <v>917.91</v>
      </c>
      <c r="G1173" s="1">
        <v>44.03</v>
      </c>
      <c r="H1173" s="1">
        <v>6.0</v>
      </c>
      <c r="I1173" s="1" t="s">
        <v>23</v>
      </c>
      <c r="J1173" s="1" t="s">
        <v>18</v>
      </c>
      <c r="K1173" s="1">
        <f t="shared" si="1"/>
        <v>2023</v>
      </c>
      <c r="L1173" s="1" t="str">
        <f t="shared" si="2"/>
        <v>Jan</v>
      </c>
      <c r="M1173" s="1" t="str">
        <f t="shared" si="3"/>
        <v>Profit</v>
      </c>
    </row>
    <row r="1174" ht="14.25" customHeight="1">
      <c r="A1174" s="1" t="s">
        <v>1208</v>
      </c>
      <c r="B1174" s="2">
        <v>44423.0</v>
      </c>
      <c r="C1174" s="1" t="s">
        <v>20</v>
      </c>
      <c r="D1174" s="1" t="s">
        <v>21</v>
      </c>
      <c r="E1174" s="1" t="s">
        <v>37</v>
      </c>
      <c r="F1174" s="1">
        <v>881.37</v>
      </c>
      <c r="G1174" s="1">
        <v>-125.01</v>
      </c>
      <c r="H1174" s="1">
        <v>9.0</v>
      </c>
      <c r="I1174" s="1" t="s">
        <v>34</v>
      </c>
      <c r="J1174" s="1" t="s">
        <v>18</v>
      </c>
      <c r="K1174" s="1">
        <f t="shared" si="1"/>
        <v>2021</v>
      </c>
      <c r="L1174" s="1" t="str">
        <f t="shared" si="2"/>
        <v>Aug</v>
      </c>
      <c r="M1174" s="1" t="str">
        <f t="shared" si="3"/>
        <v>Loss</v>
      </c>
    </row>
    <row r="1175" ht="14.25" customHeight="1">
      <c r="A1175" s="1" t="s">
        <v>1209</v>
      </c>
      <c r="B1175" s="2">
        <v>44861.0</v>
      </c>
      <c r="C1175" s="1" t="s">
        <v>30</v>
      </c>
      <c r="D1175" s="1" t="s">
        <v>15</v>
      </c>
      <c r="E1175" s="1" t="s">
        <v>54</v>
      </c>
      <c r="F1175" s="1">
        <v>179.13</v>
      </c>
      <c r="G1175" s="1">
        <v>-70.23</v>
      </c>
      <c r="H1175" s="1">
        <v>2.0</v>
      </c>
      <c r="I1175" s="1" t="s">
        <v>34</v>
      </c>
      <c r="J1175" s="1" t="s">
        <v>18</v>
      </c>
      <c r="K1175" s="1">
        <f t="shared" si="1"/>
        <v>2022</v>
      </c>
      <c r="L1175" s="1" t="str">
        <f t="shared" si="2"/>
        <v>Oct</v>
      </c>
      <c r="M1175" s="1" t="str">
        <f t="shared" si="3"/>
        <v>Loss</v>
      </c>
    </row>
    <row r="1176" ht="14.25" customHeight="1">
      <c r="A1176" s="1" t="s">
        <v>1210</v>
      </c>
      <c r="B1176" s="2">
        <v>45074.0</v>
      </c>
      <c r="C1176" s="1" t="s">
        <v>26</v>
      </c>
      <c r="D1176" s="1" t="s">
        <v>27</v>
      </c>
      <c r="E1176" s="1" t="s">
        <v>28</v>
      </c>
      <c r="F1176" s="1">
        <v>278.69</v>
      </c>
      <c r="G1176" s="1">
        <v>229.93</v>
      </c>
      <c r="H1176" s="1">
        <v>10.0</v>
      </c>
      <c r="I1176" s="1" t="s">
        <v>23</v>
      </c>
      <c r="J1176" s="1" t="s">
        <v>24</v>
      </c>
      <c r="K1176" s="1">
        <f t="shared" si="1"/>
        <v>2023</v>
      </c>
      <c r="L1176" s="1" t="str">
        <f t="shared" si="2"/>
        <v>May</v>
      </c>
      <c r="M1176" s="1" t="str">
        <f t="shared" si="3"/>
        <v>Profit</v>
      </c>
    </row>
    <row r="1177" ht="14.25" customHeight="1">
      <c r="A1177" s="1" t="s">
        <v>1211</v>
      </c>
      <c r="B1177" s="2">
        <v>45186.0</v>
      </c>
      <c r="C1177" s="1" t="s">
        <v>14</v>
      </c>
      <c r="D1177" s="1" t="s">
        <v>15</v>
      </c>
      <c r="E1177" s="1" t="s">
        <v>31</v>
      </c>
      <c r="F1177" s="1">
        <v>42.03</v>
      </c>
      <c r="G1177" s="1">
        <v>194.57</v>
      </c>
      <c r="H1177" s="1">
        <v>6.0</v>
      </c>
      <c r="I1177" s="1" t="s">
        <v>34</v>
      </c>
      <c r="J1177" s="1" t="s">
        <v>24</v>
      </c>
      <c r="K1177" s="1">
        <f t="shared" si="1"/>
        <v>2023</v>
      </c>
      <c r="L1177" s="1" t="str">
        <f t="shared" si="2"/>
        <v>Sep</v>
      </c>
      <c r="M1177" s="1" t="str">
        <f t="shared" si="3"/>
        <v>Profit</v>
      </c>
    </row>
    <row r="1178" ht="14.25" customHeight="1">
      <c r="A1178" s="1" t="s">
        <v>1212</v>
      </c>
      <c r="B1178" s="2">
        <v>44301.0</v>
      </c>
      <c r="C1178" s="1" t="s">
        <v>20</v>
      </c>
      <c r="D1178" s="1" t="s">
        <v>21</v>
      </c>
      <c r="E1178" s="1" t="s">
        <v>76</v>
      </c>
      <c r="F1178" s="1">
        <v>26.31</v>
      </c>
      <c r="G1178" s="1">
        <v>211.02</v>
      </c>
      <c r="H1178" s="1">
        <v>10.0</v>
      </c>
      <c r="I1178" s="1" t="s">
        <v>23</v>
      </c>
      <c r="J1178" s="1" t="s">
        <v>24</v>
      </c>
      <c r="K1178" s="1">
        <f t="shared" si="1"/>
        <v>2021</v>
      </c>
      <c r="L1178" s="1" t="str">
        <f t="shared" si="2"/>
        <v>Apr</v>
      </c>
      <c r="M1178" s="1" t="str">
        <f t="shared" si="3"/>
        <v>Profit</v>
      </c>
    </row>
    <row r="1179" ht="14.25" customHeight="1">
      <c r="A1179" s="1" t="s">
        <v>1213</v>
      </c>
      <c r="B1179" s="2">
        <v>44343.0</v>
      </c>
      <c r="C1179" s="1" t="s">
        <v>14</v>
      </c>
      <c r="D1179" s="1" t="s">
        <v>21</v>
      </c>
      <c r="E1179" s="1" t="s">
        <v>22</v>
      </c>
      <c r="F1179" s="1">
        <v>146.54</v>
      </c>
      <c r="G1179" s="1">
        <v>110.49</v>
      </c>
      <c r="H1179" s="1">
        <v>2.0</v>
      </c>
      <c r="I1179" s="1" t="s">
        <v>17</v>
      </c>
      <c r="J1179" s="1" t="s">
        <v>18</v>
      </c>
      <c r="K1179" s="1">
        <f t="shared" si="1"/>
        <v>2021</v>
      </c>
      <c r="L1179" s="1" t="str">
        <f t="shared" si="2"/>
        <v>May</v>
      </c>
      <c r="M1179" s="1" t="str">
        <f t="shared" si="3"/>
        <v>Profit</v>
      </c>
    </row>
    <row r="1180" ht="14.25" customHeight="1">
      <c r="A1180" s="1" t="s">
        <v>1214</v>
      </c>
      <c r="B1180" s="2">
        <v>44271.0</v>
      </c>
      <c r="C1180" s="1" t="s">
        <v>26</v>
      </c>
      <c r="D1180" s="1" t="s">
        <v>21</v>
      </c>
      <c r="E1180" s="1" t="s">
        <v>37</v>
      </c>
      <c r="F1180" s="1">
        <v>836.72</v>
      </c>
      <c r="G1180" s="1">
        <v>285.86</v>
      </c>
      <c r="H1180" s="1">
        <v>7.0</v>
      </c>
      <c r="I1180" s="1" t="s">
        <v>17</v>
      </c>
      <c r="J1180" s="1" t="s">
        <v>38</v>
      </c>
      <c r="K1180" s="1">
        <f t="shared" si="1"/>
        <v>2021</v>
      </c>
      <c r="L1180" s="1" t="str">
        <f t="shared" si="2"/>
        <v>Mar</v>
      </c>
      <c r="M1180" s="1" t="str">
        <f t="shared" si="3"/>
        <v>Profit</v>
      </c>
    </row>
    <row r="1181" ht="14.25" customHeight="1">
      <c r="A1181" s="1" t="s">
        <v>1215</v>
      </c>
      <c r="B1181" s="2">
        <v>44283.0</v>
      </c>
      <c r="C1181" s="1" t="s">
        <v>26</v>
      </c>
      <c r="D1181" s="1" t="s">
        <v>15</v>
      </c>
      <c r="E1181" s="1" t="s">
        <v>16</v>
      </c>
      <c r="F1181" s="1">
        <v>337.93</v>
      </c>
      <c r="G1181" s="1">
        <v>129.36</v>
      </c>
      <c r="H1181" s="1">
        <v>6.0</v>
      </c>
      <c r="I1181" s="1" t="s">
        <v>17</v>
      </c>
      <c r="J1181" s="1" t="s">
        <v>35</v>
      </c>
      <c r="K1181" s="1">
        <f t="shared" si="1"/>
        <v>2021</v>
      </c>
      <c r="L1181" s="1" t="str">
        <f t="shared" si="2"/>
        <v>Mar</v>
      </c>
      <c r="M1181" s="1" t="str">
        <f t="shared" si="3"/>
        <v>Profit</v>
      </c>
    </row>
    <row r="1182" ht="14.25" customHeight="1">
      <c r="A1182" s="1" t="s">
        <v>1216</v>
      </c>
      <c r="B1182" s="2">
        <v>44806.0</v>
      </c>
      <c r="C1182" s="1" t="s">
        <v>26</v>
      </c>
      <c r="D1182" s="1" t="s">
        <v>21</v>
      </c>
      <c r="E1182" s="1" t="s">
        <v>76</v>
      </c>
      <c r="F1182" s="1">
        <v>592.48</v>
      </c>
      <c r="G1182" s="1">
        <v>43.1</v>
      </c>
      <c r="H1182" s="1">
        <v>3.0</v>
      </c>
      <c r="I1182" s="1" t="s">
        <v>23</v>
      </c>
      <c r="J1182" s="1" t="s">
        <v>18</v>
      </c>
      <c r="K1182" s="1">
        <f t="shared" si="1"/>
        <v>2022</v>
      </c>
      <c r="L1182" s="1" t="str">
        <f t="shared" si="2"/>
        <v>Sep</v>
      </c>
      <c r="M1182" s="1" t="str">
        <f t="shared" si="3"/>
        <v>Profit</v>
      </c>
    </row>
    <row r="1183" ht="14.25" customHeight="1">
      <c r="A1183" s="1" t="s">
        <v>1217</v>
      </c>
      <c r="B1183" s="2">
        <v>44787.0</v>
      </c>
      <c r="C1183" s="1" t="s">
        <v>20</v>
      </c>
      <c r="D1183" s="1" t="s">
        <v>15</v>
      </c>
      <c r="E1183" s="1" t="s">
        <v>31</v>
      </c>
      <c r="F1183" s="1">
        <v>646.14</v>
      </c>
      <c r="G1183" s="1">
        <v>219.94</v>
      </c>
      <c r="H1183" s="1">
        <v>2.0</v>
      </c>
      <c r="I1183" s="1" t="s">
        <v>23</v>
      </c>
      <c r="J1183" s="1" t="s">
        <v>18</v>
      </c>
      <c r="K1183" s="1">
        <f t="shared" si="1"/>
        <v>2022</v>
      </c>
      <c r="L1183" s="1" t="str">
        <f t="shared" si="2"/>
        <v>Aug</v>
      </c>
      <c r="M1183" s="1" t="str">
        <f t="shared" si="3"/>
        <v>Profit</v>
      </c>
    </row>
    <row r="1184" ht="14.25" customHeight="1">
      <c r="A1184" s="1" t="s">
        <v>1218</v>
      </c>
      <c r="B1184" s="2">
        <v>44483.0</v>
      </c>
      <c r="C1184" s="1" t="s">
        <v>14</v>
      </c>
      <c r="D1184" s="1" t="s">
        <v>15</v>
      </c>
      <c r="E1184" s="1" t="s">
        <v>54</v>
      </c>
      <c r="F1184" s="1">
        <v>634.46</v>
      </c>
      <c r="G1184" s="1">
        <v>-31.76</v>
      </c>
      <c r="H1184" s="1">
        <v>9.0</v>
      </c>
      <c r="I1184" s="1" t="s">
        <v>17</v>
      </c>
      <c r="J1184" s="1" t="s">
        <v>38</v>
      </c>
      <c r="K1184" s="1">
        <f t="shared" si="1"/>
        <v>2021</v>
      </c>
      <c r="L1184" s="1" t="str">
        <f t="shared" si="2"/>
        <v>Oct</v>
      </c>
      <c r="M1184" s="1" t="str">
        <f t="shared" si="3"/>
        <v>Loss</v>
      </c>
    </row>
    <row r="1185" ht="14.25" customHeight="1">
      <c r="A1185" s="1" t="s">
        <v>1219</v>
      </c>
      <c r="B1185" s="2">
        <v>44271.0</v>
      </c>
      <c r="C1185" s="1" t="s">
        <v>30</v>
      </c>
      <c r="D1185" s="1" t="s">
        <v>15</v>
      </c>
      <c r="E1185" s="1" t="s">
        <v>16</v>
      </c>
      <c r="F1185" s="1">
        <v>926.85</v>
      </c>
      <c r="G1185" s="1">
        <v>209.66</v>
      </c>
      <c r="H1185" s="1">
        <v>1.0</v>
      </c>
      <c r="I1185" s="1" t="s">
        <v>17</v>
      </c>
      <c r="J1185" s="1" t="s">
        <v>38</v>
      </c>
      <c r="K1185" s="1">
        <f t="shared" si="1"/>
        <v>2021</v>
      </c>
      <c r="L1185" s="1" t="str">
        <f t="shared" si="2"/>
        <v>Mar</v>
      </c>
      <c r="M1185" s="1" t="str">
        <f t="shared" si="3"/>
        <v>Profit</v>
      </c>
    </row>
    <row r="1186" ht="14.25" customHeight="1">
      <c r="A1186" s="1" t="s">
        <v>1220</v>
      </c>
      <c r="B1186" s="2">
        <v>44197.0</v>
      </c>
      <c r="C1186" s="1" t="s">
        <v>30</v>
      </c>
      <c r="D1186" s="1" t="s">
        <v>15</v>
      </c>
      <c r="E1186" s="1" t="s">
        <v>31</v>
      </c>
      <c r="F1186" s="1">
        <v>850.98</v>
      </c>
      <c r="G1186" s="1">
        <v>-58.79</v>
      </c>
      <c r="H1186" s="1">
        <v>6.0</v>
      </c>
      <c r="I1186" s="1" t="s">
        <v>17</v>
      </c>
      <c r="J1186" s="1" t="s">
        <v>35</v>
      </c>
      <c r="K1186" s="1">
        <f t="shared" si="1"/>
        <v>2021</v>
      </c>
      <c r="L1186" s="1" t="str">
        <f t="shared" si="2"/>
        <v>Jan</v>
      </c>
      <c r="M1186" s="1" t="str">
        <f t="shared" si="3"/>
        <v>Loss</v>
      </c>
    </row>
    <row r="1187" ht="14.25" customHeight="1">
      <c r="A1187" s="1" t="s">
        <v>1221</v>
      </c>
      <c r="B1187" s="2">
        <v>44245.0</v>
      </c>
      <c r="C1187" s="1" t="s">
        <v>30</v>
      </c>
      <c r="D1187" s="1" t="s">
        <v>27</v>
      </c>
      <c r="E1187" s="1" t="s">
        <v>33</v>
      </c>
      <c r="F1187" s="1">
        <v>333.85</v>
      </c>
      <c r="G1187" s="1">
        <v>-96.29</v>
      </c>
      <c r="H1187" s="1">
        <v>1.0</v>
      </c>
      <c r="I1187" s="1" t="s">
        <v>23</v>
      </c>
      <c r="J1187" s="1" t="s">
        <v>35</v>
      </c>
      <c r="K1187" s="1">
        <f t="shared" si="1"/>
        <v>2021</v>
      </c>
      <c r="L1187" s="1" t="str">
        <f t="shared" si="2"/>
        <v>Feb</v>
      </c>
      <c r="M1187" s="1" t="str">
        <f t="shared" si="3"/>
        <v>Loss</v>
      </c>
    </row>
    <row r="1188" ht="14.25" customHeight="1">
      <c r="A1188" s="1" t="s">
        <v>1222</v>
      </c>
      <c r="B1188" s="2">
        <v>44310.0</v>
      </c>
      <c r="C1188" s="1" t="s">
        <v>20</v>
      </c>
      <c r="D1188" s="1" t="s">
        <v>27</v>
      </c>
      <c r="E1188" s="1" t="s">
        <v>40</v>
      </c>
      <c r="F1188" s="1">
        <v>539.05</v>
      </c>
      <c r="G1188" s="1">
        <v>193.89</v>
      </c>
      <c r="H1188" s="1">
        <v>4.0</v>
      </c>
      <c r="I1188" s="1" t="s">
        <v>23</v>
      </c>
      <c r="J1188" s="1" t="s">
        <v>18</v>
      </c>
      <c r="K1188" s="1">
        <f t="shared" si="1"/>
        <v>2021</v>
      </c>
      <c r="L1188" s="1" t="str">
        <f t="shared" si="2"/>
        <v>Apr</v>
      </c>
      <c r="M1188" s="1" t="str">
        <f t="shared" si="3"/>
        <v>Profit</v>
      </c>
    </row>
    <row r="1189" ht="14.25" customHeight="1">
      <c r="A1189" s="1" t="s">
        <v>1223</v>
      </c>
      <c r="B1189" s="2">
        <v>44811.0</v>
      </c>
      <c r="C1189" s="1" t="s">
        <v>20</v>
      </c>
      <c r="D1189" s="1" t="s">
        <v>15</v>
      </c>
      <c r="E1189" s="1" t="s">
        <v>54</v>
      </c>
      <c r="F1189" s="1">
        <v>385.97</v>
      </c>
      <c r="G1189" s="1">
        <v>-76.16</v>
      </c>
      <c r="H1189" s="1">
        <v>1.0</v>
      </c>
      <c r="I1189" s="1" t="s">
        <v>23</v>
      </c>
      <c r="J1189" s="1" t="s">
        <v>38</v>
      </c>
      <c r="K1189" s="1">
        <f t="shared" si="1"/>
        <v>2022</v>
      </c>
      <c r="L1189" s="1" t="str">
        <f t="shared" si="2"/>
        <v>Sep</v>
      </c>
      <c r="M1189" s="1" t="str">
        <f t="shared" si="3"/>
        <v>Loss</v>
      </c>
    </row>
    <row r="1190" ht="14.25" customHeight="1">
      <c r="A1190" s="1" t="s">
        <v>1224</v>
      </c>
      <c r="B1190" s="2">
        <v>45094.0</v>
      </c>
      <c r="C1190" s="1" t="s">
        <v>30</v>
      </c>
      <c r="D1190" s="1" t="s">
        <v>27</v>
      </c>
      <c r="E1190" s="1" t="s">
        <v>28</v>
      </c>
      <c r="F1190" s="1">
        <v>885.79</v>
      </c>
      <c r="G1190" s="1">
        <v>225.35</v>
      </c>
      <c r="H1190" s="1">
        <v>9.0</v>
      </c>
      <c r="I1190" s="1" t="s">
        <v>23</v>
      </c>
      <c r="J1190" s="1" t="s">
        <v>24</v>
      </c>
      <c r="K1190" s="1">
        <f t="shared" si="1"/>
        <v>2023</v>
      </c>
      <c r="L1190" s="1" t="str">
        <f t="shared" si="2"/>
        <v>Jun</v>
      </c>
      <c r="M1190" s="1" t="str">
        <f t="shared" si="3"/>
        <v>Profit</v>
      </c>
    </row>
    <row r="1191" ht="14.25" customHeight="1">
      <c r="A1191" s="1" t="s">
        <v>1225</v>
      </c>
      <c r="B1191" s="2">
        <v>44337.0</v>
      </c>
      <c r="C1191" s="1" t="s">
        <v>20</v>
      </c>
      <c r="D1191" s="1" t="s">
        <v>21</v>
      </c>
      <c r="E1191" s="1" t="s">
        <v>37</v>
      </c>
      <c r="F1191" s="1">
        <v>793.24</v>
      </c>
      <c r="G1191" s="1">
        <v>282.77</v>
      </c>
      <c r="H1191" s="1">
        <v>1.0</v>
      </c>
      <c r="I1191" s="1" t="s">
        <v>23</v>
      </c>
      <c r="J1191" s="1" t="s">
        <v>24</v>
      </c>
      <c r="K1191" s="1">
        <f t="shared" si="1"/>
        <v>2021</v>
      </c>
      <c r="L1191" s="1" t="str">
        <f t="shared" si="2"/>
        <v>May</v>
      </c>
      <c r="M1191" s="1" t="str">
        <f t="shared" si="3"/>
        <v>Profit</v>
      </c>
    </row>
    <row r="1192" ht="14.25" customHeight="1">
      <c r="A1192" s="1" t="s">
        <v>1226</v>
      </c>
      <c r="B1192" s="2">
        <v>45258.0</v>
      </c>
      <c r="C1192" s="1" t="s">
        <v>20</v>
      </c>
      <c r="D1192" s="1" t="s">
        <v>15</v>
      </c>
      <c r="E1192" s="1" t="s">
        <v>54</v>
      </c>
      <c r="F1192" s="1">
        <v>821.91</v>
      </c>
      <c r="G1192" s="1">
        <v>-123.23</v>
      </c>
      <c r="H1192" s="1">
        <v>5.0</v>
      </c>
      <c r="I1192" s="1" t="s">
        <v>17</v>
      </c>
      <c r="J1192" s="1" t="s">
        <v>18</v>
      </c>
      <c r="K1192" s="1">
        <f t="shared" si="1"/>
        <v>2023</v>
      </c>
      <c r="L1192" s="1" t="str">
        <f t="shared" si="2"/>
        <v>Nov</v>
      </c>
      <c r="M1192" s="1" t="str">
        <f t="shared" si="3"/>
        <v>Loss</v>
      </c>
    </row>
    <row r="1193" ht="14.25" customHeight="1">
      <c r="A1193" s="1" t="s">
        <v>1227</v>
      </c>
      <c r="B1193" s="2">
        <v>44956.0</v>
      </c>
      <c r="C1193" s="1" t="s">
        <v>14</v>
      </c>
      <c r="D1193" s="1" t="s">
        <v>21</v>
      </c>
      <c r="E1193" s="1" t="s">
        <v>37</v>
      </c>
      <c r="F1193" s="1">
        <v>974.87</v>
      </c>
      <c r="G1193" s="1">
        <v>-159.13</v>
      </c>
      <c r="H1193" s="1">
        <v>10.0</v>
      </c>
      <c r="I1193" s="1" t="s">
        <v>34</v>
      </c>
      <c r="J1193" s="1" t="s">
        <v>24</v>
      </c>
      <c r="K1193" s="1">
        <f t="shared" si="1"/>
        <v>2023</v>
      </c>
      <c r="L1193" s="1" t="str">
        <f t="shared" si="2"/>
        <v>Jan</v>
      </c>
      <c r="M1193" s="1" t="str">
        <f t="shared" si="3"/>
        <v>Loss</v>
      </c>
    </row>
    <row r="1194" ht="14.25" customHeight="1">
      <c r="A1194" s="1" t="s">
        <v>1228</v>
      </c>
      <c r="B1194" s="2">
        <v>45163.0</v>
      </c>
      <c r="C1194" s="1" t="s">
        <v>30</v>
      </c>
      <c r="D1194" s="1" t="s">
        <v>21</v>
      </c>
      <c r="E1194" s="1" t="s">
        <v>22</v>
      </c>
      <c r="F1194" s="1">
        <v>237.77</v>
      </c>
      <c r="G1194" s="1">
        <v>-165.12</v>
      </c>
      <c r="H1194" s="1">
        <v>1.0</v>
      </c>
      <c r="I1194" s="1" t="s">
        <v>23</v>
      </c>
      <c r="J1194" s="1" t="s">
        <v>18</v>
      </c>
      <c r="K1194" s="1">
        <f t="shared" si="1"/>
        <v>2023</v>
      </c>
      <c r="L1194" s="1" t="str">
        <f t="shared" si="2"/>
        <v>Aug</v>
      </c>
      <c r="M1194" s="1" t="str">
        <f t="shared" si="3"/>
        <v>Loss</v>
      </c>
    </row>
    <row r="1195" ht="14.25" customHeight="1">
      <c r="A1195" s="1" t="s">
        <v>1229</v>
      </c>
      <c r="B1195" s="2">
        <v>44818.0</v>
      </c>
      <c r="C1195" s="1" t="s">
        <v>20</v>
      </c>
      <c r="D1195" s="1" t="s">
        <v>15</v>
      </c>
      <c r="E1195" s="1" t="s">
        <v>16</v>
      </c>
      <c r="F1195" s="1">
        <v>223.31</v>
      </c>
      <c r="G1195" s="1">
        <v>93.47</v>
      </c>
      <c r="H1195" s="1">
        <v>1.0</v>
      </c>
      <c r="I1195" s="1" t="s">
        <v>17</v>
      </c>
      <c r="J1195" s="1" t="s">
        <v>18</v>
      </c>
      <c r="K1195" s="1">
        <f t="shared" si="1"/>
        <v>2022</v>
      </c>
      <c r="L1195" s="1" t="str">
        <f t="shared" si="2"/>
        <v>Sep</v>
      </c>
      <c r="M1195" s="1" t="str">
        <f t="shared" si="3"/>
        <v>Profit</v>
      </c>
    </row>
    <row r="1196" ht="14.25" customHeight="1">
      <c r="A1196" s="1" t="s">
        <v>1230</v>
      </c>
      <c r="B1196" s="2">
        <v>44894.0</v>
      </c>
      <c r="C1196" s="1" t="s">
        <v>14</v>
      </c>
      <c r="D1196" s="1" t="s">
        <v>21</v>
      </c>
      <c r="E1196" s="1" t="s">
        <v>37</v>
      </c>
      <c r="F1196" s="1">
        <v>732.19</v>
      </c>
      <c r="G1196" s="1">
        <v>-175.53</v>
      </c>
      <c r="H1196" s="1">
        <v>8.0</v>
      </c>
      <c r="I1196" s="1" t="s">
        <v>17</v>
      </c>
      <c r="J1196" s="1" t="s">
        <v>38</v>
      </c>
      <c r="K1196" s="1">
        <f t="shared" si="1"/>
        <v>2022</v>
      </c>
      <c r="L1196" s="1" t="str">
        <f t="shared" si="2"/>
        <v>Nov</v>
      </c>
      <c r="M1196" s="1" t="str">
        <f t="shared" si="3"/>
        <v>Loss</v>
      </c>
    </row>
    <row r="1197" ht="14.25" customHeight="1">
      <c r="A1197" s="1" t="s">
        <v>1231</v>
      </c>
      <c r="B1197" s="2">
        <v>44487.0</v>
      </c>
      <c r="C1197" s="1" t="s">
        <v>30</v>
      </c>
      <c r="D1197" s="1" t="s">
        <v>21</v>
      </c>
      <c r="E1197" s="1" t="s">
        <v>37</v>
      </c>
      <c r="F1197" s="1">
        <v>842.62</v>
      </c>
      <c r="G1197" s="1">
        <v>-133.15</v>
      </c>
      <c r="H1197" s="1">
        <v>5.0</v>
      </c>
      <c r="I1197" s="1" t="s">
        <v>23</v>
      </c>
      <c r="J1197" s="1" t="s">
        <v>38</v>
      </c>
      <c r="K1197" s="1">
        <f t="shared" si="1"/>
        <v>2021</v>
      </c>
      <c r="L1197" s="1" t="str">
        <f t="shared" si="2"/>
        <v>Oct</v>
      </c>
      <c r="M1197" s="1" t="str">
        <f t="shared" si="3"/>
        <v>Loss</v>
      </c>
    </row>
    <row r="1198" ht="14.25" customHeight="1">
      <c r="A1198" s="1" t="s">
        <v>1232</v>
      </c>
      <c r="B1198" s="2">
        <v>44862.0</v>
      </c>
      <c r="C1198" s="1" t="s">
        <v>30</v>
      </c>
      <c r="D1198" s="1" t="s">
        <v>15</v>
      </c>
      <c r="E1198" s="1" t="s">
        <v>31</v>
      </c>
      <c r="F1198" s="1">
        <v>541.57</v>
      </c>
      <c r="G1198" s="1">
        <v>116.93</v>
      </c>
      <c r="H1198" s="1">
        <v>9.0</v>
      </c>
      <c r="I1198" s="1" t="s">
        <v>34</v>
      </c>
      <c r="J1198" s="1" t="s">
        <v>24</v>
      </c>
      <c r="K1198" s="1">
        <f t="shared" si="1"/>
        <v>2022</v>
      </c>
      <c r="L1198" s="1" t="str">
        <f t="shared" si="2"/>
        <v>Oct</v>
      </c>
      <c r="M1198" s="1" t="str">
        <f t="shared" si="3"/>
        <v>Profit</v>
      </c>
    </row>
    <row r="1199" ht="14.25" customHeight="1">
      <c r="A1199" s="1" t="s">
        <v>1233</v>
      </c>
      <c r="B1199" s="2">
        <v>45121.0</v>
      </c>
      <c r="C1199" s="1" t="s">
        <v>26</v>
      </c>
      <c r="D1199" s="1" t="s">
        <v>15</v>
      </c>
      <c r="E1199" s="1" t="s">
        <v>54</v>
      </c>
      <c r="F1199" s="1">
        <v>546.6</v>
      </c>
      <c r="G1199" s="1">
        <v>104.15</v>
      </c>
      <c r="H1199" s="1">
        <v>6.0</v>
      </c>
      <c r="I1199" s="1" t="s">
        <v>34</v>
      </c>
      <c r="J1199" s="1" t="s">
        <v>18</v>
      </c>
      <c r="K1199" s="1">
        <f t="shared" si="1"/>
        <v>2023</v>
      </c>
      <c r="L1199" s="1" t="str">
        <f t="shared" si="2"/>
        <v>Jul</v>
      </c>
      <c r="M1199" s="1" t="str">
        <f t="shared" si="3"/>
        <v>Profit</v>
      </c>
    </row>
    <row r="1200" ht="14.25" customHeight="1">
      <c r="A1200" s="1" t="s">
        <v>1234</v>
      </c>
      <c r="B1200" s="2">
        <v>44437.0</v>
      </c>
      <c r="C1200" s="1" t="s">
        <v>20</v>
      </c>
      <c r="D1200" s="1" t="s">
        <v>21</v>
      </c>
      <c r="E1200" s="1" t="s">
        <v>37</v>
      </c>
      <c r="F1200" s="1">
        <v>317.47</v>
      </c>
      <c r="G1200" s="1">
        <v>227.81</v>
      </c>
      <c r="H1200" s="1">
        <v>3.0</v>
      </c>
      <c r="I1200" s="1" t="s">
        <v>17</v>
      </c>
      <c r="J1200" s="1" t="s">
        <v>35</v>
      </c>
      <c r="K1200" s="1">
        <f t="shared" si="1"/>
        <v>2021</v>
      </c>
      <c r="L1200" s="1" t="str">
        <f t="shared" si="2"/>
        <v>Aug</v>
      </c>
      <c r="M1200" s="1" t="str">
        <f t="shared" si="3"/>
        <v>Profit</v>
      </c>
    </row>
    <row r="1201" ht="14.25" customHeight="1">
      <c r="A1201" s="1" t="s">
        <v>1235</v>
      </c>
      <c r="B1201" s="2">
        <v>45167.0</v>
      </c>
      <c r="C1201" s="1" t="s">
        <v>20</v>
      </c>
      <c r="D1201" s="1" t="s">
        <v>15</v>
      </c>
      <c r="E1201" s="1" t="s">
        <v>31</v>
      </c>
      <c r="F1201" s="1">
        <v>862.27</v>
      </c>
      <c r="G1201" s="1">
        <v>89.01</v>
      </c>
      <c r="H1201" s="1">
        <v>3.0</v>
      </c>
      <c r="I1201" s="1" t="s">
        <v>34</v>
      </c>
      <c r="J1201" s="1" t="s">
        <v>24</v>
      </c>
      <c r="K1201" s="1">
        <f t="shared" si="1"/>
        <v>2023</v>
      </c>
      <c r="L1201" s="1" t="str">
        <f t="shared" si="2"/>
        <v>Aug</v>
      </c>
      <c r="M1201" s="1" t="str">
        <f t="shared" si="3"/>
        <v>Profit</v>
      </c>
    </row>
    <row r="1202" ht="14.25" customHeight="1">
      <c r="A1202" s="1" t="s">
        <v>1236</v>
      </c>
      <c r="B1202" s="2">
        <v>44630.0</v>
      </c>
      <c r="C1202" s="1" t="s">
        <v>26</v>
      </c>
      <c r="D1202" s="1" t="s">
        <v>15</v>
      </c>
      <c r="E1202" s="1" t="s">
        <v>54</v>
      </c>
      <c r="F1202" s="1">
        <v>756.71</v>
      </c>
      <c r="G1202" s="1">
        <v>-9.61</v>
      </c>
      <c r="H1202" s="1">
        <v>6.0</v>
      </c>
      <c r="I1202" s="1" t="s">
        <v>23</v>
      </c>
      <c r="J1202" s="1" t="s">
        <v>18</v>
      </c>
      <c r="K1202" s="1">
        <f t="shared" si="1"/>
        <v>2022</v>
      </c>
      <c r="L1202" s="1" t="str">
        <f t="shared" si="2"/>
        <v>Mar</v>
      </c>
      <c r="M1202" s="1" t="str">
        <f t="shared" si="3"/>
        <v>Loss</v>
      </c>
    </row>
    <row r="1203" ht="14.25" customHeight="1">
      <c r="A1203" s="1" t="s">
        <v>1237</v>
      </c>
      <c r="B1203" s="2">
        <v>44965.0</v>
      </c>
      <c r="C1203" s="1" t="s">
        <v>26</v>
      </c>
      <c r="D1203" s="1" t="s">
        <v>27</v>
      </c>
      <c r="E1203" s="1" t="s">
        <v>33</v>
      </c>
      <c r="F1203" s="1">
        <v>643.1</v>
      </c>
      <c r="G1203" s="1">
        <v>-34.88</v>
      </c>
      <c r="H1203" s="1">
        <v>6.0</v>
      </c>
      <c r="I1203" s="1" t="s">
        <v>34</v>
      </c>
      <c r="J1203" s="1" t="s">
        <v>18</v>
      </c>
      <c r="K1203" s="1">
        <f t="shared" si="1"/>
        <v>2023</v>
      </c>
      <c r="L1203" s="1" t="str">
        <f t="shared" si="2"/>
        <v>Feb</v>
      </c>
      <c r="M1203" s="1" t="str">
        <f t="shared" si="3"/>
        <v>Loss</v>
      </c>
    </row>
    <row r="1204" ht="14.25" customHeight="1">
      <c r="A1204" s="1" t="s">
        <v>1238</v>
      </c>
      <c r="B1204" s="2">
        <v>44286.0</v>
      </c>
      <c r="C1204" s="1" t="s">
        <v>14</v>
      </c>
      <c r="D1204" s="1" t="s">
        <v>15</v>
      </c>
      <c r="E1204" s="1" t="s">
        <v>16</v>
      </c>
      <c r="F1204" s="1">
        <v>151.96</v>
      </c>
      <c r="G1204" s="1">
        <v>277.93</v>
      </c>
      <c r="H1204" s="1">
        <v>6.0</v>
      </c>
      <c r="I1204" s="1" t="s">
        <v>23</v>
      </c>
      <c r="J1204" s="1" t="s">
        <v>35</v>
      </c>
      <c r="K1204" s="1">
        <f t="shared" si="1"/>
        <v>2021</v>
      </c>
      <c r="L1204" s="1" t="str">
        <f t="shared" si="2"/>
        <v>Mar</v>
      </c>
      <c r="M1204" s="1" t="str">
        <f t="shared" si="3"/>
        <v>Profit</v>
      </c>
    </row>
    <row r="1205" ht="14.25" customHeight="1">
      <c r="A1205" s="1" t="s">
        <v>1239</v>
      </c>
      <c r="B1205" s="2">
        <v>44256.0</v>
      </c>
      <c r="C1205" s="1" t="s">
        <v>14</v>
      </c>
      <c r="D1205" s="1" t="s">
        <v>21</v>
      </c>
      <c r="E1205" s="1" t="s">
        <v>76</v>
      </c>
      <c r="F1205" s="1">
        <v>992.3</v>
      </c>
      <c r="G1205" s="1">
        <v>202.82</v>
      </c>
      <c r="H1205" s="1">
        <v>7.0</v>
      </c>
      <c r="I1205" s="1" t="s">
        <v>17</v>
      </c>
      <c r="J1205" s="1" t="s">
        <v>38</v>
      </c>
      <c r="K1205" s="1">
        <f t="shared" si="1"/>
        <v>2021</v>
      </c>
      <c r="L1205" s="1" t="str">
        <f t="shared" si="2"/>
        <v>Mar</v>
      </c>
      <c r="M1205" s="1" t="str">
        <f t="shared" si="3"/>
        <v>Profit</v>
      </c>
    </row>
    <row r="1206" ht="14.25" customHeight="1">
      <c r="A1206" s="1" t="s">
        <v>1240</v>
      </c>
      <c r="B1206" s="2">
        <v>44589.0</v>
      </c>
      <c r="C1206" s="1" t="s">
        <v>26</v>
      </c>
      <c r="D1206" s="1" t="s">
        <v>21</v>
      </c>
      <c r="E1206" s="1" t="s">
        <v>22</v>
      </c>
      <c r="F1206" s="1">
        <v>468.08</v>
      </c>
      <c r="G1206" s="1">
        <v>-56.07</v>
      </c>
      <c r="H1206" s="1">
        <v>7.0</v>
      </c>
      <c r="I1206" s="1" t="s">
        <v>34</v>
      </c>
      <c r="J1206" s="1" t="s">
        <v>24</v>
      </c>
      <c r="K1206" s="1">
        <f t="shared" si="1"/>
        <v>2022</v>
      </c>
      <c r="L1206" s="1" t="str">
        <f t="shared" si="2"/>
        <v>Jan</v>
      </c>
      <c r="M1206" s="1" t="str">
        <f t="shared" si="3"/>
        <v>Loss</v>
      </c>
    </row>
    <row r="1207" ht="14.25" customHeight="1">
      <c r="A1207" s="1" t="s">
        <v>1241</v>
      </c>
      <c r="B1207" s="2">
        <v>44334.0</v>
      </c>
      <c r="C1207" s="1" t="s">
        <v>30</v>
      </c>
      <c r="D1207" s="1" t="s">
        <v>21</v>
      </c>
      <c r="E1207" s="1" t="s">
        <v>76</v>
      </c>
      <c r="F1207" s="1">
        <v>830.53</v>
      </c>
      <c r="G1207" s="1">
        <v>113.92</v>
      </c>
      <c r="H1207" s="1">
        <v>3.0</v>
      </c>
      <c r="I1207" s="1" t="s">
        <v>23</v>
      </c>
      <c r="J1207" s="1" t="s">
        <v>18</v>
      </c>
      <c r="K1207" s="1">
        <f t="shared" si="1"/>
        <v>2021</v>
      </c>
      <c r="L1207" s="1" t="str">
        <f t="shared" si="2"/>
        <v>May</v>
      </c>
      <c r="M1207" s="1" t="str">
        <f t="shared" si="3"/>
        <v>Profit</v>
      </c>
    </row>
    <row r="1208" ht="14.25" customHeight="1">
      <c r="A1208" s="1" t="s">
        <v>1242</v>
      </c>
      <c r="B1208" s="2">
        <v>44889.0</v>
      </c>
      <c r="C1208" s="1" t="s">
        <v>26</v>
      </c>
      <c r="D1208" s="1" t="s">
        <v>21</v>
      </c>
      <c r="E1208" s="1" t="s">
        <v>76</v>
      </c>
      <c r="F1208" s="1">
        <v>110.86</v>
      </c>
      <c r="G1208" s="1">
        <v>-159.77</v>
      </c>
      <c r="H1208" s="1">
        <v>1.0</v>
      </c>
      <c r="I1208" s="1" t="s">
        <v>17</v>
      </c>
      <c r="J1208" s="1" t="s">
        <v>18</v>
      </c>
      <c r="K1208" s="1">
        <f t="shared" si="1"/>
        <v>2022</v>
      </c>
      <c r="L1208" s="1" t="str">
        <f t="shared" si="2"/>
        <v>Nov</v>
      </c>
      <c r="M1208" s="1" t="str">
        <f t="shared" si="3"/>
        <v>Loss</v>
      </c>
    </row>
    <row r="1209" ht="14.25" customHeight="1">
      <c r="A1209" s="1" t="s">
        <v>1243</v>
      </c>
      <c r="B1209" s="2">
        <v>44651.0</v>
      </c>
      <c r="C1209" s="1" t="s">
        <v>26</v>
      </c>
      <c r="D1209" s="1" t="s">
        <v>15</v>
      </c>
      <c r="E1209" s="1" t="s">
        <v>54</v>
      </c>
      <c r="F1209" s="1">
        <v>220.74</v>
      </c>
      <c r="G1209" s="1">
        <v>293.34</v>
      </c>
      <c r="H1209" s="1">
        <v>1.0</v>
      </c>
      <c r="I1209" s="1" t="s">
        <v>17</v>
      </c>
      <c r="J1209" s="1" t="s">
        <v>24</v>
      </c>
      <c r="K1209" s="1">
        <f t="shared" si="1"/>
        <v>2022</v>
      </c>
      <c r="L1209" s="1" t="str">
        <f t="shared" si="2"/>
        <v>Mar</v>
      </c>
      <c r="M1209" s="1" t="str">
        <f t="shared" si="3"/>
        <v>Profit</v>
      </c>
    </row>
    <row r="1210" ht="14.25" customHeight="1">
      <c r="A1210" s="1" t="s">
        <v>1244</v>
      </c>
      <c r="B1210" s="2">
        <v>44197.0</v>
      </c>
      <c r="C1210" s="1" t="s">
        <v>20</v>
      </c>
      <c r="D1210" s="1" t="s">
        <v>15</v>
      </c>
      <c r="E1210" s="1" t="s">
        <v>31</v>
      </c>
      <c r="F1210" s="1">
        <v>277.07</v>
      </c>
      <c r="G1210" s="1">
        <v>-51.5</v>
      </c>
      <c r="H1210" s="1">
        <v>8.0</v>
      </c>
      <c r="I1210" s="1" t="s">
        <v>23</v>
      </c>
      <c r="J1210" s="1" t="s">
        <v>18</v>
      </c>
      <c r="K1210" s="1">
        <f t="shared" si="1"/>
        <v>2021</v>
      </c>
      <c r="L1210" s="1" t="str">
        <f t="shared" si="2"/>
        <v>Jan</v>
      </c>
      <c r="M1210" s="1" t="str">
        <f t="shared" si="3"/>
        <v>Loss</v>
      </c>
    </row>
    <row r="1211" ht="14.25" customHeight="1">
      <c r="A1211" s="1" t="s">
        <v>1245</v>
      </c>
      <c r="B1211" s="2">
        <v>44448.0</v>
      </c>
      <c r="C1211" s="1" t="s">
        <v>14</v>
      </c>
      <c r="D1211" s="1" t="s">
        <v>15</v>
      </c>
      <c r="E1211" s="1" t="s">
        <v>31</v>
      </c>
      <c r="F1211" s="1">
        <v>600.13</v>
      </c>
      <c r="G1211" s="1">
        <v>65.73</v>
      </c>
      <c r="H1211" s="1">
        <v>3.0</v>
      </c>
      <c r="I1211" s="1" t="s">
        <v>34</v>
      </c>
      <c r="J1211" s="1" t="s">
        <v>24</v>
      </c>
      <c r="K1211" s="1">
        <f t="shared" si="1"/>
        <v>2021</v>
      </c>
      <c r="L1211" s="1" t="str">
        <f t="shared" si="2"/>
        <v>Sep</v>
      </c>
      <c r="M1211" s="1" t="str">
        <f t="shared" si="3"/>
        <v>Profit</v>
      </c>
    </row>
    <row r="1212" ht="14.25" customHeight="1">
      <c r="A1212" s="1" t="s">
        <v>1246</v>
      </c>
      <c r="B1212" s="2">
        <v>44304.0</v>
      </c>
      <c r="C1212" s="1" t="s">
        <v>14</v>
      </c>
      <c r="D1212" s="1" t="s">
        <v>21</v>
      </c>
      <c r="E1212" s="1" t="s">
        <v>37</v>
      </c>
      <c r="F1212" s="1">
        <v>881.71</v>
      </c>
      <c r="G1212" s="1">
        <v>-152.77</v>
      </c>
      <c r="H1212" s="1">
        <v>2.0</v>
      </c>
      <c r="I1212" s="1" t="s">
        <v>17</v>
      </c>
      <c r="J1212" s="1" t="s">
        <v>35</v>
      </c>
      <c r="K1212" s="1">
        <f t="shared" si="1"/>
        <v>2021</v>
      </c>
      <c r="L1212" s="1" t="str">
        <f t="shared" si="2"/>
        <v>Apr</v>
      </c>
      <c r="M1212" s="1" t="str">
        <f t="shared" si="3"/>
        <v>Loss</v>
      </c>
    </row>
    <row r="1213" ht="14.25" customHeight="1">
      <c r="A1213" s="1" t="s">
        <v>1247</v>
      </c>
      <c r="B1213" s="2">
        <v>44303.0</v>
      </c>
      <c r="C1213" s="1" t="s">
        <v>14</v>
      </c>
      <c r="D1213" s="1" t="s">
        <v>15</v>
      </c>
      <c r="E1213" s="1" t="s">
        <v>16</v>
      </c>
      <c r="F1213" s="1">
        <v>768.27</v>
      </c>
      <c r="G1213" s="1">
        <v>290.67</v>
      </c>
      <c r="H1213" s="1">
        <v>9.0</v>
      </c>
      <c r="I1213" s="1" t="s">
        <v>17</v>
      </c>
      <c r="J1213" s="1" t="s">
        <v>24</v>
      </c>
      <c r="K1213" s="1">
        <f t="shared" si="1"/>
        <v>2021</v>
      </c>
      <c r="L1213" s="1" t="str">
        <f t="shared" si="2"/>
        <v>Apr</v>
      </c>
      <c r="M1213" s="1" t="str">
        <f t="shared" si="3"/>
        <v>Profit</v>
      </c>
    </row>
    <row r="1214" ht="14.25" customHeight="1">
      <c r="A1214" s="1" t="s">
        <v>1248</v>
      </c>
      <c r="B1214" s="2">
        <v>44586.0</v>
      </c>
      <c r="C1214" s="1" t="s">
        <v>14</v>
      </c>
      <c r="D1214" s="1" t="s">
        <v>15</v>
      </c>
      <c r="E1214" s="1" t="s">
        <v>54</v>
      </c>
      <c r="F1214" s="1">
        <v>530.57</v>
      </c>
      <c r="G1214" s="1">
        <v>78.81</v>
      </c>
      <c r="H1214" s="1">
        <v>9.0</v>
      </c>
      <c r="I1214" s="1" t="s">
        <v>23</v>
      </c>
      <c r="J1214" s="1" t="s">
        <v>24</v>
      </c>
      <c r="K1214" s="1">
        <f t="shared" si="1"/>
        <v>2022</v>
      </c>
      <c r="L1214" s="1" t="str">
        <f t="shared" si="2"/>
        <v>Jan</v>
      </c>
      <c r="M1214" s="1" t="str">
        <f t="shared" si="3"/>
        <v>Profit</v>
      </c>
    </row>
    <row r="1215" ht="14.25" customHeight="1">
      <c r="A1215" s="1" t="s">
        <v>1249</v>
      </c>
      <c r="B1215" s="2">
        <v>44796.0</v>
      </c>
      <c r="C1215" s="1" t="s">
        <v>14</v>
      </c>
      <c r="D1215" s="1" t="s">
        <v>15</v>
      </c>
      <c r="E1215" s="1" t="s">
        <v>54</v>
      </c>
      <c r="F1215" s="1">
        <v>744.83</v>
      </c>
      <c r="G1215" s="1">
        <v>-190.63</v>
      </c>
      <c r="H1215" s="1">
        <v>8.0</v>
      </c>
      <c r="I1215" s="1" t="s">
        <v>34</v>
      </c>
      <c r="J1215" s="1" t="s">
        <v>18</v>
      </c>
      <c r="K1215" s="1">
        <f t="shared" si="1"/>
        <v>2022</v>
      </c>
      <c r="L1215" s="1" t="str">
        <f t="shared" si="2"/>
        <v>Aug</v>
      </c>
      <c r="M1215" s="1" t="str">
        <f t="shared" si="3"/>
        <v>Loss</v>
      </c>
    </row>
    <row r="1216" ht="14.25" customHeight="1">
      <c r="A1216" s="1" t="s">
        <v>1250</v>
      </c>
      <c r="B1216" s="2">
        <v>44957.0</v>
      </c>
      <c r="C1216" s="1" t="s">
        <v>26</v>
      </c>
      <c r="D1216" s="1" t="s">
        <v>15</v>
      </c>
      <c r="E1216" s="1" t="s">
        <v>54</v>
      </c>
      <c r="F1216" s="1">
        <v>230.16</v>
      </c>
      <c r="G1216" s="1">
        <v>226.91</v>
      </c>
      <c r="H1216" s="1">
        <v>7.0</v>
      </c>
      <c r="I1216" s="1" t="s">
        <v>34</v>
      </c>
      <c r="J1216" s="1" t="s">
        <v>35</v>
      </c>
      <c r="K1216" s="1">
        <f t="shared" si="1"/>
        <v>2023</v>
      </c>
      <c r="L1216" s="1" t="str">
        <f t="shared" si="2"/>
        <v>Jan</v>
      </c>
      <c r="M1216" s="1" t="str">
        <f t="shared" si="3"/>
        <v>Profit</v>
      </c>
    </row>
    <row r="1217" ht="14.25" customHeight="1">
      <c r="A1217" s="1" t="s">
        <v>1251</v>
      </c>
      <c r="B1217" s="2">
        <v>45257.0</v>
      </c>
      <c r="C1217" s="1" t="s">
        <v>14</v>
      </c>
      <c r="D1217" s="1" t="s">
        <v>21</v>
      </c>
      <c r="E1217" s="1" t="s">
        <v>22</v>
      </c>
      <c r="F1217" s="1">
        <v>693.73</v>
      </c>
      <c r="G1217" s="1">
        <v>-152.27</v>
      </c>
      <c r="H1217" s="1">
        <v>6.0</v>
      </c>
      <c r="I1217" s="1" t="s">
        <v>17</v>
      </c>
      <c r="J1217" s="1" t="s">
        <v>35</v>
      </c>
      <c r="K1217" s="1">
        <f t="shared" si="1"/>
        <v>2023</v>
      </c>
      <c r="L1217" s="1" t="str">
        <f t="shared" si="2"/>
        <v>Nov</v>
      </c>
      <c r="M1217" s="1" t="str">
        <f t="shared" si="3"/>
        <v>Loss</v>
      </c>
    </row>
    <row r="1218" ht="14.25" customHeight="1">
      <c r="A1218" s="1" t="s">
        <v>1252</v>
      </c>
      <c r="B1218" s="2">
        <v>44203.0</v>
      </c>
      <c r="C1218" s="1" t="s">
        <v>14</v>
      </c>
      <c r="D1218" s="1" t="s">
        <v>15</v>
      </c>
      <c r="E1218" s="1" t="s">
        <v>54</v>
      </c>
      <c r="F1218" s="1">
        <v>555.45</v>
      </c>
      <c r="G1218" s="1">
        <v>173.16</v>
      </c>
      <c r="H1218" s="1">
        <v>3.0</v>
      </c>
      <c r="I1218" s="1" t="s">
        <v>17</v>
      </c>
      <c r="J1218" s="1" t="s">
        <v>38</v>
      </c>
      <c r="K1218" s="1">
        <f t="shared" si="1"/>
        <v>2021</v>
      </c>
      <c r="L1218" s="1" t="str">
        <f t="shared" si="2"/>
        <v>Jan</v>
      </c>
      <c r="M1218" s="1" t="str">
        <f t="shared" si="3"/>
        <v>Profit</v>
      </c>
    </row>
    <row r="1219" ht="14.25" customHeight="1">
      <c r="A1219" s="1" t="s">
        <v>1253</v>
      </c>
      <c r="B1219" s="2">
        <v>44328.0</v>
      </c>
      <c r="C1219" s="1" t="s">
        <v>30</v>
      </c>
      <c r="D1219" s="1" t="s">
        <v>27</v>
      </c>
      <c r="E1219" s="1" t="s">
        <v>28</v>
      </c>
      <c r="F1219" s="1">
        <v>290.43</v>
      </c>
      <c r="G1219" s="1">
        <v>104.85</v>
      </c>
      <c r="H1219" s="1">
        <v>8.0</v>
      </c>
      <c r="I1219" s="1" t="s">
        <v>23</v>
      </c>
      <c r="J1219" s="1" t="s">
        <v>18</v>
      </c>
      <c r="K1219" s="1">
        <f t="shared" si="1"/>
        <v>2021</v>
      </c>
      <c r="L1219" s="1" t="str">
        <f t="shared" si="2"/>
        <v>May</v>
      </c>
      <c r="M1219" s="1" t="str">
        <f t="shared" si="3"/>
        <v>Profit</v>
      </c>
    </row>
    <row r="1220" ht="14.25" customHeight="1">
      <c r="A1220" s="1" t="s">
        <v>1254</v>
      </c>
      <c r="B1220" s="2">
        <v>44531.0</v>
      </c>
      <c r="C1220" s="1" t="s">
        <v>14</v>
      </c>
      <c r="D1220" s="1" t="s">
        <v>15</v>
      </c>
      <c r="E1220" s="1" t="s">
        <v>31</v>
      </c>
      <c r="F1220" s="1">
        <v>59.32</v>
      </c>
      <c r="G1220" s="1">
        <v>-30.95</v>
      </c>
      <c r="H1220" s="1">
        <v>9.0</v>
      </c>
      <c r="I1220" s="1" t="s">
        <v>34</v>
      </c>
      <c r="J1220" s="1" t="s">
        <v>38</v>
      </c>
      <c r="K1220" s="1">
        <f t="shared" si="1"/>
        <v>2021</v>
      </c>
      <c r="L1220" s="1" t="str">
        <f t="shared" si="2"/>
        <v>Dec</v>
      </c>
      <c r="M1220" s="1" t="str">
        <f t="shared" si="3"/>
        <v>Loss</v>
      </c>
    </row>
    <row r="1221" ht="14.25" customHeight="1">
      <c r="A1221" s="1" t="s">
        <v>1255</v>
      </c>
      <c r="B1221" s="2">
        <v>44507.0</v>
      </c>
      <c r="C1221" s="1" t="s">
        <v>26</v>
      </c>
      <c r="D1221" s="1" t="s">
        <v>21</v>
      </c>
      <c r="E1221" s="1" t="s">
        <v>22</v>
      </c>
      <c r="F1221" s="1">
        <v>234.4</v>
      </c>
      <c r="G1221" s="1">
        <v>-1.75</v>
      </c>
      <c r="H1221" s="1">
        <v>2.0</v>
      </c>
      <c r="I1221" s="1" t="s">
        <v>34</v>
      </c>
      <c r="J1221" s="1" t="s">
        <v>18</v>
      </c>
      <c r="K1221" s="1">
        <f t="shared" si="1"/>
        <v>2021</v>
      </c>
      <c r="L1221" s="1" t="str">
        <f t="shared" si="2"/>
        <v>Nov</v>
      </c>
      <c r="M1221" s="1" t="str">
        <f t="shared" si="3"/>
        <v>Loss</v>
      </c>
    </row>
    <row r="1222" ht="14.25" customHeight="1">
      <c r="A1222" s="1" t="s">
        <v>1256</v>
      </c>
      <c r="B1222" s="2">
        <v>44792.0</v>
      </c>
      <c r="C1222" s="1" t="s">
        <v>30</v>
      </c>
      <c r="D1222" s="1" t="s">
        <v>21</v>
      </c>
      <c r="E1222" s="1" t="s">
        <v>37</v>
      </c>
      <c r="F1222" s="1">
        <v>105.67</v>
      </c>
      <c r="G1222" s="1">
        <v>79.66</v>
      </c>
      <c r="H1222" s="1">
        <v>7.0</v>
      </c>
      <c r="I1222" s="1" t="s">
        <v>34</v>
      </c>
      <c r="J1222" s="1" t="s">
        <v>24</v>
      </c>
      <c r="K1222" s="1">
        <f t="shared" si="1"/>
        <v>2022</v>
      </c>
      <c r="L1222" s="1" t="str">
        <f t="shared" si="2"/>
        <v>Aug</v>
      </c>
      <c r="M1222" s="1" t="str">
        <f t="shared" si="3"/>
        <v>Profit</v>
      </c>
    </row>
    <row r="1223" ht="14.25" customHeight="1">
      <c r="A1223" s="1" t="s">
        <v>1257</v>
      </c>
      <c r="B1223" s="2">
        <v>44842.0</v>
      </c>
      <c r="C1223" s="1" t="s">
        <v>14</v>
      </c>
      <c r="D1223" s="1" t="s">
        <v>21</v>
      </c>
      <c r="E1223" s="1" t="s">
        <v>22</v>
      </c>
      <c r="F1223" s="1">
        <v>150.23</v>
      </c>
      <c r="G1223" s="1">
        <v>39.06</v>
      </c>
      <c r="H1223" s="1">
        <v>2.0</v>
      </c>
      <c r="I1223" s="1" t="s">
        <v>17</v>
      </c>
      <c r="J1223" s="1" t="s">
        <v>38</v>
      </c>
      <c r="K1223" s="1">
        <f t="shared" si="1"/>
        <v>2022</v>
      </c>
      <c r="L1223" s="1" t="str">
        <f t="shared" si="2"/>
        <v>Oct</v>
      </c>
      <c r="M1223" s="1" t="str">
        <f t="shared" si="3"/>
        <v>Profit</v>
      </c>
    </row>
    <row r="1224" ht="14.25" customHeight="1">
      <c r="A1224" s="1" t="s">
        <v>1258</v>
      </c>
      <c r="B1224" s="2">
        <v>44676.0</v>
      </c>
      <c r="C1224" s="1" t="s">
        <v>30</v>
      </c>
      <c r="D1224" s="1" t="s">
        <v>15</v>
      </c>
      <c r="E1224" s="1" t="s">
        <v>54</v>
      </c>
      <c r="F1224" s="1">
        <v>640.3</v>
      </c>
      <c r="G1224" s="1">
        <v>287.21</v>
      </c>
      <c r="H1224" s="1">
        <v>2.0</v>
      </c>
      <c r="I1224" s="1" t="s">
        <v>34</v>
      </c>
      <c r="J1224" s="1" t="s">
        <v>35</v>
      </c>
      <c r="K1224" s="1">
        <f t="shared" si="1"/>
        <v>2022</v>
      </c>
      <c r="L1224" s="1" t="str">
        <f t="shared" si="2"/>
        <v>Apr</v>
      </c>
      <c r="M1224" s="1" t="str">
        <f t="shared" si="3"/>
        <v>Profit</v>
      </c>
    </row>
    <row r="1225" ht="14.25" customHeight="1">
      <c r="A1225" s="1" t="s">
        <v>1259</v>
      </c>
      <c r="B1225" s="2">
        <v>45221.0</v>
      </c>
      <c r="C1225" s="1" t="s">
        <v>14</v>
      </c>
      <c r="D1225" s="1" t="s">
        <v>27</v>
      </c>
      <c r="E1225" s="1" t="s">
        <v>33</v>
      </c>
      <c r="F1225" s="1">
        <v>959.68</v>
      </c>
      <c r="G1225" s="1">
        <v>142.42</v>
      </c>
      <c r="H1225" s="1">
        <v>9.0</v>
      </c>
      <c r="I1225" s="1" t="s">
        <v>34</v>
      </c>
      <c r="J1225" s="1" t="s">
        <v>38</v>
      </c>
      <c r="K1225" s="1">
        <f t="shared" si="1"/>
        <v>2023</v>
      </c>
      <c r="L1225" s="1" t="str">
        <f t="shared" si="2"/>
        <v>Oct</v>
      </c>
      <c r="M1225" s="1" t="str">
        <f t="shared" si="3"/>
        <v>Profit</v>
      </c>
    </row>
    <row r="1226" ht="14.25" customHeight="1">
      <c r="A1226" s="1" t="s">
        <v>1260</v>
      </c>
      <c r="B1226" s="2">
        <v>45002.0</v>
      </c>
      <c r="C1226" s="1" t="s">
        <v>20</v>
      </c>
      <c r="D1226" s="1" t="s">
        <v>15</v>
      </c>
      <c r="E1226" s="1" t="s">
        <v>54</v>
      </c>
      <c r="F1226" s="1">
        <v>71.8</v>
      </c>
      <c r="G1226" s="1">
        <v>-1.56</v>
      </c>
      <c r="H1226" s="1">
        <v>7.0</v>
      </c>
      <c r="I1226" s="1" t="s">
        <v>34</v>
      </c>
      <c r="J1226" s="1" t="s">
        <v>35</v>
      </c>
      <c r="K1226" s="1">
        <f t="shared" si="1"/>
        <v>2023</v>
      </c>
      <c r="L1226" s="1" t="str">
        <f t="shared" si="2"/>
        <v>Mar</v>
      </c>
      <c r="M1226" s="1" t="str">
        <f t="shared" si="3"/>
        <v>Loss</v>
      </c>
    </row>
    <row r="1227" ht="14.25" customHeight="1">
      <c r="A1227" s="1" t="s">
        <v>1261</v>
      </c>
      <c r="B1227" s="2">
        <v>44819.0</v>
      </c>
      <c r="C1227" s="1" t="s">
        <v>30</v>
      </c>
      <c r="D1227" s="1" t="s">
        <v>27</v>
      </c>
      <c r="E1227" s="1" t="s">
        <v>28</v>
      </c>
      <c r="F1227" s="1">
        <v>964.64</v>
      </c>
      <c r="G1227" s="1">
        <v>240.1</v>
      </c>
      <c r="H1227" s="1">
        <v>2.0</v>
      </c>
      <c r="I1227" s="1" t="s">
        <v>17</v>
      </c>
      <c r="J1227" s="1" t="s">
        <v>38</v>
      </c>
      <c r="K1227" s="1">
        <f t="shared" si="1"/>
        <v>2022</v>
      </c>
      <c r="L1227" s="1" t="str">
        <f t="shared" si="2"/>
        <v>Sep</v>
      </c>
      <c r="M1227" s="1" t="str">
        <f t="shared" si="3"/>
        <v>Profit</v>
      </c>
    </row>
    <row r="1228" ht="14.25" customHeight="1">
      <c r="A1228" s="1" t="s">
        <v>1262</v>
      </c>
      <c r="B1228" s="2">
        <v>44469.0</v>
      </c>
      <c r="C1228" s="1" t="s">
        <v>30</v>
      </c>
      <c r="D1228" s="1" t="s">
        <v>27</v>
      </c>
      <c r="E1228" s="1" t="s">
        <v>28</v>
      </c>
      <c r="F1228" s="1">
        <v>240.48</v>
      </c>
      <c r="G1228" s="1">
        <v>-172.62</v>
      </c>
      <c r="H1228" s="1">
        <v>5.0</v>
      </c>
      <c r="I1228" s="1" t="s">
        <v>34</v>
      </c>
      <c r="J1228" s="1" t="s">
        <v>38</v>
      </c>
      <c r="K1228" s="1">
        <f t="shared" si="1"/>
        <v>2021</v>
      </c>
      <c r="L1228" s="1" t="str">
        <f t="shared" si="2"/>
        <v>Sep</v>
      </c>
      <c r="M1228" s="1" t="str">
        <f t="shared" si="3"/>
        <v>Loss</v>
      </c>
    </row>
    <row r="1229" ht="14.25" customHeight="1">
      <c r="A1229" s="1" t="s">
        <v>1263</v>
      </c>
      <c r="B1229" s="2">
        <v>44714.0</v>
      </c>
      <c r="C1229" s="1" t="s">
        <v>26</v>
      </c>
      <c r="D1229" s="1" t="s">
        <v>27</v>
      </c>
      <c r="E1229" s="1" t="s">
        <v>40</v>
      </c>
      <c r="F1229" s="1">
        <v>667.43</v>
      </c>
      <c r="G1229" s="1">
        <v>-34.32</v>
      </c>
      <c r="H1229" s="1">
        <v>6.0</v>
      </c>
      <c r="I1229" s="1" t="s">
        <v>17</v>
      </c>
      <c r="J1229" s="1" t="s">
        <v>35</v>
      </c>
      <c r="K1229" s="1">
        <f t="shared" si="1"/>
        <v>2022</v>
      </c>
      <c r="L1229" s="1" t="str">
        <f t="shared" si="2"/>
        <v>Jun</v>
      </c>
      <c r="M1229" s="1" t="str">
        <f t="shared" si="3"/>
        <v>Loss</v>
      </c>
    </row>
    <row r="1230" ht="14.25" customHeight="1">
      <c r="A1230" s="1" t="s">
        <v>1264</v>
      </c>
      <c r="B1230" s="2">
        <v>44977.0</v>
      </c>
      <c r="C1230" s="1" t="s">
        <v>20</v>
      </c>
      <c r="D1230" s="1" t="s">
        <v>27</v>
      </c>
      <c r="E1230" s="1" t="s">
        <v>33</v>
      </c>
      <c r="F1230" s="1">
        <v>261.51</v>
      </c>
      <c r="G1230" s="1">
        <v>-178.65</v>
      </c>
      <c r="H1230" s="1">
        <v>1.0</v>
      </c>
      <c r="I1230" s="1" t="s">
        <v>23</v>
      </c>
      <c r="J1230" s="1" t="s">
        <v>35</v>
      </c>
      <c r="K1230" s="1">
        <f t="shared" si="1"/>
        <v>2023</v>
      </c>
      <c r="L1230" s="1" t="str">
        <f t="shared" si="2"/>
        <v>Feb</v>
      </c>
      <c r="M1230" s="1" t="str">
        <f t="shared" si="3"/>
        <v>Loss</v>
      </c>
    </row>
    <row r="1231" ht="14.25" customHeight="1">
      <c r="A1231" s="1" t="s">
        <v>1265</v>
      </c>
      <c r="B1231" s="2">
        <v>44999.0</v>
      </c>
      <c r="C1231" s="1" t="s">
        <v>26</v>
      </c>
      <c r="D1231" s="1" t="s">
        <v>27</v>
      </c>
      <c r="E1231" s="1" t="s">
        <v>33</v>
      </c>
      <c r="F1231" s="1">
        <v>288.65</v>
      </c>
      <c r="G1231" s="1">
        <v>-57.18</v>
      </c>
      <c r="H1231" s="1">
        <v>4.0</v>
      </c>
      <c r="I1231" s="1" t="s">
        <v>17</v>
      </c>
      <c r="J1231" s="1" t="s">
        <v>24</v>
      </c>
      <c r="K1231" s="1">
        <f t="shared" si="1"/>
        <v>2023</v>
      </c>
      <c r="L1231" s="1" t="str">
        <f t="shared" si="2"/>
        <v>Mar</v>
      </c>
      <c r="M1231" s="1" t="str">
        <f t="shared" si="3"/>
        <v>Loss</v>
      </c>
    </row>
    <row r="1232" ht="14.25" customHeight="1">
      <c r="A1232" s="1" t="s">
        <v>1266</v>
      </c>
      <c r="B1232" s="2">
        <v>45269.0</v>
      </c>
      <c r="C1232" s="1" t="s">
        <v>26</v>
      </c>
      <c r="D1232" s="1" t="s">
        <v>15</v>
      </c>
      <c r="E1232" s="1" t="s">
        <v>54</v>
      </c>
      <c r="F1232" s="1">
        <v>292.58</v>
      </c>
      <c r="G1232" s="1">
        <v>-3.38</v>
      </c>
      <c r="H1232" s="1">
        <v>10.0</v>
      </c>
      <c r="I1232" s="1" t="s">
        <v>17</v>
      </c>
      <c r="J1232" s="1" t="s">
        <v>24</v>
      </c>
      <c r="K1232" s="1">
        <f t="shared" si="1"/>
        <v>2023</v>
      </c>
      <c r="L1232" s="1" t="str">
        <f t="shared" si="2"/>
        <v>Dec</v>
      </c>
      <c r="M1232" s="1" t="str">
        <f t="shared" si="3"/>
        <v>Loss</v>
      </c>
    </row>
    <row r="1233" ht="14.25" customHeight="1">
      <c r="A1233" s="1" t="s">
        <v>1267</v>
      </c>
      <c r="B1233" s="2">
        <v>44538.0</v>
      </c>
      <c r="C1233" s="1" t="s">
        <v>14</v>
      </c>
      <c r="D1233" s="1" t="s">
        <v>21</v>
      </c>
      <c r="E1233" s="1" t="s">
        <v>22</v>
      </c>
      <c r="F1233" s="1">
        <v>88.17</v>
      </c>
      <c r="G1233" s="1">
        <v>138.07</v>
      </c>
      <c r="H1233" s="1">
        <v>9.0</v>
      </c>
      <c r="I1233" s="1" t="s">
        <v>17</v>
      </c>
      <c r="J1233" s="1" t="s">
        <v>24</v>
      </c>
      <c r="K1233" s="1">
        <f t="shared" si="1"/>
        <v>2021</v>
      </c>
      <c r="L1233" s="1" t="str">
        <f t="shared" si="2"/>
        <v>Dec</v>
      </c>
      <c r="M1233" s="1" t="str">
        <f t="shared" si="3"/>
        <v>Profit</v>
      </c>
    </row>
    <row r="1234" ht="14.25" customHeight="1">
      <c r="A1234" s="1" t="s">
        <v>1268</v>
      </c>
      <c r="B1234" s="2">
        <v>45167.0</v>
      </c>
      <c r="C1234" s="1" t="s">
        <v>20</v>
      </c>
      <c r="D1234" s="1" t="s">
        <v>27</v>
      </c>
      <c r="E1234" s="1" t="s">
        <v>28</v>
      </c>
      <c r="F1234" s="1">
        <v>528.32</v>
      </c>
      <c r="G1234" s="1">
        <v>201.13</v>
      </c>
      <c r="H1234" s="1">
        <v>4.0</v>
      </c>
      <c r="I1234" s="1" t="s">
        <v>34</v>
      </c>
      <c r="J1234" s="1" t="s">
        <v>35</v>
      </c>
      <c r="K1234" s="1">
        <f t="shared" si="1"/>
        <v>2023</v>
      </c>
      <c r="L1234" s="1" t="str">
        <f t="shared" si="2"/>
        <v>Aug</v>
      </c>
      <c r="M1234" s="1" t="str">
        <f t="shared" si="3"/>
        <v>Profit</v>
      </c>
    </row>
    <row r="1235" ht="14.25" customHeight="1">
      <c r="A1235" s="1" t="s">
        <v>1269</v>
      </c>
      <c r="B1235" s="2">
        <v>44989.0</v>
      </c>
      <c r="C1235" s="1" t="s">
        <v>14</v>
      </c>
      <c r="D1235" s="1" t="s">
        <v>27</v>
      </c>
      <c r="E1235" s="1" t="s">
        <v>33</v>
      </c>
      <c r="F1235" s="1">
        <v>960.13</v>
      </c>
      <c r="G1235" s="1">
        <v>-127.33</v>
      </c>
      <c r="H1235" s="1">
        <v>8.0</v>
      </c>
      <c r="I1235" s="1" t="s">
        <v>23</v>
      </c>
      <c r="J1235" s="1" t="s">
        <v>38</v>
      </c>
      <c r="K1235" s="1">
        <f t="shared" si="1"/>
        <v>2023</v>
      </c>
      <c r="L1235" s="1" t="str">
        <f t="shared" si="2"/>
        <v>Mar</v>
      </c>
      <c r="M1235" s="1" t="str">
        <f t="shared" si="3"/>
        <v>Loss</v>
      </c>
    </row>
    <row r="1236" ht="14.25" customHeight="1">
      <c r="A1236" s="1" t="s">
        <v>1270</v>
      </c>
      <c r="B1236" s="2">
        <v>44320.0</v>
      </c>
      <c r="C1236" s="1" t="s">
        <v>26</v>
      </c>
      <c r="D1236" s="1" t="s">
        <v>27</v>
      </c>
      <c r="E1236" s="1" t="s">
        <v>28</v>
      </c>
      <c r="F1236" s="1">
        <v>909.79</v>
      </c>
      <c r="G1236" s="1">
        <v>67.03</v>
      </c>
      <c r="H1236" s="1">
        <v>4.0</v>
      </c>
      <c r="I1236" s="1" t="s">
        <v>34</v>
      </c>
      <c r="J1236" s="1" t="s">
        <v>18</v>
      </c>
      <c r="K1236" s="1">
        <f t="shared" si="1"/>
        <v>2021</v>
      </c>
      <c r="L1236" s="1" t="str">
        <f t="shared" si="2"/>
        <v>May</v>
      </c>
      <c r="M1236" s="1" t="str">
        <f t="shared" si="3"/>
        <v>Profit</v>
      </c>
    </row>
    <row r="1237" ht="14.25" customHeight="1">
      <c r="A1237" s="1" t="s">
        <v>1271</v>
      </c>
      <c r="B1237" s="2">
        <v>45001.0</v>
      </c>
      <c r="C1237" s="1" t="s">
        <v>30</v>
      </c>
      <c r="D1237" s="1" t="s">
        <v>21</v>
      </c>
      <c r="E1237" s="1" t="s">
        <v>76</v>
      </c>
      <c r="F1237" s="1">
        <v>217.11</v>
      </c>
      <c r="G1237" s="1">
        <v>123.25</v>
      </c>
      <c r="H1237" s="1">
        <v>10.0</v>
      </c>
      <c r="I1237" s="1" t="s">
        <v>17</v>
      </c>
      <c r="J1237" s="1" t="s">
        <v>24</v>
      </c>
      <c r="K1237" s="1">
        <f t="shared" si="1"/>
        <v>2023</v>
      </c>
      <c r="L1237" s="1" t="str">
        <f t="shared" si="2"/>
        <v>Mar</v>
      </c>
      <c r="M1237" s="1" t="str">
        <f t="shared" si="3"/>
        <v>Profit</v>
      </c>
    </row>
    <row r="1238" ht="14.25" customHeight="1">
      <c r="A1238" s="1" t="s">
        <v>1272</v>
      </c>
      <c r="B1238" s="2">
        <v>44591.0</v>
      </c>
      <c r="C1238" s="1" t="s">
        <v>14</v>
      </c>
      <c r="D1238" s="1" t="s">
        <v>27</v>
      </c>
      <c r="E1238" s="1" t="s">
        <v>28</v>
      </c>
      <c r="F1238" s="1">
        <v>85.39</v>
      </c>
      <c r="G1238" s="1">
        <v>134.01</v>
      </c>
      <c r="H1238" s="1">
        <v>2.0</v>
      </c>
      <c r="I1238" s="1" t="s">
        <v>23</v>
      </c>
      <c r="J1238" s="1" t="s">
        <v>35</v>
      </c>
      <c r="K1238" s="1">
        <f t="shared" si="1"/>
        <v>2022</v>
      </c>
      <c r="L1238" s="1" t="str">
        <f t="shared" si="2"/>
        <v>Jan</v>
      </c>
      <c r="M1238" s="1" t="str">
        <f t="shared" si="3"/>
        <v>Profit</v>
      </c>
    </row>
    <row r="1239" ht="14.25" customHeight="1">
      <c r="A1239" s="1" t="s">
        <v>1273</v>
      </c>
      <c r="B1239" s="2">
        <v>44930.0</v>
      </c>
      <c r="C1239" s="1" t="s">
        <v>30</v>
      </c>
      <c r="D1239" s="1" t="s">
        <v>21</v>
      </c>
      <c r="E1239" s="1" t="s">
        <v>22</v>
      </c>
      <c r="F1239" s="1">
        <v>44.52</v>
      </c>
      <c r="G1239" s="1">
        <v>-68.24</v>
      </c>
      <c r="H1239" s="1">
        <v>8.0</v>
      </c>
      <c r="I1239" s="1" t="s">
        <v>23</v>
      </c>
      <c r="J1239" s="1" t="s">
        <v>18</v>
      </c>
      <c r="K1239" s="1">
        <f t="shared" si="1"/>
        <v>2023</v>
      </c>
      <c r="L1239" s="1" t="str">
        <f t="shared" si="2"/>
        <v>Jan</v>
      </c>
      <c r="M1239" s="1" t="str">
        <f t="shared" si="3"/>
        <v>Loss</v>
      </c>
    </row>
    <row r="1240" ht="14.25" customHeight="1">
      <c r="A1240" s="1" t="s">
        <v>1274</v>
      </c>
      <c r="B1240" s="2">
        <v>44999.0</v>
      </c>
      <c r="C1240" s="1" t="s">
        <v>20</v>
      </c>
      <c r="D1240" s="1" t="s">
        <v>27</v>
      </c>
      <c r="E1240" s="1" t="s">
        <v>40</v>
      </c>
      <c r="F1240" s="1">
        <v>26.19</v>
      </c>
      <c r="G1240" s="1">
        <v>268.46</v>
      </c>
      <c r="H1240" s="1">
        <v>5.0</v>
      </c>
      <c r="I1240" s="1" t="s">
        <v>23</v>
      </c>
      <c r="J1240" s="1" t="s">
        <v>35</v>
      </c>
      <c r="K1240" s="1">
        <f t="shared" si="1"/>
        <v>2023</v>
      </c>
      <c r="L1240" s="1" t="str">
        <f t="shared" si="2"/>
        <v>Mar</v>
      </c>
      <c r="M1240" s="1" t="str">
        <f t="shared" si="3"/>
        <v>Profit</v>
      </c>
    </row>
    <row r="1241" ht="14.25" customHeight="1">
      <c r="A1241" s="1" t="s">
        <v>1275</v>
      </c>
      <c r="B1241" s="2">
        <v>44703.0</v>
      </c>
      <c r="C1241" s="1" t="s">
        <v>20</v>
      </c>
      <c r="D1241" s="1" t="s">
        <v>21</v>
      </c>
      <c r="E1241" s="1" t="s">
        <v>37</v>
      </c>
      <c r="F1241" s="1">
        <v>215.67</v>
      </c>
      <c r="G1241" s="1">
        <v>196.36</v>
      </c>
      <c r="H1241" s="1">
        <v>4.0</v>
      </c>
      <c r="I1241" s="1" t="s">
        <v>34</v>
      </c>
      <c r="J1241" s="1" t="s">
        <v>18</v>
      </c>
      <c r="K1241" s="1">
        <f t="shared" si="1"/>
        <v>2022</v>
      </c>
      <c r="L1241" s="1" t="str">
        <f t="shared" si="2"/>
        <v>May</v>
      </c>
      <c r="M1241" s="1" t="str">
        <f t="shared" si="3"/>
        <v>Profit</v>
      </c>
    </row>
    <row r="1242" ht="14.25" customHeight="1">
      <c r="A1242" s="1" t="s">
        <v>1276</v>
      </c>
      <c r="B1242" s="2">
        <v>45288.0</v>
      </c>
      <c r="C1242" s="1" t="s">
        <v>20</v>
      </c>
      <c r="D1242" s="1" t="s">
        <v>27</v>
      </c>
      <c r="E1242" s="1" t="s">
        <v>28</v>
      </c>
      <c r="F1242" s="1">
        <v>317.62</v>
      </c>
      <c r="G1242" s="1">
        <v>17.35</v>
      </c>
      <c r="H1242" s="1">
        <v>9.0</v>
      </c>
      <c r="I1242" s="1" t="s">
        <v>23</v>
      </c>
      <c r="J1242" s="1" t="s">
        <v>24</v>
      </c>
      <c r="K1242" s="1">
        <f t="shared" si="1"/>
        <v>2023</v>
      </c>
      <c r="L1242" s="1" t="str">
        <f t="shared" si="2"/>
        <v>Dec</v>
      </c>
      <c r="M1242" s="1" t="str">
        <f t="shared" si="3"/>
        <v>Profit</v>
      </c>
    </row>
    <row r="1243" ht="14.25" customHeight="1">
      <c r="A1243" s="1" t="s">
        <v>1277</v>
      </c>
      <c r="B1243" s="2">
        <v>44374.0</v>
      </c>
      <c r="C1243" s="1" t="s">
        <v>26</v>
      </c>
      <c r="D1243" s="1" t="s">
        <v>27</v>
      </c>
      <c r="E1243" s="1" t="s">
        <v>28</v>
      </c>
      <c r="F1243" s="1">
        <v>933.03</v>
      </c>
      <c r="G1243" s="1">
        <v>-175.41</v>
      </c>
      <c r="H1243" s="1">
        <v>8.0</v>
      </c>
      <c r="I1243" s="1" t="s">
        <v>34</v>
      </c>
      <c r="J1243" s="1" t="s">
        <v>24</v>
      </c>
      <c r="K1243" s="1">
        <f t="shared" si="1"/>
        <v>2021</v>
      </c>
      <c r="L1243" s="1" t="str">
        <f t="shared" si="2"/>
        <v>Jun</v>
      </c>
      <c r="M1243" s="1" t="str">
        <f t="shared" si="3"/>
        <v>Loss</v>
      </c>
    </row>
    <row r="1244" ht="14.25" customHeight="1">
      <c r="A1244" s="1" t="s">
        <v>1278</v>
      </c>
      <c r="B1244" s="2">
        <v>44787.0</v>
      </c>
      <c r="C1244" s="1" t="s">
        <v>26</v>
      </c>
      <c r="D1244" s="1" t="s">
        <v>15</v>
      </c>
      <c r="E1244" s="1" t="s">
        <v>31</v>
      </c>
      <c r="F1244" s="1">
        <v>563.87</v>
      </c>
      <c r="G1244" s="1">
        <v>-22.49</v>
      </c>
      <c r="H1244" s="1">
        <v>5.0</v>
      </c>
      <c r="I1244" s="1" t="s">
        <v>17</v>
      </c>
      <c r="J1244" s="1" t="s">
        <v>38</v>
      </c>
      <c r="K1244" s="1">
        <f t="shared" si="1"/>
        <v>2022</v>
      </c>
      <c r="L1244" s="1" t="str">
        <f t="shared" si="2"/>
        <v>Aug</v>
      </c>
      <c r="M1244" s="1" t="str">
        <f t="shared" si="3"/>
        <v>Loss</v>
      </c>
    </row>
    <row r="1245" ht="14.25" customHeight="1">
      <c r="A1245" s="1" t="s">
        <v>1279</v>
      </c>
      <c r="B1245" s="2">
        <v>44666.0</v>
      </c>
      <c r="C1245" s="1" t="s">
        <v>14</v>
      </c>
      <c r="D1245" s="1" t="s">
        <v>27</v>
      </c>
      <c r="E1245" s="1" t="s">
        <v>33</v>
      </c>
      <c r="F1245" s="1">
        <v>518.68</v>
      </c>
      <c r="G1245" s="1">
        <v>101.74</v>
      </c>
      <c r="H1245" s="1">
        <v>4.0</v>
      </c>
      <c r="I1245" s="1" t="s">
        <v>17</v>
      </c>
      <c r="J1245" s="1" t="s">
        <v>38</v>
      </c>
      <c r="K1245" s="1">
        <f t="shared" si="1"/>
        <v>2022</v>
      </c>
      <c r="L1245" s="1" t="str">
        <f t="shared" si="2"/>
        <v>Apr</v>
      </c>
      <c r="M1245" s="1" t="str">
        <f t="shared" si="3"/>
        <v>Profit</v>
      </c>
    </row>
    <row r="1246" ht="14.25" customHeight="1">
      <c r="A1246" s="1" t="s">
        <v>1280</v>
      </c>
      <c r="B1246" s="2">
        <v>44824.0</v>
      </c>
      <c r="C1246" s="1" t="s">
        <v>26</v>
      </c>
      <c r="D1246" s="1" t="s">
        <v>15</v>
      </c>
      <c r="E1246" s="1" t="s">
        <v>16</v>
      </c>
      <c r="F1246" s="1">
        <v>992.27</v>
      </c>
      <c r="G1246" s="1">
        <v>-112.05</v>
      </c>
      <c r="H1246" s="1">
        <v>9.0</v>
      </c>
      <c r="I1246" s="1" t="s">
        <v>23</v>
      </c>
      <c r="J1246" s="1" t="s">
        <v>35</v>
      </c>
      <c r="K1246" s="1">
        <f t="shared" si="1"/>
        <v>2022</v>
      </c>
      <c r="L1246" s="1" t="str">
        <f t="shared" si="2"/>
        <v>Sep</v>
      </c>
      <c r="M1246" s="1" t="str">
        <f t="shared" si="3"/>
        <v>Loss</v>
      </c>
    </row>
    <row r="1247" ht="14.25" customHeight="1">
      <c r="A1247" s="1" t="s">
        <v>1281</v>
      </c>
      <c r="B1247" s="2">
        <v>44539.0</v>
      </c>
      <c r="C1247" s="1" t="s">
        <v>26</v>
      </c>
      <c r="D1247" s="1" t="s">
        <v>21</v>
      </c>
      <c r="E1247" s="1" t="s">
        <v>37</v>
      </c>
      <c r="F1247" s="1">
        <v>549.12</v>
      </c>
      <c r="G1247" s="1">
        <v>85.88</v>
      </c>
      <c r="H1247" s="1">
        <v>4.0</v>
      </c>
      <c r="I1247" s="1" t="s">
        <v>23</v>
      </c>
      <c r="J1247" s="1" t="s">
        <v>38</v>
      </c>
      <c r="K1247" s="1">
        <f t="shared" si="1"/>
        <v>2021</v>
      </c>
      <c r="L1247" s="1" t="str">
        <f t="shared" si="2"/>
        <v>Dec</v>
      </c>
      <c r="M1247" s="1" t="str">
        <f t="shared" si="3"/>
        <v>Profit</v>
      </c>
    </row>
    <row r="1248" ht="14.25" customHeight="1">
      <c r="A1248" s="1" t="s">
        <v>1282</v>
      </c>
      <c r="B1248" s="2">
        <v>45256.0</v>
      </c>
      <c r="C1248" s="1" t="s">
        <v>26</v>
      </c>
      <c r="D1248" s="1" t="s">
        <v>27</v>
      </c>
      <c r="E1248" s="1" t="s">
        <v>28</v>
      </c>
      <c r="F1248" s="1">
        <v>966.34</v>
      </c>
      <c r="G1248" s="1">
        <v>126.52</v>
      </c>
      <c r="H1248" s="1">
        <v>7.0</v>
      </c>
      <c r="I1248" s="1" t="s">
        <v>23</v>
      </c>
      <c r="J1248" s="1" t="s">
        <v>38</v>
      </c>
      <c r="K1248" s="1">
        <f t="shared" si="1"/>
        <v>2023</v>
      </c>
      <c r="L1248" s="1" t="str">
        <f t="shared" si="2"/>
        <v>Nov</v>
      </c>
      <c r="M1248" s="1" t="str">
        <f t="shared" si="3"/>
        <v>Profit</v>
      </c>
    </row>
    <row r="1249" ht="14.25" customHeight="1">
      <c r="A1249" s="1" t="s">
        <v>1283</v>
      </c>
      <c r="B1249" s="2">
        <v>44727.0</v>
      </c>
      <c r="C1249" s="1" t="s">
        <v>26</v>
      </c>
      <c r="D1249" s="1" t="s">
        <v>21</v>
      </c>
      <c r="E1249" s="1" t="s">
        <v>22</v>
      </c>
      <c r="F1249" s="1">
        <v>149.2</v>
      </c>
      <c r="G1249" s="1">
        <v>-60.4</v>
      </c>
      <c r="H1249" s="1">
        <v>9.0</v>
      </c>
      <c r="I1249" s="1" t="s">
        <v>34</v>
      </c>
      <c r="J1249" s="1" t="s">
        <v>18</v>
      </c>
      <c r="K1249" s="1">
        <f t="shared" si="1"/>
        <v>2022</v>
      </c>
      <c r="L1249" s="1" t="str">
        <f t="shared" si="2"/>
        <v>Jun</v>
      </c>
      <c r="M1249" s="1" t="str">
        <f t="shared" si="3"/>
        <v>Loss</v>
      </c>
    </row>
    <row r="1250" ht="14.25" customHeight="1">
      <c r="A1250" s="1" t="s">
        <v>1284</v>
      </c>
      <c r="B1250" s="2">
        <v>44755.0</v>
      </c>
      <c r="C1250" s="1" t="s">
        <v>14</v>
      </c>
      <c r="D1250" s="1" t="s">
        <v>15</v>
      </c>
      <c r="E1250" s="1" t="s">
        <v>54</v>
      </c>
      <c r="F1250" s="1">
        <v>519.91</v>
      </c>
      <c r="G1250" s="1">
        <v>206.44</v>
      </c>
      <c r="H1250" s="1">
        <v>7.0</v>
      </c>
      <c r="I1250" s="1" t="s">
        <v>17</v>
      </c>
      <c r="J1250" s="1" t="s">
        <v>18</v>
      </c>
      <c r="K1250" s="1">
        <f t="shared" si="1"/>
        <v>2022</v>
      </c>
      <c r="L1250" s="1" t="str">
        <f t="shared" si="2"/>
        <v>Jul</v>
      </c>
      <c r="M1250" s="1" t="str">
        <f t="shared" si="3"/>
        <v>Profit</v>
      </c>
    </row>
    <row r="1251" ht="14.25" customHeight="1">
      <c r="A1251" s="1" t="s">
        <v>1285</v>
      </c>
      <c r="B1251" s="2">
        <v>44264.0</v>
      </c>
      <c r="C1251" s="1" t="s">
        <v>26</v>
      </c>
      <c r="D1251" s="1" t="s">
        <v>21</v>
      </c>
      <c r="E1251" s="1" t="s">
        <v>37</v>
      </c>
      <c r="F1251" s="1">
        <v>293.56</v>
      </c>
      <c r="G1251" s="1">
        <v>35.65</v>
      </c>
      <c r="H1251" s="1">
        <v>10.0</v>
      </c>
      <c r="I1251" s="1" t="s">
        <v>17</v>
      </c>
      <c r="J1251" s="1" t="s">
        <v>24</v>
      </c>
      <c r="K1251" s="1">
        <f t="shared" si="1"/>
        <v>2021</v>
      </c>
      <c r="L1251" s="1" t="str">
        <f t="shared" si="2"/>
        <v>Mar</v>
      </c>
      <c r="M1251" s="1" t="str">
        <f t="shared" si="3"/>
        <v>Profit</v>
      </c>
    </row>
    <row r="1252" ht="14.25" customHeight="1">
      <c r="A1252" s="1" t="s">
        <v>1286</v>
      </c>
      <c r="B1252" s="2">
        <v>44263.0</v>
      </c>
      <c r="C1252" s="1" t="s">
        <v>26</v>
      </c>
      <c r="D1252" s="1" t="s">
        <v>15</v>
      </c>
      <c r="E1252" s="1" t="s">
        <v>31</v>
      </c>
      <c r="F1252" s="1">
        <v>615.91</v>
      </c>
      <c r="G1252" s="1">
        <v>217.11</v>
      </c>
      <c r="H1252" s="1">
        <v>3.0</v>
      </c>
      <c r="I1252" s="1" t="s">
        <v>23</v>
      </c>
      <c r="J1252" s="1" t="s">
        <v>35</v>
      </c>
      <c r="K1252" s="1">
        <f t="shared" si="1"/>
        <v>2021</v>
      </c>
      <c r="L1252" s="1" t="str">
        <f t="shared" si="2"/>
        <v>Mar</v>
      </c>
      <c r="M1252" s="1" t="str">
        <f t="shared" si="3"/>
        <v>Profit</v>
      </c>
    </row>
    <row r="1253" ht="14.25" customHeight="1">
      <c r="A1253" s="1" t="s">
        <v>1287</v>
      </c>
      <c r="B1253" s="2">
        <v>44773.0</v>
      </c>
      <c r="C1253" s="1" t="s">
        <v>20</v>
      </c>
      <c r="D1253" s="1" t="s">
        <v>15</v>
      </c>
      <c r="E1253" s="1" t="s">
        <v>31</v>
      </c>
      <c r="F1253" s="1">
        <v>524.8</v>
      </c>
      <c r="G1253" s="1">
        <v>-189.83</v>
      </c>
      <c r="H1253" s="1">
        <v>4.0</v>
      </c>
      <c r="I1253" s="1" t="s">
        <v>17</v>
      </c>
      <c r="J1253" s="1" t="s">
        <v>38</v>
      </c>
      <c r="K1253" s="1">
        <f t="shared" si="1"/>
        <v>2022</v>
      </c>
      <c r="L1253" s="1" t="str">
        <f t="shared" si="2"/>
        <v>Jul</v>
      </c>
      <c r="M1253" s="1" t="str">
        <f t="shared" si="3"/>
        <v>Loss</v>
      </c>
    </row>
    <row r="1254" ht="14.25" customHeight="1">
      <c r="A1254" s="1" t="s">
        <v>1288</v>
      </c>
      <c r="B1254" s="2">
        <v>45147.0</v>
      </c>
      <c r="C1254" s="1" t="s">
        <v>26</v>
      </c>
      <c r="D1254" s="1" t="s">
        <v>27</v>
      </c>
      <c r="E1254" s="1" t="s">
        <v>28</v>
      </c>
      <c r="F1254" s="1">
        <v>982.16</v>
      </c>
      <c r="G1254" s="1">
        <v>-20.42</v>
      </c>
      <c r="H1254" s="1">
        <v>2.0</v>
      </c>
      <c r="I1254" s="1" t="s">
        <v>23</v>
      </c>
      <c r="J1254" s="1" t="s">
        <v>18</v>
      </c>
      <c r="K1254" s="1">
        <f t="shared" si="1"/>
        <v>2023</v>
      </c>
      <c r="L1254" s="1" t="str">
        <f t="shared" si="2"/>
        <v>Aug</v>
      </c>
      <c r="M1254" s="1" t="str">
        <f t="shared" si="3"/>
        <v>Loss</v>
      </c>
    </row>
    <row r="1255" ht="14.25" customHeight="1">
      <c r="A1255" s="1" t="s">
        <v>1289</v>
      </c>
      <c r="B1255" s="2">
        <v>45058.0</v>
      </c>
      <c r="C1255" s="1" t="s">
        <v>20</v>
      </c>
      <c r="D1255" s="1" t="s">
        <v>27</v>
      </c>
      <c r="E1255" s="1" t="s">
        <v>33</v>
      </c>
      <c r="F1255" s="1">
        <v>604.72</v>
      </c>
      <c r="G1255" s="1">
        <v>-63.06</v>
      </c>
      <c r="H1255" s="1">
        <v>6.0</v>
      </c>
      <c r="I1255" s="1" t="s">
        <v>23</v>
      </c>
      <c r="J1255" s="1" t="s">
        <v>18</v>
      </c>
      <c r="K1255" s="1">
        <f t="shared" si="1"/>
        <v>2023</v>
      </c>
      <c r="L1255" s="1" t="str">
        <f t="shared" si="2"/>
        <v>May</v>
      </c>
      <c r="M1255" s="1" t="str">
        <f t="shared" si="3"/>
        <v>Loss</v>
      </c>
    </row>
    <row r="1256" ht="14.25" customHeight="1">
      <c r="A1256" s="1" t="s">
        <v>1290</v>
      </c>
      <c r="B1256" s="2">
        <v>44737.0</v>
      </c>
      <c r="C1256" s="1" t="s">
        <v>30</v>
      </c>
      <c r="D1256" s="1" t="s">
        <v>27</v>
      </c>
      <c r="E1256" s="1" t="s">
        <v>33</v>
      </c>
      <c r="F1256" s="1">
        <v>956.37</v>
      </c>
      <c r="G1256" s="1">
        <v>-20.32</v>
      </c>
      <c r="H1256" s="1">
        <v>7.0</v>
      </c>
      <c r="I1256" s="1" t="s">
        <v>23</v>
      </c>
      <c r="J1256" s="1" t="s">
        <v>18</v>
      </c>
      <c r="K1256" s="1">
        <f t="shared" si="1"/>
        <v>2022</v>
      </c>
      <c r="L1256" s="1" t="str">
        <f t="shared" si="2"/>
        <v>Jun</v>
      </c>
      <c r="M1256" s="1" t="str">
        <f t="shared" si="3"/>
        <v>Loss</v>
      </c>
    </row>
    <row r="1257" ht="14.25" customHeight="1">
      <c r="A1257" s="1" t="s">
        <v>1291</v>
      </c>
      <c r="B1257" s="2">
        <v>44225.0</v>
      </c>
      <c r="C1257" s="1" t="s">
        <v>30</v>
      </c>
      <c r="D1257" s="1" t="s">
        <v>27</v>
      </c>
      <c r="E1257" s="1" t="s">
        <v>40</v>
      </c>
      <c r="F1257" s="1">
        <v>266.67</v>
      </c>
      <c r="G1257" s="1">
        <v>115.82</v>
      </c>
      <c r="H1257" s="1">
        <v>6.0</v>
      </c>
      <c r="I1257" s="1" t="s">
        <v>17</v>
      </c>
      <c r="J1257" s="1" t="s">
        <v>35</v>
      </c>
      <c r="K1257" s="1">
        <f t="shared" si="1"/>
        <v>2021</v>
      </c>
      <c r="L1257" s="1" t="str">
        <f t="shared" si="2"/>
        <v>Jan</v>
      </c>
      <c r="M1257" s="1" t="str">
        <f t="shared" si="3"/>
        <v>Profit</v>
      </c>
    </row>
    <row r="1258" ht="14.25" customHeight="1">
      <c r="A1258" s="1" t="s">
        <v>1292</v>
      </c>
      <c r="B1258" s="2">
        <v>44965.0</v>
      </c>
      <c r="C1258" s="1" t="s">
        <v>14</v>
      </c>
      <c r="D1258" s="1" t="s">
        <v>15</v>
      </c>
      <c r="E1258" s="1" t="s">
        <v>31</v>
      </c>
      <c r="F1258" s="1">
        <v>841.76</v>
      </c>
      <c r="G1258" s="1">
        <v>192.46</v>
      </c>
      <c r="H1258" s="1">
        <v>4.0</v>
      </c>
      <c r="I1258" s="1" t="s">
        <v>23</v>
      </c>
      <c r="J1258" s="1" t="s">
        <v>24</v>
      </c>
      <c r="K1258" s="1">
        <f t="shared" si="1"/>
        <v>2023</v>
      </c>
      <c r="L1258" s="1" t="str">
        <f t="shared" si="2"/>
        <v>Feb</v>
      </c>
      <c r="M1258" s="1" t="str">
        <f t="shared" si="3"/>
        <v>Profit</v>
      </c>
    </row>
    <row r="1259" ht="14.25" customHeight="1">
      <c r="A1259" s="1" t="s">
        <v>1293</v>
      </c>
      <c r="B1259" s="2">
        <v>44813.0</v>
      </c>
      <c r="C1259" s="1" t="s">
        <v>30</v>
      </c>
      <c r="D1259" s="1" t="s">
        <v>27</v>
      </c>
      <c r="E1259" s="1" t="s">
        <v>40</v>
      </c>
      <c r="F1259" s="1">
        <v>634.0</v>
      </c>
      <c r="G1259" s="1">
        <v>-140.8</v>
      </c>
      <c r="H1259" s="1">
        <v>2.0</v>
      </c>
      <c r="I1259" s="1" t="s">
        <v>34</v>
      </c>
      <c r="J1259" s="1" t="s">
        <v>35</v>
      </c>
      <c r="K1259" s="1">
        <f t="shared" si="1"/>
        <v>2022</v>
      </c>
      <c r="L1259" s="1" t="str">
        <f t="shared" si="2"/>
        <v>Sep</v>
      </c>
      <c r="M1259" s="1" t="str">
        <f t="shared" si="3"/>
        <v>Loss</v>
      </c>
    </row>
    <row r="1260" ht="14.25" customHeight="1">
      <c r="A1260" s="1" t="s">
        <v>1294</v>
      </c>
      <c r="B1260" s="2">
        <v>44693.0</v>
      </c>
      <c r="C1260" s="1" t="s">
        <v>14</v>
      </c>
      <c r="D1260" s="1" t="s">
        <v>21</v>
      </c>
      <c r="E1260" s="1" t="s">
        <v>37</v>
      </c>
      <c r="F1260" s="1">
        <v>747.6</v>
      </c>
      <c r="G1260" s="1">
        <v>254.94</v>
      </c>
      <c r="H1260" s="1">
        <v>7.0</v>
      </c>
      <c r="I1260" s="1" t="s">
        <v>23</v>
      </c>
      <c r="J1260" s="1" t="s">
        <v>18</v>
      </c>
      <c r="K1260" s="1">
        <f t="shared" si="1"/>
        <v>2022</v>
      </c>
      <c r="L1260" s="1" t="str">
        <f t="shared" si="2"/>
        <v>May</v>
      </c>
      <c r="M1260" s="1" t="str">
        <f t="shared" si="3"/>
        <v>Profit</v>
      </c>
    </row>
    <row r="1261" ht="14.25" customHeight="1">
      <c r="A1261" s="1" t="s">
        <v>1295</v>
      </c>
      <c r="B1261" s="2">
        <v>44407.0</v>
      </c>
      <c r="C1261" s="1" t="s">
        <v>14</v>
      </c>
      <c r="D1261" s="1" t="s">
        <v>21</v>
      </c>
      <c r="E1261" s="1" t="s">
        <v>37</v>
      </c>
      <c r="F1261" s="1">
        <v>85.72</v>
      </c>
      <c r="G1261" s="1">
        <v>-182.23</v>
      </c>
      <c r="H1261" s="1">
        <v>8.0</v>
      </c>
      <c r="I1261" s="1" t="s">
        <v>17</v>
      </c>
      <c r="J1261" s="1" t="s">
        <v>18</v>
      </c>
      <c r="K1261" s="1">
        <f t="shared" si="1"/>
        <v>2021</v>
      </c>
      <c r="L1261" s="1" t="str">
        <f t="shared" si="2"/>
        <v>Jul</v>
      </c>
      <c r="M1261" s="1" t="str">
        <f t="shared" si="3"/>
        <v>Loss</v>
      </c>
    </row>
    <row r="1262" ht="14.25" customHeight="1">
      <c r="A1262" s="1" t="s">
        <v>1296</v>
      </c>
      <c r="B1262" s="2">
        <v>45115.0</v>
      </c>
      <c r="C1262" s="1" t="s">
        <v>20</v>
      </c>
      <c r="D1262" s="1" t="s">
        <v>27</v>
      </c>
      <c r="E1262" s="1" t="s">
        <v>33</v>
      </c>
      <c r="F1262" s="1">
        <v>460.97</v>
      </c>
      <c r="G1262" s="1">
        <v>68.74</v>
      </c>
      <c r="H1262" s="1">
        <v>10.0</v>
      </c>
      <c r="I1262" s="1" t="s">
        <v>23</v>
      </c>
      <c r="J1262" s="1" t="s">
        <v>24</v>
      </c>
      <c r="K1262" s="1">
        <f t="shared" si="1"/>
        <v>2023</v>
      </c>
      <c r="L1262" s="1" t="str">
        <f t="shared" si="2"/>
        <v>Jul</v>
      </c>
      <c r="M1262" s="1" t="str">
        <f t="shared" si="3"/>
        <v>Profit</v>
      </c>
    </row>
    <row r="1263" ht="14.25" customHeight="1">
      <c r="A1263" s="1" t="s">
        <v>1297</v>
      </c>
      <c r="B1263" s="2">
        <v>44832.0</v>
      </c>
      <c r="C1263" s="1" t="s">
        <v>14</v>
      </c>
      <c r="D1263" s="1" t="s">
        <v>21</v>
      </c>
      <c r="E1263" s="1" t="s">
        <v>22</v>
      </c>
      <c r="F1263" s="1">
        <v>591.09</v>
      </c>
      <c r="G1263" s="1">
        <v>94.81</v>
      </c>
      <c r="H1263" s="1">
        <v>3.0</v>
      </c>
      <c r="I1263" s="1" t="s">
        <v>23</v>
      </c>
      <c r="J1263" s="1" t="s">
        <v>18</v>
      </c>
      <c r="K1263" s="1">
        <f t="shared" si="1"/>
        <v>2022</v>
      </c>
      <c r="L1263" s="1" t="str">
        <f t="shared" si="2"/>
        <v>Sep</v>
      </c>
      <c r="M1263" s="1" t="str">
        <f t="shared" si="3"/>
        <v>Profit</v>
      </c>
    </row>
    <row r="1264" ht="14.25" customHeight="1">
      <c r="A1264" s="1" t="s">
        <v>1298</v>
      </c>
      <c r="B1264" s="2">
        <v>44915.0</v>
      </c>
      <c r="C1264" s="1" t="s">
        <v>20</v>
      </c>
      <c r="D1264" s="1" t="s">
        <v>27</v>
      </c>
      <c r="E1264" s="1" t="s">
        <v>28</v>
      </c>
      <c r="F1264" s="1">
        <v>29.53</v>
      </c>
      <c r="G1264" s="1">
        <v>-145.92</v>
      </c>
      <c r="H1264" s="1">
        <v>6.0</v>
      </c>
      <c r="I1264" s="1" t="s">
        <v>34</v>
      </c>
      <c r="J1264" s="1" t="s">
        <v>35</v>
      </c>
      <c r="K1264" s="1">
        <f t="shared" si="1"/>
        <v>2022</v>
      </c>
      <c r="L1264" s="1" t="str">
        <f t="shared" si="2"/>
        <v>Dec</v>
      </c>
      <c r="M1264" s="1" t="str">
        <f t="shared" si="3"/>
        <v>Loss</v>
      </c>
    </row>
    <row r="1265" ht="14.25" customHeight="1">
      <c r="A1265" s="1" t="s">
        <v>1299</v>
      </c>
      <c r="B1265" s="2">
        <v>44383.0</v>
      </c>
      <c r="C1265" s="1" t="s">
        <v>20</v>
      </c>
      <c r="D1265" s="1" t="s">
        <v>15</v>
      </c>
      <c r="E1265" s="1" t="s">
        <v>54</v>
      </c>
      <c r="F1265" s="1">
        <v>270.67</v>
      </c>
      <c r="G1265" s="1">
        <v>173.67</v>
      </c>
      <c r="H1265" s="1">
        <v>9.0</v>
      </c>
      <c r="I1265" s="1" t="s">
        <v>23</v>
      </c>
      <c r="J1265" s="1" t="s">
        <v>35</v>
      </c>
      <c r="K1265" s="1">
        <f t="shared" si="1"/>
        <v>2021</v>
      </c>
      <c r="L1265" s="1" t="str">
        <f t="shared" si="2"/>
        <v>Jul</v>
      </c>
      <c r="M1265" s="1" t="str">
        <f t="shared" si="3"/>
        <v>Profit</v>
      </c>
    </row>
    <row r="1266" ht="14.25" customHeight="1">
      <c r="A1266" s="1" t="s">
        <v>1300</v>
      </c>
      <c r="B1266" s="2">
        <v>44571.0</v>
      </c>
      <c r="C1266" s="1" t="s">
        <v>14</v>
      </c>
      <c r="D1266" s="1" t="s">
        <v>15</v>
      </c>
      <c r="E1266" s="1" t="s">
        <v>54</v>
      </c>
      <c r="F1266" s="1">
        <v>835.58</v>
      </c>
      <c r="G1266" s="1">
        <v>203.7</v>
      </c>
      <c r="H1266" s="1">
        <v>8.0</v>
      </c>
      <c r="I1266" s="1" t="s">
        <v>34</v>
      </c>
      <c r="J1266" s="1" t="s">
        <v>24</v>
      </c>
      <c r="K1266" s="1">
        <f t="shared" si="1"/>
        <v>2022</v>
      </c>
      <c r="L1266" s="1" t="str">
        <f t="shared" si="2"/>
        <v>Jan</v>
      </c>
      <c r="M1266" s="1" t="str">
        <f t="shared" si="3"/>
        <v>Profit</v>
      </c>
    </row>
    <row r="1267" ht="14.25" customHeight="1">
      <c r="A1267" s="1" t="s">
        <v>1301</v>
      </c>
      <c r="B1267" s="2">
        <v>45122.0</v>
      </c>
      <c r="C1267" s="1" t="s">
        <v>26</v>
      </c>
      <c r="D1267" s="1" t="s">
        <v>27</v>
      </c>
      <c r="E1267" s="1" t="s">
        <v>40</v>
      </c>
      <c r="F1267" s="1">
        <v>225.76</v>
      </c>
      <c r="G1267" s="1">
        <v>263.38</v>
      </c>
      <c r="H1267" s="1">
        <v>9.0</v>
      </c>
      <c r="I1267" s="1" t="s">
        <v>23</v>
      </c>
      <c r="J1267" s="1" t="s">
        <v>18</v>
      </c>
      <c r="K1267" s="1">
        <f t="shared" si="1"/>
        <v>2023</v>
      </c>
      <c r="L1267" s="1" t="str">
        <f t="shared" si="2"/>
        <v>Jul</v>
      </c>
      <c r="M1267" s="1" t="str">
        <f t="shared" si="3"/>
        <v>Profit</v>
      </c>
    </row>
    <row r="1268" ht="14.25" customHeight="1">
      <c r="A1268" s="1" t="s">
        <v>1302</v>
      </c>
      <c r="B1268" s="2">
        <v>44273.0</v>
      </c>
      <c r="C1268" s="1" t="s">
        <v>30</v>
      </c>
      <c r="D1268" s="1" t="s">
        <v>15</v>
      </c>
      <c r="E1268" s="1" t="s">
        <v>54</v>
      </c>
      <c r="F1268" s="1">
        <v>201.82</v>
      </c>
      <c r="G1268" s="1">
        <v>136.51</v>
      </c>
      <c r="H1268" s="1">
        <v>8.0</v>
      </c>
      <c r="I1268" s="1" t="s">
        <v>34</v>
      </c>
      <c r="J1268" s="1" t="s">
        <v>38</v>
      </c>
      <c r="K1268" s="1">
        <f t="shared" si="1"/>
        <v>2021</v>
      </c>
      <c r="L1268" s="1" t="str">
        <f t="shared" si="2"/>
        <v>Mar</v>
      </c>
      <c r="M1268" s="1" t="str">
        <f t="shared" si="3"/>
        <v>Profit</v>
      </c>
    </row>
    <row r="1269" ht="14.25" customHeight="1">
      <c r="A1269" s="1" t="s">
        <v>1303</v>
      </c>
      <c r="B1269" s="2">
        <v>44978.0</v>
      </c>
      <c r="C1269" s="1" t="s">
        <v>26</v>
      </c>
      <c r="D1269" s="1" t="s">
        <v>27</v>
      </c>
      <c r="E1269" s="1" t="s">
        <v>28</v>
      </c>
      <c r="F1269" s="1">
        <v>844.16</v>
      </c>
      <c r="G1269" s="1">
        <v>48.82</v>
      </c>
      <c r="H1269" s="1">
        <v>2.0</v>
      </c>
      <c r="I1269" s="1" t="s">
        <v>34</v>
      </c>
      <c r="J1269" s="1" t="s">
        <v>38</v>
      </c>
      <c r="K1269" s="1">
        <f t="shared" si="1"/>
        <v>2023</v>
      </c>
      <c r="L1269" s="1" t="str">
        <f t="shared" si="2"/>
        <v>Feb</v>
      </c>
      <c r="M1269" s="1" t="str">
        <f t="shared" si="3"/>
        <v>Profit</v>
      </c>
    </row>
    <row r="1270" ht="14.25" customHeight="1">
      <c r="A1270" s="1" t="s">
        <v>1304</v>
      </c>
      <c r="B1270" s="2">
        <v>44983.0</v>
      </c>
      <c r="C1270" s="1" t="s">
        <v>14</v>
      </c>
      <c r="D1270" s="1" t="s">
        <v>15</v>
      </c>
      <c r="E1270" s="1" t="s">
        <v>16</v>
      </c>
      <c r="F1270" s="1">
        <v>650.75</v>
      </c>
      <c r="G1270" s="1">
        <v>284.47</v>
      </c>
      <c r="H1270" s="1">
        <v>8.0</v>
      </c>
      <c r="I1270" s="1" t="s">
        <v>34</v>
      </c>
      <c r="J1270" s="1" t="s">
        <v>38</v>
      </c>
      <c r="K1270" s="1">
        <f t="shared" si="1"/>
        <v>2023</v>
      </c>
      <c r="L1270" s="1" t="str">
        <f t="shared" si="2"/>
        <v>Feb</v>
      </c>
      <c r="M1270" s="1" t="str">
        <f t="shared" si="3"/>
        <v>Profit</v>
      </c>
    </row>
    <row r="1271" ht="14.25" customHeight="1">
      <c r="A1271" s="1" t="s">
        <v>1305</v>
      </c>
      <c r="B1271" s="2">
        <v>45186.0</v>
      </c>
      <c r="C1271" s="1" t="s">
        <v>20</v>
      </c>
      <c r="D1271" s="1" t="s">
        <v>15</v>
      </c>
      <c r="E1271" s="1" t="s">
        <v>16</v>
      </c>
      <c r="F1271" s="1">
        <v>934.39</v>
      </c>
      <c r="G1271" s="1">
        <v>90.19</v>
      </c>
      <c r="H1271" s="1">
        <v>8.0</v>
      </c>
      <c r="I1271" s="1" t="s">
        <v>23</v>
      </c>
      <c r="J1271" s="1" t="s">
        <v>18</v>
      </c>
      <c r="K1271" s="1">
        <f t="shared" si="1"/>
        <v>2023</v>
      </c>
      <c r="L1271" s="1" t="str">
        <f t="shared" si="2"/>
        <v>Sep</v>
      </c>
      <c r="M1271" s="1" t="str">
        <f t="shared" si="3"/>
        <v>Profit</v>
      </c>
    </row>
    <row r="1272" ht="14.25" customHeight="1">
      <c r="A1272" s="1" t="s">
        <v>1306</v>
      </c>
      <c r="B1272" s="2">
        <v>44869.0</v>
      </c>
      <c r="C1272" s="1" t="s">
        <v>30</v>
      </c>
      <c r="D1272" s="1" t="s">
        <v>21</v>
      </c>
      <c r="E1272" s="1" t="s">
        <v>37</v>
      </c>
      <c r="F1272" s="1">
        <v>685.4</v>
      </c>
      <c r="G1272" s="1">
        <v>245.87</v>
      </c>
      <c r="H1272" s="1">
        <v>3.0</v>
      </c>
      <c r="I1272" s="1" t="s">
        <v>23</v>
      </c>
      <c r="J1272" s="1" t="s">
        <v>38</v>
      </c>
      <c r="K1272" s="1">
        <f t="shared" si="1"/>
        <v>2022</v>
      </c>
      <c r="L1272" s="1" t="str">
        <f t="shared" si="2"/>
        <v>Nov</v>
      </c>
      <c r="M1272" s="1" t="str">
        <f t="shared" si="3"/>
        <v>Profit</v>
      </c>
    </row>
    <row r="1273" ht="14.25" customHeight="1">
      <c r="A1273" s="1" t="s">
        <v>1307</v>
      </c>
      <c r="B1273" s="2">
        <v>45165.0</v>
      </c>
      <c r="C1273" s="1" t="s">
        <v>30</v>
      </c>
      <c r="D1273" s="1" t="s">
        <v>15</v>
      </c>
      <c r="E1273" s="1" t="s">
        <v>31</v>
      </c>
      <c r="F1273" s="1">
        <v>477.41</v>
      </c>
      <c r="G1273" s="1">
        <v>256.62</v>
      </c>
      <c r="H1273" s="1">
        <v>6.0</v>
      </c>
      <c r="I1273" s="1" t="s">
        <v>23</v>
      </c>
      <c r="J1273" s="1" t="s">
        <v>38</v>
      </c>
      <c r="K1273" s="1">
        <f t="shared" si="1"/>
        <v>2023</v>
      </c>
      <c r="L1273" s="1" t="str">
        <f t="shared" si="2"/>
        <v>Aug</v>
      </c>
      <c r="M1273" s="1" t="str">
        <f t="shared" si="3"/>
        <v>Profit</v>
      </c>
    </row>
    <row r="1274" ht="14.25" customHeight="1">
      <c r="A1274" s="1" t="s">
        <v>1308</v>
      </c>
      <c r="B1274" s="2">
        <v>44669.0</v>
      </c>
      <c r="C1274" s="1" t="s">
        <v>14</v>
      </c>
      <c r="D1274" s="1" t="s">
        <v>21</v>
      </c>
      <c r="E1274" s="1" t="s">
        <v>37</v>
      </c>
      <c r="F1274" s="1">
        <v>171.8</v>
      </c>
      <c r="G1274" s="1">
        <v>-127.34</v>
      </c>
      <c r="H1274" s="1">
        <v>8.0</v>
      </c>
      <c r="I1274" s="1" t="s">
        <v>23</v>
      </c>
      <c r="J1274" s="1" t="s">
        <v>35</v>
      </c>
      <c r="K1274" s="1">
        <f t="shared" si="1"/>
        <v>2022</v>
      </c>
      <c r="L1274" s="1" t="str">
        <f t="shared" si="2"/>
        <v>Apr</v>
      </c>
      <c r="M1274" s="1" t="str">
        <f t="shared" si="3"/>
        <v>Loss</v>
      </c>
    </row>
    <row r="1275" ht="14.25" customHeight="1">
      <c r="A1275" s="1" t="s">
        <v>1309</v>
      </c>
      <c r="B1275" s="2">
        <v>44551.0</v>
      </c>
      <c r="C1275" s="1" t="s">
        <v>20</v>
      </c>
      <c r="D1275" s="1" t="s">
        <v>15</v>
      </c>
      <c r="E1275" s="1" t="s">
        <v>16</v>
      </c>
      <c r="F1275" s="1">
        <v>697.31</v>
      </c>
      <c r="G1275" s="1">
        <v>25.07</v>
      </c>
      <c r="H1275" s="1">
        <v>3.0</v>
      </c>
      <c r="I1275" s="1" t="s">
        <v>34</v>
      </c>
      <c r="J1275" s="1" t="s">
        <v>18</v>
      </c>
      <c r="K1275" s="1">
        <f t="shared" si="1"/>
        <v>2021</v>
      </c>
      <c r="L1275" s="1" t="str">
        <f t="shared" si="2"/>
        <v>Dec</v>
      </c>
      <c r="M1275" s="1" t="str">
        <f t="shared" si="3"/>
        <v>Profit</v>
      </c>
    </row>
    <row r="1276" ht="14.25" customHeight="1">
      <c r="A1276" s="1" t="s">
        <v>1310</v>
      </c>
      <c r="B1276" s="2">
        <v>45130.0</v>
      </c>
      <c r="C1276" s="1" t="s">
        <v>26</v>
      </c>
      <c r="D1276" s="1" t="s">
        <v>15</v>
      </c>
      <c r="E1276" s="1" t="s">
        <v>54</v>
      </c>
      <c r="F1276" s="1">
        <v>998.43</v>
      </c>
      <c r="G1276" s="1">
        <v>101.18</v>
      </c>
      <c r="H1276" s="1">
        <v>7.0</v>
      </c>
      <c r="I1276" s="1" t="s">
        <v>23</v>
      </c>
      <c r="J1276" s="1" t="s">
        <v>24</v>
      </c>
      <c r="K1276" s="1">
        <f t="shared" si="1"/>
        <v>2023</v>
      </c>
      <c r="L1276" s="1" t="str">
        <f t="shared" si="2"/>
        <v>Jul</v>
      </c>
      <c r="M1276" s="1" t="str">
        <f t="shared" si="3"/>
        <v>Profit</v>
      </c>
    </row>
    <row r="1277" ht="14.25" customHeight="1">
      <c r="A1277" s="1" t="s">
        <v>1311</v>
      </c>
      <c r="B1277" s="2">
        <v>44306.0</v>
      </c>
      <c r="C1277" s="1" t="s">
        <v>26</v>
      </c>
      <c r="D1277" s="1" t="s">
        <v>21</v>
      </c>
      <c r="E1277" s="1" t="s">
        <v>76</v>
      </c>
      <c r="F1277" s="1">
        <v>327.58</v>
      </c>
      <c r="G1277" s="1">
        <v>288.8</v>
      </c>
      <c r="H1277" s="1">
        <v>8.0</v>
      </c>
      <c r="I1277" s="1" t="s">
        <v>34</v>
      </c>
      <c r="J1277" s="1" t="s">
        <v>35</v>
      </c>
      <c r="K1277" s="1">
        <f t="shared" si="1"/>
        <v>2021</v>
      </c>
      <c r="L1277" s="1" t="str">
        <f t="shared" si="2"/>
        <v>Apr</v>
      </c>
      <c r="M1277" s="1" t="str">
        <f t="shared" si="3"/>
        <v>Profit</v>
      </c>
    </row>
    <row r="1278" ht="14.25" customHeight="1">
      <c r="A1278" s="1" t="s">
        <v>1312</v>
      </c>
      <c r="B1278" s="2">
        <v>44323.0</v>
      </c>
      <c r="C1278" s="1" t="s">
        <v>20</v>
      </c>
      <c r="D1278" s="1" t="s">
        <v>15</v>
      </c>
      <c r="E1278" s="1" t="s">
        <v>54</v>
      </c>
      <c r="F1278" s="1">
        <v>987.9</v>
      </c>
      <c r="G1278" s="1">
        <v>266.36</v>
      </c>
      <c r="H1278" s="1">
        <v>10.0</v>
      </c>
      <c r="I1278" s="1" t="s">
        <v>17</v>
      </c>
      <c r="J1278" s="1" t="s">
        <v>24</v>
      </c>
      <c r="K1278" s="1">
        <f t="shared" si="1"/>
        <v>2021</v>
      </c>
      <c r="L1278" s="1" t="str">
        <f t="shared" si="2"/>
        <v>May</v>
      </c>
      <c r="M1278" s="1" t="str">
        <f t="shared" si="3"/>
        <v>Profit</v>
      </c>
    </row>
    <row r="1279" ht="14.25" customHeight="1">
      <c r="A1279" s="1" t="s">
        <v>1313</v>
      </c>
      <c r="B1279" s="2">
        <v>44684.0</v>
      </c>
      <c r="C1279" s="1" t="s">
        <v>30</v>
      </c>
      <c r="D1279" s="1" t="s">
        <v>27</v>
      </c>
      <c r="E1279" s="1" t="s">
        <v>28</v>
      </c>
      <c r="F1279" s="1">
        <v>166.78</v>
      </c>
      <c r="G1279" s="1">
        <v>281.48</v>
      </c>
      <c r="H1279" s="1">
        <v>7.0</v>
      </c>
      <c r="I1279" s="1" t="s">
        <v>17</v>
      </c>
      <c r="J1279" s="1" t="s">
        <v>38</v>
      </c>
      <c r="K1279" s="1">
        <f t="shared" si="1"/>
        <v>2022</v>
      </c>
      <c r="L1279" s="1" t="str">
        <f t="shared" si="2"/>
        <v>May</v>
      </c>
      <c r="M1279" s="1" t="str">
        <f t="shared" si="3"/>
        <v>Profit</v>
      </c>
    </row>
    <row r="1280" ht="14.25" customHeight="1">
      <c r="A1280" s="1" t="s">
        <v>1314</v>
      </c>
      <c r="B1280" s="2">
        <v>44954.0</v>
      </c>
      <c r="C1280" s="1" t="s">
        <v>20</v>
      </c>
      <c r="D1280" s="1" t="s">
        <v>15</v>
      </c>
      <c r="E1280" s="1" t="s">
        <v>16</v>
      </c>
      <c r="F1280" s="1">
        <v>238.75</v>
      </c>
      <c r="G1280" s="1">
        <v>-41.97</v>
      </c>
      <c r="H1280" s="1">
        <v>3.0</v>
      </c>
      <c r="I1280" s="1" t="s">
        <v>34</v>
      </c>
      <c r="J1280" s="1" t="s">
        <v>35</v>
      </c>
      <c r="K1280" s="1">
        <f t="shared" si="1"/>
        <v>2023</v>
      </c>
      <c r="L1280" s="1" t="str">
        <f t="shared" si="2"/>
        <v>Jan</v>
      </c>
      <c r="M1280" s="1" t="str">
        <f t="shared" si="3"/>
        <v>Loss</v>
      </c>
    </row>
    <row r="1281" ht="14.25" customHeight="1">
      <c r="A1281" s="1" t="s">
        <v>1315</v>
      </c>
      <c r="B1281" s="2">
        <v>44214.0</v>
      </c>
      <c r="C1281" s="1" t="s">
        <v>30</v>
      </c>
      <c r="D1281" s="1" t="s">
        <v>21</v>
      </c>
      <c r="E1281" s="1" t="s">
        <v>22</v>
      </c>
      <c r="F1281" s="1">
        <v>336.68</v>
      </c>
      <c r="G1281" s="1">
        <v>-197.89</v>
      </c>
      <c r="H1281" s="1">
        <v>6.0</v>
      </c>
      <c r="I1281" s="1" t="s">
        <v>23</v>
      </c>
      <c r="J1281" s="1" t="s">
        <v>18</v>
      </c>
      <c r="K1281" s="1">
        <f t="shared" si="1"/>
        <v>2021</v>
      </c>
      <c r="L1281" s="1" t="str">
        <f t="shared" si="2"/>
        <v>Jan</v>
      </c>
      <c r="M1281" s="1" t="str">
        <f t="shared" si="3"/>
        <v>Loss</v>
      </c>
    </row>
    <row r="1282" ht="14.25" customHeight="1">
      <c r="A1282" s="1" t="s">
        <v>1316</v>
      </c>
      <c r="B1282" s="2">
        <v>44346.0</v>
      </c>
      <c r="C1282" s="1" t="s">
        <v>26</v>
      </c>
      <c r="D1282" s="1" t="s">
        <v>21</v>
      </c>
      <c r="E1282" s="1" t="s">
        <v>76</v>
      </c>
      <c r="F1282" s="1">
        <v>816.97</v>
      </c>
      <c r="G1282" s="1">
        <v>20.72</v>
      </c>
      <c r="H1282" s="1">
        <v>4.0</v>
      </c>
      <c r="I1282" s="1" t="s">
        <v>23</v>
      </c>
      <c r="J1282" s="1" t="s">
        <v>38</v>
      </c>
      <c r="K1282" s="1">
        <f t="shared" si="1"/>
        <v>2021</v>
      </c>
      <c r="L1282" s="1" t="str">
        <f t="shared" si="2"/>
        <v>May</v>
      </c>
      <c r="M1282" s="1" t="str">
        <f t="shared" si="3"/>
        <v>Profit</v>
      </c>
    </row>
    <row r="1283" ht="14.25" customHeight="1">
      <c r="A1283" s="1" t="s">
        <v>1317</v>
      </c>
      <c r="B1283" s="2">
        <v>44760.0</v>
      </c>
      <c r="C1283" s="1" t="s">
        <v>14</v>
      </c>
      <c r="D1283" s="1" t="s">
        <v>27</v>
      </c>
      <c r="E1283" s="1" t="s">
        <v>28</v>
      </c>
      <c r="F1283" s="1">
        <v>856.96</v>
      </c>
      <c r="G1283" s="1">
        <v>-94.77</v>
      </c>
      <c r="H1283" s="1">
        <v>6.0</v>
      </c>
      <c r="I1283" s="1" t="s">
        <v>23</v>
      </c>
      <c r="J1283" s="1" t="s">
        <v>38</v>
      </c>
      <c r="K1283" s="1">
        <f t="shared" si="1"/>
        <v>2022</v>
      </c>
      <c r="L1283" s="1" t="str">
        <f t="shared" si="2"/>
        <v>Jul</v>
      </c>
      <c r="M1283" s="1" t="str">
        <f t="shared" si="3"/>
        <v>Loss</v>
      </c>
    </row>
    <row r="1284" ht="14.25" customHeight="1">
      <c r="A1284" s="1" t="s">
        <v>1318</v>
      </c>
      <c r="B1284" s="2">
        <v>44955.0</v>
      </c>
      <c r="C1284" s="1" t="s">
        <v>26</v>
      </c>
      <c r="D1284" s="1" t="s">
        <v>27</v>
      </c>
      <c r="E1284" s="1" t="s">
        <v>33</v>
      </c>
      <c r="F1284" s="1">
        <v>88.53</v>
      </c>
      <c r="G1284" s="1">
        <v>-179.76</v>
      </c>
      <c r="H1284" s="1">
        <v>1.0</v>
      </c>
      <c r="I1284" s="1" t="s">
        <v>23</v>
      </c>
      <c r="J1284" s="1" t="s">
        <v>24</v>
      </c>
      <c r="K1284" s="1">
        <f t="shared" si="1"/>
        <v>2023</v>
      </c>
      <c r="L1284" s="1" t="str">
        <f t="shared" si="2"/>
        <v>Jan</v>
      </c>
      <c r="M1284" s="1" t="str">
        <f t="shared" si="3"/>
        <v>Loss</v>
      </c>
    </row>
    <row r="1285" ht="14.25" customHeight="1">
      <c r="A1285" s="1" t="s">
        <v>1319</v>
      </c>
      <c r="B1285" s="2">
        <v>44563.0</v>
      </c>
      <c r="C1285" s="1" t="s">
        <v>14</v>
      </c>
      <c r="D1285" s="1" t="s">
        <v>27</v>
      </c>
      <c r="E1285" s="1" t="s">
        <v>28</v>
      </c>
      <c r="F1285" s="1">
        <v>478.93</v>
      </c>
      <c r="G1285" s="1">
        <v>-62.45</v>
      </c>
      <c r="H1285" s="1">
        <v>9.0</v>
      </c>
      <c r="I1285" s="1" t="s">
        <v>23</v>
      </c>
      <c r="J1285" s="1" t="s">
        <v>24</v>
      </c>
      <c r="K1285" s="1">
        <f t="shared" si="1"/>
        <v>2022</v>
      </c>
      <c r="L1285" s="1" t="str">
        <f t="shared" si="2"/>
        <v>Jan</v>
      </c>
      <c r="M1285" s="1" t="str">
        <f t="shared" si="3"/>
        <v>Loss</v>
      </c>
    </row>
    <row r="1286" ht="14.25" customHeight="1">
      <c r="A1286" s="1" t="s">
        <v>1320</v>
      </c>
      <c r="B1286" s="2">
        <v>45216.0</v>
      </c>
      <c r="C1286" s="1" t="s">
        <v>20</v>
      </c>
      <c r="D1286" s="1" t="s">
        <v>27</v>
      </c>
      <c r="E1286" s="1" t="s">
        <v>33</v>
      </c>
      <c r="F1286" s="1">
        <v>360.93</v>
      </c>
      <c r="G1286" s="1">
        <v>-124.72</v>
      </c>
      <c r="H1286" s="1">
        <v>7.0</v>
      </c>
      <c r="I1286" s="1" t="s">
        <v>23</v>
      </c>
      <c r="J1286" s="1" t="s">
        <v>38</v>
      </c>
      <c r="K1286" s="1">
        <f t="shared" si="1"/>
        <v>2023</v>
      </c>
      <c r="L1286" s="1" t="str">
        <f t="shared" si="2"/>
        <v>Oct</v>
      </c>
      <c r="M1286" s="1" t="str">
        <f t="shared" si="3"/>
        <v>Loss</v>
      </c>
    </row>
    <row r="1287" ht="14.25" customHeight="1">
      <c r="A1287" s="1" t="s">
        <v>1321</v>
      </c>
      <c r="B1287" s="2">
        <v>44951.0</v>
      </c>
      <c r="C1287" s="1" t="s">
        <v>30</v>
      </c>
      <c r="D1287" s="1" t="s">
        <v>21</v>
      </c>
      <c r="E1287" s="1" t="s">
        <v>37</v>
      </c>
      <c r="F1287" s="1">
        <v>401.36</v>
      </c>
      <c r="G1287" s="1">
        <v>-129.92</v>
      </c>
      <c r="H1287" s="1">
        <v>10.0</v>
      </c>
      <c r="I1287" s="1" t="s">
        <v>17</v>
      </c>
      <c r="J1287" s="1" t="s">
        <v>38</v>
      </c>
      <c r="K1287" s="1">
        <f t="shared" si="1"/>
        <v>2023</v>
      </c>
      <c r="L1287" s="1" t="str">
        <f t="shared" si="2"/>
        <v>Jan</v>
      </c>
      <c r="M1287" s="1" t="str">
        <f t="shared" si="3"/>
        <v>Loss</v>
      </c>
    </row>
    <row r="1288" ht="14.25" customHeight="1">
      <c r="A1288" s="1" t="s">
        <v>1322</v>
      </c>
      <c r="B1288" s="2">
        <v>44529.0</v>
      </c>
      <c r="C1288" s="1" t="s">
        <v>26</v>
      </c>
      <c r="D1288" s="1" t="s">
        <v>27</v>
      </c>
      <c r="E1288" s="1" t="s">
        <v>40</v>
      </c>
      <c r="F1288" s="1">
        <v>932.56</v>
      </c>
      <c r="G1288" s="1">
        <v>221.93</v>
      </c>
      <c r="H1288" s="1">
        <v>7.0</v>
      </c>
      <c r="I1288" s="1" t="s">
        <v>34</v>
      </c>
      <c r="J1288" s="1" t="s">
        <v>24</v>
      </c>
      <c r="K1288" s="1">
        <f t="shared" si="1"/>
        <v>2021</v>
      </c>
      <c r="L1288" s="1" t="str">
        <f t="shared" si="2"/>
        <v>Nov</v>
      </c>
      <c r="M1288" s="1" t="str">
        <f t="shared" si="3"/>
        <v>Profit</v>
      </c>
    </row>
    <row r="1289" ht="14.25" customHeight="1">
      <c r="A1289" s="1" t="s">
        <v>1323</v>
      </c>
      <c r="B1289" s="2">
        <v>44708.0</v>
      </c>
      <c r="C1289" s="1" t="s">
        <v>26</v>
      </c>
      <c r="D1289" s="1" t="s">
        <v>21</v>
      </c>
      <c r="E1289" s="1" t="s">
        <v>37</v>
      </c>
      <c r="F1289" s="1">
        <v>108.48</v>
      </c>
      <c r="G1289" s="1">
        <v>-188.07</v>
      </c>
      <c r="H1289" s="1">
        <v>6.0</v>
      </c>
      <c r="I1289" s="1" t="s">
        <v>17</v>
      </c>
      <c r="J1289" s="1" t="s">
        <v>35</v>
      </c>
      <c r="K1289" s="1">
        <f t="shared" si="1"/>
        <v>2022</v>
      </c>
      <c r="L1289" s="1" t="str">
        <f t="shared" si="2"/>
        <v>May</v>
      </c>
      <c r="M1289" s="1" t="str">
        <f t="shared" si="3"/>
        <v>Loss</v>
      </c>
    </row>
    <row r="1290" ht="14.25" customHeight="1">
      <c r="A1290" s="1" t="s">
        <v>1324</v>
      </c>
      <c r="B1290" s="2">
        <v>44855.0</v>
      </c>
      <c r="C1290" s="1" t="s">
        <v>14</v>
      </c>
      <c r="D1290" s="1" t="s">
        <v>27</v>
      </c>
      <c r="E1290" s="1" t="s">
        <v>28</v>
      </c>
      <c r="F1290" s="1">
        <v>821.18</v>
      </c>
      <c r="G1290" s="1">
        <v>85.79</v>
      </c>
      <c r="H1290" s="1">
        <v>2.0</v>
      </c>
      <c r="I1290" s="1" t="s">
        <v>34</v>
      </c>
      <c r="J1290" s="1" t="s">
        <v>18</v>
      </c>
      <c r="K1290" s="1">
        <f t="shared" si="1"/>
        <v>2022</v>
      </c>
      <c r="L1290" s="1" t="str">
        <f t="shared" si="2"/>
        <v>Oct</v>
      </c>
      <c r="M1290" s="1" t="str">
        <f t="shared" si="3"/>
        <v>Profit</v>
      </c>
    </row>
    <row r="1291" ht="14.25" customHeight="1">
      <c r="A1291" s="1" t="s">
        <v>1325</v>
      </c>
      <c r="B1291" s="2">
        <v>45053.0</v>
      </c>
      <c r="C1291" s="1" t="s">
        <v>30</v>
      </c>
      <c r="D1291" s="1" t="s">
        <v>21</v>
      </c>
      <c r="E1291" s="1" t="s">
        <v>76</v>
      </c>
      <c r="F1291" s="1">
        <v>273.71</v>
      </c>
      <c r="G1291" s="1">
        <v>-32.7</v>
      </c>
      <c r="H1291" s="1">
        <v>8.0</v>
      </c>
      <c r="I1291" s="1" t="s">
        <v>34</v>
      </c>
      <c r="J1291" s="1" t="s">
        <v>38</v>
      </c>
      <c r="K1291" s="1">
        <f t="shared" si="1"/>
        <v>2023</v>
      </c>
      <c r="L1291" s="1" t="str">
        <f t="shared" si="2"/>
        <v>May</v>
      </c>
      <c r="M1291" s="1" t="str">
        <f t="shared" si="3"/>
        <v>Loss</v>
      </c>
    </row>
    <row r="1292" ht="14.25" customHeight="1">
      <c r="A1292" s="1" t="s">
        <v>1326</v>
      </c>
      <c r="B1292" s="2">
        <v>45193.0</v>
      </c>
      <c r="C1292" s="1" t="s">
        <v>14</v>
      </c>
      <c r="D1292" s="1" t="s">
        <v>21</v>
      </c>
      <c r="E1292" s="1" t="s">
        <v>76</v>
      </c>
      <c r="F1292" s="1">
        <v>348.53</v>
      </c>
      <c r="G1292" s="1">
        <v>-54.06</v>
      </c>
      <c r="H1292" s="1">
        <v>2.0</v>
      </c>
      <c r="I1292" s="1" t="s">
        <v>34</v>
      </c>
      <c r="J1292" s="1" t="s">
        <v>18</v>
      </c>
      <c r="K1292" s="1">
        <f t="shared" si="1"/>
        <v>2023</v>
      </c>
      <c r="L1292" s="1" t="str">
        <f t="shared" si="2"/>
        <v>Sep</v>
      </c>
      <c r="M1292" s="1" t="str">
        <f t="shared" si="3"/>
        <v>Loss</v>
      </c>
    </row>
    <row r="1293" ht="14.25" customHeight="1">
      <c r="A1293" s="1" t="s">
        <v>1327</v>
      </c>
      <c r="B1293" s="2">
        <v>45007.0</v>
      </c>
      <c r="C1293" s="1" t="s">
        <v>20</v>
      </c>
      <c r="D1293" s="1" t="s">
        <v>27</v>
      </c>
      <c r="E1293" s="1" t="s">
        <v>40</v>
      </c>
      <c r="F1293" s="1">
        <v>21.45</v>
      </c>
      <c r="G1293" s="1">
        <v>252.84</v>
      </c>
      <c r="H1293" s="1">
        <v>5.0</v>
      </c>
      <c r="I1293" s="1" t="s">
        <v>34</v>
      </c>
      <c r="J1293" s="1" t="s">
        <v>18</v>
      </c>
      <c r="K1293" s="1">
        <f t="shared" si="1"/>
        <v>2023</v>
      </c>
      <c r="L1293" s="1" t="str">
        <f t="shared" si="2"/>
        <v>Mar</v>
      </c>
      <c r="M1293" s="1" t="str">
        <f t="shared" si="3"/>
        <v>Profit</v>
      </c>
    </row>
    <row r="1294" ht="14.25" customHeight="1">
      <c r="A1294" s="1" t="s">
        <v>1328</v>
      </c>
      <c r="B1294" s="2">
        <v>44234.0</v>
      </c>
      <c r="C1294" s="1" t="s">
        <v>26</v>
      </c>
      <c r="D1294" s="1" t="s">
        <v>15</v>
      </c>
      <c r="E1294" s="1" t="s">
        <v>54</v>
      </c>
      <c r="F1294" s="1">
        <v>395.03</v>
      </c>
      <c r="G1294" s="1">
        <v>-126.05</v>
      </c>
      <c r="H1294" s="1">
        <v>10.0</v>
      </c>
      <c r="I1294" s="1" t="s">
        <v>23</v>
      </c>
      <c r="J1294" s="1" t="s">
        <v>24</v>
      </c>
      <c r="K1294" s="1">
        <f t="shared" si="1"/>
        <v>2021</v>
      </c>
      <c r="L1294" s="1" t="str">
        <f t="shared" si="2"/>
        <v>Feb</v>
      </c>
      <c r="M1294" s="1" t="str">
        <f t="shared" si="3"/>
        <v>Loss</v>
      </c>
    </row>
    <row r="1295" ht="14.25" customHeight="1">
      <c r="A1295" s="1" t="s">
        <v>1329</v>
      </c>
      <c r="B1295" s="2">
        <v>44717.0</v>
      </c>
      <c r="C1295" s="1" t="s">
        <v>14</v>
      </c>
      <c r="D1295" s="1" t="s">
        <v>27</v>
      </c>
      <c r="E1295" s="1" t="s">
        <v>28</v>
      </c>
      <c r="F1295" s="1">
        <v>628.2</v>
      </c>
      <c r="G1295" s="1">
        <v>-77.55</v>
      </c>
      <c r="H1295" s="1">
        <v>3.0</v>
      </c>
      <c r="I1295" s="1" t="s">
        <v>34</v>
      </c>
      <c r="J1295" s="1" t="s">
        <v>24</v>
      </c>
      <c r="K1295" s="1">
        <f t="shared" si="1"/>
        <v>2022</v>
      </c>
      <c r="L1295" s="1" t="str">
        <f t="shared" si="2"/>
        <v>Jun</v>
      </c>
      <c r="M1295" s="1" t="str">
        <f t="shared" si="3"/>
        <v>Loss</v>
      </c>
    </row>
    <row r="1296" ht="14.25" customHeight="1">
      <c r="A1296" s="1" t="s">
        <v>1330</v>
      </c>
      <c r="B1296" s="2">
        <v>45013.0</v>
      </c>
      <c r="C1296" s="1" t="s">
        <v>26</v>
      </c>
      <c r="D1296" s="1" t="s">
        <v>21</v>
      </c>
      <c r="E1296" s="1" t="s">
        <v>22</v>
      </c>
      <c r="F1296" s="1">
        <v>454.32</v>
      </c>
      <c r="G1296" s="1">
        <v>-132.5</v>
      </c>
      <c r="H1296" s="1">
        <v>2.0</v>
      </c>
      <c r="I1296" s="1" t="s">
        <v>17</v>
      </c>
      <c r="J1296" s="1" t="s">
        <v>24</v>
      </c>
      <c r="K1296" s="1">
        <f t="shared" si="1"/>
        <v>2023</v>
      </c>
      <c r="L1296" s="1" t="str">
        <f t="shared" si="2"/>
        <v>Mar</v>
      </c>
      <c r="M1296" s="1" t="str">
        <f t="shared" si="3"/>
        <v>Loss</v>
      </c>
    </row>
    <row r="1297" ht="14.25" customHeight="1">
      <c r="A1297" s="1" t="s">
        <v>1331</v>
      </c>
      <c r="B1297" s="2">
        <v>45233.0</v>
      </c>
      <c r="C1297" s="1" t="s">
        <v>30</v>
      </c>
      <c r="D1297" s="1" t="s">
        <v>27</v>
      </c>
      <c r="E1297" s="1" t="s">
        <v>40</v>
      </c>
      <c r="F1297" s="1">
        <v>304.93</v>
      </c>
      <c r="G1297" s="1">
        <v>127.69</v>
      </c>
      <c r="H1297" s="1">
        <v>7.0</v>
      </c>
      <c r="I1297" s="1" t="s">
        <v>23</v>
      </c>
      <c r="J1297" s="1" t="s">
        <v>35</v>
      </c>
      <c r="K1297" s="1">
        <f t="shared" si="1"/>
        <v>2023</v>
      </c>
      <c r="L1297" s="1" t="str">
        <f t="shared" si="2"/>
        <v>Nov</v>
      </c>
      <c r="M1297" s="1" t="str">
        <f t="shared" si="3"/>
        <v>Profit</v>
      </c>
    </row>
    <row r="1298" ht="14.25" customHeight="1">
      <c r="A1298" s="1" t="s">
        <v>1332</v>
      </c>
      <c r="B1298" s="2">
        <v>45288.0</v>
      </c>
      <c r="C1298" s="1" t="s">
        <v>14</v>
      </c>
      <c r="D1298" s="1" t="s">
        <v>27</v>
      </c>
      <c r="E1298" s="1" t="s">
        <v>40</v>
      </c>
      <c r="F1298" s="1">
        <v>415.39</v>
      </c>
      <c r="G1298" s="1">
        <v>48.19</v>
      </c>
      <c r="H1298" s="1">
        <v>7.0</v>
      </c>
      <c r="I1298" s="1" t="s">
        <v>34</v>
      </c>
      <c r="J1298" s="1" t="s">
        <v>24</v>
      </c>
      <c r="K1298" s="1">
        <f t="shared" si="1"/>
        <v>2023</v>
      </c>
      <c r="L1298" s="1" t="str">
        <f t="shared" si="2"/>
        <v>Dec</v>
      </c>
      <c r="M1298" s="1" t="str">
        <f t="shared" si="3"/>
        <v>Profit</v>
      </c>
    </row>
    <row r="1299" ht="14.25" customHeight="1">
      <c r="A1299" s="1" t="s">
        <v>1333</v>
      </c>
      <c r="B1299" s="2">
        <v>44678.0</v>
      </c>
      <c r="C1299" s="1" t="s">
        <v>26</v>
      </c>
      <c r="D1299" s="1" t="s">
        <v>27</v>
      </c>
      <c r="E1299" s="1" t="s">
        <v>33</v>
      </c>
      <c r="F1299" s="1">
        <v>393.44</v>
      </c>
      <c r="G1299" s="1">
        <v>188.16</v>
      </c>
      <c r="H1299" s="1">
        <v>5.0</v>
      </c>
      <c r="I1299" s="1" t="s">
        <v>17</v>
      </c>
      <c r="J1299" s="1" t="s">
        <v>24</v>
      </c>
      <c r="K1299" s="1">
        <f t="shared" si="1"/>
        <v>2022</v>
      </c>
      <c r="L1299" s="1" t="str">
        <f t="shared" si="2"/>
        <v>Apr</v>
      </c>
      <c r="M1299" s="1" t="str">
        <f t="shared" si="3"/>
        <v>Profit</v>
      </c>
    </row>
    <row r="1300" ht="14.25" customHeight="1">
      <c r="A1300" s="1" t="s">
        <v>1334</v>
      </c>
      <c r="B1300" s="2">
        <v>44981.0</v>
      </c>
      <c r="C1300" s="1" t="s">
        <v>26</v>
      </c>
      <c r="D1300" s="1" t="s">
        <v>27</v>
      </c>
      <c r="E1300" s="1" t="s">
        <v>40</v>
      </c>
      <c r="F1300" s="1">
        <v>625.57</v>
      </c>
      <c r="G1300" s="1">
        <v>163.72</v>
      </c>
      <c r="H1300" s="1">
        <v>1.0</v>
      </c>
      <c r="I1300" s="1" t="s">
        <v>23</v>
      </c>
      <c r="J1300" s="1" t="s">
        <v>18</v>
      </c>
      <c r="K1300" s="1">
        <f t="shared" si="1"/>
        <v>2023</v>
      </c>
      <c r="L1300" s="1" t="str">
        <f t="shared" si="2"/>
        <v>Feb</v>
      </c>
      <c r="M1300" s="1" t="str">
        <f t="shared" si="3"/>
        <v>Profit</v>
      </c>
    </row>
    <row r="1301" ht="14.25" customHeight="1">
      <c r="A1301" s="1" t="s">
        <v>1335</v>
      </c>
      <c r="B1301" s="2">
        <v>45138.0</v>
      </c>
      <c r="C1301" s="1" t="s">
        <v>26</v>
      </c>
      <c r="D1301" s="1" t="s">
        <v>15</v>
      </c>
      <c r="E1301" s="1" t="s">
        <v>16</v>
      </c>
      <c r="F1301" s="1">
        <v>24.32</v>
      </c>
      <c r="G1301" s="1">
        <v>156.3</v>
      </c>
      <c r="H1301" s="1">
        <v>5.0</v>
      </c>
      <c r="I1301" s="1" t="s">
        <v>34</v>
      </c>
      <c r="J1301" s="1" t="s">
        <v>18</v>
      </c>
      <c r="K1301" s="1">
        <f t="shared" si="1"/>
        <v>2023</v>
      </c>
      <c r="L1301" s="1" t="str">
        <f t="shared" si="2"/>
        <v>Jul</v>
      </c>
      <c r="M1301" s="1" t="str">
        <f t="shared" si="3"/>
        <v>Profit</v>
      </c>
    </row>
    <row r="1302" ht="14.25" customHeight="1">
      <c r="A1302" s="1" t="s">
        <v>1336</v>
      </c>
      <c r="B1302" s="2">
        <v>45217.0</v>
      </c>
      <c r="C1302" s="1" t="s">
        <v>30</v>
      </c>
      <c r="D1302" s="1" t="s">
        <v>21</v>
      </c>
      <c r="E1302" s="1" t="s">
        <v>76</v>
      </c>
      <c r="F1302" s="1">
        <v>963.63</v>
      </c>
      <c r="G1302" s="1">
        <v>222.96</v>
      </c>
      <c r="H1302" s="1">
        <v>8.0</v>
      </c>
      <c r="I1302" s="1" t="s">
        <v>34</v>
      </c>
      <c r="J1302" s="1" t="s">
        <v>35</v>
      </c>
      <c r="K1302" s="1">
        <f t="shared" si="1"/>
        <v>2023</v>
      </c>
      <c r="L1302" s="1" t="str">
        <f t="shared" si="2"/>
        <v>Oct</v>
      </c>
      <c r="M1302" s="1" t="str">
        <f t="shared" si="3"/>
        <v>Profit</v>
      </c>
    </row>
    <row r="1303" ht="14.25" customHeight="1">
      <c r="A1303" s="1" t="s">
        <v>1337</v>
      </c>
      <c r="B1303" s="2">
        <v>45029.0</v>
      </c>
      <c r="C1303" s="1" t="s">
        <v>26</v>
      </c>
      <c r="D1303" s="1" t="s">
        <v>27</v>
      </c>
      <c r="E1303" s="1" t="s">
        <v>33</v>
      </c>
      <c r="F1303" s="1">
        <v>725.48</v>
      </c>
      <c r="G1303" s="1">
        <v>-161.28</v>
      </c>
      <c r="H1303" s="1">
        <v>5.0</v>
      </c>
      <c r="I1303" s="1" t="s">
        <v>17</v>
      </c>
      <c r="J1303" s="1" t="s">
        <v>18</v>
      </c>
      <c r="K1303" s="1">
        <f t="shared" si="1"/>
        <v>2023</v>
      </c>
      <c r="L1303" s="1" t="str">
        <f t="shared" si="2"/>
        <v>Apr</v>
      </c>
      <c r="M1303" s="1" t="str">
        <f t="shared" si="3"/>
        <v>Loss</v>
      </c>
    </row>
    <row r="1304" ht="14.25" customHeight="1">
      <c r="A1304" s="1" t="s">
        <v>1338</v>
      </c>
      <c r="B1304" s="2">
        <v>44347.0</v>
      </c>
      <c r="C1304" s="1" t="s">
        <v>20</v>
      </c>
      <c r="D1304" s="1" t="s">
        <v>15</v>
      </c>
      <c r="E1304" s="1" t="s">
        <v>31</v>
      </c>
      <c r="F1304" s="1">
        <v>822.94</v>
      </c>
      <c r="G1304" s="1">
        <v>-141.6</v>
      </c>
      <c r="H1304" s="1">
        <v>5.0</v>
      </c>
      <c r="I1304" s="1" t="s">
        <v>23</v>
      </c>
      <c r="J1304" s="1" t="s">
        <v>24</v>
      </c>
      <c r="K1304" s="1">
        <f t="shared" si="1"/>
        <v>2021</v>
      </c>
      <c r="L1304" s="1" t="str">
        <f t="shared" si="2"/>
        <v>May</v>
      </c>
      <c r="M1304" s="1" t="str">
        <f t="shared" si="3"/>
        <v>Loss</v>
      </c>
    </row>
    <row r="1305" ht="14.25" customHeight="1">
      <c r="A1305" s="1" t="s">
        <v>1339</v>
      </c>
      <c r="B1305" s="2">
        <v>44214.0</v>
      </c>
      <c r="C1305" s="1" t="s">
        <v>30</v>
      </c>
      <c r="D1305" s="1" t="s">
        <v>21</v>
      </c>
      <c r="E1305" s="1" t="s">
        <v>22</v>
      </c>
      <c r="F1305" s="1">
        <v>791.65</v>
      </c>
      <c r="G1305" s="1">
        <v>-173.27</v>
      </c>
      <c r="H1305" s="1">
        <v>1.0</v>
      </c>
      <c r="I1305" s="1" t="s">
        <v>34</v>
      </c>
      <c r="J1305" s="1" t="s">
        <v>35</v>
      </c>
      <c r="K1305" s="1">
        <f t="shared" si="1"/>
        <v>2021</v>
      </c>
      <c r="L1305" s="1" t="str">
        <f t="shared" si="2"/>
        <v>Jan</v>
      </c>
      <c r="M1305" s="1" t="str">
        <f t="shared" si="3"/>
        <v>Loss</v>
      </c>
    </row>
    <row r="1306" ht="14.25" customHeight="1">
      <c r="A1306" s="1" t="s">
        <v>1340</v>
      </c>
      <c r="B1306" s="2">
        <v>44490.0</v>
      </c>
      <c r="C1306" s="1" t="s">
        <v>30</v>
      </c>
      <c r="D1306" s="1" t="s">
        <v>21</v>
      </c>
      <c r="E1306" s="1" t="s">
        <v>76</v>
      </c>
      <c r="F1306" s="1">
        <v>715.15</v>
      </c>
      <c r="G1306" s="1">
        <v>-142.63</v>
      </c>
      <c r="H1306" s="1">
        <v>1.0</v>
      </c>
      <c r="I1306" s="1" t="s">
        <v>17</v>
      </c>
      <c r="J1306" s="1" t="s">
        <v>35</v>
      </c>
      <c r="K1306" s="1">
        <f t="shared" si="1"/>
        <v>2021</v>
      </c>
      <c r="L1306" s="1" t="str">
        <f t="shared" si="2"/>
        <v>Oct</v>
      </c>
      <c r="M1306" s="1" t="str">
        <f t="shared" si="3"/>
        <v>Loss</v>
      </c>
    </row>
    <row r="1307" ht="14.25" customHeight="1">
      <c r="A1307" s="1" t="s">
        <v>1341</v>
      </c>
      <c r="B1307" s="2">
        <v>44688.0</v>
      </c>
      <c r="C1307" s="1" t="s">
        <v>20</v>
      </c>
      <c r="D1307" s="1" t="s">
        <v>21</v>
      </c>
      <c r="E1307" s="1" t="s">
        <v>37</v>
      </c>
      <c r="F1307" s="1">
        <v>832.54</v>
      </c>
      <c r="G1307" s="1">
        <v>79.35</v>
      </c>
      <c r="H1307" s="1">
        <v>3.0</v>
      </c>
      <c r="I1307" s="1" t="s">
        <v>34</v>
      </c>
      <c r="J1307" s="1" t="s">
        <v>18</v>
      </c>
      <c r="K1307" s="1">
        <f t="shared" si="1"/>
        <v>2022</v>
      </c>
      <c r="L1307" s="1" t="str">
        <f t="shared" si="2"/>
        <v>May</v>
      </c>
      <c r="M1307" s="1" t="str">
        <f t="shared" si="3"/>
        <v>Profit</v>
      </c>
    </row>
    <row r="1308" ht="14.25" customHeight="1">
      <c r="A1308" s="1" t="s">
        <v>1342</v>
      </c>
      <c r="B1308" s="2">
        <v>44423.0</v>
      </c>
      <c r="C1308" s="1" t="s">
        <v>14</v>
      </c>
      <c r="D1308" s="1" t="s">
        <v>27</v>
      </c>
      <c r="E1308" s="1" t="s">
        <v>28</v>
      </c>
      <c r="F1308" s="1">
        <v>121.55</v>
      </c>
      <c r="G1308" s="1">
        <v>-126.3</v>
      </c>
      <c r="H1308" s="1">
        <v>8.0</v>
      </c>
      <c r="I1308" s="1" t="s">
        <v>34</v>
      </c>
      <c r="J1308" s="1" t="s">
        <v>24</v>
      </c>
      <c r="K1308" s="1">
        <f t="shared" si="1"/>
        <v>2021</v>
      </c>
      <c r="L1308" s="1" t="str">
        <f t="shared" si="2"/>
        <v>Aug</v>
      </c>
      <c r="M1308" s="1" t="str">
        <f t="shared" si="3"/>
        <v>Loss</v>
      </c>
    </row>
    <row r="1309" ht="14.25" customHeight="1">
      <c r="A1309" s="1" t="s">
        <v>1343</v>
      </c>
      <c r="B1309" s="2">
        <v>45154.0</v>
      </c>
      <c r="C1309" s="1" t="s">
        <v>26</v>
      </c>
      <c r="D1309" s="1" t="s">
        <v>27</v>
      </c>
      <c r="E1309" s="1" t="s">
        <v>33</v>
      </c>
      <c r="F1309" s="1">
        <v>25.04</v>
      </c>
      <c r="G1309" s="1">
        <v>-180.65</v>
      </c>
      <c r="H1309" s="1">
        <v>8.0</v>
      </c>
      <c r="I1309" s="1" t="s">
        <v>17</v>
      </c>
      <c r="J1309" s="1" t="s">
        <v>38</v>
      </c>
      <c r="K1309" s="1">
        <f t="shared" si="1"/>
        <v>2023</v>
      </c>
      <c r="L1309" s="1" t="str">
        <f t="shared" si="2"/>
        <v>Aug</v>
      </c>
      <c r="M1309" s="1" t="str">
        <f t="shared" si="3"/>
        <v>Loss</v>
      </c>
    </row>
    <row r="1310" ht="14.25" customHeight="1">
      <c r="A1310" s="1" t="s">
        <v>1344</v>
      </c>
      <c r="B1310" s="2">
        <v>44466.0</v>
      </c>
      <c r="C1310" s="1" t="s">
        <v>30</v>
      </c>
      <c r="D1310" s="1" t="s">
        <v>21</v>
      </c>
      <c r="E1310" s="1" t="s">
        <v>22</v>
      </c>
      <c r="F1310" s="1">
        <v>837.61</v>
      </c>
      <c r="G1310" s="1">
        <v>78.0</v>
      </c>
      <c r="H1310" s="1">
        <v>1.0</v>
      </c>
      <c r="I1310" s="1" t="s">
        <v>17</v>
      </c>
      <c r="J1310" s="1" t="s">
        <v>24</v>
      </c>
      <c r="K1310" s="1">
        <f t="shared" si="1"/>
        <v>2021</v>
      </c>
      <c r="L1310" s="1" t="str">
        <f t="shared" si="2"/>
        <v>Sep</v>
      </c>
      <c r="M1310" s="1" t="str">
        <f t="shared" si="3"/>
        <v>Profit</v>
      </c>
    </row>
    <row r="1311" ht="14.25" customHeight="1">
      <c r="A1311" s="1" t="s">
        <v>1345</v>
      </c>
      <c r="B1311" s="2">
        <v>44251.0</v>
      </c>
      <c r="C1311" s="1" t="s">
        <v>26</v>
      </c>
      <c r="D1311" s="1" t="s">
        <v>21</v>
      </c>
      <c r="E1311" s="1" t="s">
        <v>76</v>
      </c>
      <c r="F1311" s="1">
        <v>959.32</v>
      </c>
      <c r="G1311" s="1">
        <v>153.25</v>
      </c>
      <c r="H1311" s="1">
        <v>10.0</v>
      </c>
      <c r="I1311" s="1" t="s">
        <v>23</v>
      </c>
      <c r="J1311" s="1" t="s">
        <v>38</v>
      </c>
      <c r="K1311" s="1">
        <f t="shared" si="1"/>
        <v>2021</v>
      </c>
      <c r="L1311" s="1" t="str">
        <f t="shared" si="2"/>
        <v>Feb</v>
      </c>
      <c r="M1311" s="1" t="str">
        <f t="shared" si="3"/>
        <v>Profit</v>
      </c>
    </row>
    <row r="1312" ht="14.25" customHeight="1">
      <c r="A1312" s="1" t="s">
        <v>1346</v>
      </c>
      <c r="B1312" s="2">
        <v>44622.0</v>
      </c>
      <c r="C1312" s="1" t="s">
        <v>30</v>
      </c>
      <c r="D1312" s="1" t="s">
        <v>21</v>
      </c>
      <c r="E1312" s="1" t="s">
        <v>37</v>
      </c>
      <c r="F1312" s="1">
        <v>282.37</v>
      </c>
      <c r="G1312" s="1">
        <v>166.61</v>
      </c>
      <c r="H1312" s="1">
        <v>2.0</v>
      </c>
      <c r="I1312" s="1" t="s">
        <v>34</v>
      </c>
      <c r="J1312" s="1" t="s">
        <v>35</v>
      </c>
      <c r="K1312" s="1">
        <f t="shared" si="1"/>
        <v>2022</v>
      </c>
      <c r="L1312" s="1" t="str">
        <f t="shared" si="2"/>
        <v>Mar</v>
      </c>
      <c r="M1312" s="1" t="str">
        <f t="shared" si="3"/>
        <v>Profit</v>
      </c>
    </row>
    <row r="1313" ht="14.25" customHeight="1">
      <c r="A1313" s="1" t="s">
        <v>1347</v>
      </c>
      <c r="B1313" s="2">
        <v>44941.0</v>
      </c>
      <c r="C1313" s="1" t="s">
        <v>30</v>
      </c>
      <c r="D1313" s="1" t="s">
        <v>15</v>
      </c>
      <c r="E1313" s="1" t="s">
        <v>54</v>
      </c>
      <c r="F1313" s="1">
        <v>314.49</v>
      </c>
      <c r="G1313" s="1">
        <v>125.64</v>
      </c>
      <c r="H1313" s="1">
        <v>7.0</v>
      </c>
      <c r="I1313" s="1" t="s">
        <v>17</v>
      </c>
      <c r="J1313" s="1" t="s">
        <v>24</v>
      </c>
      <c r="K1313" s="1">
        <f t="shared" si="1"/>
        <v>2023</v>
      </c>
      <c r="L1313" s="1" t="str">
        <f t="shared" si="2"/>
        <v>Jan</v>
      </c>
      <c r="M1313" s="1" t="str">
        <f t="shared" si="3"/>
        <v>Profit</v>
      </c>
    </row>
    <row r="1314" ht="14.25" customHeight="1">
      <c r="A1314" s="1" t="s">
        <v>1348</v>
      </c>
      <c r="B1314" s="2">
        <v>44656.0</v>
      </c>
      <c r="C1314" s="1" t="s">
        <v>30</v>
      </c>
      <c r="D1314" s="1" t="s">
        <v>27</v>
      </c>
      <c r="E1314" s="1" t="s">
        <v>28</v>
      </c>
      <c r="F1314" s="1">
        <v>524.68</v>
      </c>
      <c r="G1314" s="1">
        <v>139.93</v>
      </c>
      <c r="H1314" s="1">
        <v>7.0</v>
      </c>
      <c r="I1314" s="1" t="s">
        <v>23</v>
      </c>
      <c r="J1314" s="1" t="s">
        <v>18</v>
      </c>
      <c r="K1314" s="1">
        <f t="shared" si="1"/>
        <v>2022</v>
      </c>
      <c r="L1314" s="1" t="str">
        <f t="shared" si="2"/>
        <v>Apr</v>
      </c>
      <c r="M1314" s="1" t="str">
        <f t="shared" si="3"/>
        <v>Profit</v>
      </c>
    </row>
    <row r="1315" ht="14.25" customHeight="1">
      <c r="A1315" s="1" t="s">
        <v>1349</v>
      </c>
      <c r="B1315" s="2">
        <v>44505.0</v>
      </c>
      <c r="C1315" s="1" t="s">
        <v>30</v>
      </c>
      <c r="D1315" s="1" t="s">
        <v>15</v>
      </c>
      <c r="E1315" s="1" t="s">
        <v>54</v>
      </c>
      <c r="F1315" s="1">
        <v>291.95</v>
      </c>
      <c r="G1315" s="1">
        <v>93.88</v>
      </c>
      <c r="H1315" s="1">
        <v>5.0</v>
      </c>
      <c r="I1315" s="1" t="s">
        <v>34</v>
      </c>
      <c r="J1315" s="1" t="s">
        <v>18</v>
      </c>
      <c r="K1315" s="1">
        <f t="shared" si="1"/>
        <v>2021</v>
      </c>
      <c r="L1315" s="1" t="str">
        <f t="shared" si="2"/>
        <v>Nov</v>
      </c>
      <c r="M1315" s="1" t="str">
        <f t="shared" si="3"/>
        <v>Profit</v>
      </c>
    </row>
    <row r="1316" ht="14.25" customHeight="1">
      <c r="A1316" s="1" t="s">
        <v>1350</v>
      </c>
      <c r="B1316" s="2">
        <v>44880.0</v>
      </c>
      <c r="C1316" s="1" t="s">
        <v>26</v>
      </c>
      <c r="D1316" s="1" t="s">
        <v>21</v>
      </c>
      <c r="E1316" s="1" t="s">
        <v>37</v>
      </c>
      <c r="F1316" s="1">
        <v>46.12</v>
      </c>
      <c r="G1316" s="1">
        <v>223.58</v>
      </c>
      <c r="H1316" s="1">
        <v>4.0</v>
      </c>
      <c r="I1316" s="1" t="s">
        <v>23</v>
      </c>
      <c r="J1316" s="1" t="s">
        <v>18</v>
      </c>
      <c r="K1316" s="1">
        <f t="shared" si="1"/>
        <v>2022</v>
      </c>
      <c r="L1316" s="1" t="str">
        <f t="shared" si="2"/>
        <v>Nov</v>
      </c>
      <c r="M1316" s="1" t="str">
        <f t="shared" si="3"/>
        <v>Profit</v>
      </c>
    </row>
    <row r="1317" ht="14.25" customHeight="1">
      <c r="A1317" s="1" t="s">
        <v>1351</v>
      </c>
      <c r="B1317" s="2">
        <v>44212.0</v>
      </c>
      <c r="C1317" s="1" t="s">
        <v>30</v>
      </c>
      <c r="D1317" s="1" t="s">
        <v>15</v>
      </c>
      <c r="E1317" s="1" t="s">
        <v>54</v>
      </c>
      <c r="F1317" s="1">
        <v>793.0</v>
      </c>
      <c r="G1317" s="1">
        <v>299.58</v>
      </c>
      <c r="H1317" s="1">
        <v>4.0</v>
      </c>
      <c r="I1317" s="1" t="s">
        <v>23</v>
      </c>
      <c r="J1317" s="1" t="s">
        <v>35</v>
      </c>
      <c r="K1317" s="1">
        <f t="shared" si="1"/>
        <v>2021</v>
      </c>
      <c r="L1317" s="1" t="str">
        <f t="shared" si="2"/>
        <v>Jan</v>
      </c>
      <c r="M1317" s="1" t="str">
        <f t="shared" si="3"/>
        <v>Profit</v>
      </c>
    </row>
    <row r="1318" ht="14.25" customHeight="1">
      <c r="A1318" s="1" t="s">
        <v>1352</v>
      </c>
      <c r="B1318" s="2">
        <v>44383.0</v>
      </c>
      <c r="C1318" s="1" t="s">
        <v>26</v>
      </c>
      <c r="D1318" s="1" t="s">
        <v>15</v>
      </c>
      <c r="E1318" s="1" t="s">
        <v>54</v>
      </c>
      <c r="F1318" s="1">
        <v>315.27</v>
      </c>
      <c r="G1318" s="1">
        <v>-73.15</v>
      </c>
      <c r="H1318" s="1">
        <v>7.0</v>
      </c>
      <c r="I1318" s="1" t="s">
        <v>23</v>
      </c>
      <c r="J1318" s="1" t="s">
        <v>18</v>
      </c>
      <c r="K1318" s="1">
        <f t="shared" si="1"/>
        <v>2021</v>
      </c>
      <c r="L1318" s="1" t="str">
        <f t="shared" si="2"/>
        <v>Jul</v>
      </c>
      <c r="M1318" s="1" t="str">
        <f t="shared" si="3"/>
        <v>Loss</v>
      </c>
    </row>
    <row r="1319" ht="14.25" customHeight="1">
      <c r="A1319" s="1" t="s">
        <v>1353</v>
      </c>
      <c r="B1319" s="2">
        <v>44429.0</v>
      </c>
      <c r="C1319" s="1" t="s">
        <v>14</v>
      </c>
      <c r="D1319" s="1" t="s">
        <v>21</v>
      </c>
      <c r="E1319" s="1" t="s">
        <v>76</v>
      </c>
      <c r="F1319" s="1">
        <v>533.81</v>
      </c>
      <c r="G1319" s="1">
        <v>264.64</v>
      </c>
      <c r="H1319" s="1">
        <v>5.0</v>
      </c>
      <c r="I1319" s="1" t="s">
        <v>17</v>
      </c>
      <c r="J1319" s="1" t="s">
        <v>35</v>
      </c>
      <c r="K1319" s="1">
        <f t="shared" si="1"/>
        <v>2021</v>
      </c>
      <c r="L1319" s="1" t="str">
        <f t="shared" si="2"/>
        <v>Aug</v>
      </c>
      <c r="M1319" s="1" t="str">
        <f t="shared" si="3"/>
        <v>Profit</v>
      </c>
    </row>
    <row r="1320" ht="14.25" customHeight="1">
      <c r="A1320" s="1" t="s">
        <v>1354</v>
      </c>
      <c r="B1320" s="2">
        <v>44278.0</v>
      </c>
      <c r="C1320" s="1" t="s">
        <v>30</v>
      </c>
      <c r="D1320" s="1" t="s">
        <v>21</v>
      </c>
      <c r="E1320" s="1" t="s">
        <v>37</v>
      </c>
      <c r="F1320" s="1">
        <v>600.11</v>
      </c>
      <c r="G1320" s="1">
        <v>-113.72</v>
      </c>
      <c r="H1320" s="1">
        <v>6.0</v>
      </c>
      <c r="I1320" s="1" t="s">
        <v>34</v>
      </c>
      <c r="J1320" s="1" t="s">
        <v>18</v>
      </c>
      <c r="K1320" s="1">
        <f t="shared" si="1"/>
        <v>2021</v>
      </c>
      <c r="L1320" s="1" t="str">
        <f t="shared" si="2"/>
        <v>Mar</v>
      </c>
      <c r="M1320" s="1" t="str">
        <f t="shared" si="3"/>
        <v>Loss</v>
      </c>
    </row>
    <row r="1321" ht="14.25" customHeight="1">
      <c r="A1321" s="1" t="s">
        <v>1355</v>
      </c>
      <c r="B1321" s="2">
        <v>44338.0</v>
      </c>
      <c r="C1321" s="1" t="s">
        <v>20</v>
      </c>
      <c r="D1321" s="1" t="s">
        <v>21</v>
      </c>
      <c r="E1321" s="1" t="s">
        <v>22</v>
      </c>
      <c r="F1321" s="1">
        <v>26.04</v>
      </c>
      <c r="G1321" s="1">
        <v>69.99</v>
      </c>
      <c r="H1321" s="1">
        <v>5.0</v>
      </c>
      <c r="I1321" s="1" t="s">
        <v>17</v>
      </c>
      <c r="J1321" s="1" t="s">
        <v>18</v>
      </c>
      <c r="K1321" s="1">
        <f t="shared" si="1"/>
        <v>2021</v>
      </c>
      <c r="L1321" s="1" t="str">
        <f t="shared" si="2"/>
        <v>May</v>
      </c>
      <c r="M1321" s="1" t="str">
        <f t="shared" si="3"/>
        <v>Profit</v>
      </c>
    </row>
    <row r="1322" ht="14.25" customHeight="1">
      <c r="A1322" s="1" t="s">
        <v>1356</v>
      </c>
      <c r="B1322" s="2">
        <v>44724.0</v>
      </c>
      <c r="C1322" s="1" t="s">
        <v>26</v>
      </c>
      <c r="D1322" s="1" t="s">
        <v>21</v>
      </c>
      <c r="E1322" s="1" t="s">
        <v>22</v>
      </c>
      <c r="F1322" s="1">
        <v>705.85</v>
      </c>
      <c r="G1322" s="1">
        <v>208.62</v>
      </c>
      <c r="H1322" s="1">
        <v>1.0</v>
      </c>
      <c r="I1322" s="1" t="s">
        <v>17</v>
      </c>
      <c r="J1322" s="1" t="s">
        <v>18</v>
      </c>
      <c r="K1322" s="1">
        <f t="shared" si="1"/>
        <v>2022</v>
      </c>
      <c r="L1322" s="1" t="str">
        <f t="shared" si="2"/>
        <v>Jun</v>
      </c>
      <c r="M1322" s="1" t="str">
        <f t="shared" si="3"/>
        <v>Profit</v>
      </c>
    </row>
    <row r="1323" ht="14.25" customHeight="1">
      <c r="A1323" s="1" t="s">
        <v>1357</v>
      </c>
      <c r="B1323" s="2">
        <v>44342.0</v>
      </c>
      <c r="C1323" s="1" t="s">
        <v>26</v>
      </c>
      <c r="D1323" s="1" t="s">
        <v>15</v>
      </c>
      <c r="E1323" s="1" t="s">
        <v>54</v>
      </c>
      <c r="F1323" s="1">
        <v>779.88</v>
      </c>
      <c r="G1323" s="1">
        <v>7.78</v>
      </c>
      <c r="H1323" s="1">
        <v>6.0</v>
      </c>
      <c r="I1323" s="1" t="s">
        <v>23</v>
      </c>
      <c r="J1323" s="1" t="s">
        <v>38</v>
      </c>
      <c r="K1323" s="1">
        <f t="shared" si="1"/>
        <v>2021</v>
      </c>
      <c r="L1323" s="1" t="str">
        <f t="shared" si="2"/>
        <v>May</v>
      </c>
      <c r="M1323" s="1" t="str">
        <f t="shared" si="3"/>
        <v>Profit</v>
      </c>
    </row>
    <row r="1324" ht="14.25" customHeight="1">
      <c r="A1324" s="1" t="s">
        <v>1358</v>
      </c>
      <c r="B1324" s="2">
        <v>44741.0</v>
      </c>
      <c r="C1324" s="1" t="s">
        <v>20</v>
      </c>
      <c r="D1324" s="1" t="s">
        <v>27</v>
      </c>
      <c r="E1324" s="1" t="s">
        <v>33</v>
      </c>
      <c r="F1324" s="1">
        <v>821.26</v>
      </c>
      <c r="G1324" s="1">
        <v>-1.27</v>
      </c>
      <c r="H1324" s="1">
        <v>9.0</v>
      </c>
      <c r="I1324" s="1" t="s">
        <v>34</v>
      </c>
      <c r="J1324" s="1" t="s">
        <v>35</v>
      </c>
      <c r="K1324" s="1">
        <f t="shared" si="1"/>
        <v>2022</v>
      </c>
      <c r="L1324" s="1" t="str">
        <f t="shared" si="2"/>
        <v>Jun</v>
      </c>
      <c r="M1324" s="1" t="str">
        <f t="shared" si="3"/>
        <v>Loss</v>
      </c>
    </row>
    <row r="1325" ht="14.25" customHeight="1">
      <c r="A1325" s="1" t="s">
        <v>1359</v>
      </c>
      <c r="B1325" s="2">
        <v>44960.0</v>
      </c>
      <c r="C1325" s="1" t="s">
        <v>14</v>
      </c>
      <c r="D1325" s="1" t="s">
        <v>27</v>
      </c>
      <c r="E1325" s="1" t="s">
        <v>33</v>
      </c>
      <c r="F1325" s="1">
        <v>128.02</v>
      </c>
      <c r="G1325" s="1">
        <v>-185.1</v>
      </c>
      <c r="H1325" s="1">
        <v>3.0</v>
      </c>
      <c r="I1325" s="1" t="s">
        <v>34</v>
      </c>
      <c r="J1325" s="1" t="s">
        <v>18</v>
      </c>
      <c r="K1325" s="1">
        <f t="shared" si="1"/>
        <v>2023</v>
      </c>
      <c r="L1325" s="1" t="str">
        <f t="shared" si="2"/>
        <v>Feb</v>
      </c>
      <c r="M1325" s="1" t="str">
        <f t="shared" si="3"/>
        <v>Loss</v>
      </c>
    </row>
    <row r="1326" ht="14.25" customHeight="1">
      <c r="A1326" s="1" t="s">
        <v>1360</v>
      </c>
      <c r="B1326" s="2">
        <v>45275.0</v>
      </c>
      <c r="C1326" s="1" t="s">
        <v>26</v>
      </c>
      <c r="D1326" s="1" t="s">
        <v>21</v>
      </c>
      <c r="E1326" s="1" t="s">
        <v>37</v>
      </c>
      <c r="F1326" s="1">
        <v>266.54</v>
      </c>
      <c r="G1326" s="1">
        <v>-31.88</v>
      </c>
      <c r="H1326" s="1">
        <v>1.0</v>
      </c>
      <c r="I1326" s="1" t="s">
        <v>17</v>
      </c>
      <c r="J1326" s="1" t="s">
        <v>24</v>
      </c>
      <c r="K1326" s="1">
        <f t="shared" si="1"/>
        <v>2023</v>
      </c>
      <c r="L1326" s="1" t="str">
        <f t="shared" si="2"/>
        <v>Dec</v>
      </c>
      <c r="M1326" s="1" t="str">
        <f t="shared" si="3"/>
        <v>Loss</v>
      </c>
    </row>
    <row r="1327" ht="14.25" customHeight="1">
      <c r="A1327" s="1" t="s">
        <v>1361</v>
      </c>
      <c r="B1327" s="2">
        <v>44951.0</v>
      </c>
      <c r="C1327" s="1" t="s">
        <v>14</v>
      </c>
      <c r="D1327" s="1" t="s">
        <v>27</v>
      </c>
      <c r="E1327" s="1" t="s">
        <v>33</v>
      </c>
      <c r="F1327" s="1">
        <v>432.89</v>
      </c>
      <c r="G1327" s="1">
        <v>-108.08</v>
      </c>
      <c r="H1327" s="1">
        <v>5.0</v>
      </c>
      <c r="I1327" s="1" t="s">
        <v>17</v>
      </c>
      <c r="J1327" s="1" t="s">
        <v>38</v>
      </c>
      <c r="K1327" s="1">
        <f t="shared" si="1"/>
        <v>2023</v>
      </c>
      <c r="L1327" s="1" t="str">
        <f t="shared" si="2"/>
        <v>Jan</v>
      </c>
      <c r="M1327" s="1" t="str">
        <f t="shared" si="3"/>
        <v>Loss</v>
      </c>
    </row>
    <row r="1328" ht="14.25" customHeight="1">
      <c r="A1328" s="1" t="s">
        <v>1362</v>
      </c>
      <c r="B1328" s="2">
        <v>44936.0</v>
      </c>
      <c r="C1328" s="1" t="s">
        <v>30</v>
      </c>
      <c r="D1328" s="1" t="s">
        <v>15</v>
      </c>
      <c r="E1328" s="1" t="s">
        <v>31</v>
      </c>
      <c r="F1328" s="1">
        <v>550.51</v>
      </c>
      <c r="G1328" s="1">
        <v>54.88</v>
      </c>
      <c r="H1328" s="1">
        <v>3.0</v>
      </c>
      <c r="I1328" s="1" t="s">
        <v>17</v>
      </c>
      <c r="J1328" s="1" t="s">
        <v>24</v>
      </c>
      <c r="K1328" s="1">
        <f t="shared" si="1"/>
        <v>2023</v>
      </c>
      <c r="L1328" s="1" t="str">
        <f t="shared" si="2"/>
        <v>Jan</v>
      </c>
      <c r="M1328" s="1" t="str">
        <f t="shared" si="3"/>
        <v>Profit</v>
      </c>
    </row>
    <row r="1329" ht="14.25" customHeight="1">
      <c r="A1329" s="1" t="s">
        <v>1363</v>
      </c>
      <c r="B1329" s="2">
        <v>45141.0</v>
      </c>
      <c r="C1329" s="1" t="s">
        <v>14</v>
      </c>
      <c r="D1329" s="1" t="s">
        <v>27</v>
      </c>
      <c r="E1329" s="1" t="s">
        <v>40</v>
      </c>
      <c r="F1329" s="1">
        <v>997.35</v>
      </c>
      <c r="G1329" s="1">
        <v>160.4</v>
      </c>
      <c r="H1329" s="1">
        <v>6.0</v>
      </c>
      <c r="I1329" s="1" t="s">
        <v>23</v>
      </c>
      <c r="J1329" s="1" t="s">
        <v>18</v>
      </c>
      <c r="K1329" s="1">
        <f t="shared" si="1"/>
        <v>2023</v>
      </c>
      <c r="L1329" s="1" t="str">
        <f t="shared" si="2"/>
        <v>Aug</v>
      </c>
      <c r="M1329" s="1" t="str">
        <f t="shared" si="3"/>
        <v>Profit</v>
      </c>
    </row>
    <row r="1330" ht="14.25" customHeight="1">
      <c r="A1330" s="1" t="s">
        <v>1364</v>
      </c>
      <c r="B1330" s="2">
        <v>44263.0</v>
      </c>
      <c r="C1330" s="1" t="s">
        <v>20</v>
      </c>
      <c r="D1330" s="1" t="s">
        <v>15</v>
      </c>
      <c r="E1330" s="1" t="s">
        <v>31</v>
      </c>
      <c r="F1330" s="1">
        <v>830.56</v>
      </c>
      <c r="G1330" s="1">
        <v>249.74</v>
      </c>
      <c r="H1330" s="1">
        <v>6.0</v>
      </c>
      <c r="I1330" s="1" t="s">
        <v>34</v>
      </c>
      <c r="J1330" s="1" t="s">
        <v>24</v>
      </c>
      <c r="K1330" s="1">
        <f t="shared" si="1"/>
        <v>2021</v>
      </c>
      <c r="L1330" s="1" t="str">
        <f t="shared" si="2"/>
        <v>Mar</v>
      </c>
      <c r="M1330" s="1" t="str">
        <f t="shared" si="3"/>
        <v>Profit</v>
      </c>
    </row>
    <row r="1331" ht="14.25" customHeight="1">
      <c r="A1331" s="1" t="s">
        <v>1365</v>
      </c>
      <c r="B1331" s="2">
        <v>45199.0</v>
      </c>
      <c r="C1331" s="1" t="s">
        <v>30</v>
      </c>
      <c r="D1331" s="1" t="s">
        <v>27</v>
      </c>
      <c r="E1331" s="1" t="s">
        <v>33</v>
      </c>
      <c r="F1331" s="1">
        <v>931.27</v>
      </c>
      <c r="G1331" s="1">
        <v>250.77</v>
      </c>
      <c r="H1331" s="1">
        <v>3.0</v>
      </c>
      <c r="I1331" s="1" t="s">
        <v>17</v>
      </c>
      <c r="J1331" s="1" t="s">
        <v>38</v>
      </c>
      <c r="K1331" s="1">
        <f t="shared" si="1"/>
        <v>2023</v>
      </c>
      <c r="L1331" s="1" t="str">
        <f t="shared" si="2"/>
        <v>Sep</v>
      </c>
      <c r="M1331" s="1" t="str">
        <f t="shared" si="3"/>
        <v>Profit</v>
      </c>
    </row>
    <row r="1332" ht="14.25" customHeight="1">
      <c r="A1332" s="1" t="s">
        <v>1366</v>
      </c>
      <c r="B1332" s="2">
        <v>45271.0</v>
      </c>
      <c r="C1332" s="1" t="s">
        <v>30</v>
      </c>
      <c r="D1332" s="1" t="s">
        <v>27</v>
      </c>
      <c r="E1332" s="1" t="s">
        <v>40</v>
      </c>
      <c r="F1332" s="1">
        <v>757.02</v>
      </c>
      <c r="G1332" s="1">
        <v>170.9</v>
      </c>
      <c r="H1332" s="1">
        <v>1.0</v>
      </c>
      <c r="I1332" s="1" t="s">
        <v>34</v>
      </c>
      <c r="J1332" s="1" t="s">
        <v>35</v>
      </c>
      <c r="K1332" s="1">
        <f t="shared" si="1"/>
        <v>2023</v>
      </c>
      <c r="L1332" s="1" t="str">
        <f t="shared" si="2"/>
        <v>Dec</v>
      </c>
      <c r="M1332" s="1" t="str">
        <f t="shared" si="3"/>
        <v>Profit</v>
      </c>
    </row>
    <row r="1333" ht="14.25" customHeight="1">
      <c r="A1333" s="1" t="s">
        <v>1367</v>
      </c>
      <c r="B1333" s="2">
        <v>44316.0</v>
      </c>
      <c r="C1333" s="1" t="s">
        <v>20</v>
      </c>
      <c r="D1333" s="1" t="s">
        <v>27</v>
      </c>
      <c r="E1333" s="1" t="s">
        <v>28</v>
      </c>
      <c r="F1333" s="1">
        <v>511.03</v>
      </c>
      <c r="G1333" s="1">
        <v>184.31</v>
      </c>
      <c r="H1333" s="1">
        <v>10.0</v>
      </c>
      <c r="I1333" s="1" t="s">
        <v>23</v>
      </c>
      <c r="J1333" s="1" t="s">
        <v>18</v>
      </c>
      <c r="K1333" s="1">
        <f t="shared" si="1"/>
        <v>2021</v>
      </c>
      <c r="L1333" s="1" t="str">
        <f t="shared" si="2"/>
        <v>Apr</v>
      </c>
      <c r="M1333" s="1" t="str">
        <f t="shared" si="3"/>
        <v>Profit</v>
      </c>
    </row>
    <row r="1334" ht="14.25" customHeight="1">
      <c r="A1334" s="1" t="s">
        <v>1368</v>
      </c>
      <c r="B1334" s="2">
        <v>44290.0</v>
      </c>
      <c r="C1334" s="1" t="s">
        <v>26</v>
      </c>
      <c r="D1334" s="1" t="s">
        <v>21</v>
      </c>
      <c r="E1334" s="1" t="s">
        <v>37</v>
      </c>
      <c r="F1334" s="1">
        <v>729.57</v>
      </c>
      <c r="G1334" s="1">
        <v>-176.46</v>
      </c>
      <c r="H1334" s="1">
        <v>8.0</v>
      </c>
      <c r="I1334" s="1" t="s">
        <v>34</v>
      </c>
      <c r="J1334" s="1" t="s">
        <v>24</v>
      </c>
      <c r="K1334" s="1">
        <f t="shared" si="1"/>
        <v>2021</v>
      </c>
      <c r="L1334" s="1" t="str">
        <f t="shared" si="2"/>
        <v>Apr</v>
      </c>
      <c r="M1334" s="1" t="str">
        <f t="shared" si="3"/>
        <v>Loss</v>
      </c>
    </row>
    <row r="1335" ht="14.25" customHeight="1">
      <c r="A1335" s="1" t="s">
        <v>1369</v>
      </c>
      <c r="B1335" s="2">
        <v>44674.0</v>
      </c>
      <c r="C1335" s="1" t="s">
        <v>30</v>
      </c>
      <c r="D1335" s="1" t="s">
        <v>15</v>
      </c>
      <c r="E1335" s="1" t="s">
        <v>16</v>
      </c>
      <c r="F1335" s="1">
        <v>233.52</v>
      </c>
      <c r="G1335" s="1">
        <v>-169.36</v>
      </c>
      <c r="H1335" s="1">
        <v>2.0</v>
      </c>
      <c r="I1335" s="1" t="s">
        <v>34</v>
      </c>
      <c r="J1335" s="1" t="s">
        <v>38</v>
      </c>
      <c r="K1335" s="1">
        <f t="shared" si="1"/>
        <v>2022</v>
      </c>
      <c r="L1335" s="1" t="str">
        <f t="shared" si="2"/>
        <v>Apr</v>
      </c>
      <c r="M1335" s="1" t="str">
        <f t="shared" si="3"/>
        <v>Loss</v>
      </c>
    </row>
    <row r="1336" ht="14.25" customHeight="1">
      <c r="A1336" s="1" t="s">
        <v>1370</v>
      </c>
      <c r="B1336" s="2">
        <v>44601.0</v>
      </c>
      <c r="C1336" s="1" t="s">
        <v>30</v>
      </c>
      <c r="D1336" s="1" t="s">
        <v>15</v>
      </c>
      <c r="E1336" s="1" t="s">
        <v>54</v>
      </c>
      <c r="F1336" s="1">
        <v>804.42</v>
      </c>
      <c r="G1336" s="1">
        <v>99.17</v>
      </c>
      <c r="H1336" s="1">
        <v>5.0</v>
      </c>
      <c r="I1336" s="1" t="s">
        <v>34</v>
      </c>
      <c r="J1336" s="1" t="s">
        <v>38</v>
      </c>
      <c r="K1336" s="1">
        <f t="shared" si="1"/>
        <v>2022</v>
      </c>
      <c r="L1336" s="1" t="str">
        <f t="shared" si="2"/>
        <v>Feb</v>
      </c>
      <c r="M1336" s="1" t="str">
        <f t="shared" si="3"/>
        <v>Profit</v>
      </c>
    </row>
    <row r="1337" ht="14.25" customHeight="1">
      <c r="A1337" s="1" t="s">
        <v>1371</v>
      </c>
      <c r="B1337" s="2">
        <v>45109.0</v>
      </c>
      <c r="C1337" s="1" t="s">
        <v>26</v>
      </c>
      <c r="D1337" s="1" t="s">
        <v>27</v>
      </c>
      <c r="E1337" s="1" t="s">
        <v>33</v>
      </c>
      <c r="F1337" s="1">
        <v>895.15</v>
      </c>
      <c r="G1337" s="1">
        <v>160.04</v>
      </c>
      <c r="H1337" s="1">
        <v>6.0</v>
      </c>
      <c r="I1337" s="1" t="s">
        <v>23</v>
      </c>
      <c r="J1337" s="1" t="s">
        <v>18</v>
      </c>
      <c r="K1337" s="1">
        <f t="shared" si="1"/>
        <v>2023</v>
      </c>
      <c r="L1337" s="1" t="str">
        <f t="shared" si="2"/>
        <v>Jul</v>
      </c>
      <c r="M1337" s="1" t="str">
        <f t="shared" si="3"/>
        <v>Profit</v>
      </c>
    </row>
    <row r="1338" ht="14.25" customHeight="1">
      <c r="A1338" s="1" t="s">
        <v>1372</v>
      </c>
      <c r="B1338" s="2">
        <v>44766.0</v>
      </c>
      <c r="C1338" s="1" t="s">
        <v>30</v>
      </c>
      <c r="D1338" s="1" t="s">
        <v>27</v>
      </c>
      <c r="E1338" s="1" t="s">
        <v>33</v>
      </c>
      <c r="F1338" s="1">
        <v>837.77</v>
      </c>
      <c r="G1338" s="1">
        <v>264.8</v>
      </c>
      <c r="H1338" s="1">
        <v>1.0</v>
      </c>
      <c r="I1338" s="1" t="s">
        <v>17</v>
      </c>
      <c r="J1338" s="1" t="s">
        <v>35</v>
      </c>
      <c r="K1338" s="1">
        <f t="shared" si="1"/>
        <v>2022</v>
      </c>
      <c r="L1338" s="1" t="str">
        <f t="shared" si="2"/>
        <v>Jul</v>
      </c>
      <c r="M1338" s="1" t="str">
        <f t="shared" si="3"/>
        <v>Profit</v>
      </c>
    </row>
    <row r="1339" ht="14.25" customHeight="1">
      <c r="A1339" s="1" t="s">
        <v>1373</v>
      </c>
      <c r="B1339" s="2">
        <v>44681.0</v>
      </c>
      <c r="C1339" s="1" t="s">
        <v>20</v>
      </c>
      <c r="D1339" s="1" t="s">
        <v>21</v>
      </c>
      <c r="E1339" s="1" t="s">
        <v>37</v>
      </c>
      <c r="F1339" s="1">
        <v>803.27</v>
      </c>
      <c r="G1339" s="1">
        <v>42.72</v>
      </c>
      <c r="H1339" s="1">
        <v>7.0</v>
      </c>
      <c r="I1339" s="1" t="s">
        <v>23</v>
      </c>
      <c r="J1339" s="1" t="s">
        <v>35</v>
      </c>
      <c r="K1339" s="1">
        <f t="shared" si="1"/>
        <v>2022</v>
      </c>
      <c r="L1339" s="1" t="str">
        <f t="shared" si="2"/>
        <v>Apr</v>
      </c>
      <c r="M1339" s="1" t="str">
        <f t="shared" si="3"/>
        <v>Profit</v>
      </c>
    </row>
    <row r="1340" ht="14.25" customHeight="1">
      <c r="A1340" s="1" t="s">
        <v>1374</v>
      </c>
      <c r="B1340" s="2">
        <v>45211.0</v>
      </c>
      <c r="C1340" s="1" t="s">
        <v>30</v>
      </c>
      <c r="D1340" s="1" t="s">
        <v>21</v>
      </c>
      <c r="E1340" s="1" t="s">
        <v>37</v>
      </c>
      <c r="F1340" s="1">
        <v>852.36</v>
      </c>
      <c r="G1340" s="1">
        <v>77.7</v>
      </c>
      <c r="H1340" s="1">
        <v>7.0</v>
      </c>
      <c r="I1340" s="1" t="s">
        <v>17</v>
      </c>
      <c r="J1340" s="1" t="s">
        <v>24</v>
      </c>
      <c r="K1340" s="1">
        <f t="shared" si="1"/>
        <v>2023</v>
      </c>
      <c r="L1340" s="1" t="str">
        <f t="shared" si="2"/>
        <v>Oct</v>
      </c>
      <c r="M1340" s="1" t="str">
        <f t="shared" si="3"/>
        <v>Profit</v>
      </c>
    </row>
    <row r="1341" ht="14.25" customHeight="1">
      <c r="A1341" s="1" t="s">
        <v>1375</v>
      </c>
      <c r="B1341" s="2">
        <v>44552.0</v>
      </c>
      <c r="C1341" s="1" t="s">
        <v>26</v>
      </c>
      <c r="D1341" s="1" t="s">
        <v>21</v>
      </c>
      <c r="E1341" s="1" t="s">
        <v>37</v>
      </c>
      <c r="F1341" s="1">
        <v>860.41</v>
      </c>
      <c r="G1341" s="1">
        <v>170.02</v>
      </c>
      <c r="H1341" s="1">
        <v>5.0</v>
      </c>
      <c r="I1341" s="1" t="s">
        <v>23</v>
      </c>
      <c r="J1341" s="1" t="s">
        <v>18</v>
      </c>
      <c r="K1341" s="1">
        <f t="shared" si="1"/>
        <v>2021</v>
      </c>
      <c r="L1341" s="1" t="str">
        <f t="shared" si="2"/>
        <v>Dec</v>
      </c>
      <c r="M1341" s="1" t="str">
        <f t="shared" si="3"/>
        <v>Profit</v>
      </c>
    </row>
    <row r="1342" ht="14.25" customHeight="1">
      <c r="A1342" s="1" t="s">
        <v>1376</v>
      </c>
      <c r="B1342" s="2">
        <v>44457.0</v>
      </c>
      <c r="C1342" s="1" t="s">
        <v>20</v>
      </c>
      <c r="D1342" s="1" t="s">
        <v>15</v>
      </c>
      <c r="E1342" s="1" t="s">
        <v>31</v>
      </c>
      <c r="F1342" s="1">
        <v>942.46</v>
      </c>
      <c r="G1342" s="1">
        <v>78.42</v>
      </c>
      <c r="H1342" s="1">
        <v>3.0</v>
      </c>
      <c r="I1342" s="1" t="s">
        <v>34</v>
      </c>
      <c r="J1342" s="1" t="s">
        <v>35</v>
      </c>
      <c r="K1342" s="1">
        <f t="shared" si="1"/>
        <v>2021</v>
      </c>
      <c r="L1342" s="1" t="str">
        <f t="shared" si="2"/>
        <v>Sep</v>
      </c>
      <c r="M1342" s="1" t="str">
        <f t="shared" si="3"/>
        <v>Profit</v>
      </c>
    </row>
    <row r="1343" ht="14.25" customHeight="1">
      <c r="A1343" s="1" t="s">
        <v>1377</v>
      </c>
      <c r="B1343" s="2">
        <v>45217.0</v>
      </c>
      <c r="C1343" s="1" t="s">
        <v>14</v>
      </c>
      <c r="D1343" s="1" t="s">
        <v>15</v>
      </c>
      <c r="E1343" s="1" t="s">
        <v>54</v>
      </c>
      <c r="F1343" s="1">
        <v>301.3</v>
      </c>
      <c r="G1343" s="1">
        <v>-150.68</v>
      </c>
      <c r="H1343" s="1">
        <v>9.0</v>
      </c>
      <c r="I1343" s="1" t="s">
        <v>17</v>
      </c>
      <c r="J1343" s="1" t="s">
        <v>18</v>
      </c>
      <c r="K1343" s="1">
        <f t="shared" si="1"/>
        <v>2023</v>
      </c>
      <c r="L1343" s="1" t="str">
        <f t="shared" si="2"/>
        <v>Oct</v>
      </c>
      <c r="M1343" s="1" t="str">
        <f t="shared" si="3"/>
        <v>Loss</v>
      </c>
    </row>
    <row r="1344" ht="14.25" customHeight="1">
      <c r="A1344" s="1" t="s">
        <v>1378</v>
      </c>
      <c r="B1344" s="2">
        <v>44314.0</v>
      </c>
      <c r="C1344" s="1" t="s">
        <v>14</v>
      </c>
      <c r="D1344" s="1" t="s">
        <v>21</v>
      </c>
      <c r="E1344" s="1" t="s">
        <v>76</v>
      </c>
      <c r="F1344" s="1">
        <v>726.79</v>
      </c>
      <c r="G1344" s="1">
        <v>-108.03</v>
      </c>
      <c r="H1344" s="1">
        <v>3.0</v>
      </c>
      <c r="I1344" s="1" t="s">
        <v>17</v>
      </c>
      <c r="J1344" s="1" t="s">
        <v>35</v>
      </c>
      <c r="K1344" s="1">
        <f t="shared" si="1"/>
        <v>2021</v>
      </c>
      <c r="L1344" s="1" t="str">
        <f t="shared" si="2"/>
        <v>Apr</v>
      </c>
      <c r="M1344" s="1" t="str">
        <f t="shared" si="3"/>
        <v>Loss</v>
      </c>
    </row>
    <row r="1345" ht="14.25" customHeight="1">
      <c r="A1345" s="1" t="s">
        <v>1379</v>
      </c>
      <c r="B1345" s="2">
        <v>44335.0</v>
      </c>
      <c r="C1345" s="1" t="s">
        <v>14</v>
      </c>
      <c r="D1345" s="1" t="s">
        <v>21</v>
      </c>
      <c r="E1345" s="1" t="s">
        <v>22</v>
      </c>
      <c r="F1345" s="1">
        <v>785.44</v>
      </c>
      <c r="G1345" s="1">
        <v>278.76</v>
      </c>
      <c r="H1345" s="1">
        <v>2.0</v>
      </c>
      <c r="I1345" s="1" t="s">
        <v>23</v>
      </c>
      <c r="J1345" s="1" t="s">
        <v>24</v>
      </c>
      <c r="K1345" s="1">
        <f t="shared" si="1"/>
        <v>2021</v>
      </c>
      <c r="L1345" s="1" t="str">
        <f t="shared" si="2"/>
        <v>May</v>
      </c>
      <c r="M1345" s="1" t="str">
        <f t="shared" si="3"/>
        <v>Profit</v>
      </c>
    </row>
    <row r="1346" ht="14.25" customHeight="1">
      <c r="A1346" s="1" t="s">
        <v>1380</v>
      </c>
      <c r="B1346" s="2">
        <v>45020.0</v>
      </c>
      <c r="C1346" s="1" t="s">
        <v>14</v>
      </c>
      <c r="D1346" s="1" t="s">
        <v>15</v>
      </c>
      <c r="E1346" s="1" t="s">
        <v>16</v>
      </c>
      <c r="F1346" s="1">
        <v>384.09</v>
      </c>
      <c r="G1346" s="1">
        <v>297.0</v>
      </c>
      <c r="H1346" s="1">
        <v>9.0</v>
      </c>
      <c r="I1346" s="1" t="s">
        <v>23</v>
      </c>
      <c r="J1346" s="1" t="s">
        <v>24</v>
      </c>
      <c r="K1346" s="1">
        <f t="shared" si="1"/>
        <v>2023</v>
      </c>
      <c r="L1346" s="1" t="str">
        <f t="shared" si="2"/>
        <v>Apr</v>
      </c>
      <c r="M1346" s="1" t="str">
        <f t="shared" si="3"/>
        <v>Profit</v>
      </c>
    </row>
    <row r="1347" ht="14.25" customHeight="1">
      <c r="A1347" s="1" t="s">
        <v>1381</v>
      </c>
      <c r="B1347" s="2">
        <v>44294.0</v>
      </c>
      <c r="C1347" s="1" t="s">
        <v>26</v>
      </c>
      <c r="D1347" s="1" t="s">
        <v>15</v>
      </c>
      <c r="E1347" s="1" t="s">
        <v>31</v>
      </c>
      <c r="F1347" s="1">
        <v>302.14</v>
      </c>
      <c r="G1347" s="1">
        <v>-106.89</v>
      </c>
      <c r="H1347" s="1">
        <v>5.0</v>
      </c>
      <c r="I1347" s="1" t="s">
        <v>17</v>
      </c>
      <c r="J1347" s="1" t="s">
        <v>38</v>
      </c>
      <c r="K1347" s="1">
        <f t="shared" si="1"/>
        <v>2021</v>
      </c>
      <c r="L1347" s="1" t="str">
        <f t="shared" si="2"/>
        <v>Apr</v>
      </c>
      <c r="M1347" s="1" t="str">
        <f t="shared" si="3"/>
        <v>Loss</v>
      </c>
    </row>
    <row r="1348" ht="14.25" customHeight="1">
      <c r="A1348" s="1" t="s">
        <v>1382</v>
      </c>
      <c r="B1348" s="2">
        <v>44210.0</v>
      </c>
      <c r="C1348" s="1" t="s">
        <v>14</v>
      </c>
      <c r="D1348" s="1" t="s">
        <v>27</v>
      </c>
      <c r="E1348" s="1" t="s">
        <v>28</v>
      </c>
      <c r="F1348" s="1">
        <v>474.66</v>
      </c>
      <c r="G1348" s="1">
        <v>-23.8</v>
      </c>
      <c r="H1348" s="1">
        <v>9.0</v>
      </c>
      <c r="I1348" s="1" t="s">
        <v>34</v>
      </c>
      <c r="J1348" s="1" t="s">
        <v>18</v>
      </c>
      <c r="K1348" s="1">
        <f t="shared" si="1"/>
        <v>2021</v>
      </c>
      <c r="L1348" s="1" t="str">
        <f t="shared" si="2"/>
        <v>Jan</v>
      </c>
      <c r="M1348" s="1" t="str">
        <f t="shared" si="3"/>
        <v>Loss</v>
      </c>
    </row>
    <row r="1349" ht="14.25" customHeight="1">
      <c r="A1349" s="1" t="s">
        <v>1383</v>
      </c>
      <c r="B1349" s="2">
        <v>44296.0</v>
      </c>
      <c r="C1349" s="1" t="s">
        <v>26</v>
      </c>
      <c r="D1349" s="1" t="s">
        <v>15</v>
      </c>
      <c r="E1349" s="1" t="s">
        <v>54</v>
      </c>
      <c r="F1349" s="1">
        <v>274.51</v>
      </c>
      <c r="G1349" s="1">
        <v>-193.04</v>
      </c>
      <c r="H1349" s="1">
        <v>8.0</v>
      </c>
      <c r="I1349" s="1" t="s">
        <v>23</v>
      </c>
      <c r="J1349" s="1" t="s">
        <v>35</v>
      </c>
      <c r="K1349" s="1">
        <f t="shared" si="1"/>
        <v>2021</v>
      </c>
      <c r="L1349" s="1" t="str">
        <f t="shared" si="2"/>
        <v>Apr</v>
      </c>
      <c r="M1349" s="1" t="str">
        <f t="shared" si="3"/>
        <v>Loss</v>
      </c>
    </row>
    <row r="1350" ht="14.25" customHeight="1">
      <c r="A1350" s="1" t="s">
        <v>1384</v>
      </c>
      <c r="B1350" s="2">
        <v>44891.0</v>
      </c>
      <c r="C1350" s="1" t="s">
        <v>20</v>
      </c>
      <c r="D1350" s="1" t="s">
        <v>27</v>
      </c>
      <c r="E1350" s="1" t="s">
        <v>33</v>
      </c>
      <c r="F1350" s="1">
        <v>63.48</v>
      </c>
      <c r="G1350" s="1">
        <v>193.49</v>
      </c>
      <c r="H1350" s="1">
        <v>10.0</v>
      </c>
      <c r="I1350" s="1" t="s">
        <v>34</v>
      </c>
      <c r="J1350" s="1" t="s">
        <v>35</v>
      </c>
      <c r="K1350" s="1">
        <f t="shared" si="1"/>
        <v>2022</v>
      </c>
      <c r="L1350" s="1" t="str">
        <f t="shared" si="2"/>
        <v>Nov</v>
      </c>
      <c r="M1350" s="1" t="str">
        <f t="shared" si="3"/>
        <v>Profit</v>
      </c>
    </row>
    <row r="1351" ht="14.25" customHeight="1">
      <c r="A1351" s="1" t="s">
        <v>1385</v>
      </c>
      <c r="B1351" s="2">
        <v>44761.0</v>
      </c>
      <c r="C1351" s="1" t="s">
        <v>14</v>
      </c>
      <c r="D1351" s="1" t="s">
        <v>15</v>
      </c>
      <c r="E1351" s="1" t="s">
        <v>54</v>
      </c>
      <c r="F1351" s="1">
        <v>627.23</v>
      </c>
      <c r="G1351" s="1">
        <v>113.23</v>
      </c>
      <c r="H1351" s="1">
        <v>6.0</v>
      </c>
      <c r="I1351" s="1" t="s">
        <v>23</v>
      </c>
      <c r="J1351" s="1" t="s">
        <v>35</v>
      </c>
      <c r="K1351" s="1">
        <f t="shared" si="1"/>
        <v>2022</v>
      </c>
      <c r="L1351" s="1" t="str">
        <f t="shared" si="2"/>
        <v>Jul</v>
      </c>
      <c r="M1351" s="1" t="str">
        <f t="shared" si="3"/>
        <v>Profit</v>
      </c>
    </row>
    <row r="1352" ht="14.25" customHeight="1">
      <c r="A1352" s="1" t="s">
        <v>1386</v>
      </c>
      <c r="B1352" s="2">
        <v>44252.0</v>
      </c>
      <c r="C1352" s="1" t="s">
        <v>20</v>
      </c>
      <c r="D1352" s="1" t="s">
        <v>21</v>
      </c>
      <c r="E1352" s="1" t="s">
        <v>22</v>
      </c>
      <c r="F1352" s="1">
        <v>136.68</v>
      </c>
      <c r="G1352" s="1">
        <v>227.21</v>
      </c>
      <c r="H1352" s="1">
        <v>9.0</v>
      </c>
      <c r="I1352" s="1" t="s">
        <v>23</v>
      </c>
      <c r="J1352" s="1" t="s">
        <v>18</v>
      </c>
      <c r="K1352" s="1">
        <f t="shared" si="1"/>
        <v>2021</v>
      </c>
      <c r="L1352" s="1" t="str">
        <f t="shared" si="2"/>
        <v>Feb</v>
      </c>
      <c r="M1352" s="1" t="str">
        <f t="shared" si="3"/>
        <v>Profit</v>
      </c>
    </row>
    <row r="1353" ht="14.25" customHeight="1">
      <c r="A1353" s="1" t="s">
        <v>1387</v>
      </c>
      <c r="B1353" s="2">
        <v>44841.0</v>
      </c>
      <c r="C1353" s="1" t="s">
        <v>20</v>
      </c>
      <c r="D1353" s="1" t="s">
        <v>21</v>
      </c>
      <c r="E1353" s="1" t="s">
        <v>22</v>
      </c>
      <c r="F1353" s="1">
        <v>542.73</v>
      </c>
      <c r="G1353" s="1">
        <v>-73.71</v>
      </c>
      <c r="H1353" s="1">
        <v>3.0</v>
      </c>
      <c r="I1353" s="1" t="s">
        <v>23</v>
      </c>
      <c r="J1353" s="1" t="s">
        <v>24</v>
      </c>
      <c r="K1353" s="1">
        <f t="shared" si="1"/>
        <v>2022</v>
      </c>
      <c r="L1353" s="1" t="str">
        <f t="shared" si="2"/>
        <v>Oct</v>
      </c>
      <c r="M1353" s="1" t="str">
        <f t="shared" si="3"/>
        <v>Loss</v>
      </c>
    </row>
    <row r="1354" ht="14.25" customHeight="1">
      <c r="A1354" s="1" t="s">
        <v>1388</v>
      </c>
      <c r="B1354" s="2">
        <v>44476.0</v>
      </c>
      <c r="C1354" s="1" t="s">
        <v>14</v>
      </c>
      <c r="D1354" s="1" t="s">
        <v>21</v>
      </c>
      <c r="E1354" s="1" t="s">
        <v>22</v>
      </c>
      <c r="F1354" s="1">
        <v>781.71</v>
      </c>
      <c r="G1354" s="1">
        <v>-90.18</v>
      </c>
      <c r="H1354" s="1">
        <v>10.0</v>
      </c>
      <c r="I1354" s="1" t="s">
        <v>23</v>
      </c>
      <c r="J1354" s="1" t="s">
        <v>24</v>
      </c>
      <c r="K1354" s="1">
        <f t="shared" si="1"/>
        <v>2021</v>
      </c>
      <c r="L1354" s="1" t="str">
        <f t="shared" si="2"/>
        <v>Oct</v>
      </c>
      <c r="M1354" s="1" t="str">
        <f t="shared" si="3"/>
        <v>Loss</v>
      </c>
    </row>
    <row r="1355" ht="14.25" customHeight="1">
      <c r="A1355" s="1" t="s">
        <v>1389</v>
      </c>
      <c r="B1355" s="2">
        <v>44937.0</v>
      </c>
      <c r="C1355" s="1" t="s">
        <v>30</v>
      </c>
      <c r="D1355" s="1" t="s">
        <v>27</v>
      </c>
      <c r="E1355" s="1" t="s">
        <v>28</v>
      </c>
      <c r="F1355" s="1">
        <v>431.89</v>
      </c>
      <c r="G1355" s="1">
        <v>287.2</v>
      </c>
      <c r="H1355" s="1">
        <v>6.0</v>
      </c>
      <c r="I1355" s="1" t="s">
        <v>23</v>
      </c>
      <c r="J1355" s="1" t="s">
        <v>24</v>
      </c>
      <c r="K1355" s="1">
        <f t="shared" si="1"/>
        <v>2023</v>
      </c>
      <c r="L1355" s="1" t="str">
        <f t="shared" si="2"/>
        <v>Jan</v>
      </c>
      <c r="M1355" s="1" t="str">
        <f t="shared" si="3"/>
        <v>Profit</v>
      </c>
    </row>
    <row r="1356" ht="14.25" customHeight="1">
      <c r="A1356" s="1" t="s">
        <v>1390</v>
      </c>
      <c r="B1356" s="2">
        <v>44300.0</v>
      </c>
      <c r="C1356" s="1" t="s">
        <v>20</v>
      </c>
      <c r="D1356" s="1" t="s">
        <v>27</v>
      </c>
      <c r="E1356" s="1" t="s">
        <v>28</v>
      </c>
      <c r="F1356" s="1">
        <v>283.07</v>
      </c>
      <c r="G1356" s="1">
        <v>32.25</v>
      </c>
      <c r="H1356" s="1">
        <v>10.0</v>
      </c>
      <c r="I1356" s="1" t="s">
        <v>17</v>
      </c>
      <c r="J1356" s="1" t="s">
        <v>38</v>
      </c>
      <c r="K1356" s="1">
        <f t="shared" si="1"/>
        <v>2021</v>
      </c>
      <c r="L1356" s="1" t="str">
        <f t="shared" si="2"/>
        <v>Apr</v>
      </c>
      <c r="M1356" s="1" t="str">
        <f t="shared" si="3"/>
        <v>Profit</v>
      </c>
    </row>
    <row r="1357" ht="14.25" customHeight="1">
      <c r="A1357" s="1" t="s">
        <v>1391</v>
      </c>
      <c r="B1357" s="2">
        <v>45112.0</v>
      </c>
      <c r="C1357" s="1" t="s">
        <v>14</v>
      </c>
      <c r="D1357" s="1" t="s">
        <v>27</v>
      </c>
      <c r="E1357" s="1" t="s">
        <v>28</v>
      </c>
      <c r="F1357" s="1">
        <v>482.36</v>
      </c>
      <c r="G1357" s="1">
        <v>-165.39</v>
      </c>
      <c r="H1357" s="1">
        <v>9.0</v>
      </c>
      <c r="I1357" s="1" t="s">
        <v>23</v>
      </c>
      <c r="J1357" s="1" t="s">
        <v>24</v>
      </c>
      <c r="K1357" s="1">
        <f t="shared" si="1"/>
        <v>2023</v>
      </c>
      <c r="L1357" s="1" t="str">
        <f t="shared" si="2"/>
        <v>Jul</v>
      </c>
      <c r="M1357" s="1" t="str">
        <f t="shared" si="3"/>
        <v>Loss</v>
      </c>
    </row>
    <row r="1358" ht="14.25" customHeight="1">
      <c r="A1358" s="1" t="s">
        <v>1392</v>
      </c>
      <c r="B1358" s="2">
        <v>45123.0</v>
      </c>
      <c r="C1358" s="1" t="s">
        <v>30</v>
      </c>
      <c r="D1358" s="1" t="s">
        <v>15</v>
      </c>
      <c r="E1358" s="1" t="s">
        <v>54</v>
      </c>
      <c r="F1358" s="1">
        <v>415.2</v>
      </c>
      <c r="G1358" s="1">
        <v>-136.76</v>
      </c>
      <c r="H1358" s="1">
        <v>10.0</v>
      </c>
      <c r="I1358" s="1" t="s">
        <v>17</v>
      </c>
      <c r="J1358" s="1" t="s">
        <v>24</v>
      </c>
      <c r="K1358" s="1">
        <f t="shared" si="1"/>
        <v>2023</v>
      </c>
      <c r="L1358" s="1" t="str">
        <f t="shared" si="2"/>
        <v>Jul</v>
      </c>
      <c r="M1358" s="1" t="str">
        <f t="shared" si="3"/>
        <v>Loss</v>
      </c>
    </row>
    <row r="1359" ht="14.25" customHeight="1">
      <c r="A1359" s="1" t="s">
        <v>1393</v>
      </c>
      <c r="B1359" s="2">
        <v>44235.0</v>
      </c>
      <c r="C1359" s="1" t="s">
        <v>30</v>
      </c>
      <c r="D1359" s="1" t="s">
        <v>21</v>
      </c>
      <c r="E1359" s="1" t="s">
        <v>76</v>
      </c>
      <c r="F1359" s="1">
        <v>600.93</v>
      </c>
      <c r="G1359" s="1">
        <v>81.07</v>
      </c>
      <c r="H1359" s="1">
        <v>3.0</v>
      </c>
      <c r="I1359" s="1" t="s">
        <v>17</v>
      </c>
      <c r="J1359" s="1" t="s">
        <v>18</v>
      </c>
      <c r="K1359" s="1">
        <f t="shared" si="1"/>
        <v>2021</v>
      </c>
      <c r="L1359" s="1" t="str">
        <f t="shared" si="2"/>
        <v>Feb</v>
      </c>
      <c r="M1359" s="1" t="str">
        <f t="shared" si="3"/>
        <v>Profit</v>
      </c>
    </row>
    <row r="1360" ht="14.25" customHeight="1">
      <c r="A1360" s="1" t="s">
        <v>1394</v>
      </c>
      <c r="B1360" s="2">
        <v>44708.0</v>
      </c>
      <c r="C1360" s="1" t="s">
        <v>20</v>
      </c>
      <c r="D1360" s="1" t="s">
        <v>27</v>
      </c>
      <c r="E1360" s="1" t="s">
        <v>40</v>
      </c>
      <c r="F1360" s="1">
        <v>673.11</v>
      </c>
      <c r="G1360" s="1">
        <v>112.81</v>
      </c>
      <c r="H1360" s="1">
        <v>6.0</v>
      </c>
      <c r="I1360" s="1" t="s">
        <v>34</v>
      </c>
      <c r="J1360" s="1" t="s">
        <v>18</v>
      </c>
      <c r="K1360" s="1">
        <f t="shared" si="1"/>
        <v>2022</v>
      </c>
      <c r="L1360" s="1" t="str">
        <f t="shared" si="2"/>
        <v>May</v>
      </c>
      <c r="M1360" s="1" t="str">
        <f t="shared" si="3"/>
        <v>Profit</v>
      </c>
    </row>
    <row r="1361" ht="14.25" customHeight="1">
      <c r="A1361" s="1" t="s">
        <v>1395</v>
      </c>
      <c r="B1361" s="2">
        <v>45292.0</v>
      </c>
      <c r="C1361" s="1" t="s">
        <v>30</v>
      </c>
      <c r="D1361" s="1" t="s">
        <v>15</v>
      </c>
      <c r="E1361" s="1" t="s">
        <v>16</v>
      </c>
      <c r="F1361" s="1">
        <v>425.8</v>
      </c>
      <c r="G1361" s="1">
        <v>52.39</v>
      </c>
      <c r="H1361" s="1">
        <v>1.0</v>
      </c>
      <c r="I1361" s="1" t="s">
        <v>17</v>
      </c>
      <c r="J1361" s="1" t="s">
        <v>18</v>
      </c>
      <c r="K1361" s="1">
        <f t="shared" si="1"/>
        <v>2024</v>
      </c>
      <c r="L1361" s="1" t="str">
        <f t="shared" si="2"/>
        <v>Jan</v>
      </c>
      <c r="M1361" s="1" t="str">
        <f t="shared" si="3"/>
        <v>Profit</v>
      </c>
    </row>
    <row r="1362" ht="14.25" customHeight="1">
      <c r="A1362" s="1" t="s">
        <v>1396</v>
      </c>
      <c r="B1362" s="2">
        <v>44913.0</v>
      </c>
      <c r="C1362" s="1" t="s">
        <v>30</v>
      </c>
      <c r="D1362" s="1" t="s">
        <v>15</v>
      </c>
      <c r="E1362" s="1" t="s">
        <v>31</v>
      </c>
      <c r="F1362" s="1">
        <v>750.38</v>
      </c>
      <c r="G1362" s="1">
        <v>-24.53</v>
      </c>
      <c r="H1362" s="1">
        <v>9.0</v>
      </c>
      <c r="I1362" s="1" t="s">
        <v>34</v>
      </c>
      <c r="J1362" s="1" t="s">
        <v>35</v>
      </c>
      <c r="K1362" s="1">
        <f t="shared" si="1"/>
        <v>2022</v>
      </c>
      <c r="L1362" s="1" t="str">
        <f t="shared" si="2"/>
        <v>Dec</v>
      </c>
      <c r="M1362" s="1" t="str">
        <f t="shared" si="3"/>
        <v>Loss</v>
      </c>
    </row>
    <row r="1363" ht="14.25" customHeight="1">
      <c r="A1363" s="1" t="s">
        <v>1397</v>
      </c>
      <c r="B1363" s="2">
        <v>44384.0</v>
      </c>
      <c r="C1363" s="1" t="s">
        <v>14</v>
      </c>
      <c r="D1363" s="1" t="s">
        <v>21</v>
      </c>
      <c r="E1363" s="1" t="s">
        <v>22</v>
      </c>
      <c r="F1363" s="1">
        <v>637.73</v>
      </c>
      <c r="G1363" s="1">
        <v>-142.78</v>
      </c>
      <c r="H1363" s="1">
        <v>7.0</v>
      </c>
      <c r="I1363" s="1" t="s">
        <v>34</v>
      </c>
      <c r="J1363" s="1" t="s">
        <v>18</v>
      </c>
      <c r="K1363" s="1">
        <f t="shared" si="1"/>
        <v>2021</v>
      </c>
      <c r="L1363" s="1" t="str">
        <f t="shared" si="2"/>
        <v>Jul</v>
      </c>
      <c r="M1363" s="1" t="str">
        <f t="shared" si="3"/>
        <v>Loss</v>
      </c>
    </row>
    <row r="1364" ht="14.25" customHeight="1">
      <c r="A1364" s="1" t="s">
        <v>1398</v>
      </c>
      <c r="B1364" s="2">
        <v>45196.0</v>
      </c>
      <c r="C1364" s="1" t="s">
        <v>20</v>
      </c>
      <c r="D1364" s="1" t="s">
        <v>27</v>
      </c>
      <c r="E1364" s="1" t="s">
        <v>40</v>
      </c>
      <c r="F1364" s="1">
        <v>720.18</v>
      </c>
      <c r="G1364" s="1">
        <v>174.72</v>
      </c>
      <c r="H1364" s="1">
        <v>1.0</v>
      </c>
      <c r="I1364" s="1" t="s">
        <v>34</v>
      </c>
      <c r="J1364" s="1" t="s">
        <v>18</v>
      </c>
      <c r="K1364" s="1">
        <f t="shared" si="1"/>
        <v>2023</v>
      </c>
      <c r="L1364" s="1" t="str">
        <f t="shared" si="2"/>
        <v>Sep</v>
      </c>
      <c r="M1364" s="1" t="str">
        <f t="shared" si="3"/>
        <v>Profit</v>
      </c>
    </row>
    <row r="1365" ht="14.25" customHeight="1">
      <c r="A1365" s="1" t="s">
        <v>1399</v>
      </c>
      <c r="B1365" s="2">
        <v>44440.0</v>
      </c>
      <c r="C1365" s="1" t="s">
        <v>30</v>
      </c>
      <c r="D1365" s="1" t="s">
        <v>27</v>
      </c>
      <c r="E1365" s="1" t="s">
        <v>40</v>
      </c>
      <c r="F1365" s="1">
        <v>663.89</v>
      </c>
      <c r="G1365" s="1">
        <v>12.47</v>
      </c>
      <c r="H1365" s="1">
        <v>3.0</v>
      </c>
      <c r="I1365" s="1" t="s">
        <v>34</v>
      </c>
      <c r="J1365" s="1" t="s">
        <v>38</v>
      </c>
      <c r="K1365" s="1">
        <f t="shared" si="1"/>
        <v>2021</v>
      </c>
      <c r="L1365" s="1" t="str">
        <f t="shared" si="2"/>
        <v>Sep</v>
      </c>
      <c r="M1365" s="1" t="str">
        <f t="shared" si="3"/>
        <v>Profit</v>
      </c>
    </row>
    <row r="1366" ht="14.25" customHeight="1">
      <c r="A1366" s="1" t="s">
        <v>1400</v>
      </c>
      <c r="B1366" s="2">
        <v>44317.0</v>
      </c>
      <c r="C1366" s="1" t="s">
        <v>26</v>
      </c>
      <c r="D1366" s="1" t="s">
        <v>21</v>
      </c>
      <c r="E1366" s="1" t="s">
        <v>22</v>
      </c>
      <c r="F1366" s="1">
        <v>820.2</v>
      </c>
      <c r="G1366" s="1">
        <v>-92.5</v>
      </c>
      <c r="H1366" s="1">
        <v>1.0</v>
      </c>
      <c r="I1366" s="1" t="s">
        <v>17</v>
      </c>
      <c r="J1366" s="1" t="s">
        <v>35</v>
      </c>
      <c r="K1366" s="1">
        <f t="shared" si="1"/>
        <v>2021</v>
      </c>
      <c r="L1366" s="1" t="str">
        <f t="shared" si="2"/>
        <v>May</v>
      </c>
      <c r="M1366" s="1" t="str">
        <f t="shared" si="3"/>
        <v>Loss</v>
      </c>
    </row>
    <row r="1367" ht="14.25" customHeight="1">
      <c r="A1367" s="1" t="s">
        <v>1401</v>
      </c>
      <c r="B1367" s="2">
        <v>44374.0</v>
      </c>
      <c r="C1367" s="1" t="s">
        <v>14</v>
      </c>
      <c r="D1367" s="1" t="s">
        <v>27</v>
      </c>
      <c r="E1367" s="1" t="s">
        <v>28</v>
      </c>
      <c r="F1367" s="1">
        <v>314.37</v>
      </c>
      <c r="G1367" s="1">
        <v>234.36</v>
      </c>
      <c r="H1367" s="1">
        <v>4.0</v>
      </c>
      <c r="I1367" s="1" t="s">
        <v>23</v>
      </c>
      <c r="J1367" s="1" t="s">
        <v>18</v>
      </c>
      <c r="K1367" s="1">
        <f t="shared" si="1"/>
        <v>2021</v>
      </c>
      <c r="L1367" s="1" t="str">
        <f t="shared" si="2"/>
        <v>Jun</v>
      </c>
      <c r="M1367" s="1" t="str">
        <f t="shared" si="3"/>
        <v>Profit</v>
      </c>
    </row>
    <row r="1368" ht="14.25" customHeight="1">
      <c r="A1368" s="1" t="s">
        <v>1402</v>
      </c>
      <c r="B1368" s="2">
        <v>45017.0</v>
      </c>
      <c r="C1368" s="1" t="s">
        <v>30</v>
      </c>
      <c r="D1368" s="1" t="s">
        <v>15</v>
      </c>
      <c r="E1368" s="1" t="s">
        <v>31</v>
      </c>
      <c r="F1368" s="1">
        <v>847.98</v>
      </c>
      <c r="G1368" s="1">
        <v>-78.76</v>
      </c>
      <c r="H1368" s="1">
        <v>4.0</v>
      </c>
      <c r="I1368" s="1" t="s">
        <v>17</v>
      </c>
      <c r="J1368" s="1" t="s">
        <v>35</v>
      </c>
      <c r="K1368" s="1">
        <f t="shared" si="1"/>
        <v>2023</v>
      </c>
      <c r="L1368" s="1" t="str">
        <f t="shared" si="2"/>
        <v>Apr</v>
      </c>
      <c r="M1368" s="1" t="str">
        <f t="shared" si="3"/>
        <v>Loss</v>
      </c>
    </row>
    <row r="1369" ht="14.25" customHeight="1">
      <c r="A1369" s="1" t="s">
        <v>1403</v>
      </c>
      <c r="B1369" s="2">
        <v>44288.0</v>
      </c>
      <c r="C1369" s="1" t="s">
        <v>30</v>
      </c>
      <c r="D1369" s="1" t="s">
        <v>21</v>
      </c>
      <c r="E1369" s="1" t="s">
        <v>22</v>
      </c>
      <c r="F1369" s="1">
        <v>626.51</v>
      </c>
      <c r="G1369" s="1">
        <v>94.3</v>
      </c>
      <c r="H1369" s="1">
        <v>2.0</v>
      </c>
      <c r="I1369" s="1" t="s">
        <v>34</v>
      </c>
      <c r="J1369" s="1" t="s">
        <v>18</v>
      </c>
      <c r="K1369" s="1">
        <f t="shared" si="1"/>
        <v>2021</v>
      </c>
      <c r="L1369" s="1" t="str">
        <f t="shared" si="2"/>
        <v>Apr</v>
      </c>
      <c r="M1369" s="1" t="str">
        <f t="shared" si="3"/>
        <v>Profit</v>
      </c>
    </row>
    <row r="1370" ht="14.25" customHeight="1">
      <c r="A1370" s="1" t="s">
        <v>1404</v>
      </c>
      <c r="B1370" s="2">
        <v>44539.0</v>
      </c>
      <c r="C1370" s="1" t="s">
        <v>14</v>
      </c>
      <c r="D1370" s="1" t="s">
        <v>21</v>
      </c>
      <c r="E1370" s="1" t="s">
        <v>76</v>
      </c>
      <c r="F1370" s="1">
        <v>332.88</v>
      </c>
      <c r="G1370" s="1">
        <v>28.12</v>
      </c>
      <c r="H1370" s="1">
        <v>9.0</v>
      </c>
      <c r="I1370" s="1" t="s">
        <v>23</v>
      </c>
      <c r="J1370" s="1" t="s">
        <v>18</v>
      </c>
      <c r="K1370" s="1">
        <f t="shared" si="1"/>
        <v>2021</v>
      </c>
      <c r="L1370" s="1" t="str">
        <f t="shared" si="2"/>
        <v>Dec</v>
      </c>
      <c r="M1370" s="1" t="str">
        <f t="shared" si="3"/>
        <v>Profit</v>
      </c>
    </row>
    <row r="1371" ht="14.25" customHeight="1">
      <c r="A1371" s="1" t="s">
        <v>1405</v>
      </c>
      <c r="B1371" s="2">
        <v>44284.0</v>
      </c>
      <c r="C1371" s="1" t="s">
        <v>26</v>
      </c>
      <c r="D1371" s="1" t="s">
        <v>21</v>
      </c>
      <c r="E1371" s="1" t="s">
        <v>37</v>
      </c>
      <c r="F1371" s="1">
        <v>910.56</v>
      </c>
      <c r="G1371" s="1">
        <v>-99.23</v>
      </c>
      <c r="H1371" s="1">
        <v>1.0</v>
      </c>
      <c r="I1371" s="1" t="s">
        <v>34</v>
      </c>
      <c r="J1371" s="1" t="s">
        <v>18</v>
      </c>
      <c r="K1371" s="1">
        <f t="shared" si="1"/>
        <v>2021</v>
      </c>
      <c r="L1371" s="1" t="str">
        <f t="shared" si="2"/>
        <v>Mar</v>
      </c>
      <c r="M1371" s="1" t="str">
        <f t="shared" si="3"/>
        <v>Loss</v>
      </c>
    </row>
    <row r="1372" ht="14.25" customHeight="1">
      <c r="A1372" s="1" t="s">
        <v>1406</v>
      </c>
      <c r="B1372" s="2">
        <v>45173.0</v>
      </c>
      <c r="C1372" s="1" t="s">
        <v>30</v>
      </c>
      <c r="D1372" s="1" t="s">
        <v>27</v>
      </c>
      <c r="E1372" s="1" t="s">
        <v>40</v>
      </c>
      <c r="F1372" s="1">
        <v>658.67</v>
      </c>
      <c r="G1372" s="1">
        <v>1.32</v>
      </c>
      <c r="H1372" s="1">
        <v>8.0</v>
      </c>
      <c r="I1372" s="1" t="s">
        <v>23</v>
      </c>
      <c r="J1372" s="1" t="s">
        <v>38</v>
      </c>
      <c r="K1372" s="1">
        <f t="shared" si="1"/>
        <v>2023</v>
      </c>
      <c r="L1372" s="1" t="str">
        <f t="shared" si="2"/>
        <v>Sep</v>
      </c>
      <c r="M1372" s="1" t="str">
        <f t="shared" si="3"/>
        <v>Profit</v>
      </c>
    </row>
    <row r="1373" ht="14.25" customHeight="1">
      <c r="A1373" s="1" t="s">
        <v>1407</v>
      </c>
      <c r="B1373" s="2">
        <v>45116.0</v>
      </c>
      <c r="C1373" s="1" t="s">
        <v>30</v>
      </c>
      <c r="D1373" s="1" t="s">
        <v>15</v>
      </c>
      <c r="E1373" s="1" t="s">
        <v>54</v>
      </c>
      <c r="F1373" s="1">
        <v>756.52</v>
      </c>
      <c r="G1373" s="1">
        <v>153.89</v>
      </c>
      <c r="H1373" s="1">
        <v>6.0</v>
      </c>
      <c r="I1373" s="1" t="s">
        <v>23</v>
      </c>
      <c r="J1373" s="1" t="s">
        <v>18</v>
      </c>
      <c r="K1373" s="1">
        <f t="shared" si="1"/>
        <v>2023</v>
      </c>
      <c r="L1373" s="1" t="str">
        <f t="shared" si="2"/>
        <v>Jul</v>
      </c>
      <c r="M1373" s="1" t="str">
        <f t="shared" si="3"/>
        <v>Profit</v>
      </c>
    </row>
    <row r="1374" ht="14.25" customHeight="1">
      <c r="A1374" s="1" t="s">
        <v>1408</v>
      </c>
      <c r="B1374" s="2">
        <v>44254.0</v>
      </c>
      <c r="C1374" s="1" t="s">
        <v>30</v>
      </c>
      <c r="D1374" s="1" t="s">
        <v>27</v>
      </c>
      <c r="E1374" s="1" t="s">
        <v>28</v>
      </c>
      <c r="F1374" s="1">
        <v>469.26</v>
      </c>
      <c r="G1374" s="1">
        <v>264.84</v>
      </c>
      <c r="H1374" s="1">
        <v>9.0</v>
      </c>
      <c r="I1374" s="1" t="s">
        <v>17</v>
      </c>
      <c r="J1374" s="1" t="s">
        <v>24</v>
      </c>
      <c r="K1374" s="1">
        <f t="shared" si="1"/>
        <v>2021</v>
      </c>
      <c r="L1374" s="1" t="str">
        <f t="shared" si="2"/>
        <v>Feb</v>
      </c>
      <c r="M1374" s="1" t="str">
        <f t="shared" si="3"/>
        <v>Profit</v>
      </c>
    </row>
    <row r="1375" ht="14.25" customHeight="1">
      <c r="A1375" s="1" t="s">
        <v>1409</v>
      </c>
      <c r="B1375" s="2">
        <v>44488.0</v>
      </c>
      <c r="C1375" s="1" t="s">
        <v>30</v>
      </c>
      <c r="D1375" s="1" t="s">
        <v>21</v>
      </c>
      <c r="E1375" s="1" t="s">
        <v>37</v>
      </c>
      <c r="F1375" s="1">
        <v>53.4</v>
      </c>
      <c r="G1375" s="1">
        <v>287.44</v>
      </c>
      <c r="H1375" s="1">
        <v>8.0</v>
      </c>
      <c r="I1375" s="1" t="s">
        <v>34</v>
      </c>
      <c r="J1375" s="1" t="s">
        <v>24</v>
      </c>
      <c r="K1375" s="1">
        <f t="shared" si="1"/>
        <v>2021</v>
      </c>
      <c r="L1375" s="1" t="str">
        <f t="shared" si="2"/>
        <v>Oct</v>
      </c>
      <c r="M1375" s="1" t="str">
        <f t="shared" si="3"/>
        <v>Profit</v>
      </c>
    </row>
    <row r="1376" ht="14.25" customHeight="1">
      <c r="A1376" s="1" t="s">
        <v>1410</v>
      </c>
      <c r="B1376" s="2">
        <v>44386.0</v>
      </c>
      <c r="C1376" s="1" t="s">
        <v>30</v>
      </c>
      <c r="D1376" s="1" t="s">
        <v>15</v>
      </c>
      <c r="E1376" s="1" t="s">
        <v>31</v>
      </c>
      <c r="F1376" s="1">
        <v>552.66</v>
      </c>
      <c r="G1376" s="1">
        <v>204.41</v>
      </c>
      <c r="H1376" s="1">
        <v>10.0</v>
      </c>
      <c r="I1376" s="1" t="s">
        <v>23</v>
      </c>
      <c r="J1376" s="1" t="s">
        <v>38</v>
      </c>
      <c r="K1376" s="1">
        <f t="shared" si="1"/>
        <v>2021</v>
      </c>
      <c r="L1376" s="1" t="str">
        <f t="shared" si="2"/>
        <v>Jul</v>
      </c>
      <c r="M1376" s="1" t="str">
        <f t="shared" si="3"/>
        <v>Profit</v>
      </c>
    </row>
    <row r="1377" ht="14.25" customHeight="1">
      <c r="A1377" s="1" t="s">
        <v>1411</v>
      </c>
      <c r="B1377" s="2">
        <v>44589.0</v>
      </c>
      <c r="C1377" s="1" t="s">
        <v>20</v>
      </c>
      <c r="D1377" s="1" t="s">
        <v>27</v>
      </c>
      <c r="E1377" s="1" t="s">
        <v>33</v>
      </c>
      <c r="F1377" s="1">
        <v>192.02</v>
      </c>
      <c r="G1377" s="1">
        <v>-22.35</v>
      </c>
      <c r="H1377" s="1">
        <v>8.0</v>
      </c>
      <c r="I1377" s="1" t="s">
        <v>17</v>
      </c>
      <c r="J1377" s="1" t="s">
        <v>24</v>
      </c>
      <c r="K1377" s="1">
        <f t="shared" si="1"/>
        <v>2022</v>
      </c>
      <c r="L1377" s="1" t="str">
        <f t="shared" si="2"/>
        <v>Jan</v>
      </c>
      <c r="M1377" s="1" t="str">
        <f t="shared" si="3"/>
        <v>Loss</v>
      </c>
    </row>
    <row r="1378" ht="14.25" customHeight="1">
      <c r="A1378" s="1" t="s">
        <v>1412</v>
      </c>
      <c r="B1378" s="2">
        <v>44349.0</v>
      </c>
      <c r="C1378" s="1" t="s">
        <v>20</v>
      </c>
      <c r="D1378" s="1" t="s">
        <v>27</v>
      </c>
      <c r="E1378" s="1" t="s">
        <v>33</v>
      </c>
      <c r="F1378" s="1">
        <v>671.75</v>
      </c>
      <c r="G1378" s="1">
        <v>120.18</v>
      </c>
      <c r="H1378" s="1">
        <v>6.0</v>
      </c>
      <c r="I1378" s="1" t="s">
        <v>34</v>
      </c>
      <c r="J1378" s="1" t="s">
        <v>38</v>
      </c>
      <c r="K1378" s="1">
        <f t="shared" si="1"/>
        <v>2021</v>
      </c>
      <c r="L1378" s="1" t="str">
        <f t="shared" si="2"/>
        <v>Jun</v>
      </c>
      <c r="M1378" s="1" t="str">
        <f t="shared" si="3"/>
        <v>Profit</v>
      </c>
    </row>
    <row r="1379" ht="14.25" customHeight="1">
      <c r="A1379" s="1" t="s">
        <v>1413</v>
      </c>
      <c r="B1379" s="2">
        <v>45124.0</v>
      </c>
      <c r="C1379" s="1" t="s">
        <v>30</v>
      </c>
      <c r="D1379" s="1" t="s">
        <v>27</v>
      </c>
      <c r="E1379" s="1" t="s">
        <v>33</v>
      </c>
      <c r="F1379" s="1">
        <v>102.33</v>
      </c>
      <c r="G1379" s="1">
        <v>130.89</v>
      </c>
      <c r="H1379" s="1">
        <v>2.0</v>
      </c>
      <c r="I1379" s="1" t="s">
        <v>34</v>
      </c>
      <c r="J1379" s="1" t="s">
        <v>38</v>
      </c>
      <c r="K1379" s="1">
        <f t="shared" si="1"/>
        <v>2023</v>
      </c>
      <c r="L1379" s="1" t="str">
        <f t="shared" si="2"/>
        <v>Jul</v>
      </c>
      <c r="M1379" s="1" t="str">
        <f t="shared" si="3"/>
        <v>Profit</v>
      </c>
    </row>
    <row r="1380" ht="14.25" customHeight="1">
      <c r="A1380" s="1" t="s">
        <v>1414</v>
      </c>
      <c r="B1380" s="2">
        <v>44789.0</v>
      </c>
      <c r="C1380" s="1" t="s">
        <v>14</v>
      </c>
      <c r="D1380" s="1" t="s">
        <v>27</v>
      </c>
      <c r="E1380" s="1" t="s">
        <v>33</v>
      </c>
      <c r="F1380" s="1">
        <v>399.04</v>
      </c>
      <c r="G1380" s="1">
        <v>148.86</v>
      </c>
      <c r="H1380" s="1">
        <v>3.0</v>
      </c>
      <c r="I1380" s="1" t="s">
        <v>34</v>
      </c>
      <c r="J1380" s="1" t="s">
        <v>18</v>
      </c>
      <c r="K1380" s="1">
        <f t="shared" si="1"/>
        <v>2022</v>
      </c>
      <c r="L1380" s="1" t="str">
        <f t="shared" si="2"/>
        <v>Aug</v>
      </c>
      <c r="M1380" s="1" t="str">
        <f t="shared" si="3"/>
        <v>Profit</v>
      </c>
    </row>
    <row r="1381" ht="14.25" customHeight="1">
      <c r="A1381" s="1" t="s">
        <v>1415</v>
      </c>
      <c r="B1381" s="2">
        <v>44840.0</v>
      </c>
      <c r="C1381" s="1" t="s">
        <v>14</v>
      </c>
      <c r="D1381" s="1" t="s">
        <v>21</v>
      </c>
      <c r="E1381" s="1" t="s">
        <v>22</v>
      </c>
      <c r="F1381" s="1">
        <v>638.03</v>
      </c>
      <c r="G1381" s="1">
        <v>25.61</v>
      </c>
      <c r="H1381" s="1">
        <v>7.0</v>
      </c>
      <c r="I1381" s="1" t="s">
        <v>17</v>
      </c>
      <c r="J1381" s="1" t="s">
        <v>38</v>
      </c>
      <c r="K1381" s="1">
        <f t="shared" si="1"/>
        <v>2022</v>
      </c>
      <c r="L1381" s="1" t="str">
        <f t="shared" si="2"/>
        <v>Oct</v>
      </c>
      <c r="M1381" s="1" t="str">
        <f t="shared" si="3"/>
        <v>Profit</v>
      </c>
    </row>
    <row r="1382" ht="14.25" customHeight="1">
      <c r="A1382" s="1" t="s">
        <v>1416</v>
      </c>
      <c r="B1382" s="2">
        <v>45047.0</v>
      </c>
      <c r="C1382" s="1" t="s">
        <v>30</v>
      </c>
      <c r="D1382" s="1" t="s">
        <v>21</v>
      </c>
      <c r="E1382" s="1" t="s">
        <v>22</v>
      </c>
      <c r="F1382" s="1">
        <v>148.91</v>
      </c>
      <c r="G1382" s="1">
        <v>128.71</v>
      </c>
      <c r="H1382" s="1">
        <v>3.0</v>
      </c>
      <c r="I1382" s="1" t="s">
        <v>17</v>
      </c>
      <c r="J1382" s="1" t="s">
        <v>24</v>
      </c>
      <c r="K1382" s="1">
        <f t="shared" si="1"/>
        <v>2023</v>
      </c>
      <c r="L1382" s="1" t="str">
        <f t="shared" si="2"/>
        <v>May</v>
      </c>
      <c r="M1382" s="1" t="str">
        <f t="shared" si="3"/>
        <v>Profit</v>
      </c>
    </row>
    <row r="1383" ht="14.25" customHeight="1">
      <c r="A1383" s="1" t="s">
        <v>1417</v>
      </c>
      <c r="B1383" s="2">
        <v>44442.0</v>
      </c>
      <c r="C1383" s="1" t="s">
        <v>14</v>
      </c>
      <c r="D1383" s="1" t="s">
        <v>21</v>
      </c>
      <c r="E1383" s="1" t="s">
        <v>76</v>
      </c>
      <c r="F1383" s="1">
        <v>946.01</v>
      </c>
      <c r="G1383" s="1">
        <v>246.2</v>
      </c>
      <c r="H1383" s="1">
        <v>4.0</v>
      </c>
      <c r="I1383" s="1" t="s">
        <v>23</v>
      </c>
      <c r="J1383" s="1" t="s">
        <v>35</v>
      </c>
      <c r="K1383" s="1">
        <f t="shared" si="1"/>
        <v>2021</v>
      </c>
      <c r="L1383" s="1" t="str">
        <f t="shared" si="2"/>
        <v>Sep</v>
      </c>
      <c r="M1383" s="1" t="str">
        <f t="shared" si="3"/>
        <v>Profit</v>
      </c>
    </row>
    <row r="1384" ht="14.25" customHeight="1">
      <c r="A1384" s="1" t="s">
        <v>1418</v>
      </c>
      <c r="B1384" s="2">
        <v>44408.0</v>
      </c>
      <c r="C1384" s="1" t="s">
        <v>14</v>
      </c>
      <c r="D1384" s="1" t="s">
        <v>15</v>
      </c>
      <c r="E1384" s="1" t="s">
        <v>31</v>
      </c>
      <c r="F1384" s="1">
        <v>246.79</v>
      </c>
      <c r="G1384" s="1">
        <v>-57.12</v>
      </c>
      <c r="H1384" s="1">
        <v>5.0</v>
      </c>
      <c r="I1384" s="1" t="s">
        <v>17</v>
      </c>
      <c r="J1384" s="1" t="s">
        <v>18</v>
      </c>
      <c r="K1384" s="1">
        <f t="shared" si="1"/>
        <v>2021</v>
      </c>
      <c r="L1384" s="1" t="str">
        <f t="shared" si="2"/>
        <v>Jul</v>
      </c>
      <c r="M1384" s="1" t="str">
        <f t="shared" si="3"/>
        <v>Loss</v>
      </c>
    </row>
    <row r="1385" ht="14.25" customHeight="1">
      <c r="A1385" s="1" t="s">
        <v>1419</v>
      </c>
      <c r="B1385" s="2">
        <v>44381.0</v>
      </c>
      <c r="C1385" s="1" t="s">
        <v>30</v>
      </c>
      <c r="D1385" s="1" t="s">
        <v>15</v>
      </c>
      <c r="E1385" s="1" t="s">
        <v>54</v>
      </c>
      <c r="F1385" s="1">
        <v>983.72</v>
      </c>
      <c r="G1385" s="1">
        <v>192.67</v>
      </c>
      <c r="H1385" s="1">
        <v>8.0</v>
      </c>
      <c r="I1385" s="1" t="s">
        <v>23</v>
      </c>
      <c r="J1385" s="1" t="s">
        <v>18</v>
      </c>
      <c r="K1385" s="1">
        <f t="shared" si="1"/>
        <v>2021</v>
      </c>
      <c r="L1385" s="1" t="str">
        <f t="shared" si="2"/>
        <v>Jul</v>
      </c>
      <c r="M1385" s="1" t="str">
        <f t="shared" si="3"/>
        <v>Profit</v>
      </c>
    </row>
    <row r="1386" ht="14.25" customHeight="1">
      <c r="A1386" s="1" t="s">
        <v>1420</v>
      </c>
      <c r="B1386" s="2">
        <v>44559.0</v>
      </c>
      <c r="C1386" s="1" t="s">
        <v>30</v>
      </c>
      <c r="D1386" s="1" t="s">
        <v>27</v>
      </c>
      <c r="E1386" s="1" t="s">
        <v>33</v>
      </c>
      <c r="F1386" s="1">
        <v>125.23</v>
      </c>
      <c r="G1386" s="1">
        <v>-139.53</v>
      </c>
      <c r="H1386" s="1">
        <v>10.0</v>
      </c>
      <c r="I1386" s="1" t="s">
        <v>23</v>
      </c>
      <c r="J1386" s="1" t="s">
        <v>18</v>
      </c>
      <c r="K1386" s="1">
        <f t="shared" si="1"/>
        <v>2021</v>
      </c>
      <c r="L1386" s="1" t="str">
        <f t="shared" si="2"/>
        <v>Dec</v>
      </c>
      <c r="M1386" s="1" t="str">
        <f t="shared" si="3"/>
        <v>Loss</v>
      </c>
    </row>
    <row r="1387" ht="14.25" customHeight="1">
      <c r="A1387" s="1" t="s">
        <v>1421</v>
      </c>
      <c r="B1387" s="2">
        <v>44621.0</v>
      </c>
      <c r="C1387" s="1" t="s">
        <v>26</v>
      </c>
      <c r="D1387" s="1" t="s">
        <v>15</v>
      </c>
      <c r="E1387" s="1" t="s">
        <v>31</v>
      </c>
      <c r="F1387" s="1">
        <v>785.93</v>
      </c>
      <c r="G1387" s="1">
        <v>172.26</v>
      </c>
      <c r="H1387" s="1">
        <v>10.0</v>
      </c>
      <c r="I1387" s="1" t="s">
        <v>17</v>
      </c>
      <c r="J1387" s="1" t="s">
        <v>18</v>
      </c>
      <c r="K1387" s="1">
        <f t="shared" si="1"/>
        <v>2022</v>
      </c>
      <c r="L1387" s="1" t="str">
        <f t="shared" si="2"/>
        <v>Mar</v>
      </c>
      <c r="M1387" s="1" t="str">
        <f t="shared" si="3"/>
        <v>Profit</v>
      </c>
    </row>
    <row r="1388" ht="14.25" customHeight="1">
      <c r="A1388" s="1" t="s">
        <v>1422</v>
      </c>
      <c r="B1388" s="2">
        <v>44679.0</v>
      </c>
      <c r="C1388" s="1" t="s">
        <v>26</v>
      </c>
      <c r="D1388" s="1" t="s">
        <v>15</v>
      </c>
      <c r="E1388" s="1" t="s">
        <v>54</v>
      </c>
      <c r="F1388" s="1">
        <v>629.31</v>
      </c>
      <c r="G1388" s="1">
        <v>-18.43</v>
      </c>
      <c r="H1388" s="1">
        <v>9.0</v>
      </c>
      <c r="I1388" s="1" t="s">
        <v>17</v>
      </c>
      <c r="J1388" s="1" t="s">
        <v>35</v>
      </c>
      <c r="K1388" s="1">
        <f t="shared" si="1"/>
        <v>2022</v>
      </c>
      <c r="L1388" s="1" t="str">
        <f t="shared" si="2"/>
        <v>Apr</v>
      </c>
      <c r="M1388" s="1" t="str">
        <f t="shared" si="3"/>
        <v>Loss</v>
      </c>
    </row>
    <row r="1389" ht="14.25" customHeight="1">
      <c r="A1389" s="1" t="s">
        <v>1423</v>
      </c>
      <c r="B1389" s="2">
        <v>44394.0</v>
      </c>
      <c r="C1389" s="1" t="s">
        <v>14</v>
      </c>
      <c r="D1389" s="1" t="s">
        <v>21</v>
      </c>
      <c r="E1389" s="1" t="s">
        <v>22</v>
      </c>
      <c r="F1389" s="1">
        <v>935.63</v>
      </c>
      <c r="G1389" s="1">
        <v>-130.04</v>
      </c>
      <c r="H1389" s="1">
        <v>2.0</v>
      </c>
      <c r="I1389" s="1" t="s">
        <v>34</v>
      </c>
      <c r="J1389" s="1" t="s">
        <v>24</v>
      </c>
      <c r="K1389" s="1">
        <f t="shared" si="1"/>
        <v>2021</v>
      </c>
      <c r="L1389" s="1" t="str">
        <f t="shared" si="2"/>
        <v>Jul</v>
      </c>
      <c r="M1389" s="1" t="str">
        <f t="shared" si="3"/>
        <v>Loss</v>
      </c>
    </row>
    <row r="1390" ht="14.25" customHeight="1">
      <c r="A1390" s="1" t="s">
        <v>1424</v>
      </c>
      <c r="B1390" s="2">
        <v>44895.0</v>
      </c>
      <c r="C1390" s="1" t="s">
        <v>30</v>
      </c>
      <c r="D1390" s="1" t="s">
        <v>27</v>
      </c>
      <c r="E1390" s="1" t="s">
        <v>40</v>
      </c>
      <c r="F1390" s="1">
        <v>220.41</v>
      </c>
      <c r="G1390" s="1">
        <v>66.84</v>
      </c>
      <c r="H1390" s="1">
        <v>3.0</v>
      </c>
      <c r="I1390" s="1" t="s">
        <v>23</v>
      </c>
      <c r="J1390" s="1" t="s">
        <v>35</v>
      </c>
      <c r="K1390" s="1">
        <f t="shared" si="1"/>
        <v>2022</v>
      </c>
      <c r="L1390" s="1" t="str">
        <f t="shared" si="2"/>
        <v>Nov</v>
      </c>
      <c r="M1390" s="1" t="str">
        <f t="shared" si="3"/>
        <v>Profit</v>
      </c>
    </row>
    <row r="1391" ht="14.25" customHeight="1">
      <c r="A1391" s="1" t="s">
        <v>1425</v>
      </c>
      <c r="B1391" s="2">
        <v>45205.0</v>
      </c>
      <c r="C1391" s="1" t="s">
        <v>14</v>
      </c>
      <c r="D1391" s="1" t="s">
        <v>21</v>
      </c>
      <c r="E1391" s="1" t="s">
        <v>76</v>
      </c>
      <c r="F1391" s="1">
        <v>449.09</v>
      </c>
      <c r="G1391" s="1">
        <v>-175.09</v>
      </c>
      <c r="H1391" s="1">
        <v>10.0</v>
      </c>
      <c r="I1391" s="1" t="s">
        <v>23</v>
      </c>
      <c r="J1391" s="1" t="s">
        <v>18</v>
      </c>
      <c r="K1391" s="1">
        <f t="shared" si="1"/>
        <v>2023</v>
      </c>
      <c r="L1391" s="1" t="str">
        <f t="shared" si="2"/>
        <v>Oct</v>
      </c>
      <c r="M1391" s="1" t="str">
        <f t="shared" si="3"/>
        <v>Loss</v>
      </c>
    </row>
    <row r="1392" ht="14.25" customHeight="1">
      <c r="A1392" s="1" t="s">
        <v>1426</v>
      </c>
      <c r="B1392" s="2">
        <v>45088.0</v>
      </c>
      <c r="C1392" s="1" t="s">
        <v>14</v>
      </c>
      <c r="D1392" s="1" t="s">
        <v>27</v>
      </c>
      <c r="E1392" s="1" t="s">
        <v>40</v>
      </c>
      <c r="F1392" s="1">
        <v>876.27</v>
      </c>
      <c r="G1392" s="1">
        <v>146.83</v>
      </c>
      <c r="H1392" s="1">
        <v>6.0</v>
      </c>
      <c r="I1392" s="1" t="s">
        <v>17</v>
      </c>
      <c r="J1392" s="1" t="s">
        <v>35</v>
      </c>
      <c r="K1392" s="1">
        <f t="shared" si="1"/>
        <v>2023</v>
      </c>
      <c r="L1392" s="1" t="str">
        <f t="shared" si="2"/>
        <v>Jun</v>
      </c>
      <c r="M1392" s="1" t="str">
        <f t="shared" si="3"/>
        <v>Profit</v>
      </c>
    </row>
    <row r="1393" ht="14.25" customHeight="1">
      <c r="A1393" s="1" t="s">
        <v>1427</v>
      </c>
      <c r="B1393" s="2">
        <v>44614.0</v>
      </c>
      <c r="C1393" s="1" t="s">
        <v>30</v>
      </c>
      <c r="D1393" s="1" t="s">
        <v>27</v>
      </c>
      <c r="E1393" s="1" t="s">
        <v>40</v>
      </c>
      <c r="F1393" s="1">
        <v>429.61</v>
      </c>
      <c r="G1393" s="1">
        <v>-101.97</v>
      </c>
      <c r="H1393" s="1">
        <v>5.0</v>
      </c>
      <c r="I1393" s="1" t="s">
        <v>23</v>
      </c>
      <c r="J1393" s="1" t="s">
        <v>18</v>
      </c>
      <c r="K1393" s="1">
        <f t="shared" si="1"/>
        <v>2022</v>
      </c>
      <c r="L1393" s="1" t="str">
        <f t="shared" si="2"/>
        <v>Feb</v>
      </c>
      <c r="M1393" s="1" t="str">
        <f t="shared" si="3"/>
        <v>Loss</v>
      </c>
    </row>
    <row r="1394" ht="14.25" customHeight="1">
      <c r="A1394" s="1" t="s">
        <v>1428</v>
      </c>
      <c r="B1394" s="2">
        <v>45038.0</v>
      </c>
      <c r="C1394" s="1" t="s">
        <v>14</v>
      </c>
      <c r="D1394" s="1" t="s">
        <v>15</v>
      </c>
      <c r="E1394" s="1" t="s">
        <v>16</v>
      </c>
      <c r="F1394" s="1">
        <v>833.71</v>
      </c>
      <c r="G1394" s="1">
        <v>5.54</v>
      </c>
      <c r="H1394" s="1">
        <v>6.0</v>
      </c>
      <c r="I1394" s="1" t="s">
        <v>17</v>
      </c>
      <c r="J1394" s="1" t="s">
        <v>38</v>
      </c>
      <c r="K1394" s="1">
        <f t="shared" si="1"/>
        <v>2023</v>
      </c>
      <c r="L1394" s="1" t="str">
        <f t="shared" si="2"/>
        <v>Apr</v>
      </c>
      <c r="M1394" s="1" t="str">
        <f t="shared" si="3"/>
        <v>Profit</v>
      </c>
    </row>
    <row r="1395" ht="14.25" customHeight="1">
      <c r="A1395" s="1" t="s">
        <v>1429</v>
      </c>
      <c r="B1395" s="2">
        <v>44345.0</v>
      </c>
      <c r="C1395" s="1" t="s">
        <v>14</v>
      </c>
      <c r="D1395" s="1" t="s">
        <v>21</v>
      </c>
      <c r="E1395" s="1" t="s">
        <v>76</v>
      </c>
      <c r="F1395" s="1">
        <v>879.67</v>
      </c>
      <c r="G1395" s="1">
        <v>185.42</v>
      </c>
      <c r="H1395" s="1">
        <v>5.0</v>
      </c>
      <c r="I1395" s="1" t="s">
        <v>34</v>
      </c>
      <c r="J1395" s="1" t="s">
        <v>38</v>
      </c>
      <c r="K1395" s="1">
        <f t="shared" si="1"/>
        <v>2021</v>
      </c>
      <c r="L1395" s="1" t="str">
        <f t="shared" si="2"/>
        <v>May</v>
      </c>
      <c r="M1395" s="1" t="str">
        <f t="shared" si="3"/>
        <v>Profit</v>
      </c>
    </row>
    <row r="1396" ht="14.25" customHeight="1">
      <c r="A1396" s="1" t="s">
        <v>1430</v>
      </c>
      <c r="B1396" s="2">
        <v>44197.0</v>
      </c>
      <c r="C1396" s="1" t="s">
        <v>20</v>
      </c>
      <c r="D1396" s="1" t="s">
        <v>21</v>
      </c>
      <c r="E1396" s="1" t="s">
        <v>22</v>
      </c>
      <c r="F1396" s="1">
        <v>785.41</v>
      </c>
      <c r="G1396" s="1">
        <v>218.37</v>
      </c>
      <c r="H1396" s="1">
        <v>3.0</v>
      </c>
      <c r="I1396" s="1" t="s">
        <v>17</v>
      </c>
      <c r="J1396" s="1" t="s">
        <v>18</v>
      </c>
      <c r="K1396" s="1">
        <f t="shared" si="1"/>
        <v>2021</v>
      </c>
      <c r="L1396" s="1" t="str">
        <f t="shared" si="2"/>
        <v>Jan</v>
      </c>
      <c r="M1396" s="1" t="str">
        <f t="shared" si="3"/>
        <v>Profit</v>
      </c>
    </row>
    <row r="1397" ht="14.25" customHeight="1">
      <c r="A1397" s="1" t="s">
        <v>1431</v>
      </c>
      <c r="B1397" s="2">
        <v>44610.0</v>
      </c>
      <c r="C1397" s="1" t="s">
        <v>14</v>
      </c>
      <c r="D1397" s="1" t="s">
        <v>27</v>
      </c>
      <c r="E1397" s="1" t="s">
        <v>28</v>
      </c>
      <c r="F1397" s="1">
        <v>668.34</v>
      </c>
      <c r="G1397" s="1">
        <v>202.9</v>
      </c>
      <c r="H1397" s="1">
        <v>3.0</v>
      </c>
      <c r="I1397" s="1" t="s">
        <v>34</v>
      </c>
      <c r="J1397" s="1" t="s">
        <v>24</v>
      </c>
      <c r="K1397" s="1">
        <f t="shared" si="1"/>
        <v>2022</v>
      </c>
      <c r="L1397" s="1" t="str">
        <f t="shared" si="2"/>
        <v>Feb</v>
      </c>
      <c r="M1397" s="1" t="str">
        <f t="shared" si="3"/>
        <v>Profit</v>
      </c>
    </row>
    <row r="1398" ht="14.25" customHeight="1">
      <c r="A1398" s="1" t="s">
        <v>1432</v>
      </c>
      <c r="B1398" s="2">
        <v>44818.0</v>
      </c>
      <c r="C1398" s="1" t="s">
        <v>20</v>
      </c>
      <c r="D1398" s="1" t="s">
        <v>21</v>
      </c>
      <c r="E1398" s="1" t="s">
        <v>22</v>
      </c>
      <c r="F1398" s="1">
        <v>833.59</v>
      </c>
      <c r="G1398" s="1">
        <v>-135.84</v>
      </c>
      <c r="H1398" s="1">
        <v>8.0</v>
      </c>
      <c r="I1398" s="1" t="s">
        <v>23</v>
      </c>
      <c r="J1398" s="1" t="s">
        <v>38</v>
      </c>
      <c r="K1398" s="1">
        <f t="shared" si="1"/>
        <v>2022</v>
      </c>
      <c r="L1398" s="1" t="str">
        <f t="shared" si="2"/>
        <v>Sep</v>
      </c>
      <c r="M1398" s="1" t="str">
        <f t="shared" si="3"/>
        <v>Loss</v>
      </c>
    </row>
    <row r="1399" ht="14.25" customHeight="1">
      <c r="A1399" s="1" t="s">
        <v>1433</v>
      </c>
      <c r="B1399" s="2">
        <v>44472.0</v>
      </c>
      <c r="C1399" s="1" t="s">
        <v>26</v>
      </c>
      <c r="D1399" s="1" t="s">
        <v>27</v>
      </c>
      <c r="E1399" s="1" t="s">
        <v>40</v>
      </c>
      <c r="F1399" s="1">
        <v>256.97</v>
      </c>
      <c r="G1399" s="1">
        <v>289.99</v>
      </c>
      <c r="H1399" s="1">
        <v>9.0</v>
      </c>
      <c r="I1399" s="1" t="s">
        <v>34</v>
      </c>
      <c r="J1399" s="1" t="s">
        <v>18</v>
      </c>
      <c r="K1399" s="1">
        <f t="shared" si="1"/>
        <v>2021</v>
      </c>
      <c r="L1399" s="1" t="str">
        <f t="shared" si="2"/>
        <v>Oct</v>
      </c>
      <c r="M1399" s="1" t="str">
        <f t="shared" si="3"/>
        <v>Profit</v>
      </c>
    </row>
    <row r="1400" ht="14.25" customHeight="1">
      <c r="A1400" s="1" t="s">
        <v>1434</v>
      </c>
      <c r="B1400" s="2">
        <v>44497.0</v>
      </c>
      <c r="C1400" s="1" t="s">
        <v>20</v>
      </c>
      <c r="D1400" s="1" t="s">
        <v>15</v>
      </c>
      <c r="E1400" s="1" t="s">
        <v>54</v>
      </c>
      <c r="F1400" s="1">
        <v>800.63</v>
      </c>
      <c r="G1400" s="1">
        <v>86.86</v>
      </c>
      <c r="H1400" s="1">
        <v>1.0</v>
      </c>
      <c r="I1400" s="1" t="s">
        <v>17</v>
      </c>
      <c r="J1400" s="1" t="s">
        <v>38</v>
      </c>
      <c r="K1400" s="1">
        <f t="shared" si="1"/>
        <v>2021</v>
      </c>
      <c r="L1400" s="1" t="str">
        <f t="shared" si="2"/>
        <v>Oct</v>
      </c>
      <c r="M1400" s="1" t="str">
        <f t="shared" si="3"/>
        <v>Profit</v>
      </c>
    </row>
    <row r="1401" ht="14.25" customHeight="1">
      <c r="A1401" s="1" t="s">
        <v>1435</v>
      </c>
      <c r="B1401" s="2">
        <v>45136.0</v>
      </c>
      <c r="C1401" s="1" t="s">
        <v>14</v>
      </c>
      <c r="D1401" s="1" t="s">
        <v>21</v>
      </c>
      <c r="E1401" s="1" t="s">
        <v>76</v>
      </c>
      <c r="F1401" s="1">
        <v>284.01</v>
      </c>
      <c r="G1401" s="1">
        <v>201.68</v>
      </c>
      <c r="H1401" s="1">
        <v>8.0</v>
      </c>
      <c r="I1401" s="1" t="s">
        <v>17</v>
      </c>
      <c r="J1401" s="1" t="s">
        <v>24</v>
      </c>
      <c r="K1401" s="1">
        <f t="shared" si="1"/>
        <v>2023</v>
      </c>
      <c r="L1401" s="1" t="str">
        <f t="shared" si="2"/>
        <v>Jul</v>
      </c>
      <c r="M1401" s="1" t="str">
        <f t="shared" si="3"/>
        <v>Profit</v>
      </c>
    </row>
    <row r="1402" ht="14.25" customHeight="1">
      <c r="A1402" s="1" t="s">
        <v>1436</v>
      </c>
      <c r="B1402" s="2">
        <v>44917.0</v>
      </c>
      <c r="C1402" s="1" t="s">
        <v>30</v>
      </c>
      <c r="D1402" s="1" t="s">
        <v>15</v>
      </c>
      <c r="E1402" s="1" t="s">
        <v>16</v>
      </c>
      <c r="F1402" s="1">
        <v>385.24</v>
      </c>
      <c r="G1402" s="1">
        <v>281.71</v>
      </c>
      <c r="H1402" s="1">
        <v>1.0</v>
      </c>
      <c r="I1402" s="1" t="s">
        <v>23</v>
      </c>
      <c r="J1402" s="1" t="s">
        <v>18</v>
      </c>
      <c r="K1402" s="1">
        <f t="shared" si="1"/>
        <v>2022</v>
      </c>
      <c r="L1402" s="1" t="str">
        <f t="shared" si="2"/>
        <v>Dec</v>
      </c>
      <c r="M1402" s="1" t="str">
        <f t="shared" si="3"/>
        <v>Profit</v>
      </c>
    </row>
    <row r="1403" ht="14.25" customHeight="1">
      <c r="A1403" s="1" t="s">
        <v>1437</v>
      </c>
      <c r="B1403" s="2">
        <v>44844.0</v>
      </c>
      <c r="C1403" s="1" t="s">
        <v>30</v>
      </c>
      <c r="D1403" s="1" t="s">
        <v>27</v>
      </c>
      <c r="E1403" s="1" t="s">
        <v>40</v>
      </c>
      <c r="F1403" s="1">
        <v>419.97</v>
      </c>
      <c r="G1403" s="1">
        <v>265.76</v>
      </c>
      <c r="H1403" s="1">
        <v>5.0</v>
      </c>
      <c r="I1403" s="1" t="s">
        <v>23</v>
      </c>
      <c r="J1403" s="1" t="s">
        <v>35</v>
      </c>
      <c r="K1403" s="1">
        <f t="shared" si="1"/>
        <v>2022</v>
      </c>
      <c r="L1403" s="1" t="str">
        <f t="shared" si="2"/>
        <v>Oct</v>
      </c>
      <c r="M1403" s="1" t="str">
        <f t="shared" si="3"/>
        <v>Profit</v>
      </c>
    </row>
    <row r="1404" ht="14.25" customHeight="1">
      <c r="A1404" s="1" t="s">
        <v>1438</v>
      </c>
      <c r="B1404" s="2">
        <v>45025.0</v>
      </c>
      <c r="C1404" s="1" t="s">
        <v>14</v>
      </c>
      <c r="D1404" s="1" t="s">
        <v>21</v>
      </c>
      <c r="E1404" s="1" t="s">
        <v>22</v>
      </c>
      <c r="F1404" s="1">
        <v>318.88</v>
      </c>
      <c r="G1404" s="1">
        <v>-74.91</v>
      </c>
      <c r="H1404" s="1">
        <v>2.0</v>
      </c>
      <c r="I1404" s="1" t="s">
        <v>34</v>
      </c>
      <c r="J1404" s="1" t="s">
        <v>35</v>
      </c>
      <c r="K1404" s="1">
        <f t="shared" si="1"/>
        <v>2023</v>
      </c>
      <c r="L1404" s="1" t="str">
        <f t="shared" si="2"/>
        <v>Apr</v>
      </c>
      <c r="M1404" s="1" t="str">
        <f t="shared" si="3"/>
        <v>Loss</v>
      </c>
    </row>
    <row r="1405" ht="14.25" customHeight="1">
      <c r="A1405" s="1" t="s">
        <v>1439</v>
      </c>
      <c r="B1405" s="2">
        <v>45136.0</v>
      </c>
      <c r="C1405" s="1" t="s">
        <v>26</v>
      </c>
      <c r="D1405" s="1" t="s">
        <v>15</v>
      </c>
      <c r="E1405" s="1" t="s">
        <v>31</v>
      </c>
      <c r="F1405" s="1">
        <v>49.84</v>
      </c>
      <c r="G1405" s="1">
        <v>-34.47</v>
      </c>
      <c r="H1405" s="1">
        <v>7.0</v>
      </c>
      <c r="I1405" s="1" t="s">
        <v>23</v>
      </c>
      <c r="J1405" s="1" t="s">
        <v>18</v>
      </c>
      <c r="K1405" s="1">
        <f t="shared" si="1"/>
        <v>2023</v>
      </c>
      <c r="L1405" s="1" t="str">
        <f t="shared" si="2"/>
        <v>Jul</v>
      </c>
      <c r="M1405" s="1" t="str">
        <f t="shared" si="3"/>
        <v>Loss</v>
      </c>
    </row>
    <row r="1406" ht="14.25" customHeight="1">
      <c r="A1406" s="1" t="s">
        <v>1440</v>
      </c>
      <c r="B1406" s="2">
        <v>44587.0</v>
      </c>
      <c r="C1406" s="1" t="s">
        <v>14</v>
      </c>
      <c r="D1406" s="1" t="s">
        <v>21</v>
      </c>
      <c r="E1406" s="1" t="s">
        <v>76</v>
      </c>
      <c r="F1406" s="1">
        <v>277.83</v>
      </c>
      <c r="G1406" s="1">
        <v>-45.27</v>
      </c>
      <c r="H1406" s="1">
        <v>2.0</v>
      </c>
      <c r="I1406" s="1" t="s">
        <v>23</v>
      </c>
      <c r="J1406" s="1" t="s">
        <v>24</v>
      </c>
      <c r="K1406" s="1">
        <f t="shared" si="1"/>
        <v>2022</v>
      </c>
      <c r="L1406" s="1" t="str">
        <f t="shared" si="2"/>
        <v>Jan</v>
      </c>
      <c r="M1406" s="1" t="str">
        <f t="shared" si="3"/>
        <v>Loss</v>
      </c>
    </row>
    <row r="1407" ht="14.25" customHeight="1">
      <c r="A1407" s="1" t="s">
        <v>1441</v>
      </c>
      <c r="B1407" s="2">
        <v>44239.0</v>
      </c>
      <c r="C1407" s="1" t="s">
        <v>30</v>
      </c>
      <c r="D1407" s="1" t="s">
        <v>27</v>
      </c>
      <c r="E1407" s="1" t="s">
        <v>28</v>
      </c>
      <c r="F1407" s="1">
        <v>216.67</v>
      </c>
      <c r="G1407" s="1">
        <v>255.99</v>
      </c>
      <c r="H1407" s="1">
        <v>1.0</v>
      </c>
      <c r="I1407" s="1" t="s">
        <v>17</v>
      </c>
      <c r="J1407" s="1" t="s">
        <v>38</v>
      </c>
      <c r="K1407" s="1">
        <f t="shared" si="1"/>
        <v>2021</v>
      </c>
      <c r="L1407" s="1" t="str">
        <f t="shared" si="2"/>
        <v>Feb</v>
      </c>
      <c r="M1407" s="1" t="str">
        <f t="shared" si="3"/>
        <v>Profit</v>
      </c>
    </row>
    <row r="1408" ht="14.25" customHeight="1">
      <c r="A1408" s="1" t="s">
        <v>1442</v>
      </c>
      <c r="B1408" s="2">
        <v>44599.0</v>
      </c>
      <c r="C1408" s="1" t="s">
        <v>14</v>
      </c>
      <c r="D1408" s="1" t="s">
        <v>15</v>
      </c>
      <c r="E1408" s="1" t="s">
        <v>54</v>
      </c>
      <c r="F1408" s="1">
        <v>604.66</v>
      </c>
      <c r="G1408" s="1">
        <v>-193.37</v>
      </c>
      <c r="H1408" s="1">
        <v>6.0</v>
      </c>
      <c r="I1408" s="1" t="s">
        <v>34</v>
      </c>
      <c r="J1408" s="1" t="s">
        <v>18</v>
      </c>
      <c r="K1408" s="1">
        <f t="shared" si="1"/>
        <v>2022</v>
      </c>
      <c r="L1408" s="1" t="str">
        <f t="shared" si="2"/>
        <v>Feb</v>
      </c>
      <c r="M1408" s="1" t="str">
        <f t="shared" si="3"/>
        <v>Loss</v>
      </c>
    </row>
    <row r="1409" ht="14.25" customHeight="1">
      <c r="A1409" s="1" t="s">
        <v>1443</v>
      </c>
      <c r="B1409" s="2">
        <v>45084.0</v>
      </c>
      <c r="C1409" s="1" t="s">
        <v>30</v>
      </c>
      <c r="D1409" s="1" t="s">
        <v>15</v>
      </c>
      <c r="E1409" s="1" t="s">
        <v>16</v>
      </c>
      <c r="F1409" s="1">
        <v>170.98</v>
      </c>
      <c r="G1409" s="1">
        <v>44.74</v>
      </c>
      <c r="H1409" s="1">
        <v>9.0</v>
      </c>
      <c r="I1409" s="1" t="s">
        <v>17</v>
      </c>
      <c r="J1409" s="1" t="s">
        <v>35</v>
      </c>
      <c r="K1409" s="1">
        <f t="shared" si="1"/>
        <v>2023</v>
      </c>
      <c r="L1409" s="1" t="str">
        <f t="shared" si="2"/>
        <v>Jun</v>
      </c>
      <c r="M1409" s="1" t="str">
        <f t="shared" si="3"/>
        <v>Profit</v>
      </c>
    </row>
    <row r="1410" ht="14.25" customHeight="1">
      <c r="A1410" s="1" t="s">
        <v>1444</v>
      </c>
      <c r="B1410" s="2">
        <v>44729.0</v>
      </c>
      <c r="C1410" s="1" t="s">
        <v>20</v>
      </c>
      <c r="D1410" s="1" t="s">
        <v>21</v>
      </c>
      <c r="E1410" s="1" t="s">
        <v>76</v>
      </c>
      <c r="F1410" s="1">
        <v>714.91</v>
      </c>
      <c r="G1410" s="1">
        <v>-47.98</v>
      </c>
      <c r="H1410" s="1">
        <v>10.0</v>
      </c>
      <c r="I1410" s="1" t="s">
        <v>23</v>
      </c>
      <c r="J1410" s="1" t="s">
        <v>35</v>
      </c>
      <c r="K1410" s="1">
        <f t="shared" si="1"/>
        <v>2022</v>
      </c>
      <c r="L1410" s="1" t="str">
        <f t="shared" si="2"/>
        <v>Jun</v>
      </c>
      <c r="M1410" s="1" t="str">
        <f t="shared" si="3"/>
        <v>Loss</v>
      </c>
    </row>
    <row r="1411" ht="14.25" customHeight="1">
      <c r="A1411" s="1" t="s">
        <v>1445</v>
      </c>
      <c r="B1411" s="2">
        <v>44294.0</v>
      </c>
      <c r="C1411" s="1" t="s">
        <v>30</v>
      </c>
      <c r="D1411" s="1" t="s">
        <v>27</v>
      </c>
      <c r="E1411" s="1" t="s">
        <v>28</v>
      </c>
      <c r="F1411" s="1">
        <v>766.78</v>
      </c>
      <c r="G1411" s="1">
        <v>291.92</v>
      </c>
      <c r="H1411" s="1">
        <v>2.0</v>
      </c>
      <c r="I1411" s="1" t="s">
        <v>34</v>
      </c>
      <c r="J1411" s="1" t="s">
        <v>35</v>
      </c>
      <c r="K1411" s="1">
        <f t="shared" si="1"/>
        <v>2021</v>
      </c>
      <c r="L1411" s="1" t="str">
        <f t="shared" si="2"/>
        <v>Apr</v>
      </c>
      <c r="M1411" s="1" t="str">
        <f t="shared" si="3"/>
        <v>Profit</v>
      </c>
    </row>
    <row r="1412" ht="14.25" customHeight="1">
      <c r="A1412" s="1" t="s">
        <v>1446</v>
      </c>
      <c r="B1412" s="2">
        <v>44601.0</v>
      </c>
      <c r="C1412" s="1" t="s">
        <v>30</v>
      </c>
      <c r="D1412" s="1" t="s">
        <v>27</v>
      </c>
      <c r="E1412" s="1" t="s">
        <v>28</v>
      </c>
      <c r="F1412" s="1">
        <v>396.92</v>
      </c>
      <c r="G1412" s="1">
        <v>-93.27</v>
      </c>
      <c r="H1412" s="1">
        <v>1.0</v>
      </c>
      <c r="I1412" s="1" t="s">
        <v>23</v>
      </c>
      <c r="J1412" s="1" t="s">
        <v>24</v>
      </c>
      <c r="K1412" s="1">
        <f t="shared" si="1"/>
        <v>2022</v>
      </c>
      <c r="L1412" s="1" t="str">
        <f t="shared" si="2"/>
        <v>Feb</v>
      </c>
      <c r="M1412" s="1" t="str">
        <f t="shared" si="3"/>
        <v>Loss</v>
      </c>
    </row>
    <row r="1413" ht="14.25" customHeight="1">
      <c r="A1413" s="1" t="s">
        <v>1447</v>
      </c>
      <c r="B1413" s="2">
        <v>45163.0</v>
      </c>
      <c r="C1413" s="1" t="s">
        <v>30</v>
      </c>
      <c r="D1413" s="1" t="s">
        <v>15</v>
      </c>
      <c r="E1413" s="1" t="s">
        <v>31</v>
      </c>
      <c r="F1413" s="1">
        <v>480.68</v>
      </c>
      <c r="G1413" s="1">
        <v>-151.96</v>
      </c>
      <c r="H1413" s="1">
        <v>9.0</v>
      </c>
      <c r="I1413" s="1" t="s">
        <v>17</v>
      </c>
      <c r="J1413" s="1" t="s">
        <v>38</v>
      </c>
      <c r="K1413" s="1">
        <f t="shared" si="1"/>
        <v>2023</v>
      </c>
      <c r="L1413" s="1" t="str">
        <f t="shared" si="2"/>
        <v>Aug</v>
      </c>
      <c r="M1413" s="1" t="str">
        <f t="shared" si="3"/>
        <v>Loss</v>
      </c>
    </row>
    <row r="1414" ht="14.25" customHeight="1">
      <c r="A1414" s="1" t="s">
        <v>1448</v>
      </c>
      <c r="B1414" s="2">
        <v>44636.0</v>
      </c>
      <c r="C1414" s="1" t="s">
        <v>30</v>
      </c>
      <c r="D1414" s="1" t="s">
        <v>15</v>
      </c>
      <c r="E1414" s="1" t="s">
        <v>16</v>
      </c>
      <c r="F1414" s="1">
        <v>49.44</v>
      </c>
      <c r="G1414" s="1">
        <v>64.65</v>
      </c>
      <c r="H1414" s="1">
        <v>9.0</v>
      </c>
      <c r="I1414" s="1" t="s">
        <v>23</v>
      </c>
      <c r="J1414" s="1" t="s">
        <v>18</v>
      </c>
      <c r="K1414" s="1">
        <f t="shared" si="1"/>
        <v>2022</v>
      </c>
      <c r="L1414" s="1" t="str">
        <f t="shared" si="2"/>
        <v>Mar</v>
      </c>
      <c r="M1414" s="1" t="str">
        <f t="shared" si="3"/>
        <v>Profit</v>
      </c>
    </row>
    <row r="1415" ht="14.25" customHeight="1">
      <c r="A1415" s="1" t="s">
        <v>1449</v>
      </c>
      <c r="B1415" s="2">
        <v>44397.0</v>
      </c>
      <c r="C1415" s="1" t="s">
        <v>14</v>
      </c>
      <c r="D1415" s="1" t="s">
        <v>21</v>
      </c>
      <c r="E1415" s="1" t="s">
        <v>22</v>
      </c>
      <c r="F1415" s="1">
        <v>926.07</v>
      </c>
      <c r="G1415" s="1">
        <v>134.27</v>
      </c>
      <c r="H1415" s="1">
        <v>3.0</v>
      </c>
      <c r="I1415" s="1" t="s">
        <v>34</v>
      </c>
      <c r="J1415" s="1" t="s">
        <v>38</v>
      </c>
      <c r="K1415" s="1">
        <f t="shared" si="1"/>
        <v>2021</v>
      </c>
      <c r="L1415" s="1" t="str">
        <f t="shared" si="2"/>
        <v>Jul</v>
      </c>
      <c r="M1415" s="1" t="str">
        <f t="shared" si="3"/>
        <v>Profit</v>
      </c>
    </row>
    <row r="1416" ht="14.25" customHeight="1">
      <c r="A1416" s="1" t="s">
        <v>1450</v>
      </c>
      <c r="B1416" s="2">
        <v>44805.0</v>
      </c>
      <c r="C1416" s="1" t="s">
        <v>14</v>
      </c>
      <c r="D1416" s="1" t="s">
        <v>27</v>
      </c>
      <c r="E1416" s="1" t="s">
        <v>40</v>
      </c>
      <c r="F1416" s="1">
        <v>774.41</v>
      </c>
      <c r="G1416" s="1">
        <v>174.06</v>
      </c>
      <c r="H1416" s="1">
        <v>3.0</v>
      </c>
      <c r="I1416" s="1" t="s">
        <v>34</v>
      </c>
      <c r="J1416" s="1" t="s">
        <v>38</v>
      </c>
      <c r="K1416" s="1">
        <f t="shared" si="1"/>
        <v>2022</v>
      </c>
      <c r="L1416" s="1" t="str">
        <f t="shared" si="2"/>
        <v>Sep</v>
      </c>
      <c r="M1416" s="1" t="str">
        <f t="shared" si="3"/>
        <v>Profit</v>
      </c>
    </row>
    <row r="1417" ht="14.25" customHeight="1">
      <c r="A1417" s="1" t="s">
        <v>1451</v>
      </c>
      <c r="B1417" s="2">
        <v>45154.0</v>
      </c>
      <c r="C1417" s="1" t="s">
        <v>20</v>
      </c>
      <c r="D1417" s="1" t="s">
        <v>15</v>
      </c>
      <c r="E1417" s="1" t="s">
        <v>31</v>
      </c>
      <c r="F1417" s="1">
        <v>881.13</v>
      </c>
      <c r="G1417" s="1">
        <v>64.62</v>
      </c>
      <c r="H1417" s="1">
        <v>6.0</v>
      </c>
      <c r="I1417" s="1" t="s">
        <v>17</v>
      </c>
      <c r="J1417" s="1" t="s">
        <v>24</v>
      </c>
      <c r="K1417" s="1">
        <f t="shared" si="1"/>
        <v>2023</v>
      </c>
      <c r="L1417" s="1" t="str">
        <f t="shared" si="2"/>
        <v>Aug</v>
      </c>
      <c r="M1417" s="1" t="str">
        <f t="shared" si="3"/>
        <v>Profit</v>
      </c>
    </row>
    <row r="1418" ht="14.25" customHeight="1">
      <c r="A1418" s="1" t="s">
        <v>1452</v>
      </c>
      <c r="B1418" s="2">
        <v>45092.0</v>
      </c>
      <c r="C1418" s="1" t="s">
        <v>14</v>
      </c>
      <c r="D1418" s="1" t="s">
        <v>21</v>
      </c>
      <c r="E1418" s="1" t="s">
        <v>22</v>
      </c>
      <c r="F1418" s="1">
        <v>416.4</v>
      </c>
      <c r="G1418" s="1">
        <v>-158.09</v>
      </c>
      <c r="H1418" s="1">
        <v>4.0</v>
      </c>
      <c r="I1418" s="1" t="s">
        <v>23</v>
      </c>
      <c r="J1418" s="1" t="s">
        <v>18</v>
      </c>
      <c r="K1418" s="1">
        <f t="shared" si="1"/>
        <v>2023</v>
      </c>
      <c r="L1418" s="1" t="str">
        <f t="shared" si="2"/>
        <v>Jun</v>
      </c>
      <c r="M1418" s="1" t="str">
        <f t="shared" si="3"/>
        <v>Loss</v>
      </c>
    </row>
    <row r="1419" ht="14.25" customHeight="1">
      <c r="A1419" s="1" t="s">
        <v>1453</v>
      </c>
      <c r="B1419" s="2">
        <v>44393.0</v>
      </c>
      <c r="C1419" s="1" t="s">
        <v>26</v>
      </c>
      <c r="D1419" s="1" t="s">
        <v>15</v>
      </c>
      <c r="E1419" s="1" t="s">
        <v>54</v>
      </c>
      <c r="F1419" s="1">
        <v>74.37</v>
      </c>
      <c r="G1419" s="1">
        <v>147.86</v>
      </c>
      <c r="H1419" s="1">
        <v>1.0</v>
      </c>
      <c r="I1419" s="1" t="s">
        <v>23</v>
      </c>
      <c r="J1419" s="1" t="s">
        <v>38</v>
      </c>
      <c r="K1419" s="1">
        <f t="shared" si="1"/>
        <v>2021</v>
      </c>
      <c r="L1419" s="1" t="str">
        <f t="shared" si="2"/>
        <v>Jul</v>
      </c>
      <c r="M1419" s="1" t="str">
        <f t="shared" si="3"/>
        <v>Profit</v>
      </c>
    </row>
    <row r="1420" ht="14.25" customHeight="1">
      <c r="A1420" s="1" t="s">
        <v>1454</v>
      </c>
      <c r="B1420" s="2">
        <v>44226.0</v>
      </c>
      <c r="C1420" s="1" t="s">
        <v>20</v>
      </c>
      <c r="D1420" s="1" t="s">
        <v>21</v>
      </c>
      <c r="E1420" s="1" t="s">
        <v>76</v>
      </c>
      <c r="F1420" s="1">
        <v>731.09</v>
      </c>
      <c r="G1420" s="1">
        <v>228.92</v>
      </c>
      <c r="H1420" s="1">
        <v>9.0</v>
      </c>
      <c r="I1420" s="1" t="s">
        <v>17</v>
      </c>
      <c r="J1420" s="1" t="s">
        <v>18</v>
      </c>
      <c r="K1420" s="1">
        <f t="shared" si="1"/>
        <v>2021</v>
      </c>
      <c r="L1420" s="1" t="str">
        <f t="shared" si="2"/>
        <v>Jan</v>
      </c>
      <c r="M1420" s="1" t="str">
        <f t="shared" si="3"/>
        <v>Profit</v>
      </c>
    </row>
    <row r="1421" ht="14.25" customHeight="1">
      <c r="A1421" s="1" t="s">
        <v>1455</v>
      </c>
      <c r="B1421" s="2">
        <v>45138.0</v>
      </c>
      <c r="C1421" s="1" t="s">
        <v>20</v>
      </c>
      <c r="D1421" s="1" t="s">
        <v>27</v>
      </c>
      <c r="E1421" s="1" t="s">
        <v>40</v>
      </c>
      <c r="F1421" s="1">
        <v>749.69</v>
      </c>
      <c r="G1421" s="1">
        <v>33.96</v>
      </c>
      <c r="H1421" s="1">
        <v>5.0</v>
      </c>
      <c r="I1421" s="1" t="s">
        <v>34</v>
      </c>
      <c r="J1421" s="1" t="s">
        <v>18</v>
      </c>
      <c r="K1421" s="1">
        <f t="shared" si="1"/>
        <v>2023</v>
      </c>
      <c r="L1421" s="1" t="str">
        <f t="shared" si="2"/>
        <v>Jul</v>
      </c>
      <c r="M1421" s="1" t="str">
        <f t="shared" si="3"/>
        <v>Profit</v>
      </c>
    </row>
    <row r="1422" ht="14.25" customHeight="1">
      <c r="A1422" s="1" t="s">
        <v>1456</v>
      </c>
      <c r="B1422" s="2">
        <v>45189.0</v>
      </c>
      <c r="C1422" s="1" t="s">
        <v>20</v>
      </c>
      <c r="D1422" s="1" t="s">
        <v>15</v>
      </c>
      <c r="E1422" s="1" t="s">
        <v>54</v>
      </c>
      <c r="F1422" s="1">
        <v>614.04</v>
      </c>
      <c r="G1422" s="1">
        <v>244.19</v>
      </c>
      <c r="H1422" s="1">
        <v>8.0</v>
      </c>
      <c r="I1422" s="1" t="s">
        <v>17</v>
      </c>
      <c r="J1422" s="1" t="s">
        <v>24</v>
      </c>
      <c r="K1422" s="1">
        <f t="shared" si="1"/>
        <v>2023</v>
      </c>
      <c r="L1422" s="1" t="str">
        <f t="shared" si="2"/>
        <v>Sep</v>
      </c>
      <c r="M1422" s="1" t="str">
        <f t="shared" si="3"/>
        <v>Profit</v>
      </c>
    </row>
    <row r="1423" ht="14.25" customHeight="1">
      <c r="A1423" s="1" t="s">
        <v>1457</v>
      </c>
      <c r="B1423" s="2">
        <v>45163.0</v>
      </c>
      <c r="C1423" s="1" t="s">
        <v>14</v>
      </c>
      <c r="D1423" s="1" t="s">
        <v>27</v>
      </c>
      <c r="E1423" s="1" t="s">
        <v>40</v>
      </c>
      <c r="F1423" s="1">
        <v>765.93</v>
      </c>
      <c r="G1423" s="1">
        <v>155.73</v>
      </c>
      <c r="H1423" s="1">
        <v>1.0</v>
      </c>
      <c r="I1423" s="1" t="s">
        <v>23</v>
      </c>
      <c r="J1423" s="1" t="s">
        <v>18</v>
      </c>
      <c r="K1423" s="1">
        <f t="shared" si="1"/>
        <v>2023</v>
      </c>
      <c r="L1423" s="1" t="str">
        <f t="shared" si="2"/>
        <v>Aug</v>
      </c>
      <c r="M1423" s="1" t="str">
        <f t="shared" si="3"/>
        <v>Profit</v>
      </c>
    </row>
    <row r="1424" ht="14.25" customHeight="1">
      <c r="A1424" s="1" t="s">
        <v>1458</v>
      </c>
      <c r="B1424" s="2">
        <v>44554.0</v>
      </c>
      <c r="C1424" s="1" t="s">
        <v>26</v>
      </c>
      <c r="D1424" s="1" t="s">
        <v>27</v>
      </c>
      <c r="E1424" s="1" t="s">
        <v>40</v>
      </c>
      <c r="F1424" s="1">
        <v>557.09</v>
      </c>
      <c r="G1424" s="1">
        <v>-48.5</v>
      </c>
      <c r="H1424" s="1">
        <v>4.0</v>
      </c>
      <c r="I1424" s="1" t="s">
        <v>34</v>
      </c>
      <c r="J1424" s="1" t="s">
        <v>18</v>
      </c>
      <c r="K1424" s="1">
        <f t="shared" si="1"/>
        <v>2021</v>
      </c>
      <c r="L1424" s="1" t="str">
        <f t="shared" si="2"/>
        <v>Dec</v>
      </c>
      <c r="M1424" s="1" t="str">
        <f t="shared" si="3"/>
        <v>Loss</v>
      </c>
    </row>
    <row r="1425" ht="14.25" customHeight="1">
      <c r="A1425" s="1" t="s">
        <v>1459</v>
      </c>
      <c r="B1425" s="2">
        <v>44437.0</v>
      </c>
      <c r="C1425" s="1" t="s">
        <v>30</v>
      </c>
      <c r="D1425" s="1" t="s">
        <v>15</v>
      </c>
      <c r="E1425" s="1" t="s">
        <v>16</v>
      </c>
      <c r="F1425" s="1">
        <v>528.66</v>
      </c>
      <c r="G1425" s="1">
        <v>223.6</v>
      </c>
      <c r="H1425" s="1">
        <v>6.0</v>
      </c>
      <c r="I1425" s="1" t="s">
        <v>34</v>
      </c>
      <c r="J1425" s="1" t="s">
        <v>18</v>
      </c>
      <c r="K1425" s="1">
        <f t="shared" si="1"/>
        <v>2021</v>
      </c>
      <c r="L1425" s="1" t="str">
        <f t="shared" si="2"/>
        <v>Aug</v>
      </c>
      <c r="M1425" s="1" t="str">
        <f t="shared" si="3"/>
        <v>Profit</v>
      </c>
    </row>
    <row r="1426" ht="14.25" customHeight="1">
      <c r="A1426" s="1" t="s">
        <v>1460</v>
      </c>
      <c r="B1426" s="2">
        <v>44769.0</v>
      </c>
      <c r="C1426" s="1" t="s">
        <v>30</v>
      </c>
      <c r="D1426" s="1" t="s">
        <v>15</v>
      </c>
      <c r="E1426" s="1" t="s">
        <v>31</v>
      </c>
      <c r="F1426" s="1">
        <v>499.31</v>
      </c>
      <c r="G1426" s="1">
        <v>160.88</v>
      </c>
      <c r="H1426" s="1">
        <v>8.0</v>
      </c>
      <c r="I1426" s="1" t="s">
        <v>23</v>
      </c>
      <c r="J1426" s="1" t="s">
        <v>24</v>
      </c>
      <c r="K1426" s="1">
        <f t="shared" si="1"/>
        <v>2022</v>
      </c>
      <c r="L1426" s="1" t="str">
        <f t="shared" si="2"/>
        <v>Jul</v>
      </c>
      <c r="M1426" s="1" t="str">
        <f t="shared" si="3"/>
        <v>Profit</v>
      </c>
    </row>
    <row r="1427" ht="14.25" customHeight="1">
      <c r="A1427" s="1" t="s">
        <v>1461</v>
      </c>
      <c r="B1427" s="2">
        <v>45264.0</v>
      </c>
      <c r="C1427" s="1" t="s">
        <v>30</v>
      </c>
      <c r="D1427" s="1" t="s">
        <v>21</v>
      </c>
      <c r="E1427" s="1" t="s">
        <v>22</v>
      </c>
      <c r="F1427" s="1">
        <v>935.24</v>
      </c>
      <c r="G1427" s="1">
        <v>-175.6</v>
      </c>
      <c r="H1427" s="1">
        <v>3.0</v>
      </c>
      <c r="I1427" s="1" t="s">
        <v>34</v>
      </c>
      <c r="J1427" s="1" t="s">
        <v>35</v>
      </c>
      <c r="K1427" s="1">
        <f t="shared" si="1"/>
        <v>2023</v>
      </c>
      <c r="L1427" s="1" t="str">
        <f t="shared" si="2"/>
        <v>Dec</v>
      </c>
      <c r="M1427" s="1" t="str">
        <f t="shared" si="3"/>
        <v>Loss</v>
      </c>
    </row>
    <row r="1428" ht="14.25" customHeight="1">
      <c r="A1428" s="1" t="s">
        <v>1462</v>
      </c>
      <c r="B1428" s="2">
        <v>44395.0</v>
      </c>
      <c r="C1428" s="1" t="s">
        <v>30</v>
      </c>
      <c r="D1428" s="1" t="s">
        <v>15</v>
      </c>
      <c r="E1428" s="1" t="s">
        <v>54</v>
      </c>
      <c r="F1428" s="1">
        <v>816.91</v>
      </c>
      <c r="G1428" s="1">
        <v>92.18</v>
      </c>
      <c r="H1428" s="1">
        <v>1.0</v>
      </c>
      <c r="I1428" s="1" t="s">
        <v>23</v>
      </c>
      <c r="J1428" s="1" t="s">
        <v>24</v>
      </c>
      <c r="K1428" s="1">
        <f t="shared" si="1"/>
        <v>2021</v>
      </c>
      <c r="L1428" s="1" t="str">
        <f t="shared" si="2"/>
        <v>Jul</v>
      </c>
      <c r="M1428" s="1" t="str">
        <f t="shared" si="3"/>
        <v>Profit</v>
      </c>
    </row>
    <row r="1429" ht="14.25" customHeight="1">
      <c r="A1429" s="1" t="s">
        <v>1463</v>
      </c>
      <c r="B1429" s="2">
        <v>45277.0</v>
      </c>
      <c r="C1429" s="1" t="s">
        <v>14</v>
      </c>
      <c r="D1429" s="1" t="s">
        <v>15</v>
      </c>
      <c r="E1429" s="1" t="s">
        <v>31</v>
      </c>
      <c r="F1429" s="1">
        <v>372.18</v>
      </c>
      <c r="G1429" s="1">
        <v>-130.45</v>
      </c>
      <c r="H1429" s="1">
        <v>1.0</v>
      </c>
      <c r="I1429" s="1" t="s">
        <v>23</v>
      </c>
      <c r="J1429" s="1" t="s">
        <v>38</v>
      </c>
      <c r="K1429" s="1">
        <f t="shared" si="1"/>
        <v>2023</v>
      </c>
      <c r="L1429" s="1" t="str">
        <f t="shared" si="2"/>
        <v>Dec</v>
      </c>
      <c r="M1429" s="1" t="str">
        <f t="shared" si="3"/>
        <v>Loss</v>
      </c>
    </row>
    <row r="1430" ht="14.25" customHeight="1">
      <c r="A1430" s="1" t="s">
        <v>1464</v>
      </c>
      <c r="B1430" s="2">
        <v>44533.0</v>
      </c>
      <c r="C1430" s="1" t="s">
        <v>14</v>
      </c>
      <c r="D1430" s="1" t="s">
        <v>27</v>
      </c>
      <c r="E1430" s="1" t="s">
        <v>28</v>
      </c>
      <c r="F1430" s="1">
        <v>218.75</v>
      </c>
      <c r="G1430" s="1">
        <v>164.54</v>
      </c>
      <c r="H1430" s="1">
        <v>7.0</v>
      </c>
      <c r="I1430" s="1" t="s">
        <v>17</v>
      </c>
      <c r="J1430" s="1" t="s">
        <v>24</v>
      </c>
      <c r="K1430" s="1">
        <f t="shared" si="1"/>
        <v>2021</v>
      </c>
      <c r="L1430" s="1" t="str">
        <f t="shared" si="2"/>
        <v>Dec</v>
      </c>
      <c r="M1430" s="1" t="str">
        <f t="shared" si="3"/>
        <v>Profit</v>
      </c>
    </row>
    <row r="1431" ht="14.25" customHeight="1">
      <c r="A1431" s="1" t="s">
        <v>1465</v>
      </c>
      <c r="B1431" s="2">
        <v>45292.0</v>
      </c>
      <c r="C1431" s="1" t="s">
        <v>14</v>
      </c>
      <c r="D1431" s="1" t="s">
        <v>15</v>
      </c>
      <c r="E1431" s="1" t="s">
        <v>31</v>
      </c>
      <c r="F1431" s="1">
        <v>820.37</v>
      </c>
      <c r="G1431" s="1">
        <v>-146.89</v>
      </c>
      <c r="H1431" s="1">
        <v>3.0</v>
      </c>
      <c r="I1431" s="1" t="s">
        <v>23</v>
      </c>
      <c r="J1431" s="1" t="s">
        <v>35</v>
      </c>
      <c r="K1431" s="1">
        <f t="shared" si="1"/>
        <v>2024</v>
      </c>
      <c r="L1431" s="1" t="str">
        <f t="shared" si="2"/>
        <v>Jan</v>
      </c>
      <c r="M1431" s="1" t="str">
        <f t="shared" si="3"/>
        <v>Loss</v>
      </c>
    </row>
    <row r="1432" ht="14.25" customHeight="1">
      <c r="A1432" s="1" t="s">
        <v>1466</v>
      </c>
      <c r="B1432" s="2">
        <v>44534.0</v>
      </c>
      <c r="C1432" s="1" t="s">
        <v>30</v>
      </c>
      <c r="D1432" s="1" t="s">
        <v>21</v>
      </c>
      <c r="E1432" s="1" t="s">
        <v>37</v>
      </c>
      <c r="F1432" s="1">
        <v>842.48</v>
      </c>
      <c r="G1432" s="1">
        <v>61.06</v>
      </c>
      <c r="H1432" s="1">
        <v>3.0</v>
      </c>
      <c r="I1432" s="1" t="s">
        <v>34</v>
      </c>
      <c r="J1432" s="1" t="s">
        <v>24</v>
      </c>
      <c r="K1432" s="1">
        <f t="shared" si="1"/>
        <v>2021</v>
      </c>
      <c r="L1432" s="1" t="str">
        <f t="shared" si="2"/>
        <v>Dec</v>
      </c>
      <c r="M1432" s="1" t="str">
        <f t="shared" si="3"/>
        <v>Profit</v>
      </c>
    </row>
    <row r="1433" ht="14.25" customHeight="1">
      <c r="A1433" s="1" t="s">
        <v>1467</v>
      </c>
      <c r="B1433" s="2">
        <v>45272.0</v>
      </c>
      <c r="C1433" s="1" t="s">
        <v>26</v>
      </c>
      <c r="D1433" s="1" t="s">
        <v>15</v>
      </c>
      <c r="E1433" s="1" t="s">
        <v>54</v>
      </c>
      <c r="F1433" s="1">
        <v>442.81</v>
      </c>
      <c r="G1433" s="1">
        <v>55.23</v>
      </c>
      <c r="H1433" s="1">
        <v>2.0</v>
      </c>
      <c r="I1433" s="1" t="s">
        <v>34</v>
      </c>
      <c r="J1433" s="1" t="s">
        <v>24</v>
      </c>
      <c r="K1433" s="1">
        <f t="shared" si="1"/>
        <v>2023</v>
      </c>
      <c r="L1433" s="1" t="str">
        <f t="shared" si="2"/>
        <v>Dec</v>
      </c>
      <c r="M1433" s="1" t="str">
        <f t="shared" si="3"/>
        <v>Profit</v>
      </c>
    </row>
    <row r="1434" ht="14.25" customHeight="1">
      <c r="A1434" s="1" t="s">
        <v>1468</v>
      </c>
      <c r="B1434" s="2">
        <v>44644.0</v>
      </c>
      <c r="C1434" s="1" t="s">
        <v>30</v>
      </c>
      <c r="D1434" s="1" t="s">
        <v>15</v>
      </c>
      <c r="E1434" s="1" t="s">
        <v>54</v>
      </c>
      <c r="F1434" s="1">
        <v>610.07</v>
      </c>
      <c r="G1434" s="1">
        <v>-126.91</v>
      </c>
      <c r="H1434" s="1">
        <v>8.0</v>
      </c>
      <c r="I1434" s="1" t="s">
        <v>23</v>
      </c>
      <c r="J1434" s="1" t="s">
        <v>24</v>
      </c>
      <c r="K1434" s="1">
        <f t="shared" si="1"/>
        <v>2022</v>
      </c>
      <c r="L1434" s="1" t="str">
        <f t="shared" si="2"/>
        <v>Mar</v>
      </c>
      <c r="M1434" s="1" t="str">
        <f t="shared" si="3"/>
        <v>Loss</v>
      </c>
    </row>
    <row r="1435" ht="14.25" customHeight="1">
      <c r="A1435" s="1" t="s">
        <v>1469</v>
      </c>
      <c r="B1435" s="2">
        <v>44469.0</v>
      </c>
      <c r="C1435" s="1" t="s">
        <v>20</v>
      </c>
      <c r="D1435" s="1" t="s">
        <v>21</v>
      </c>
      <c r="E1435" s="1" t="s">
        <v>22</v>
      </c>
      <c r="F1435" s="1">
        <v>761.57</v>
      </c>
      <c r="G1435" s="1">
        <v>-198.8</v>
      </c>
      <c r="H1435" s="1">
        <v>3.0</v>
      </c>
      <c r="I1435" s="1" t="s">
        <v>23</v>
      </c>
      <c r="J1435" s="1" t="s">
        <v>24</v>
      </c>
      <c r="K1435" s="1">
        <f t="shared" si="1"/>
        <v>2021</v>
      </c>
      <c r="L1435" s="1" t="str">
        <f t="shared" si="2"/>
        <v>Sep</v>
      </c>
      <c r="M1435" s="1" t="str">
        <f t="shared" si="3"/>
        <v>Loss</v>
      </c>
    </row>
    <row r="1436" ht="14.25" customHeight="1">
      <c r="A1436" s="1" t="s">
        <v>1470</v>
      </c>
      <c r="B1436" s="2">
        <v>44716.0</v>
      </c>
      <c r="C1436" s="1" t="s">
        <v>30</v>
      </c>
      <c r="D1436" s="1" t="s">
        <v>15</v>
      </c>
      <c r="E1436" s="1" t="s">
        <v>54</v>
      </c>
      <c r="F1436" s="1">
        <v>314.35</v>
      </c>
      <c r="G1436" s="1">
        <v>153.26</v>
      </c>
      <c r="H1436" s="1">
        <v>2.0</v>
      </c>
      <c r="I1436" s="1" t="s">
        <v>23</v>
      </c>
      <c r="J1436" s="1" t="s">
        <v>18</v>
      </c>
      <c r="K1436" s="1">
        <f t="shared" si="1"/>
        <v>2022</v>
      </c>
      <c r="L1436" s="1" t="str">
        <f t="shared" si="2"/>
        <v>Jun</v>
      </c>
      <c r="M1436" s="1" t="str">
        <f t="shared" si="3"/>
        <v>Profit</v>
      </c>
    </row>
    <row r="1437" ht="14.25" customHeight="1">
      <c r="A1437" s="1" t="s">
        <v>1471</v>
      </c>
      <c r="B1437" s="2">
        <v>44518.0</v>
      </c>
      <c r="C1437" s="1" t="s">
        <v>30</v>
      </c>
      <c r="D1437" s="1" t="s">
        <v>27</v>
      </c>
      <c r="E1437" s="1" t="s">
        <v>33</v>
      </c>
      <c r="F1437" s="1">
        <v>946.39</v>
      </c>
      <c r="G1437" s="1">
        <v>-150.17</v>
      </c>
      <c r="H1437" s="1">
        <v>5.0</v>
      </c>
      <c r="I1437" s="1" t="s">
        <v>34</v>
      </c>
      <c r="J1437" s="1" t="s">
        <v>18</v>
      </c>
      <c r="K1437" s="1">
        <f t="shared" si="1"/>
        <v>2021</v>
      </c>
      <c r="L1437" s="1" t="str">
        <f t="shared" si="2"/>
        <v>Nov</v>
      </c>
      <c r="M1437" s="1" t="str">
        <f t="shared" si="3"/>
        <v>Loss</v>
      </c>
    </row>
    <row r="1438" ht="14.25" customHeight="1">
      <c r="A1438" s="1" t="s">
        <v>1472</v>
      </c>
      <c r="B1438" s="2">
        <v>44524.0</v>
      </c>
      <c r="C1438" s="1" t="s">
        <v>26</v>
      </c>
      <c r="D1438" s="1" t="s">
        <v>21</v>
      </c>
      <c r="E1438" s="1" t="s">
        <v>22</v>
      </c>
      <c r="F1438" s="1">
        <v>933.07</v>
      </c>
      <c r="G1438" s="1">
        <v>281.36</v>
      </c>
      <c r="H1438" s="1">
        <v>8.0</v>
      </c>
      <c r="I1438" s="1" t="s">
        <v>23</v>
      </c>
      <c r="J1438" s="1" t="s">
        <v>35</v>
      </c>
      <c r="K1438" s="1">
        <f t="shared" si="1"/>
        <v>2021</v>
      </c>
      <c r="L1438" s="1" t="str">
        <f t="shared" si="2"/>
        <v>Nov</v>
      </c>
      <c r="M1438" s="1" t="str">
        <f t="shared" si="3"/>
        <v>Profit</v>
      </c>
    </row>
    <row r="1439" ht="14.25" customHeight="1">
      <c r="A1439" s="1" t="s">
        <v>1473</v>
      </c>
      <c r="B1439" s="2">
        <v>44208.0</v>
      </c>
      <c r="C1439" s="1" t="s">
        <v>20</v>
      </c>
      <c r="D1439" s="1" t="s">
        <v>15</v>
      </c>
      <c r="E1439" s="1" t="s">
        <v>31</v>
      </c>
      <c r="F1439" s="1">
        <v>26.39</v>
      </c>
      <c r="G1439" s="1">
        <v>20.89</v>
      </c>
      <c r="H1439" s="1">
        <v>1.0</v>
      </c>
      <c r="I1439" s="1" t="s">
        <v>34</v>
      </c>
      <c r="J1439" s="1" t="s">
        <v>35</v>
      </c>
      <c r="K1439" s="1">
        <f t="shared" si="1"/>
        <v>2021</v>
      </c>
      <c r="L1439" s="1" t="str">
        <f t="shared" si="2"/>
        <v>Jan</v>
      </c>
      <c r="M1439" s="1" t="str">
        <f t="shared" si="3"/>
        <v>Profit</v>
      </c>
    </row>
    <row r="1440" ht="14.25" customHeight="1">
      <c r="A1440" s="1" t="s">
        <v>1474</v>
      </c>
      <c r="B1440" s="2">
        <v>45094.0</v>
      </c>
      <c r="C1440" s="1" t="s">
        <v>20</v>
      </c>
      <c r="D1440" s="1" t="s">
        <v>21</v>
      </c>
      <c r="E1440" s="1" t="s">
        <v>76</v>
      </c>
      <c r="F1440" s="1">
        <v>59.65</v>
      </c>
      <c r="G1440" s="1">
        <v>29.57</v>
      </c>
      <c r="H1440" s="1">
        <v>9.0</v>
      </c>
      <c r="I1440" s="1" t="s">
        <v>17</v>
      </c>
      <c r="J1440" s="1" t="s">
        <v>35</v>
      </c>
      <c r="K1440" s="1">
        <f t="shared" si="1"/>
        <v>2023</v>
      </c>
      <c r="L1440" s="1" t="str">
        <f t="shared" si="2"/>
        <v>Jun</v>
      </c>
      <c r="M1440" s="1" t="str">
        <f t="shared" si="3"/>
        <v>Profit</v>
      </c>
    </row>
    <row r="1441" ht="14.25" customHeight="1">
      <c r="A1441" s="1" t="s">
        <v>1475</v>
      </c>
      <c r="B1441" s="2">
        <v>44318.0</v>
      </c>
      <c r="C1441" s="1" t="s">
        <v>14</v>
      </c>
      <c r="D1441" s="1" t="s">
        <v>21</v>
      </c>
      <c r="E1441" s="1" t="s">
        <v>22</v>
      </c>
      <c r="F1441" s="1">
        <v>609.3</v>
      </c>
      <c r="G1441" s="1">
        <v>-55.56</v>
      </c>
      <c r="H1441" s="1">
        <v>8.0</v>
      </c>
      <c r="I1441" s="1" t="s">
        <v>17</v>
      </c>
      <c r="J1441" s="1" t="s">
        <v>35</v>
      </c>
      <c r="K1441" s="1">
        <f t="shared" si="1"/>
        <v>2021</v>
      </c>
      <c r="L1441" s="1" t="str">
        <f t="shared" si="2"/>
        <v>May</v>
      </c>
      <c r="M1441" s="1" t="str">
        <f t="shared" si="3"/>
        <v>Loss</v>
      </c>
    </row>
    <row r="1442" ht="14.25" customHeight="1">
      <c r="A1442" s="1" t="s">
        <v>1476</v>
      </c>
      <c r="B1442" s="2">
        <v>44542.0</v>
      </c>
      <c r="C1442" s="1" t="s">
        <v>20</v>
      </c>
      <c r="D1442" s="1" t="s">
        <v>21</v>
      </c>
      <c r="E1442" s="1" t="s">
        <v>37</v>
      </c>
      <c r="F1442" s="1">
        <v>219.2</v>
      </c>
      <c r="G1442" s="1">
        <v>262.69</v>
      </c>
      <c r="H1442" s="1">
        <v>3.0</v>
      </c>
      <c r="I1442" s="1" t="s">
        <v>34</v>
      </c>
      <c r="J1442" s="1" t="s">
        <v>18</v>
      </c>
      <c r="K1442" s="1">
        <f t="shared" si="1"/>
        <v>2021</v>
      </c>
      <c r="L1442" s="1" t="str">
        <f t="shared" si="2"/>
        <v>Dec</v>
      </c>
      <c r="M1442" s="1" t="str">
        <f t="shared" si="3"/>
        <v>Profit</v>
      </c>
    </row>
    <row r="1443" ht="14.25" customHeight="1">
      <c r="A1443" s="1" t="s">
        <v>1477</v>
      </c>
      <c r="B1443" s="2">
        <v>44273.0</v>
      </c>
      <c r="C1443" s="1" t="s">
        <v>14</v>
      </c>
      <c r="D1443" s="1" t="s">
        <v>27</v>
      </c>
      <c r="E1443" s="1" t="s">
        <v>28</v>
      </c>
      <c r="F1443" s="1">
        <v>310.75</v>
      </c>
      <c r="G1443" s="1">
        <v>93.54</v>
      </c>
      <c r="H1443" s="1">
        <v>5.0</v>
      </c>
      <c r="I1443" s="1" t="s">
        <v>23</v>
      </c>
      <c r="J1443" s="1" t="s">
        <v>18</v>
      </c>
      <c r="K1443" s="1">
        <f t="shared" si="1"/>
        <v>2021</v>
      </c>
      <c r="L1443" s="1" t="str">
        <f t="shared" si="2"/>
        <v>Mar</v>
      </c>
      <c r="M1443" s="1" t="str">
        <f t="shared" si="3"/>
        <v>Profit</v>
      </c>
    </row>
    <row r="1444" ht="14.25" customHeight="1">
      <c r="A1444" s="1" t="s">
        <v>1478</v>
      </c>
      <c r="B1444" s="2">
        <v>44735.0</v>
      </c>
      <c r="C1444" s="1" t="s">
        <v>30</v>
      </c>
      <c r="D1444" s="1" t="s">
        <v>21</v>
      </c>
      <c r="E1444" s="1" t="s">
        <v>76</v>
      </c>
      <c r="F1444" s="1">
        <v>947.5</v>
      </c>
      <c r="G1444" s="1">
        <v>60.68</v>
      </c>
      <c r="H1444" s="1">
        <v>9.0</v>
      </c>
      <c r="I1444" s="1" t="s">
        <v>34</v>
      </c>
      <c r="J1444" s="1" t="s">
        <v>38</v>
      </c>
      <c r="K1444" s="1">
        <f t="shared" si="1"/>
        <v>2022</v>
      </c>
      <c r="L1444" s="1" t="str">
        <f t="shared" si="2"/>
        <v>Jun</v>
      </c>
      <c r="M1444" s="1" t="str">
        <f t="shared" si="3"/>
        <v>Profit</v>
      </c>
    </row>
    <row r="1445" ht="14.25" customHeight="1">
      <c r="A1445" s="1" t="s">
        <v>1479</v>
      </c>
      <c r="B1445" s="2">
        <v>44511.0</v>
      </c>
      <c r="C1445" s="1" t="s">
        <v>20</v>
      </c>
      <c r="D1445" s="1" t="s">
        <v>21</v>
      </c>
      <c r="E1445" s="1" t="s">
        <v>76</v>
      </c>
      <c r="F1445" s="1">
        <v>378.6</v>
      </c>
      <c r="G1445" s="1">
        <v>-33.97</v>
      </c>
      <c r="H1445" s="1">
        <v>2.0</v>
      </c>
      <c r="I1445" s="1" t="s">
        <v>34</v>
      </c>
      <c r="J1445" s="1" t="s">
        <v>38</v>
      </c>
      <c r="K1445" s="1">
        <f t="shared" si="1"/>
        <v>2021</v>
      </c>
      <c r="L1445" s="1" t="str">
        <f t="shared" si="2"/>
        <v>Nov</v>
      </c>
      <c r="M1445" s="1" t="str">
        <f t="shared" si="3"/>
        <v>Loss</v>
      </c>
    </row>
    <row r="1446" ht="14.25" customHeight="1">
      <c r="A1446" s="1" t="s">
        <v>1480</v>
      </c>
      <c r="B1446" s="2">
        <v>44786.0</v>
      </c>
      <c r="C1446" s="1" t="s">
        <v>14</v>
      </c>
      <c r="D1446" s="1" t="s">
        <v>15</v>
      </c>
      <c r="E1446" s="1" t="s">
        <v>16</v>
      </c>
      <c r="F1446" s="1">
        <v>449.24</v>
      </c>
      <c r="G1446" s="1">
        <v>-120.5</v>
      </c>
      <c r="H1446" s="1">
        <v>1.0</v>
      </c>
      <c r="I1446" s="1" t="s">
        <v>17</v>
      </c>
      <c r="J1446" s="1" t="s">
        <v>38</v>
      </c>
      <c r="K1446" s="1">
        <f t="shared" si="1"/>
        <v>2022</v>
      </c>
      <c r="L1446" s="1" t="str">
        <f t="shared" si="2"/>
        <v>Aug</v>
      </c>
      <c r="M1446" s="1" t="str">
        <f t="shared" si="3"/>
        <v>Loss</v>
      </c>
    </row>
    <row r="1447" ht="14.25" customHeight="1">
      <c r="A1447" s="1" t="s">
        <v>1481</v>
      </c>
      <c r="B1447" s="2">
        <v>44844.0</v>
      </c>
      <c r="C1447" s="1" t="s">
        <v>20</v>
      </c>
      <c r="D1447" s="1" t="s">
        <v>27</v>
      </c>
      <c r="E1447" s="1" t="s">
        <v>33</v>
      </c>
      <c r="F1447" s="1">
        <v>778.0</v>
      </c>
      <c r="G1447" s="1">
        <v>208.28</v>
      </c>
      <c r="H1447" s="1">
        <v>7.0</v>
      </c>
      <c r="I1447" s="1" t="s">
        <v>17</v>
      </c>
      <c r="J1447" s="1" t="s">
        <v>35</v>
      </c>
      <c r="K1447" s="1">
        <f t="shared" si="1"/>
        <v>2022</v>
      </c>
      <c r="L1447" s="1" t="str">
        <f t="shared" si="2"/>
        <v>Oct</v>
      </c>
      <c r="M1447" s="1" t="str">
        <f t="shared" si="3"/>
        <v>Profit</v>
      </c>
    </row>
    <row r="1448" ht="14.25" customHeight="1">
      <c r="A1448" s="1" t="s">
        <v>1482</v>
      </c>
      <c r="B1448" s="2">
        <v>45286.0</v>
      </c>
      <c r="C1448" s="1" t="s">
        <v>30</v>
      </c>
      <c r="D1448" s="1" t="s">
        <v>15</v>
      </c>
      <c r="E1448" s="1" t="s">
        <v>31</v>
      </c>
      <c r="F1448" s="1">
        <v>548.62</v>
      </c>
      <c r="G1448" s="1">
        <v>7.33</v>
      </c>
      <c r="H1448" s="1">
        <v>3.0</v>
      </c>
      <c r="I1448" s="1" t="s">
        <v>17</v>
      </c>
      <c r="J1448" s="1" t="s">
        <v>18</v>
      </c>
      <c r="K1448" s="1">
        <f t="shared" si="1"/>
        <v>2023</v>
      </c>
      <c r="L1448" s="1" t="str">
        <f t="shared" si="2"/>
        <v>Dec</v>
      </c>
      <c r="M1448" s="1" t="str">
        <f t="shared" si="3"/>
        <v>Profit</v>
      </c>
    </row>
    <row r="1449" ht="14.25" customHeight="1">
      <c r="A1449" s="1" t="s">
        <v>1483</v>
      </c>
      <c r="B1449" s="2">
        <v>45228.0</v>
      </c>
      <c r="C1449" s="1" t="s">
        <v>20</v>
      </c>
      <c r="D1449" s="1" t="s">
        <v>21</v>
      </c>
      <c r="E1449" s="1" t="s">
        <v>76</v>
      </c>
      <c r="F1449" s="1">
        <v>766.26</v>
      </c>
      <c r="G1449" s="1">
        <v>-143.12</v>
      </c>
      <c r="H1449" s="1">
        <v>7.0</v>
      </c>
      <c r="I1449" s="1" t="s">
        <v>34</v>
      </c>
      <c r="J1449" s="1" t="s">
        <v>38</v>
      </c>
      <c r="K1449" s="1">
        <f t="shared" si="1"/>
        <v>2023</v>
      </c>
      <c r="L1449" s="1" t="str">
        <f t="shared" si="2"/>
        <v>Oct</v>
      </c>
      <c r="M1449" s="1" t="str">
        <f t="shared" si="3"/>
        <v>Loss</v>
      </c>
    </row>
    <row r="1450" ht="14.25" customHeight="1">
      <c r="A1450" s="1" t="s">
        <v>1484</v>
      </c>
      <c r="B1450" s="2">
        <v>44870.0</v>
      </c>
      <c r="C1450" s="1" t="s">
        <v>14</v>
      </c>
      <c r="D1450" s="1" t="s">
        <v>21</v>
      </c>
      <c r="E1450" s="1" t="s">
        <v>37</v>
      </c>
      <c r="F1450" s="1">
        <v>582.63</v>
      </c>
      <c r="G1450" s="1">
        <v>-156.4</v>
      </c>
      <c r="H1450" s="1">
        <v>6.0</v>
      </c>
      <c r="I1450" s="1" t="s">
        <v>34</v>
      </c>
      <c r="J1450" s="1" t="s">
        <v>24</v>
      </c>
      <c r="K1450" s="1">
        <f t="shared" si="1"/>
        <v>2022</v>
      </c>
      <c r="L1450" s="1" t="str">
        <f t="shared" si="2"/>
        <v>Nov</v>
      </c>
      <c r="M1450" s="1" t="str">
        <f t="shared" si="3"/>
        <v>Loss</v>
      </c>
    </row>
    <row r="1451" ht="14.25" customHeight="1">
      <c r="A1451" s="1" t="s">
        <v>1485</v>
      </c>
      <c r="B1451" s="2">
        <v>44886.0</v>
      </c>
      <c r="C1451" s="1" t="s">
        <v>20</v>
      </c>
      <c r="D1451" s="1" t="s">
        <v>27</v>
      </c>
      <c r="E1451" s="1" t="s">
        <v>40</v>
      </c>
      <c r="F1451" s="1">
        <v>838.28</v>
      </c>
      <c r="G1451" s="1">
        <v>22.66</v>
      </c>
      <c r="H1451" s="1">
        <v>7.0</v>
      </c>
      <c r="I1451" s="1" t="s">
        <v>23</v>
      </c>
      <c r="J1451" s="1" t="s">
        <v>38</v>
      </c>
      <c r="K1451" s="1">
        <f t="shared" si="1"/>
        <v>2022</v>
      </c>
      <c r="L1451" s="1" t="str">
        <f t="shared" si="2"/>
        <v>Nov</v>
      </c>
      <c r="M1451" s="1" t="str">
        <f t="shared" si="3"/>
        <v>Profit</v>
      </c>
    </row>
    <row r="1452" ht="14.25" customHeight="1">
      <c r="A1452" s="1" t="s">
        <v>1486</v>
      </c>
      <c r="B1452" s="2">
        <v>45161.0</v>
      </c>
      <c r="C1452" s="1" t="s">
        <v>14</v>
      </c>
      <c r="D1452" s="1" t="s">
        <v>21</v>
      </c>
      <c r="E1452" s="1" t="s">
        <v>37</v>
      </c>
      <c r="F1452" s="1">
        <v>126.19</v>
      </c>
      <c r="G1452" s="1">
        <v>-184.96</v>
      </c>
      <c r="H1452" s="1">
        <v>7.0</v>
      </c>
      <c r="I1452" s="1" t="s">
        <v>17</v>
      </c>
      <c r="J1452" s="1" t="s">
        <v>38</v>
      </c>
      <c r="K1452" s="1">
        <f t="shared" si="1"/>
        <v>2023</v>
      </c>
      <c r="L1452" s="1" t="str">
        <f t="shared" si="2"/>
        <v>Aug</v>
      </c>
      <c r="M1452" s="1" t="str">
        <f t="shared" si="3"/>
        <v>Loss</v>
      </c>
    </row>
    <row r="1453" ht="14.25" customHeight="1">
      <c r="A1453" s="1" t="s">
        <v>1487</v>
      </c>
      <c r="B1453" s="2">
        <v>44636.0</v>
      </c>
      <c r="C1453" s="1" t="s">
        <v>30</v>
      </c>
      <c r="D1453" s="1" t="s">
        <v>15</v>
      </c>
      <c r="E1453" s="1" t="s">
        <v>54</v>
      </c>
      <c r="F1453" s="1">
        <v>229.19</v>
      </c>
      <c r="G1453" s="1">
        <v>198.7</v>
      </c>
      <c r="H1453" s="1">
        <v>10.0</v>
      </c>
      <c r="I1453" s="1" t="s">
        <v>17</v>
      </c>
      <c r="J1453" s="1" t="s">
        <v>24</v>
      </c>
      <c r="K1453" s="1">
        <f t="shared" si="1"/>
        <v>2022</v>
      </c>
      <c r="L1453" s="1" t="str">
        <f t="shared" si="2"/>
        <v>Mar</v>
      </c>
      <c r="M1453" s="1" t="str">
        <f t="shared" si="3"/>
        <v>Profit</v>
      </c>
    </row>
    <row r="1454" ht="14.25" customHeight="1">
      <c r="A1454" s="1" t="s">
        <v>1488</v>
      </c>
      <c r="B1454" s="2">
        <v>44850.0</v>
      </c>
      <c r="C1454" s="1" t="s">
        <v>20</v>
      </c>
      <c r="D1454" s="1" t="s">
        <v>27</v>
      </c>
      <c r="E1454" s="1" t="s">
        <v>40</v>
      </c>
      <c r="F1454" s="1">
        <v>102.98</v>
      </c>
      <c r="G1454" s="1">
        <v>233.3</v>
      </c>
      <c r="H1454" s="1">
        <v>4.0</v>
      </c>
      <c r="I1454" s="1" t="s">
        <v>23</v>
      </c>
      <c r="J1454" s="1" t="s">
        <v>24</v>
      </c>
      <c r="K1454" s="1">
        <f t="shared" si="1"/>
        <v>2022</v>
      </c>
      <c r="L1454" s="1" t="str">
        <f t="shared" si="2"/>
        <v>Oct</v>
      </c>
      <c r="M1454" s="1" t="str">
        <f t="shared" si="3"/>
        <v>Profit</v>
      </c>
    </row>
    <row r="1455" ht="14.25" customHeight="1">
      <c r="A1455" s="1" t="s">
        <v>1489</v>
      </c>
      <c r="B1455" s="2">
        <v>44501.0</v>
      </c>
      <c r="C1455" s="1" t="s">
        <v>20</v>
      </c>
      <c r="D1455" s="1" t="s">
        <v>21</v>
      </c>
      <c r="E1455" s="1" t="s">
        <v>76</v>
      </c>
      <c r="F1455" s="1">
        <v>479.64</v>
      </c>
      <c r="G1455" s="1">
        <v>-45.84</v>
      </c>
      <c r="H1455" s="1">
        <v>5.0</v>
      </c>
      <c r="I1455" s="1" t="s">
        <v>23</v>
      </c>
      <c r="J1455" s="1" t="s">
        <v>35</v>
      </c>
      <c r="K1455" s="1">
        <f t="shared" si="1"/>
        <v>2021</v>
      </c>
      <c r="L1455" s="1" t="str">
        <f t="shared" si="2"/>
        <v>Nov</v>
      </c>
      <c r="M1455" s="1" t="str">
        <f t="shared" si="3"/>
        <v>Loss</v>
      </c>
    </row>
    <row r="1456" ht="14.25" customHeight="1">
      <c r="A1456" s="1" t="s">
        <v>1490</v>
      </c>
      <c r="B1456" s="2">
        <v>44287.0</v>
      </c>
      <c r="C1456" s="1" t="s">
        <v>14</v>
      </c>
      <c r="D1456" s="1" t="s">
        <v>15</v>
      </c>
      <c r="E1456" s="1" t="s">
        <v>16</v>
      </c>
      <c r="F1456" s="1">
        <v>722.45</v>
      </c>
      <c r="G1456" s="1">
        <v>-163.68</v>
      </c>
      <c r="H1456" s="1">
        <v>5.0</v>
      </c>
      <c r="I1456" s="1" t="s">
        <v>17</v>
      </c>
      <c r="J1456" s="1" t="s">
        <v>35</v>
      </c>
      <c r="K1456" s="1">
        <f t="shared" si="1"/>
        <v>2021</v>
      </c>
      <c r="L1456" s="1" t="str">
        <f t="shared" si="2"/>
        <v>Apr</v>
      </c>
      <c r="M1456" s="1" t="str">
        <f t="shared" si="3"/>
        <v>Loss</v>
      </c>
    </row>
    <row r="1457" ht="14.25" customHeight="1">
      <c r="A1457" s="1" t="s">
        <v>1491</v>
      </c>
      <c r="B1457" s="2">
        <v>44564.0</v>
      </c>
      <c r="C1457" s="1" t="s">
        <v>20</v>
      </c>
      <c r="D1457" s="1" t="s">
        <v>15</v>
      </c>
      <c r="E1457" s="1" t="s">
        <v>54</v>
      </c>
      <c r="F1457" s="1">
        <v>569.64</v>
      </c>
      <c r="G1457" s="1">
        <v>67.87</v>
      </c>
      <c r="H1457" s="1">
        <v>6.0</v>
      </c>
      <c r="I1457" s="1" t="s">
        <v>17</v>
      </c>
      <c r="J1457" s="1" t="s">
        <v>24</v>
      </c>
      <c r="K1457" s="1">
        <f t="shared" si="1"/>
        <v>2022</v>
      </c>
      <c r="L1457" s="1" t="str">
        <f t="shared" si="2"/>
        <v>Jan</v>
      </c>
      <c r="M1457" s="1" t="str">
        <f t="shared" si="3"/>
        <v>Profit</v>
      </c>
    </row>
    <row r="1458" ht="14.25" customHeight="1">
      <c r="A1458" s="1" t="s">
        <v>1492</v>
      </c>
      <c r="B1458" s="2">
        <v>44540.0</v>
      </c>
      <c r="C1458" s="1" t="s">
        <v>20</v>
      </c>
      <c r="D1458" s="1" t="s">
        <v>27</v>
      </c>
      <c r="E1458" s="1" t="s">
        <v>28</v>
      </c>
      <c r="F1458" s="1">
        <v>765.74</v>
      </c>
      <c r="G1458" s="1">
        <v>-31.84</v>
      </c>
      <c r="H1458" s="1">
        <v>4.0</v>
      </c>
      <c r="I1458" s="1" t="s">
        <v>23</v>
      </c>
      <c r="J1458" s="1" t="s">
        <v>24</v>
      </c>
      <c r="K1458" s="1">
        <f t="shared" si="1"/>
        <v>2021</v>
      </c>
      <c r="L1458" s="1" t="str">
        <f t="shared" si="2"/>
        <v>Dec</v>
      </c>
      <c r="M1458" s="1" t="str">
        <f t="shared" si="3"/>
        <v>Loss</v>
      </c>
    </row>
    <row r="1459" ht="14.25" customHeight="1">
      <c r="A1459" s="1" t="s">
        <v>1493</v>
      </c>
      <c r="B1459" s="2">
        <v>44886.0</v>
      </c>
      <c r="C1459" s="1" t="s">
        <v>30</v>
      </c>
      <c r="D1459" s="1" t="s">
        <v>15</v>
      </c>
      <c r="E1459" s="1" t="s">
        <v>31</v>
      </c>
      <c r="F1459" s="1">
        <v>24.39</v>
      </c>
      <c r="G1459" s="1">
        <v>248.79</v>
      </c>
      <c r="H1459" s="1">
        <v>9.0</v>
      </c>
      <c r="I1459" s="1" t="s">
        <v>23</v>
      </c>
      <c r="J1459" s="1" t="s">
        <v>38</v>
      </c>
      <c r="K1459" s="1">
        <f t="shared" si="1"/>
        <v>2022</v>
      </c>
      <c r="L1459" s="1" t="str">
        <f t="shared" si="2"/>
        <v>Nov</v>
      </c>
      <c r="M1459" s="1" t="str">
        <f t="shared" si="3"/>
        <v>Profit</v>
      </c>
    </row>
    <row r="1460" ht="14.25" customHeight="1">
      <c r="A1460" s="1" t="s">
        <v>1494</v>
      </c>
      <c r="B1460" s="2">
        <v>44909.0</v>
      </c>
      <c r="C1460" s="1" t="s">
        <v>14</v>
      </c>
      <c r="D1460" s="1" t="s">
        <v>15</v>
      </c>
      <c r="E1460" s="1" t="s">
        <v>16</v>
      </c>
      <c r="F1460" s="1">
        <v>163.3</v>
      </c>
      <c r="G1460" s="1">
        <v>218.4</v>
      </c>
      <c r="H1460" s="1">
        <v>1.0</v>
      </c>
      <c r="I1460" s="1" t="s">
        <v>17</v>
      </c>
      <c r="J1460" s="1" t="s">
        <v>35</v>
      </c>
      <c r="K1460" s="1">
        <f t="shared" si="1"/>
        <v>2022</v>
      </c>
      <c r="L1460" s="1" t="str">
        <f t="shared" si="2"/>
        <v>Dec</v>
      </c>
      <c r="M1460" s="1" t="str">
        <f t="shared" si="3"/>
        <v>Profit</v>
      </c>
    </row>
    <row r="1461" ht="14.25" customHeight="1">
      <c r="A1461" s="1" t="s">
        <v>1495</v>
      </c>
      <c r="B1461" s="2">
        <v>44600.0</v>
      </c>
      <c r="C1461" s="1" t="s">
        <v>30</v>
      </c>
      <c r="D1461" s="1" t="s">
        <v>15</v>
      </c>
      <c r="E1461" s="1" t="s">
        <v>31</v>
      </c>
      <c r="F1461" s="1">
        <v>797.58</v>
      </c>
      <c r="G1461" s="1">
        <v>-37.1</v>
      </c>
      <c r="H1461" s="1">
        <v>10.0</v>
      </c>
      <c r="I1461" s="1" t="s">
        <v>23</v>
      </c>
      <c r="J1461" s="1" t="s">
        <v>18</v>
      </c>
      <c r="K1461" s="1">
        <f t="shared" si="1"/>
        <v>2022</v>
      </c>
      <c r="L1461" s="1" t="str">
        <f t="shared" si="2"/>
        <v>Feb</v>
      </c>
      <c r="M1461" s="1" t="str">
        <f t="shared" si="3"/>
        <v>Loss</v>
      </c>
    </row>
    <row r="1462" ht="14.25" customHeight="1">
      <c r="A1462" s="1" t="s">
        <v>1496</v>
      </c>
      <c r="B1462" s="2">
        <v>45192.0</v>
      </c>
      <c r="C1462" s="1" t="s">
        <v>20</v>
      </c>
      <c r="D1462" s="1" t="s">
        <v>21</v>
      </c>
      <c r="E1462" s="1" t="s">
        <v>37</v>
      </c>
      <c r="F1462" s="1">
        <v>159.07</v>
      </c>
      <c r="G1462" s="1">
        <v>-163.89</v>
      </c>
      <c r="H1462" s="1">
        <v>3.0</v>
      </c>
      <c r="I1462" s="1" t="s">
        <v>23</v>
      </c>
      <c r="J1462" s="1" t="s">
        <v>38</v>
      </c>
      <c r="K1462" s="1">
        <f t="shared" si="1"/>
        <v>2023</v>
      </c>
      <c r="L1462" s="1" t="str">
        <f t="shared" si="2"/>
        <v>Sep</v>
      </c>
      <c r="M1462" s="1" t="str">
        <f t="shared" si="3"/>
        <v>Loss</v>
      </c>
    </row>
    <row r="1463" ht="14.25" customHeight="1">
      <c r="A1463" s="1" t="s">
        <v>1497</v>
      </c>
      <c r="B1463" s="2">
        <v>44267.0</v>
      </c>
      <c r="C1463" s="1" t="s">
        <v>20</v>
      </c>
      <c r="D1463" s="1" t="s">
        <v>27</v>
      </c>
      <c r="E1463" s="1" t="s">
        <v>28</v>
      </c>
      <c r="F1463" s="1">
        <v>256.01</v>
      </c>
      <c r="G1463" s="1">
        <v>-191.89</v>
      </c>
      <c r="H1463" s="1">
        <v>8.0</v>
      </c>
      <c r="I1463" s="1" t="s">
        <v>34</v>
      </c>
      <c r="J1463" s="1" t="s">
        <v>35</v>
      </c>
      <c r="K1463" s="1">
        <f t="shared" si="1"/>
        <v>2021</v>
      </c>
      <c r="L1463" s="1" t="str">
        <f t="shared" si="2"/>
        <v>Mar</v>
      </c>
      <c r="M1463" s="1" t="str">
        <f t="shared" si="3"/>
        <v>Loss</v>
      </c>
    </row>
    <row r="1464" ht="14.25" customHeight="1">
      <c r="A1464" s="1" t="s">
        <v>1498</v>
      </c>
      <c r="B1464" s="2">
        <v>44915.0</v>
      </c>
      <c r="C1464" s="1" t="s">
        <v>20</v>
      </c>
      <c r="D1464" s="1" t="s">
        <v>27</v>
      </c>
      <c r="E1464" s="1" t="s">
        <v>33</v>
      </c>
      <c r="F1464" s="1">
        <v>268.64</v>
      </c>
      <c r="G1464" s="1">
        <v>67.56</v>
      </c>
      <c r="H1464" s="1">
        <v>2.0</v>
      </c>
      <c r="I1464" s="1" t="s">
        <v>34</v>
      </c>
      <c r="J1464" s="1" t="s">
        <v>18</v>
      </c>
      <c r="K1464" s="1">
        <f t="shared" si="1"/>
        <v>2022</v>
      </c>
      <c r="L1464" s="1" t="str">
        <f t="shared" si="2"/>
        <v>Dec</v>
      </c>
      <c r="M1464" s="1" t="str">
        <f t="shared" si="3"/>
        <v>Profit</v>
      </c>
    </row>
    <row r="1465" ht="14.25" customHeight="1">
      <c r="A1465" s="1" t="s">
        <v>1499</v>
      </c>
      <c r="B1465" s="2">
        <v>44245.0</v>
      </c>
      <c r="C1465" s="1" t="s">
        <v>30</v>
      </c>
      <c r="D1465" s="1" t="s">
        <v>27</v>
      </c>
      <c r="E1465" s="1" t="s">
        <v>40</v>
      </c>
      <c r="F1465" s="1">
        <v>733.16</v>
      </c>
      <c r="G1465" s="1">
        <v>219.4</v>
      </c>
      <c r="H1465" s="1">
        <v>1.0</v>
      </c>
      <c r="I1465" s="1" t="s">
        <v>34</v>
      </c>
      <c r="J1465" s="1" t="s">
        <v>35</v>
      </c>
      <c r="K1465" s="1">
        <f t="shared" si="1"/>
        <v>2021</v>
      </c>
      <c r="L1465" s="1" t="str">
        <f t="shared" si="2"/>
        <v>Feb</v>
      </c>
      <c r="M1465" s="1" t="str">
        <f t="shared" si="3"/>
        <v>Profit</v>
      </c>
    </row>
    <row r="1466" ht="14.25" customHeight="1">
      <c r="A1466" s="1" t="s">
        <v>1500</v>
      </c>
      <c r="B1466" s="2">
        <v>44438.0</v>
      </c>
      <c r="C1466" s="1" t="s">
        <v>20</v>
      </c>
      <c r="D1466" s="1" t="s">
        <v>21</v>
      </c>
      <c r="E1466" s="1" t="s">
        <v>37</v>
      </c>
      <c r="F1466" s="1">
        <v>931.85</v>
      </c>
      <c r="G1466" s="1">
        <v>-27.29</v>
      </c>
      <c r="H1466" s="1">
        <v>2.0</v>
      </c>
      <c r="I1466" s="1" t="s">
        <v>34</v>
      </c>
      <c r="J1466" s="1" t="s">
        <v>18</v>
      </c>
      <c r="K1466" s="1">
        <f t="shared" si="1"/>
        <v>2021</v>
      </c>
      <c r="L1466" s="1" t="str">
        <f t="shared" si="2"/>
        <v>Aug</v>
      </c>
      <c r="M1466" s="1" t="str">
        <f t="shared" si="3"/>
        <v>Loss</v>
      </c>
    </row>
    <row r="1467" ht="14.25" customHeight="1">
      <c r="A1467" s="1" t="s">
        <v>1501</v>
      </c>
      <c r="B1467" s="2">
        <v>45212.0</v>
      </c>
      <c r="C1467" s="1" t="s">
        <v>20</v>
      </c>
      <c r="D1467" s="1" t="s">
        <v>21</v>
      </c>
      <c r="E1467" s="1" t="s">
        <v>22</v>
      </c>
      <c r="F1467" s="1">
        <v>823.72</v>
      </c>
      <c r="G1467" s="1">
        <v>-184.65</v>
      </c>
      <c r="H1467" s="1">
        <v>3.0</v>
      </c>
      <c r="I1467" s="1" t="s">
        <v>23</v>
      </c>
      <c r="J1467" s="1" t="s">
        <v>24</v>
      </c>
      <c r="K1467" s="1">
        <f t="shared" si="1"/>
        <v>2023</v>
      </c>
      <c r="L1467" s="1" t="str">
        <f t="shared" si="2"/>
        <v>Oct</v>
      </c>
      <c r="M1467" s="1" t="str">
        <f t="shared" si="3"/>
        <v>Loss</v>
      </c>
    </row>
    <row r="1468" ht="14.25" customHeight="1">
      <c r="A1468" s="1" t="s">
        <v>1502</v>
      </c>
      <c r="B1468" s="2">
        <v>45176.0</v>
      </c>
      <c r="C1468" s="1" t="s">
        <v>20</v>
      </c>
      <c r="D1468" s="1" t="s">
        <v>21</v>
      </c>
      <c r="E1468" s="1" t="s">
        <v>76</v>
      </c>
      <c r="F1468" s="1">
        <v>363.68</v>
      </c>
      <c r="G1468" s="1">
        <v>195.61</v>
      </c>
      <c r="H1468" s="1">
        <v>2.0</v>
      </c>
      <c r="I1468" s="1" t="s">
        <v>17</v>
      </c>
      <c r="J1468" s="1" t="s">
        <v>18</v>
      </c>
      <c r="K1468" s="1">
        <f t="shared" si="1"/>
        <v>2023</v>
      </c>
      <c r="L1468" s="1" t="str">
        <f t="shared" si="2"/>
        <v>Sep</v>
      </c>
      <c r="M1468" s="1" t="str">
        <f t="shared" si="3"/>
        <v>Profit</v>
      </c>
    </row>
    <row r="1469" ht="14.25" customHeight="1">
      <c r="A1469" s="1" t="s">
        <v>1503</v>
      </c>
      <c r="B1469" s="2">
        <v>45080.0</v>
      </c>
      <c r="C1469" s="1" t="s">
        <v>14</v>
      </c>
      <c r="D1469" s="1" t="s">
        <v>27</v>
      </c>
      <c r="E1469" s="1" t="s">
        <v>28</v>
      </c>
      <c r="F1469" s="1">
        <v>241.18</v>
      </c>
      <c r="G1469" s="1">
        <v>258.08</v>
      </c>
      <c r="H1469" s="1">
        <v>3.0</v>
      </c>
      <c r="I1469" s="1" t="s">
        <v>23</v>
      </c>
      <c r="J1469" s="1" t="s">
        <v>24</v>
      </c>
      <c r="K1469" s="1">
        <f t="shared" si="1"/>
        <v>2023</v>
      </c>
      <c r="L1469" s="1" t="str">
        <f t="shared" si="2"/>
        <v>Jun</v>
      </c>
      <c r="M1469" s="1" t="str">
        <f t="shared" si="3"/>
        <v>Profit</v>
      </c>
    </row>
    <row r="1470" ht="14.25" customHeight="1">
      <c r="A1470" s="1" t="s">
        <v>1504</v>
      </c>
      <c r="B1470" s="2">
        <v>44614.0</v>
      </c>
      <c r="C1470" s="1" t="s">
        <v>26</v>
      </c>
      <c r="D1470" s="1" t="s">
        <v>15</v>
      </c>
      <c r="E1470" s="1" t="s">
        <v>54</v>
      </c>
      <c r="F1470" s="1">
        <v>463.48</v>
      </c>
      <c r="G1470" s="1">
        <v>-51.44</v>
      </c>
      <c r="H1470" s="1">
        <v>6.0</v>
      </c>
      <c r="I1470" s="1" t="s">
        <v>17</v>
      </c>
      <c r="J1470" s="1" t="s">
        <v>35</v>
      </c>
      <c r="K1470" s="1">
        <f t="shared" si="1"/>
        <v>2022</v>
      </c>
      <c r="L1470" s="1" t="str">
        <f t="shared" si="2"/>
        <v>Feb</v>
      </c>
      <c r="M1470" s="1" t="str">
        <f t="shared" si="3"/>
        <v>Loss</v>
      </c>
    </row>
    <row r="1471" ht="14.25" customHeight="1">
      <c r="A1471" s="1" t="s">
        <v>1505</v>
      </c>
      <c r="B1471" s="2">
        <v>44267.0</v>
      </c>
      <c r="C1471" s="1" t="s">
        <v>26</v>
      </c>
      <c r="D1471" s="1" t="s">
        <v>21</v>
      </c>
      <c r="E1471" s="1" t="s">
        <v>37</v>
      </c>
      <c r="F1471" s="1">
        <v>473.65</v>
      </c>
      <c r="G1471" s="1">
        <v>49.24</v>
      </c>
      <c r="H1471" s="1">
        <v>9.0</v>
      </c>
      <c r="I1471" s="1" t="s">
        <v>23</v>
      </c>
      <c r="J1471" s="1" t="s">
        <v>35</v>
      </c>
      <c r="K1471" s="1">
        <f t="shared" si="1"/>
        <v>2021</v>
      </c>
      <c r="L1471" s="1" t="str">
        <f t="shared" si="2"/>
        <v>Mar</v>
      </c>
      <c r="M1471" s="1" t="str">
        <f t="shared" si="3"/>
        <v>Profit</v>
      </c>
    </row>
    <row r="1472" ht="14.25" customHeight="1">
      <c r="A1472" s="1" t="s">
        <v>1506</v>
      </c>
      <c r="B1472" s="2">
        <v>44528.0</v>
      </c>
      <c r="C1472" s="1" t="s">
        <v>14</v>
      </c>
      <c r="D1472" s="1" t="s">
        <v>21</v>
      </c>
      <c r="E1472" s="1" t="s">
        <v>22</v>
      </c>
      <c r="F1472" s="1">
        <v>828.47</v>
      </c>
      <c r="G1472" s="1">
        <v>180.69</v>
      </c>
      <c r="H1472" s="1">
        <v>1.0</v>
      </c>
      <c r="I1472" s="1" t="s">
        <v>17</v>
      </c>
      <c r="J1472" s="1" t="s">
        <v>18</v>
      </c>
      <c r="K1472" s="1">
        <f t="shared" si="1"/>
        <v>2021</v>
      </c>
      <c r="L1472" s="1" t="str">
        <f t="shared" si="2"/>
        <v>Nov</v>
      </c>
      <c r="M1472" s="1" t="str">
        <f t="shared" si="3"/>
        <v>Profit</v>
      </c>
    </row>
    <row r="1473" ht="14.25" customHeight="1">
      <c r="A1473" s="1" t="s">
        <v>1507</v>
      </c>
      <c r="B1473" s="2">
        <v>44488.0</v>
      </c>
      <c r="C1473" s="1" t="s">
        <v>30</v>
      </c>
      <c r="D1473" s="1" t="s">
        <v>15</v>
      </c>
      <c r="E1473" s="1" t="s">
        <v>31</v>
      </c>
      <c r="F1473" s="1">
        <v>223.58</v>
      </c>
      <c r="G1473" s="1">
        <v>299.46</v>
      </c>
      <c r="H1473" s="1">
        <v>8.0</v>
      </c>
      <c r="I1473" s="1" t="s">
        <v>23</v>
      </c>
      <c r="J1473" s="1" t="s">
        <v>24</v>
      </c>
      <c r="K1473" s="1">
        <f t="shared" si="1"/>
        <v>2021</v>
      </c>
      <c r="L1473" s="1" t="str">
        <f t="shared" si="2"/>
        <v>Oct</v>
      </c>
      <c r="M1473" s="1" t="str">
        <f t="shared" si="3"/>
        <v>Profit</v>
      </c>
    </row>
    <row r="1474" ht="14.25" customHeight="1">
      <c r="A1474" s="1" t="s">
        <v>1508</v>
      </c>
      <c r="B1474" s="2">
        <v>44794.0</v>
      </c>
      <c r="C1474" s="1" t="s">
        <v>20</v>
      </c>
      <c r="D1474" s="1" t="s">
        <v>15</v>
      </c>
      <c r="E1474" s="1" t="s">
        <v>16</v>
      </c>
      <c r="F1474" s="1">
        <v>118.41</v>
      </c>
      <c r="G1474" s="1">
        <v>-167.29</v>
      </c>
      <c r="H1474" s="1">
        <v>3.0</v>
      </c>
      <c r="I1474" s="1" t="s">
        <v>34</v>
      </c>
      <c r="J1474" s="1" t="s">
        <v>24</v>
      </c>
      <c r="K1474" s="1">
        <f t="shared" si="1"/>
        <v>2022</v>
      </c>
      <c r="L1474" s="1" t="str">
        <f t="shared" si="2"/>
        <v>Aug</v>
      </c>
      <c r="M1474" s="1" t="str">
        <f t="shared" si="3"/>
        <v>Loss</v>
      </c>
    </row>
    <row r="1475" ht="14.25" customHeight="1">
      <c r="A1475" s="1" t="s">
        <v>1509</v>
      </c>
      <c r="B1475" s="2">
        <v>44395.0</v>
      </c>
      <c r="C1475" s="1" t="s">
        <v>30</v>
      </c>
      <c r="D1475" s="1" t="s">
        <v>27</v>
      </c>
      <c r="E1475" s="1" t="s">
        <v>28</v>
      </c>
      <c r="F1475" s="1">
        <v>509.09</v>
      </c>
      <c r="G1475" s="1">
        <v>-146.32</v>
      </c>
      <c r="H1475" s="1">
        <v>10.0</v>
      </c>
      <c r="I1475" s="1" t="s">
        <v>34</v>
      </c>
      <c r="J1475" s="1" t="s">
        <v>35</v>
      </c>
      <c r="K1475" s="1">
        <f t="shared" si="1"/>
        <v>2021</v>
      </c>
      <c r="L1475" s="1" t="str">
        <f t="shared" si="2"/>
        <v>Jul</v>
      </c>
      <c r="M1475" s="1" t="str">
        <f t="shared" si="3"/>
        <v>Loss</v>
      </c>
    </row>
    <row r="1476" ht="14.25" customHeight="1">
      <c r="A1476" s="1" t="s">
        <v>1510</v>
      </c>
      <c r="B1476" s="2">
        <v>44299.0</v>
      </c>
      <c r="C1476" s="1" t="s">
        <v>30</v>
      </c>
      <c r="D1476" s="1" t="s">
        <v>21</v>
      </c>
      <c r="E1476" s="1" t="s">
        <v>37</v>
      </c>
      <c r="F1476" s="1">
        <v>818.05</v>
      </c>
      <c r="G1476" s="1">
        <v>-22.97</v>
      </c>
      <c r="H1476" s="1">
        <v>7.0</v>
      </c>
      <c r="I1476" s="1" t="s">
        <v>34</v>
      </c>
      <c r="J1476" s="1" t="s">
        <v>38</v>
      </c>
      <c r="K1476" s="1">
        <f t="shared" si="1"/>
        <v>2021</v>
      </c>
      <c r="L1476" s="1" t="str">
        <f t="shared" si="2"/>
        <v>Apr</v>
      </c>
      <c r="M1476" s="1" t="str">
        <f t="shared" si="3"/>
        <v>Loss</v>
      </c>
    </row>
    <row r="1477" ht="14.25" customHeight="1">
      <c r="A1477" s="1" t="s">
        <v>1511</v>
      </c>
      <c r="B1477" s="2">
        <v>44592.0</v>
      </c>
      <c r="C1477" s="1" t="s">
        <v>20</v>
      </c>
      <c r="D1477" s="1" t="s">
        <v>21</v>
      </c>
      <c r="E1477" s="1" t="s">
        <v>76</v>
      </c>
      <c r="F1477" s="1">
        <v>988.94</v>
      </c>
      <c r="G1477" s="1">
        <v>-22.64</v>
      </c>
      <c r="H1477" s="1">
        <v>3.0</v>
      </c>
      <c r="I1477" s="1" t="s">
        <v>23</v>
      </c>
      <c r="J1477" s="1" t="s">
        <v>35</v>
      </c>
      <c r="K1477" s="1">
        <f t="shared" si="1"/>
        <v>2022</v>
      </c>
      <c r="L1477" s="1" t="str">
        <f t="shared" si="2"/>
        <v>Jan</v>
      </c>
      <c r="M1477" s="1" t="str">
        <f t="shared" si="3"/>
        <v>Loss</v>
      </c>
    </row>
    <row r="1478" ht="14.25" customHeight="1">
      <c r="A1478" s="1" t="s">
        <v>1512</v>
      </c>
      <c r="B1478" s="2">
        <v>45213.0</v>
      </c>
      <c r="C1478" s="1" t="s">
        <v>30</v>
      </c>
      <c r="D1478" s="1" t="s">
        <v>27</v>
      </c>
      <c r="E1478" s="1" t="s">
        <v>28</v>
      </c>
      <c r="F1478" s="1">
        <v>160.54</v>
      </c>
      <c r="G1478" s="1">
        <v>-81.53</v>
      </c>
      <c r="H1478" s="1">
        <v>3.0</v>
      </c>
      <c r="I1478" s="1" t="s">
        <v>34</v>
      </c>
      <c r="J1478" s="1" t="s">
        <v>24</v>
      </c>
      <c r="K1478" s="1">
        <f t="shared" si="1"/>
        <v>2023</v>
      </c>
      <c r="L1478" s="1" t="str">
        <f t="shared" si="2"/>
        <v>Oct</v>
      </c>
      <c r="M1478" s="1" t="str">
        <f t="shared" si="3"/>
        <v>Loss</v>
      </c>
    </row>
    <row r="1479" ht="14.25" customHeight="1">
      <c r="A1479" s="1" t="s">
        <v>1513</v>
      </c>
      <c r="B1479" s="2">
        <v>44251.0</v>
      </c>
      <c r="C1479" s="1" t="s">
        <v>20</v>
      </c>
      <c r="D1479" s="1" t="s">
        <v>15</v>
      </c>
      <c r="E1479" s="1" t="s">
        <v>54</v>
      </c>
      <c r="F1479" s="1">
        <v>798.45</v>
      </c>
      <c r="G1479" s="1">
        <v>240.07</v>
      </c>
      <c r="H1479" s="1">
        <v>8.0</v>
      </c>
      <c r="I1479" s="1" t="s">
        <v>17</v>
      </c>
      <c r="J1479" s="1" t="s">
        <v>18</v>
      </c>
      <c r="K1479" s="1">
        <f t="shared" si="1"/>
        <v>2021</v>
      </c>
      <c r="L1479" s="1" t="str">
        <f t="shared" si="2"/>
        <v>Feb</v>
      </c>
      <c r="M1479" s="1" t="str">
        <f t="shared" si="3"/>
        <v>Profit</v>
      </c>
    </row>
    <row r="1480" ht="14.25" customHeight="1">
      <c r="A1480" s="1" t="s">
        <v>1514</v>
      </c>
      <c r="B1480" s="2">
        <v>44892.0</v>
      </c>
      <c r="C1480" s="1" t="s">
        <v>20</v>
      </c>
      <c r="D1480" s="1" t="s">
        <v>15</v>
      </c>
      <c r="E1480" s="1" t="s">
        <v>54</v>
      </c>
      <c r="F1480" s="1">
        <v>389.68</v>
      </c>
      <c r="G1480" s="1">
        <v>184.55</v>
      </c>
      <c r="H1480" s="1">
        <v>5.0</v>
      </c>
      <c r="I1480" s="1" t="s">
        <v>23</v>
      </c>
      <c r="J1480" s="1" t="s">
        <v>38</v>
      </c>
      <c r="K1480" s="1">
        <f t="shared" si="1"/>
        <v>2022</v>
      </c>
      <c r="L1480" s="1" t="str">
        <f t="shared" si="2"/>
        <v>Nov</v>
      </c>
      <c r="M1480" s="1" t="str">
        <f t="shared" si="3"/>
        <v>Profit</v>
      </c>
    </row>
    <row r="1481" ht="14.25" customHeight="1">
      <c r="A1481" s="1" t="s">
        <v>1515</v>
      </c>
      <c r="B1481" s="2">
        <v>44903.0</v>
      </c>
      <c r="C1481" s="1" t="s">
        <v>20</v>
      </c>
      <c r="D1481" s="1" t="s">
        <v>21</v>
      </c>
      <c r="E1481" s="1" t="s">
        <v>37</v>
      </c>
      <c r="F1481" s="1">
        <v>678.42</v>
      </c>
      <c r="G1481" s="1">
        <v>-152.39</v>
      </c>
      <c r="H1481" s="1">
        <v>4.0</v>
      </c>
      <c r="I1481" s="1" t="s">
        <v>34</v>
      </c>
      <c r="J1481" s="1" t="s">
        <v>38</v>
      </c>
      <c r="K1481" s="1">
        <f t="shared" si="1"/>
        <v>2022</v>
      </c>
      <c r="L1481" s="1" t="str">
        <f t="shared" si="2"/>
        <v>Dec</v>
      </c>
      <c r="M1481" s="1" t="str">
        <f t="shared" si="3"/>
        <v>Loss</v>
      </c>
    </row>
    <row r="1482" ht="14.25" customHeight="1">
      <c r="A1482" s="1" t="s">
        <v>1516</v>
      </c>
      <c r="B1482" s="2">
        <v>44806.0</v>
      </c>
      <c r="C1482" s="1" t="s">
        <v>30</v>
      </c>
      <c r="D1482" s="1" t="s">
        <v>21</v>
      </c>
      <c r="E1482" s="1" t="s">
        <v>22</v>
      </c>
      <c r="F1482" s="1">
        <v>324.64</v>
      </c>
      <c r="G1482" s="1">
        <v>201.62</v>
      </c>
      <c r="H1482" s="1">
        <v>8.0</v>
      </c>
      <c r="I1482" s="1" t="s">
        <v>23</v>
      </c>
      <c r="J1482" s="1" t="s">
        <v>24</v>
      </c>
      <c r="K1482" s="1">
        <f t="shared" si="1"/>
        <v>2022</v>
      </c>
      <c r="L1482" s="1" t="str">
        <f t="shared" si="2"/>
        <v>Sep</v>
      </c>
      <c r="M1482" s="1" t="str">
        <f t="shared" si="3"/>
        <v>Profit</v>
      </c>
    </row>
    <row r="1483" ht="14.25" customHeight="1">
      <c r="A1483" s="1" t="s">
        <v>1517</v>
      </c>
      <c r="B1483" s="2">
        <v>44960.0</v>
      </c>
      <c r="C1483" s="1" t="s">
        <v>20</v>
      </c>
      <c r="D1483" s="1" t="s">
        <v>15</v>
      </c>
      <c r="E1483" s="1" t="s">
        <v>31</v>
      </c>
      <c r="F1483" s="1">
        <v>354.26</v>
      </c>
      <c r="G1483" s="1">
        <v>138.03</v>
      </c>
      <c r="H1483" s="1">
        <v>4.0</v>
      </c>
      <c r="I1483" s="1" t="s">
        <v>23</v>
      </c>
      <c r="J1483" s="1" t="s">
        <v>35</v>
      </c>
      <c r="K1483" s="1">
        <f t="shared" si="1"/>
        <v>2023</v>
      </c>
      <c r="L1483" s="1" t="str">
        <f t="shared" si="2"/>
        <v>Feb</v>
      </c>
      <c r="M1483" s="1" t="str">
        <f t="shared" si="3"/>
        <v>Profit</v>
      </c>
    </row>
    <row r="1484" ht="14.25" customHeight="1">
      <c r="A1484" s="1" t="s">
        <v>1518</v>
      </c>
      <c r="B1484" s="2">
        <v>44991.0</v>
      </c>
      <c r="C1484" s="1" t="s">
        <v>26</v>
      </c>
      <c r="D1484" s="1" t="s">
        <v>15</v>
      </c>
      <c r="E1484" s="1" t="s">
        <v>16</v>
      </c>
      <c r="F1484" s="1">
        <v>500.69</v>
      </c>
      <c r="G1484" s="1">
        <v>-136.52</v>
      </c>
      <c r="H1484" s="1">
        <v>5.0</v>
      </c>
      <c r="I1484" s="1" t="s">
        <v>34</v>
      </c>
      <c r="J1484" s="1" t="s">
        <v>18</v>
      </c>
      <c r="K1484" s="1">
        <f t="shared" si="1"/>
        <v>2023</v>
      </c>
      <c r="L1484" s="1" t="str">
        <f t="shared" si="2"/>
        <v>Mar</v>
      </c>
      <c r="M1484" s="1" t="str">
        <f t="shared" si="3"/>
        <v>Loss</v>
      </c>
    </row>
    <row r="1485" ht="14.25" customHeight="1">
      <c r="A1485" s="1" t="s">
        <v>1519</v>
      </c>
      <c r="B1485" s="2">
        <v>44705.0</v>
      </c>
      <c r="C1485" s="1" t="s">
        <v>14</v>
      </c>
      <c r="D1485" s="1" t="s">
        <v>15</v>
      </c>
      <c r="E1485" s="1" t="s">
        <v>16</v>
      </c>
      <c r="F1485" s="1">
        <v>800.36</v>
      </c>
      <c r="G1485" s="1">
        <v>181.45</v>
      </c>
      <c r="H1485" s="1">
        <v>1.0</v>
      </c>
      <c r="I1485" s="1" t="s">
        <v>17</v>
      </c>
      <c r="J1485" s="1" t="s">
        <v>18</v>
      </c>
      <c r="K1485" s="1">
        <f t="shared" si="1"/>
        <v>2022</v>
      </c>
      <c r="L1485" s="1" t="str">
        <f t="shared" si="2"/>
        <v>May</v>
      </c>
      <c r="M1485" s="1" t="str">
        <f t="shared" si="3"/>
        <v>Profit</v>
      </c>
    </row>
    <row r="1486" ht="14.25" customHeight="1">
      <c r="A1486" s="1" t="s">
        <v>1520</v>
      </c>
      <c r="B1486" s="2">
        <v>45000.0</v>
      </c>
      <c r="C1486" s="1" t="s">
        <v>14</v>
      </c>
      <c r="D1486" s="1" t="s">
        <v>27</v>
      </c>
      <c r="E1486" s="1" t="s">
        <v>40</v>
      </c>
      <c r="F1486" s="1">
        <v>216.77</v>
      </c>
      <c r="G1486" s="1">
        <v>39.27</v>
      </c>
      <c r="H1486" s="1">
        <v>10.0</v>
      </c>
      <c r="I1486" s="1" t="s">
        <v>23</v>
      </c>
      <c r="J1486" s="1" t="s">
        <v>24</v>
      </c>
      <c r="K1486" s="1">
        <f t="shared" si="1"/>
        <v>2023</v>
      </c>
      <c r="L1486" s="1" t="str">
        <f t="shared" si="2"/>
        <v>Mar</v>
      </c>
      <c r="M1486" s="1" t="str">
        <f t="shared" si="3"/>
        <v>Profit</v>
      </c>
    </row>
    <row r="1487" ht="14.25" customHeight="1">
      <c r="A1487" s="1" t="s">
        <v>1521</v>
      </c>
      <c r="B1487" s="2">
        <v>44247.0</v>
      </c>
      <c r="C1487" s="1" t="s">
        <v>20</v>
      </c>
      <c r="D1487" s="1" t="s">
        <v>15</v>
      </c>
      <c r="E1487" s="1" t="s">
        <v>31</v>
      </c>
      <c r="F1487" s="1">
        <v>560.56</v>
      </c>
      <c r="G1487" s="1">
        <v>173.33</v>
      </c>
      <c r="H1487" s="1">
        <v>7.0</v>
      </c>
      <c r="I1487" s="1" t="s">
        <v>34</v>
      </c>
      <c r="J1487" s="1" t="s">
        <v>18</v>
      </c>
      <c r="K1487" s="1">
        <f t="shared" si="1"/>
        <v>2021</v>
      </c>
      <c r="L1487" s="1" t="str">
        <f t="shared" si="2"/>
        <v>Feb</v>
      </c>
      <c r="M1487" s="1" t="str">
        <f t="shared" si="3"/>
        <v>Profit</v>
      </c>
    </row>
    <row r="1488" ht="14.25" customHeight="1">
      <c r="A1488" s="1" t="s">
        <v>1522</v>
      </c>
      <c r="B1488" s="2">
        <v>44977.0</v>
      </c>
      <c r="C1488" s="1" t="s">
        <v>26</v>
      </c>
      <c r="D1488" s="1" t="s">
        <v>15</v>
      </c>
      <c r="E1488" s="1" t="s">
        <v>31</v>
      </c>
      <c r="F1488" s="1">
        <v>129.62</v>
      </c>
      <c r="G1488" s="1">
        <v>33.06</v>
      </c>
      <c r="H1488" s="1">
        <v>5.0</v>
      </c>
      <c r="I1488" s="1" t="s">
        <v>23</v>
      </c>
      <c r="J1488" s="1" t="s">
        <v>38</v>
      </c>
      <c r="K1488" s="1">
        <f t="shared" si="1"/>
        <v>2023</v>
      </c>
      <c r="L1488" s="1" t="str">
        <f t="shared" si="2"/>
        <v>Feb</v>
      </c>
      <c r="M1488" s="1" t="str">
        <f t="shared" si="3"/>
        <v>Profit</v>
      </c>
    </row>
    <row r="1489" ht="14.25" customHeight="1">
      <c r="A1489" s="1" t="s">
        <v>1523</v>
      </c>
      <c r="B1489" s="2">
        <v>45071.0</v>
      </c>
      <c r="C1489" s="1" t="s">
        <v>20</v>
      </c>
      <c r="D1489" s="1" t="s">
        <v>27</v>
      </c>
      <c r="E1489" s="1" t="s">
        <v>28</v>
      </c>
      <c r="F1489" s="1">
        <v>676.64</v>
      </c>
      <c r="G1489" s="1">
        <v>259.01</v>
      </c>
      <c r="H1489" s="1">
        <v>10.0</v>
      </c>
      <c r="I1489" s="1" t="s">
        <v>23</v>
      </c>
      <c r="J1489" s="1" t="s">
        <v>38</v>
      </c>
      <c r="K1489" s="1">
        <f t="shared" si="1"/>
        <v>2023</v>
      </c>
      <c r="L1489" s="1" t="str">
        <f t="shared" si="2"/>
        <v>May</v>
      </c>
      <c r="M1489" s="1" t="str">
        <f t="shared" si="3"/>
        <v>Profit</v>
      </c>
    </row>
    <row r="1490" ht="14.25" customHeight="1">
      <c r="A1490" s="1" t="s">
        <v>1524</v>
      </c>
      <c r="B1490" s="2">
        <v>44288.0</v>
      </c>
      <c r="C1490" s="1" t="s">
        <v>14</v>
      </c>
      <c r="D1490" s="1" t="s">
        <v>21</v>
      </c>
      <c r="E1490" s="1" t="s">
        <v>22</v>
      </c>
      <c r="F1490" s="1">
        <v>295.92</v>
      </c>
      <c r="G1490" s="1">
        <v>37.45</v>
      </c>
      <c r="H1490" s="1">
        <v>5.0</v>
      </c>
      <c r="I1490" s="1" t="s">
        <v>23</v>
      </c>
      <c r="J1490" s="1" t="s">
        <v>24</v>
      </c>
      <c r="K1490" s="1">
        <f t="shared" si="1"/>
        <v>2021</v>
      </c>
      <c r="L1490" s="1" t="str">
        <f t="shared" si="2"/>
        <v>Apr</v>
      </c>
      <c r="M1490" s="1" t="str">
        <f t="shared" si="3"/>
        <v>Profit</v>
      </c>
    </row>
    <row r="1491" ht="14.25" customHeight="1">
      <c r="A1491" s="1" t="s">
        <v>1525</v>
      </c>
      <c r="B1491" s="2">
        <v>45262.0</v>
      </c>
      <c r="C1491" s="1" t="s">
        <v>30</v>
      </c>
      <c r="D1491" s="1" t="s">
        <v>21</v>
      </c>
      <c r="E1491" s="1" t="s">
        <v>22</v>
      </c>
      <c r="F1491" s="1">
        <v>860.83</v>
      </c>
      <c r="G1491" s="1">
        <v>86.82</v>
      </c>
      <c r="H1491" s="1">
        <v>3.0</v>
      </c>
      <c r="I1491" s="1" t="s">
        <v>34</v>
      </c>
      <c r="J1491" s="1" t="s">
        <v>38</v>
      </c>
      <c r="K1491" s="1">
        <f t="shared" si="1"/>
        <v>2023</v>
      </c>
      <c r="L1491" s="1" t="str">
        <f t="shared" si="2"/>
        <v>Dec</v>
      </c>
      <c r="M1491" s="1" t="str">
        <f t="shared" si="3"/>
        <v>Profit</v>
      </c>
    </row>
    <row r="1492" ht="14.25" customHeight="1">
      <c r="A1492" s="1" t="s">
        <v>1526</v>
      </c>
      <c r="B1492" s="2">
        <v>44934.0</v>
      </c>
      <c r="C1492" s="1" t="s">
        <v>14</v>
      </c>
      <c r="D1492" s="1" t="s">
        <v>21</v>
      </c>
      <c r="E1492" s="1" t="s">
        <v>76</v>
      </c>
      <c r="F1492" s="1">
        <v>617.29</v>
      </c>
      <c r="G1492" s="1">
        <v>-165.83</v>
      </c>
      <c r="H1492" s="1">
        <v>8.0</v>
      </c>
      <c r="I1492" s="1" t="s">
        <v>23</v>
      </c>
      <c r="J1492" s="1" t="s">
        <v>35</v>
      </c>
      <c r="K1492" s="1">
        <f t="shared" si="1"/>
        <v>2023</v>
      </c>
      <c r="L1492" s="1" t="str">
        <f t="shared" si="2"/>
        <v>Jan</v>
      </c>
      <c r="M1492" s="1" t="str">
        <f t="shared" si="3"/>
        <v>Loss</v>
      </c>
    </row>
    <row r="1493" ht="14.25" customHeight="1">
      <c r="A1493" s="1" t="s">
        <v>1527</v>
      </c>
      <c r="B1493" s="2">
        <v>44464.0</v>
      </c>
      <c r="C1493" s="1" t="s">
        <v>26</v>
      </c>
      <c r="D1493" s="1" t="s">
        <v>27</v>
      </c>
      <c r="E1493" s="1" t="s">
        <v>33</v>
      </c>
      <c r="F1493" s="1">
        <v>220.09</v>
      </c>
      <c r="G1493" s="1">
        <v>-74.27</v>
      </c>
      <c r="H1493" s="1">
        <v>8.0</v>
      </c>
      <c r="I1493" s="1" t="s">
        <v>34</v>
      </c>
      <c r="J1493" s="1" t="s">
        <v>35</v>
      </c>
      <c r="K1493" s="1">
        <f t="shared" si="1"/>
        <v>2021</v>
      </c>
      <c r="L1493" s="1" t="str">
        <f t="shared" si="2"/>
        <v>Sep</v>
      </c>
      <c r="M1493" s="1" t="str">
        <f t="shared" si="3"/>
        <v>Loss</v>
      </c>
    </row>
    <row r="1494" ht="14.25" customHeight="1">
      <c r="A1494" s="1" t="s">
        <v>1528</v>
      </c>
      <c r="B1494" s="2">
        <v>45228.0</v>
      </c>
      <c r="C1494" s="1" t="s">
        <v>20</v>
      </c>
      <c r="D1494" s="1" t="s">
        <v>27</v>
      </c>
      <c r="E1494" s="1" t="s">
        <v>40</v>
      </c>
      <c r="F1494" s="1">
        <v>105.35</v>
      </c>
      <c r="G1494" s="1">
        <v>98.64</v>
      </c>
      <c r="H1494" s="1">
        <v>10.0</v>
      </c>
      <c r="I1494" s="1" t="s">
        <v>23</v>
      </c>
      <c r="J1494" s="1" t="s">
        <v>35</v>
      </c>
      <c r="K1494" s="1">
        <f t="shared" si="1"/>
        <v>2023</v>
      </c>
      <c r="L1494" s="1" t="str">
        <f t="shared" si="2"/>
        <v>Oct</v>
      </c>
      <c r="M1494" s="1" t="str">
        <f t="shared" si="3"/>
        <v>Profit</v>
      </c>
    </row>
    <row r="1495" ht="14.25" customHeight="1">
      <c r="A1495" s="1" t="s">
        <v>1529</v>
      </c>
      <c r="B1495" s="2">
        <v>45102.0</v>
      </c>
      <c r="C1495" s="1" t="s">
        <v>20</v>
      </c>
      <c r="D1495" s="1" t="s">
        <v>21</v>
      </c>
      <c r="E1495" s="1" t="s">
        <v>22</v>
      </c>
      <c r="F1495" s="1">
        <v>680.66</v>
      </c>
      <c r="G1495" s="1">
        <v>18.33</v>
      </c>
      <c r="H1495" s="1">
        <v>8.0</v>
      </c>
      <c r="I1495" s="1" t="s">
        <v>23</v>
      </c>
      <c r="J1495" s="1" t="s">
        <v>18</v>
      </c>
      <c r="K1495" s="1">
        <f t="shared" si="1"/>
        <v>2023</v>
      </c>
      <c r="L1495" s="1" t="str">
        <f t="shared" si="2"/>
        <v>Jun</v>
      </c>
      <c r="M1495" s="1" t="str">
        <f t="shared" si="3"/>
        <v>Profit</v>
      </c>
    </row>
    <row r="1496" ht="14.25" customHeight="1">
      <c r="A1496" s="1" t="s">
        <v>1530</v>
      </c>
      <c r="B1496" s="2">
        <v>45108.0</v>
      </c>
      <c r="C1496" s="1" t="s">
        <v>20</v>
      </c>
      <c r="D1496" s="1" t="s">
        <v>15</v>
      </c>
      <c r="E1496" s="1" t="s">
        <v>31</v>
      </c>
      <c r="F1496" s="1">
        <v>887.05</v>
      </c>
      <c r="G1496" s="1">
        <v>219.58</v>
      </c>
      <c r="H1496" s="1">
        <v>7.0</v>
      </c>
      <c r="I1496" s="1" t="s">
        <v>34</v>
      </c>
      <c r="J1496" s="1" t="s">
        <v>18</v>
      </c>
      <c r="K1496" s="1">
        <f t="shared" si="1"/>
        <v>2023</v>
      </c>
      <c r="L1496" s="1" t="str">
        <f t="shared" si="2"/>
        <v>Jul</v>
      </c>
      <c r="M1496" s="1" t="str">
        <f t="shared" si="3"/>
        <v>Profit</v>
      </c>
    </row>
    <row r="1497" ht="14.25" customHeight="1">
      <c r="A1497" s="1" t="s">
        <v>1531</v>
      </c>
      <c r="B1497" s="2">
        <v>44300.0</v>
      </c>
      <c r="C1497" s="1" t="s">
        <v>30</v>
      </c>
      <c r="D1497" s="1" t="s">
        <v>15</v>
      </c>
      <c r="E1497" s="1" t="s">
        <v>31</v>
      </c>
      <c r="F1497" s="1">
        <v>829.0</v>
      </c>
      <c r="G1497" s="1">
        <v>-154.65</v>
      </c>
      <c r="H1497" s="1">
        <v>2.0</v>
      </c>
      <c r="I1497" s="1" t="s">
        <v>23</v>
      </c>
      <c r="J1497" s="1" t="s">
        <v>18</v>
      </c>
      <c r="K1497" s="1">
        <f t="shared" si="1"/>
        <v>2021</v>
      </c>
      <c r="L1497" s="1" t="str">
        <f t="shared" si="2"/>
        <v>Apr</v>
      </c>
      <c r="M1497" s="1" t="str">
        <f t="shared" si="3"/>
        <v>Loss</v>
      </c>
    </row>
    <row r="1498" ht="14.25" customHeight="1">
      <c r="A1498" s="1" t="s">
        <v>1532</v>
      </c>
      <c r="B1498" s="2">
        <v>45008.0</v>
      </c>
      <c r="C1498" s="1" t="s">
        <v>26</v>
      </c>
      <c r="D1498" s="1" t="s">
        <v>21</v>
      </c>
      <c r="E1498" s="1" t="s">
        <v>22</v>
      </c>
      <c r="F1498" s="1">
        <v>100.62</v>
      </c>
      <c r="G1498" s="1">
        <v>222.74</v>
      </c>
      <c r="H1498" s="1">
        <v>9.0</v>
      </c>
      <c r="I1498" s="1" t="s">
        <v>23</v>
      </c>
      <c r="J1498" s="1" t="s">
        <v>35</v>
      </c>
      <c r="K1498" s="1">
        <f t="shared" si="1"/>
        <v>2023</v>
      </c>
      <c r="L1498" s="1" t="str">
        <f t="shared" si="2"/>
        <v>Mar</v>
      </c>
      <c r="M1498" s="1" t="str">
        <f t="shared" si="3"/>
        <v>Profit</v>
      </c>
    </row>
    <row r="1499" ht="14.25" customHeight="1">
      <c r="A1499" s="1" t="s">
        <v>1533</v>
      </c>
      <c r="B1499" s="2">
        <v>45147.0</v>
      </c>
      <c r="C1499" s="1" t="s">
        <v>26</v>
      </c>
      <c r="D1499" s="1" t="s">
        <v>15</v>
      </c>
      <c r="E1499" s="1" t="s">
        <v>54</v>
      </c>
      <c r="F1499" s="1">
        <v>462.23</v>
      </c>
      <c r="G1499" s="1">
        <v>-20.92</v>
      </c>
      <c r="H1499" s="1">
        <v>4.0</v>
      </c>
      <c r="I1499" s="1" t="s">
        <v>17</v>
      </c>
      <c r="J1499" s="1" t="s">
        <v>35</v>
      </c>
      <c r="K1499" s="1">
        <f t="shared" si="1"/>
        <v>2023</v>
      </c>
      <c r="L1499" s="1" t="str">
        <f t="shared" si="2"/>
        <v>Aug</v>
      </c>
      <c r="M1499" s="1" t="str">
        <f t="shared" si="3"/>
        <v>Loss</v>
      </c>
    </row>
    <row r="1500" ht="14.25" customHeight="1">
      <c r="A1500" s="1" t="s">
        <v>1534</v>
      </c>
      <c r="B1500" s="2">
        <v>44263.0</v>
      </c>
      <c r="C1500" s="1" t="s">
        <v>14</v>
      </c>
      <c r="D1500" s="1" t="s">
        <v>21</v>
      </c>
      <c r="E1500" s="1" t="s">
        <v>76</v>
      </c>
      <c r="F1500" s="1">
        <v>358.38</v>
      </c>
      <c r="G1500" s="1">
        <v>8.15</v>
      </c>
      <c r="H1500" s="1">
        <v>2.0</v>
      </c>
      <c r="I1500" s="1" t="s">
        <v>17</v>
      </c>
      <c r="J1500" s="1" t="s">
        <v>35</v>
      </c>
      <c r="K1500" s="1">
        <f t="shared" si="1"/>
        <v>2021</v>
      </c>
      <c r="L1500" s="1" t="str">
        <f t="shared" si="2"/>
        <v>Mar</v>
      </c>
      <c r="M1500" s="1" t="str">
        <f t="shared" si="3"/>
        <v>Profit</v>
      </c>
    </row>
    <row r="1501" ht="14.25" customHeight="1">
      <c r="A1501" s="1" t="s">
        <v>1535</v>
      </c>
      <c r="B1501" s="2">
        <v>44629.0</v>
      </c>
      <c r="C1501" s="1" t="s">
        <v>30</v>
      </c>
      <c r="D1501" s="1" t="s">
        <v>21</v>
      </c>
      <c r="E1501" s="1" t="s">
        <v>76</v>
      </c>
      <c r="F1501" s="1">
        <v>89.1</v>
      </c>
      <c r="G1501" s="1">
        <v>17.84</v>
      </c>
      <c r="H1501" s="1">
        <v>7.0</v>
      </c>
      <c r="I1501" s="1" t="s">
        <v>23</v>
      </c>
      <c r="J1501" s="1" t="s">
        <v>38</v>
      </c>
      <c r="K1501" s="1">
        <f t="shared" si="1"/>
        <v>2022</v>
      </c>
      <c r="L1501" s="1" t="str">
        <f t="shared" si="2"/>
        <v>Mar</v>
      </c>
      <c r="M1501" s="1" t="str">
        <f t="shared" si="3"/>
        <v>Profit</v>
      </c>
    </row>
    <row r="1502" ht="14.25" customHeight="1">
      <c r="A1502" s="1" t="s">
        <v>1536</v>
      </c>
      <c r="B1502" s="2">
        <v>44679.0</v>
      </c>
      <c r="C1502" s="1" t="s">
        <v>30</v>
      </c>
      <c r="D1502" s="1" t="s">
        <v>15</v>
      </c>
      <c r="E1502" s="1" t="s">
        <v>31</v>
      </c>
      <c r="F1502" s="1">
        <v>172.09</v>
      </c>
      <c r="G1502" s="1">
        <v>66.67</v>
      </c>
      <c r="H1502" s="1">
        <v>4.0</v>
      </c>
      <c r="I1502" s="1" t="s">
        <v>17</v>
      </c>
      <c r="J1502" s="1" t="s">
        <v>35</v>
      </c>
      <c r="K1502" s="1">
        <f t="shared" si="1"/>
        <v>2022</v>
      </c>
      <c r="L1502" s="1" t="str">
        <f t="shared" si="2"/>
        <v>Apr</v>
      </c>
      <c r="M1502" s="1" t="str">
        <f t="shared" si="3"/>
        <v>Profit</v>
      </c>
    </row>
    <row r="1503" ht="14.25" customHeight="1">
      <c r="A1503" s="1" t="s">
        <v>1537</v>
      </c>
      <c r="B1503" s="2">
        <v>44558.0</v>
      </c>
      <c r="C1503" s="1" t="s">
        <v>26</v>
      </c>
      <c r="D1503" s="1" t="s">
        <v>21</v>
      </c>
      <c r="E1503" s="1" t="s">
        <v>37</v>
      </c>
      <c r="F1503" s="1">
        <v>723.94</v>
      </c>
      <c r="G1503" s="1">
        <v>-1.77</v>
      </c>
      <c r="H1503" s="1">
        <v>4.0</v>
      </c>
      <c r="I1503" s="1" t="s">
        <v>17</v>
      </c>
      <c r="J1503" s="1" t="s">
        <v>24</v>
      </c>
      <c r="K1503" s="1">
        <f t="shared" si="1"/>
        <v>2021</v>
      </c>
      <c r="L1503" s="1" t="str">
        <f t="shared" si="2"/>
        <v>Dec</v>
      </c>
      <c r="M1503" s="1" t="str">
        <f t="shared" si="3"/>
        <v>Loss</v>
      </c>
    </row>
    <row r="1504" ht="14.25" customHeight="1">
      <c r="A1504" s="1" t="s">
        <v>1538</v>
      </c>
      <c r="B1504" s="2">
        <v>45186.0</v>
      </c>
      <c r="C1504" s="1" t="s">
        <v>20</v>
      </c>
      <c r="D1504" s="1" t="s">
        <v>15</v>
      </c>
      <c r="E1504" s="1" t="s">
        <v>54</v>
      </c>
      <c r="F1504" s="1">
        <v>230.93</v>
      </c>
      <c r="G1504" s="1">
        <v>212.79</v>
      </c>
      <c r="H1504" s="1">
        <v>8.0</v>
      </c>
      <c r="I1504" s="1" t="s">
        <v>17</v>
      </c>
      <c r="J1504" s="1" t="s">
        <v>18</v>
      </c>
      <c r="K1504" s="1">
        <f t="shared" si="1"/>
        <v>2023</v>
      </c>
      <c r="L1504" s="1" t="str">
        <f t="shared" si="2"/>
        <v>Sep</v>
      </c>
      <c r="M1504" s="1" t="str">
        <f t="shared" si="3"/>
        <v>Profit</v>
      </c>
    </row>
    <row r="1505" ht="14.25" customHeight="1">
      <c r="A1505" s="1" t="s">
        <v>1539</v>
      </c>
      <c r="B1505" s="2">
        <v>45003.0</v>
      </c>
      <c r="C1505" s="1" t="s">
        <v>20</v>
      </c>
      <c r="D1505" s="1" t="s">
        <v>15</v>
      </c>
      <c r="E1505" s="1" t="s">
        <v>54</v>
      </c>
      <c r="F1505" s="1">
        <v>303.38</v>
      </c>
      <c r="G1505" s="1">
        <v>287.03</v>
      </c>
      <c r="H1505" s="1">
        <v>2.0</v>
      </c>
      <c r="I1505" s="1" t="s">
        <v>23</v>
      </c>
      <c r="J1505" s="1" t="s">
        <v>38</v>
      </c>
      <c r="K1505" s="1">
        <f t="shared" si="1"/>
        <v>2023</v>
      </c>
      <c r="L1505" s="1" t="str">
        <f t="shared" si="2"/>
        <v>Mar</v>
      </c>
      <c r="M1505" s="1" t="str">
        <f t="shared" si="3"/>
        <v>Profit</v>
      </c>
    </row>
    <row r="1506" ht="14.25" customHeight="1">
      <c r="A1506" s="1" t="s">
        <v>1540</v>
      </c>
      <c r="B1506" s="2">
        <v>44566.0</v>
      </c>
      <c r="C1506" s="1" t="s">
        <v>14</v>
      </c>
      <c r="D1506" s="1" t="s">
        <v>21</v>
      </c>
      <c r="E1506" s="1" t="s">
        <v>22</v>
      </c>
      <c r="F1506" s="1">
        <v>163.01</v>
      </c>
      <c r="G1506" s="1">
        <v>-99.75</v>
      </c>
      <c r="H1506" s="1">
        <v>8.0</v>
      </c>
      <c r="I1506" s="1" t="s">
        <v>17</v>
      </c>
      <c r="J1506" s="1" t="s">
        <v>35</v>
      </c>
      <c r="K1506" s="1">
        <f t="shared" si="1"/>
        <v>2022</v>
      </c>
      <c r="L1506" s="1" t="str">
        <f t="shared" si="2"/>
        <v>Jan</v>
      </c>
      <c r="M1506" s="1" t="str">
        <f t="shared" si="3"/>
        <v>Loss</v>
      </c>
    </row>
    <row r="1507" ht="14.25" customHeight="1">
      <c r="A1507" s="1" t="s">
        <v>1541</v>
      </c>
      <c r="B1507" s="2">
        <v>44300.0</v>
      </c>
      <c r="C1507" s="1" t="s">
        <v>26</v>
      </c>
      <c r="D1507" s="1" t="s">
        <v>27</v>
      </c>
      <c r="E1507" s="1" t="s">
        <v>40</v>
      </c>
      <c r="F1507" s="1">
        <v>221.03</v>
      </c>
      <c r="G1507" s="1">
        <v>5.17</v>
      </c>
      <c r="H1507" s="1">
        <v>3.0</v>
      </c>
      <c r="I1507" s="1" t="s">
        <v>17</v>
      </c>
      <c r="J1507" s="1" t="s">
        <v>18</v>
      </c>
      <c r="K1507" s="1">
        <f t="shared" si="1"/>
        <v>2021</v>
      </c>
      <c r="L1507" s="1" t="str">
        <f t="shared" si="2"/>
        <v>Apr</v>
      </c>
      <c r="M1507" s="1" t="str">
        <f t="shared" si="3"/>
        <v>Profit</v>
      </c>
    </row>
    <row r="1508" ht="14.25" customHeight="1">
      <c r="A1508" s="1" t="s">
        <v>1542</v>
      </c>
      <c r="B1508" s="2">
        <v>44920.0</v>
      </c>
      <c r="C1508" s="1" t="s">
        <v>14</v>
      </c>
      <c r="D1508" s="1" t="s">
        <v>15</v>
      </c>
      <c r="E1508" s="1" t="s">
        <v>54</v>
      </c>
      <c r="F1508" s="1">
        <v>743.19</v>
      </c>
      <c r="G1508" s="1">
        <v>-139.02</v>
      </c>
      <c r="H1508" s="1">
        <v>6.0</v>
      </c>
      <c r="I1508" s="1" t="s">
        <v>23</v>
      </c>
      <c r="J1508" s="1" t="s">
        <v>24</v>
      </c>
      <c r="K1508" s="1">
        <f t="shared" si="1"/>
        <v>2022</v>
      </c>
      <c r="L1508" s="1" t="str">
        <f t="shared" si="2"/>
        <v>Dec</v>
      </c>
      <c r="M1508" s="1" t="str">
        <f t="shared" si="3"/>
        <v>Loss</v>
      </c>
    </row>
    <row r="1509" ht="14.25" customHeight="1">
      <c r="A1509" s="1" t="s">
        <v>1543</v>
      </c>
      <c r="B1509" s="2">
        <v>45075.0</v>
      </c>
      <c r="C1509" s="1" t="s">
        <v>20</v>
      </c>
      <c r="D1509" s="1" t="s">
        <v>21</v>
      </c>
      <c r="E1509" s="1" t="s">
        <v>76</v>
      </c>
      <c r="F1509" s="1">
        <v>915.44</v>
      </c>
      <c r="G1509" s="1">
        <v>-54.58</v>
      </c>
      <c r="H1509" s="1">
        <v>5.0</v>
      </c>
      <c r="I1509" s="1" t="s">
        <v>23</v>
      </c>
      <c r="J1509" s="1" t="s">
        <v>24</v>
      </c>
      <c r="K1509" s="1">
        <f t="shared" si="1"/>
        <v>2023</v>
      </c>
      <c r="L1509" s="1" t="str">
        <f t="shared" si="2"/>
        <v>May</v>
      </c>
      <c r="M1509" s="1" t="str">
        <f t="shared" si="3"/>
        <v>Loss</v>
      </c>
    </row>
    <row r="1510" ht="14.25" customHeight="1">
      <c r="A1510" s="1" t="s">
        <v>1544</v>
      </c>
      <c r="B1510" s="2">
        <v>44843.0</v>
      </c>
      <c r="C1510" s="1" t="s">
        <v>30</v>
      </c>
      <c r="D1510" s="1" t="s">
        <v>21</v>
      </c>
      <c r="E1510" s="1" t="s">
        <v>76</v>
      </c>
      <c r="F1510" s="1">
        <v>850.13</v>
      </c>
      <c r="G1510" s="1">
        <v>-85.02</v>
      </c>
      <c r="H1510" s="1">
        <v>6.0</v>
      </c>
      <c r="I1510" s="1" t="s">
        <v>17</v>
      </c>
      <c r="J1510" s="1" t="s">
        <v>35</v>
      </c>
      <c r="K1510" s="1">
        <f t="shared" si="1"/>
        <v>2022</v>
      </c>
      <c r="L1510" s="1" t="str">
        <f t="shared" si="2"/>
        <v>Oct</v>
      </c>
      <c r="M1510" s="1" t="str">
        <f t="shared" si="3"/>
        <v>Loss</v>
      </c>
    </row>
    <row r="1511" ht="14.25" customHeight="1">
      <c r="A1511" s="1" t="s">
        <v>1545</v>
      </c>
      <c r="B1511" s="2">
        <v>44763.0</v>
      </c>
      <c r="C1511" s="1" t="s">
        <v>26</v>
      </c>
      <c r="D1511" s="1" t="s">
        <v>21</v>
      </c>
      <c r="E1511" s="1" t="s">
        <v>22</v>
      </c>
      <c r="F1511" s="1">
        <v>321.42</v>
      </c>
      <c r="G1511" s="1">
        <v>-6.74</v>
      </c>
      <c r="H1511" s="1">
        <v>8.0</v>
      </c>
      <c r="I1511" s="1" t="s">
        <v>17</v>
      </c>
      <c r="J1511" s="1" t="s">
        <v>35</v>
      </c>
      <c r="K1511" s="1">
        <f t="shared" si="1"/>
        <v>2022</v>
      </c>
      <c r="L1511" s="1" t="str">
        <f t="shared" si="2"/>
        <v>Jul</v>
      </c>
      <c r="M1511" s="1" t="str">
        <f t="shared" si="3"/>
        <v>Loss</v>
      </c>
    </row>
    <row r="1512" ht="14.25" customHeight="1">
      <c r="A1512" s="1" t="s">
        <v>1546</v>
      </c>
      <c r="B1512" s="2">
        <v>44935.0</v>
      </c>
      <c r="C1512" s="1" t="s">
        <v>30</v>
      </c>
      <c r="D1512" s="1" t="s">
        <v>15</v>
      </c>
      <c r="E1512" s="1" t="s">
        <v>54</v>
      </c>
      <c r="F1512" s="1">
        <v>637.31</v>
      </c>
      <c r="G1512" s="1">
        <v>-182.91</v>
      </c>
      <c r="H1512" s="1">
        <v>4.0</v>
      </c>
      <c r="I1512" s="1" t="s">
        <v>34</v>
      </c>
      <c r="J1512" s="1" t="s">
        <v>24</v>
      </c>
      <c r="K1512" s="1">
        <f t="shared" si="1"/>
        <v>2023</v>
      </c>
      <c r="L1512" s="1" t="str">
        <f t="shared" si="2"/>
        <v>Jan</v>
      </c>
      <c r="M1512" s="1" t="str">
        <f t="shared" si="3"/>
        <v>Loss</v>
      </c>
    </row>
    <row r="1513" ht="14.25" customHeight="1">
      <c r="A1513" s="1" t="s">
        <v>1547</v>
      </c>
      <c r="B1513" s="2">
        <v>44772.0</v>
      </c>
      <c r="C1513" s="1" t="s">
        <v>26</v>
      </c>
      <c r="D1513" s="1" t="s">
        <v>21</v>
      </c>
      <c r="E1513" s="1" t="s">
        <v>22</v>
      </c>
      <c r="F1513" s="1">
        <v>461.97</v>
      </c>
      <c r="G1513" s="1">
        <v>-80.62</v>
      </c>
      <c r="H1513" s="1">
        <v>5.0</v>
      </c>
      <c r="I1513" s="1" t="s">
        <v>23</v>
      </c>
      <c r="J1513" s="1" t="s">
        <v>18</v>
      </c>
      <c r="K1513" s="1">
        <f t="shared" si="1"/>
        <v>2022</v>
      </c>
      <c r="L1513" s="1" t="str">
        <f t="shared" si="2"/>
        <v>Jul</v>
      </c>
      <c r="M1513" s="1" t="str">
        <f t="shared" si="3"/>
        <v>Loss</v>
      </c>
    </row>
    <row r="1514" ht="14.25" customHeight="1">
      <c r="A1514" s="1" t="s">
        <v>1548</v>
      </c>
      <c r="B1514" s="2">
        <v>44820.0</v>
      </c>
      <c r="C1514" s="1" t="s">
        <v>14</v>
      </c>
      <c r="D1514" s="1" t="s">
        <v>27</v>
      </c>
      <c r="E1514" s="1" t="s">
        <v>28</v>
      </c>
      <c r="F1514" s="1">
        <v>755.68</v>
      </c>
      <c r="G1514" s="1">
        <v>237.56</v>
      </c>
      <c r="H1514" s="1">
        <v>8.0</v>
      </c>
      <c r="I1514" s="1" t="s">
        <v>17</v>
      </c>
      <c r="J1514" s="1" t="s">
        <v>24</v>
      </c>
      <c r="K1514" s="1">
        <f t="shared" si="1"/>
        <v>2022</v>
      </c>
      <c r="L1514" s="1" t="str">
        <f t="shared" si="2"/>
        <v>Sep</v>
      </c>
      <c r="M1514" s="1" t="str">
        <f t="shared" si="3"/>
        <v>Profit</v>
      </c>
    </row>
    <row r="1515" ht="14.25" customHeight="1">
      <c r="A1515" s="1" t="s">
        <v>1549</v>
      </c>
      <c r="B1515" s="2">
        <v>44687.0</v>
      </c>
      <c r="C1515" s="1" t="s">
        <v>14</v>
      </c>
      <c r="D1515" s="1" t="s">
        <v>21</v>
      </c>
      <c r="E1515" s="1" t="s">
        <v>37</v>
      </c>
      <c r="F1515" s="1">
        <v>601.86</v>
      </c>
      <c r="G1515" s="1">
        <v>20.47</v>
      </c>
      <c r="H1515" s="1">
        <v>8.0</v>
      </c>
      <c r="I1515" s="1" t="s">
        <v>17</v>
      </c>
      <c r="J1515" s="1" t="s">
        <v>18</v>
      </c>
      <c r="K1515" s="1">
        <f t="shared" si="1"/>
        <v>2022</v>
      </c>
      <c r="L1515" s="1" t="str">
        <f t="shared" si="2"/>
        <v>May</v>
      </c>
      <c r="M1515" s="1" t="str">
        <f t="shared" si="3"/>
        <v>Profit</v>
      </c>
    </row>
    <row r="1516" ht="14.25" customHeight="1">
      <c r="A1516" s="1" t="s">
        <v>1550</v>
      </c>
      <c r="B1516" s="2">
        <v>44817.0</v>
      </c>
      <c r="C1516" s="1" t="s">
        <v>26</v>
      </c>
      <c r="D1516" s="1" t="s">
        <v>27</v>
      </c>
      <c r="E1516" s="1" t="s">
        <v>40</v>
      </c>
      <c r="F1516" s="1">
        <v>788.47</v>
      </c>
      <c r="G1516" s="1">
        <v>32.25</v>
      </c>
      <c r="H1516" s="1">
        <v>1.0</v>
      </c>
      <c r="I1516" s="1" t="s">
        <v>17</v>
      </c>
      <c r="J1516" s="1" t="s">
        <v>24</v>
      </c>
      <c r="K1516" s="1">
        <f t="shared" si="1"/>
        <v>2022</v>
      </c>
      <c r="L1516" s="1" t="str">
        <f t="shared" si="2"/>
        <v>Sep</v>
      </c>
      <c r="M1516" s="1" t="str">
        <f t="shared" si="3"/>
        <v>Profit</v>
      </c>
    </row>
    <row r="1517" ht="14.25" customHeight="1">
      <c r="A1517" s="1" t="s">
        <v>1551</v>
      </c>
      <c r="B1517" s="2">
        <v>44609.0</v>
      </c>
      <c r="C1517" s="1" t="s">
        <v>26</v>
      </c>
      <c r="D1517" s="1" t="s">
        <v>27</v>
      </c>
      <c r="E1517" s="1" t="s">
        <v>28</v>
      </c>
      <c r="F1517" s="1">
        <v>155.32</v>
      </c>
      <c r="G1517" s="1">
        <v>180.46</v>
      </c>
      <c r="H1517" s="1">
        <v>5.0</v>
      </c>
      <c r="I1517" s="1" t="s">
        <v>23</v>
      </c>
      <c r="J1517" s="1" t="s">
        <v>18</v>
      </c>
      <c r="K1517" s="1">
        <f t="shared" si="1"/>
        <v>2022</v>
      </c>
      <c r="L1517" s="1" t="str">
        <f t="shared" si="2"/>
        <v>Feb</v>
      </c>
      <c r="M1517" s="1" t="str">
        <f t="shared" si="3"/>
        <v>Profit</v>
      </c>
    </row>
    <row r="1518" ht="14.25" customHeight="1">
      <c r="A1518" s="1" t="s">
        <v>1552</v>
      </c>
      <c r="B1518" s="2">
        <v>44338.0</v>
      </c>
      <c r="C1518" s="1" t="s">
        <v>14</v>
      </c>
      <c r="D1518" s="1" t="s">
        <v>21</v>
      </c>
      <c r="E1518" s="1" t="s">
        <v>22</v>
      </c>
      <c r="F1518" s="1">
        <v>496.13</v>
      </c>
      <c r="G1518" s="1">
        <v>-4.0</v>
      </c>
      <c r="H1518" s="1">
        <v>9.0</v>
      </c>
      <c r="I1518" s="1" t="s">
        <v>17</v>
      </c>
      <c r="J1518" s="1" t="s">
        <v>24</v>
      </c>
      <c r="K1518" s="1">
        <f t="shared" si="1"/>
        <v>2021</v>
      </c>
      <c r="L1518" s="1" t="str">
        <f t="shared" si="2"/>
        <v>May</v>
      </c>
      <c r="M1518" s="1" t="str">
        <f t="shared" si="3"/>
        <v>Loss</v>
      </c>
    </row>
    <row r="1519" ht="14.25" customHeight="1">
      <c r="A1519" s="1" t="s">
        <v>1553</v>
      </c>
      <c r="B1519" s="2">
        <v>44479.0</v>
      </c>
      <c r="C1519" s="1" t="s">
        <v>14</v>
      </c>
      <c r="D1519" s="1" t="s">
        <v>21</v>
      </c>
      <c r="E1519" s="1" t="s">
        <v>76</v>
      </c>
      <c r="F1519" s="1">
        <v>864.04</v>
      </c>
      <c r="G1519" s="1">
        <v>73.51</v>
      </c>
      <c r="H1519" s="1">
        <v>6.0</v>
      </c>
      <c r="I1519" s="1" t="s">
        <v>17</v>
      </c>
      <c r="J1519" s="1" t="s">
        <v>24</v>
      </c>
      <c r="K1519" s="1">
        <f t="shared" si="1"/>
        <v>2021</v>
      </c>
      <c r="L1519" s="1" t="str">
        <f t="shared" si="2"/>
        <v>Oct</v>
      </c>
      <c r="M1519" s="1" t="str">
        <f t="shared" si="3"/>
        <v>Profit</v>
      </c>
    </row>
    <row r="1520" ht="14.25" customHeight="1">
      <c r="A1520" s="1" t="s">
        <v>1554</v>
      </c>
      <c r="B1520" s="2">
        <v>44671.0</v>
      </c>
      <c r="C1520" s="1" t="s">
        <v>14</v>
      </c>
      <c r="D1520" s="1" t="s">
        <v>21</v>
      </c>
      <c r="E1520" s="1" t="s">
        <v>22</v>
      </c>
      <c r="F1520" s="1">
        <v>236.26</v>
      </c>
      <c r="G1520" s="1">
        <v>-61.76</v>
      </c>
      <c r="H1520" s="1">
        <v>6.0</v>
      </c>
      <c r="I1520" s="1" t="s">
        <v>34</v>
      </c>
      <c r="J1520" s="1" t="s">
        <v>18</v>
      </c>
      <c r="K1520" s="1">
        <f t="shared" si="1"/>
        <v>2022</v>
      </c>
      <c r="L1520" s="1" t="str">
        <f t="shared" si="2"/>
        <v>Apr</v>
      </c>
      <c r="M1520" s="1" t="str">
        <f t="shared" si="3"/>
        <v>Loss</v>
      </c>
    </row>
    <row r="1521" ht="14.25" customHeight="1">
      <c r="A1521" s="1" t="s">
        <v>1555</v>
      </c>
      <c r="B1521" s="2">
        <v>44748.0</v>
      </c>
      <c r="C1521" s="1" t="s">
        <v>26</v>
      </c>
      <c r="D1521" s="1" t="s">
        <v>27</v>
      </c>
      <c r="E1521" s="1" t="s">
        <v>40</v>
      </c>
      <c r="F1521" s="1">
        <v>276.63</v>
      </c>
      <c r="G1521" s="1">
        <v>-44.76</v>
      </c>
      <c r="H1521" s="1">
        <v>2.0</v>
      </c>
      <c r="I1521" s="1" t="s">
        <v>17</v>
      </c>
      <c r="J1521" s="1" t="s">
        <v>35</v>
      </c>
      <c r="K1521" s="1">
        <f t="shared" si="1"/>
        <v>2022</v>
      </c>
      <c r="L1521" s="1" t="str">
        <f t="shared" si="2"/>
        <v>Jul</v>
      </c>
      <c r="M1521" s="1" t="str">
        <f t="shared" si="3"/>
        <v>Loss</v>
      </c>
    </row>
    <row r="1522" ht="14.25" customHeight="1">
      <c r="A1522" s="1" t="s">
        <v>1556</v>
      </c>
      <c r="B1522" s="2">
        <v>45097.0</v>
      </c>
      <c r="C1522" s="1" t="s">
        <v>20</v>
      </c>
      <c r="D1522" s="1" t="s">
        <v>27</v>
      </c>
      <c r="E1522" s="1" t="s">
        <v>28</v>
      </c>
      <c r="F1522" s="1">
        <v>58.52</v>
      </c>
      <c r="G1522" s="1">
        <v>62.88</v>
      </c>
      <c r="H1522" s="1">
        <v>1.0</v>
      </c>
      <c r="I1522" s="1" t="s">
        <v>23</v>
      </c>
      <c r="J1522" s="1" t="s">
        <v>35</v>
      </c>
      <c r="K1522" s="1">
        <f t="shared" si="1"/>
        <v>2023</v>
      </c>
      <c r="L1522" s="1" t="str">
        <f t="shared" si="2"/>
        <v>Jun</v>
      </c>
      <c r="M1522" s="1" t="str">
        <f t="shared" si="3"/>
        <v>Profit</v>
      </c>
    </row>
    <row r="1523" ht="14.25" customHeight="1">
      <c r="A1523" s="1" t="s">
        <v>1557</v>
      </c>
      <c r="B1523" s="2">
        <v>44350.0</v>
      </c>
      <c r="C1523" s="1" t="s">
        <v>30</v>
      </c>
      <c r="D1523" s="1" t="s">
        <v>15</v>
      </c>
      <c r="E1523" s="1" t="s">
        <v>54</v>
      </c>
      <c r="F1523" s="1">
        <v>464.92</v>
      </c>
      <c r="G1523" s="1">
        <v>183.37</v>
      </c>
      <c r="H1523" s="1">
        <v>8.0</v>
      </c>
      <c r="I1523" s="1" t="s">
        <v>23</v>
      </c>
      <c r="J1523" s="1" t="s">
        <v>18</v>
      </c>
      <c r="K1523" s="1">
        <f t="shared" si="1"/>
        <v>2021</v>
      </c>
      <c r="L1523" s="1" t="str">
        <f t="shared" si="2"/>
        <v>Jun</v>
      </c>
      <c r="M1523" s="1" t="str">
        <f t="shared" si="3"/>
        <v>Profit</v>
      </c>
    </row>
    <row r="1524" ht="14.25" customHeight="1">
      <c r="A1524" s="1" t="s">
        <v>1558</v>
      </c>
      <c r="B1524" s="2">
        <v>45245.0</v>
      </c>
      <c r="C1524" s="1" t="s">
        <v>14</v>
      </c>
      <c r="D1524" s="1" t="s">
        <v>15</v>
      </c>
      <c r="E1524" s="1" t="s">
        <v>16</v>
      </c>
      <c r="F1524" s="1">
        <v>55.08</v>
      </c>
      <c r="G1524" s="1">
        <v>138.79</v>
      </c>
      <c r="H1524" s="1">
        <v>1.0</v>
      </c>
      <c r="I1524" s="1" t="s">
        <v>17</v>
      </c>
      <c r="J1524" s="1" t="s">
        <v>18</v>
      </c>
      <c r="K1524" s="1">
        <f t="shared" si="1"/>
        <v>2023</v>
      </c>
      <c r="L1524" s="1" t="str">
        <f t="shared" si="2"/>
        <v>Nov</v>
      </c>
      <c r="M1524" s="1" t="str">
        <f t="shared" si="3"/>
        <v>Profit</v>
      </c>
    </row>
    <row r="1525" ht="14.25" customHeight="1">
      <c r="A1525" s="1" t="s">
        <v>1559</v>
      </c>
      <c r="B1525" s="2">
        <v>44530.0</v>
      </c>
      <c r="C1525" s="1" t="s">
        <v>30</v>
      </c>
      <c r="D1525" s="1" t="s">
        <v>27</v>
      </c>
      <c r="E1525" s="1" t="s">
        <v>40</v>
      </c>
      <c r="F1525" s="1">
        <v>301.94</v>
      </c>
      <c r="G1525" s="1">
        <v>294.13</v>
      </c>
      <c r="H1525" s="1">
        <v>7.0</v>
      </c>
      <c r="I1525" s="1" t="s">
        <v>17</v>
      </c>
      <c r="J1525" s="1" t="s">
        <v>18</v>
      </c>
      <c r="K1525" s="1">
        <f t="shared" si="1"/>
        <v>2021</v>
      </c>
      <c r="L1525" s="1" t="str">
        <f t="shared" si="2"/>
        <v>Nov</v>
      </c>
      <c r="M1525" s="1" t="str">
        <f t="shared" si="3"/>
        <v>Profit</v>
      </c>
    </row>
    <row r="1526" ht="14.25" customHeight="1">
      <c r="A1526" s="1" t="s">
        <v>1560</v>
      </c>
      <c r="B1526" s="2">
        <v>44624.0</v>
      </c>
      <c r="C1526" s="1" t="s">
        <v>30</v>
      </c>
      <c r="D1526" s="1" t="s">
        <v>27</v>
      </c>
      <c r="E1526" s="1" t="s">
        <v>28</v>
      </c>
      <c r="F1526" s="1">
        <v>65.06</v>
      </c>
      <c r="G1526" s="1">
        <v>92.94</v>
      </c>
      <c r="H1526" s="1">
        <v>7.0</v>
      </c>
      <c r="I1526" s="1" t="s">
        <v>34</v>
      </c>
      <c r="J1526" s="1" t="s">
        <v>35</v>
      </c>
      <c r="K1526" s="1">
        <f t="shared" si="1"/>
        <v>2022</v>
      </c>
      <c r="L1526" s="1" t="str">
        <f t="shared" si="2"/>
        <v>Mar</v>
      </c>
      <c r="M1526" s="1" t="str">
        <f t="shared" si="3"/>
        <v>Profit</v>
      </c>
    </row>
    <row r="1527" ht="14.25" customHeight="1">
      <c r="A1527" s="1" t="s">
        <v>1561</v>
      </c>
      <c r="B1527" s="2">
        <v>44460.0</v>
      </c>
      <c r="C1527" s="1" t="s">
        <v>20</v>
      </c>
      <c r="D1527" s="1" t="s">
        <v>15</v>
      </c>
      <c r="E1527" s="1" t="s">
        <v>54</v>
      </c>
      <c r="F1527" s="1">
        <v>662.17</v>
      </c>
      <c r="G1527" s="1">
        <v>-34.51</v>
      </c>
      <c r="H1527" s="1">
        <v>4.0</v>
      </c>
      <c r="I1527" s="1" t="s">
        <v>34</v>
      </c>
      <c r="J1527" s="1" t="s">
        <v>24</v>
      </c>
      <c r="K1527" s="1">
        <f t="shared" si="1"/>
        <v>2021</v>
      </c>
      <c r="L1527" s="1" t="str">
        <f t="shared" si="2"/>
        <v>Sep</v>
      </c>
      <c r="M1527" s="1" t="str">
        <f t="shared" si="3"/>
        <v>Loss</v>
      </c>
    </row>
    <row r="1528" ht="14.25" customHeight="1">
      <c r="A1528" s="1" t="s">
        <v>1562</v>
      </c>
      <c r="B1528" s="2">
        <v>44910.0</v>
      </c>
      <c r="C1528" s="1" t="s">
        <v>20</v>
      </c>
      <c r="D1528" s="1" t="s">
        <v>21</v>
      </c>
      <c r="E1528" s="1" t="s">
        <v>37</v>
      </c>
      <c r="F1528" s="1">
        <v>203.08</v>
      </c>
      <c r="G1528" s="1">
        <v>213.58</v>
      </c>
      <c r="H1528" s="1">
        <v>3.0</v>
      </c>
      <c r="I1528" s="1" t="s">
        <v>34</v>
      </c>
      <c r="J1528" s="1" t="s">
        <v>38</v>
      </c>
      <c r="K1528" s="1">
        <f t="shared" si="1"/>
        <v>2022</v>
      </c>
      <c r="L1528" s="1" t="str">
        <f t="shared" si="2"/>
        <v>Dec</v>
      </c>
      <c r="M1528" s="1" t="str">
        <f t="shared" si="3"/>
        <v>Profit</v>
      </c>
    </row>
    <row r="1529" ht="14.25" customHeight="1">
      <c r="A1529" s="1" t="s">
        <v>1563</v>
      </c>
      <c r="B1529" s="2">
        <v>44611.0</v>
      </c>
      <c r="C1529" s="1" t="s">
        <v>26</v>
      </c>
      <c r="D1529" s="1" t="s">
        <v>27</v>
      </c>
      <c r="E1529" s="1" t="s">
        <v>33</v>
      </c>
      <c r="F1529" s="1">
        <v>879.04</v>
      </c>
      <c r="G1529" s="1">
        <v>-40.73</v>
      </c>
      <c r="H1529" s="1">
        <v>10.0</v>
      </c>
      <c r="I1529" s="1" t="s">
        <v>17</v>
      </c>
      <c r="J1529" s="1" t="s">
        <v>38</v>
      </c>
      <c r="K1529" s="1">
        <f t="shared" si="1"/>
        <v>2022</v>
      </c>
      <c r="L1529" s="1" t="str">
        <f t="shared" si="2"/>
        <v>Feb</v>
      </c>
      <c r="M1529" s="1" t="str">
        <f t="shared" si="3"/>
        <v>Loss</v>
      </c>
    </row>
    <row r="1530" ht="14.25" customHeight="1">
      <c r="A1530" s="1" t="s">
        <v>1564</v>
      </c>
      <c r="B1530" s="2">
        <v>44979.0</v>
      </c>
      <c r="C1530" s="1" t="s">
        <v>26</v>
      </c>
      <c r="D1530" s="1" t="s">
        <v>21</v>
      </c>
      <c r="E1530" s="1" t="s">
        <v>22</v>
      </c>
      <c r="F1530" s="1">
        <v>891.21</v>
      </c>
      <c r="G1530" s="1">
        <v>-10.51</v>
      </c>
      <c r="H1530" s="1">
        <v>4.0</v>
      </c>
      <c r="I1530" s="1" t="s">
        <v>17</v>
      </c>
      <c r="J1530" s="1" t="s">
        <v>24</v>
      </c>
      <c r="K1530" s="1">
        <f t="shared" si="1"/>
        <v>2023</v>
      </c>
      <c r="L1530" s="1" t="str">
        <f t="shared" si="2"/>
        <v>Feb</v>
      </c>
      <c r="M1530" s="1" t="str">
        <f t="shared" si="3"/>
        <v>Loss</v>
      </c>
    </row>
    <row r="1531" ht="14.25" customHeight="1">
      <c r="A1531" s="1" t="s">
        <v>1565</v>
      </c>
      <c r="B1531" s="2">
        <v>44334.0</v>
      </c>
      <c r="C1531" s="1" t="s">
        <v>26</v>
      </c>
      <c r="D1531" s="1" t="s">
        <v>27</v>
      </c>
      <c r="E1531" s="1" t="s">
        <v>28</v>
      </c>
      <c r="F1531" s="1">
        <v>687.15</v>
      </c>
      <c r="G1531" s="1">
        <v>-29.54</v>
      </c>
      <c r="H1531" s="1">
        <v>3.0</v>
      </c>
      <c r="I1531" s="1" t="s">
        <v>23</v>
      </c>
      <c r="J1531" s="1" t="s">
        <v>38</v>
      </c>
      <c r="K1531" s="1">
        <f t="shared" si="1"/>
        <v>2021</v>
      </c>
      <c r="L1531" s="1" t="str">
        <f t="shared" si="2"/>
        <v>May</v>
      </c>
      <c r="M1531" s="1" t="str">
        <f t="shared" si="3"/>
        <v>Loss</v>
      </c>
    </row>
    <row r="1532" ht="14.25" customHeight="1">
      <c r="A1532" s="1" t="s">
        <v>1566</v>
      </c>
      <c r="B1532" s="2">
        <v>44620.0</v>
      </c>
      <c r="C1532" s="1" t="s">
        <v>20</v>
      </c>
      <c r="D1532" s="1" t="s">
        <v>21</v>
      </c>
      <c r="E1532" s="1" t="s">
        <v>37</v>
      </c>
      <c r="F1532" s="1">
        <v>809.21</v>
      </c>
      <c r="G1532" s="1">
        <v>-162.3</v>
      </c>
      <c r="H1532" s="1">
        <v>10.0</v>
      </c>
      <c r="I1532" s="1" t="s">
        <v>17</v>
      </c>
      <c r="J1532" s="1" t="s">
        <v>18</v>
      </c>
      <c r="K1532" s="1">
        <f t="shared" si="1"/>
        <v>2022</v>
      </c>
      <c r="L1532" s="1" t="str">
        <f t="shared" si="2"/>
        <v>Feb</v>
      </c>
      <c r="M1532" s="1" t="str">
        <f t="shared" si="3"/>
        <v>Loss</v>
      </c>
    </row>
    <row r="1533" ht="14.25" customHeight="1">
      <c r="A1533" s="1" t="s">
        <v>1567</v>
      </c>
      <c r="B1533" s="2">
        <v>44753.0</v>
      </c>
      <c r="C1533" s="1" t="s">
        <v>30</v>
      </c>
      <c r="D1533" s="1" t="s">
        <v>27</v>
      </c>
      <c r="E1533" s="1" t="s">
        <v>28</v>
      </c>
      <c r="F1533" s="1">
        <v>282.99</v>
      </c>
      <c r="G1533" s="1">
        <v>-42.64</v>
      </c>
      <c r="H1533" s="1">
        <v>9.0</v>
      </c>
      <c r="I1533" s="1" t="s">
        <v>34</v>
      </c>
      <c r="J1533" s="1" t="s">
        <v>24</v>
      </c>
      <c r="K1533" s="1">
        <f t="shared" si="1"/>
        <v>2022</v>
      </c>
      <c r="L1533" s="1" t="str">
        <f t="shared" si="2"/>
        <v>Jul</v>
      </c>
      <c r="M1533" s="1" t="str">
        <f t="shared" si="3"/>
        <v>Loss</v>
      </c>
    </row>
    <row r="1534" ht="14.25" customHeight="1">
      <c r="A1534" s="1" t="s">
        <v>1568</v>
      </c>
      <c r="B1534" s="2">
        <v>44315.0</v>
      </c>
      <c r="C1534" s="1" t="s">
        <v>30</v>
      </c>
      <c r="D1534" s="1" t="s">
        <v>15</v>
      </c>
      <c r="E1534" s="1" t="s">
        <v>31</v>
      </c>
      <c r="F1534" s="1">
        <v>194.67</v>
      </c>
      <c r="G1534" s="1">
        <v>-142.08</v>
      </c>
      <c r="H1534" s="1">
        <v>8.0</v>
      </c>
      <c r="I1534" s="1" t="s">
        <v>17</v>
      </c>
      <c r="J1534" s="1" t="s">
        <v>18</v>
      </c>
      <c r="K1534" s="1">
        <f t="shared" si="1"/>
        <v>2021</v>
      </c>
      <c r="L1534" s="1" t="str">
        <f t="shared" si="2"/>
        <v>Apr</v>
      </c>
      <c r="M1534" s="1" t="str">
        <f t="shared" si="3"/>
        <v>Loss</v>
      </c>
    </row>
    <row r="1535" ht="14.25" customHeight="1">
      <c r="A1535" s="1" t="s">
        <v>1569</v>
      </c>
      <c r="B1535" s="2">
        <v>44376.0</v>
      </c>
      <c r="C1535" s="1" t="s">
        <v>26</v>
      </c>
      <c r="D1535" s="1" t="s">
        <v>15</v>
      </c>
      <c r="E1535" s="1" t="s">
        <v>16</v>
      </c>
      <c r="F1535" s="1">
        <v>322.17</v>
      </c>
      <c r="G1535" s="1">
        <v>-169.93</v>
      </c>
      <c r="H1535" s="1">
        <v>8.0</v>
      </c>
      <c r="I1535" s="1" t="s">
        <v>17</v>
      </c>
      <c r="J1535" s="1" t="s">
        <v>18</v>
      </c>
      <c r="K1535" s="1">
        <f t="shared" si="1"/>
        <v>2021</v>
      </c>
      <c r="L1535" s="1" t="str">
        <f t="shared" si="2"/>
        <v>Jun</v>
      </c>
      <c r="M1535" s="1" t="str">
        <f t="shared" si="3"/>
        <v>Loss</v>
      </c>
    </row>
    <row r="1536" ht="14.25" customHeight="1">
      <c r="A1536" s="1" t="s">
        <v>1570</v>
      </c>
      <c r="B1536" s="2">
        <v>44326.0</v>
      </c>
      <c r="C1536" s="1" t="s">
        <v>30</v>
      </c>
      <c r="D1536" s="1" t="s">
        <v>27</v>
      </c>
      <c r="E1536" s="1" t="s">
        <v>33</v>
      </c>
      <c r="F1536" s="1">
        <v>950.8</v>
      </c>
      <c r="G1536" s="1">
        <v>-103.26</v>
      </c>
      <c r="H1536" s="1">
        <v>10.0</v>
      </c>
      <c r="I1536" s="1" t="s">
        <v>17</v>
      </c>
      <c r="J1536" s="1" t="s">
        <v>38</v>
      </c>
      <c r="K1536" s="1">
        <f t="shared" si="1"/>
        <v>2021</v>
      </c>
      <c r="L1536" s="1" t="str">
        <f t="shared" si="2"/>
        <v>May</v>
      </c>
      <c r="M1536" s="1" t="str">
        <f t="shared" si="3"/>
        <v>Loss</v>
      </c>
    </row>
    <row r="1537" ht="14.25" customHeight="1">
      <c r="A1537" s="1" t="s">
        <v>1571</v>
      </c>
      <c r="B1537" s="2">
        <v>44416.0</v>
      </c>
      <c r="C1537" s="1" t="s">
        <v>14</v>
      </c>
      <c r="D1537" s="1" t="s">
        <v>21</v>
      </c>
      <c r="E1537" s="1" t="s">
        <v>22</v>
      </c>
      <c r="F1537" s="1">
        <v>74.11</v>
      </c>
      <c r="G1537" s="1">
        <v>18.95</v>
      </c>
      <c r="H1537" s="1">
        <v>8.0</v>
      </c>
      <c r="I1537" s="1" t="s">
        <v>23</v>
      </c>
      <c r="J1537" s="1" t="s">
        <v>18</v>
      </c>
      <c r="K1537" s="1">
        <f t="shared" si="1"/>
        <v>2021</v>
      </c>
      <c r="L1537" s="1" t="str">
        <f t="shared" si="2"/>
        <v>Aug</v>
      </c>
      <c r="M1537" s="1" t="str">
        <f t="shared" si="3"/>
        <v>Profit</v>
      </c>
    </row>
    <row r="1538" ht="14.25" customHeight="1">
      <c r="A1538" s="1" t="s">
        <v>1572</v>
      </c>
      <c r="B1538" s="2">
        <v>44415.0</v>
      </c>
      <c r="C1538" s="1" t="s">
        <v>30</v>
      </c>
      <c r="D1538" s="1" t="s">
        <v>27</v>
      </c>
      <c r="E1538" s="1" t="s">
        <v>28</v>
      </c>
      <c r="F1538" s="1">
        <v>606.2</v>
      </c>
      <c r="G1538" s="1">
        <v>189.39</v>
      </c>
      <c r="H1538" s="1">
        <v>9.0</v>
      </c>
      <c r="I1538" s="1" t="s">
        <v>17</v>
      </c>
      <c r="J1538" s="1" t="s">
        <v>24</v>
      </c>
      <c r="K1538" s="1">
        <f t="shared" si="1"/>
        <v>2021</v>
      </c>
      <c r="L1538" s="1" t="str">
        <f t="shared" si="2"/>
        <v>Aug</v>
      </c>
      <c r="M1538" s="1" t="str">
        <f t="shared" si="3"/>
        <v>Profit</v>
      </c>
    </row>
    <row r="1539" ht="14.25" customHeight="1">
      <c r="A1539" s="1" t="s">
        <v>1573</v>
      </c>
      <c r="B1539" s="2">
        <v>44419.0</v>
      </c>
      <c r="C1539" s="1" t="s">
        <v>30</v>
      </c>
      <c r="D1539" s="1" t="s">
        <v>15</v>
      </c>
      <c r="E1539" s="1" t="s">
        <v>54</v>
      </c>
      <c r="F1539" s="1">
        <v>963.24</v>
      </c>
      <c r="G1539" s="1">
        <v>-47.72</v>
      </c>
      <c r="H1539" s="1">
        <v>7.0</v>
      </c>
      <c r="I1539" s="1" t="s">
        <v>34</v>
      </c>
      <c r="J1539" s="1" t="s">
        <v>35</v>
      </c>
      <c r="K1539" s="1">
        <f t="shared" si="1"/>
        <v>2021</v>
      </c>
      <c r="L1539" s="1" t="str">
        <f t="shared" si="2"/>
        <v>Aug</v>
      </c>
      <c r="M1539" s="1" t="str">
        <f t="shared" si="3"/>
        <v>Loss</v>
      </c>
    </row>
    <row r="1540" ht="14.25" customHeight="1">
      <c r="A1540" s="1" t="s">
        <v>1574</v>
      </c>
      <c r="B1540" s="2">
        <v>44684.0</v>
      </c>
      <c r="C1540" s="1" t="s">
        <v>30</v>
      </c>
      <c r="D1540" s="1" t="s">
        <v>21</v>
      </c>
      <c r="E1540" s="1" t="s">
        <v>76</v>
      </c>
      <c r="F1540" s="1">
        <v>966.83</v>
      </c>
      <c r="G1540" s="1">
        <v>-9.39</v>
      </c>
      <c r="H1540" s="1">
        <v>8.0</v>
      </c>
      <c r="I1540" s="1" t="s">
        <v>17</v>
      </c>
      <c r="J1540" s="1" t="s">
        <v>18</v>
      </c>
      <c r="K1540" s="1">
        <f t="shared" si="1"/>
        <v>2022</v>
      </c>
      <c r="L1540" s="1" t="str">
        <f t="shared" si="2"/>
        <v>May</v>
      </c>
      <c r="M1540" s="1" t="str">
        <f t="shared" si="3"/>
        <v>Loss</v>
      </c>
    </row>
    <row r="1541" ht="14.25" customHeight="1">
      <c r="A1541" s="1" t="s">
        <v>1575</v>
      </c>
      <c r="B1541" s="2">
        <v>44214.0</v>
      </c>
      <c r="C1541" s="1" t="s">
        <v>20</v>
      </c>
      <c r="D1541" s="1" t="s">
        <v>21</v>
      </c>
      <c r="E1541" s="1" t="s">
        <v>37</v>
      </c>
      <c r="F1541" s="1">
        <v>538.02</v>
      </c>
      <c r="G1541" s="1">
        <v>217.54</v>
      </c>
      <c r="H1541" s="1">
        <v>5.0</v>
      </c>
      <c r="I1541" s="1" t="s">
        <v>23</v>
      </c>
      <c r="J1541" s="1" t="s">
        <v>38</v>
      </c>
      <c r="K1541" s="1">
        <f t="shared" si="1"/>
        <v>2021</v>
      </c>
      <c r="L1541" s="1" t="str">
        <f t="shared" si="2"/>
        <v>Jan</v>
      </c>
      <c r="M1541" s="1" t="str">
        <f t="shared" si="3"/>
        <v>Profit</v>
      </c>
    </row>
    <row r="1542" ht="14.25" customHeight="1">
      <c r="A1542" s="1" t="s">
        <v>1576</v>
      </c>
      <c r="B1542" s="2">
        <v>44789.0</v>
      </c>
      <c r="C1542" s="1" t="s">
        <v>14</v>
      </c>
      <c r="D1542" s="1" t="s">
        <v>15</v>
      </c>
      <c r="E1542" s="1" t="s">
        <v>54</v>
      </c>
      <c r="F1542" s="1">
        <v>703.47</v>
      </c>
      <c r="G1542" s="1">
        <v>210.25</v>
      </c>
      <c r="H1542" s="1">
        <v>9.0</v>
      </c>
      <c r="I1542" s="1" t="s">
        <v>34</v>
      </c>
      <c r="J1542" s="1" t="s">
        <v>24</v>
      </c>
      <c r="K1542" s="1">
        <f t="shared" si="1"/>
        <v>2022</v>
      </c>
      <c r="L1542" s="1" t="str">
        <f t="shared" si="2"/>
        <v>Aug</v>
      </c>
      <c r="M1542" s="1" t="str">
        <f t="shared" si="3"/>
        <v>Profit</v>
      </c>
    </row>
    <row r="1543" ht="14.25" customHeight="1">
      <c r="A1543" s="1" t="s">
        <v>1577</v>
      </c>
      <c r="B1543" s="2">
        <v>44450.0</v>
      </c>
      <c r="C1543" s="1" t="s">
        <v>20</v>
      </c>
      <c r="D1543" s="1" t="s">
        <v>21</v>
      </c>
      <c r="E1543" s="1" t="s">
        <v>76</v>
      </c>
      <c r="F1543" s="1">
        <v>142.85</v>
      </c>
      <c r="G1543" s="1">
        <v>152.95</v>
      </c>
      <c r="H1543" s="1">
        <v>2.0</v>
      </c>
      <c r="I1543" s="1" t="s">
        <v>23</v>
      </c>
      <c r="J1543" s="1" t="s">
        <v>18</v>
      </c>
      <c r="K1543" s="1">
        <f t="shared" si="1"/>
        <v>2021</v>
      </c>
      <c r="L1543" s="1" t="str">
        <f t="shared" si="2"/>
        <v>Sep</v>
      </c>
      <c r="M1543" s="1" t="str">
        <f t="shared" si="3"/>
        <v>Profit</v>
      </c>
    </row>
    <row r="1544" ht="14.25" customHeight="1">
      <c r="A1544" s="1" t="s">
        <v>1578</v>
      </c>
      <c r="B1544" s="2">
        <v>45237.0</v>
      </c>
      <c r="C1544" s="1" t="s">
        <v>20</v>
      </c>
      <c r="D1544" s="1" t="s">
        <v>15</v>
      </c>
      <c r="E1544" s="1" t="s">
        <v>31</v>
      </c>
      <c r="F1544" s="1">
        <v>530.08</v>
      </c>
      <c r="G1544" s="1">
        <v>132.07</v>
      </c>
      <c r="H1544" s="1">
        <v>4.0</v>
      </c>
      <c r="I1544" s="1" t="s">
        <v>17</v>
      </c>
      <c r="J1544" s="1" t="s">
        <v>24</v>
      </c>
      <c r="K1544" s="1">
        <f t="shared" si="1"/>
        <v>2023</v>
      </c>
      <c r="L1544" s="1" t="str">
        <f t="shared" si="2"/>
        <v>Nov</v>
      </c>
      <c r="M1544" s="1" t="str">
        <f t="shared" si="3"/>
        <v>Profit</v>
      </c>
    </row>
    <row r="1545" ht="14.25" customHeight="1">
      <c r="A1545" s="1" t="s">
        <v>1579</v>
      </c>
      <c r="B1545" s="2">
        <v>44713.0</v>
      </c>
      <c r="C1545" s="1" t="s">
        <v>20</v>
      </c>
      <c r="D1545" s="1" t="s">
        <v>21</v>
      </c>
      <c r="E1545" s="1" t="s">
        <v>37</v>
      </c>
      <c r="F1545" s="1">
        <v>591.35</v>
      </c>
      <c r="G1545" s="1">
        <v>-110.27</v>
      </c>
      <c r="H1545" s="1">
        <v>7.0</v>
      </c>
      <c r="I1545" s="1" t="s">
        <v>17</v>
      </c>
      <c r="J1545" s="1" t="s">
        <v>24</v>
      </c>
      <c r="K1545" s="1">
        <f t="shared" si="1"/>
        <v>2022</v>
      </c>
      <c r="L1545" s="1" t="str">
        <f t="shared" si="2"/>
        <v>Jun</v>
      </c>
      <c r="M1545" s="1" t="str">
        <f t="shared" si="3"/>
        <v>Loss</v>
      </c>
    </row>
    <row r="1546" ht="14.25" customHeight="1">
      <c r="A1546" s="1" t="s">
        <v>1580</v>
      </c>
      <c r="B1546" s="2">
        <v>44805.0</v>
      </c>
      <c r="C1546" s="1" t="s">
        <v>14</v>
      </c>
      <c r="D1546" s="1" t="s">
        <v>15</v>
      </c>
      <c r="E1546" s="1" t="s">
        <v>54</v>
      </c>
      <c r="F1546" s="1">
        <v>160.52</v>
      </c>
      <c r="G1546" s="1">
        <v>-149.38</v>
      </c>
      <c r="H1546" s="1">
        <v>9.0</v>
      </c>
      <c r="I1546" s="1" t="s">
        <v>17</v>
      </c>
      <c r="J1546" s="1" t="s">
        <v>35</v>
      </c>
      <c r="K1546" s="1">
        <f t="shared" si="1"/>
        <v>2022</v>
      </c>
      <c r="L1546" s="1" t="str">
        <f t="shared" si="2"/>
        <v>Sep</v>
      </c>
      <c r="M1546" s="1" t="str">
        <f t="shared" si="3"/>
        <v>Loss</v>
      </c>
    </row>
    <row r="1547" ht="14.25" customHeight="1">
      <c r="A1547" s="1" t="s">
        <v>1581</v>
      </c>
      <c r="B1547" s="2">
        <v>44731.0</v>
      </c>
      <c r="C1547" s="1" t="s">
        <v>14</v>
      </c>
      <c r="D1547" s="1" t="s">
        <v>27</v>
      </c>
      <c r="E1547" s="1" t="s">
        <v>28</v>
      </c>
      <c r="F1547" s="1">
        <v>243.17</v>
      </c>
      <c r="G1547" s="1">
        <v>112.65</v>
      </c>
      <c r="H1547" s="1">
        <v>2.0</v>
      </c>
      <c r="I1547" s="1" t="s">
        <v>23</v>
      </c>
      <c r="J1547" s="1" t="s">
        <v>24</v>
      </c>
      <c r="K1547" s="1">
        <f t="shared" si="1"/>
        <v>2022</v>
      </c>
      <c r="L1547" s="1" t="str">
        <f t="shared" si="2"/>
        <v>Jun</v>
      </c>
      <c r="M1547" s="1" t="str">
        <f t="shared" si="3"/>
        <v>Profit</v>
      </c>
    </row>
    <row r="1548" ht="14.25" customHeight="1">
      <c r="A1548" s="1" t="s">
        <v>1582</v>
      </c>
      <c r="B1548" s="2">
        <v>44833.0</v>
      </c>
      <c r="C1548" s="1" t="s">
        <v>20</v>
      </c>
      <c r="D1548" s="1" t="s">
        <v>21</v>
      </c>
      <c r="E1548" s="1" t="s">
        <v>37</v>
      </c>
      <c r="F1548" s="1">
        <v>736.86</v>
      </c>
      <c r="G1548" s="1">
        <v>-121.9</v>
      </c>
      <c r="H1548" s="1">
        <v>1.0</v>
      </c>
      <c r="I1548" s="1" t="s">
        <v>23</v>
      </c>
      <c r="J1548" s="1" t="s">
        <v>35</v>
      </c>
      <c r="K1548" s="1">
        <f t="shared" si="1"/>
        <v>2022</v>
      </c>
      <c r="L1548" s="1" t="str">
        <f t="shared" si="2"/>
        <v>Sep</v>
      </c>
      <c r="M1548" s="1" t="str">
        <f t="shared" si="3"/>
        <v>Loss</v>
      </c>
    </row>
    <row r="1549" ht="14.25" customHeight="1">
      <c r="A1549" s="1" t="s">
        <v>1583</v>
      </c>
      <c r="B1549" s="2">
        <v>44299.0</v>
      </c>
      <c r="C1549" s="1" t="s">
        <v>14</v>
      </c>
      <c r="D1549" s="1" t="s">
        <v>21</v>
      </c>
      <c r="E1549" s="1" t="s">
        <v>37</v>
      </c>
      <c r="F1549" s="1">
        <v>534.73</v>
      </c>
      <c r="G1549" s="1">
        <v>-113.32</v>
      </c>
      <c r="H1549" s="1">
        <v>4.0</v>
      </c>
      <c r="I1549" s="1" t="s">
        <v>34</v>
      </c>
      <c r="J1549" s="1" t="s">
        <v>18</v>
      </c>
      <c r="K1549" s="1">
        <f t="shared" si="1"/>
        <v>2021</v>
      </c>
      <c r="L1549" s="1" t="str">
        <f t="shared" si="2"/>
        <v>Apr</v>
      </c>
      <c r="M1549" s="1" t="str">
        <f t="shared" si="3"/>
        <v>Loss</v>
      </c>
    </row>
    <row r="1550" ht="14.25" customHeight="1">
      <c r="A1550" s="1" t="s">
        <v>1584</v>
      </c>
      <c r="B1550" s="2">
        <v>44538.0</v>
      </c>
      <c r="C1550" s="1" t="s">
        <v>30</v>
      </c>
      <c r="D1550" s="1" t="s">
        <v>27</v>
      </c>
      <c r="E1550" s="1" t="s">
        <v>40</v>
      </c>
      <c r="F1550" s="1">
        <v>337.85</v>
      </c>
      <c r="G1550" s="1">
        <v>76.05</v>
      </c>
      <c r="H1550" s="1">
        <v>8.0</v>
      </c>
      <c r="I1550" s="1" t="s">
        <v>34</v>
      </c>
      <c r="J1550" s="1" t="s">
        <v>38</v>
      </c>
      <c r="K1550" s="1">
        <f t="shared" si="1"/>
        <v>2021</v>
      </c>
      <c r="L1550" s="1" t="str">
        <f t="shared" si="2"/>
        <v>Dec</v>
      </c>
      <c r="M1550" s="1" t="str">
        <f t="shared" si="3"/>
        <v>Profit</v>
      </c>
    </row>
    <row r="1551" ht="14.25" customHeight="1">
      <c r="A1551" s="1" t="s">
        <v>1585</v>
      </c>
      <c r="B1551" s="2">
        <v>44762.0</v>
      </c>
      <c r="C1551" s="1" t="s">
        <v>26</v>
      </c>
      <c r="D1551" s="1" t="s">
        <v>15</v>
      </c>
      <c r="E1551" s="1" t="s">
        <v>31</v>
      </c>
      <c r="F1551" s="1">
        <v>651.83</v>
      </c>
      <c r="G1551" s="1">
        <v>266.68</v>
      </c>
      <c r="H1551" s="1">
        <v>4.0</v>
      </c>
      <c r="I1551" s="1" t="s">
        <v>23</v>
      </c>
      <c r="J1551" s="1" t="s">
        <v>38</v>
      </c>
      <c r="K1551" s="1">
        <f t="shared" si="1"/>
        <v>2022</v>
      </c>
      <c r="L1551" s="1" t="str">
        <f t="shared" si="2"/>
        <v>Jul</v>
      </c>
      <c r="M1551" s="1" t="str">
        <f t="shared" si="3"/>
        <v>Profit</v>
      </c>
    </row>
    <row r="1552" ht="14.25" customHeight="1">
      <c r="A1552" s="1" t="s">
        <v>1586</v>
      </c>
      <c r="B1552" s="2">
        <v>44906.0</v>
      </c>
      <c r="C1552" s="1" t="s">
        <v>14</v>
      </c>
      <c r="D1552" s="1" t="s">
        <v>15</v>
      </c>
      <c r="E1552" s="1" t="s">
        <v>54</v>
      </c>
      <c r="F1552" s="1">
        <v>285.28</v>
      </c>
      <c r="G1552" s="1">
        <v>168.73</v>
      </c>
      <c r="H1552" s="1">
        <v>5.0</v>
      </c>
      <c r="I1552" s="1" t="s">
        <v>17</v>
      </c>
      <c r="J1552" s="1" t="s">
        <v>35</v>
      </c>
      <c r="K1552" s="1">
        <f t="shared" si="1"/>
        <v>2022</v>
      </c>
      <c r="L1552" s="1" t="str">
        <f t="shared" si="2"/>
        <v>Dec</v>
      </c>
      <c r="M1552" s="1" t="str">
        <f t="shared" si="3"/>
        <v>Profit</v>
      </c>
    </row>
    <row r="1553" ht="14.25" customHeight="1">
      <c r="A1553" s="1" t="s">
        <v>1587</v>
      </c>
      <c r="B1553" s="2">
        <v>44986.0</v>
      </c>
      <c r="C1553" s="1" t="s">
        <v>26</v>
      </c>
      <c r="D1553" s="1" t="s">
        <v>15</v>
      </c>
      <c r="E1553" s="1" t="s">
        <v>31</v>
      </c>
      <c r="F1553" s="1">
        <v>700.02</v>
      </c>
      <c r="G1553" s="1">
        <v>36.85</v>
      </c>
      <c r="H1553" s="1">
        <v>7.0</v>
      </c>
      <c r="I1553" s="1" t="s">
        <v>23</v>
      </c>
      <c r="J1553" s="1" t="s">
        <v>38</v>
      </c>
      <c r="K1553" s="1">
        <f t="shared" si="1"/>
        <v>2023</v>
      </c>
      <c r="L1553" s="1" t="str">
        <f t="shared" si="2"/>
        <v>Mar</v>
      </c>
      <c r="M1553" s="1" t="str">
        <f t="shared" si="3"/>
        <v>Profit</v>
      </c>
    </row>
    <row r="1554" ht="14.25" customHeight="1">
      <c r="A1554" s="1" t="s">
        <v>1588</v>
      </c>
      <c r="B1554" s="2">
        <v>45242.0</v>
      </c>
      <c r="C1554" s="1" t="s">
        <v>20</v>
      </c>
      <c r="D1554" s="1" t="s">
        <v>15</v>
      </c>
      <c r="E1554" s="1" t="s">
        <v>16</v>
      </c>
      <c r="F1554" s="1">
        <v>942.02</v>
      </c>
      <c r="G1554" s="1">
        <v>6.59</v>
      </c>
      <c r="H1554" s="1">
        <v>1.0</v>
      </c>
      <c r="I1554" s="1" t="s">
        <v>34</v>
      </c>
      <c r="J1554" s="1" t="s">
        <v>35</v>
      </c>
      <c r="K1554" s="1">
        <f t="shared" si="1"/>
        <v>2023</v>
      </c>
      <c r="L1554" s="1" t="str">
        <f t="shared" si="2"/>
        <v>Nov</v>
      </c>
      <c r="M1554" s="1" t="str">
        <f t="shared" si="3"/>
        <v>Profit</v>
      </c>
    </row>
    <row r="1555" ht="14.25" customHeight="1">
      <c r="A1555" s="1" t="s">
        <v>1589</v>
      </c>
      <c r="B1555" s="2">
        <v>44596.0</v>
      </c>
      <c r="C1555" s="1" t="s">
        <v>26</v>
      </c>
      <c r="D1555" s="1" t="s">
        <v>15</v>
      </c>
      <c r="E1555" s="1" t="s">
        <v>54</v>
      </c>
      <c r="F1555" s="1">
        <v>677.9</v>
      </c>
      <c r="G1555" s="1">
        <v>233.55</v>
      </c>
      <c r="H1555" s="1">
        <v>9.0</v>
      </c>
      <c r="I1555" s="1" t="s">
        <v>17</v>
      </c>
      <c r="J1555" s="1" t="s">
        <v>24</v>
      </c>
      <c r="K1555" s="1">
        <f t="shared" si="1"/>
        <v>2022</v>
      </c>
      <c r="L1555" s="1" t="str">
        <f t="shared" si="2"/>
        <v>Feb</v>
      </c>
      <c r="M1555" s="1" t="str">
        <f t="shared" si="3"/>
        <v>Profit</v>
      </c>
    </row>
    <row r="1556" ht="14.25" customHeight="1">
      <c r="A1556" s="1" t="s">
        <v>1590</v>
      </c>
      <c r="B1556" s="2">
        <v>44589.0</v>
      </c>
      <c r="C1556" s="1" t="s">
        <v>20</v>
      </c>
      <c r="D1556" s="1" t="s">
        <v>21</v>
      </c>
      <c r="E1556" s="1" t="s">
        <v>37</v>
      </c>
      <c r="F1556" s="1">
        <v>64.56</v>
      </c>
      <c r="G1556" s="1">
        <v>-76.32</v>
      </c>
      <c r="H1556" s="1">
        <v>10.0</v>
      </c>
      <c r="I1556" s="1" t="s">
        <v>34</v>
      </c>
      <c r="J1556" s="1" t="s">
        <v>38</v>
      </c>
      <c r="K1556" s="1">
        <f t="shared" si="1"/>
        <v>2022</v>
      </c>
      <c r="L1556" s="1" t="str">
        <f t="shared" si="2"/>
        <v>Jan</v>
      </c>
      <c r="M1556" s="1" t="str">
        <f t="shared" si="3"/>
        <v>Loss</v>
      </c>
    </row>
    <row r="1557" ht="14.25" customHeight="1">
      <c r="A1557" s="1" t="s">
        <v>1591</v>
      </c>
      <c r="B1557" s="2">
        <v>44506.0</v>
      </c>
      <c r="C1557" s="1" t="s">
        <v>26</v>
      </c>
      <c r="D1557" s="1" t="s">
        <v>15</v>
      </c>
      <c r="E1557" s="1" t="s">
        <v>31</v>
      </c>
      <c r="F1557" s="1">
        <v>550.63</v>
      </c>
      <c r="G1557" s="1">
        <v>1.89</v>
      </c>
      <c r="H1557" s="1">
        <v>8.0</v>
      </c>
      <c r="I1557" s="1" t="s">
        <v>23</v>
      </c>
      <c r="J1557" s="1" t="s">
        <v>24</v>
      </c>
      <c r="K1557" s="1">
        <f t="shared" si="1"/>
        <v>2021</v>
      </c>
      <c r="L1557" s="1" t="str">
        <f t="shared" si="2"/>
        <v>Nov</v>
      </c>
      <c r="M1557" s="1" t="str">
        <f t="shared" si="3"/>
        <v>Profit</v>
      </c>
    </row>
    <row r="1558" ht="14.25" customHeight="1">
      <c r="A1558" s="1" t="s">
        <v>1592</v>
      </c>
      <c r="B1558" s="2">
        <v>44937.0</v>
      </c>
      <c r="C1558" s="1" t="s">
        <v>30</v>
      </c>
      <c r="D1558" s="1" t="s">
        <v>15</v>
      </c>
      <c r="E1558" s="1" t="s">
        <v>31</v>
      </c>
      <c r="F1558" s="1">
        <v>259.29</v>
      </c>
      <c r="G1558" s="1">
        <v>114.25</v>
      </c>
      <c r="H1558" s="1">
        <v>10.0</v>
      </c>
      <c r="I1558" s="1" t="s">
        <v>17</v>
      </c>
      <c r="J1558" s="1" t="s">
        <v>24</v>
      </c>
      <c r="K1558" s="1">
        <f t="shared" si="1"/>
        <v>2023</v>
      </c>
      <c r="L1558" s="1" t="str">
        <f t="shared" si="2"/>
        <v>Jan</v>
      </c>
      <c r="M1558" s="1" t="str">
        <f t="shared" si="3"/>
        <v>Profit</v>
      </c>
    </row>
    <row r="1559" ht="14.25" customHeight="1">
      <c r="A1559" s="1" t="s">
        <v>1593</v>
      </c>
      <c r="B1559" s="2">
        <v>44770.0</v>
      </c>
      <c r="C1559" s="1" t="s">
        <v>14</v>
      </c>
      <c r="D1559" s="1" t="s">
        <v>21</v>
      </c>
      <c r="E1559" s="1" t="s">
        <v>37</v>
      </c>
      <c r="F1559" s="1">
        <v>598.35</v>
      </c>
      <c r="G1559" s="1">
        <v>-63.35</v>
      </c>
      <c r="H1559" s="1">
        <v>8.0</v>
      </c>
      <c r="I1559" s="1" t="s">
        <v>34</v>
      </c>
      <c r="J1559" s="1" t="s">
        <v>35</v>
      </c>
      <c r="K1559" s="1">
        <f t="shared" si="1"/>
        <v>2022</v>
      </c>
      <c r="L1559" s="1" t="str">
        <f t="shared" si="2"/>
        <v>Jul</v>
      </c>
      <c r="M1559" s="1" t="str">
        <f t="shared" si="3"/>
        <v>Loss</v>
      </c>
    </row>
    <row r="1560" ht="14.25" customHeight="1">
      <c r="A1560" s="1" t="s">
        <v>1594</v>
      </c>
      <c r="B1560" s="2">
        <v>45259.0</v>
      </c>
      <c r="C1560" s="1" t="s">
        <v>26</v>
      </c>
      <c r="D1560" s="1" t="s">
        <v>27</v>
      </c>
      <c r="E1560" s="1" t="s">
        <v>33</v>
      </c>
      <c r="F1560" s="1">
        <v>527.06</v>
      </c>
      <c r="G1560" s="1">
        <v>147.51</v>
      </c>
      <c r="H1560" s="1">
        <v>4.0</v>
      </c>
      <c r="I1560" s="1" t="s">
        <v>17</v>
      </c>
      <c r="J1560" s="1" t="s">
        <v>24</v>
      </c>
      <c r="K1560" s="1">
        <f t="shared" si="1"/>
        <v>2023</v>
      </c>
      <c r="L1560" s="1" t="str">
        <f t="shared" si="2"/>
        <v>Nov</v>
      </c>
      <c r="M1560" s="1" t="str">
        <f t="shared" si="3"/>
        <v>Profit</v>
      </c>
    </row>
    <row r="1561" ht="14.25" customHeight="1">
      <c r="A1561" s="1" t="s">
        <v>1595</v>
      </c>
      <c r="B1561" s="2">
        <v>45073.0</v>
      </c>
      <c r="C1561" s="1" t="s">
        <v>20</v>
      </c>
      <c r="D1561" s="1" t="s">
        <v>27</v>
      </c>
      <c r="E1561" s="1" t="s">
        <v>28</v>
      </c>
      <c r="F1561" s="1">
        <v>132.33</v>
      </c>
      <c r="G1561" s="1">
        <v>-118.31</v>
      </c>
      <c r="H1561" s="1">
        <v>7.0</v>
      </c>
      <c r="I1561" s="1" t="s">
        <v>34</v>
      </c>
      <c r="J1561" s="1" t="s">
        <v>35</v>
      </c>
      <c r="K1561" s="1">
        <f t="shared" si="1"/>
        <v>2023</v>
      </c>
      <c r="L1561" s="1" t="str">
        <f t="shared" si="2"/>
        <v>May</v>
      </c>
      <c r="M1561" s="1" t="str">
        <f t="shared" si="3"/>
        <v>Loss</v>
      </c>
    </row>
    <row r="1562" ht="14.25" customHeight="1">
      <c r="A1562" s="1" t="s">
        <v>1596</v>
      </c>
      <c r="B1562" s="2">
        <v>44306.0</v>
      </c>
      <c r="C1562" s="1" t="s">
        <v>30</v>
      </c>
      <c r="D1562" s="1" t="s">
        <v>21</v>
      </c>
      <c r="E1562" s="1" t="s">
        <v>76</v>
      </c>
      <c r="F1562" s="1">
        <v>659.04</v>
      </c>
      <c r="G1562" s="1">
        <v>-133.46</v>
      </c>
      <c r="H1562" s="1">
        <v>9.0</v>
      </c>
      <c r="I1562" s="1" t="s">
        <v>34</v>
      </c>
      <c r="J1562" s="1" t="s">
        <v>38</v>
      </c>
      <c r="K1562" s="1">
        <f t="shared" si="1"/>
        <v>2021</v>
      </c>
      <c r="L1562" s="1" t="str">
        <f t="shared" si="2"/>
        <v>Apr</v>
      </c>
      <c r="M1562" s="1" t="str">
        <f t="shared" si="3"/>
        <v>Loss</v>
      </c>
    </row>
    <row r="1563" ht="14.25" customHeight="1">
      <c r="A1563" s="1" t="s">
        <v>1597</v>
      </c>
      <c r="B1563" s="2">
        <v>45212.0</v>
      </c>
      <c r="C1563" s="1" t="s">
        <v>26</v>
      </c>
      <c r="D1563" s="1" t="s">
        <v>21</v>
      </c>
      <c r="E1563" s="1" t="s">
        <v>76</v>
      </c>
      <c r="F1563" s="1">
        <v>231.44</v>
      </c>
      <c r="G1563" s="1">
        <v>23.88</v>
      </c>
      <c r="H1563" s="1">
        <v>8.0</v>
      </c>
      <c r="I1563" s="1" t="s">
        <v>23</v>
      </c>
      <c r="J1563" s="1" t="s">
        <v>24</v>
      </c>
      <c r="K1563" s="1">
        <f t="shared" si="1"/>
        <v>2023</v>
      </c>
      <c r="L1563" s="1" t="str">
        <f t="shared" si="2"/>
        <v>Oct</v>
      </c>
      <c r="M1563" s="1" t="str">
        <f t="shared" si="3"/>
        <v>Profit</v>
      </c>
    </row>
    <row r="1564" ht="14.25" customHeight="1">
      <c r="A1564" s="1" t="s">
        <v>1598</v>
      </c>
      <c r="B1564" s="2">
        <v>44826.0</v>
      </c>
      <c r="C1564" s="1" t="s">
        <v>14</v>
      </c>
      <c r="D1564" s="1" t="s">
        <v>21</v>
      </c>
      <c r="E1564" s="1" t="s">
        <v>22</v>
      </c>
      <c r="F1564" s="1">
        <v>157.66</v>
      </c>
      <c r="G1564" s="1">
        <v>-151.99</v>
      </c>
      <c r="H1564" s="1">
        <v>3.0</v>
      </c>
      <c r="I1564" s="1" t="s">
        <v>17</v>
      </c>
      <c r="J1564" s="1" t="s">
        <v>18</v>
      </c>
      <c r="K1564" s="1">
        <f t="shared" si="1"/>
        <v>2022</v>
      </c>
      <c r="L1564" s="1" t="str">
        <f t="shared" si="2"/>
        <v>Sep</v>
      </c>
      <c r="M1564" s="1" t="str">
        <f t="shared" si="3"/>
        <v>Loss</v>
      </c>
    </row>
    <row r="1565" ht="14.25" customHeight="1">
      <c r="A1565" s="1" t="s">
        <v>1599</v>
      </c>
      <c r="B1565" s="2">
        <v>44238.0</v>
      </c>
      <c r="C1565" s="1" t="s">
        <v>30</v>
      </c>
      <c r="D1565" s="1" t="s">
        <v>15</v>
      </c>
      <c r="E1565" s="1" t="s">
        <v>54</v>
      </c>
      <c r="F1565" s="1">
        <v>874.64</v>
      </c>
      <c r="G1565" s="1">
        <v>94.4</v>
      </c>
      <c r="H1565" s="1">
        <v>9.0</v>
      </c>
      <c r="I1565" s="1" t="s">
        <v>17</v>
      </c>
      <c r="J1565" s="1" t="s">
        <v>18</v>
      </c>
      <c r="K1565" s="1">
        <f t="shared" si="1"/>
        <v>2021</v>
      </c>
      <c r="L1565" s="1" t="str">
        <f t="shared" si="2"/>
        <v>Feb</v>
      </c>
      <c r="M1565" s="1" t="str">
        <f t="shared" si="3"/>
        <v>Profit</v>
      </c>
    </row>
    <row r="1566" ht="14.25" customHeight="1">
      <c r="A1566" s="1" t="s">
        <v>1600</v>
      </c>
      <c r="B1566" s="2">
        <v>45083.0</v>
      </c>
      <c r="C1566" s="1" t="s">
        <v>26</v>
      </c>
      <c r="D1566" s="1" t="s">
        <v>27</v>
      </c>
      <c r="E1566" s="1" t="s">
        <v>40</v>
      </c>
      <c r="F1566" s="1">
        <v>753.24</v>
      </c>
      <c r="G1566" s="1">
        <v>186.71</v>
      </c>
      <c r="H1566" s="1">
        <v>6.0</v>
      </c>
      <c r="I1566" s="1" t="s">
        <v>34</v>
      </c>
      <c r="J1566" s="1" t="s">
        <v>24</v>
      </c>
      <c r="K1566" s="1">
        <f t="shared" si="1"/>
        <v>2023</v>
      </c>
      <c r="L1566" s="1" t="str">
        <f t="shared" si="2"/>
        <v>Jun</v>
      </c>
      <c r="M1566" s="1" t="str">
        <f t="shared" si="3"/>
        <v>Profit</v>
      </c>
    </row>
    <row r="1567" ht="14.25" customHeight="1">
      <c r="A1567" s="1" t="s">
        <v>1601</v>
      </c>
      <c r="B1567" s="2">
        <v>44736.0</v>
      </c>
      <c r="C1567" s="1" t="s">
        <v>20</v>
      </c>
      <c r="D1567" s="1" t="s">
        <v>27</v>
      </c>
      <c r="E1567" s="1" t="s">
        <v>40</v>
      </c>
      <c r="F1567" s="1">
        <v>361.37</v>
      </c>
      <c r="G1567" s="1">
        <v>-50.97</v>
      </c>
      <c r="H1567" s="1">
        <v>4.0</v>
      </c>
      <c r="I1567" s="1" t="s">
        <v>23</v>
      </c>
      <c r="J1567" s="1" t="s">
        <v>38</v>
      </c>
      <c r="K1567" s="1">
        <f t="shared" si="1"/>
        <v>2022</v>
      </c>
      <c r="L1567" s="1" t="str">
        <f t="shared" si="2"/>
        <v>Jun</v>
      </c>
      <c r="M1567" s="1" t="str">
        <f t="shared" si="3"/>
        <v>Loss</v>
      </c>
    </row>
    <row r="1568" ht="14.25" customHeight="1">
      <c r="A1568" s="1" t="s">
        <v>1602</v>
      </c>
      <c r="B1568" s="2">
        <v>45214.0</v>
      </c>
      <c r="C1568" s="1" t="s">
        <v>30</v>
      </c>
      <c r="D1568" s="1" t="s">
        <v>21</v>
      </c>
      <c r="E1568" s="1" t="s">
        <v>76</v>
      </c>
      <c r="F1568" s="1">
        <v>36.29</v>
      </c>
      <c r="G1568" s="1">
        <v>-160.53</v>
      </c>
      <c r="H1568" s="1">
        <v>1.0</v>
      </c>
      <c r="I1568" s="1" t="s">
        <v>23</v>
      </c>
      <c r="J1568" s="1" t="s">
        <v>35</v>
      </c>
      <c r="K1568" s="1">
        <f t="shared" si="1"/>
        <v>2023</v>
      </c>
      <c r="L1568" s="1" t="str">
        <f t="shared" si="2"/>
        <v>Oct</v>
      </c>
      <c r="M1568" s="1" t="str">
        <f t="shared" si="3"/>
        <v>Loss</v>
      </c>
    </row>
    <row r="1569" ht="14.25" customHeight="1">
      <c r="A1569" s="1" t="s">
        <v>1603</v>
      </c>
      <c r="B1569" s="2">
        <v>44991.0</v>
      </c>
      <c r="C1569" s="1" t="s">
        <v>14</v>
      </c>
      <c r="D1569" s="1" t="s">
        <v>15</v>
      </c>
      <c r="E1569" s="1" t="s">
        <v>54</v>
      </c>
      <c r="F1569" s="1">
        <v>991.34</v>
      </c>
      <c r="G1569" s="1">
        <v>199.29</v>
      </c>
      <c r="H1569" s="1">
        <v>4.0</v>
      </c>
      <c r="I1569" s="1" t="s">
        <v>17</v>
      </c>
      <c r="J1569" s="1" t="s">
        <v>38</v>
      </c>
      <c r="K1569" s="1">
        <f t="shared" si="1"/>
        <v>2023</v>
      </c>
      <c r="L1569" s="1" t="str">
        <f t="shared" si="2"/>
        <v>Mar</v>
      </c>
      <c r="M1569" s="1" t="str">
        <f t="shared" si="3"/>
        <v>Profit</v>
      </c>
    </row>
    <row r="1570" ht="14.25" customHeight="1">
      <c r="A1570" s="1" t="s">
        <v>1604</v>
      </c>
      <c r="B1570" s="2">
        <v>44269.0</v>
      </c>
      <c r="C1570" s="1" t="s">
        <v>14</v>
      </c>
      <c r="D1570" s="1" t="s">
        <v>27</v>
      </c>
      <c r="E1570" s="1" t="s">
        <v>33</v>
      </c>
      <c r="F1570" s="1">
        <v>556.1</v>
      </c>
      <c r="G1570" s="1">
        <v>-67.54</v>
      </c>
      <c r="H1570" s="1">
        <v>10.0</v>
      </c>
      <c r="I1570" s="1" t="s">
        <v>17</v>
      </c>
      <c r="J1570" s="1" t="s">
        <v>18</v>
      </c>
      <c r="K1570" s="1">
        <f t="shared" si="1"/>
        <v>2021</v>
      </c>
      <c r="L1570" s="1" t="str">
        <f t="shared" si="2"/>
        <v>Mar</v>
      </c>
      <c r="M1570" s="1" t="str">
        <f t="shared" si="3"/>
        <v>Loss</v>
      </c>
    </row>
    <row r="1571" ht="14.25" customHeight="1">
      <c r="A1571" s="1" t="s">
        <v>1605</v>
      </c>
      <c r="B1571" s="2">
        <v>45104.0</v>
      </c>
      <c r="C1571" s="1" t="s">
        <v>30</v>
      </c>
      <c r="D1571" s="1" t="s">
        <v>27</v>
      </c>
      <c r="E1571" s="1" t="s">
        <v>40</v>
      </c>
      <c r="F1571" s="1">
        <v>766.07</v>
      </c>
      <c r="G1571" s="1">
        <v>-195.76</v>
      </c>
      <c r="H1571" s="1">
        <v>10.0</v>
      </c>
      <c r="I1571" s="1" t="s">
        <v>17</v>
      </c>
      <c r="J1571" s="1" t="s">
        <v>35</v>
      </c>
      <c r="K1571" s="1">
        <f t="shared" si="1"/>
        <v>2023</v>
      </c>
      <c r="L1571" s="1" t="str">
        <f t="shared" si="2"/>
        <v>Jun</v>
      </c>
      <c r="M1571" s="1" t="str">
        <f t="shared" si="3"/>
        <v>Loss</v>
      </c>
    </row>
    <row r="1572" ht="14.25" customHeight="1">
      <c r="A1572" s="1" t="s">
        <v>1606</v>
      </c>
      <c r="B1572" s="2">
        <v>45083.0</v>
      </c>
      <c r="C1572" s="1" t="s">
        <v>26</v>
      </c>
      <c r="D1572" s="1" t="s">
        <v>27</v>
      </c>
      <c r="E1572" s="1" t="s">
        <v>40</v>
      </c>
      <c r="F1572" s="1">
        <v>591.25</v>
      </c>
      <c r="G1572" s="1">
        <v>179.42</v>
      </c>
      <c r="H1572" s="1">
        <v>8.0</v>
      </c>
      <c r="I1572" s="1" t="s">
        <v>34</v>
      </c>
      <c r="J1572" s="1" t="s">
        <v>24</v>
      </c>
      <c r="K1572" s="1">
        <f t="shared" si="1"/>
        <v>2023</v>
      </c>
      <c r="L1572" s="1" t="str">
        <f t="shared" si="2"/>
        <v>Jun</v>
      </c>
      <c r="M1572" s="1" t="str">
        <f t="shared" si="3"/>
        <v>Profit</v>
      </c>
    </row>
    <row r="1573" ht="14.25" customHeight="1">
      <c r="A1573" s="1" t="s">
        <v>1607</v>
      </c>
      <c r="B1573" s="2">
        <v>44781.0</v>
      </c>
      <c r="C1573" s="1" t="s">
        <v>26</v>
      </c>
      <c r="D1573" s="1" t="s">
        <v>27</v>
      </c>
      <c r="E1573" s="1" t="s">
        <v>33</v>
      </c>
      <c r="F1573" s="1">
        <v>438.8</v>
      </c>
      <c r="G1573" s="1">
        <v>-93.21</v>
      </c>
      <c r="H1573" s="1">
        <v>2.0</v>
      </c>
      <c r="I1573" s="1" t="s">
        <v>23</v>
      </c>
      <c r="J1573" s="1" t="s">
        <v>24</v>
      </c>
      <c r="K1573" s="1">
        <f t="shared" si="1"/>
        <v>2022</v>
      </c>
      <c r="L1573" s="1" t="str">
        <f t="shared" si="2"/>
        <v>Aug</v>
      </c>
      <c r="M1573" s="1" t="str">
        <f t="shared" si="3"/>
        <v>Loss</v>
      </c>
    </row>
    <row r="1574" ht="14.25" customHeight="1">
      <c r="A1574" s="1" t="s">
        <v>1608</v>
      </c>
      <c r="B1574" s="2">
        <v>44740.0</v>
      </c>
      <c r="C1574" s="1" t="s">
        <v>26</v>
      </c>
      <c r="D1574" s="1" t="s">
        <v>15</v>
      </c>
      <c r="E1574" s="1" t="s">
        <v>31</v>
      </c>
      <c r="F1574" s="1">
        <v>294.7</v>
      </c>
      <c r="G1574" s="1">
        <v>-93.18</v>
      </c>
      <c r="H1574" s="1">
        <v>9.0</v>
      </c>
      <c r="I1574" s="1" t="s">
        <v>23</v>
      </c>
      <c r="J1574" s="1" t="s">
        <v>38</v>
      </c>
      <c r="K1574" s="1">
        <f t="shared" si="1"/>
        <v>2022</v>
      </c>
      <c r="L1574" s="1" t="str">
        <f t="shared" si="2"/>
        <v>Jun</v>
      </c>
      <c r="M1574" s="1" t="str">
        <f t="shared" si="3"/>
        <v>Loss</v>
      </c>
    </row>
    <row r="1575" ht="14.25" customHeight="1">
      <c r="A1575" s="1" t="s">
        <v>1609</v>
      </c>
      <c r="B1575" s="2">
        <v>44261.0</v>
      </c>
      <c r="C1575" s="1" t="s">
        <v>26</v>
      </c>
      <c r="D1575" s="1" t="s">
        <v>15</v>
      </c>
      <c r="E1575" s="1" t="s">
        <v>16</v>
      </c>
      <c r="F1575" s="1">
        <v>72.2</v>
      </c>
      <c r="G1575" s="1">
        <v>-114.61</v>
      </c>
      <c r="H1575" s="1">
        <v>10.0</v>
      </c>
      <c r="I1575" s="1" t="s">
        <v>23</v>
      </c>
      <c r="J1575" s="1" t="s">
        <v>35</v>
      </c>
      <c r="K1575" s="1">
        <f t="shared" si="1"/>
        <v>2021</v>
      </c>
      <c r="L1575" s="1" t="str">
        <f t="shared" si="2"/>
        <v>Mar</v>
      </c>
      <c r="M1575" s="1" t="str">
        <f t="shared" si="3"/>
        <v>Loss</v>
      </c>
    </row>
    <row r="1576" ht="14.25" customHeight="1">
      <c r="A1576" s="1" t="s">
        <v>1610</v>
      </c>
      <c r="B1576" s="2">
        <v>44657.0</v>
      </c>
      <c r="C1576" s="1" t="s">
        <v>14</v>
      </c>
      <c r="D1576" s="1" t="s">
        <v>15</v>
      </c>
      <c r="E1576" s="1" t="s">
        <v>31</v>
      </c>
      <c r="F1576" s="1">
        <v>923.87</v>
      </c>
      <c r="G1576" s="1">
        <v>141.19</v>
      </c>
      <c r="H1576" s="1">
        <v>6.0</v>
      </c>
      <c r="I1576" s="1" t="s">
        <v>17</v>
      </c>
      <c r="J1576" s="1" t="s">
        <v>24</v>
      </c>
      <c r="K1576" s="1">
        <f t="shared" si="1"/>
        <v>2022</v>
      </c>
      <c r="L1576" s="1" t="str">
        <f t="shared" si="2"/>
        <v>Apr</v>
      </c>
      <c r="M1576" s="1" t="str">
        <f t="shared" si="3"/>
        <v>Profit</v>
      </c>
    </row>
    <row r="1577" ht="14.25" customHeight="1">
      <c r="A1577" s="1" t="s">
        <v>1611</v>
      </c>
      <c r="B1577" s="2">
        <v>44210.0</v>
      </c>
      <c r="C1577" s="1" t="s">
        <v>30</v>
      </c>
      <c r="D1577" s="1" t="s">
        <v>21</v>
      </c>
      <c r="E1577" s="1" t="s">
        <v>22</v>
      </c>
      <c r="F1577" s="1">
        <v>782.0</v>
      </c>
      <c r="G1577" s="1">
        <v>52.77</v>
      </c>
      <c r="H1577" s="1">
        <v>6.0</v>
      </c>
      <c r="I1577" s="1" t="s">
        <v>23</v>
      </c>
      <c r="J1577" s="1" t="s">
        <v>24</v>
      </c>
      <c r="K1577" s="1">
        <f t="shared" si="1"/>
        <v>2021</v>
      </c>
      <c r="L1577" s="1" t="str">
        <f t="shared" si="2"/>
        <v>Jan</v>
      </c>
      <c r="M1577" s="1" t="str">
        <f t="shared" si="3"/>
        <v>Profit</v>
      </c>
    </row>
    <row r="1578" ht="14.25" customHeight="1">
      <c r="A1578" s="1" t="s">
        <v>1612</v>
      </c>
      <c r="B1578" s="2">
        <v>45065.0</v>
      </c>
      <c r="C1578" s="1" t="s">
        <v>20</v>
      </c>
      <c r="D1578" s="1" t="s">
        <v>21</v>
      </c>
      <c r="E1578" s="1" t="s">
        <v>37</v>
      </c>
      <c r="F1578" s="1">
        <v>512.85</v>
      </c>
      <c r="G1578" s="1">
        <v>286.66</v>
      </c>
      <c r="H1578" s="1">
        <v>1.0</v>
      </c>
      <c r="I1578" s="1" t="s">
        <v>17</v>
      </c>
      <c r="J1578" s="1" t="s">
        <v>18</v>
      </c>
      <c r="K1578" s="1">
        <f t="shared" si="1"/>
        <v>2023</v>
      </c>
      <c r="L1578" s="1" t="str">
        <f t="shared" si="2"/>
        <v>May</v>
      </c>
      <c r="M1578" s="1" t="str">
        <f t="shared" si="3"/>
        <v>Profit</v>
      </c>
    </row>
    <row r="1579" ht="14.25" customHeight="1">
      <c r="A1579" s="1" t="s">
        <v>1613</v>
      </c>
      <c r="B1579" s="2">
        <v>45238.0</v>
      </c>
      <c r="C1579" s="1" t="s">
        <v>26</v>
      </c>
      <c r="D1579" s="1" t="s">
        <v>27</v>
      </c>
      <c r="E1579" s="1" t="s">
        <v>33</v>
      </c>
      <c r="F1579" s="1">
        <v>241.05</v>
      </c>
      <c r="G1579" s="1">
        <v>-147.94</v>
      </c>
      <c r="H1579" s="1">
        <v>7.0</v>
      </c>
      <c r="I1579" s="1" t="s">
        <v>23</v>
      </c>
      <c r="J1579" s="1" t="s">
        <v>18</v>
      </c>
      <c r="K1579" s="1">
        <f t="shared" si="1"/>
        <v>2023</v>
      </c>
      <c r="L1579" s="1" t="str">
        <f t="shared" si="2"/>
        <v>Nov</v>
      </c>
      <c r="M1579" s="1" t="str">
        <f t="shared" si="3"/>
        <v>Loss</v>
      </c>
    </row>
    <row r="1580" ht="14.25" customHeight="1">
      <c r="A1580" s="1" t="s">
        <v>1614</v>
      </c>
      <c r="B1580" s="2">
        <v>44349.0</v>
      </c>
      <c r="C1580" s="1" t="s">
        <v>20</v>
      </c>
      <c r="D1580" s="1" t="s">
        <v>27</v>
      </c>
      <c r="E1580" s="1" t="s">
        <v>28</v>
      </c>
      <c r="F1580" s="1">
        <v>655.19</v>
      </c>
      <c r="G1580" s="1">
        <v>56.53</v>
      </c>
      <c r="H1580" s="1">
        <v>8.0</v>
      </c>
      <c r="I1580" s="1" t="s">
        <v>17</v>
      </c>
      <c r="J1580" s="1" t="s">
        <v>35</v>
      </c>
      <c r="K1580" s="1">
        <f t="shared" si="1"/>
        <v>2021</v>
      </c>
      <c r="L1580" s="1" t="str">
        <f t="shared" si="2"/>
        <v>Jun</v>
      </c>
      <c r="M1580" s="1" t="str">
        <f t="shared" si="3"/>
        <v>Profit</v>
      </c>
    </row>
    <row r="1581" ht="14.25" customHeight="1">
      <c r="A1581" s="1" t="s">
        <v>1615</v>
      </c>
      <c r="B1581" s="2">
        <v>45064.0</v>
      </c>
      <c r="C1581" s="1" t="s">
        <v>30</v>
      </c>
      <c r="D1581" s="1" t="s">
        <v>15</v>
      </c>
      <c r="E1581" s="1" t="s">
        <v>54</v>
      </c>
      <c r="F1581" s="1">
        <v>860.69</v>
      </c>
      <c r="G1581" s="1">
        <v>-195.55</v>
      </c>
      <c r="H1581" s="1">
        <v>4.0</v>
      </c>
      <c r="I1581" s="1" t="s">
        <v>17</v>
      </c>
      <c r="J1581" s="1" t="s">
        <v>18</v>
      </c>
      <c r="K1581" s="1">
        <f t="shared" si="1"/>
        <v>2023</v>
      </c>
      <c r="L1581" s="1" t="str">
        <f t="shared" si="2"/>
        <v>May</v>
      </c>
      <c r="M1581" s="1" t="str">
        <f t="shared" si="3"/>
        <v>Loss</v>
      </c>
    </row>
    <row r="1582" ht="14.25" customHeight="1">
      <c r="A1582" s="1" t="s">
        <v>1616</v>
      </c>
      <c r="B1582" s="2">
        <v>44966.0</v>
      </c>
      <c r="C1582" s="1" t="s">
        <v>30</v>
      </c>
      <c r="D1582" s="1" t="s">
        <v>15</v>
      </c>
      <c r="E1582" s="1" t="s">
        <v>54</v>
      </c>
      <c r="F1582" s="1">
        <v>631.93</v>
      </c>
      <c r="G1582" s="1">
        <v>-127.39</v>
      </c>
      <c r="H1582" s="1">
        <v>9.0</v>
      </c>
      <c r="I1582" s="1" t="s">
        <v>23</v>
      </c>
      <c r="J1582" s="1" t="s">
        <v>35</v>
      </c>
      <c r="K1582" s="1">
        <f t="shared" si="1"/>
        <v>2023</v>
      </c>
      <c r="L1582" s="1" t="str">
        <f t="shared" si="2"/>
        <v>Feb</v>
      </c>
      <c r="M1582" s="1" t="str">
        <f t="shared" si="3"/>
        <v>Loss</v>
      </c>
    </row>
    <row r="1583" ht="14.25" customHeight="1">
      <c r="A1583" s="1" t="s">
        <v>1617</v>
      </c>
      <c r="B1583" s="2">
        <v>44568.0</v>
      </c>
      <c r="C1583" s="1" t="s">
        <v>14</v>
      </c>
      <c r="D1583" s="1" t="s">
        <v>21</v>
      </c>
      <c r="E1583" s="1" t="s">
        <v>37</v>
      </c>
      <c r="F1583" s="1">
        <v>162.06</v>
      </c>
      <c r="G1583" s="1">
        <v>77.77</v>
      </c>
      <c r="H1583" s="1">
        <v>5.0</v>
      </c>
      <c r="I1583" s="1" t="s">
        <v>17</v>
      </c>
      <c r="J1583" s="1" t="s">
        <v>24</v>
      </c>
      <c r="K1583" s="1">
        <f t="shared" si="1"/>
        <v>2022</v>
      </c>
      <c r="L1583" s="1" t="str">
        <f t="shared" si="2"/>
        <v>Jan</v>
      </c>
      <c r="M1583" s="1" t="str">
        <f t="shared" si="3"/>
        <v>Profit</v>
      </c>
    </row>
    <row r="1584" ht="14.25" customHeight="1">
      <c r="A1584" s="1" t="s">
        <v>1618</v>
      </c>
      <c r="B1584" s="2">
        <v>44684.0</v>
      </c>
      <c r="C1584" s="1" t="s">
        <v>26</v>
      </c>
      <c r="D1584" s="1" t="s">
        <v>15</v>
      </c>
      <c r="E1584" s="1" t="s">
        <v>54</v>
      </c>
      <c r="F1584" s="1">
        <v>104.98</v>
      </c>
      <c r="G1584" s="1">
        <v>-154.82</v>
      </c>
      <c r="H1584" s="1">
        <v>1.0</v>
      </c>
      <c r="I1584" s="1" t="s">
        <v>17</v>
      </c>
      <c r="J1584" s="1" t="s">
        <v>35</v>
      </c>
      <c r="K1584" s="1">
        <f t="shared" si="1"/>
        <v>2022</v>
      </c>
      <c r="L1584" s="1" t="str">
        <f t="shared" si="2"/>
        <v>May</v>
      </c>
      <c r="M1584" s="1" t="str">
        <f t="shared" si="3"/>
        <v>Loss</v>
      </c>
    </row>
    <row r="1585" ht="14.25" customHeight="1">
      <c r="A1585" s="1" t="s">
        <v>1619</v>
      </c>
      <c r="B1585" s="2">
        <v>44346.0</v>
      </c>
      <c r="C1585" s="1" t="s">
        <v>14</v>
      </c>
      <c r="D1585" s="1" t="s">
        <v>21</v>
      </c>
      <c r="E1585" s="1" t="s">
        <v>76</v>
      </c>
      <c r="F1585" s="1">
        <v>666.94</v>
      </c>
      <c r="G1585" s="1">
        <v>-107.83</v>
      </c>
      <c r="H1585" s="1">
        <v>1.0</v>
      </c>
      <c r="I1585" s="1" t="s">
        <v>17</v>
      </c>
      <c r="J1585" s="1" t="s">
        <v>18</v>
      </c>
      <c r="K1585" s="1">
        <f t="shared" si="1"/>
        <v>2021</v>
      </c>
      <c r="L1585" s="1" t="str">
        <f t="shared" si="2"/>
        <v>May</v>
      </c>
      <c r="M1585" s="1" t="str">
        <f t="shared" si="3"/>
        <v>Loss</v>
      </c>
    </row>
    <row r="1586" ht="14.25" customHeight="1">
      <c r="A1586" s="1" t="s">
        <v>1620</v>
      </c>
      <c r="B1586" s="2">
        <v>44540.0</v>
      </c>
      <c r="C1586" s="1" t="s">
        <v>14</v>
      </c>
      <c r="D1586" s="1" t="s">
        <v>15</v>
      </c>
      <c r="E1586" s="1" t="s">
        <v>16</v>
      </c>
      <c r="F1586" s="1">
        <v>873.74</v>
      </c>
      <c r="G1586" s="1">
        <v>108.64</v>
      </c>
      <c r="H1586" s="1">
        <v>3.0</v>
      </c>
      <c r="I1586" s="1" t="s">
        <v>23</v>
      </c>
      <c r="J1586" s="1" t="s">
        <v>18</v>
      </c>
      <c r="K1586" s="1">
        <f t="shared" si="1"/>
        <v>2021</v>
      </c>
      <c r="L1586" s="1" t="str">
        <f t="shared" si="2"/>
        <v>Dec</v>
      </c>
      <c r="M1586" s="1" t="str">
        <f t="shared" si="3"/>
        <v>Profit</v>
      </c>
    </row>
    <row r="1587" ht="14.25" customHeight="1">
      <c r="A1587" s="1" t="s">
        <v>1621</v>
      </c>
      <c r="B1587" s="2">
        <v>44728.0</v>
      </c>
      <c r="C1587" s="1" t="s">
        <v>26</v>
      </c>
      <c r="D1587" s="1" t="s">
        <v>21</v>
      </c>
      <c r="E1587" s="1" t="s">
        <v>37</v>
      </c>
      <c r="F1587" s="1">
        <v>864.22</v>
      </c>
      <c r="G1587" s="1">
        <v>-142.57</v>
      </c>
      <c r="H1587" s="1">
        <v>5.0</v>
      </c>
      <c r="I1587" s="1" t="s">
        <v>17</v>
      </c>
      <c r="J1587" s="1" t="s">
        <v>38</v>
      </c>
      <c r="K1587" s="1">
        <f t="shared" si="1"/>
        <v>2022</v>
      </c>
      <c r="L1587" s="1" t="str">
        <f t="shared" si="2"/>
        <v>Jun</v>
      </c>
      <c r="M1587" s="1" t="str">
        <f t="shared" si="3"/>
        <v>Loss</v>
      </c>
    </row>
    <row r="1588" ht="14.25" customHeight="1">
      <c r="A1588" s="1" t="s">
        <v>1622</v>
      </c>
      <c r="B1588" s="2">
        <v>44215.0</v>
      </c>
      <c r="C1588" s="1" t="s">
        <v>30</v>
      </c>
      <c r="D1588" s="1" t="s">
        <v>15</v>
      </c>
      <c r="E1588" s="1" t="s">
        <v>16</v>
      </c>
      <c r="F1588" s="1">
        <v>286.64</v>
      </c>
      <c r="G1588" s="1">
        <v>157.44</v>
      </c>
      <c r="H1588" s="1">
        <v>6.0</v>
      </c>
      <c r="I1588" s="1" t="s">
        <v>17</v>
      </c>
      <c r="J1588" s="1" t="s">
        <v>24</v>
      </c>
      <c r="K1588" s="1">
        <f t="shared" si="1"/>
        <v>2021</v>
      </c>
      <c r="L1588" s="1" t="str">
        <f t="shared" si="2"/>
        <v>Jan</v>
      </c>
      <c r="M1588" s="1" t="str">
        <f t="shared" si="3"/>
        <v>Profit</v>
      </c>
    </row>
    <row r="1589" ht="14.25" customHeight="1">
      <c r="A1589" s="1" t="s">
        <v>1623</v>
      </c>
      <c r="B1589" s="2">
        <v>44764.0</v>
      </c>
      <c r="C1589" s="1" t="s">
        <v>30</v>
      </c>
      <c r="D1589" s="1" t="s">
        <v>21</v>
      </c>
      <c r="E1589" s="1" t="s">
        <v>22</v>
      </c>
      <c r="F1589" s="1">
        <v>490.69</v>
      </c>
      <c r="G1589" s="1">
        <v>-100.74</v>
      </c>
      <c r="H1589" s="1">
        <v>5.0</v>
      </c>
      <c r="I1589" s="1" t="s">
        <v>23</v>
      </c>
      <c r="J1589" s="1" t="s">
        <v>18</v>
      </c>
      <c r="K1589" s="1">
        <f t="shared" si="1"/>
        <v>2022</v>
      </c>
      <c r="L1589" s="1" t="str">
        <f t="shared" si="2"/>
        <v>Jul</v>
      </c>
      <c r="M1589" s="1" t="str">
        <f t="shared" si="3"/>
        <v>Loss</v>
      </c>
    </row>
    <row r="1590" ht="14.25" customHeight="1">
      <c r="A1590" s="1" t="s">
        <v>1624</v>
      </c>
      <c r="B1590" s="2">
        <v>45084.0</v>
      </c>
      <c r="C1590" s="1" t="s">
        <v>30</v>
      </c>
      <c r="D1590" s="1" t="s">
        <v>15</v>
      </c>
      <c r="E1590" s="1" t="s">
        <v>31</v>
      </c>
      <c r="F1590" s="1">
        <v>498.14</v>
      </c>
      <c r="G1590" s="1">
        <v>9.1</v>
      </c>
      <c r="H1590" s="1">
        <v>3.0</v>
      </c>
      <c r="I1590" s="1" t="s">
        <v>34</v>
      </c>
      <c r="J1590" s="1" t="s">
        <v>35</v>
      </c>
      <c r="K1590" s="1">
        <f t="shared" si="1"/>
        <v>2023</v>
      </c>
      <c r="L1590" s="1" t="str">
        <f t="shared" si="2"/>
        <v>Jun</v>
      </c>
      <c r="M1590" s="1" t="str">
        <f t="shared" si="3"/>
        <v>Profit</v>
      </c>
    </row>
    <row r="1591" ht="14.25" customHeight="1">
      <c r="A1591" s="1" t="s">
        <v>1625</v>
      </c>
      <c r="B1591" s="2">
        <v>44252.0</v>
      </c>
      <c r="C1591" s="1" t="s">
        <v>20</v>
      </c>
      <c r="D1591" s="1" t="s">
        <v>27</v>
      </c>
      <c r="E1591" s="1" t="s">
        <v>33</v>
      </c>
      <c r="F1591" s="1">
        <v>265.18</v>
      </c>
      <c r="G1591" s="1">
        <v>-62.92</v>
      </c>
      <c r="H1591" s="1">
        <v>9.0</v>
      </c>
      <c r="I1591" s="1" t="s">
        <v>23</v>
      </c>
      <c r="J1591" s="1" t="s">
        <v>24</v>
      </c>
      <c r="K1591" s="1">
        <f t="shared" si="1"/>
        <v>2021</v>
      </c>
      <c r="L1591" s="1" t="str">
        <f t="shared" si="2"/>
        <v>Feb</v>
      </c>
      <c r="M1591" s="1" t="str">
        <f t="shared" si="3"/>
        <v>Loss</v>
      </c>
    </row>
    <row r="1592" ht="14.25" customHeight="1">
      <c r="A1592" s="1" t="s">
        <v>1626</v>
      </c>
      <c r="B1592" s="2">
        <v>44738.0</v>
      </c>
      <c r="C1592" s="1" t="s">
        <v>20</v>
      </c>
      <c r="D1592" s="1" t="s">
        <v>15</v>
      </c>
      <c r="E1592" s="1" t="s">
        <v>16</v>
      </c>
      <c r="F1592" s="1">
        <v>231.08</v>
      </c>
      <c r="G1592" s="1">
        <v>223.33</v>
      </c>
      <c r="H1592" s="1">
        <v>6.0</v>
      </c>
      <c r="I1592" s="1" t="s">
        <v>17</v>
      </c>
      <c r="J1592" s="1" t="s">
        <v>35</v>
      </c>
      <c r="K1592" s="1">
        <f t="shared" si="1"/>
        <v>2022</v>
      </c>
      <c r="L1592" s="1" t="str">
        <f t="shared" si="2"/>
        <v>Jun</v>
      </c>
      <c r="M1592" s="1" t="str">
        <f t="shared" si="3"/>
        <v>Profit</v>
      </c>
    </row>
    <row r="1593" ht="14.25" customHeight="1">
      <c r="A1593" s="1" t="s">
        <v>1627</v>
      </c>
      <c r="B1593" s="2">
        <v>44560.0</v>
      </c>
      <c r="C1593" s="1" t="s">
        <v>26</v>
      </c>
      <c r="D1593" s="1" t="s">
        <v>27</v>
      </c>
      <c r="E1593" s="1" t="s">
        <v>28</v>
      </c>
      <c r="F1593" s="1">
        <v>104.15</v>
      </c>
      <c r="G1593" s="1">
        <v>112.78</v>
      </c>
      <c r="H1593" s="1">
        <v>10.0</v>
      </c>
      <c r="I1593" s="1" t="s">
        <v>17</v>
      </c>
      <c r="J1593" s="1" t="s">
        <v>18</v>
      </c>
      <c r="K1593" s="1">
        <f t="shared" si="1"/>
        <v>2021</v>
      </c>
      <c r="L1593" s="1" t="str">
        <f t="shared" si="2"/>
        <v>Dec</v>
      </c>
      <c r="M1593" s="1" t="str">
        <f t="shared" si="3"/>
        <v>Profit</v>
      </c>
    </row>
    <row r="1594" ht="14.25" customHeight="1">
      <c r="A1594" s="1" t="s">
        <v>1628</v>
      </c>
      <c r="B1594" s="2">
        <v>44516.0</v>
      </c>
      <c r="C1594" s="1" t="s">
        <v>14</v>
      </c>
      <c r="D1594" s="1" t="s">
        <v>15</v>
      </c>
      <c r="E1594" s="1" t="s">
        <v>31</v>
      </c>
      <c r="F1594" s="1">
        <v>819.2</v>
      </c>
      <c r="G1594" s="1">
        <v>262.61</v>
      </c>
      <c r="H1594" s="1">
        <v>9.0</v>
      </c>
      <c r="I1594" s="1" t="s">
        <v>34</v>
      </c>
      <c r="J1594" s="1" t="s">
        <v>38</v>
      </c>
      <c r="K1594" s="1">
        <f t="shared" si="1"/>
        <v>2021</v>
      </c>
      <c r="L1594" s="1" t="str">
        <f t="shared" si="2"/>
        <v>Nov</v>
      </c>
      <c r="M1594" s="1" t="str">
        <f t="shared" si="3"/>
        <v>Profit</v>
      </c>
    </row>
    <row r="1595" ht="14.25" customHeight="1">
      <c r="A1595" s="1" t="s">
        <v>1629</v>
      </c>
      <c r="B1595" s="2">
        <v>44627.0</v>
      </c>
      <c r="C1595" s="1" t="s">
        <v>14</v>
      </c>
      <c r="D1595" s="1" t="s">
        <v>27</v>
      </c>
      <c r="E1595" s="1" t="s">
        <v>28</v>
      </c>
      <c r="F1595" s="1">
        <v>36.34</v>
      </c>
      <c r="G1595" s="1">
        <v>-181.41</v>
      </c>
      <c r="H1595" s="1">
        <v>5.0</v>
      </c>
      <c r="I1595" s="1" t="s">
        <v>17</v>
      </c>
      <c r="J1595" s="1" t="s">
        <v>38</v>
      </c>
      <c r="K1595" s="1">
        <f t="shared" si="1"/>
        <v>2022</v>
      </c>
      <c r="L1595" s="1" t="str">
        <f t="shared" si="2"/>
        <v>Mar</v>
      </c>
      <c r="M1595" s="1" t="str">
        <f t="shared" si="3"/>
        <v>Loss</v>
      </c>
    </row>
    <row r="1596" ht="14.25" customHeight="1">
      <c r="A1596" s="1" t="s">
        <v>1630</v>
      </c>
      <c r="B1596" s="2">
        <v>44826.0</v>
      </c>
      <c r="C1596" s="1" t="s">
        <v>30</v>
      </c>
      <c r="D1596" s="1" t="s">
        <v>21</v>
      </c>
      <c r="E1596" s="1" t="s">
        <v>76</v>
      </c>
      <c r="F1596" s="1">
        <v>454.71</v>
      </c>
      <c r="G1596" s="1">
        <v>69.82</v>
      </c>
      <c r="H1596" s="1">
        <v>10.0</v>
      </c>
      <c r="I1596" s="1" t="s">
        <v>17</v>
      </c>
      <c r="J1596" s="1" t="s">
        <v>24</v>
      </c>
      <c r="K1596" s="1">
        <f t="shared" si="1"/>
        <v>2022</v>
      </c>
      <c r="L1596" s="1" t="str">
        <f t="shared" si="2"/>
        <v>Sep</v>
      </c>
      <c r="M1596" s="1" t="str">
        <f t="shared" si="3"/>
        <v>Profit</v>
      </c>
    </row>
    <row r="1597" ht="14.25" customHeight="1">
      <c r="A1597" s="1" t="s">
        <v>1631</v>
      </c>
      <c r="B1597" s="2">
        <v>44858.0</v>
      </c>
      <c r="C1597" s="1" t="s">
        <v>20</v>
      </c>
      <c r="D1597" s="1" t="s">
        <v>21</v>
      </c>
      <c r="E1597" s="1" t="s">
        <v>37</v>
      </c>
      <c r="F1597" s="1">
        <v>20.37</v>
      </c>
      <c r="G1597" s="1">
        <v>242.37</v>
      </c>
      <c r="H1597" s="1">
        <v>4.0</v>
      </c>
      <c r="I1597" s="1" t="s">
        <v>34</v>
      </c>
      <c r="J1597" s="1" t="s">
        <v>24</v>
      </c>
      <c r="K1597" s="1">
        <f t="shared" si="1"/>
        <v>2022</v>
      </c>
      <c r="L1597" s="1" t="str">
        <f t="shared" si="2"/>
        <v>Oct</v>
      </c>
      <c r="M1597" s="1" t="str">
        <f t="shared" si="3"/>
        <v>Profit</v>
      </c>
    </row>
    <row r="1598" ht="14.25" customHeight="1">
      <c r="A1598" s="1" t="s">
        <v>1632</v>
      </c>
      <c r="B1598" s="2">
        <v>44809.0</v>
      </c>
      <c r="C1598" s="1" t="s">
        <v>26</v>
      </c>
      <c r="D1598" s="1" t="s">
        <v>21</v>
      </c>
      <c r="E1598" s="1" t="s">
        <v>22</v>
      </c>
      <c r="F1598" s="1">
        <v>712.58</v>
      </c>
      <c r="G1598" s="1">
        <v>36.62</v>
      </c>
      <c r="H1598" s="1">
        <v>4.0</v>
      </c>
      <c r="I1598" s="1" t="s">
        <v>17</v>
      </c>
      <c r="J1598" s="1" t="s">
        <v>24</v>
      </c>
      <c r="K1598" s="1">
        <f t="shared" si="1"/>
        <v>2022</v>
      </c>
      <c r="L1598" s="1" t="str">
        <f t="shared" si="2"/>
        <v>Sep</v>
      </c>
      <c r="M1598" s="1" t="str">
        <f t="shared" si="3"/>
        <v>Profit</v>
      </c>
    </row>
    <row r="1599" ht="14.25" customHeight="1">
      <c r="A1599" s="1" t="s">
        <v>1633</v>
      </c>
      <c r="B1599" s="2">
        <v>44517.0</v>
      </c>
      <c r="C1599" s="1" t="s">
        <v>20</v>
      </c>
      <c r="D1599" s="1" t="s">
        <v>21</v>
      </c>
      <c r="E1599" s="1" t="s">
        <v>37</v>
      </c>
      <c r="F1599" s="1">
        <v>966.91</v>
      </c>
      <c r="G1599" s="1">
        <v>-177.62</v>
      </c>
      <c r="H1599" s="1">
        <v>10.0</v>
      </c>
      <c r="I1599" s="1" t="s">
        <v>34</v>
      </c>
      <c r="J1599" s="1" t="s">
        <v>24</v>
      </c>
      <c r="K1599" s="1">
        <f t="shared" si="1"/>
        <v>2021</v>
      </c>
      <c r="L1599" s="1" t="str">
        <f t="shared" si="2"/>
        <v>Nov</v>
      </c>
      <c r="M1599" s="1" t="str">
        <f t="shared" si="3"/>
        <v>Loss</v>
      </c>
    </row>
    <row r="1600" ht="14.25" customHeight="1">
      <c r="A1600" s="1" t="s">
        <v>1634</v>
      </c>
      <c r="B1600" s="2">
        <v>44641.0</v>
      </c>
      <c r="C1600" s="1" t="s">
        <v>14</v>
      </c>
      <c r="D1600" s="1" t="s">
        <v>27</v>
      </c>
      <c r="E1600" s="1" t="s">
        <v>28</v>
      </c>
      <c r="F1600" s="1">
        <v>34.59</v>
      </c>
      <c r="G1600" s="1">
        <v>-94.81</v>
      </c>
      <c r="H1600" s="1">
        <v>8.0</v>
      </c>
      <c r="I1600" s="1" t="s">
        <v>23</v>
      </c>
      <c r="J1600" s="1" t="s">
        <v>38</v>
      </c>
      <c r="K1600" s="1">
        <f t="shared" si="1"/>
        <v>2022</v>
      </c>
      <c r="L1600" s="1" t="str">
        <f t="shared" si="2"/>
        <v>Mar</v>
      </c>
      <c r="M1600" s="1" t="str">
        <f t="shared" si="3"/>
        <v>Loss</v>
      </c>
    </row>
    <row r="1601" ht="14.25" customHeight="1">
      <c r="A1601" s="1" t="s">
        <v>1635</v>
      </c>
      <c r="B1601" s="2">
        <v>44552.0</v>
      </c>
      <c r="C1601" s="1" t="s">
        <v>26</v>
      </c>
      <c r="D1601" s="1" t="s">
        <v>21</v>
      </c>
      <c r="E1601" s="1" t="s">
        <v>76</v>
      </c>
      <c r="F1601" s="1">
        <v>480.65</v>
      </c>
      <c r="G1601" s="1">
        <v>-15.01</v>
      </c>
      <c r="H1601" s="1">
        <v>3.0</v>
      </c>
      <c r="I1601" s="1" t="s">
        <v>23</v>
      </c>
      <c r="J1601" s="1" t="s">
        <v>35</v>
      </c>
      <c r="K1601" s="1">
        <f t="shared" si="1"/>
        <v>2021</v>
      </c>
      <c r="L1601" s="1" t="str">
        <f t="shared" si="2"/>
        <v>Dec</v>
      </c>
      <c r="M1601" s="1" t="str">
        <f t="shared" si="3"/>
        <v>Loss</v>
      </c>
    </row>
    <row r="1602" ht="14.25" customHeight="1">
      <c r="A1602" s="1" t="s">
        <v>1636</v>
      </c>
      <c r="B1602" s="2">
        <v>44974.0</v>
      </c>
      <c r="C1602" s="1" t="s">
        <v>20</v>
      </c>
      <c r="D1602" s="1" t="s">
        <v>15</v>
      </c>
      <c r="E1602" s="1" t="s">
        <v>16</v>
      </c>
      <c r="F1602" s="1">
        <v>595.28</v>
      </c>
      <c r="G1602" s="1">
        <v>9.92</v>
      </c>
      <c r="H1602" s="1">
        <v>3.0</v>
      </c>
      <c r="I1602" s="1" t="s">
        <v>17</v>
      </c>
      <c r="J1602" s="1" t="s">
        <v>24</v>
      </c>
      <c r="K1602" s="1">
        <f t="shared" si="1"/>
        <v>2023</v>
      </c>
      <c r="L1602" s="1" t="str">
        <f t="shared" si="2"/>
        <v>Feb</v>
      </c>
      <c r="M1602" s="1" t="str">
        <f t="shared" si="3"/>
        <v>Profit</v>
      </c>
    </row>
    <row r="1603" ht="14.25" customHeight="1">
      <c r="A1603" s="1" t="s">
        <v>1637</v>
      </c>
      <c r="B1603" s="2">
        <v>44266.0</v>
      </c>
      <c r="C1603" s="1" t="s">
        <v>20</v>
      </c>
      <c r="D1603" s="1" t="s">
        <v>27</v>
      </c>
      <c r="E1603" s="1" t="s">
        <v>33</v>
      </c>
      <c r="F1603" s="1">
        <v>748.04</v>
      </c>
      <c r="G1603" s="1">
        <v>19.31</v>
      </c>
      <c r="H1603" s="1">
        <v>7.0</v>
      </c>
      <c r="I1603" s="1" t="s">
        <v>34</v>
      </c>
      <c r="J1603" s="1" t="s">
        <v>18</v>
      </c>
      <c r="K1603" s="1">
        <f t="shared" si="1"/>
        <v>2021</v>
      </c>
      <c r="L1603" s="1" t="str">
        <f t="shared" si="2"/>
        <v>Mar</v>
      </c>
      <c r="M1603" s="1" t="str">
        <f t="shared" si="3"/>
        <v>Profit</v>
      </c>
    </row>
    <row r="1604" ht="14.25" customHeight="1">
      <c r="A1604" s="1" t="s">
        <v>1638</v>
      </c>
      <c r="B1604" s="2">
        <v>44595.0</v>
      </c>
      <c r="C1604" s="1" t="s">
        <v>20</v>
      </c>
      <c r="D1604" s="1" t="s">
        <v>15</v>
      </c>
      <c r="E1604" s="1" t="s">
        <v>54</v>
      </c>
      <c r="F1604" s="1">
        <v>349.02</v>
      </c>
      <c r="G1604" s="1">
        <v>10.97</v>
      </c>
      <c r="H1604" s="1">
        <v>7.0</v>
      </c>
      <c r="I1604" s="1" t="s">
        <v>17</v>
      </c>
      <c r="J1604" s="1" t="s">
        <v>35</v>
      </c>
      <c r="K1604" s="1">
        <f t="shared" si="1"/>
        <v>2022</v>
      </c>
      <c r="L1604" s="1" t="str">
        <f t="shared" si="2"/>
        <v>Feb</v>
      </c>
      <c r="M1604" s="1" t="str">
        <f t="shared" si="3"/>
        <v>Profit</v>
      </c>
    </row>
    <row r="1605" ht="14.25" customHeight="1">
      <c r="A1605" s="1" t="s">
        <v>1639</v>
      </c>
      <c r="B1605" s="2">
        <v>44300.0</v>
      </c>
      <c r="C1605" s="1" t="s">
        <v>26</v>
      </c>
      <c r="D1605" s="1" t="s">
        <v>21</v>
      </c>
      <c r="E1605" s="1" t="s">
        <v>37</v>
      </c>
      <c r="F1605" s="1">
        <v>185.95</v>
      </c>
      <c r="G1605" s="1">
        <v>23.7</v>
      </c>
      <c r="H1605" s="1">
        <v>7.0</v>
      </c>
      <c r="I1605" s="1" t="s">
        <v>23</v>
      </c>
      <c r="J1605" s="1" t="s">
        <v>38</v>
      </c>
      <c r="K1605" s="1">
        <f t="shared" si="1"/>
        <v>2021</v>
      </c>
      <c r="L1605" s="1" t="str">
        <f t="shared" si="2"/>
        <v>Apr</v>
      </c>
      <c r="M1605" s="1" t="str">
        <f t="shared" si="3"/>
        <v>Profit</v>
      </c>
    </row>
    <row r="1606" ht="14.25" customHeight="1">
      <c r="A1606" s="1" t="s">
        <v>1640</v>
      </c>
      <c r="B1606" s="2">
        <v>44241.0</v>
      </c>
      <c r="C1606" s="1" t="s">
        <v>20</v>
      </c>
      <c r="D1606" s="1" t="s">
        <v>21</v>
      </c>
      <c r="E1606" s="1" t="s">
        <v>37</v>
      </c>
      <c r="F1606" s="1">
        <v>990.63</v>
      </c>
      <c r="G1606" s="1">
        <v>194.99</v>
      </c>
      <c r="H1606" s="1">
        <v>7.0</v>
      </c>
      <c r="I1606" s="1" t="s">
        <v>17</v>
      </c>
      <c r="J1606" s="1" t="s">
        <v>38</v>
      </c>
      <c r="K1606" s="1">
        <f t="shared" si="1"/>
        <v>2021</v>
      </c>
      <c r="L1606" s="1" t="str">
        <f t="shared" si="2"/>
        <v>Feb</v>
      </c>
      <c r="M1606" s="1" t="str">
        <f t="shared" si="3"/>
        <v>Profit</v>
      </c>
    </row>
    <row r="1607" ht="14.25" customHeight="1">
      <c r="A1607" s="1" t="s">
        <v>1641</v>
      </c>
      <c r="B1607" s="2">
        <v>44897.0</v>
      </c>
      <c r="C1607" s="1" t="s">
        <v>20</v>
      </c>
      <c r="D1607" s="1" t="s">
        <v>27</v>
      </c>
      <c r="E1607" s="1" t="s">
        <v>28</v>
      </c>
      <c r="F1607" s="1">
        <v>371.34</v>
      </c>
      <c r="G1607" s="1">
        <v>237.1</v>
      </c>
      <c r="H1607" s="1">
        <v>10.0</v>
      </c>
      <c r="I1607" s="1" t="s">
        <v>17</v>
      </c>
      <c r="J1607" s="1" t="s">
        <v>38</v>
      </c>
      <c r="K1607" s="1">
        <f t="shared" si="1"/>
        <v>2022</v>
      </c>
      <c r="L1607" s="1" t="str">
        <f t="shared" si="2"/>
        <v>Dec</v>
      </c>
      <c r="M1607" s="1" t="str">
        <f t="shared" si="3"/>
        <v>Profit</v>
      </c>
    </row>
    <row r="1608" ht="14.25" customHeight="1">
      <c r="A1608" s="1" t="s">
        <v>1642</v>
      </c>
      <c r="B1608" s="2">
        <v>44723.0</v>
      </c>
      <c r="C1608" s="1" t="s">
        <v>26</v>
      </c>
      <c r="D1608" s="1" t="s">
        <v>21</v>
      </c>
      <c r="E1608" s="1" t="s">
        <v>22</v>
      </c>
      <c r="F1608" s="1">
        <v>911.2</v>
      </c>
      <c r="G1608" s="1">
        <v>-65.76</v>
      </c>
      <c r="H1608" s="1">
        <v>1.0</v>
      </c>
      <c r="I1608" s="1" t="s">
        <v>23</v>
      </c>
      <c r="J1608" s="1" t="s">
        <v>24</v>
      </c>
      <c r="K1608" s="1">
        <f t="shared" si="1"/>
        <v>2022</v>
      </c>
      <c r="L1608" s="1" t="str">
        <f t="shared" si="2"/>
        <v>Jun</v>
      </c>
      <c r="M1608" s="1" t="str">
        <f t="shared" si="3"/>
        <v>Loss</v>
      </c>
    </row>
    <row r="1609" ht="14.25" customHeight="1">
      <c r="A1609" s="1" t="s">
        <v>1643</v>
      </c>
      <c r="B1609" s="2">
        <v>44527.0</v>
      </c>
      <c r="C1609" s="1" t="s">
        <v>14</v>
      </c>
      <c r="D1609" s="1" t="s">
        <v>27</v>
      </c>
      <c r="E1609" s="1" t="s">
        <v>33</v>
      </c>
      <c r="F1609" s="1">
        <v>725.59</v>
      </c>
      <c r="G1609" s="1">
        <v>13.85</v>
      </c>
      <c r="H1609" s="1">
        <v>8.0</v>
      </c>
      <c r="I1609" s="1" t="s">
        <v>23</v>
      </c>
      <c r="J1609" s="1" t="s">
        <v>24</v>
      </c>
      <c r="K1609" s="1">
        <f t="shared" si="1"/>
        <v>2021</v>
      </c>
      <c r="L1609" s="1" t="str">
        <f t="shared" si="2"/>
        <v>Nov</v>
      </c>
      <c r="M1609" s="1" t="str">
        <f t="shared" si="3"/>
        <v>Profit</v>
      </c>
    </row>
    <row r="1610" ht="14.25" customHeight="1">
      <c r="A1610" s="1" t="s">
        <v>1644</v>
      </c>
      <c r="B1610" s="2">
        <v>45008.0</v>
      </c>
      <c r="C1610" s="1" t="s">
        <v>26</v>
      </c>
      <c r="D1610" s="1" t="s">
        <v>15</v>
      </c>
      <c r="E1610" s="1" t="s">
        <v>16</v>
      </c>
      <c r="F1610" s="1">
        <v>401.75</v>
      </c>
      <c r="G1610" s="1">
        <v>-152.97</v>
      </c>
      <c r="H1610" s="1">
        <v>7.0</v>
      </c>
      <c r="I1610" s="1" t="s">
        <v>34</v>
      </c>
      <c r="J1610" s="1" t="s">
        <v>24</v>
      </c>
      <c r="K1610" s="1">
        <f t="shared" si="1"/>
        <v>2023</v>
      </c>
      <c r="L1610" s="1" t="str">
        <f t="shared" si="2"/>
        <v>Mar</v>
      </c>
      <c r="M1610" s="1" t="str">
        <f t="shared" si="3"/>
        <v>Loss</v>
      </c>
    </row>
    <row r="1611" ht="14.25" customHeight="1">
      <c r="A1611" s="1" t="s">
        <v>1645</v>
      </c>
      <c r="B1611" s="2">
        <v>44384.0</v>
      </c>
      <c r="C1611" s="1" t="s">
        <v>26</v>
      </c>
      <c r="D1611" s="1" t="s">
        <v>27</v>
      </c>
      <c r="E1611" s="1" t="s">
        <v>28</v>
      </c>
      <c r="F1611" s="1">
        <v>429.57</v>
      </c>
      <c r="G1611" s="1">
        <v>287.36</v>
      </c>
      <c r="H1611" s="1">
        <v>10.0</v>
      </c>
      <c r="I1611" s="1" t="s">
        <v>34</v>
      </c>
      <c r="J1611" s="1" t="s">
        <v>35</v>
      </c>
      <c r="K1611" s="1">
        <f t="shared" si="1"/>
        <v>2021</v>
      </c>
      <c r="L1611" s="1" t="str">
        <f t="shared" si="2"/>
        <v>Jul</v>
      </c>
      <c r="M1611" s="1" t="str">
        <f t="shared" si="3"/>
        <v>Profit</v>
      </c>
    </row>
    <row r="1612" ht="14.25" customHeight="1">
      <c r="A1612" s="1" t="s">
        <v>1646</v>
      </c>
      <c r="B1612" s="2">
        <v>44302.0</v>
      </c>
      <c r="C1612" s="1" t="s">
        <v>26</v>
      </c>
      <c r="D1612" s="1" t="s">
        <v>15</v>
      </c>
      <c r="E1612" s="1" t="s">
        <v>54</v>
      </c>
      <c r="F1612" s="1">
        <v>87.03</v>
      </c>
      <c r="G1612" s="1">
        <v>-134.99</v>
      </c>
      <c r="H1612" s="1">
        <v>4.0</v>
      </c>
      <c r="I1612" s="1" t="s">
        <v>34</v>
      </c>
      <c r="J1612" s="1" t="s">
        <v>35</v>
      </c>
      <c r="K1612" s="1">
        <f t="shared" si="1"/>
        <v>2021</v>
      </c>
      <c r="L1612" s="1" t="str">
        <f t="shared" si="2"/>
        <v>Apr</v>
      </c>
      <c r="M1612" s="1" t="str">
        <f t="shared" si="3"/>
        <v>Loss</v>
      </c>
    </row>
    <row r="1613" ht="14.25" customHeight="1">
      <c r="A1613" s="1" t="s">
        <v>1647</v>
      </c>
      <c r="B1613" s="2">
        <v>44659.0</v>
      </c>
      <c r="C1613" s="1" t="s">
        <v>20</v>
      </c>
      <c r="D1613" s="1" t="s">
        <v>27</v>
      </c>
      <c r="E1613" s="1" t="s">
        <v>33</v>
      </c>
      <c r="F1613" s="1">
        <v>520.74</v>
      </c>
      <c r="G1613" s="1">
        <v>-94.89</v>
      </c>
      <c r="H1613" s="1">
        <v>9.0</v>
      </c>
      <c r="I1613" s="1" t="s">
        <v>23</v>
      </c>
      <c r="J1613" s="1" t="s">
        <v>38</v>
      </c>
      <c r="K1613" s="1">
        <f t="shared" si="1"/>
        <v>2022</v>
      </c>
      <c r="L1613" s="1" t="str">
        <f t="shared" si="2"/>
        <v>Apr</v>
      </c>
      <c r="M1613" s="1" t="str">
        <f t="shared" si="3"/>
        <v>Loss</v>
      </c>
    </row>
    <row r="1614" ht="14.25" customHeight="1">
      <c r="A1614" s="1" t="s">
        <v>1648</v>
      </c>
      <c r="B1614" s="2">
        <v>45256.0</v>
      </c>
      <c r="C1614" s="1" t="s">
        <v>26</v>
      </c>
      <c r="D1614" s="1" t="s">
        <v>27</v>
      </c>
      <c r="E1614" s="1" t="s">
        <v>40</v>
      </c>
      <c r="F1614" s="1">
        <v>665.64</v>
      </c>
      <c r="G1614" s="1">
        <v>-55.18</v>
      </c>
      <c r="H1614" s="1">
        <v>10.0</v>
      </c>
      <c r="I1614" s="1" t="s">
        <v>34</v>
      </c>
      <c r="J1614" s="1" t="s">
        <v>18</v>
      </c>
      <c r="K1614" s="1">
        <f t="shared" si="1"/>
        <v>2023</v>
      </c>
      <c r="L1614" s="1" t="str">
        <f t="shared" si="2"/>
        <v>Nov</v>
      </c>
      <c r="M1614" s="1" t="str">
        <f t="shared" si="3"/>
        <v>Loss</v>
      </c>
    </row>
    <row r="1615" ht="14.25" customHeight="1">
      <c r="A1615" s="1" t="s">
        <v>1649</v>
      </c>
      <c r="B1615" s="2">
        <v>45184.0</v>
      </c>
      <c r="C1615" s="1" t="s">
        <v>30</v>
      </c>
      <c r="D1615" s="1" t="s">
        <v>21</v>
      </c>
      <c r="E1615" s="1" t="s">
        <v>76</v>
      </c>
      <c r="F1615" s="1">
        <v>880.49</v>
      </c>
      <c r="G1615" s="1">
        <v>-15.34</v>
      </c>
      <c r="H1615" s="1">
        <v>2.0</v>
      </c>
      <c r="I1615" s="1" t="s">
        <v>17</v>
      </c>
      <c r="J1615" s="1" t="s">
        <v>35</v>
      </c>
      <c r="K1615" s="1">
        <f t="shared" si="1"/>
        <v>2023</v>
      </c>
      <c r="L1615" s="1" t="str">
        <f t="shared" si="2"/>
        <v>Sep</v>
      </c>
      <c r="M1615" s="1" t="str">
        <f t="shared" si="3"/>
        <v>Loss</v>
      </c>
    </row>
    <row r="1616" ht="14.25" customHeight="1">
      <c r="A1616" s="1" t="s">
        <v>1650</v>
      </c>
      <c r="B1616" s="2">
        <v>44348.0</v>
      </c>
      <c r="C1616" s="1" t="s">
        <v>20</v>
      </c>
      <c r="D1616" s="1" t="s">
        <v>21</v>
      </c>
      <c r="E1616" s="1" t="s">
        <v>22</v>
      </c>
      <c r="F1616" s="1">
        <v>971.64</v>
      </c>
      <c r="G1616" s="1">
        <v>-24.32</v>
      </c>
      <c r="H1616" s="1">
        <v>4.0</v>
      </c>
      <c r="I1616" s="1" t="s">
        <v>34</v>
      </c>
      <c r="J1616" s="1" t="s">
        <v>24</v>
      </c>
      <c r="K1616" s="1">
        <f t="shared" si="1"/>
        <v>2021</v>
      </c>
      <c r="L1616" s="1" t="str">
        <f t="shared" si="2"/>
        <v>Jun</v>
      </c>
      <c r="M1616" s="1" t="str">
        <f t="shared" si="3"/>
        <v>Loss</v>
      </c>
    </row>
    <row r="1617" ht="14.25" customHeight="1">
      <c r="A1617" s="1" t="s">
        <v>1651</v>
      </c>
      <c r="B1617" s="2">
        <v>44399.0</v>
      </c>
      <c r="C1617" s="1" t="s">
        <v>30</v>
      </c>
      <c r="D1617" s="1" t="s">
        <v>27</v>
      </c>
      <c r="E1617" s="1" t="s">
        <v>28</v>
      </c>
      <c r="F1617" s="1">
        <v>439.13</v>
      </c>
      <c r="G1617" s="1">
        <v>174.14</v>
      </c>
      <c r="H1617" s="1">
        <v>1.0</v>
      </c>
      <c r="I1617" s="1" t="s">
        <v>34</v>
      </c>
      <c r="J1617" s="1" t="s">
        <v>35</v>
      </c>
      <c r="K1617" s="1">
        <f t="shared" si="1"/>
        <v>2021</v>
      </c>
      <c r="L1617" s="1" t="str">
        <f t="shared" si="2"/>
        <v>Jul</v>
      </c>
      <c r="M1617" s="1" t="str">
        <f t="shared" si="3"/>
        <v>Profit</v>
      </c>
    </row>
    <row r="1618" ht="14.25" customHeight="1">
      <c r="A1618" s="1" t="s">
        <v>1652</v>
      </c>
      <c r="B1618" s="2">
        <v>44781.0</v>
      </c>
      <c r="C1618" s="1" t="s">
        <v>14</v>
      </c>
      <c r="D1618" s="1" t="s">
        <v>27</v>
      </c>
      <c r="E1618" s="1" t="s">
        <v>28</v>
      </c>
      <c r="F1618" s="1">
        <v>883.77</v>
      </c>
      <c r="G1618" s="1">
        <v>63.25</v>
      </c>
      <c r="H1618" s="1">
        <v>4.0</v>
      </c>
      <c r="I1618" s="1" t="s">
        <v>23</v>
      </c>
      <c r="J1618" s="1" t="s">
        <v>24</v>
      </c>
      <c r="K1618" s="1">
        <f t="shared" si="1"/>
        <v>2022</v>
      </c>
      <c r="L1618" s="1" t="str">
        <f t="shared" si="2"/>
        <v>Aug</v>
      </c>
      <c r="M1618" s="1" t="str">
        <f t="shared" si="3"/>
        <v>Profit</v>
      </c>
    </row>
    <row r="1619" ht="14.25" customHeight="1">
      <c r="A1619" s="1" t="s">
        <v>1653</v>
      </c>
      <c r="B1619" s="2">
        <v>44717.0</v>
      </c>
      <c r="C1619" s="1" t="s">
        <v>26</v>
      </c>
      <c r="D1619" s="1" t="s">
        <v>27</v>
      </c>
      <c r="E1619" s="1" t="s">
        <v>33</v>
      </c>
      <c r="F1619" s="1">
        <v>913.42</v>
      </c>
      <c r="G1619" s="1">
        <v>283.19</v>
      </c>
      <c r="H1619" s="1">
        <v>5.0</v>
      </c>
      <c r="I1619" s="1" t="s">
        <v>23</v>
      </c>
      <c r="J1619" s="1" t="s">
        <v>24</v>
      </c>
      <c r="K1619" s="1">
        <f t="shared" si="1"/>
        <v>2022</v>
      </c>
      <c r="L1619" s="1" t="str">
        <f t="shared" si="2"/>
        <v>Jun</v>
      </c>
      <c r="M1619" s="1" t="str">
        <f t="shared" si="3"/>
        <v>Profit</v>
      </c>
    </row>
    <row r="1620" ht="14.25" customHeight="1">
      <c r="A1620" s="1" t="s">
        <v>1654</v>
      </c>
      <c r="B1620" s="2">
        <v>44780.0</v>
      </c>
      <c r="C1620" s="1" t="s">
        <v>30</v>
      </c>
      <c r="D1620" s="1" t="s">
        <v>15</v>
      </c>
      <c r="E1620" s="1" t="s">
        <v>31</v>
      </c>
      <c r="F1620" s="1">
        <v>233.91</v>
      </c>
      <c r="G1620" s="1">
        <v>-16.05</v>
      </c>
      <c r="H1620" s="1">
        <v>2.0</v>
      </c>
      <c r="I1620" s="1" t="s">
        <v>23</v>
      </c>
      <c r="J1620" s="1" t="s">
        <v>38</v>
      </c>
      <c r="K1620" s="1">
        <f t="shared" si="1"/>
        <v>2022</v>
      </c>
      <c r="L1620" s="1" t="str">
        <f t="shared" si="2"/>
        <v>Aug</v>
      </c>
      <c r="M1620" s="1" t="str">
        <f t="shared" si="3"/>
        <v>Loss</v>
      </c>
    </row>
    <row r="1621" ht="14.25" customHeight="1">
      <c r="A1621" s="1" t="s">
        <v>1655</v>
      </c>
      <c r="B1621" s="2">
        <v>44992.0</v>
      </c>
      <c r="C1621" s="1" t="s">
        <v>30</v>
      </c>
      <c r="D1621" s="1" t="s">
        <v>27</v>
      </c>
      <c r="E1621" s="1" t="s">
        <v>33</v>
      </c>
      <c r="F1621" s="1">
        <v>139.29</v>
      </c>
      <c r="G1621" s="1">
        <v>-93.59</v>
      </c>
      <c r="H1621" s="1">
        <v>6.0</v>
      </c>
      <c r="I1621" s="1" t="s">
        <v>23</v>
      </c>
      <c r="J1621" s="1" t="s">
        <v>24</v>
      </c>
      <c r="K1621" s="1">
        <f t="shared" si="1"/>
        <v>2023</v>
      </c>
      <c r="L1621" s="1" t="str">
        <f t="shared" si="2"/>
        <v>Mar</v>
      </c>
      <c r="M1621" s="1" t="str">
        <f t="shared" si="3"/>
        <v>Loss</v>
      </c>
    </row>
    <row r="1622" ht="14.25" customHeight="1">
      <c r="A1622" s="1" t="s">
        <v>1656</v>
      </c>
      <c r="B1622" s="2">
        <v>44441.0</v>
      </c>
      <c r="C1622" s="1" t="s">
        <v>20</v>
      </c>
      <c r="D1622" s="1" t="s">
        <v>21</v>
      </c>
      <c r="E1622" s="1" t="s">
        <v>37</v>
      </c>
      <c r="F1622" s="1">
        <v>249.95</v>
      </c>
      <c r="G1622" s="1">
        <v>263.65</v>
      </c>
      <c r="H1622" s="1">
        <v>3.0</v>
      </c>
      <c r="I1622" s="1" t="s">
        <v>34</v>
      </c>
      <c r="J1622" s="1" t="s">
        <v>24</v>
      </c>
      <c r="K1622" s="1">
        <f t="shared" si="1"/>
        <v>2021</v>
      </c>
      <c r="L1622" s="1" t="str">
        <f t="shared" si="2"/>
        <v>Sep</v>
      </c>
      <c r="M1622" s="1" t="str">
        <f t="shared" si="3"/>
        <v>Profit</v>
      </c>
    </row>
    <row r="1623" ht="14.25" customHeight="1">
      <c r="A1623" s="1" t="s">
        <v>1657</v>
      </c>
      <c r="B1623" s="2">
        <v>44619.0</v>
      </c>
      <c r="C1623" s="1" t="s">
        <v>20</v>
      </c>
      <c r="D1623" s="1" t="s">
        <v>15</v>
      </c>
      <c r="E1623" s="1" t="s">
        <v>31</v>
      </c>
      <c r="F1623" s="1">
        <v>445.43</v>
      </c>
      <c r="G1623" s="1">
        <v>254.84</v>
      </c>
      <c r="H1623" s="1">
        <v>5.0</v>
      </c>
      <c r="I1623" s="1" t="s">
        <v>17</v>
      </c>
      <c r="J1623" s="1" t="s">
        <v>38</v>
      </c>
      <c r="K1623" s="1">
        <f t="shared" si="1"/>
        <v>2022</v>
      </c>
      <c r="L1623" s="1" t="str">
        <f t="shared" si="2"/>
        <v>Feb</v>
      </c>
      <c r="M1623" s="1" t="str">
        <f t="shared" si="3"/>
        <v>Profit</v>
      </c>
    </row>
    <row r="1624" ht="14.25" customHeight="1">
      <c r="A1624" s="1" t="s">
        <v>1658</v>
      </c>
      <c r="B1624" s="2">
        <v>44699.0</v>
      </c>
      <c r="C1624" s="1" t="s">
        <v>20</v>
      </c>
      <c r="D1624" s="1" t="s">
        <v>21</v>
      </c>
      <c r="E1624" s="1" t="s">
        <v>76</v>
      </c>
      <c r="F1624" s="1">
        <v>171.01</v>
      </c>
      <c r="G1624" s="1">
        <v>217.6</v>
      </c>
      <c r="H1624" s="1">
        <v>6.0</v>
      </c>
      <c r="I1624" s="1" t="s">
        <v>34</v>
      </c>
      <c r="J1624" s="1" t="s">
        <v>24</v>
      </c>
      <c r="K1624" s="1">
        <f t="shared" si="1"/>
        <v>2022</v>
      </c>
      <c r="L1624" s="1" t="str">
        <f t="shared" si="2"/>
        <v>May</v>
      </c>
      <c r="M1624" s="1" t="str">
        <f t="shared" si="3"/>
        <v>Profit</v>
      </c>
    </row>
    <row r="1625" ht="14.25" customHeight="1">
      <c r="A1625" s="1" t="s">
        <v>1659</v>
      </c>
      <c r="B1625" s="2">
        <v>45247.0</v>
      </c>
      <c r="C1625" s="1" t="s">
        <v>20</v>
      </c>
      <c r="D1625" s="1" t="s">
        <v>15</v>
      </c>
      <c r="E1625" s="1" t="s">
        <v>54</v>
      </c>
      <c r="F1625" s="1">
        <v>231.8</v>
      </c>
      <c r="G1625" s="1">
        <v>136.44</v>
      </c>
      <c r="H1625" s="1">
        <v>3.0</v>
      </c>
      <c r="I1625" s="1" t="s">
        <v>23</v>
      </c>
      <c r="J1625" s="1" t="s">
        <v>18</v>
      </c>
      <c r="K1625" s="1">
        <f t="shared" si="1"/>
        <v>2023</v>
      </c>
      <c r="L1625" s="1" t="str">
        <f t="shared" si="2"/>
        <v>Nov</v>
      </c>
      <c r="M1625" s="1" t="str">
        <f t="shared" si="3"/>
        <v>Profit</v>
      </c>
    </row>
    <row r="1626" ht="14.25" customHeight="1">
      <c r="A1626" s="1" t="s">
        <v>1660</v>
      </c>
      <c r="B1626" s="2">
        <v>44353.0</v>
      </c>
      <c r="C1626" s="1" t="s">
        <v>30</v>
      </c>
      <c r="D1626" s="1" t="s">
        <v>27</v>
      </c>
      <c r="E1626" s="1" t="s">
        <v>40</v>
      </c>
      <c r="F1626" s="1">
        <v>639.46</v>
      </c>
      <c r="G1626" s="1">
        <v>-1.59</v>
      </c>
      <c r="H1626" s="1">
        <v>6.0</v>
      </c>
      <c r="I1626" s="1" t="s">
        <v>23</v>
      </c>
      <c r="J1626" s="1" t="s">
        <v>18</v>
      </c>
      <c r="K1626" s="1">
        <f t="shared" si="1"/>
        <v>2021</v>
      </c>
      <c r="L1626" s="1" t="str">
        <f t="shared" si="2"/>
        <v>Jun</v>
      </c>
      <c r="M1626" s="1" t="str">
        <f t="shared" si="3"/>
        <v>Loss</v>
      </c>
    </row>
    <row r="1627" ht="14.25" customHeight="1">
      <c r="A1627" s="1" t="s">
        <v>1661</v>
      </c>
      <c r="B1627" s="2">
        <v>45128.0</v>
      </c>
      <c r="C1627" s="1" t="s">
        <v>14</v>
      </c>
      <c r="D1627" s="1" t="s">
        <v>27</v>
      </c>
      <c r="E1627" s="1" t="s">
        <v>40</v>
      </c>
      <c r="F1627" s="1">
        <v>116.02</v>
      </c>
      <c r="G1627" s="1">
        <v>118.79</v>
      </c>
      <c r="H1627" s="1">
        <v>6.0</v>
      </c>
      <c r="I1627" s="1" t="s">
        <v>34</v>
      </c>
      <c r="J1627" s="1" t="s">
        <v>18</v>
      </c>
      <c r="K1627" s="1">
        <f t="shared" si="1"/>
        <v>2023</v>
      </c>
      <c r="L1627" s="1" t="str">
        <f t="shared" si="2"/>
        <v>Jul</v>
      </c>
      <c r="M1627" s="1" t="str">
        <f t="shared" si="3"/>
        <v>Profit</v>
      </c>
    </row>
    <row r="1628" ht="14.25" customHeight="1">
      <c r="A1628" s="1" t="s">
        <v>1662</v>
      </c>
      <c r="B1628" s="2">
        <v>44552.0</v>
      </c>
      <c r="C1628" s="1" t="s">
        <v>26</v>
      </c>
      <c r="D1628" s="1" t="s">
        <v>15</v>
      </c>
      <c r="E1628" s="1" t="s">
        <v>31</v>
      </c>
      <c r="F1628" s="1">
        <v>938.63</v>
      </c>
      <c r="G1628" s="1">
        <v>-101.27</v>
      </c>
      <c r="H1628" s="1">
        <v>3.0</v>
      </c>
      <c r="I1628" s="1" t="s">
        <v>17</v>
      </c>
      <c r="J1628" s="1" t="s">
        <v>38</v>
      </c>
      <c r="K1628" s="1">
        <f t="shared" si="1"/>
        <v>2021</v>
      </c>
      <c r="L1628" s="1" t="str">
        <f t="shared" si="2"/>
        <v>Dec</v>
      </c>
      <c r="M1628" s="1" t="str">
        <f t="shared" si="3"/>
        <v>Loss</v>
      </c>
    </row>
    <row r="1629" ht="14.25" customHeight="1">
      <c r="A1629" s="1" t="s">
        <v>1663</v>
      </c>
      <c r="B1629" s="2">
        <v>44933.0</v>
      </c>
      <c r="C1629" s="1" t="s">
        <v>20</v>
      </c>
      <c r="D1629" s="1" t="s">
        <v>15</v>
      </c>
      <c r="E1629" s="1" t="s">
        <v>31</v>
      </c>
      <c r="F1629" s="1">
        <v>286.74</v>
      </c>
      <c r="G1629" s="1">
        <v>261.12</v>
      </c>
      <c r="H1629" s="1">
        <v>6.0</v>
      </c>
      <c r="I1629" s="1" t="s">
        <v>17</v>
      </c>
      <c r="J1629" s="1" t="s">
        <v>38</v>
      </c>
      <c r="K1629" s="1">
        <f t="shared" si="1"/>
        <v>2023</v>
      </c>
      <c r="L1629" s="1" t="str">
        <f t="shared" si="2"/>
        <v>Jan</v>
      </c>
      <c r="M1629" s="1" t="str">
        <f t="shared" si="3"/>
        <v>Profit</v>
      </c>
    </row>
    <row r="1630" ht="14.25" customHeight="1">
      <c r="A1630" s="1" t="s">
        <v>1664</v>
      </c>
      <c r="B1630" s="2">
        <v>44376.0</v>
      </c>
      <c r="C1630" s="1" t="s">
        <v>20</v>
      </c>
      <c r="D1630" s="1" t="s">
        <v>21</v>
      </c>
      <c r="E1630" s="1" t="s">
        <v>37</v>
      </c>
      <c r="F1630" s="1">
        <v>960.92</v>
      </c>
      <c r="G1630" s="1">
        <v>-198.76</v>
      </c>
      <c r="H1630" s="1">
        <v>8.0</v>
      </c>
      <c r="I1630" s="1" t="s">
        <v>17</v>
      </c>
      <c r="J1630" s="1" t="s">
        <v>38</v>
      </c>
      <c r="K1630" s="1">
        <f t="shared" si="1"/>
        <v>2021</v>
      </c>
      <c r="L1630" s="1" t="str">
        <f t="shared" si="2"/>
        <v>Jun</v>
      </c>
      <c r="M1630" s="1" t="str">
        <f t="shared" si="3"/>
        <v>Loss</v>
      </c>
    </row>
    <row r="1631" ht="14.25" customHeight="1">
      <c r="A1631" s="1" t="s">
        <v>1665</v>
      </c>
      <c r="B1631" s="2">
        <v>45048.0</v>
      </c>
      <c r="C1631" s="1" t="s">
        <v>26</v>
      </c>
      <c r="D1631" s="1" t="s">
        <v>27</v>
      </c>
      <c r="E1631" s="1" t="s">
        <v>28</v>
      </c>
      <c r="F1631" s="1">
        <v>882.78</v>
      </c>
      <c r="G1631" s="1">
        <v>43.93</v>
      </c>
      <c r="H1631" s="1">
        <v>6.0</v>
      </c>
      <c r="I1631" s="1" t="s">
        <v>34</v>
      </c>
      <c r="J1631" s="1" t="s">
        <v>18</v>
      </c>
      <c r="K1631" s="1">
        <f t="shared" si="1"/>
        <v>2023</v>
      </c>
      <c r="L1631" s="1" t="str">
        <f t="shared" si="2"/>
        <v>May</v>
      </c>
      <c r="M1631" s="1" t="str">
        <f t="shared" si="3"/>
        <v>Profit</v>
      </c>
    </row>
    <row r="1632" ht="14.25" customHeight="1">
      <c r="A1632" s="1" t="s">
        <v>1666</v>
      </c>
      <c r="B1632" s="2">
        <v>45276.0</v>
      </c>
      <c r="C1632" s="1" t="s">
        <v>30</v>
      </c>
      <c r="D1632" s="1" t="s">
        <v>27</v>
      </c>
      <c r="E1632" s="1" t="s">
        <v>33</v>
      </c>
      <c r="F1632" s="1">
        <v>988.12</v>
      </c>
      <c r="G1632" s="1">
        <v>38.8</v>
      </c>
      <c r="H1632" s="1">
        <v>2.0</v>
      </c>
      <c r="I1632" s="1" t="s">
        <v>34</v>
      </c>
      <c r="J1632" s="1" t="s">
        <v>38</v>
      </c>
      <c r="K1632" s="1">
        <f t="shared" si="1"/>
        <v>2023</v>
      </c>
      <c r="L1632" s="1" t="str">
        <f t="shared" si="2"/>
        <v>Dec</v>
      </c>
      <c r="M1632" s="1" t="str">
        <f t="shared" si="3"/>
        <v>Profit</v>
      </c>
    </row>
    <row r="1633" ht="14.25" customHeight="1">
      <c r="A1633" s="1" t="s">
        <v>1667</v>
      </c>
      <c r="B1633" s="2">
        <v>45260.0</v>
      </c>
      <c r="C1633" s="1" t="s">
        <v>20</v>
      </c>
      <c r="D1633" s="1" t="s">
        <v>15</v>
      </c>
      <c r="E1633" s="1" t="s">
        <v>31</v>
      </c>
      <c r="F1633" s="1">
        <v>90.61</v>
      </c>
      <c r="G1633" s="1">
        <v>103.12</v>
      </c>
      <c r="H1633" s="1">
        <v>2.0</v>
      </c>
      <c r="I1633" s="1" t="s">
        <v>23</v>
      </c>
      <c r="J1633" s="1" t="s">
        <v>24</v>
      </c>
      <c r="K1633" s="1">
        <f t="shared" si="1"/>
        <v>2023</v>
      </c>
      <c r="L1633" s="1" t="str">
        <f t="shared" si="2"/>
        <v>Nov</v>
      </c>
      <c r="M1633" s="1" t="str">
        <f t="shared" si="3"/>
        <v>Profit</v>
      </c>
    </row>
    <row r="1634" ht="14.25" customHeight="1">
      <c r="A1634" s="1" t="s">
        <v>1668</v>
      </c>
      <c r="B1634" s="2">
        <v>44293.0</v>
      </c>
      <c r="C1634" s="1" t="s">
        <v>20</v>
      </c>
      <c r="D1634" s="1" t="s">
        <v>15</v>
      </c>
      <c r="E1634" s="1" t="s">
        <v>16</v>
      </c>
      <c r="F1634" s="1">
        <v>24.4</v>
      </c>
      <c r="G1634" s="1">
        <v>-21.65</v>
      </c>
      <c r="H1634" s="1">
        <v>1.0</v>
      </c>
      <c r="I1634" s="1" t="s">
        <v>23</v>
      </c>
      <c r="J1634" s="1" t="s">
        <v>35</v>
      </c>
      <c r="K1634" s="1">
        <f t="shared" si="1"/>
        <v>2021</v>
      </c>
      <c r="L1634" s="1" t="str">
        <f t="shared" si="2"/>
        <v>Apr</v>
      </c>
      <c r="M1634" s="1" t="str">
        <f t="shared" si="3"/>
        <v>Loss</v>
      </c>
    </row>
    <row r="1635" ht="14.25" customHeight="1">
      <c r="A1635" s="1" t="s">
        <v>1669</v>
      </c>
      <c r="B1635" s="2">
        <v>45038.0</v>
      </c>
      <c r="C1635" s="1" t="s">
        <v>14</v>
      </c>
      <c r="D1635" s="1" t="s">
        <v>27</v>
      </c>
      <c r="E1635" s="1" t="s">
        <v>28</v>
      </c>
      <c r="F1635" s="1">
        <v>825.58</v>
      </c>
      <c r="G1635" s="1">
        <v>277.4</v>
      </c>
      <c r="H1635" s="1">
        <v>7.0</v>
      </c>
      <c r="I1635" s="1" t="s">
        <v>23</v>
      </c>
      <c r="J1635" s="1" t="s">
        <v>24</v>
      </c>
      <c r="K1635" s="1">
        <f t="shared" si="1"/>
        <v>2023</v>
      </c>
      <c r="L1635" s="1" t="str">
        <f t="shared" si="2"/>
        <v>Apr</v>
      </c>
      <c r="M1635" s="1" t="str">
        <f t="shared" si="3"/>
        <v>Profit</v>
      </c>
    </row>
    <row r="1636" ht="14.25" customHeight="1">
      <c r="A1636" s="1" t="s">
        <v>1670</v>
      </c>
      <c r="B1636" s="2">
        <v>45186.0</v>
      </c>
      <c r="C1636" s="1" t="s">
        <v>26</v>
      </c>
      <c r="D1636" s="1" t="s">
        <v>15</v>
      </c>
      <c r="E1636" s="1" t="s">
        <v>16</v>
      </c>
      <c r="F1636" s="1">
        <v>507.7</v>
      </c>
      <c r="G1636" s="1">
        <v>-39.13</v>
      </c>
      <c r="H1636" s="1">
        <v>10.0</v>
      </c>
      <c r="I1636" s="1" t="s">
        <v>23</v>
      </c>
      <c r="J1636" s="1" t="s">
        <v>24</v>
      </c>
      <c r="K1636" s="1">
        <f t="shared" si="1"/>
        <v>2023</v>
      </c>
      <c r="L1636" s="1" t="str">
        <f t="shared" si="2"/>
        <v>Sep</v>
      </c>
      <c r="M1636" s="1" t="str">
        <f t="shared" si="3"/>
        <v>Loss</v>
      </c>
    </row>
    <row r="1637" ht="14.25" customHeight="1">
      <c r="A1637" s="1" t="s">
        <v>1671</v>
      </c>
      <c r="B1637" s="2">
        <v>45230.0</v>
      </c>
      <c r="C1637" s="1" t="s">
        <v>14</v>
      </c>
      <c r="D1637" s="1" t="s">
        <v>15</v>
      </c>
      <c r="E1637" s="1" t="s">
        <v>16</v>
      </c>
      <c r="F1637" s="1">
        <v>278.89</v>
      </c>
      <c r="G1637" s="1">
        <v>-112.66</v>
      </c>
      <c r="H1637" s="1">
        <v>5.0</v>
      </c>
      <c r="I1637" s="1" t="s">
        <v>34</v>
      </c>
      <c r="J1637" s="1" t="s">
        <v>18</v>
      </c>
      <c r="K1637" s="1">
        <f t="shared" si="1"/>
        <v>2023</v>
      </c>
      <c r="L1637" s="1" t="str">
        <f t="shared" si="2"/>
        <v>Oct</v>
      </c>
      <c r="M1637" s="1" t="str">
        <f t="shared" si="3"/>
        <v>Loss</v>
      </c>
    </row>
    <row r="1638" ht="14.25" customHeight="1">
      <c r="A1638" s="1" t="s">
        <v>1672</v>
      </c>
      <c r="B1638" s="2">
        <v>44985.0</v>
      </c>
      <c r="C1638" s="1" t="s">
        <v>30</v>
      </c>
      <c r="D1638" s="1" t="s">
        <v>21</v>
      </c>
      <c r="E1638" s="1" t="s">
        <v>37</v>
      </c>
      <c r="F1638" s="1">
        <v>652.67</v>
      </c>
      <c r="G1638" s="1">
        <v>-82.97</v>
      </c>
      <c r="H1638" s="1">
        <v>1.0</v>
      </c>
      <c r="I1638" s="1" t="s">
        <v>34</v>
      </c>
      <c r="J1638" s="1" t="s">
        <v>24</v>
      </c>
      <c r="K1638" s="1">
        <f t="shared" si="1"/>
        <v>2023</v>
      </c>
      <c r="L1638" s="1" t="str">
        <f t="shared" si="2"/>
        <v>Feb</v>
      </c>
      <c r="M1638" s="1" t="str">
        <f t="shared" si="3"/>
        <v>Loss</v>
      </c>
    </row>
    <row r="1639" ht="14.25" customHeight="1">
      <c r="A1639" s="1" t="s">
        <v>1673</v>
      </c>
      <c r="B1639" s="2">
        <v>44873.0</v>
      </c>
      <c r="C1639" s="1" t="s">
        <v>30</v>
      </c>
      <c r="D1639" s="1" t="s">
        <v>27</v>
      </c>
      <c r="E1639" s="1" t="s">
        <v>40</v>
      </c>
      <c r="F1639" s="1">
        <v>204.56</v>
      </c>
      <c r="G1639" s="1">
        <v>-172.8</v>
      </c>
      <c r="H1639" s="1">
        <v>8.0</v>
      </c>
      <c r="I1639" s="1" t="s">
        <v>23</v>
      </c>
      <c r="J1639" s="1" t="s">
        <v>18</v>
      </c>
      <c r="K1639" s="1">
        <f t="shared" si="1"/>
        <v>2022</v>
      </c>
      <c r="L1639" s="1" t="str">
        <f t="shared" si="2"/>
        <v>Nov</v>
      </c>
      <c r="M1639" s="1" t="str">
        <f t="shared" si="3"/>
        <v>Loss</v>
      </c>
    </row>
    <row r="1640" ht="14.25" customHeight="1">
      <c r="A1640" s="1" t="s">
        <v>1674</v>
      </c>
      <c r="B1640" s="2">
        <v>44688.0</v>
      </c>
      <c r="C1640" s="1" t="s">
        <v>26</v>
      </c>
      <c r="D1640" s="1" t="s">
        <v>27</v>
      </c>
      <c r="E1640" s="1" t="s">
        <v>28</v>
      </c>
      <c r="F1640" s="1">
        <v>354.56</v>
      </c>
      <c r="G1640" s="1">
        <v>229.78</v>
      </c>
      <c r="H1640" s="1">
        <v>3.0</v>
      </c>
      <c r="I1640" s="1" t="s">
        <v>17</v>
      </c>
      <c r="J1640" s="1" t="s">
        <v>35</v>
      </c>
      <c r="K1640" s="1">
        <f t="shared" si="1"/>
        <v>2022</v>
      </c>
      <c r="L1640" s="1" t="str">
        <f t="shared" si="2"/>
        <v>May</v>
      </c>
      <c r="M1640" s="1" t="str">
        <f t="shared" si="3"/>
        <v>Profit</v>
      </c>
    </row>
    <row r="1641" ht="14.25" customHeight="1">
      <c r="A1641" s="1" t="s">
        <v>1675</v>
      </c>
      <c r="B1641" s="2">
        <v>44678.0</v>
      </c>
      <c r="C1641" s="1" t="s">
        <v>30</v>
      </c>
      <c r="D1641" s="1" t="s">
        <v>27</v>
      </c>
      <c r="E1641" s="1" t="s">
        <v>28</v>
      </c>
      <c r="F1641" s="1">
        <v>177.64</v>
      </c>
      <c r="G1641" s="1">
        <v>-16.61</v>
      </c>
      <c r="H1641" s="1">
        <v>5.0</v>
      </c>
      <c r="I1641" s="1" t="s">
        <v>23</v>
      </c>
      <c r="J1641" s="1" t="s">
        <v>35</v>
      </c>
      <c r="K1641" s="1">
        <f t="shared" si="1"/>
        <v>2022</v>
      </c>
      <c r="L1641" s="1" t="str">
        <f t="shared" si="2"/>
        <v>Apr</v>
      </c>
      <c r="M1641" s="1" t="str">
        <f t="shared" si="3"/>
        <v>Loss</v>
      </c>
    </row>
    <row r="1642" ht="14.25" customHeight="1">
      <c r="A1642" s="1" t="s">
        <v>1676</v>
      </c>
      <c r="B1642" s="2">
        <v>44719.0</v>
      </c>
      <c r="C1642" s="1" t="s">
        <v>14</v>
      </c>
      <c r="D1642" s="1" t="s">
        <v>15</v>
      </c>
      <c r="E1642" s="1" t="s">
        <v>54</v>
      </c>
      <c r="F1642" s="1">
        <v>928.97</v>
      </c>
      <c r="G1642" s="1">
        <v>176.62</v>
      </c>
      <c r="H1642" s="1">
        <v>1.0</v>
      </c>
      <c r="I1642" s="1" t="s">
        <v>23</v>
      </c>
      <c r="J1642" s="1" t="s">
        <v>18</v>
      </c>
      <c r="K1642" s="1">
        <f t="shared" si="1"/>
        <v>2022</v>
      </c>
      <c r="L1642" s="1" t="str">
        <f t="shared" si="2"/>
        <v>Jun</v>
      </c>
      <c r="M1642" s="1" t="str">
        <f t="shared" si="3"/>
        <v>Profit</v>
      </c>
    </row>
    <row r="1643" ht="14.25" customHeight="1">
      <c r="A1643" s="1" t="s">
        <v>1677</v>
      </c>
      <c r="B1643" s="2">
        <v>44422.0</v>
      </c>
      <c r="C1643" s="1" t="s">
        <v>20</v>
      </c>
      <c r="D1643" s="1" t="s">
        <v>21</v>
      </c>
      <c r="E1643" s="1" t="s">
        <v>22</v>
      </c>
      <c r="F1643" s="1">
        <v>843.52</v>
      </c>
      <c r="G1643" s="1">
        <v>9.49</v>
      </c>
      <c r="H1643" s="1">
        <v>6.0</v>
      </c>
      <c r="I1643" s="1" t="s">
        <v>34</v>
      </c>
      <c r="J1643" s="1" t="s">
        <v>35</v>
      </c>
      <c r="K1643" s="1">
        <f t="shared" si="1"/>
        <v>2021</v>
      </c>
      <c r="L1643" s="1" t="str">
        <f t="shared" si="2"/>
        <v>Aug</v>
      </c>
      <c r="M1643" s="1" t="str">
        <f t="shared" si="3"/>
        <v>Profit</v>
      </c>
    </row>
    <row r="1644" ht="14.25" customHeight="1">
      <c r="A1644" s="1" t="s">
        <v>1678</v>
      </c>
      <c r="B1644" s="2">
        <v>44375.0</v>
      </c>
      <c r="C1644" s="1" t="s">
        <v>26</v>
      </c>
      <c r="D1644" s="1" t="s">
        <v>21</v>
      </c>
      <c r="E1644" s="1" t="s">
        <v>76</v>
      </c>
      <c r="F1644" s="1">
        <v>273.08</v>
      </c>
      <c r="G1644" s="1">
        <v>229.16</v>
      </c>
      <c r="H1644" s="1">
        <v>7.0</v>
      </c>
      <c r="I1644" s="1" t="s">
        <v>34</v>
      </c>
      <c r="J1644" s="1" t="s">
        <v>35</v>
      </c>
      <c r="K1644" s="1">
        <f t="shared" si="1"/>
        <v>2021</v>
      </c>
      <c r="L1644" s="1" t="str">
        <f t="shared" si="2"/>
        <v>Jun</v>
      </c>
      <c r="M1644" s="1" t="str">
        <f t="shared" si="3"/>
        <v>Profit</v>
      </c>
    </row>
    <row r="1645" ht="14.25" customHeight="1">
      <c r="A1645" s="1" t="s">
        <v>1679</v>
      </c>
      <c r="B1645" s="2">
        <v>44796.0</v>
      </c>
      <c r="C1645" s="1" t="s">
        <v>26</v>
      </c>
      <c r="D1645" s="1" t="s">
        <v>27</v>
      </c>
      <c r="E1645" s="1" t="s">
        <v>28</v>
      </c>
      <c r="F1645" s="1">
        <v>836.7</v>
      </c>
      <c r="G1645" s="1">
        <v>-28.2</v>
      </c>
      <c r="H1645" s="1">
        <v>6.0</v>
      </c>
      <c r="I1645" s="1" t="s">
        <v>17</v>
      </c>
      <c r="J1645" s="1" t="s">
        <v>18</v>
      </c>
      <c r="K1645" s="1">
        <f t="shared" si="1"/>
        <v>2022</v>
      </c>
      <c r="L1645" s="1" t="str">
        <f t="shared" si="2"/>
        <v>Aug</v>
      </c>
      <c r="M1645" s="1" t="str">
        <f t="shared" si="3"/>
        <v>Loss</v>
      </c>
    </row>
    <row r="1646" ht="14.25" customHeight="1">
      <c r="A1646" s="1" t="s">
        <v>1680</v>
      </c>
      <c r="B1646" s="2">
        <v>44936.0</v>
      </c>
      <c r="C1646" s="1" t="s">
        <v>26</v>
      </c>
      <c r="D1646" s="1" t="s">
        <v>21</v>
      </c>
      <c r="E1646" s="1" t="s">
        <v>37</v>
      </c>
      <c r="F1646" s="1">
        <v>972.23</v>
      </c>
      <c r="G1646" s="1">
        <v>296.21</v>
      </c>
      <c r="H1646" s="1">
        <v>4.0</v>
      </c>
      <c r="I1646" s="1" t="s">
        <v>23</v>
      </c>
      <c r="J1646" s="1" t="s">
        <v>35</v>
      </c>
      <c r="K1646" s="1">
        <f t="shared" si="1"/>
        <v>2023</v>
      </c>
      <c r="L1646" s="1" t="str">
        <f t="shared" si="2"/>
        <v>Jan</v>
      </c>
      <c r="M1646" s="1" t="str">
        <f t="shared" si="3"/>
        <v>Profit</v>
      </c>
    </row>
    <row r="1647" ht="14.25" customHeight="1">
      <c r="A1647" s="1" t="s">
        <v>1681</v>
      </c>
      <c r="B1647" s="2">
        <v>44478.0</v>
      </c>
      <c r="C1647" s="1" t="s">
        <v>30</v>
      </c>
      <c r="D1647" s="1" t="s">
        <v>15</v>
      </c>
      <c r="E1647" s="1" t="s">
        <v>16</v>
      </c>
      <c r="F1647" s="1">
        <v>86.71</v>
      </c>
      <c r="G1647" s="1">
        <v>-156.56</v>
      </c>
      <c r="H1647" s="1">
        <v>7.0</v>
      </c>
      <c r="I1647" s="1" t="s">
        <v>34</v>
      </c>
      <c r="J1647" s="1" t="s">
        <v>24</v>
      </c>
      <c r="K1647" s="1">
        <f t="shared" si="1"/>
        <v>2021</v>
      </c>
      <c r="L1647" s="1" t="str">
        <f t="shared" si="2"/>
        <v>Oct</v>
      </c>
      <c r="M1647" s="1" t="str">
        <f t="shared" si="3"/>
        <v>Loss</v>
      </c>
    </row>
    <row r="1648" ht="14.25" customHeight="1">
      <c r="A1648" s="1" t="s">
        <v>1682</v>
      </c>
      <c r="B1648" s="2">
        <v>44362.0</v>
      </c>
      <c r="C1648" s="1" t="s">
        <v>26</v>
      </c>
      <c r="D1648" s="1" t="s">
        <v>27</v>
      </c>
      <c r="E1648" s="1" t="s">
        <v>40</v>
      </c>
      <c r="F1648" s="1">
        <v>702.37</v>
      </c>
      <c r="G1648" s="1">
        <v>174.49</v>
      </c>
      <c r="H1648" s="1">
        <v>4.0</v>
      </c>
      <c r="I1648" s="1" t="s">
        <v>23</v>
      </c>
      <c r="J1648" s="1" t="s">
        <v>35</v>
      </c>
      <c r="K1648" s="1">
        <f t="shared" si="1"/>
        <v>2021</v>
      </c>
      <c r="L1648" s="1" t="str">
        <f t="shared" si="2"/>
        <v>Jun</v>
      </c>
      <c r="M1648" s="1" t="str">
        <f t="shared" si="3"/>
        <v>Profit</v>
      </c>
    </row>
    <row r="1649" ht="14.25" customHeight="1">
      <c r="A1649" s="1" t="s">
        <v>1683</v>
      </c>
      <c r="B1649" s="2">
        <v>44574.0</v>
      </c>
      <c r="C1649" s="1" t="s">
        <v>30</v>
      </c>
      <c r="D1649" s="1" t="s">
        <v>21</v>
      </c>
      <c r="E1649" s="1" t="s">
        <v>76</v>
      </c>
      <c r="F1649" s="1">
        <v>218.16</v>
      </c>
      <c r="G1649" s="1">
        <v>-179.05</v>
      </c>
      <c r="H1649" s="1">
        <v>8.0</v>
      </c>
      <c r="I1649" s="1" t="s">
        <v>17</v>
      </c>
      <c r="J1649" s="1" t="s">
        <v>35</v>
      </c>
      <c r="K1649" s="1">
        <f t="shared" si="1"/>
        <v>2022</v>
      </c>
      <c r="L1649" s="1" t="str">
        <f t="shared" si="2"/>
        <v>Jan</v>
      </c>
      <c r="M1649" s="1" t="str">
        <f t="shared" si="3"/>
        <v>Loss</v>
      </c>
    </row>
    <row r="1650" ht="14.25" customHeight="1">
      <c r="A1650" s="1" t="s">
        <v>1684</v>
      </c>
      <c r="B1650" s="2">
        <v>45278.0</v>
      </c>
      <c r="C1650" s="1" t="s">
        <v>26</v>
      </c>
      <c r="D1650" s="1" t="s">
        <v>27</v>
      </c>
      <c r="E1650" s="1" t="s">
        <v>40</v>
      </c>
      <c r="F1650" s="1">
        <v>659.93</v>
      </c>
      <c r="G1650" s="1">
        <v>55.0</v>
      </c>
      <c r="H1650" s="1">
        <v>5.0</v>
      </c>
      <c r="I1650" s="1" t="s">
        <v>17</v>
      </c>
      <c r="J1650" s="1" t="s">
        <v>24</v>
      </c>
      <c r="K1650" s="1">
        <f t="shared" si="1"/>
        <v>2023</v>
      </c>
      <c r="L1650" s="1" t="str">
        <f t="shared" si="2"/>
        <v>Dec</v>
      </c>
      <c r="M1650" s="1" t="str">
        <f t="shared" si="3"/>
        <v>Profit</v>
      </c>
    </row>
    <row r="1651" ht="14.25" customHeight="1">
      <c r="A1651" s="1" t="s">
        <v>1685</v>
      </c>
      <c r="B1651" s="2">
        <v>44268.0</v>
      </c>
      <c r="C1651" s="1" t="s">
        <v>14</v>
      </c>
      <c r="D1651" s="1" t="s">
        <v>27</v>
      </c>
      <c r="E1651" s="1" t="s">
        <v>28</v>
      </c>
      <c r="F1651" s="1">
        <v>387.72</v>
      </c>
      <c r="G1651" s="1">
        <v>85.62</v>
      </c>
      <c r="H1651" s="1">
        <v>5.0</v>
      </c>
      <c r="I1651" s="1" t="s">
        <v>17</v>
      </c>
      <c r="J1651" s="1" t="s">
        <v>35</v>
      </c>
      <c r="K1651" s="1">
        <f t="shared" si="1"/>
        <v>2021</v>
      </c>
      <c r="L1651" s="1" t="str">
        <f t="shared" si="2"/>
        <v>Mar</v>
      </c>
      <c r="M1651" s="1" t="str">
        <f t="shared" si="3"/>
        <v>Profit</v>
      </c>
    </row>
    <row r="1652" ht="14.25" customHeight="1">
      <c r="A1652" s="1" t="s">
        <v>1686</v>
      </c>
      <c r="B1652" s="2">
        <v>45029.0</v>
      </c>
      <c r="C1652" s="1" t="s">
        <v>14</v>
      </c>
      <c r="D1652" s="1" t="s">
        <v>15</v>
      </c>
      <c r="E1652" s="1" t="s">
        <v>31</v>
      </c>
      <c r="F1652" s="1">
        <v>537.69</v>
      </c>
      <c r="G1652" s="1">
        <v>166.37</v>
      </c>
      <c r="H1652" s="1">
        <v>6.0</v>
      </c>
      <c r="I1652" s="1" t="s">
        <v>23</v>
      </c>
      <c r="J1652" s="1" t="s">
        <v>24</v>
      </c>
      <c r="K1652" s="1">
        <f t="shared" si="1"/>
        <v>2023</v>
      </c>
      <c r="L1652" s="1" t="str">
        <f t="shared" si="2"/>
        <v>Apr</v>
      </c>
      <c r="M1652" s="1" t="str">
        <f t="shared" si="3"/>
        <v>Profit</v>
      </c>
    </row>
    <row r="1653" ht="14.25" customHeight="1">
      <c r="A1653" s="1" t="s">
        <v>1687</v>
      </c>
      <c r="B1653" s="2">
        <v>44790.0</v>
      </c>
      <c r="C1653" s="1" t="s">
        <v>30</v>
      </c>
      <c r="D1653" s="1" t="s">
        <v>27</v>
      </c>
      <c r="E1653" s="1" t="s">
        <v>28</v>
      </c>
      <c r="F1653" s="1">
        <v>556.31</v>
      </c>
      <c r="G1653" s="1">
        <v>-45.27</v>
      </c>
      <c r="H1653" s="1">
        <v>2.0</v>
      </c>
      <c r="I1653" s="1" t="s">
        <v>17</v>
      </c>
      <c r="J1653" s="1" t="s">
        <v>38</v>
      </c>
      <c r="K1653" s="1">
        <f t="shared" si="1"/>
        <v>2022</v>
      </c>
      <c r="L1653" s="1" t="str">
        <f t="shared" si="2"/>
        <v>Aug</v>
      </c>
      <c r="M1653" s="1" t="str">
        <f t="shared" si="3"/>
        <v>Loss</v>
      </c>
    </row>
    <row r="1654" ht="14.25" customHeight="1">
      <c r="A1654" s="1" t="s">
        <v>1688</v>
      </c>
      <c r="B1654" s="2">
        <v>44336.0</v>
      </c>
      <c r="C1654" s="1" t="s">
        <v>14</v>
      </c>
      <c r="D1654" s="1" t="s">
        <v>21</v>
      </c>
      <c r="E1654" s="1" t="s">
        <v>76</v>
      </c>
      <c r="F1654" s="1">
        <v>183.64</v>
      </c>
      <c r="G1654" s="1">
        <v>-164.78</v>
      </c>
      <c r="H1654" s="1">
        <v>4.0</v>
      </c>
      <c r="I1654" s="1" t="s">
        <v>17</v>
      </c>
      <c r="J1654" s="1" t="s">
        <v>38</v>
      </c>
      <c r="K1654" s="1">
        <f t="shared" si="1"/>
        <v>2021</v>
      </c>
      <c r="L1654" s="1" t="str">
        <f t="shared" si="2"/>
        <v>May</v>
      </c>
      <c r="M1654" s="1" t="str">
        <f t="shared" si="3"/>
        <v>Loss</v>
      </c>
    </row>
    <row r="1655" ht="14.25" customHeight="1">
      <c r="A1655" s="1" t="s">
        <v>1689</v>
      </c>
      <c r="B1655" s="2">
        <v>44456.0</v>
      </c>
      <c r="C1655" s="1" t="s">
        <v>14</v>
      </c>
      <c r="D1655" s="1" t="s">
        <v>21</v>
      </c>
      <c r="E1655" s="1" t="s">
        <v>22</v>
      </c>
      <c r="F1655" s="1">
        <v>286.36</v>
      </c>
      <c r="G1655" s="1">
        <v>277.59</v>
      </c>
      <c r="H1655" s="1">
        <v>7.0</v>
      </c>
      <c r="I1655" s="1" t="s">
        <v>34</v>
      </c>
      <c r="J1655" s="1" t="s">
        <v>35</v>
      </c>
      <c r="K1655" s="1">
        <f t="shared" si="1"/>
        <v>2021</v>
      </c>
      <c r="L1655" s="1" t="str">
        <f t="shared" si="2"/>
        <v>Sep</v>
      </c>
      <c r="M1655" s="1" t="str">
        <f t="shared" si="3"/>
        <v>Profit</v>
      </c>
    </row>
    <row r="1656" ht="14.25" customHeight="1">
      <c r="A1656" s="1" t="s">
        <v>1690</v>
      </c>
      <c r="B1656" s="2">
        <v>44949.0</v>
      </c>
      <c r="C1656" s="1" t="s">
        <v>30</v>
      </c>
      <c r="D1656" s="1" t="s">
        <v>15</v>
      </c>
      <c r="E1656" s="1" t="s">
        <v>16</v>
      </c>
      <c r="F1656" s="1">
        <v>525.01</v>
      </c>
      <c r="G1656" s="1">
        <v>-105.97</v>
      </c>
      <c r="H1656" s="1">
        <v>2.0</v>
      </c>
      <c r="I1656" s="1" t="s">
        <v>23</v>
      </c>
      <c r="J1656" s="1" t="s">
        <v>24</v>
      </c>
      <c r="K1656" s="1">
        <f t="shared" si="1"/>
        <v>2023</v>
      </c>
      <c r="L1656" s="1" t="str">
        <f t="shared" si="2"/>
        <v>Jan</v>
      </c>
      <c r="M1656" s="1" t="str">
        <f t="shared" si="3"/>
        <v>Loss</v>
      </c>
    </row>
    <row r="1657" ht="14.25" customHeight="1">
      <c r="A1657" s="1" t="s">
        <v>1691</v>
      </c>
      <c r="B1657" s="2">
        <v>44981.0</v>
      </c>
      <c r="C1657" s="1" t="s">
        <v>30</v>
      </c>
      <c r="D1657" s="1" t="s">
        <v>15</v>
      </c>
      <c r="E1657" s="1" t="s">
        <v>54</v>
      </c>
      <c r="F1657" s="1">
        <v>729.25</v>
      </c>
      <c r="G1657" s="1">
        <v>-27.04</v>
      </c>
      <c r="H1657" s="1">
        <v>2.0</v>
      </c>
      <c r="I1657" s="1" t="s">
        <v>34</v>
      </c>
      <c r="J1657" s="1" t="s">
        <v>35</v>
      </c>
      <c r="K1657" s="1">
        <f t="shared" si="1"/>
        <v>2023</v>
      </c>
      <c r="L1657" s="1" t="str">
        <f t="shared" si="2"/>
        <v>Feb</v>
      </c>
      <c r="M1657" s="1" t="str">
        <f t="shared" si="3"/>
        <v>Loss</v>
      </c>
    </row>
    <row r="1658" ht="14.25" customHeight="1">
      <c r="A1658" s="1" t="s">
        <v>1692</v>
      </c>
      <c r="B1658" s="2">
        <v>45007.0</v>
      </c>
      <c r="C1658" s="1" t="s">
        <v>14</v>
      </c>
      <c r="D1658" s="1" t="s">
        <v>27</v>
      </c>
      <c r="E1658" s="1" t="s">
        <v>33</v>
      </c>
      <c r="F1658" s="1">
        <v>901.54</v>
      </c>
      <c r="G1658" s="1">
        <v>248.08</v>
      </c>
      <c r="H1658" s="1">
        <v>9.0</v>
      </c>
      <c r="I1658" s="1" t="s">
        <v>23</v>
      </c>
      <c r="J1658" s="1" t="s">
        <v>38</v>
      </c>
      <c r="K1658" s="1">
        <f t="shared" si="1"/>
        <v>2023</v>
      </c>
      <c r="L1658" s="1" t="str">
        <f t="shared" si="2"/>
        <v>Mar</v>
      </c>
      <c r="M1658" s="1" t="str">
        <f t="shared" si="3"/>
        <v>Profit</v>
      </c>
    </row>
    <row r="1659" ht="14.25" customHeight="1">
      <c r="A1659" s="1" t="s">
        <v>1693</v>
      </c>
      <c r="B1659" s="2">
        <v>44871.0</v>
      </c>
      <c r="C1659" s="1" t="s">
        <v>20</v>
      </c>
      <c r="D1659" s="1" t="s">
        <v>27</v>
      </c>
      <c r="E1659" s="1" t="s">
        <v>28</v>
      </c>
      <c r="F1659" s="1">
        <v>554.72</v>
      </c>
      <c r="G1659" s="1">
        <v>-58.2</v>
      </c>
      <c r="H1659" s="1">
        <v>10.0</v>
      </c>
      <c r="I1659" s="1" t="s">
        <v>34</v>
      </c>
      <c r="J1659" s="1" t="s">
        <v>38</v>
      </c>
      <c r="K1659" s="1">
        <f t="shared" si="1"/>
        <v>2022</v>
      </c>
      <c r="L1659" s="1" t="str">
        <f t="shared" si="2"/>
        <v>Nov</v>
      </c>
      <c r="M1659" s="1" t="str">
        <f t="shared" si="3"/>
        <v>Loss</v>
      </c>
    </row>
    <row r="1660" ht="14.25" customHeight="1">
      <c r="A1660" s="1" t="s">
        <v>1694</v>
      </c>
      <c r="B1660" s="2">
        <v>44932.0</v>
      </c>
      <c r="C1660" s="1" t="s">
        <v>26</v>
      </c>
      <c r="D1660" s="1" t="s">
        <v>15</v>
      </c>
      <c r="E1660" s="1" t="s">
        <v>16</v>
      </c>
      <c r="F1660" s="1">
        <v>332.44</v>
      </c>
      <c r="G1660" s="1">
        <v>263.2</v>
      </c>
      <c r="H1660" s="1">
        <v>7.0</v>
      </c>
      <c r="I1660" s="1" t="s">
        <v>34</v>
      </c>
      <c r="J1660" s="1" t="s">
        <v>18</v>
      </c>
      <c r="K1660" s="1">
        <f t="shared" si="1"/>
        <v>2023</v>
      </c>
      <c r="L1660" s="1" t="str">
        <f t="shared" si="2"/>
        <v>Jan</v>
      </c>
      <c r="M1660" s="1" t="str">
        <f t="shared" si="3"/>
        <v>Profit</v>
      </c>
    </row>
    <row r="1661" ht="14.25" customHeight="1">
      <c r="A1661" s="1" t="s">
        <v>1695</v>
      </c>
      <c r="B1661" s="2">
        <v>44614.0</v>
      </c>
      <c r="C1661" s="1" t="s">
        <v>14</v>
      </c>
      <c r="D1661" s="1" t="s">
        <v>15</v>
      </c>
      <c r="E1661" s="1" t="s">
        <v>31</v>
      </c>
      <c r="F1661" s="1">
        <v>409.6</v>
      </c>
      <c r="G1661" s="1">
        <v>94.16</v>
      </c>
      <c r="H1661" s="1">
        <v>2.0</v>
      </c>
      <c r="I1661" s="1" t="s">
        <v>17</v>
      </c>
      <c r="J1661" s="1" t="s">
        <v>38</v>
      </c>
      <c r="K1661" s="1">
        <f t="shared" si="1"/>
        <v>2022</v>
      </c>
      <c r="L1661" s="1" t="str">
        <f t="shared" si="2"/>
        <v>Feb</v>
      </c>
      <c r="M1661" s="1" t="str">
        <f t="shared" si="3"/>
        <v>Profit</v>
      </c>
    </row>
    <row r="1662" ht="14.25" customHeight="1">
      <c r="A1662" s="1" t="s">
        <v>1696</v>
      </c>
      <c r="B1662" s="2">
        <v>45228.0</v>
      </c>
      <c r="C1662" s="1" t="s">
        <v>30</v>
      </c>
      <c r="D1662" s="1" t="s">
        <v>27</v>
      </c>
      <c r="E1662" s="1" t="s">
        <v>33</v>
      </c>
      <c r="F1662" s="1">
        <v>802.25</v>
      </c>
      <c r="G1662" s="1">
        <v>125.28</v>
      </c>
      <c r="H1662" s="1">
        <v>2.0</v>
      </c>
      <c r="I1662" s="1" t="s">
        <v>23</v>
      </c>
      <c r="J1662" s="1" t="s">
        <v>24</v>
      </c>
      <c r="K1662" s="1">
        <f t="shared" si="1"/>
        <v>2023</v>
      </c>
      <c r="L1662" s="1" t="str">
        <f t="shared" si="2"/>
        <v>Oct</v>
      </c>
      <c r="M1662" s="1" t="str">
        <f t="shared" si="3"/>
        <v>Profit</v>
      </c>
    </row>
    <row r="1663" ht="14.25" customHeight="1">
      <c r="A1663" s="1" t="s">
        <v>1697</v>
      </c>
      <c r="B1663" s="2">
        <v>44273.0</v>
      </c>
      <c r="C1663" s="1" t="s">
        <v>14</v>
      </c>
      <c r="D1663" s="1" t="s">
        <v>15</v>
      </c>
      <c r="E1663" s="1" t="s">
        <v>31</v>
      </c>
      <c r="F1663" s="1">
        <v>671.84</v>
      </c>
      <c r="G1663" s="1">
        <v>45.01</v>
      </c>
      <c r="H1663" s="1">
        <v>8.0</v>
      </c>
      <c r="I1663" s="1" t="s">
        <v>23</v>
      </c>
      <c r="J1663" s="1" t="s">
        <v>24</v>
      </c>
      <c r="K1663" s="1">
        <f t="shared" si="1"/>
        <v>2021</v>
      </c>
      <c r="L1663" s="1" t="str">
        <f t="shared" si="2"/>
        <v>Mar</v>
      </c>
      <c r="M1663" s="1" t="str">
        <f t="shared" si="3"/>
        <v>Profit</v>
      </c>
    </row>
    <row r="1664" ht="14.25" customHeight="1">
      <c r="A1664" s="1" t="s">
        <v>1698</v>
      </c>
      <c r="B1664" s="2">
        <v>44676.0</v>
      </c>
      <c r="C1664" s="1" t="s">
        <v>30</v>
      </c>
      <c r="D1664" s="1" t="s">
        <v>21</v>
      </c>
      <c r="E1664" s="1" t="s">
        <v>76</v>
      </c>
      <c r="F1664" s="1">
        <v>869.47</v>
      </c>
      <c r="G1664" s="1">
        <v>-46.83</v>
      </c>
      <c r="H1664" s="1">
        <v>10.0</v>
      </c>
      <c r="I1664" s="1" t="s">
        <v>34</v>
      </c>
      <c r="J1664" s="1" t="s">
        <v>24</v>
      </c>
      <c r="K1664" s="1">
        <f t="shared" si="1"/>
        <v>2022</v>
      </c>
      <c r="L1664" s="1" t="str">
        <f t="shared" si="2"/>
        <v>Apr</v>
      </c>
      <c r="M1664" s="1" t="str">
        <f t="shared" si="3"/>
        <v>Loss</v>
      </c>
    </row>
    <row r="1665" ht="14.25" customHeight="1">
      <c r="A1665" s="1" t="s">
        <v>1699</v>
      </c>
      <c r="B1665" s="2">
        <v>44838.0</v>
      </c>
      <c r="C1665" s="1" t="s">
        <v>26</v>
      </c>
      <c r="D1665" s="1" t="s">
        <v>21</v>
      </c>
      <c r="E1665" s="1" t="s">
        <v>37</v>
      </c>
      <c r="F1665" s="1">
        <v>549.97</v>
      </c>
      <c r="G1665" s="1">
        <v>-16.2</v>
      </c>
      <c r="H1665" s="1">
        <v>4.0</v>
      </c>
      <c r="I1665" s="1" t="s">
        <v>17</v>
      </c>
      <c r="J1665" s="1" t="s">
        <v>35</v>
      </c>
      <c r="K1665" s="1">
        <f t="shared" si="1"/>
        <v>2022</v>
      </c>
      <c r="L1665" s="1" t="str">
        <f t="shared" si="2"/>
        <v>Oct</v>
      </c>
      <c r="M1665" s="1" t="str">
        <f t="shared" si="3"/>
        <v>Loss</v>
      </c>
    </row>
    <row r="1666" ht="14.25" customHeight="1">
      <c r="A1666" s="1" t="s">
        <v>1700</v>
      </c>
      <c r="B1666" s="2">
        <v>44493.0</v>
      </c>
      <c r="C1666" s="1" t="s">
        <v>14</v>
      </c>
      <c r="D1666" s="1" t="s">
        <v>27</v>
      </c>
      <c r="E1666" s="1" t="s">
        <v>28</v>
      </c>
      <c r="F1666" s="1">
        <v>215.52</v>
      </c>
      <c r="G1666" s="1">
        <v>104.36</v>
      </c>
      <c r="H1666" s="1">
        <v>4.0</v>
      </c>
      <c r="I1666" s="1" t="s">
        <v>23</v>
      </c>
      <c r="J1666" s="1" t="s">
        <v>18</v>
      </c>
      <c r="K1666" s="1">
        <f t="shared" si="1"/>
        <v>2021</v>
      </c>
      <c r="L1666" s="1" t="str">
        <f t="shared" si="2"/>
        <v>Oct</v>
      </c>
      <c r="M1666" s="1" t="str">
        <f t="shared" si="3"/>
        <v>Profit</v>
      </c>
    </row>
    <row r="1667" ht="14.25" customHeight="1">
      <c r="A1667" s="1" t="s">
        <v>1701</v>
      </c>
      <c r="B1667" s="2">
        <v>44795.0</v>
      </c>
      <c r="C1667" s="1" t="s">
        <v>30</v>
      </c>
      <c r="D1667" s="1" t="s">
        <v>15</v>
      </c>
      <c r="E1667" s="1" t="s">
        <v>54</v>
      </c>
      <c r="F1667" s="1">
        <v>170.36</v>
      </c>
      <c r="G1667" s="1">
        <v>-95.94</v>
      </c>
      <c r="H1667" s="1">
        <v>1.0</v>
      </c>
      <c r="I1667" s="1" t="s">
        <v>23</v>
      </c>
      <c r="J1667" s="1" t="s">
        <v>35</v>
      </c>
      <c r="K1667" s="1">
        <f t="shared" si="1"/>
        <v>2022</v>
      </c>
      <c r="L1667" s="1" t="str">
        <f t="shared" si="2"/>
        <v>Aug</v>
      </c>
      <c r="M1667" s="1" t="str">
        <f t="shared" si="3"/>
        <v>Loss</v>
      </c>
    </row>
    <row r="1668" ht="14.25" customHeight="1">
      <c r="A1668" s="1" t="s">
        <v>1702</v>
      </c>
      <c r="B1668" s="2">
        <v>44245.0</v>
      </c>
      <c r="C1668" s="1" t="s">
        <v>20</v>
      </c>
      <c r="D1668" s="1" t="s">
        <v>21</v>
      </c>
      <c r="E1668" s="1" t="s">
        <v>76</v>
      </c>
      <c r="F1668" s="1">
        <v>507.87</v>
      </c>
      <c r="G1668" s="1">
        <v>-147.12</v>
      </c>
      <c r="H1668" s="1">
        <v>4.0</v>
      </c>
      <c r="I1668" s="1" t="s">
        <v>23</v>
      </c>
      <c r="J1668" s="1" t="s">
        <v>18</v>
      </c>
      <c r="K1668" s="1">
        <f t="shared" si="1"/>
        <v>2021</v>
      </c>
      <c r="L1668" s="1" t="str">
        <f t="shared" si="2"/>
        <v>Feb</v>
      </c>
      <c r="M1668" s="1" t="str">
        <f t="shared" si="3"/>
        <v>Loss</v>
      </c>
    </row>
    <row r="1669" ht="14.25" customHeight="1">
      <c r="A1669" s="1" t="s">
        <v>1703</v>
      </c>
      <c r="B1669" s="2">
        <v>44462.0</v>
      </c>
      <c r="C1669" s="1" t="s">
        <v>20</v>
      </c>
      <c r="D1669" s="1" t="s">
        <v>27</v>
      </c>
      <c r="E1669" s="1" t="s">
        <v>28</v>
      </c>
      <c r="F1669" s="1">
        <v>101.11</v>
      </c>
      <c r="G1669" s="1">
        <v>114.12</v>
      </c>
      <c r="H1669" s="1">
        <v>2.0</v>
      </c>
      <c r="I1669" s="1" t="s">
        <v>17</v>
      </c>
      <c r="J1669" s="1" t="s">
        <v>24</v>
      </c>
      <c r="K1669" s="1">
        <f t="shared" si="1"/>
        <v>2021</v>
      </c>
      <c r="L1669" s="1" t="str">
        <f t="shared" si="2"/>
        <v>Sep</v>
      </c>
      <c r="M1669" s="1" t="str">
        <f t="shared" si="3"/>
        <v>Profit</v>
      </c>
    </row>
    <row r="1670" ht="14.25" customHeight="1">
      <c r="A1670" s="1" t="s">
        <v>1704</v>
      </c>
      <c r="B1670" s="2">
        <v>44354.0</v>
      </c>
      <c r="C1670" s="1" t="s">
        <v>30</v>
      </c>
      <c r="D1670" s="1" t="s">
        <v>27</v>
      </c>
      <c r="E1670" s="1" t="s">
        <v>40</v>
      </c>
      <c r="F1670" s="1">
        <v>426.19</v>
      </c>
      <c r="G1670" s="1">
        <v>-104.41</v>
      </c>
      <c r="H1670" s="1">
        <v>4.0</v>
      </c>
      <c r="I1670" s="1" t="s">
        <v>34</v>
      </c>
      <c r="J1670" s="1" t="s">
        <v>38</v>
      </c>
      <c r="K1670" s="1">
        <f t="shared" si="1"/>
        <v>2021</v>
      </c>
      <c r="L1670" s="1" t="str">
        <f t="shared" si="2"/>
        <v>Jun</v>
      </c>
      <c r="M1670" s="1" t="str">
        <f t="shared" si="3"/>
        <v>Loss</v>
      </c>
    </row>
    <row r="1671" ht="14.25" customHeight="1">
      <c r="A1671" s="1" t="s">
        <v>1705</v>
      </c>
      <c r="B1671" s="2">
        <v>44609.0</v>
      </c>
      <c r="C1671" s="1" t="s">
        <v>26</v>
      </c>
      <c r="D1671" s="1" t="s">
        <v>27</v>
      </c>
      <c r="E1671" s="1" t="s">
        <v>28</v>
      </c>
      <c r="F1671" s="1">
        <v>916.56</v>
      </c>
      <c r="G1671" s="1">
        <v>-50.52</v>
      </c>
      <c r="H1671" s="1">
        <v>1.0</v>
      </c>
      <c r="I1671" s="1" t="s">
        <v>17</v>
      </c>
      <c r="J1671" s="1" t="s">
        <v>24</v>
      </c>
      <c r="K1671" s="1">
        <f t="shared" si="1"/>
        <v>2022</v>
      </c>
      <c r="L1671" s="1" t="str">
        <f t="shared" si="2"/>
        <v>Feb</v>
      </c>
      <c r="M1671" s="1" t="str">
        <f t="shared" si="3"/>
        <v>Loss</v>
      </c>
    </row>
    <row r="1672" ht="14.25" customHeight="1">
      <c r="A1672" s="1" t="s">
        <v>1706</v>
      </c>
      <c r="B1672" s="2">
        <v>44251.0</v>
      </c>
      <c r="C1672" s="1" t="s">
        <v>30</v>
      </c>
      <c r="D1672" s="1" t="s">
        <v>15</v>
      </c>
      <c r="E1672" s="1" t="s">
        <v>31</v>
      </c>
      <c r="F1672" s="1">
        <v>111.05</v>
      </c>
      <c r="G1672" s="1">
        <v>-135.73</v>
      </c>
      <c r="H1672" s="1">
        <v>7.0</v>
      </c>
      <c r="I1672" s="1" t="s">
        <v>34</v>
      </c>
      <c r="J1672" s="1" t="s">
        <v>18</v>
      </c>
      <c r="K1672" s="1">
        <f t="shared" si="1"/>
        <v>2021</v>
      </c>
      <c r="L1672" s="1" t="str">
        <f t="shared" si="2"/>
        <v>Feb</v>
      </c>
      <c r="M1672" s="1" t="str">
        <f t="shared" si="3"/>
        <v>Loss</v>
      </c>
    </row>
    <row r="1673" ht="14.25" customHeight="1">
      <c r="A1673" s="1" t="s">
        <v>1707</v>
      </c>
      <c r="B1673" s="2">
        <v>44453.0</v>
      </c>
      <c r="C1673" s="1" t="s">
        <v>26</v>
      </c>
      <c r="D1673" s="1" t="s">
        <v>27</v>
      </c>
      <c r="E1673" s="1" t="s">
        <v>28</v>
      </c>
      <c r="F1673" s="1">
        <v>228.06</v>
      </c>
      <c r="G1673" s="1">
        <v>-85.78</v>
      </c>
      <c r="H1673" s="1">
        <v>5.0</v>
      </c>
      <c r="I1673" s="1" t="s">
        <v>34</v>
      </c>
      <c r="J1673" s="1" t="s">
        <v>18</v>
      </c>
      <c r="K1673" s="1">
        <f t="shared" si="1"/>
        <v>2021</v>
      </c>
      <c r="L1673" s="1" t="str">
        <f t="shared" si="2"/>
        <v>Sep</v>
      </c>
      <c r="M1673" s="1" t="str">
        <f t="shared" si="3"/>
        <v>Loss</v>
      </c>
    </row>
    <row r="1674" ht="14.25" customHeight="1">
      <c r="A1674" s="1" t="s">
        <v>1708</v>
      </c>
      <c r="B1674" s="2">
        <v>44592.0</v>
      </c>
      <c r="C1674" s="1" t="s">
        <v>20</v>
      </c>
      <c r="D1674" s="1" t="s">
        <v>21</v>
      </c>
      <c r="E1674" s="1" t="s">
        <v>22</v>
      </c>
      <c r="F1674" s="1">
        <v>47.84</v>
      </c>
      <c r="G1674" s="1">
        <v>132.22</v>
      </c>
      <c r="H1674" s="1">
        <v>1.0</v>
      </c>
      <c r="I1674" s="1" t="s">
        <v>34</v>
      </c>
      <c r="J1674" s="1" t="s">
        <v>24</v>
      </c>
      <c r="K1674" s="1">
        <f t="shared" si="1"/>
        <v>2022</v>
      </c>
      <c r="L1674" s="1" t="str">
        <f t="shared" si="2"/>
        <v>Jan</v>
      </c>
      <c r="M1674" s="1" t="str">
        <f t="shared" si="3"/>
        <v>Profit</v>
      </c>
    </row>
    <row r="1675" ht="14.25" customHeight="1">
      <c r="A1675" s="1" t="s">
        <v>1709</v>
      </c>
      <c r="B1675" s="2">
        <v>45055.0</v>
      </c>
      <c r="C1675" s="1" t="s">
        <v>20</v>
      </c>
      <c r="D1675" s="1" t="s">
        <v>15</v>
      </c>
      <c r="E1675" s="1" t="s">
        <v>16</v>
      </c>
      <c r="F1675" s="1">
        <v>505.22</v>
      </c>
      <c r="G1675" s="1">
        <v>-11.85</v>
      </c>
      <c r="H1675" s="1">
        <v>10.0</v>
      </c>
      <c r="I1675" s="1" t="s">
        <v>17</v>
      </c>
      <c r="J1675" s="1" t="s">
        <v>35</v>
      </c>
      <c r="K1675" s="1">
        <f t="shared" si="1"/>
        <v>2023</v>
      </c>
      <c r="L1675" s="1" t="str">
        <f t="shared" si="2"/>
        <v>May</v>
      </c>
      <c r="M1675" s="1" t="str">
        <f t="shared" si="3"/>
        <v>Loss</v>
      </c>
    </row>
    <row r="1676" ht="14.25" customHeight="1">
      <c r="A1676" s="1" t="s">
        <v>1710</v>
      </c>
      <c r="B1676" s="2">
        <v>44508.0</v>
      </c>
      <c r="C1676" s="1" t="s">
        <v>20</v>
      </c>
      <c r="D1676" s="1" t="s">
        <v>21</v>
      </c>
      <c r="E1676" s="1" t="s">
        <v>37</v>
      </c>
      <c r="F1676" s="1">
        <v>570.03</v>
      </c>
      <c r="G1676" s="1">
        <v>145.01</v>
      </c>
      <c r="H1676" s="1">
        <v>3.0</v>
      </c>
      <c r="I1676" s="1" t="s">
        <v>17</v>
      </c>
      <c r="J1676" s="1" t="s">
        <v>24</v>
      </c>
      <c r="K1676" s="1">
        <f t="shared" si="1"/>
        <v>2021</v>
      </c>
      <c r="L1676" s="1" t="str">
        <f t="shared" si="2"/>
        <v>Nov</v>
      </c>
      <c r="M1676" s="1" t="str">
        <f t="shared" si="3"/>
        <v>Profit</v>
      </c>
    </row>
    <row r="1677" ht="14.25" customHeight="1">
      <c r="A1677" s="1" t="s">
        <v>1711</v>
      </c>
      <c r="B1677" s="2">
        <v>45079.0</v>
      </c>
      <c r="C1677" s="1" t="s">
        <v>14</v>
      </c>
      <c r="D1677" s="1" t="s">
        <v>21</v>
      </c>
      <c r="E1677" s="1" t="s">
        <v>76</v>
      </c>
      <c r="F1677" s="1">
        <v>491.0</v>
      </c>
      <c r="G1677" s="1">
        <v>54.15</v>
      </c>
      <c r="H1677" s="1">
        <v>3.0</v>
      </c>
      <c r="I1677" s="1" t="s">
        <v>17</v>
      </c>
      <c r="J1677" s="1" t="s">
        <v>35</v>
      </c>
      <c r="K1677" s="1">
        <f t="shared" si="1"/>
        <v>2023</v>
      </c>
      <c r="L1677" s="1" t="str">
        <f t="shared" si="2"/>
        <v>Jun</v>
      </c>
      <c r="M1677" s="1" t="str">
        <f t="shared" si="3"/>
        <v>Profit</v>
      </c>
    </row>
    <row r="1678" ht="14.25" customHeight="1">
      <c r="A1678" s="1" t="s">
        <v>1712</v>
      </c>
      <c r="B1678" s="2">
        <v>45210.0</v>
      </c>
      <c r="C1678" s="1" t="s">
        <v>30</v>
      </c>
      <c r="D1678" s="1" t="s">
        <v>21</v>
      </c>
      <c r="E1678" s="1" t="s">
        <v>76</v>
      </c>
      <c r="F1678" s="1">
        <v>380.79</v>
      </c>
      <c r="G1678" s="1">
        <v>236.63</v>
      </c>
      <c r="H1678" s="1">
        <v>2.0</v>
      </c>
      <c r="I1678" s="1" t="s">
        <v>17</v>
      </c>
      <c r="J1678" s="1" t="s">
        <v>38</v>
      </c>
      <c r="K1678" s="1">
        <f t="shared" si="1"/>
        <v>2023</v>
      </c>
      <c r="L1678" s="1" t="str">
        <f t="shared" si="2"/>
        <v>Oct</v>
      </c>
      <c r="M1678" s="1" t="str">
        <f t="shared" si="3"/>
        <v>Profit</v>
      </c>
    </row>
    <row r="1679" ht="14.25" customHeight="1">
      <c r="A1679" s="1" t="s">
        <v>1713</v>
      </c>
      <c r="B1679" s="2">
        <v>44511.0</v>
      </c>
      <c r="C1679" s="1" t="s">
        <v>30</v>
      </c>
      <c r="D1679" s="1" t="s">
        <v>21</v>
      </c>
      <c r="E1679" s="1" t="s">
        <v>37</v>
      </c>
      <c r="F1679" s="1">
        <v>488.09</v>
      </c>
      <c r="G1679" s="1">
        <v>18.09</v>
      </c>
      <c r="H1679" s="1">
        <v>1.0</v>
      </c>
      <c r="I1679" s="1" t="s">
        <v>23</v>
      </c>
      <c r="J1679" s="1" t="s">
        <v>24</v>
      </c>
      <c r="K1679" s="1">
        <f t="shared" si="1"/>
        <v>2021</v>
      </c>
      <c r="L1679" s="1" t="str">
        <f t="shared" si="2"/>
        <v>Nov</v>
      </c>
      <c r="M1679" s="1" t="str">
        <f t="shared" si="3"/>
        <v>Profit</v>
      </c>
    </row>
    <row r="1680" ht="14.25" customHeight="1">
      <c r="A1680" s="1" t="s">
        <v>1714</v>
      </c>
      <c r="B1680" s="2">
        <v>45187.0</v>
      </c>
      <c r="C1680" s="1" t="s">
        <v>14</v>
      </c>
      <c r="D1680" s="1" t="s">
        <v>27</v>
      </c>
      <c r="E1680" s="1" t="s">
        <v>28</v>
      </c>
      <c r="F1680" s="1">
        <v>505.17</v>
      </c>
      <c r="G1680" s="1">
        <v>60.39</v>
      </c>
      <c r="H1680" s="1">
        <v>4.0</v>
      </c>
      <c r="I1680" s="1" t="s">
        <v>23</v>
      </c>
      <c r="J1680" s="1" t="s">
        <v>18</v>
      </c>
      <c r="K1680" s="1">
        <f t="shared" si="1"/>
        <v>2023</v>
      </c>
      <c r="L1680" s="1" t="str">
        <f t="shared" si="2"/>
        <v>Sep</v>
      </c>
      <c r="M1680" s="1" t="str">
        <f t="shared" si="3"/>
        <v>Profit</v>
      </c>
    </row>
    <row r="1681" ht="14.25" customHeight="1">
      <c r="A1681" s="1" t="s">
        <v>1715</v>
      </c>
      <c r="B1681" s="2">
        <v>45066.0</v>
      </c>
      <c r="C1681" s="1" t="s">
        <v>20</v>
      </c>
      <c r="D1681" s="1" t="s">
        <v>21</v>
      </c>
      <c r="E1681" s="1" t="s">
        <v>22</v>
      </c>
      <c r="F1681" s="1">
        <v>679.32</v>
      </c>
      <c r="G1681" s="1">
        <v>-57.94</v>
      </c>
      <c r="H1681" s="1">
        <v>4.0</v>
      </c>
      <c r="I1681" s="1" t="s">
        <v>23</v>
      </c>
      <c r="J1681" s="1" t="s">
        <v>35</v>
      </c>
      <c r="K1681" s="1">
        <f t="shared" si="1"/>
        <v>2023</v>
      </c>
      <c r="L1681" s="1" t="str">
        <f t="shared" si="2"/>
        <v>May</v>
      </c>
      <c r="M1681" s="1" t="str">
        <f t="shared" si="3"/>
        <v>Loss</v>
      </c>
    </row>
    <row r="1682" ht="14.25" customHeight="1">
      <c r="A1682" s="1" t="s">
        <v>1716</v>
      </c>
      <c r="B1682" s="2">
        <v>44712.0</v>
      </c>
      <c r="C1682" s="1" t="s">
        <v>20</v>
      </c>
      <c r="D1682" s="1" t="s">
        <v>27</v>
      </c>
      <c r="E1682" s="1" t="s">
        <v>33</v>
      </c>
      <c r="F1682" s="1">
        <v>629.29</v>
      </c>
      <c r="G1682" s="1">
        <v>143.66</v>
      </c>
      <c r="H1682" s="1">
        <v>2.0</v>
      </c>
      <c r="I1682" s="1" t="s">
        <v>23</v>
      </c>
      <c r="J1682" s="1" t="s">
        <v>18</v>
      </c>
      <c r="K1682" s="1">
        <f t="shared" si="1"/>
        <v>2022</v>
      </c>
      <c r="L1682" s="1" t="str">
        <f t="shared" si="2"/>
        <v>May</v>
      </c>
      <c r="M1682" s="1" t="str">
        <f t="shared" si="3"/>
        <v>Profit</v>
      </c>
    </row>
    <row r="1683" ht="14.25" customHeight="1">
      <c r="A1683" s="1" t="s">
        <v>1717</v>
      </c>
      <c r="B1683" s="2">
        <v>44545.0</v>
      </c>
      <c r="C1683" s="1" t="s">
        <v>26</v>
      </c>
      <c r="D1683" s="1" t="s">
        <v>27</v>
      </c>
      <c r="E1683" s="1" t="s">
        <v>33</v>
      </c>
      <c r="F1683" s="1">
        <v>90.33</v>
      </c>
      <c r="G1683" s="1">
        <v>-137.63</v>
      </c>
      <c r="H1683" s="1">
        <v>8.0</v>
      </c>
      <c r="I1683" s="1" t="s">
        <v>17</v>
      </c>
      <c r="J1683" s="1" t="s">
        <v>38</v>
      </c>
      <c r="K1683" s="1">
        <f t="shared" si="1"/>
        <v>2021</v>
      </c>
      <c r="L1683" s="1" t="str">
        <f t="shared" si="2"/>
        <v>Dec</v>
      </c>
      <c r="M1683" s="1" t="str">
        <f t="shared" si="3"/>
        <v>Loss</v>
      </c>
    </row>
    <row r="1684" ht="14.25" customHeight="1">
      <c r="A1684" s="1" t="s">
        <v>1718</v>
      </c>
      <c r="B1684" s="2">
        <v>45224.0</v>
      </c>
      <c r="C1684" s="1" t="s">
        <v>14</v>
      </c>
      <c r="D1684" s="1" t="s">
        <v>15</v>
      </c>
      <c r="E1684" s="1" t="s">
        <v>31</v>
      </c>
      <c r="F1684" s="1">
        <v>346.87</v>
      </c>
      <c r="G1684" s="1">
        <v>198.1</v>
      </c>
      <c r="H1684" s="1">
        <v>7.0</v>
      </c>
      <c r="I1684" s="1" t="s">
        <v>34</v>
      </c>
      <c r="J1684" s="1" t="s">
        <v>38</v>
      </c>
      <c r="K1684" s="1">
        <f t="shared" si="1"/>
        <v>2023</v>
      </c>
      <c r="L1684" s="1" t="str">
        <f t="shared" si="2"/>
        <v>Oct</v>
      </c>
      <c r="M1684" s="1" t="str">
        <f t="shared" si="3"/>
        <v>Profit</v>
      </c>
    </row>
    <row r="1685" ht="14.25" customHeight="1">
      <c r="A1685" s="1" t="s">
        <v>1719</v>
      </c>
      <c r="B1685" s="2">
        <v>44376.0</v>
      </c>
      <c r="C1685" s="1" t="s">
        <v>26</v>
      </c>
      <c r="D1685" s="1" t="s">
        <v>15</v>
      </c>
      <c r="E1685" s="1" t="s">
        <v>16</v>
      </c>
      <c r="F1685" s="1">
        <v>132.73</v>
      </c>
      <c r="G1685" s="1">
        <v>39.55</v>
      </c>
      <c r="H1685" s="1">
        <v>1.0</v>
      </c>
      <c r="I1685" s="1" t="s">
        <v>34</v>
      </c>
      <c r="J1685" s="1" t="s">
        <v>35</v>
      </c>
      <c r="K1685" s="1">
        <f t="shared" si="1"/>
        <v>2021</v>
      </c>
      <c r="L1685" s="1" t="str">
        <f t="shared" si="2"/>
        <v>Jun</v>
      </c>
      <c r="M1685" s="1" t="str">
        <f t="shared" si="3"/>
        <v>Profit</v>
      </c>
    </row>
    <row r="1686" ht="14.25" customHeight="1">
      <c r="A1686" s="1" t="s">
        <v>1720</v>
      </c>
      <c r="B1686" s="2">
        <v>44629.0</v>
      </c>
      <c r="C1686" s="1" t="s">
        <v>14</v>
      </c>
      <c r="D1686" s="1" t="s">
        <v>27</v>
      </c>
      <c r="E1686" s="1" t="s">
        <v>40</v>
      </c>
      <c r="F1686" s="1">
        <v>278.27</v>
      </c>
      <c r="G1686" s="1">
        <v>25.17</v>
      </c>
      <c r="H1686" s="1">
        <v>10.0</v>
      </c>
      <c r="I1686" s="1" t="s">
        <v>23</v>
      </c>
      <c r="J1686" s="1" t="s">
        <v>38</v>
      </c>
      <c r="K1686" s="1">
        <f t="shared" si="1"/>
        <v>2022</v>
      </c>
      <c r="L1686" s="1" t="str">
        <f t="shared" si="2"/>
        <v>Mar</v>
      </c>
      <c r="M1686" s="1" t="str">
        <f t="shared" si="3"/>
        <v>Profit</v>
      </c>
    </row>
    <row r="1687" ht="14.25" customHeight="1">
      <c r="A1687" s="1" t="s">
        <v>1721</v>
      </c>
      <c r="B1687" s="2">
        <v>44748.0</v>
      </c>
      <c r="C1687" s="1" t="s">
        <v>14</v>
      </c>
      <c r="D1687" s="1" t="s">
        <v>15</v>
      </c>
      <c r="E1687" s="1" t="s">
        <v>16</v>
      </c>
      <c r="F1687" s="1">
        <v>739.51</v>
      </c>
      <c r="G1687" s="1">
        <v>-98.47</v>
      </c>
      <c r="H1687" s="1">
        <v>8.0</v>
      </c>
      <c r="I1687" s="1" t="s">
        <v>23</v>
      </c>
      <c r="J1687" s="1" t="s">
        <v>38</v>
      </c>
      <c r="K1687" s="1">
        <f t="shared" si="1"/>
        <v>2022</v>
      </c>
      <c r="L1687" s="1" t="str">
        <f t="shared" si="2"/>
        <v>Jul</v>
      </c>
      <c r="M1687" s="1" t="str">
        <f t="shared" si="3"/>
        <v>Loss</v>
      </c>
    </row>
    <row r="1688" ht="14.25" customHeight="1">
      <c r="A1688" s="1" t="s">
        <v>1722</v>
      </c>
      <c r="B1688" s="2">
        <v>45116.0</v>
      </c>
      <c r="C1688" s="1" t="s">
        <v>26</v>
      </c>
      <c r="D1688" s="1" t="s">
        <v>21</v>
      </c>
      <c r="E1688" s="1" t="s">
        <v>37</v>
      </c>
      <c r="F1688" s="1">
        <v>164.65</v>
      </c>
      <c r="G1688" s="1">
        <v>87.36</v>
      </c>
      <c r="H1688" s="1">
        <v>9.0</v>
      </c>
      <c r="I1688" s="1" t="s">
        <v>23</v>
      </c>
      <c r="J1688" s="1" t="s">
        <v>35</v>
      </c>
      <c r="K1688" s="1">
        <f t="shared" si="1"/>
        <v>2023</v>
      </c>
      <c r="L1688" s="1" t="str">
        <f t="shared" si="2"/>
        <v>Jul</v>
      </c>
      <c r="M1688" s="1" t="str">
        <f t="shared" si="3"/>
        <v>Profit</v>
      </c>
    </row>
    <row r="1689" ht="14.25" customHeight="1">
      <c r="A1689" s="1" t="s">
        <v>1723</v>
      </c>
      <c r="B1689" s="2">
        <v>45182.0</v>
      </c>
      <c r="C1689" s="1" t="s">
        <v>20</v>
      </c>
      <c r="D1689" s="1" t="s">
        <v>15</v>
      </c>
      <c r="E1689" s="1" t="s">
        <v>54</v>
      </c>
      <c r="F1689" s="1">
        <v>229.99</v>
      </c>
      <c r="G1689" s="1">
        <v>42.12</v>
      </c>
      <c r="H1689" s="1">
        <v>6.0</v>
      </c>
      <c r="I1689" s="1" t="s">
        <v>23</v>
      </c>
      <c r="J1689" s="1" t="s">
        <v>18</v>
      </c>
      <c r="K1689" s="1">
        <f t="shared" si="1"/>
        <v>2023</v>
      </c>
      <c r="L1689" s="1" t="str">
        <f t="shared" si="2"/>
        <v>Sep</v>
      </c>
      <c r="M1689" s="1" t="str">
        <f t="shared" si="3"/>
        <v>Profit</v>
      </c>
    </row>
    <row r="1690" ht="14.25" customHeight="1">
      <c r="A1690" s="1" t="s">
        <v>1724</v>
      </c>
      <c r="B1690" s="2">
        <v>44305.0</v>
      </c>
      <c r="C1690" s="1" t="s">
        <v>30</v>
      </c>
      <c r="D1690" s="1" t="s">
        <v>21</v>
      </c>
      <c r="E1690" s="1" t="s">
        <v>37</v>
      </c>
      <c r="F1690" s="1">
        <v>895.89</v>
      </c>
      <c r="G1690" s="1">
        <v>-51.22</v>
      </c>
      <c r="H1690" s="1">
        <v>5.0</v>
      </c>
      <c r="I1690" s="1" t="s">
        <v>34</v>
      </c>
      <c r="J1690" s="1" t="s">
        <v>35</v>
      </c>
      <c r="K1690" s="1">
        <f t="shared" si="1"/>
        <v>2021</v>
      </c>
      <c r="L1690" s="1" t="str">
        <f t="shared" si="2"/>
        <v>Apr</v>
      </c>
      <c r="M1690" s="1" t="str">
        <f t="shared" si="3"/>
        <v>Loss</v>
      </c>
    </row>
    <row r="1691" ht="14.25" customHeight="1">
      <c r="A1691" s="1" t="s">
        <v>1725</v>
      </c>
      <c r="B1691" s="2">
        <v>44847.0</v>
      </c>
      <c r="C1691" s="1" t="s">
        <v>20</v>
      </c>
      <c r="D1691" s="1" t="s">
        <v>15</v>
      </c>
      <c r="E1691" s="1" t="s">
        <v>54</v>
      </c>
      <c r="F1691" s="1">
        <v>304.47</v>
      </c>
      <c r="G1691" s="1">
        <v>99.08</v>
      </c>
      <c r="H1691" s="1">
        <v>10.0</v>
      </c>
      <c r="I1691" s="1" t="s">
        <v>17</v>
      </c>
      <c r="J1691" s="1" t="s">
        <v>38</v>
      </c>
      <c r="K1691" s="1">
        <f t="shared" si="1"/>
        <v>2022</v>
      </c>
      <c r="L1691" s="1" t="str">
        <f t="shared" si="2"/>
        <v>Oct</v>
      </c>
      <c r="M1691" s="1" t="str">
        <f t="shared" si="3"/>
        <v>Profit</v>
      </c>
    </row>
    <row r="1692" ht="14.25" customHeight="1">
      <c r="A1692" s="1" t="s">
        <v>1726</v>
      </c>
      <c r="B1692" s="2">
        <v>44328.0</v>
      </c>
      <c r="C1692" s="1" t="s">
        <v>30</v>
      </c>
      <c r="D1692" s="1" t="s">
        <v>27</v>
      </c>
      <c r="E1692" s="1" t="s">
        <v>40</v>
      </c>
      <c r="F1692" s="1">
        <v>757.58</v>
      </c>
      <c r="G1692" s="1">
        <v>-132.63</v>
      </c>
      <c r="H1692" s="1">
        <v>3.0</v>
      </c>
      <c r="I1692" s="1" t="s">
        <v>17</v>
      </c>
      <c r="J1692" s="1" t="s">
        <v>24</v>
      </c>
      <c r="K1692" s="1">
        <f t="shared" si="1"/>
        <v>2021</v>
      </c>
      <c r="L1692" s="1" t="str">
        <f t="shared" si="2"/>
        <v>May</v>
      </c>
      <c r="M1692" s="1" t="str">
        <f t="shared" si="3"/>
        <v>Loss</v>
      </c>
    </row>
    <row r="1693" ht="14.25" customHeight="1">
      <c r="A1693" s="1" t="s">
        <v>1727</v>
      </c>
      <c r="B1693" s="2">
        <v>44966.0</v>
      </c>
      <c r="C1693" s="1" t="s">
        <v>30</v>
      </c>
      <c r="D1693" s="1" t="s">
        <v>27</v>
      </c>
      <c r="E1693" s="1" t="s">
        <v>40</v>
      </c>
      <c r="F1693" s="1">
        <v>880.85</v>
      </c>
      <c r="G1693" s="1">
        <v>55.68</v>
      </c>
      <c r="H1693" s="1">
        <v>1.0</v>
      </c>
      <c r="I1693" s="1" t="s">
        <v>34</v>
      </c>
      <c r="J1693" s="1" t="s">
        <v>38</v>
      </c>
      <c r="K1693" s="1">
        <f t="shared" si="1"/>
        <v>2023</v>
      </c>
      <c r="L1693" s="1" t="str">
        <f t="shared" si="2"/>
        <v>Feb</v>
      </c>
      <c r="M1693" s="1" t="str">
        <f t="shared" si="3"/>
        <v>Profit</v>
      </c>
    </row>
    <row r="1694" ht="14.25" customHeight="1">
      <c r="A1694" s="1" t="s">
        <v>1728</v>
      </c>
      <c r="B1694" s="2">
        <v>44714.0</v>
      </c>
      <c r="C1694" s="1" t="s">
        <v>26</v>
      </c>
      <c r="D1694" s="1" t="s">
        <v>15</v>
      </c>
      <c r="E1694" s="1" t="s">
        <v>16</v>
      </c>
      <c r="F1694" s="1">
        <v>176.38</v>
      </c>
      <c r="G1694" s="1">
        <v>-101.08</v>
      </c>
      <c r="H1694" s="1">
        <v>9.0</v>
      </c>
      <c r="I1694" s="1" t="s">
        <v>34</v>
      </c>
      <c r="J1694" s="1" t="s">
        <v>18</v>
      </c>
      <c r="K1694" s="1">
        <f t="shared" si="1"/>
        <v>2022</v>
      </c>
      <c r="L1694" s="1" t="str">
        <f t="shared" si="2"/>
        <v>Jun</v>
      </c>
      <c r="M1694" s="1" t="str">
        <f t="shared" si="3"/>
        <v>Loss</v>
      </c>
    </row>
    <row r="1695" ht="14.25" customHeight="1">
      <c r="A1695" s="1" t="s">
        <v>1729</v>
      </c>
      <c r="B1695" s="2">
        <v>44675.0</v>
      </c>
      <c r="C1695" s="1" t="s">
        <v>14</v>
      </c>
      <c r="D1695" s="1" t="s">
        <v>27</v>
      </c>
      <c r="E1695" s="1" t="s">
        <v>40</v>
      </c>
      <c r="F1695" s="1">
        <v>536.08</v>
      </c>
      <c r="G1695" s="1">
        <v>-186.92</v>
      </c>
      <c r="H1695" s="1">
        <v>6.0</v>
      </c>
      <c r="I1695" s="1" t="s">
        <v>23</v>
      </c>
      <c r="J1695" s="1" t="s">
        <v>38</v>
      </c>
      <c r="K1695" s="1">
        <f t="shared" si="1"/>
        <v>2022</v>
      </c>
      <c r="L1695" s="1" t="str">
        <f t="shared" si="2"/>
        <v>Apr</v>
      </c>
      <c r="M1695" s="1" t="str">
        <f t="shared" si="3"/>
        <v>Loss</v>
      </c>
    </row>
    <row r="1696" ht="14.25" customHeight="1">
      <c r="A1696" s="1" t="s">
        <v>1730</v>
      </c>
      <c r="B1696" s="2">
        <v>44472.0</v>
      </c>
      <c r="C1696" s="1" t="s">
        <v>14</v>
      </c>
      <c r="D1696" s="1" t="s">
        <v>15</v>
      </c>
      <c r="E1696" s="1" t="s">
        <v>16</v>
      </c>
      <c r="F1696" s="1">
        <v>405.46</v>
      </c>
      <c r="G1696" s="1">
        <v>99.95</v>
      </c>
      <c r="H1696" s="1">
        <v>9.0</v>
      </c>
      <c r="I1696" s="1" t="s">
        <v>17</v>
      </c>
      <c r="J1696" s="1" t="s">
        <v>24</v>
      </c>
      <c r="K1696" s="1">
        <f t="shared" si="1"/>
        <v>2021</v>
      </c>
      <c r="L1696" s="1" t="str">
        <f t="shared" si="2"/>
        <v>Oct</v>
      </c>
      <c r="M1696" s="1" t="str">
        <f t="shared" si="3"/>
        <v>Profit</v>
      </c>
    </row>
    <row r="1697" ht="14.25" customHeight="1">
      <c r="A1697" s="1" t="s">
        <v>1731</v>
      </c>
      <c r="B1697" s="2">
        <v>45179.0</v>
      </c>
      <c r="C1697" s="1" t="s">
        <v>20</v>
      </c>
      <c r="D1697" s="1" t="s">
        <v>21</v>
      </c>
      <c r="E1697" s="1" t="s">
        <v>37</v>
      </c>
      <c r="F1697" s="1">
        <v>847.35</v>
      </c>
      <c r="G1697" s="1">
        <v>237.61</v>
      </c>
      <c r="H1697" s="1">
        <v>3.0</v>
      </c>
      <c r="I1697" s="1" t="s">
        <v>34</v>
      </c>
      <c r="J1697" s="1" t="s">
        <v>38</v>
      </c>
      <c r="K1697" s="1">
        <f t="shared" si="1"/>
        <v>2023</v>
      </c>
      <c r="L1697" s="1" t="str">
        <f t="shared" si="2"/>
        <v>Sep</v>
      </c>
      <c r="M1697" s="1" t="str">
        <f t="shared" si="3"/>
        <v>Profit</v>
      </c>
    </row>
    <row r="1698" ht="14.25" customHeight="1">
      <c r="A1698" s="1" t="s">
        <v>1732</v>
      </c>
      <c r="B1698" s="2">
        <v>44327.0</v>
      </c>
      <c r="C1698" s="1" t="s">
        <v>30</v>
      </c>
      <c r="D1698" s="1" t="s">
        <v>27</v>
      </c>
      <c r="E1698" s="1" t="s">
        <v>28</v>
      </c>
      <c r="F1698" s="1">
        <v>901.89</v>
      </c>
      <c r="G1698" s="1">
        <v>234.15</v>
      </c>
      <c r="H1698" s="1">
        <v>8.0</v>
      </c>
      <c r="I1698" s="1" t="s">
        <v>17</v>
      </c>
      <c r="J1698" s="1" t="s">
        <v>38</v>
      </c>
      <c r="K1698" s="1">
        <f t="shared" si="1"/>
        <v>2021</v>
      </c>
      <c r="L1698" s="1" t="str">
        <f t="shared" si="2"/>
        <v>May</v>
      </c>
      <c r="M1698" s="1" t="str">
        <f t="shared" si="3"/>
        <v>Profit</v>
      </c>
    </row>
    <row r="1699" ht="14.25" customHeight="1">
      <c r="A1699" s="1" t="s">
        <v>1733</v>
      </c>
      <c r="B1699" s="2">
        <v>44262.0</v>
      </c>
      <c r="C1699" s="1" t="s">
        <v>26</v>
      </c>
      <c r="D1699" s="1" t="s">
        <v>27</v>
      </c>
      <c r="E1699" s="1" t="s">
        <v>40</v>
      </c>
      <c r="F1699" s="1">
        <v>524.7</v>
      </c>
      <c r="G1699" s="1">
        <v>262.63</v>
      </c>
      <c r="H1699" s="1">
        <v>2.0</v>
      </c>
      <c r="I1699" s="1" t="s">
        <v>17</v>
      </c>
      <c r="J1699" s="1" t="s">
        <v>18</v>
      </c>
      <c r="K1699" s="1">
        <f t="shared" si="1"/>
        <v>2021</v>
      </c>
      <c r="L1699" s="1" t="str">
        <f t="shared" si="2"/>
        <v>Mar</v>
      </c>
      <c r="M1699" s="1" t="str">
        <f t="shared" si="3"/>
        <v>Profit</v>
      </c>
    </row>
    <row r="1700" ht="14.25" customHeight="1">
      <c r="A1700" s="1" t="s">
        <v>1734</v>
      </c>
      <c r="B1700" s="2">
        <v>44250.0</v>
      </c>
      <c r="C1700" s="1" t="s">
        <v>26</v>
      </c>
      <c r="D1700" s="1" t="s">
        <v>27</v>
      </c>
      <c r="E1700" s="1" t="s">
        <v>33</v>
      </c>
      <c r="F1700" s="1">
        <v>332.86</v>
      </c>
      <c r="G1700" s="1">
        <v>59.3</v>
      </c>
      <c r="H1700" s="1">
        <v>5.0</v>
      </c>
      <c r="I1700" s="1" t="s">
        <v>17</v>
      </c>
      <c r="J1700" s="1" t="s">
        <v>24</v>
      </c>
      <c r="K1700" s="1">
        <f t="shared" si="1"/>
        <v>2021</v>
      </c>
      <c r="L1700" s="1" t="str">
        <f t="shared" si="2"/>
        <v>Feb</v>
      </c>
      <c r="M1700" s="1" t="str">
        <f t="shared" si="3"/>
        <v>Profit</v>
      </c>
    </row>
    <row r="1701" ht="14.25" customHeight="1">
      <c r="A1701" s="1" t="s">
        <v>1735</v>
      </c>
      <c r="B1701" s="2">
        <v>45099.0</v>
      </c>
      <c r="C1701" s="1" t="s">
        <v>26</v>
      </c>
      <c r="D1701" s="1" t="s">
        <v>27</v>
      </c>
      <c r="E1701" s="1" t="s">
        <v>33</v>
      </c>
      <c r="F1701" s="1">
        <v>565.29</v>
      </c>
      <c r="G1701" s="1">
        <v>287.87</v>
      </c>
      <c r="H1701" s="1">
        <v>8.0</v>
      </c>
      <c r="I1701" s="1" t="s">
        <v>34</v>
      </c>
      <c r="J1701" s="1" t="s">
        <v>38</v>
      </c>
      <c r="K1701" s="1">
        <f t="shared" si="1"/>
        <v>2023</v>
      </c>
      <c r="L1701" s="1" t="str">
        <f t="shared" si="2"/>
        <v>Jun</v>
      </c>
      <c r="M1701" s="1" t="str">
        <f t="shared" si="3"/>
        <v>Profit</v>
      </c>
    </row>
    <row r="1702" ht="14.25" customHeight="1">
      <c r="A1702" s="1" t="s">
        <v>1736</v>
      </c>
      <c r="B1702" s="2">
        <v>44290.0</v>
      </c>
      <c r="C1702" s="1" t="s">
        <v>26</v>
      </c>
      <c r="D1702" s="1" t="s">
        <v>15</v>
      </c>
      <c r="E1702" s="1" t="s">
        <v>16</v>
      </c>
      <c r="F1702" s="1">
        <v>37.99</v>
      </c>
      <c r="G1702" s="1">
        <v>23.62</v>
      </c>
      <c r="H1702" s="1">
        <v>8.0</v>
      </c>
      <c r="I1702" s="1" t="s">
        <v>17</v>
      </c>
      <c r="J1702" s="1" t="s">
        <v>35</v>
      </c>
      <c r="K1702" s="1">
        <f t="shared" si="1"/>
        <v>2021</v>
      </c>
      <c r="L1702" s="1" t="str">
        <f t="shared" si="2"/>
        <v>Apr</v>
      </c>
      <c r="M1702" s="1" t="str">
        <f t="shared" si="3"/>
        <v>Profit</v>
      </c>
    </row>
    <row r="1703" ht="14.25" customHeight="1">
      <c r="A1703" s="1" t="s">
        <v>1737</v>
      </c>
      <c r="B1703" s="2">
        <v>44594.0</v>
      </c>
      <c r="C1703" s="1" t="s">
        <v>20</v>
      </c>
      <c r="D1703" s="1" t="s">
        <v>21</v>
      </c>
      <c r="E1703" s="1" t="s">
        <v>37</v>
      </c>
      <c r="F1703" s="1">
        <v>778.11</v>
      </c>
      <c r="G1703" s="1">
        <v>-164.16</v>
      </c>
      <c r="H1703" s="1">
        <v>4.0</v>
      </c>
      <c r="I1703" s="1" t="s">
        <v>23</v>
      </c>
      <c r="J1703" s="1" t="s">
        <v>38</v>
      </c>
      <c r="K1703" s="1">
        <f t="shared" si="1"/>
        <v>2022</v>
      </c>
      <c r="L1703" s="1" t="str">
        <f t="shared" si="2"/>
        <v>Feb</v>
      </c>
      <c r="M1703" s="1" t="str">
        <f t="shared" si="3"/>
        <v>Loss</v>
      </c>
    </row>
    <row r="1704" ht="14.25" customHeight="1">
      <c r="A1704" s="1" t="s">
        <v>1738</v>
      </c>
      <c r="B1704" s="2">
        <v>44494.0</v>
      </c>
      <c r="C1704" s="1" t="s">
        <v>20</v>
      </c>
      <c r="D1704" s="1" t="s">
        <v>15</v>
      </c>
      <c r="E1704" s="1" t="s">
        <v>31</v>
      </c>
      <c r="F1704" s="1">
        <v>276.95</v>
      </c>
      <c r="G1704" s="1">
        <v>-152.81</v>
      </c>
      <c r="H1704" s="1">
        <v>10.0</v>
      </c>
      <c r="I1704" s="1" t="s">
        <v>17</v>
      </c>
      <c r="J1704" s="1" t="s">
        <v>38</v>
      </c>
      <c r="K1704" s="1">
        <f t="shared" si="1"/>
        <v>2021</v>
      </c>
      <c r="L1704" s="1" t="str">
        <f t="shared" si="2"/>
        <v>Oct</v>
      </c>
      <c r="M1704" s="1" t="str">
        <f t="shared" si="3"/>
        <v>Loss</v>
      </c>
    </row>
    <row r="1705" ht="14.25" customHeight="1">
      <c r="A1705" s="1" t="s">
        <v>1739</v>
      </c>
      <c r="B1705" s="2">
        <v>44280.0</v>
      </c>
      <c r="C1705" s="1" t="s">
        <v>26</v>
      </c>
      <c r="D1705" s="1" t="s">
        <v>15</v>
      </c>
      <c r="E1705" s="1" t="s">
        <v>16</v>
      </c>
      <c r="F1705" s="1">
        <v>970.42</v>
      </c>
      <c r="G1705" s="1">
        <v>191.96</v>
      </c>
      <c r="H1705" s="1">
        <v>7.0</v>
      </c>
      <c r="I1705" s="1" t="s">
        <v>34</v>
      </c>
      <c r="J1705" s="1" t="s">
        <v>38</v>
      </c>
      <c r="K1705" s="1">
        <f t="shared" si="1"/>
        <v>2021</v>
      </c>
      <c r="L1705" s="1" t="str">
        <f t="shared" si="2"/>
        <v>Mar</v>
      </c>
      <c r="M1705" s="1" t="str">
        <f t="shared" si="3"/>
        <v>Profit</v>
      </c>
    </row>
    <row r="1706" ht="14.25" customHeight="1">
      <c r="A1706" s="1" t="s">
        <v>1740</v>
      </c>
      <c r="B1706" s="2">
        <v>45096.0</v>
      </c>
      <c r="C1706" s="1" t="s">
        <v>20</v>
      </c>
      <c r="D1706" s="1" t="s">
        <v>15</v>
      </c>
      <c r="E1706" s="1" t="s">
        <v>31</v>
      </c>
      <c r="F1706" s="1">
        <v>978.99</v>
      </c>
      <c r="G1706" s="1">
        <v>-123.68</v>
      </c>
      <c r="H1706" s="1">
        <v>4.0</v>
      </c>
      <c r="I1706" s="1" t="s">
        <v>17</v>
      </c>
      <c r="J1706" s="1" t="s">
        <v>38</v>
      </c>
      <c r="K1706" s="1">
        <f t="shared" si="1"/>
        <v>2023</v>
      </c>
      <c r="L1706" s="1" t="str">
        <f t="shared" si="2"/>
        <v>Jun</v>
      </c>
      <c r="M1706" s="1" t="str">
        <f t="shared" si="3"/>
        <v>Loss</v>
      </c>
    </row>
    <row r="1707" ht="14.25" customHeight="1">
      <c r="A1707" s="1" t="s">
        <v>1741</v>
      </c>
      <c r="B1707" s="2">
        <v>44534.0</v>
      </c>
      <c r="C1707" s="1" t="s">
        <v>30</v>
      </c>
      <c r="D1707" s="1" t="s">
        <v>15</v>
      </c>
      <c r="E1707" s="1" t="s">
        <v>16</v>
      </c>
      <c r="F1707" s="1">
        <v>997.82</v>
      </c>
      <c r="G1707" s="1">
        <v>-147.03</v>
      </c>
      <c r="H1707" s="1">
        <v>6.0</v>
      </c>
      <c r="I1707" s="1" t="s">
        <v>23</v>
      </c>
      <c r="J1707" s="1" t="s">
        <v>24</v>
      </c>
      <c r="K1707" s="1">
        <f t="shared" si="1"/>
        <v>2021</v>
      </c>
      <c r="L1707" s="1" t="str">
        <f t="shared" si="2"/>
        <v>Dec</v>
      </c>
      <c r="M1707" s="1" t="str">
        <f t="shared" si="3"/>
        <v>Loss</v>
      </c>
    </row>
    <row r="1708" ht="14.25" customHeight="1">
      <c r="A1708" s="1" t="s">
        <v>1742</v>
      </c>
      <c r="B1708" s="2">
        <v>44752.0</v>
      </c>
      <c r="C1708" s="1" t="s">
        <v>26</v>
      </c>
      <c r="D1708" s="1" t="s">
        <v>15</v>
      </c>
      <c r="E1708" s="1" t="s">
        <v>31</v>
      </c>
      <c r="F1708" s="1">
        <v>128.12</v>
      </c>
      <c r="G1708" s="1">
        <v>-115.24</v>
      </c>
      <c r="H1708" s="1">
        <v>2.0</v>
      </c>
      <c r="I1708" s="1" t="s">
        <v>23</v>
      </c>
      <c r="J1708" s="1" t="s">
        <v>24</v>
      </c>
      <c r="K1708" s="1">
        <f t="shared" si="1"/>
        <v>2022</v>
      </c>
      <c r="L1708" s="1" t="str">
        <f t="shared" si="2"/>
        <v>Jul</v>
      </c>
      <c r="M1708" s="1" t="str">
        <f t="shared" si="3"/>
        <v>Loss</v>
      </c>
    </row>
    <row r="1709" ht="14.25" customHeight="1">
      <c r="A1709" s="1" t="s">
        <v>1743</v>
      </c>
      <c r="B1709" s="2">
        <v>45279.0</v>
      </c>
      <c r="C1709" s="1" t="s">
        <v>30</v>
      </c>
      <c r="D1709" s="1" t="s">
        <v>15</v>
      </c>
      <c r="E1709" s="1" t="s">
        <v>54</v>
      </c>
      <c r="F1709" s="1">
        <v>218.58</v>
      </c>
      <c r="G1709" s="1">
        <v>41.37</v>
      </c>
      <c r="H1709" s="1">
        <v>7.0</v>
      </c>
      <c r="I1709" s="1" t="s">
        <v>23</v>
      </c>
      <c r="J1709" s="1" t="s">
        <v>24</v>
      </c>
      <c r="K1709" s="1">
        <f t="shared" si="1"/>
        <v>2023</v>
      </c>
      <c r="L1709" s="1" t="str">
        <f t="shared" si="2"/>
        <v>Dec</v>
      </c>
      <c r="M1709" s="1" t="str">
        <f t="shared" si="3"/>
        <v>Profit</v>
      </c>
    </row>
    <row r="1710" ht="14.25" customHeight="1">
      <c r="A1710" s="1" t="s">
        <v>1744</v>
      </c>
      <c r="B1710" s="2">
        <v>44898.0</v>
      </c>
      <c r="C1710" s="1" t="s">
        <v>26</v>
      </c>
      <c r="D1710" s="1" t="s">
        <v>21</v>
      </c>
      <c r="E1710" s="1" t="s">
        <v>37</v>
      </c>
      <c r="F1710" s="1">
        <v>804.97</v>
      </c>
      <c r="G1710" s="1">
        <v>30.35</v>
      </c>
      <c r="H1710" s="1">
        <v>6.0</v>
      </c>
      <c r="I1710" s="1" t="s">
        <v>34</v>
      </c>
      <c r="J1710" s="1" t="s">
        <v>35</v>
      </c>
      <c r="K1710" s="1">
        <f t="shared" si="1"/>
        <v>2022</v>
      </c>
      <c r="L1710" s="1" t="str">
        <f t="shared" si="2"/>
        <v>Dec</v>
      </c>
      <c r="M1710" s="1" t="str">
        <f t="shared" si="3"/>
        <v>Profit</v>
      </c>
    </row>
    <row r="1711" ht="14.25" customHeight="1">
      <c r="A1711" s="1" t="s">
        <v>1745</v>
      </c>
      <c r="B1711" s="2">
        <v>45172.0</v>
      </c>
      <c r="C1711" s="1" t="s">
        <v>26</v>
      </c>
      <c r="D1711" s="1" t="s">
        <v>27</v>
      </c>
      <c r="E1711" s="1" t="s">
        <v>33</v>
      </c>
      <c r="F1711" s="1">
        <v>284.76</v>
      </c>
      <c r="G1711" s="1">
        <v>-184.43</v>
      </c>
      <c r="H1711" s="1">
        <v>7.0</v>
      </c>
      <c r="I1711" s="1" t="s">
        <v>34</v>
      </c>
      <c r="J1711" s="1" t="s">
        <v>35</v>
      </c>
      <c r="K1711" s="1">
        <f t="shared" si="1"/>
        <v>2023</v>
      </c>
      <c r="L1711" s="1" t="str">
        <f t="shared" si="2"/>
        <v>Sep</v>
      </c>
      <c r="M1711" s="1" t="str">
        <f t="shared" si="3"/>
        <v>Loss</v>
      </c>
    </row>
    <row r="1712" ht="14.25" customHeight="1">
      <c r="A1712" s="1" t="s">
        <v>1746</v>
      </c>
      <c r="B1712" s="2">
        <v>44835.0</v>
      </c>
      <c r="C1712" s="1" t="s">
        <v>26</v>
      </c>
      <c r="D1712" s="1" t="s">
        <v>27</v>
      </c>
      <c r="E1712" s="1" t="s">
        <v>28</v>
      </c>
      <c r="F1712" s="1">
        <v>958.93</v>
      </c>
      <c r="G1712" s="1">
        <v>-48.84</v>
      </c>
      <c r="H1712" s="1">
        <v>7.0</v>
      </c>
      <c r="I1712" s="1" t="s">
        <v>34</v>
      </c>
      <c r="J1712" s="1" t="s">
        <v>18</v>
      </c>
      <c r="K1712" s="1">
        <f t="shared" si="1"/>
        <v>2022</v>
      </c>
      <c r="L1712" s="1" t="str">
        <f t="shared" si="2"/>
        <v>Oct</v>
      </c>
      <c r="M1712" s="1" t="str">
        <f t="shared" si="3"/>
        <v>Loss</v>
      </c>
    </row>
    <row r="1713" ht="14.25" customHeight="1">
      <c r="A1713" s="1" t="s">
        <v>1747</v>
      </c>
      <c r="B1713" s="2">
        <v>44528.0</v>
      </c>
      <c r="C1713" s="1" t="s">
        <v>30</v>
      </c>
      <c r="D1713" s="1" t="s">
        <v>15</v>
      </c>
      <c r="E1713" s="1" t="s">
        <v>16</v>
      </c>
      <c r="F1713" s="1">
        <v>727.0</v>
      </c>
      <c r="G1713" s="1">
        <v>157.91</v>
      </c>
      <c r="H1713" s="1">
        <v>9.0</v>
      </c>
      <c r="I1713" s="1" t="s">
        <v>23</v>
      </c>
      <c r="J1713" s="1" t="s">
        <v>18</v>
      </c>
      <c r="K1713" s="1">
        <f t="shared" si="1"/>
        <v>2021</v>
      </c>
      <c r="L1713" s="1" t="str">
        <f t="shared" si="2"/>
        <v>Nov</v>
      </c>
      <c r="M1713" s="1" t="str">
        <f t="shared" si="3"/>
        <v>Profit</v>
      </c>
    </row>
    <row r="1714" ht="14.25" customHeight="1">
      <c r="A1714" s="1" t="s">
        <v>1748</v>
      </c>
      <c r="B1714" s="2">
        <v>45142.0</v>
      </c>
      <c r="C1714" s="1" t="s">
        <v>26</v>
      </c>
      <c r="D1714" s="1" t="s">
        <v>15</v>
      </c>
      <c r="E1714" s="1" t="s">
        <v>31</v>
      </c>
      <c r="F1714" s="1">
        <v>114.37</v>
      </c>
      <c r="G1714" s="1">
        <v>212.28</v>
      </c>
      <c r="H1714" s="1">
        <v>5.0</v>
      </c>
      <c r="I1714" s="1" t="s">
        <v>34</v>
      </c>
      <c r="J1714" s="1" t="s">
        <v>24</v>
      </c>
      <c r="K1714" s="1">
        <f t="shared" si="1"/>
        <v>2023</v>
      </c>
      <c r="L1714" s="1" t="str">
        <f t="shared" si="2"/>
        <v>Aug</v>
      </c>
      <c r="M1714" s="1" t="str">
        <f t="shared" si="3"/>
        <v>Profit</v>
      </c>
    </row>
    <row r="1715" ht="14.25" customHeight="1">
      <c r="A1715" s="1" t="s">
        <v>1749</v>
      </c>
      <c r="B1715" s="2">
        <v>44606.0</v>
      </c>
      <c r="C1715" s="1" t="s">
        <v>14</v>
      </c>
      <c r="D1715" s="1" t="s">
        <v>15</v>
      </c>
      <c r="E1715" s="1" t="s">
        <v>54</v>
      </c>
      <c r="F1715" s="1">
        <v>324.9</v>
      </c>
      <c r="G1715" s="1">
        <v>280.97</v>
      </c>
      <c r="H1715" s="1">
        <v>1.0</v>
      </c>
      <c r="I1715" s="1" t="s">
        <v>23</v>
      </c>
      <c r="J1715" s="1" t="s">
        <v>18</v>
      </c>
      <c r="K1715" s="1">
        <f t="shared" si="1"/>
        <v>2022</v>
      </c>
      <c r="L1715" s="1" t="str">
        <f t="shared" si="2"/>
        <v>Feb</v>
      </c>
      <c r="M1715" s="1" t="str">
        <f t="shared" si="3"/>
        <v>Profit</v>
      </c>
    </row>
    <row r="1716" ht="14.25" customHeight="1">
      <c r="A1716" s="1" t="s">
        <v>1750</v>
      </c>
      <c r="B1716" s="2">
        <v>45062.0</v>
      </c>
      <c r="C1716" s="1" t="s">
        <v>14</v>
      </c>
      <c r="D1716" s="1" t="s">
        <v>27</v>
      </c>
      <c r="E1716" s="1" t="s">
        <v>40</v>
      </c>
      <c r="F1716" s="1">
        <v>138.4</v>
      </c>
      <c r="G1716" s="1">
        <v>258.38</v>
      </c>
      <c r="H1716" s="1">
        <v>2.0</v>
      </c>
      <c r="I1716" s="1" t="s">
        <v>17</v>
      </c>
      <c r="J1716" s="1" t="s">
        <v>18</v>
      </c>
      <c r="K1716" s="1">
        <f t="shared" si="1"/>
        <v>2023</v>
      </c>
      <c r="L1716" s="1" t="str">
        <f t="shared" si="2"/>
        <v>May</v>
      </c>
      <c r="M1716" s="1" t="str">
        <f t="shared" si="3"/>
        <v>Profit</v>
      </c>
    </row>
    <row r="1717" ht="14.25" customHeight="1">
      <c r="A1717" s="1" t="s">
        <v>1751</v>
      </c>
      <c r="B1717" s="2">
        <v>44406.0</v>
      </c>
      <c r="C1717" s="1" t="s">
        <v>30</v>
      </c>
      <c r="D1717" s="1" t="s">
        <v>21</v>
      </c>
      <c r="E1717" s="1" t="s">
        <v>76</v>
      </c>
      <c r="F1717" s="1">
        <v>93.9</v>
      </c>
      <c r="G1717" s="1">
        <v>269.79</v>
      </c>
      <c r="H1717" s="1">
        <v>3.0</v>
      </c>
      <c r="I1717" s="1" t="s">
        <v>34</v>
      </c>
      <c r="J1717" s="1" t="s">
        <v>18</v>
      </c>
      <c r="K1717" s="1">
        <f t="shared" si="1"/>
        <v>2021</v>
      </c>
      <c r="L1717" s="1" t="str">
        <f t="shared" si="2"/>
        <v>Jul</v>
      </c>
      <c r="M1717" s="1" t="str">
        <f t="shared" si="3"/>
        <v>Profit</v>
      </c>
    </row>
    <row r="1718" ht="14.25" customHeight="1">
      <c r="A1718" s="1" t="s">
        <v>1752</v>
      </c>
      <c r="B1718" s="2">
        <v>44633.0</v>
      </c>
      <c r="C1718" s="1" t="s">
        <v>14</v>
      </c>
      <c r="D1718" s="1" t="s">
        <v>21</v>
      </c>
      <c r="E1718" s="1" t="s">
        <v>37</v>
      </c>
      <c r="F1718" s="1">
        <v>366.17</v>
      </c>
      <c r="G1718" s="1">
        <v>148.6</v>
      </c>
      <c r="H1718" s="1">
        <v>8.0</v>
      </c>
      <c r="I1718" s="1" t="s">
        <v>17</v>
      </c>
      <c r="J1718" s="1" t="s">
        <v>38</v>
      </c>
      <c r="K1718" s="1">
        <f t="shared" si="1"/>
        <v>2022</v>
      </c>
      <c r="L1718" s="1" t="str">
        <f t="shared" si="2"/>
        <v>Mar</v>
      </c>
      <c r="M1718" s="1" t="str">
        <f t="shared" si="3"/>
        <v>Profit</v>
      </c>
    </row>
    <row r="1719" ht="14.25" customHeight="1">
      <c r="A1719" s="1" t="s">
        <v>1753</v>
      </c>
      <c r="B1719" s="2">
        <v>44250.0</v>
      </c>
      <c r="C1719" s="1" t="s">
        <v>26</v>
      </c>
      <c r="D1719" s="1" t="s">
        <v>21</v>
      </c>
      <c r="E1719" s="1" t="s">
        <v>22</v>
      </c>
      <c r="F1719" s="1">
        <v>397.65</v>
      </c>
      <c r="G1719" s="1">
        <v>48.06</v>
      </c>
      <c r="H1719" s="1">
        <v>10.0</v>
      </c>
      <c r="I1719" s="1" t="s">
        <v>17</v>
      </c>
      <c r="J1719" s="1" t="s">
        <v>18</v>
      </c>
      <c r="K1719" s="1">
        <f t="shared" si="1"/>
        <v>2021</v>
      </c>
      <c r="L1719" s="1" t="str">
        <f t="shared" si="2"/>
        <v>Feb</v>
      </c>
      <c r="M1719" s="1" t="str">
        <f t="shared" si="3"/>
        <v>Profit</v>
      </c>
    </row>
    <row r="1720" ht="14.25" customHeight="1">
      <c r="A1720" s="1" t="s">
        <v>1754</v>
      </c>
      <c r="B1720" s="2">
        <v>44232.0</v>
      </c>
      <c r="C1720" s="1" t="s">
        <v>14</v>
      </c>
      <c r="D1720" s="1" t="s">
        <v>21</v>
      </c>
      <c r="E1720" s="1" t="s">
        <v>37</v>
      </c>
      <c r="F1720" s="1">
        <v>130.77</v>
      </c>
      <c r="G1720" s="1">
        <v>-53.15</v>
      </c>
      <c r="H1720" s="1">
        <v>10.0</v>
      </c>
      <c r="I1720" s="1" t="s">
        <v>23</v>
      </c>
      <c r="J1720" s="1" t="s">
        <v>38</v>
      </c>
      <c r="K1720" s="1">
        <f t="shared" si="1"/>
        <v>2021</v>
      </c>
      <c r="L1720" s="1" t="str">
        <f t="shared" si="2"/>
        <v>Feb</v>
      </c>
      <c r="M1720" s="1" t="str">
        <f t="shared" si="3"/>
        <v>Loss</v>
      </c>
    </row>
    <row r="1721" ht="14.25" customHeight="1">
      <c r="A1721" s="1" t="s">
        <v>1755</v>
      </c>
      <c r="B1721" s="2">
        <v>44575.0</v>
      </c>
      <c r="C1721" s="1" t="s">
        <v>26</v>
      </c>
      <c r="D1721" s="1" t="s">
        <v>15</v>
      </c>
      <c r="E1721" s="1" t="s">
        <v>54</v>
      </c>
      <c r="F1721" s="1">
        <v>58.58</v>
      </c>
      <c r="G1721" s="1">
        <v>-58.71</v>
      </c>
      <c r="H1721" s="1">
        <v>4.0</v>
      </c>
      <c r="I1721" s="1" t="s">
        <v>34</v>
      </c>
      <c r="J1721" s="1" t="s">
        <v>38</v>
      </c>
      <c r="K1721" s="1">
        <f t="shared" si="1"/>
        <v>2022</v>
      </c>
      <c r="L1721" s="1" t="str">
        <f t="shared" si="2"/>
        <v>Jan</v>
      </c>
      <c r="M1721" s="1" t="str">
        <f t="shared" si="3"/>
        <v>Loss</v>
      </c>
    </row>
    <row r="1722" ht="14.25" customHeight="1">
      <c r="A1722" s="1" t="s">
        <v>1756</v>
      </c>
      <c r="B1722" s="2">
        <v>44318.0</v>
      </c>
      <c r="C1722" s="1" t="s">
        <v>26</v>
      </c>
      <c r="D1722" s="1" t="s">
        <v>21</v>
      </c>
      <c r="E1722" s="1" t="s">
        <v>37</v>
      </c>
      <c r="F1722" s="1">
        <v>927.55</v>
      </c>
      <c r="G1722" s="1">
        <v>-151.96</v>
      </c>
      <c r="H1722" s="1">
        <v>5.0</v>
      </c>
      <c r="I1722" s="1" t="s">
        <v>34</v>
      </c>
      <c r="J1722" s="1" t="s">
        <v>18</v>
      </c>
      <c r="K1722" s="1">
        <f t="shared" si="1"/>
        <v>2021</v>
      </c>
      <c r="L1722" s="1" t="str">
        <f t="shared" si="2"/>
        <v>May</v>
      </c>
      <c r="M1722" s="1" t="str">
        <f t="shared" si="3"/>
        <v>Loss</v>
      </c>
    </row>
    <row r="1723" ht="14.25" customHeight="1">
      <c r="A1723" s="1" t="s">
        <v>1757</v>
      </c>
      <c r="B1723" s="2">
        <v>44242.0</v>
      </c>
      <c r="C1723" s="1" t="s">
        <v>26</v>
      </c>
      <c r="D1723" s="1" t="s">
        <v>15</v>
      </c>
      <c r="E1723" s="1" t="s">
        <v>16</v>
      </c>
      <c r="F1723" s="1">
        <v>129.33</v>
      </c>
      <c r="G1723" s="1">
        <v>20.03</v>
      </c>
      <c r="H1723" s="1">
        <v>7.0</v>
      </c>
      <c r="I1723" s="1" t="s">
        <v>34</v>
      </c>
      <c r="J1723" s="1" t="s">
        <v>35</v>
      </c>
      <c r="K1723" s="1">
        <f t="shared" si="1"/>
        <v>2021</v>
      </c>
      <c r="L1723" s="1" t="str">
        <f t="shared" si="2"/>
        <v>Feb</v>
      </c>
      <c r="M1723" s="1" t="str">
        <f t="shared" si="3"/>
        <v>Profit</v>
      </c>
    </row>
    <row r="1724" ht="14.25" customHeight="1">
      <c r="A1724" s="1" t="s">
        <v>1758</v>
      </c>
      <c r="B1724" s="2">
        <v>44552.0</v>
      </c>
      <c r="C1724" s="1" t="s">
        <v>26</v>
      </c>
      <c r="D1724" s="1" t="s">
        <v>27</v>
      </c>
      <c r="E1724" s="1" t="s">
        <v>40</v>
      </c>
      <c r="F1724" s="1">
        <v>636.71</v>
      </c>
      <c r="G1724" s="1">
        <v>260.72</v>
      </c>
      <c r="H1724" s="1">
        <v>1.0</v>
      </c>
      <c r="I1724" s="1" t="s">
        <v>23</v>
      </c>
      <c r="J1724" s="1" t="s">
        <v>38</v>
      </c>
      <c r="K1724" s="1">
        <f t="shared" si="1"/>
        <v>2021</v>
      </c>
      <c r="L1724" s="1" t="str">
        <f t="shared" si="2"/>
        <v>Dec</v>
      </c>
      <c r="M1724" s="1" t="str">
        <f t="shared" si="3"/>
        <v>Profit</v>
      </c>
    </row>
    <row r="1725" ht="14.25" customHeight="1">
      <c r="A1725" s="1" t="s">
        <v>1759</v>
      </c>
      <c r="B1725" s="2">
        <v>44604.0</v>
      </c>
      <c r="C1725" s="1" t="s">
        <v>20</v>
      </c>
      <c r="D1725" s="1" t="s">
        <v>21</v>
      </c>
      <c r="E1725" s="1" t="s">
        <v>22</v>
      </c>
      <c r="F1725" s="1">
        <v>502.55</v>
      </c>
      <c r="G1725" s="1">
        <v>147.41</v>
      </c>
      <c r="H1725" s="1">
        <v>5.0</v>
      </c>
      <c r="I1725" s="1" t="s">
        <v>34</v>
      </c>
      <c r="J1725" s="1" t="s">
        <v>38</v>
      </c>
      <c r="K1725" s="1">
        <f t="shared" si="1"/>
        <v>2022</v>
      </c>
      <c r="L1725" s="1" t="str">
        <f t="shared" si="2"/>
        <v>Feb</v>
      </c>
      <c r="M1725" s="1" t="str">
        <f t="shared" si="3"/>
        <v>Profit</v>
      </c>
    </row>
    <row r="1726" ht="14.25" customHeight="1">
      <c r="A1726" s="1" t="s">
        <v>1760</v>
      </c>
      <c r="B1726" s="2">
        <v>44513.0</v>
      </c>
      <c r="C1726" s="1" t="s">
        <v>30</v>
      </c>
      <c r="D1726" s="1" t="s">
        <v>27</v>
      </c>
      <c r="E1726" s="1" t="s">
        <v>33</v>
      </c>
      <c r="F1726" s="1">
        <v>96.82</v>
      </c>
      <c r="G1726" s="1">
        <v>-63.99</v>
      </c>
      <c r="H1726" s="1">
        <v>3.0</v>
      </c>
      <c r="I1726" s="1" t="s">
        <v>34</v>
      </c>
      <c r="J1726" s="1" t="s">
        <v>18</v>
      </c>
      <c r="K1726" s="1">
        <f t="shared" si="1"/>
        <v>2021</v>
      </c>
      <c r="L1726" s="1" t="str">
        <f t="shared" si="2"/>
        <v>Nov</v>
      </c>
      <c r="M1726" s="1" t="str">
        <f t="shared" si="3"/>
        <v>Loss</v>
      </c>
    </row>
    <row r="1727" ht="14.25" customHeight="1">
      <c r="A1727" s="1" t="s">
        <v>1761</v>
      </c>
      <c r="B1727" s="2">
        <v>45235.0</v>
      </c>
      <c r="C1727" s="1" t="s">
        <v>14</v>
      </c>
      <c r="D1727" s="1" t="s">
        <v>27</v>
      </c>
      <c r="E1727" s="1" t="s">
        <v>33</v>
      </c>
      <c r="F1727" s="1">
        <v>142.14</v>
      </c>
      <c r="G1727" s="1">
        <v>191.97</v>
      </c>
      <c r="H1727" s="1">
        <v>5.0</v>
      </c>
      <c r="I1727" s="1" t="s">
        <v>34</v>
      </c>
      <c r="J1727" s="1" t="s">
        <v>24</v>
      </c>
      <c r="K1727" s="1">
        <f t="shared" si="1"/>
        <v>2023</v>
      </c>
      <c r="L1727" s="1" t="str">
        <f t="shared" si="2"/>
        <v>Nov</v>
      </c>
      <c r="M1727" s="1" t="str">
        <f t="shared" si="3"/>
        <v>Profit</v>
      </c>
    </row>
    <row r="1728" ht="14.25" customHeight="1">
      <c r="A1728" s="1" t="s">
        <v>1762</v>
      </c>
      <c r="B1728" s="2">
        <v>45014.0</v>
      </c>
      <c r="C1728" s="1" t="s">
        <v>14</v>
      </c>
      <c r="D1728" s="1" t="s">
        <v>21</v>
      </c>
      <c r="E1728" s="1" t="s">
        <v>37</v>
      </c>
      <c r="F1728" s="1">
        <v>849.59</v>
      </c>
      <c r="G1728" s="1">
        <v>-148.46</v>
      </c>
      <c r="H1728" s="1">
        <v>9.0</v>
      </c>
      <c r="I1728" s="1" t="s">
        <v>34</v>
      </c>
      <c r="J1728" s="1" t="s">
        <v>24</v>
      </c>
      <c r="K1728" s="1">
        <f t="shared" si="1"/>
        <v>2023</v>
      </c>
      <c r="L1728" s="1" t="str">
        <f t="shared" si="2"/>
        <v>Mar</v>
      </c>
      <c r="M1728" s="1" t="str">
        <f t="shared" si="3"/>
        <v>Loss</v>
      </c>
    </row>
    <row r="1729" ht="14.25" customHeight="1">
      <c r="A1729" s="1" t="s">
        <v>1763</v>
      </c>
      <c r="B1729" s="2">
        <v>44348.0</v>
      </c>
      <c r="C1729" s="1" t="s">
        <v>20</v>
      </c>
      <c r="D1729" s="1" t="s">
        <v>15</v>
      </c>
      <c r="E1729" s="1" t="s">
        <v>16</v>
      </c>
      <c r="F1729" s="1">
        <v>857.23</v>
      </c>
      <c r="G1729" s="1">
        <v>213.81</v>
      </c>
      <c r="H1729" s="1">
        <v>7.0</v>
      </c>
      <c r="I1729" s="1" t="s">
        <v>23</v>
      </c>
      <c r="J1729" s="1" t="s">
        <v>38</v>
      </c>
      <c r="K1729" s="1">
        <f t="shared" si="1"/>
        <v>2021</v>
      </c>
      <c r="L1729" s="1" t="str">
        <f t="shared" si="2"/>
        <v>Jun</v>
      </c>
      <c r="M1729" s="1" t="str">
        <f t="shared" si="3"/>
        <v>Profit</v>
      </c>
    </row>
    <row r="1730" ht="14.25" customHeight="1">
      <c r="A1730" s="1" t="s">
        <v>1764</v>
      </c>
      <c r="B1730" s="2">
        <v>44387.0</v>
      </c>
      <c r="C1730" s="1" t="s">
        <v>14</v>
      </c>
      <c r="D1730" s="1" t="s">
        <v>15</v>
      </c>
      <c r="E1730" s="1" t="s">
        <v>31</v>
      </c>
      <c r="F1730" s="1">
        <v>785.96</v>
      </c>
      <c r="G1730" s="1">
        <v>251.76</v>
      </c>
      <c r="H1730" s="1">
        <v>2.0</v>
      </c>
      <c r="I1730" s="1" t="s">
        <v>34</v>
      </c>
      <c r="J1730" s="1" t="s">
        <v>38</v>
      </c>
      <c r="K1730" s="1">
        <f t="shared" si="1"/>
        <v>2021</v>
      </c>
      <c r="L1730" s="1" t="str">
        <f t="shared" si="2"/>
        <v>Jul</v>
      </c>
      <c r="M1730" s="1" t="str">
        <f t="shared" si="3"/>
        <v>Profit</v>
      </c>
    </row>
    <row r="1731" ht="14.25" customHeight="1">
      <c r="A1731" s="1" t="s">
        <v>1765</v>
      </c>
      <c r="B1731" s="2">
        <v>45222.0</v>
      </c>
      <c r="C1731" s="1" t="s">
        <v>14</v>
      </c>
      <c r="D1731" s="1" t="s">
        <v>15</v>
      </c>
      <c r="E1731" s="1" t="s">
        <v>16</v>
      </c>
      <c r="F1731" s="1">
        <v>816.33</v>
      </c>
      <c r="G1731" s="1">
        <v>21.89</v>
      </c>
      <c r="H1731" s="1">
        <v>8.0</v>
      </c>
      <c r="I1731" s="1" t="s">
        <v>17</v>
      </c>
      <c r="J1731" s="1" t="s">
        <v>38</v>
      </c>
      <c r="K1731" s="1">
        <f t="shared" si="1"/>
        <v>2023</v>
      </c>
      <c r="L1731" s="1" t="str">
        <f t="shared" si="2"/>
        <v>Oct</v>
      </c>
      <c r="M1731" s="1" t="str">
        <f t="shared" si="3"/>
        <v>Profit</v>
      </c>
    </row>
    <row r="1732" ht="14.25" customHeight="1">
      <c r="A1732" s="1" t="s">
        <v>1766</v>
      </c>
      <c r="B1732" s="2">
        <v>45076.0</v>
      </c>
      <c r="C1732" s="1" t="s">
        <v>26</v>
      </c>
      <c r="D1732" s="1" t="s">
        <v>21</v>
      </c>
      <c r="E1732" s="1" t="s">
        <v>76</v>
      </c>
      <c r="F1732" s="1">
        <v>855.05</v>
      </c>
      <c r="G1732" s="1">
        <v>59.08</v>
      </c>
      <c r="H1732" s="1">
        <v>10.0</v>
      </c>
      <c r="I1732" s="1" t="s">
        <v>34</v>
      </c>
      <c r="J1732" s="1" t="s">
        <v>18</v>
      </c>
      <c r="K1732" s="1">
        <f t="shared" si="1"/>
        <v>2023</v>
      </c>
      <c r="L1732" s="1" t="str">
        <f t="shared" si="2"/>
        <v>May</v>
      </c>
      <c r="M1732" s="1" t="str">
        <f t="shared" si="3"/>
        <v>Profit</v>
      </c>
    </row>
    <row r="1733" ht="14.25" customHeight="1">
      <c r="A1733" s="1" t="s">
        <v>1767</v>
      </c>
      <c r="B1733" s="2">
        <v>44569.0</v>
      </c>
      <c r="C1733" s="1" t="s">
        <v>30</v>
      </c>
      <c r="D1733" s="1" t="s">
        <v>27</v>
      </c>
      <c r="E1733" s="1" t="s">
        <v>28</v>
      </c>
      <c r="F1733" s="1">
        <v>752.3</v>
      </c>
      <c r="G1733" s="1">
        <v>-56.98</v>
      </c>
      <c r="H1733" s="1">
        <v>7.0</v>
      </c>
      <c r="I1733" s="1" t="s">
        <v>17</v>
      </c>
      <c r="J1733" s="1" t="s">
        <v>35</v>
      </c>
      <c r="K1733" s="1">
        <f t="shared" si="1"/>
        <v>2022</v>
      </c>
      <c r="L1733" s="1" t="str">
        <f t="shared" si="2"/>
        <v>Jan</v>
      </c>
      <c r="M1733" s="1" t="str">
        <f t="shared" si="3"/>
        <v>Loss</v>
      </c>
    </row>
    <row r="1734" ht="14.25" customHeight="1">
      <c r="A1734" s="1" t="s">
        <v>1768</v>
      </c>
      <c r="B1734" s="2">
        <v>44879.0</v>
      </c>
      <c r="C1734" s="1" t="s">
        <v>26</v>
      </c>
      <c r="D1734" s="1" t="s">
        <v>15</v>
      </c>
      <c r="E1734" s="1" t="s">
        <v>31</v>
      </c>
      <c r="F1734" s="1">
        <v>774.57</v>
      </c>
      <c r="G1734" s="1">
        <v>158.49</v>
      </c>
      <c r="H1734" s="1">
        <v>3.0</v>
      </c>
      <c r="I1734" s="1" t="s">
        <v>17</v>
      </c>
      <c r="J1734" s="1" t="s">
        <v>38</v>
      </c>
      <c r="K1734" s="1">
        <f t="shared" si="1"/>
        <v>2022</v>
      </c>
      <c r="L1734" s="1" t="str">
        <f t="shared" si="2"/>
        <v>Nov</v>
      </c>
      <c r="M1734" s="1" t="str">
        <f t="shared" si="3"/>
        <v>Profit</v>
      </c>
    </row>
    <row r="1735" ht="14.25" customHeight="1">
      <c r="A1735" s="1" t="s">
        <v>1769</v>
      </c>
      <c r="B1735" s="2">
        <v>44959.0</v>
      </c>
      <c r="C1735" s="1" t="s">
        <v>20</v>
      </c>
      <c r="D1735" s="1" t="s">
        <v>27</v>
      </c>
      <c r="E1735" s="1" t="s">
        <v>40</v>
      </c>
      <c r="F1735" s="1">
        <v>253.29</v>
      </c>
      <c r="G1735" s="1">
        <v>108.93</v>
      </c>
      <c r="H1735" s="1">
        <v>2.0</v>
      </c>
      <c r="I1735" s="1" t="s">
        <v>17</v>
      </c>
      <c r="J1735" s="1" t="s">
        <v>38</v>
      </c>
      <c r="K1735" s="1">
        <f t="shared" si="1"/>
        <v>2023</v>
      </c>
      <c r="L1735" s="1" t="str">
        <f t="shared" si="2"/>
        <v>Feb</v>
      </c>
      <c r="M1735" s="1" t="str">
        <f t="shared" si="3"/>
        <v>Profit</v>
      </c>
    </row>
    <row r="1736" ht="14.25" customHeight="1">
      <c r="A1736" s="1" t="s">
        <v>1770</v>
      </c>
      <c r="B1736" s="2">
        <v>44850.0</v>
      </c>
      <c r="C1736" s="1" t="s">
        <v>26</v>
      </c>
      <c r="D1736" s="1" t="s">
        <v>21</v>
      </c>
      <c r="E1736" s="1" t="s">
        <v>76</v>
      </c>
      <c r="F1736" s="1">
        <v>88.99</v>
      </c>
      <c r="G1736" s="1">
        <v>-183.48</v>
      </c>
      <c r="H1736" s="1">
        <v>9.0</v>
      </c>
      <c r="I1736" s="1" t="s">
        <v>17</v>
      </c>
      <c r="J1736" s="1" t="s">
        <v>18</v>
      </c>
      <c r="K1736" s="1">
        <f t="shared" si="1"/>
        <v>2022</v>
      </c>
      <c r="L1736" s="1" t="str">
        <f t="shared" si="2"/>
        <v>Oct</v>
      </c>
      <c r="M1736" s="1" t="str">
        <f t="shared" si="3"/>
        <v>Loss</v>
      </c>
    </row>
    <row r="1737" ht="14.25" customHeight="1">
      <c r="A1737" s="1" t="s">
        <v>1771</v>
      </c>
      <c r="B1737" s="2">
        <v>44372.0</v>
      </c>
      <c r="C1737" s="1" t="s">
        <v>30</v>
      </c>
      <c r="D1737" s="1" t="s">
        <v>15</v>
      </c>
      <c r="E1737" s="1" t="s">
        <v>16</v>
      </c>
      <c r="F1737" s="1">
        <v>112.13</v>
      </c>
      <c r="G1737" s="1">
        <v>129.21</v>
      </c>
      <c r="H1737" s="1">
        <v>3.0</v>
      </c>
      <c r="I1737" s="1" t="s">
        <v>34</v>
      </c>
      <c r="J1737" s="1" t="s">
        <v>35</v>
      </c>
      <c r="K1737" s="1">
        <f t="shared" si="1"/>
        <v>2021</v>
      </c>
      <c r="L1737" s="1" t="str">
        <f t="shared" si="2"/>
        <v>Jun</v>
      </c>
      <c r="M1737" s="1" t="str">
        <f t="shared" si="3"/>
        <v>Profit</v>
      </c>
    </row>
    <row r="1738" ht="14.25" customHeight="1">
      <c r="A1738" s="1" t="s">
        <v>1772</v>
      </c>
      <c r="B1738" s="2">
        <v>44393.0</v>
      </c>
      <c r="C1738" s="1" t="s">
        <v>14</v>
      </c>
      <c r="D1738" s="1" t="s">
        <v>27</v>
      </c>
      <c r="E1738" s="1" t="s">
        <v>33</v>
      </c>
      <c r="F1738" s="1">
        <v>879.0</v>
      </c>
      <c r="G1738" s="1">
        <v>-164.14</v>
      </c>
      <c r="H1738" s="1">
        <v>2.0</v>
      </c>
      <c r="I1738" s="1" t="s">
        <v>34</v>
      </c>
      <c r="J1738" s="1" t="s">
        <v>18</v>
      </c>
      <c r="K1738" s="1">
        <f t="shared" si="1"/>
        <v>2021</v>
      </c>
      <c r="L1738" s="1" t="str">
        <f t="shared" si="2"/>
        <v>Jul</v>
      </c>
      <c r="M1738" s="1" t="str">
        <f t="shared" si="3"/>
        <v>Loss</v>
      </c>
    </row>
    <row r="1739" ht="14.25" customHeight="1">
      <c r="A1739" s="1" t="s">
        <v>1773</v>
      </c>
      <c r="B1739" s="2">
        <v>44513.0</v>
      </c>
      <c r="C1739" s="1" t="s">
        <v>20</v>
      </c>
      <c r="D1739" s="1" t="s">
        <v>15</v>
      </c>
      <c r="E1739" s="1" t="s">
        <v>16</v>
      </c>
      <c r="F1739" s="1">
        <v>31.44</v>
      </c>
      <c r="G1739" s="1">
        <v>-49.94</v>
      </c>
      <c r="H1739" s="1">
        <v>5.0</v>
      </c>
      <c r="I1739" s="1" t="s">
        <v>17</v>
      </c>
      <c r="J1739" s="1" t="s">
        <v>18</v>
      </c>
      <c r="K1739" s="1">
        <f t="shared" si="1"/>
        <v>2021</v>
      </c>
      <c r="L1739" s="1" t="str">
        <f t="shared" si="2"/>
        <v>Nov</v>
      </c>
      <c r="M1739" s="1" t="str">
        <f t="shared" si="3"/>
        <v>Loss</v>
      </c>
    </row>
    <row r="1740" ht="14.25" customHeight="1">
      <c r="A1740" s="1" t="s">
        <v>1774</v>
      </c>
      <c r="B1740" s="2">
        <v>45066.0</v>
      </c>
      <c r="C1740" s="1" t="s">
        <v>14</v>
      </c>
      <c r="D1740" s="1" t="s">
        <v>27</v>
      </c>
      <c r="E1740" s="1" t="s">
        <v>33</v>
      </c>
      <c r="F1740" s="1">
        <v>983.52</v>
      </c>
      <c r="G1740" s="1">
        <v>188.43</v>
      </c>
      <c r="H1740" s="1">
        <v>5.0</v>
      </c>
      <c r="I1740" s="1" t="s">
        <v>23</v>
      </c>
      <c r="J1740" s="1" t="s">
        <v>35</v>
      </c>
      <c r="K1740" s="1">
        <f t="shared" si="1"/>
        <v>2023</v>
      </c>
      <c r="L1740" s="1" t="str">
        <f t="shared" si="2"/>
        <v>May</v>
      </c>
      <c r="M1740" s="1" t="str">
        <f t="shared" si="3"/>
        <v>Profit</v>
      </c>
    </row>
    <row r="1741" ht="14.25" customHeight="1">
      <c r="A1741" s="1" t="s">
        <v>1775</v>
      </c>
      <c r="B1741" s="2">
        <v>44573.0</v>
      </c>
      <c r="C1741" s="1" t="s">
        <v>30</v>
      </c>
      <c r="D1741" s="1" t="s">
        <v>27</v>
      </c>
      <c r="E1741" s="1" t="s">
        <v>40</v>
      </c>
      <c r="F1741" s="1">
        <v>784.86</v>
      </c>
      <c r="G1741" s="1">
        <v>61.29</v>
      </c>
      <c r="H1741" s="1">
        <v>2.0</v>
      </c>
      <c r="I1741" s="1" t="s">
        <v>17</v>
      </c>
      <c r="J1741" s="1" t="s">
        <v>38</v>
      </c>
      <c r="K1741" s="1">
        <f t="shared" si="1"/>
        <v>2022</v>
      </c>
      <c r="L1741" s="1" t="str">
        <f t="shared" si="2"/>
        <v>Jan</v>
      </c>
      <c r="M1741" s="1" t="str">
        <f t="shared" si="3"/>
        <v>Profit</v>
      </c>
    </row>
    <row r="1742" ht="14.25" customHeight="1">
      <c r="A1742" s="1" t="s">
        <v>1776</v>
      </c>
      <c r="B1742" s="2">
        <v>44745.0</v>
      </c>
      <c r="C1742" s="1" t="s">
        <v>20</v>
      </c>
      <c r="D1742" s="1" t="s">
        <v>15</v>
      </c>
      <c r="E1742" s="1" t="s">
        <v>16</v>
      </c>
      <c r="F1742" s="1">
        <v>58.56</v>
      </c>
      <c r="G1742" s="1">
        <v>206.08</v>
      </c>
      <c r="H1742" s="1">
        <v>4.0</v>
      </c>
      <c r="I1742" s="1" t="s">
        <v>34</v>
      </c>
      <c r="J1742" s="1" t="s">
        <v>18</v>
      </c>
      <c r="K1742" s="1">
        <f t="shared" si="1"/>
        <v>2022</v>
      </c>
      <c r="L1742" s="1" t="str">
        <f t="shared" si="2"/>
        <v>Jul</v>
      </c>
      <c r="M1742" s="1" t="str">
        <f t="shared" si="3"/>
        <v>Profit</v>
      </c>
    </row>
    <row r="1743" ht="14.25" customHeight="1">
      <c r="A1743" s="1" t="s">
        <v>1777</v>
      </c>
      <c r="B1743" s="2">
        <v>44796.0</v>
      </c>
      <c r="C1743" s="1" t="s">
        <v>14</v>
      </c>
      <c r="D1743" s="1" t="s">
        <v>21</v>
      </c>
      <c r="E1743" s="1" t="s">
        <v>22</v>
      </c>
      <c r="F1743" s="1">
        <v>639.96</v>
      </c>
      <c r="G1743" s="1">
        <v>-137.82</v>
      </c>
      <c r="H1743" s="1">
        <v>9.0</v>
      </c>
      <c r="I1743" s="1" t="s">
        <v>34</v>
      </c>
      <c r="J1743" s="1" t="s">
        <v>18</v>
      </c>
      <c r="K1743" s="1">
        <f t="shared" si="1"/>
        <v>2022</v>
      </c>
      <c r="L1743" s="1" t="str">
        <f t="shared" si="2"/>
        <v>Aug</v>
      </c>
      <c r="M1743" s="1" t="str">
        <f t="shared" si="3"/>
        <v>Loss</v>
      </c>
    </row>
    <row r="1744" ht="14.25" customHeight="1">
      <c r="A1744" s="1" t="s">
        <v>1778</v>
      </c>
      <c r="B1744" s="2">
        <v>44748.0</v>
      </c>
      <c r="C1744" s="1" t="s">
        <v>20</v>
      </c>
      <c r="D1744" s="1" t="s">
        <v>15</v>
      </c>
      <c r="E1744" s="1" t="s">
        <v>31</v>
      </c>
      <c r="F1744" s="1">
        <v>414.82</v>
      </c>
      <c r="G1744" s="1">
        <v>-7.5</v>
      </c>
      <c r="H1744" s="1">
        <v>9.0</v>
      </c>
      <c r="I1744" s="1" t="s">
        <v>34</v>
      </c>
      <c r="J1744" s="1" t="s">
        <v>38</v>
      </c>
      <c r="K1744" s="1">
        <f t="shared" si="1"/>
        <v>2022</v>
      </c>
      <c r="L1744" s="1" t="str">
        <f t="shared" si="2"/>
        <v>Jul</v>
      </c>
      <c r="M1744" s="1" t="str">
        <f t="shared" si="3"/>
        <v>Loss</v>
      </c>
    </row>
    <row r="1745" ht="14.25" customHeight="1">
      <c r="A1745" s="1" t="s">
        <v>1779</v>
      </c>
      <c r="B1745" s="2">
        <v>44670.0</v>
      </c>
      <c r="C1745" s="1" t="s">
        <v>14</v>
      </c>
      <c r="D1745" s="1" t="s">
        <v>21</v>
      </c>
      <c r="E1745" s="1" t="s">
        <v>37</v>
      </c>
      <c r="F1745" s="1">
        <v>339.89</v>
      </c>
      <c r="G1745" s="1">
        <v>-181.42</v>
      </c>
      <c r="H1745" s="1">
        <v>9.0</v>
      </c>
      <c r="I1745" s="1" t="s">
        <v>23</v>
      </c>
      <c r="J1745" s="1" t="s">
        <v>38</v>
      </c>
      <c r="K1745" s="1">
        <f t="shared" si="1"/>
        <v>2022</v>
      </c>
      <c r="L1745" s="1" t="str">
        <f t="shared" si="2"/>
        <v>Apr</v>
      </c>
      <c r="M1745" s="1" t="str">
        <f t="shared" si="3"/>
        <v>Loss</v>
      </c>
    </row>
    <row r="1746" ht="14.25" customHeight="1">
      <c r="A1746" s="1" t="s">
        <v>1780</v>
      </c>
      <c r="B1746" s="2">
        <v>44931.0</v>
      </c>
      <c r="C1746" s="1" t="s">
        <v>26</v>
      </c>
      <c r="D1746" s="1" t="s">
        <v>21</v>
      </c>
      <c r="E1746" s="1" t="s">
        <v>22</v>
      </c>
      <c r="F1746" s="1">
        <v>571.9</v>
      </c>
      <c r="G1746" s="1">
        <v>-130.46</v>
      </c>
      <c r="H1746" s="1">
        <v>1.0</v>
      </c>
      <c r="I1746" s="1" t="s">
        <v>17</v>
      </c>
      <c r="J1746" s="1" t="s">
        <v>24</v>
      </c>
      <c r="K1746" s="1">
        <f t="shared" si="1"/>
        <v>2023</v>
      </c>
      <c r="L1746" s="1" t="str">
        <f t="shared" si="2"/>
        <v>Jan</v>
      </c>
      <c r="M1746" s="1" t="str">
        <f t="shared" si="3"/>
        <v>Loss</v>
      </c>
    </row>
    <row r="1747" ht="14.25" customHeight="1">
      <c r="A1747" s="1" t="s">
        <v>1781</v>
      </c>
      <c r="B1747" s="2">
        <v>44393.0</v>
      </c>
      <c r="C1747" s="1" t="s">
        <v>20</v>
      </c>
      <c r="D1747" s="1" t="s">
        <v>27</v>
      </c>
      <c r="E1747" s="1" t="s">
        <v>28</v>
      </c>
      <c r="F1747" s="1">
        <v>131.69</v>
      </c>
      <c r="G1747" s="1">
        <v>173.75</v>
      </c>
      <c r="H1747" s="1">
        <v>5.0</v>
      </c>
      <c r="I1747" s="1" t="s">
        <v>23</v>
      </c>
      <c r="J1747" s="1" t="s">
        <v>35</v>
      </c>
      <c r="K1747" s="1">
        <f t="shared" si="1"/>
        <v>2021</v>
      </c>
      <c r="L1747" s="1" t="str">
        <f t="shared" si="2"/>
        <v>Jul</v>
      </c>
      <c r="M1747" s="1" t="str">
        <f t="shared" si="3"/>
        <v>Profit</v>
      </c>
    </row>
    <row r="1748" ht="14.25" customHeight="1">
      <c r="A1748" s="1" t="s">
        <v>1782</v>
      </c>
      <c r="B1748" s="2">
        <v>44405.0</v>
      </c>
      <c r="C1748" s="1" t="s">
        <v>30</v>
      </c>
      <c r="D1748" s="1" t="s">
        <v>21</v>
      </c>
      <c r="E1748" s="1" t="s">
        <v>76</v>
      </c>
      <c r="F1748" s="1">
        <v>66.93</v>
      </c>
      <c r="G1748" s="1">
        <v>1.67</v>
      </c>
      <c r="H1748" s="1">
        <v>4.0</v>
      </c>
      <c r="I1748" s="1" t="s">
        <v>34</v>
      </c>
      <c r="J1748" s="1" t="s">
        <v>24</v>
      </c>
      <c r="K1748" s="1">
        <f t="shared" si="1"/>
        <v>2021</v>
      </c>
      <c r="L1748" s="1" t="str">
        <f t="shared" si="2"/>
        <v>Jul</v>
      </c>
      <c r="M1748" s="1" t="str">
        <f t="shared" si="3"/>
        <v>Profit</v>
      </c>
    </row>
    <row r="1749" ht="14.25" customHeight="1">
      <c r="A1749" s="1" t="s">
        <v>1783</v>
      </c>
      <c r="B1749" s="2">
        <v>45211.0</v>
      </c>
      <c r="C1749" s="1" t="s">
        <v>14</v>
      </c>
      <c r="D1749" s="1" t="s">
        <v>15</v>
      </c>
      <c r="E1749" s="1" t="s">
        <v>16</v>
      </c>
      <c r="F1749" s="1">
        <v>645.9</v>
      </c>
      <c r="G1749" s="1">
        <v>74.39</v>
      </c>
      <c r="H1749" s="1">
        <v>3.0</v>
      </c>
      <c r="I1749" s="1" t="s">
        <v>23</v>
      </c>
      <c r="J1749" s="1" t="s">
        <v>38</v>
      </c>
      <c r="K1749" s="1">
        <f t="shared" si="1"/>
        <v>2023</v>
      </c>
      <c r="L1749" s="1" t="str">
        <f t="shared" si="2"/>
        <v>Oct</v>
      </c>
      <c r="M1749" s="1" t="str">
        <f t="shared" si="3"/>
        <v>Profit</v>
      </c>
    </row>
    <row r="1750" ht="14.25" customHeight="1">
      <c r="A1750" s="1" t="s">
        <v>1784</v>
      </c>
      <c r="B1750" s="2">
        <v>44240.0</v>
      </c>
      <c r="C1750" s="1" t="s">
        <v>20</v>
      </c>
      <c r="D1750" s="1" t="s">
        <v>27</v>
      </c>
      <c r="E1750" s="1" t="s">
        <v>28</v>
      </c>
      <c r="F1750" s="1">
        <v>906.62</v>
      </c>
      <c r="G1750" s="1">
        <v>126.91</v>
      </c>
      <c r="H1750" s="1">
        <v>9.0</v>
      </c>
      <c r="I1750" s="1" t="s">
        <v>34</v>
      </c>
      <c r="J1750" s="1" t="s">
        <v>38</v>
      </c>
      <c r="K1750" s="1">
        <f t="shared" si="1"/>
        <v>2021</v>
      </c>
      <c r="L1750" s="1" t="str">
        <f t="shared" si="2"/>
        <v>Feb</v>
      </c>
      <c r="M1750" s="1" t="str">
        <f t="shared" si="3"/>
        <v>Profit</v>
      </c>
    </row>
    <row r="1751" ht="14.25" customHeight="1">
      <c r="A1751" s="1" t="s">
        <v>1785</v>
      </c>
      <c r="B1751" s="2">
        <v>45114.0</v>
      </c>
      <c r="C1751" s="1" t="s">
        <v>14</v>
      </c>
      <c r="D1751" s="1" t="s">
        <v>27</v>
      </c>
      <c r="E1751" s="1" t="s">
        <v>40</v>
      </c>
      <c r="F1751" s="1">
        <v>353.68</v>
      </c>
      <c r="G1751" s="1">
        <v>-164.87</v>
      </c>
      <c r="H1751" s="1">
        <v>8.0</v>
      </c>
      <c r="I1751" s="1" t="s">
        <v>34</v>
      </c>
      <c r="J1751" s="1" t="s">
        <v>24</v>
      </c>
      <c r="K1751" s="1">
        <f t="shared" si="1"/>
        <v>2023</v>
      </c>
      <c r="L1751" s="1" t="str">
        <f t="shared" si="2"/>
        <v>Jul</v>
      </c>
      <c r="M1751" s="1" t="str">
        <f t="shared" si="3"/>
        <v>Loss</v>
      </c>
    </row>
    <row r="1752" ht="14.25" customHeight="1">
      <c r="A1752" s="1" t="s">
        <v>1786</v>
      </c>
      <c r="B1752" s="2">
        <v>45278.0</v>
      </c>
      <c r="C1752" s="1" t="s">
        <v>30</v>
      </c>
      <c r="D1752" s="1" t="s">
        <v>21</v>
      </c>
      <c r="E1752" s="1" t="s">
        <v>76</v>
      </c>
      <c r="F1752" s="1">
        <v>655.39</v>
      </c>
      <c r="G1752" s="1">
        <v>-2.43</v>
      </c>
      <c r="H1752" s="1">
        <v>4.0</v>
      </c>
      <c r="I1752" s="1" t="s">
        <v>23</v>
      </c>
      <c r="J1752" s="1" t="s">
        <v>18</v>
      </c>
      <c r="K1752" s="1">
        <f t="shared" si="1"/>
        <v>2023</v>
      </c>
      <c r="L1752" s="1" t="str">
        <f t="shared" si="2"/>
        <v>Dec</v>
      </c>
      <c r="M1752" s="1" t="str">
        <f t="shared" si="3"/>
        <v>Loss</v>
      </c>
    </row>
    <row r="1753" ht="14.25" customHeight="1">
      <c r="A1753" s="1" t="s">
        <v>1787</v>
      </c>
      <c r="B1753" s="2">
        <v>44786.0</v>
      </c>
      <c r="C1753" s="1" t="s">
        <v>30</v>
      </c>
      <c r="D1753" s="1" t="s">
        <v>15</v>
      </c>
      <c r="E1753" s="1" t="s">
        <v>54</v>
      </c>
      <c r="F1753" s="1">
        <v>588.03</v>
      </c>
      <c r="G1753" s="1">
        <v>155.99</v>
      </c>
      <c r="H1753" s="1">
        <v>1.0</v>
      </c>
      <c r="I1753" s="1" t="s">
        <v>17</v>
      </c>
      <c r="J1753" s="1" t="s">
        <v>18</v>
      </c>
      <c r="K1753" s="1">
        <f t="shared" si="1"/>
        <v>2022</v>
      </c>
      <c r="L1753" s="1" t="str">
        <f t="shared" si="2"/>
        <v>Aug</v>
      </c>
      <c r="M1753" s="1" t="str">
        <f t="shared" si="3"/>
        <v>Profit</v>
      </c>
    </row>
    <row r="1754" ht="14.25" customHeight="1">
      <c r="A1754" s="1" t="s">
        <v>1788</v>
      </c>
      <c r="B1754" s="2">
        <v>44802.0</v>
      </c>
      <c r="C1754" s="1" t="s">
        <v>30</v>
      </c>
      <c r="D1754" s="1" t="s">
        <v>21</v>
      </c>
      <c r="E1754" s="1" t="s">
        <v>76</v>
      </c>
      <c r="F1754" s="1">
        <v>481.29</v>
      </c>
      <c r="G1754" s="1">
        <v>-144.91</v>
      </c>
      <c r="H1754" s="1">
        <v>5.0</v>
      </c>
      <c r="I1754" s="1" t="s">
        <v>34</v>
      </c>
      <c r="J1754" s="1" t="s">
        <v>18</v>
      </c>
      <c r="K1754" s="1">
        <f t="shared" si="1"/>
        <v>2022</v>
      </c>
      <c r="L1754" s="1" t="str">
        <f t="shared" si="2"/>
        <v>Aug</v>
      </c>
      <c r="M1754" s="1" t="str">
        <f t="shared" si="3"/>
        <v>Loss</v>
      </c>
    </row>
    <row r="1755" ht="14.25" customHeight="1">
      <c r="A1755" s="1" t="s">
        <v>1789</v>
      </c>
      <c r="B1755" s="2">
        <v>44499.0</v>
      </c>
      <c r="C1755" s="1" t="s">
        <v>14</v>
      </c>
      <c r="D1755" s="1" t="s">
        <v>21</v>
      </c>
      <c r="E1755" s="1" t="s">
        <v>76</v>
      </c>
      <c r="F1755" s="1">
        <v>504.19</v>
      </c>
      <c r="G1755" s="1">
        <v>225.07</v>
      </c>
      <c r="H1755" s="1">
        <v>4.0</v>
      </c>
      <c r="I1755" s="1" t="s">
        <v>34</v>
      </c>
      <c r="J1755" s="1" t="s">
        <v>18</v>
      </c>
      <c r="K1755" s="1">
        <f t="shared" si="1"/>
        <v>2021</v>
      </c>
      <c r="L1755" s="1" t="str">
        <f t="shared" si="2"/>
        <v>Oct</v>
      </c>
      <c r="M1755" s="1" t="str">
        <f t="shared" si="3"/>
        <v>Profit</v>
      </c>
    </row>
    <row r="1756" ht="14.25" customHeight="1">
      <c r="A1756" s="1" t="s">
        <v>1790</v>
      </c>
      <c r="B1756" s="2">
        <v>45224.0</v>
      </c>
      <c r="C1756" s="1" t="s">
        <v>26</v>
      </c>
      <c r="D1756" s="1" t="s">
        <v>15</v>
      </c>
      <c r="E1756" s="1" t="s">
        <v>54</v>
      </c>
      <c r="F1756" s="1">
        <v>334.48</v>
      </c>
      <c r="G1756" s="1">
        <v>119.56</v>
      </c>
      <c r="H1756" s="1">
        <v>2.0</v>
      </c>
      <c r="I1756" s="1" t="s">
        <v>23</v>
      </c>
      <c r="J1756" s="1" t="s">
        <v>24</v>
      </c>
      <c r="K1756" s="1">
        <f t="shared" si="1"/>
        <v>2023</v>
      </c>
      <c r="L1756" s="1" t="str">
        <f t="shared" si="2"/>
        <v>Oct</v>
      </c>
      <c r="M1756" s="1" t="str">
        <f t="shared" si="3"/>
        <v>Profit</v>
      </c>
    </row>
    <row r="1757" ht="14.25" customHeight="1">
      <c r="A1757" s="1" t="s">
        <v>1791</v>
      </c>
      <c r="B1757" s="2">
        <v>44858.0</v>
      </c>
      <c r="C1757" s="1" t="s">
        <v>30</v>
      </c>
      <c r="D1757" s="1" t="s">
        <v>21</v>
      </c>
      <c r="E1757" s="1" t="s">
        <v>76</v>
      </c>
      <c r="F1757" s="1">
        <v>202.67</v>
      </c>
      <c r="G1757" s="1">
        <v>73.26</v>
      </c>
      <c r="H1757" s="1">
        <v>6.0</v>
      </c>
      <c r="I1757" s="1" t="s">
        <v>23</v>
      </c>
      <c r="J1757" s="1" t="s">
        <v>18</v>
      </c>
      <c r="K1757" s="1">
        <f t="shared" si="1"/>
        <v>2022</v>
      </c>
      <c r="L1757" s="1" t="str">
        <f t="shared" si="2"/>
        <v>Oct</v>
      </c>
      <c r="M1757" s="1" t="str">
        <f t="shared" si="3"/>
        <v>Profit</v>
      </c>
    </row>
    <row r="1758" ht="14.25" customHeight="1">
      <c r="A1758" s="1" t="s">
        <v>1792</v>
      </c>
      <c r="B1758" s="2">
        <v>44224.0</v>
      </c>
      <c r="C1758" s="1" t="s">
        <v>20</v>
      </c>
      <c r="D1758" s="1" t="s">
        <v>27</v>
      </c>
      <c r="E1758" s="1" t="s">
        <v>28</v>
      </c>
      <c r="F1758" s="1">
        <v>949.59</v>
      </c>
      <c r="G1758" s="1">
        <v>9.47</v>
      </c>
      <c r="H1758" s="1">
        <v>8.0</v>
      </c>
      <c r="I1758" s="1" t="s">
        <v>23</v>
      </c>
      <c r="J1758" s="1" t="s">
        <v>24</v>
      </c>
      <c r="K1758" s="1">
        <f t="shared" si="1"/>
        <v>2021</v>
      </c>
      <c r="L1758" s="1" t="str">
        <f t="shared" si="2"/>
        <v>Jan</v>
      </c>
      <c r="M1758" s="1" t="str">
        <f t="shared" si="3"/>
        <v>Profit</v>
      </c>
    </row>
    <row r="1759" ht="14.25" customHeight="1">
      <c r="A1759" s="1" t="s">
        <v>1793</v>
      </c>
      <c r="B1759" s="2">
        <v>44440.0</v>
      </c>
      <c r="C1759" s="1" t="s">
        <v>26</v>
      </c>
      <c r="D1759" s="1" t="s">
        <v>15</v>
      </c>
      <c r="E1759" s="1" t="s">
        <v>16</v>
      </c>
      <c r="F1759" s="1">
        <v>610.92</v>
      </c>
      <c r="G1759" s="1">
        <v>-128.07</v>
      </c>
      <c r="H1759" s="1">
        <v>2.0</v>
      </c>
      <c r="I1759" s="1" t="s">
        <v>23</v>
      </c>
      <c r="J1759" s="1" t="s">
        <v>38</v>
      </c>
      <c r="K1759" s="1">
        <f t="shared" si="1"/>
        <v>2021</v>
      </c>
      <c r="L1759" s="1" t="str">
        <f t="shared" si="2"/>
        <v>Sep</v>
      </c>
      <c r="M1759" s="1" t="str">
        <f t="shared" si="3"/>
        <v>Loss</v>
      </c>
    </row>
    <row r="1760" ht="14.25" customHeight="1">
      <c r="A1760" s="1" t="s">
        <v>1794</v>
      </c>
      <c r="B1760" s="2">
        <v>44845.0</v>
      </c>
      <c r="C1760" s="1" t="s">
        <v>30</v>
      </c>
      <c r="D1760" s="1" t="s">
        <v>21</v>
      </c>
      <c r="E1760" s="1" t="s">
        <v>22</v>
      </c>
      <c r="F1760" s="1">
        <v>479.57</v>
      </c>
      <c r="G1760" s="1">
        <v>-110.2</v>
      </c>
      <c r="H1760" s="1">
        <v>5.0</v>
      </c>
      <c r="I1760" s="1" t="s">
        <v>34</v>
      </c>
      <c r="J1760" s="1" t="s">
        <v>24</v>
      </c>
      <c r="K1760" s="1">
        <f t="shared" si="1"/>
        <v>2022</v>
      </c>
      <c r="L1760" s="1" t="str">
        <f t="shared" si="2"/>
        <v>Oct</v>
      </c>
      <c r="M1760" s="1" t="str">
        <f t="shared" si="3"/>
        <v>Loss</v>
      </c>
    </row>
    <row r="1761" ht="14.25" customHeight="1">
      <c r="A1761" s="1" t="s">
        <v>1795</v>
      </c>
      <c r="B1761" s="2">
        <v>44794.0</v>
      </c>
      <c r="C1761" s="1" t="s">
        <v>14</v>
      </c>
      <c r="D1761" s="1" t="s">
        <v>15</v>
      </c>
      <c r="E1761" s="1" t="s">
        <v>31</v>
      </c>
      <c r="F1761" s="1">
        <v>334.7</v>
      </c>
      <c r="G1761" s="1">
        <v>290.5</v>
      </c>
      <c r="H1761" s="1">
        <v>6.0</v>
      </c>
      <c r="I1761" s="1" t="s">
        <v>23</v>
      </c>
      <c r="J1761" s="1" t="s">
        <v>24</v>
      </c>
      <c r="K1761" s="1">
        <f t="shared" si="1"/>
        <v>2022</v>
      </c>
      <c r="L1761" s="1" t="str">
        <f t="shared" si="2"/>
        <v>Aug</v>
      </c>
      <c r="M1761" s="1" t="str">
        <f t="shared" si="3"/>
        <v>Profit</v>
      </c>
    </row>
    <row r="1762" ht="14.25" customHeight="1">
      <c r="A1762" s="1" t="s">
        <v>1796</v>
      </c>
      <c r="B1762" s="2">
        <v>45118.0</v>
      </c>
      <c r="C1762" s="1" t="s">
        <v>14</v>
      </c>
      <c r="D1762" s="1" t="s">
        <v>21</v>
      </c>
      <c r="E1762" s="1" t="s">
        <v>22</v>
      </c>
      <c r="F1762" s="1">
        <v>525.14</v>
      </c>
      <c r="G1762" s="1">
        <v>-126.6</v>
      </c>
      <c r="H1762" s="1">
        <v>5.0</v>
      </c>
      <c r="I1762" s="1" t="s">
        <v>17</v>
      </c>
      <c r="J1762" s="1" t="s">
        <v>38</v>
      </c>
      <c r="K1762" s="1">
        <f t="shared" si="1"/>
        <v>2023</v>
      </c>
      <c r="L1762" s="1" t="str">
        <f t="shared" si="2"/>
        <v>Jul</v>
      </c>
      <c r="M1762" s="1" t="str">
        <f t="shared" si="3"/>
        <v>Loss</v>
      </c>
    </row>
    <row r="1763" ht="14.25" customHeight="1">
      <c r="A1763" s="1" t="s">
        <v>1797</v>
      </c>
      <c r="B1763" s="2">
        <v>44454.0</v>
      </c>
      <c r="C1763" s="1" t="s">
        <v>14</v>
      </c>
      <c r="D1763" s="1" t="s">
        <v>15</v>
      </c>
      <c r="E1763" s="1" t="s">
        <v>31</v>
      </c>
      <c r="F1763" s="1">
        <v>250.51</v>
      </c>
      <c r="G1763" s="1">
        <v>57.35</v>
      </c>
      <c r="H1763" s="1">
        <v>9.0</v>
      </c>
      <c r="I1763" s="1" t="s">
        <v>23</v>
      </c>
      <c r="J1763" s="1" t="s">
        <v>24</v>
      </c>
      <c r="K1763" s="1">
        <f t="shared" si="1"/>
        <v>2021</v>
      </c>
      <c r="L1763" s="1" t="str">
        <f t="shared" si="2"/>
        <v>Sep</v>
      </c>
      <c r="M1763" s="1" t="str">
        <f t="shared" si="3"/>
        <v>Profit</v>
      </c>
    </row>
    <row r="1764" ht="14.25" customHeight="1">
      <c r="A1764" s="1" t="s">
        <v>1798</v>
      </c>
      <c r="B1764" s="2">
        <v>44906.0</v>
      </c>
      <c r="C1764" s="1" t="s">
        <v>26</v>
      </c>
      <c r="D1764" s="1" t="s">
        <v>15</v>
      </c>
      <c r="E1764" s="1" t="s">
        <v>54</v>
      </c>
      <c r="F1764" s="1">
        <v>555.23</v>
      </c>
      <c r="G1764" s="1">
        <v>232.76</v>
      </c>
      <c r="H1764" s="1">
        <v>4.0</v>
      </c>
      <c r="I1764" s="1" t="s">
        <v>23</v>
      </c>
      <c r="J1764" s="1" t="s">
        <v>38</v>
      </c>
      <c r="K1764" s="1">
        <f t="shared" si="1"/>
        <v>2022</v>
      </c>
      <c r="L1764" s="1" t="str">
        <f t="shared" si="2"/>
        <v>Dec</v>
      </c>
      <c r="M1764" s="1" t="str">
        <f t="shared" si="3"/>
        <v>Profit</v>
      </c>
    </row>
    <row r="1765" ht="14.25" customHeight="1">
      <c r="A1765" s="1" t="s">
        <v>1799</v>
      </c>
      <c r="B1765" s="2">
        <v>45193.0</v>
      </c>
      <c r="C1765" s="1" t="s">
        <v>26</v>
      </c>
      <c r="D1765" s="1" t="s">
        <v>15</v>
      </c>
      <c r="E1765" s="1" t="s">
        <v>16</v>
      </c>
      <c r="F1765" s="1">
        <v>872.6</v>
      </c>
      <c r="G1765" s="1">
        <v>-6.07</v>
      </c>
      <c r="H1765" s="1">
        <v>7.0</v>
      </c>
      <c r="I1765" s="1" t="s">
        <v>23</v>
      </c>
      <c r="J1765" s="1" t="s">
        <v>24</v>
      </c>
      <c r="K1765" s="1">
        <f t="shared" si="1"/>
        <v>2023</v>
      </c>
      <c r="L1765" s="1" t="str">
        <f t="shared" si="2"/>
        <v>Sep</v>
      </c>
      <c r="M1765" s="1" t="str">
        <f t="shared" si="3"/>
        <v>Loss</v>
      </c>
    </row>
    <row r="1766" ht="14.25" customHeight="1">
      <c r="A1766" s="1" t="s">
        <v>1800</v>
      </c>
      <c r="B1766" s="2">
        <v>45062.0</v>
      </c>
      <c r="C1766" s="1" t="s">
        <v>14</v>
      </c>
      <c r="D1766" s="1" t="s">
        <v>27</v>
      </c>
      <c r="E1766" s="1" t="s">
        <v>33</v>
      </c>
      <c r="F1766" s="1">
        <v>642.42</v>
      </c>
      <c r="G1766" s="1">
        <v>151.96</v>
      </c>
      <c r="H1766" s="1">
        <v>10.0</v>
      </c>
      <c r="I1766" s="1" t="s">
        <v>34</v>
      </c>
      <c r="J1766" s="1" t="s">
        <v>24</v>
      </c>
      <c r="K1766" s="1">
        <f t="shared" si="1"/>
        <v>2023</v>
      </c>
      <c r="L1766" s="1" t="str">
        <f t="shared" si="2"/>
        <v>May</v>
      </c>
      <c r="M1766" s="1" t="str">
        <f t="shared" si="3"/>
        <v>Profit</v>
      </c>
    </row>
    <row r="1767" ht="14.25" customHeight="1">
      <c r="A1767" s="1" t="s">
        <v>1801</v>
      </c>
      <c r="B1767" s="2">
        <v>44582.0</v>
      </c>
      <c r="C1767" s="1" t="s">
        <v>26</v>
      </c>
      <c r="D1767" s="1" t="s">
        <v>27</v>
      </c>
      <c r="E1767" s="1" t="s">
        <v>28</v>
      </c>
      <c r="F1767" s="1">
        <v>476.22</v>
      </c>
      <c r="G1767" s="1">
        <v>-134.49</v>
      </c>
      <c r="H1767" s="1">
        <v>5.0</v>
      </c>
      <c r="I1767" s="1" t="s">
        <v>34</v>
      </c>
      <c r="J1767" s="1" t="s">
        <v>18</v>
      </c>
      <c r="K1767" s="1">
        <f t="shared" si="1"/>
        <v>2022</v>
      </c>
      <c r="L1767" s="1" t="str">
        <f t="shared" si="2"/>
        <v>Jan</v>
      </c>
      <c r="M1767" s="1" t="str">
        <f t="shared" si="3"/>
        <v>Loss</v>
      </c>
    </row>
    <row r="1768" ht="14.25" customHeight="1">
      <c r="A1768" s="1" t="s">
        <v>1802</v>
      </c>
      <c r="B1768" s="2">
        <v>45255.0</v>
      </c>
      <c r="C1768" s="1" t="s">
        <v>26</v>
      </c>
      <c r="D1768" s="1" t="s">
        <v>27</v>
      </c>
      <c r="E1768" s="1" t="s">
        <v>33</v>
      </c>
      <c r="F1768" s="1">
        <v>767.94</v>
      </c>
      <c r="G1768" s="1">
        <v>37.38</v>
      </c>
      <c r="H1768" s="1">
        <v>4.0</v>
      </c>
      <c r="I1768" s="1" t="s">
        <v>34</v>
      </c>
      <c r="J1768" s="1" t="s">
        <v>35</v>
      </c>
      <c r="K1768" s="1">
        <f t="shared" si="1"/>
        <v>2023</v>
      </c>
      <c r="L1768" s="1" t="str">
        <f t="shared" si="2"/>
        <v>Nov</v>
      </c>
      <c r="M1768" s="1" t="str">
        <f t="shared" si="3"/>
        <v>Profit</v>
      </c>
    </row>
    <row r="1769" ht="14.25" customHeight="1">
      <c r="A1769" s="1" t="s">
        <v>1803</v>
      </c>
      <c r="B1769" s="2">
        <v>44909.0</v>
      </c>
      <c r="C1769" s="1" t="s">
        <v>26</v>
      </c>
      <c r="D1769" s="1" t="s">
        <v>27</v>
      </c>
      <c r="E1769" s="1" t="s">
        <v>28</v>
      </c>
      <c r="F1769" s="1">
        <v>202.25</v>
      </c>
      <c r="G1769" s="1">
        <v>-14.29</v>
      </c>
      <c r="H1769" s="1">
        <v>8.0</v>
      </c>
      <c r="I1769" s="1" t="s">
        <v>23</v>
      </c>
      <c r="J1769" s="1" t="s">
        <v>18</v>
      </c>
      <c r="K1769" s="1">
        <f t="shared" si="1"/>
        <v>2022</v>
      </c>
      <c r="L1769" s="1" t="str">
        <f t="shared" si="2"/>
        <v>Dec</v>
      </c>
      <c r="M1769" s="1" t="str">
        <f t="shared" si="3"/>
        <v>Loss</v>
      </c>
    </row>
    <row r="1770" ht="14.25" customHeight="1">
      <c r="A1770" s="1" t="s">
        <v>1804</v>
      </c>
      <c r="B1770" s="2">
        <v>44804.0</v>
      </c>
      <c r="C1770" s="1" t="s">
        <v>20</v>
      </c>
      <c r="D1770" s="1" t="s">
        <v>27</v>
      </c>
      <c r="E1770" s="1" t="s">
        <v>40</v>
      </c>
      <c r="F1770" s="1">
        <v>785.3</v>
      </c>
      <c r="G1770" s="1">
        <v>96.22</v>
      </c>
      <c r="H1770" s="1">
        <v>1.0</v>
      </c>
      <c r="I1770" s="1" t="s">
        <v>23</v>
      </c>
      <c r="J1770" s="1" t="s">
        <v>18</v>
      </c>
      <c r="K1770" s="1">
        <f t="shared" si="1"/>
        <v>2022</v>
      </c>
      <c r="L1770" s="1" t="str">
        <f t="shared" si="2"/>
        <v>Aug</v>
      </c>
      <c r="M1770" s="1" t="str">
        <f t="shared" si="3"/>
        <v>Profit</v>
      </c>
    </row>
    <row r="1771" ht="14.25" customHeight="1">
      <c r="A1771" s="1" t="s">
        <v>1805</v>
      </c>
      <c r="B1771" s="2">
        <v>45201.0</v>
      </c>
      <c r="C1771" s="1" t="s">
        <v>30</v>
      </c>
      <c r="D1771" s="1" t="s">
        <v>21</v>
      </c>
      <c r="E1771" s="1" t="s">
        <v>22</v>
      </c>
      <c r="F1771" s="1">
        <v>386.95</v>
      </c>
      <c r="G1771" s="1">
        <v>103.66</v>
      </c>
      <c r="H1771" s="1">
        <v>6.0</v>
      </c>
      <c r="I1771" s="1" t="s">
        <v>34</v>
      </c>
      <c r="J1771" s="1" t="s">
        <v>18</v>
      </c>
      <c r="K1771" s="1">
        <f t="shared" si="1"/>
        <v>2023</v>
      </c>
      <c r="L1771" s="1" t="str">
        <f t="shared" si="2"/>
        <v>Oct</v>
      </c>
      <c r="M1771" s="1" t="str">
        <f t="shared" si="3"/>
        <v>Profit</v>
      </c>
    </row>
    <row r="1772" ht="14.25" customHeight="1">
      <c r="A1772" s="1" t="s">
        <v>1806</v>
      </c>
      <c r="B1772" s="2">
        <v>45011.0</v>
      </c>
      <c r="C1772" s="1" t="s">
        <v>14</v>
      </c>
      <c r="D1772" s="1" t="s">
        <v>21</v>
      </c>
      <c r="E1772" s="1" t="s">
        <v>22</v>
      </c>
      <c r="F1772" s="1">
        <v>25.3</v>
      </c>
      <c r="G1772" s="1">
        <v>-40.1</v>
      </c>
      <c r="H1772" s="1">
        <v>1.0</v>
      </c>
      <c r="I1772" s="1" t="s">
        <v>23</v>
      </c>
      <c r="J1772" s="1" t="s">
        <v>35</v>
      </c>
      <c r="K1772" s="1">
        <f t="shared" si="1"/>
        <v>2023</v>
      </c>
      <c r="L1772" s="1" t="str">
        <f t="shared" si="2"/>
        <v>Mar</v>
      </c>
      <c r="M1772" s="1" t="str">
        <f t="shared" si="3"/>
        <v>Loss</v>
      </c>
    </row>
    <row r="1773" ht="14.25" customHeight="1">
      <c r="A1773" s="1" t="s">
        <v>1807</v>
      </c>
      <c r="B1773" s="2">
        <v>45090.0</v>
      </c>
      <c r="C1773" s="1" t="s">
        <v>20</v>
      </c>
      <c r="D1773" s="1" t="s">
        <v>21</v>
      </c>
      <c r="E1773" s="1" t="s">
        <v>37</v>
      </c>
      <c r="F1773" s="1">
        <v>284.27</v>
      </c>
      <c r="G1773" s="1">
        <v>-187.31</v>
      </c>
      <c r="H1773" s="1">
        <v>2.0</v>
      </c>
      <c r="I1773" s="1" t="s">
        <v>23</v>
      </c>
      <c r="J1773" s="1" t="s">
        <v>18</v>
      </c>
      <c r="K1773" s="1">
        <f t="shared" si="1"/>
        <v>2023</v>
      </c>
      <c r="L1773" s="1" t="str">
        <f t="shared" si="2"/>
        <v>Jun</v>
      </c>
      <c r="M1773" s="1" t="str">
        <f t="shared" si="3"/>
        <v>Loss</v>
      </c>
    </row>
    <row r="1774" ht="14.25" customHeight="1">
      <c r="A1774" s="1" t="s">
        <v>1808</v>
      </c>
      <c r="B1774" s="2">
        <v>45250.0</v>
      </c>
      <c r="C1774" s="1" t="s">
        <v>14</v>
      </c>
      <c r="D1774" s="1" t="s">
        <v>15</v>
      </c>
      <c r="E1774" s="1" t="s">
        <v>31</v>
      </c>
      <c r="F1774" s="1">
        <v>620.91</v>
      </c>
      <c r="G1774" s="1">
        <v>-158.8</v>
      </c>
      <c r="H1774" s="1">
        <v>9.0</v>
      </c>
      <c r="I1774" s="1" t="s">
        <v>34</v>
      </c>
      <c r="J1774" s="1" t="s">
        <v>38</v>
      </c>
      <c r="K1774" s="1">
        <f t="shared" si="1"/>
        <v>2023</v>
      </c>
      <c r="L1774" s="1" t="str">
        <f t="shared" si="2"/>
        <v>Nov</v>
      </c>
      <c r="M1774" s="1" t="str">
        <f t="shared" si="3"/>
        <v>Loss</v>
      </c>
    </row>
    <row r="1775" ht="14.25" customHeight="1">
      <c r="A1775" s="1" t="s">
        <v>1809</v>
      </c>
      <c r="B1775" s="2">
        <v>44533.0</v>
      </c>
      <c r="C1775" s="1" t="s">
        <v>20</v>
      </c>
      <c r="D1775" s="1" t="s">
        <v>21</v>
      </c>
      <c r="E1775" s="1" t="s">
        <v>76</v>
      </c>
      <c r="F1775" s="1">
        <v>542.47</v>
      </c>
      <c r="G1775" s="1">
        <v>122.32</v>
      </c>
      <c r="H1775" s="1">
        <v>5.0</v>
      </c>
      <c r="I1775" s="1" t="s">
        <v>34</v>
      </c>
      <c r="J1775" s="1" t="s">
        <v>38</v>
      </c>
      <c r="K1775" s="1">
        <f t="shared" si="1"/>
        <v>2021</v>
      </c>
      <c r="L1775" s="1" t="str">
        <f t="shared" si="2"/>
        <v>Dec</v>
      </c>
      <c r="M1775" s="1" t="str">
        <f t="shared" si="3"/>
        <v>Profit</v>
      </c>
    </row>
    <row r="1776" ht="14.25" customHeight="1">
      <c r="A1776" s="1" t="s">
        <v>1810</v>
      </c>
      <c r="B1776" s="2">
        <v>44910.0</v>
      </c>
      <c r="C1776" s="1" t="s">
        <v>14</v>
      </c>
      <c r="D1776" s="1" t="s">
        <v>15</v>
      </c>
      <c r="E1776" s="1" t="s">
        <v>54</v>
      </c>
      <c r="F1776" s="1">
        <v>125.04</v>
      </c>
      <c r="G1776" s="1">
        <v>22.94</v>
      </c>
      <c r="H1776" s="1">
        <v>8.0</v>
      </c>
      <c r="I1776" s="1" t="s">
        <v>17</v>
      </c>
      <c r="J1776" s="1" t="s">
        <v>38</v>
      </c>
      <c r="K1776" s="1">
        <f t="shared" si="1"/>
        <v>2022</v>
      </c>
      <c r="L1776" s="1" t="str">
        <f t="shared" si="2"/>
        <v>Dec</v>
      </c>
      <c r="M1776" s="1" t="str">
        <f t="shared" si="3"/>
        <v>Profit</v>
      </c>
    </row>
    <row r="1777" ht="14.25" customHeight="1">
      <c r="A1777" s="1" t="s">
        <v>1811</v>
      </c>
      <c r="B1777" s="2">
        <v>44671.0</v>
      </c>
      <c r="C1777" s="1" t="s">
        <v>26</v>
      </c>
      <c r="D1777" s="1" t="s">
        <v>27</v>
      </c>
      <c r="E1777" s="1" t="s">
        <v>28</v>
      </c>
      <c r="F1777" s="1">
        <v>558.03</v>
      </c>
      <c r="G1777" s="1">
        <v>243.54</v>
      </c>
      <c r="H1777" s="1">
        <v>7.0</v>
      </c>
      <c r="I1777" s="1" t="s">
        <v>23</v>
      </c>
      <c r="J1777" s="1" t="s">
        <v>18</v>
      </c>
      <c r="K1777" s="1">
        <f t="shared" si="1"/>
        <v>2022</v>
      </c>
      <c r="L1777" s="1" t="str">
        <f t="shared" si="2"/>
        <v>Apr</v>
      </c>
      <c r="M1777" s="1" t="str">
        <f t="shared" si="3"/>
        <v>Profit</v>
      </c>
    </row>
    <row r="1778" ht="14.25" customHeight="1">
      <c r="A1778" s="1" t="s">
        <v>1812</v>
      </c>
      <c r="B1778" s="2">
        <v>44733.0</v>
      </c>
      <c r="C1778" s="1" t="s">
        <v>14</v>
      </c>
      <c r="D1778" s="1" t="s">
        <v>15</v>
      </c>
      <c r="E1778" s="1" t="s">
        <v>54</v>
      </c>
      <c r="F1778" s="1">
        <v>35.98</v>
      </c>
      <c r="G1778" s="1">
        <v>2.71</v>
      </c>
      <c r="H1778" s="1">
        <v>6.0</v>
      </c>
      <c r="I1778" s="1" t="s">
        <v>34</v>
      </c>
      <c r="J1778" s="1" t="s">
        <v>35</v>
      </c>
      <c r="K1778" s="1">
        <f t="shared" si="1"/>
        <v>2022</v>
      </c>
      <c r="L1778" s="1" t="str">
        <f t="shared" si="2"/>
        <v>Jun</v>
      </c>
      <c r="M1778" s="1" t="str">
        <f t="shared" si="3"/>
        <v>Profit</v>
      </c>
    </row>
    <row r="1779" ht="14.25" customHeight="1">
      <c r="A1779" s="1" t="s">
        <v>1813</v>
      </c>
      <c r="B1779" s="2">
        <v>45133.0</v>
      </c>
      <c r="C1779" s="1" t="s">
        <v>14</v>
      </c>
      <c r="D1779" s="1" t="s">
        <v>27</v>
      </c>
      <c r="E1779" s="1" t="s">
        <v>40</v>
      </c>
      <c r="F1779" s="1">
        <v>434.42</v>
      </c>
      <c r="G1779" s="1">
        <v>182.81</v>
      </c>
      <c r="H1779" s="1">
        <v>3.0</v>
      </c>
      <c r="I1779" s="1" t="s">
        <v>34</v>
      </c>
      <c r="J1779" s="1" t="s">
        <v>38</v>
      </c>
      <c r="K1779" s="1">
        <f t="shared" si="1"/>
        <v>2023</v>
      </c>
      <c r="L1779" s="1" t="str">
        <f t="shared" si="2"/>
        <v>Jul</v>
      </c>
      <c r="M1779" s="1" t="str">
        <f t="shared" si="3"/>
        <v>Profit</v>
      </c>
    </row>
    <row r="1780" ht="14.25" customHeight="1">
      <c r="A1780" s="1" t="s">
        <v>1814</v>
      </c>
      <c r="B1780" s="2">
        <v>44351.0</v>
      </c>
      <c r="C1780" s="1" t="s">
        <v>30</v>
      </c>
      <c r="D1780" s="1" t="s">
        <v>15</v>
      </c>
      <c r="E1780" s="1" t="s">
        <v>31</v>
      </c>
      <c r="F1780" s="1">
        <v>712.25</v>
      </c>
      <c r="G1780" s="1">
        <v>-11.84</v>
      </c>
      <c r="H1780" s="1">
        <v>6.0</v>
      </c>
      <c r="I1780" s="1" t="s">
        <v>23</v>
      </c>
      <c r="J1780" s="1" t="s">
        <v>35</v>
      </c>
      <c r="K1780" s="1">
        <f t="shared" si="1"/>
        <v>2021</v>
      </c>
      <c r="L1780" s="1" t="str">
        <f t="shared" si="2"/>
        <v>Jun</v>
      </c>
      <c r="M1780" s="1" t="str">
        <f t="shared" si="3"/>
        <v>Loss</v>
      </c>
    </row>
    <row r="1781" ht="14.25" customHeight="1">
      <c r="A1781" s="1" t="s">
        <v>1815</v>
      </c>
      <c r="B1781" s="2">
        <v>44716.0</v>
      </c>
      <c r="C1781" s="1" t="s">
        <v>20</v>
      </c>
      <c r="D1781" s="1" t="s">
        <v>21</v>
      </c>
      <c r="E1781" s="1" t="s">
        <v>22</v>
      </c>
      <c r="F1781" s="1">
        <v>235.61</v>
      </c>
      <c r="G1781" s="1">
        <v>10.01</v>
      </c>
      <c r="H1781" s="1">
        <v>7.0</v>
      </c>
      <c r="I1781" s="1" t="s">
        <v>23</v>
      </c>
      <c r="J1781" s="1" t="s">
        <v>24</v>
      </c>
      <c r="K1781" s="1">
        <f t="shared" si="1"/>
        <v>2022</v>
      </c>
      <c r="L1781" s="1" t="str">
        <f t="shared" si="2"/>
        <v>Jun</v>
      </c>
      <c r="M1781" s="1" t="str">
        <f t="shared" si="3"/>
        <v>Profit</v>
      </c>
    </row>
    <row r="1782" ht="14.25" customHeight="1">
      <c r="A1782" s="1" t="s">
        <v>1816</v>
      </c>
      <c r="B1782" s="2">
        <v>44263.0</v>
      </c>
      <c r="C1782" s="1" t="s">
        <v>20</v>
      </c>
      <c r="D1782" s="1" t="s">
        <v>27</v>
      </c>
      <c r="E1782" s="1" t="s">
        <v>28</v>
      </c>
      <c r="F1782" s="1">
        <v>202.37</v>
      </c>
      <c r="G1782" s="1">
        <v>-4.85</v>
      </c>
      <c r="H1782" s="1">
        <v>5.0</v>
      </c>
      <c r="I1782" s="1" t="s">
        <v>17</v>
      </c>
      <c r="J1782" s="1" t="s">
        <v>38</v>
      </c>
      <c r="K1782" s="1">
        <f t="shared" si="1"/>
        <v>2021</v>
      </c>
      <c r="L1782" s="1" t="str">
        <f t="shared" si="2"/>
        <v>Mar</v>
      </c>
      <c r="M1782" s="1" t="str">
        <f t="shared" si="3"/>
        <v>Loss</v>
      </c>
    </row>
    <row r="1783" ht="14.25" customHeight="1">
      <c r="A1783" s="1" t="s">
        <v>1817</v>
      </c>
      <c r="B1783" s="2">
        <v>44835.0</v>
      </c>
      <c r="C1783" s="1" t="s">
        <v>26</v>
      </c>
      <c r="D1783" s="1" t="s">
        <v>27</v>
      </c>
      <c r="E1783" s="1" t="s">
        <v>33</v>
      </c>
      <c r="F1783" s="1">
        <v>415.62</v>
      </c>
      <c r="G1783" s="1">
        <v>-43.45</v>
      </c>
      <c r="H1783" s="1">
        <v>9.0</v>
      </c>
      <c r="I1783" s="1" t="s">
        <v>23</v>
      </c>
      <c r="J1783" s="1" t="s">
        <v>24</v>
      </c>
      <c r="K1783" s="1">
        <f t="shared" si="1"/>
        <v>2022</v>
      </c>
      <c r="L1783" s="1" t="str">
        <f t="shared" si="2"/>
        <v>Oct</v>
      </c>
      <c r="M1783" s="1" t="str">
        <f t="shared" si="3"/>
        <v>Loss</v>
      </c>
    </row>
    <row r="1784" ht="14.25" customHeight="1">
      <c r="A1784" s="1" t="s">
        <v>1818</v>
      </c>
      <c r="B1784" s="2">
        <v>44214.0</v>
      </c>
      <c r="C1784" s="1" t="s">
        <v>26</v>
      </c>
      <c r="D1784" s="1" t="s">
        <v>27</v>
      </c>
      <c r="E1784" s="1" t="s">
        <v>28</v>
      </c>
      <c r="F1784" s="1">
        <v>22.69</v>
      </c>
      <c r="G1784" s="1">
        <v>199.77</v>
      </c>
      <c r="H1784" s="1">
        <v>9.0</v>
      </c>
      <c r="I1784" s="1" t="s">
        <v>23</v>
      </c>
      <c r="J1784" s="1" t="s">
        <v>35</v>
      </c>
      <c r="K1784" s="1">
        <f t="shared" si="1"/>
        <v>2021</v>
      </c>
      <c r="L1784" s="1" t="str">
        <f t="shared" si="2"/>
        <v>Jan</v>
      </c>
      <c r="M1784" s="1" t="str">
        <f t="shared" si="3"/>
        <v>Profit</v>
      </c>
    </row>
    <row r="1785" ht="14.25" customHeight="1">
      <c r="A1785" s="1" t="s">
        <v>1819</v>
      </c>
      <c r="B1785" s="2">
        <v>44223.0</v>
      </c>
      <c r="C1785" s="1" t="s">
        <v>20</v>
      </c>
      <c r="D1785" s="1" t="s">
        <v>27</v>
      </c>
      <c r="E1785" s="1" t="s">
        <v>28</v>
      </c>
      <c r="F1785" s="1">
        <v>806.55</v>
      </c>
      <c r="G1785" s="1">
        <v>287.88</v>
      </c>
      <c r="H1785" s="1">
        <v>4.0</v>
      </c>
      <c r="I1785" s="1" t="s">
        <v>34</v>
      </c>
      <c r="J1785" s="1" t="s">
        <v>38</v>
      </c>
      <c r="K1785" s="1">
        <f t="shared" si="1"/>
        <v>2021</v>
      </c>
      <c r="L1785" s="1" t="str">
        <f t="shared" si="2"/>
        <v>Jan</v>
      </c>
      <c r="M1785" s="1" t="str">
        <f t="shared" si="3"/>
        <v>Profit</v>
      </c>
    </row>
    <row r="1786" ht="14.25" customHeight="1">
      <c r="A1786" s="1" t="s">
        <v>1820</v>
      </c>
      <c r="B1786" s="2">
        <v>44383.0</v>
      </c>
      <c r="C1786" s="1" t="s">
        <v>20</v>
      </c>
      <c r="D1786" s="1" t="s">
        <v>27</v>
      </c>
      <c r="E1786" s="1" t="s">
        <v>40</v>
      </c>
      <c r="F1786" s="1">
        <v>849.31</v>
      </c>
      <c r="G1786" s="1">
        <v>253.81</v>
      </c>
      <c r="H1786" s="1">
        <v>3.0</v>
      </c>
      <c r="I1786" s="1" t="s">
        <v>23</v>
      </c>
      <c r="J1786" s="1" t="s">
        <v>24</v>
      </c>
      <c r="K1786" s="1">
        <f t="shared" si="1"/>
        <v>2021</v>
      </c>
      <c r="L1786" s="1" t="str">
        <f t="shared" si="2"/>
        <v>Jul</v>
      </c>
      <c r="M1786" s="1" t="str">
        <f t="shared" si="3"/>
        <v>Profit</v>
      </c>
    </row>
    <row r="1787" ht="14.25" customHeight="1">
      <c r="A1787" s="1" t="s">
        <v>1821</v>
      </c>
      <c r="B1787" s="2">
        <v>45108.0</v>
      </c>
      <c r="C1787" s="1" t="s">
        <v>14</v>
      </c>
      <c r="D1787" s="1" t="s">
        <v>27</v>
      </c>
      <c r="E1787" s="1" t="s">
        <v>28</v>
      </c>
      <c r="F1787" s="1">
        <v>255.5</v>
      </c>
      <c r="G1787" s="1">
        <v>45.58</v>
      </c>
      <c r="H1787" s="1">
        <v>8.0</v>
      </c>
      <c r="I1787" s="1" t="s">
        <v>23</v>
      </c>
      <c r="J1787" s="1" t="s">
        <v>38</v>
      </c>
      <c r="K1787" s="1">
        <f t="shared" si="1"/>
        <v>2023</v>
      </c>
      <c r="L1787" s="1" t="str">
        <f t="shared" si="2"/>
        <v>Jul</v>
      </c>
      <c r="M1787" s="1" t="str">
        <f t="shared" si="3"/>
        <v>Profit</v>
      </c>
    </row>
    <row r="1788" ht="14.25" customHeight="1">
      <c r="A1788" s="1" t="s">
        <v>1822</v>
      </c>
      <c r="B1788" s="2">
        <v>44206.0</v>
      </c>
      <c r="C1788" s="1" t="s">
        <v>26</v>
      </c>
      <c r="D1788" s="1" t="s">
        <v>15</v>
      </c>
      <c r="E1788" s="1" t="s">
        <v>16</v>
      </c>
      <c r="F1788" s="1">
        <v>577.92</v>
      </c>
      <c r="G1788" s="1">
        <v>36.84</v>
      </c>
      <c r="H1788" s="1">
        <v>7.0</v>
      </c>
      <c r="I1788" s="1" t="s">
        <v>34</v>
      </c>
      <c r="J1788" s="1" t="s">
        <v>18</v>
      </c>
      <c r="K1788" s="1">
        <f t="shared" si="1"/>
        <v>2021</v>
      </c>
      <c r="L1788" s="1" t="str">
        <f t="shared" si="2"/>
        <v>Jan</v>
      </c>
      <c r="M1788" s="1" t="str">
        <f t="shared" si="3"/>
        <v>Profit</v>
      </c>
    </row>
    <row r="1789" ht="14.25" customHeight="1">
      <c r="A1789" s="1" t="s">
        <v>1823</v>
      </c>
      <c r="B1789" s="2">
        <v>45059.0</v>
      </c>
      <c r="C1789" s="1" t="s">
        <v>20</v>
      </c>
      <c r="D1789" s="1" t="s">
        <v>21</v>
      </c>
      <c r="E1789" s="1" t="s">
        <v>76</v>
      </c>
      <c r="F1789" s="1">
        <v>374.57</v>
      </c>
      <c r="G1789" s="1">
        <v>-16.0</v>
      </c>
      <c r="H1789" s="1">
        <v>5.0</v>
      </c>
      <c r="I1789" s="1" t="s">
        <v>34</v>
      </c>
      <c r="J1789" s="1" t="s">
        <v>35</v>
      </c>
      <c r="K1789" s="1">
        <f t="shared" si="1"/>
        <v>2023</v>
      </c>
      <c r="L1789" s="1" t="str">
        <f t="shared" si="2"/>
        <v>May</v>
      </c>
      <c r="M1789" s="1" t="str">
        <f t="shared" si="3"/>
        <v>Loss</v>
      </c>
    </row>
    <row r="1790" ht="14.25" customHeight="1">
      <c r="A1790" s="1" t="s">
        <v>1824</v>
      </c>
      <c r="B1790" s="2">
        <v>45222.0</v>
      </c>
      <c r="C1790" s="1" t="s">
        <v>14</v>
      </c>
      <c r="D1790" s="1" t="s">
        <v>21</v>
      </c>
      <c r="E1790" s="1" t="s">
        <v>76</v>
      </c>
      <c r="F1790" s="1">
        <v>423.83</v>
      </c>
      <c r="G1790" s="1">
        <v>-32.48</v>
      </c>
      <c r="H1790" s="1">
        <v>4.0</v>
      </c>
      <c r="I1790" s="1" t="s">
        <v>23</v>
      </c>
      <c r="J1790" s="1" t="s">
        <v>38</v>
      </c>
      <c r="K1790" s="1">
        <f t="shared" si="1"/>
        <v>2023</v>
      </c>
      <c r="L1790" s="1" t="str">
        <f t="shared" si="2"/>
        <v>Oct</v>
      </c>
      <c r="M1790" s="1" t="str">
        <f t="shared" si="3"/>
        <v>Loss</v>
      </c>
    </row>
    <row r="1791" ht="14.25" customHeight="1">
      <c r="A1791" s="1" t="s">
        <v>1825</v>
      </c>
      <c r="B1791" s="2">
        <v>44461.0</v>
      </c>
      <c r="C1791" s="1" t="s">
        <v>20</v>
      </c>
      <c r="D1791" s="1" t="s">
        <v>15</v>
      </c>
      <c r="E1791" s="1" t="s">
        <v>31</v>
      </c>
      <c r="F1791" s="1">
        <v>826.77</v>
      </c>
      <c r="G1791" s="1">
        <v>-157.8</v>
      </c>
      <c r="H1791" s="1">
        <v>10.0</v>
      </c>
      <c r="I1791" s="1" t="s">
        <v>17</v>
      </c>
      <c r="J1791" s="1" t="s">
        <v>38</v>
      </c>
      <c r="K1791" s="1">
        <f t="shared" si="1"/>
        <v>2021</v>
      </c>
      <c r="L1791" s="1" t="str">
        <f t="shared" si="2"/>
        <v>Sep</v>
      </c>
      <c r="M1791" s="1" t="str">
        <f t="shared" si="3"/>
        <v>Loss</v>
      </c>
    </row>
    <row r="1792" ht="14.25" customHeight="1">
      <c r="A1792" s="1" t="s">
        <v>1826</v>
      </c>
      <c r="B1792" s="2">
        <v>44617.0</v>
      </c>
      <c r="C1792" s="1" t="s">
        <v>20</v>
      </c>
      <c r="D1792" s="1" t="s">
        <v>21</v>
      </c>
      <c r="E1792" s="1" t="s">
        <v>22</v>
      </c>
      <c r="F1792" s="1">
        <v>561.52</v>
      </c>
      <c r="G1792" s="1">
        <v>49.19</v>
      </c>
      <c r="H1792" s="1">
        <v>2.0</v>
      </c>
      <c r="I1792" s="1" t="s">
        <v>34</v>
      </c>
      <c r="J1792" s="1" t="s">
        <v>18</v>
      </c>
      <c r="K1792" s="1">
        <f t="shared" si="1"/>
        <v>2022</v>
      </c>
      <c r="L1792" s="1" t="str">
        <f t="shared" si="2"/>
        <v>Feb</v>
      </c>
      <c r="M1792" s="1" t="str">
        <f t="shared" si="3"/>
        <v>Profit</v>
      </c>
    </row>
    <row r="1793" ht="14.25" customHeight="1">
      <c r="A1793" s="1" t="s">
        <v>1827</v>
      </c>
      <c r="B1793" s="2">
        <v>44543.0</v>
      </c>
      <c r="C1793" s="1" t="s">
        <v>14</v>
      </c>
      <c r="D1793" s="1" t="s">
        <v>15</v>
      </c>
      <c r="E1793" s="1" t="s">
        <v>31</v>
      </c>
      <c r="F1793" s="1">
        <v>721.19</v>
      </c>
      <c r="G1793" s="1">
        <v>-172.04</v>
      </c>
      <c r="H1793" s="1">
        <v>6.0</v>
      </c>
      <c r="I1793" s="1" t="s">
        <v>17</v>
      </c>
      <c r="J1793" s="1" t="s">
        <v>38</v>
      </c>
      <c r="K1793" s="1">
        <f t="shared" si="1"/>
        <v>2021</v>
      </c>
      <c r="L1793" s="1" t="str">
        <f t="shared" si="2"/>
        <v>Dec</v>
      </c>
      <c r="M1793" s="1" t="str">
        <f t="shared" si="3"/>
        <v>Loss</v>
      </c>
    </row>
    <row r="1794" ht="14.25" customHeight="1">
      <c r="A1794" s="1" t="s">
        <v>1828</v>
      </c>
      <c r="B1794" s="2">
        <v>44868.0</v>
      </c>
      <c r="C1794" s="1" t="s">
        <v>26</v>
      </c>
      <c r="D1794" s="1" t="s">
        <v>21</v>
      </c>
      <c r="E1794" s="1" t="s">
        <v>37</v>
      </c>
      <c r="F1794" s="1">
        <v>388.98</v>
      </c>
      <c r="G1794" s="1">
        <v>-119.11</v>
      </c>
      <c r="H1794" s="1">
        <v>1.0</v>
      </c>
      <c r="I1794" s="1" t="s">
        <v>17</v>
      </c>
      <c r="J1794" s="1" t="s">
        <v>35</v>
      </c>
      <c r="K1794" s="1">
        <f t="shared" si="1"/>
        <v>2022</v>
      </c>
      <c r="L1794" s="1" t="str">
        <f t="shared" si="2"/>
        <v>Nov</v>
      </c>
      <c r="M1794" s="1" t="str">
        <f t="shared" si="3"/>
        <v>Loss</v>
      </c>
    </row>
    <row r="1795" ht="14.25" customHeight="1">
      <c r="A1795" s="1" t="s">
        <v>1829</v>
      </c>
      <c r="B1795" s="2">
        <v>45277.0</v>
      </c>
      <c r="C1795" s="1" t="s">
        <v>14</v>
      </c>
      <c r="D1795" s="1" t="s">
        <v>15</v>
      </c>
      <c r="E1795" s="1" t="s">
        <v>16</v>
      </c>
      <c r="F1795" s="1">
        <v>97.38</v>
      </c>
      <c r="G1795" s="1">
        <v>-178.12</v>
      </c>
      <c r="H1795" s="1">
        <v>7.0</v>
      </c>
      <c r="I1795" s="1" t="s">
        <v>34</v>
      </c>
      <c r="J1795" s="1" t="s">
        <v>38</v>
      </c>
      <c r="K1795" s="1">
        <f t="shared" si="1"/>
        <v>2023</v>
      </c>
      <c r="L1795" s="1" t="str">
        <f t="shared" si="2"/>
        <v>Dec</v>
      </c>
      <c r="M1795" s="1" t="str">
        <f t="shared" si="3"/>
        <v>Loss</v>
      </c>
    </row>
    <row r="1796" ht="14.25" customHeight="1">
      <c r="A1796" s="1" t="s">
        <v>1830</v>
      </c>
      <c r="B1796" s="2">
        <v>44540.0</v>
      </c>
      <c r="C1796" s="1" t="s">
        <v>30</v>
      </c>
      <c r="D1796" s="1" t="s">
        <v>15</v>
      </c>
      <c r="E1796" s="1" t="s">
        <v>54</v>
      </c>
      <c r="F1796" s="1">
        <v>357.13</v>
      </c>
      <c r="G1796" s="1">
        <v>224.6</v>
      </c>
      <c r="H1796" s="1">
        <v>9.0</v>
      </c>
      <c r="I1796" s="1" t="s">
        <v>34</v>
      </c>
      <c r="J1796" s="1" t="s">
        <v>35</v>
      </c>
      <c r="K1796" s="1">
        <f t="shared" si="1"/>
        <v>2021</v>
      </c>
      <c r="L1796" s="1" t="str">
        <f t="shared" si="2"/>
        <v>Dec</v>
      </c>
      <c r="M1796" s="1" t="str">
        <f t="shared" si="3"/>
        <v>Profit</v>
      </c>
    </row>
    <row r="1797" ht="14.25" customHeight="1">
      <c r="A1797" s="1" t="s">
        <v>1831</v>
      </c>
      <c r="B1797" s="2">
        <v>44889.0</v>
      </c>
      <c r="C1797" s="1" t="s">
        <v>20</v>
      </c>
      <c r="D1797" s="1" t="s">
        <v>15</v>
      </c>
      <c r="E1797" s="1" t="s">
        <v>54</v>
      </c>
      <c r="F1797" s="1">
        <v>732.65</v>
      </c>
      <c r="G1797" s="1">
        <v>34.46</v>
      </c>
      <c r="H1797" s="1">
        <v>9.0</v>
      </c>
      <c r="I1797" s="1" t="s">
        <v>23</v>
      </c>
      <c r="J1797" s="1" t="s">
        <v>35</v>
      </c>
      <c r="K1797" s="1">
        <f t="shared" si="1"/>
        <v>2022</v>
      </c>
      <c r="L1797" s="1" t="str">
        <f t="shared" si="2"/>
        <v>Nov</v>
      </c>
      <c r="M1797" s="1" t="str">
        <f t="shared" si="3"/>
        <v>Profit</v>
      </c>
    </row>
    <row r="1798" ht="14.25" customHeight="1">
      <c r="A1798" s="1" t="s">
        <v>1832</v>
      </c>
      <c r="B1798" s="2">
        <v>44901.0</v>
      </c>
      <c r="C1798" s="1" t="s">
        <v>30</v>
      </c>
      <c r="D1798" s="1" t="s">
        <v>27</v>
      </c>
      <c r="E1798" s="1" t="s">
        <v>33</v>
      </c>
      <c r="F1798" s="1">
        <v>185.62</v>
      </c>
      <c r="G1798" s="1">
        <v>-105.85</v>
      </c>
      <c r="H1798" s="1">
        <v>4.0</v>
      </c>
      <c r="I1798" s="1" t="s">
        <v>34</v>
      </c>
      <c r="J1798" s="1" t="s">
        <v>38</v>
      </c>
      <c r="K1798" s="1">
        <f t="shared" si="1"/>
        <v>2022</v>
      </c>
      <c r="L1798" s="1" t="str">
        <f t="shared" si="2"/>
        <v>Dec</v>
      </c>
      <c r="M1798" s="1" t="str">
        <f t="shared" si="3"/>
        <v>Loss</v>
      </c>
    </row>
    <row r="1799" ht="14.25" customHeight="1">
      <c r="A1799" s="1" t="s">
        <v>1833</v>
      </c>
      <c r="B1799" s="2">
        <v>44782.0</v>
      </c>
      <c r="C1799" s="1" t="s">
        <v>30</v>
      </c>
      <c r="D1799" s="1" t="s">
        <v>27</v>
      </c>
      <c r="E1799" s="1" t="s">
        <v>28</v>
      </c>
      <c r="F1799" s="1">
        <v>830.31</v>
      </c>
      <c r="G1799" s="1">
        <v>12.07</v>
      </c>
      <c r="H1799" s="1">
        <v>5.0</v>
      </c>
      <c r="I1799" s="1" t="s">
        <v>17</v>
      </c>
      <c r="J1799" s="1" t="s">
        <v>18</v>
      </c>
      <c r="K1799" s="1">
        <f t="shared" si="1"/>
        <v>2022</v>
      </c>
      <c r="L1799" s="1" t="str">
        <f t="shared" si="2"/>
        <v>Aug</v>
      </c>
      <c r="M1799" s="1" t="str">
        <f t="shared" si="3"/>
        <v>Profit</v>
      </c>
    </row>
    <row r="1800" ht="14.25" customHeight="1">
      <c r="A1800" s="1" t="s">
        <v>1834</v>
      </c>
      <c r="B1800" s="2">
        <v>44444.0</v>
      </c>
      <c r="C1800" s="1" t="s">
        <v>14</v>
      </c>
      <c r="D1800" s="1" t="s">
        <v>21</v>
      </c>
      <c r="E1800" s="1" t="s">
        <v>22</v>
      </c>
      <c r="F1800" s="1">
        <v>909.46</v>
      </c>
      <c r="G1800" s="1">
        <v>246.62</v>
      </c>
      <c r="H1800" s="1">
        <v>3.0</v>
      </c>
      <c r="I1800" s="1" t="s">
        <v>34</v>
      </c>
      <c r="J1800" s="1" t="s">
        <v>18</v>
      </c>
      <c r="K1800" s="1">
        <f t="shared" si="1"/>
        <v>2021</v>
      </c>
      <c r="L1800" s="1" t="str">
        <f t="shared" si="2"/>
        <v>Sep</v>
      </c>
      <c r="M1800" s="1" t="str">
        <f t="shared" si="3"/>
        <v>Profit</v>
      </c>
    </row>
    <row r="1801" ht="14.25" customHeight="1">
      <c r="A1801" s="1" t="s">
        <v>1835</v>
      </c>
      <c r="B1801" s="2">
        <v>44276.0</v>
      </c>
      <c r="C1801" s="1" t="s">
        <v>26</v>
      </c>
      <c r="D1801" s="1" t="s">
        <v>15</v>
      </c>
      <c r="E1801" s="1" t="s">
        <v>16</v>
      </c>
      <c r="F1801" s="1">
        <v>78.88</v>
      </c>
      <c r="G1801" s="1">
        <v>-133.36</v>
      </c>
      <c r="H1801" s="1">
        <v>6.0</v>
      </c>
      <c r="I1801" s="1" t="s">
        <v>34</v>
      </c>
      <c r="J1801" s="1" t="s">
        <v>24</v>
      </c>
      <c r="K1801" s="1">
        <f t="shared" si="1"/>
        <v>2021</v>
      </c>
      <c r="L1801" s="1" t="str">
        <f t="shared" si="2"/>
        <v>Mar</v>
      </c>
      <c r="M1801" s="1" t="str">
        <f t="shared" si="3"/>
        <v>Loss</v>
      </c>
    </row>
    <row r="1802" ht="14.25" customHeight="1">
      <c r="A1802" s="1" t="s">
        <v>1836</v>
      </c>
      <c r="B1802" s="2">
        <v>44289.0</v>
      </c>
      <c r="C1802" s="1" t="s">
        <v>26</v>
      </c>
      <c r="D1802" s="1" t="s">
        <v>27</v>
      </c>
      <c r="E1802" s="1" t="s">
        <v>40</v>
      </c>
      <c r="F1802" s="1">
        <v>547.45</v>
      </c>
      <c r="G1802" s="1">
        <v>-74.2</v>
      </c>
      <c r="H1802" s="1">
        <v>7.0</v>
      </c>
      <c r="I1802" s="1" t="s">
        <v>17</v>
      </c>
      <c r="J1802" s="1" t="s">
        <v>35</v>
      </c>
      <c r="K1802" s="1">
        <f t="shared" si="1"/>
        <v>2021</v>
      </c>
      <c r="L1802" s="1" t="str">
        <f t="shared" si="2"/>
        <v>Apr</v>
      </c>
      <c r="M1802" s="1" t="str">
        <f t="shared" si="3"/>
        <v>Loss</v>
      </c>
    </row>
    <row r="1803" ht="14.25" customHeight="1">
      <c r="A1803" s="1" t="s">
        <v>1837</v>
      </c>
      <c r="B1803" s="2">
        <v>45019.0</v>
      </c>
      <c r="C1803" s="1" t="s">
        <v>26</v>
      </c>
      <c r="D1803" s="1" t="s">
        <v>27</v>
      </c>
      <c r="E1803" s="1" t="s">
        <v>33</v>
      </c>
      <c r="F1803" s="1">
        <v>546.47</v>
      </c>
      <c r="G1803" s="1">
        <v>-16.36</v>
      </c>
      <c r="H1803" s="1">
        <v>9.0</v>
      </c>
      <c r="I1803" s="1" t="s">
        <v>34</v>
      </c>
      <c r="J1803" s="1" t="s">
        <v>24</v>
      </c>
      <c r="K1803" s="1">
        <f t="shared" si="1"/>
        <v>2023</v>
      </c>
      <c r="L1803" s="1" t="str">
        <f t="shared" si="2"/>
        <v>Apr</v>
      </c>
      <c r="M1803" s="1" t="str">
        <f t="shared" si="3"/>
        <v>Loss</v>
      </c>
    </row>
    <row r="1804" ht="14.25" customHeight="1">
      <c r="A1804" s="1" t="s">
        <v>1838</v>
      </c>
      <c r="B1804" s="2">
        <v>44555.0</v>
      </c>
      <c r="C1804" s="1" t="s">
        <v>30</v>
      </c>
      <c r="D1804" s="1" t="s">
        <v>21</v>
      </c>
      <c r="E1804" s="1" t="s">
        <v>76</v>
      </c>
      <c r="F1804" s="1">
        <v>793.76</v>
      </c>
      <c r="G1804" s="1">
        <v>-177.6</v>
      </c>
      <c r="H1804" s="1">
        <v>10.0</v>
      </c>
      <c r="I1804" s="1" t="s">
        <v>17</v>
      </c>
      <c r="J1804" s="1" t="s">
        <v>35</v>
      </c>
      <c r="K1804" s="1">
        <f t="shared" si="1"/>
        <v>2021</v>
      </c>
      <c r="L1804" s="1" t="str">
        <f t="shared" si="2"/>
        <v>Dec</v>
      </c>
      <c r="M1804" s="1" t="str">
        <f t="shared" si="3"/>
        <v>Loss</v>
      </c>
    </row>
    <row r="1805" ht="14.25" customHeight="1">
      <c r="A1805" s="1" t="s">
        <v>1839</v>
      </c>
      <c r="B1805" s="2">
        <v>44287.0</v>
      </c>
      <c r="C1805" s="1" t="s">
        <v>30</v>
      </c>
      <c r="D1805" s="1" t="s">
        <v>27</v>
      </c>
      <c r="E1805" s="1" t="s">
        <v>33</v>
      </c>
      <c r="F1805" s="1">
        <v>357.42</v>
      </c>
      <c r="G1805" s="1">
        <v>-29.14</v>
      </c>
      <c r="H1805" s="1">
        <v>6.0</v>
      </c>
      <c r="I1805" s="1" t="s">
        <v>23</v>
      </c>
      <c r="J1805" s="1" t="s">
        <v>35</v>
      </c>
      <c r="K1805" s="1">
        <f t="shared" si="1"/>
        <v>2021</v>
      </c>
      <c r="L1805" s="1" t="str">
        <f t="shared" si="2"/>
        <v>Apr</v>
      </c>
      <c r="M1805" s="1" t="str">
        <f t="shared" si="3"/>
        <v>Loss</v>
      </c>
    </row>
    <row r="1806" ht="14.25" customHeight="1">
      <c r="A1806" s="1" t="s">
        <v>1840</v>
      </c>
      <c r="B1806" s="2">
        <v>44288.0</v>
      </c>
      <c r="C1806" s="1" t="s">
        <v>14</v>
      </c>
      <c r="D1806" s="1" t="s">
        <v>21</v>
      </c>
      <c r="E1806" s="1" t="s">
        <v>37</v>
      </c>
      <c r="F1806" s="1">
        <v>476.45</v>
      </c>
      <c r="G1806" s="1">
        <v>119.55</v>
      </c>
      <c r="H1806" s="1">
        <v>2.0</v>
      </c>
      <c r="I1806" s="1" t="s">
        <v>23</v>
      </c>
      <c r="J1806" s="1" t="s">
        <v>24</v>
      </c>
      <c r="K1806" s="1">
        <f t="shared" si="1"/>
        <v>2021</v>
      </c>
      <c r="L1806" s="1" t="str">
        <f t="shared" si="2"/>
        <v>Apr</v>
      </c>
      <c r="M1806" s="1" t="str">
        <f t="shared" si="3"/>
        <v>Profit</v>
      </c>
    </row>
    <row r="1807" ht="14.25" customHeight="1">
      <c r="A1807" s="1" t="s">
        <v>1841</v>
      </c>
      <c r="B1807" s="2">
        <v>44548.0</v>
      </c>
      <c r="C1807" s="1" t="s">
        <v>20</v>
      </c>
      <c r="D1807" s="1" t="s">
        <v>15</v>
      </c>
      <c r="E1807" s="1" t="s">
        <v>16</v>
      </c>
      <c r="F1807" s="1">
        <v>56.91</v>
      </c>
      <c r="G1807" s="1">
        <v>284.35</v>
      </c>
      <c r="H1807" s="1">
        <v>1.0</v>
      </c>
      <c r="I1807" s="1" t="s">
        <v>17</v>
      </c>
      <c r="J1807" s="1" t="s">
        <v>18</v>
      </c>
      <c r="K1807" s="1">
        <f t="shared" si="1"/>
        <v>2021</v>
      </c>
      <c r="L1807" s="1" t="str">
        <f t="shared" si="2"/>
        <v>Dec</v>
      </c>
      <c r="M1807" s="1" t="str">
        <f t="shared" si="3"/>
        <v>Profit</v>
      </c>
    </row>
    <row r="1808" ht="14.25" customHeight="1">
      <c r="A1808" s="1" t="s">
        <v>1842</v>
      </c>
      <c r="B1808" s="2">
        <v>44504.0</v>
      </c>
      <c r="C1808" s="1" t="s">
        <v>26</v>
      </c>
      <c r="D1808" s="1" t="s">
        <v>21</v>
      </c>
      <c r="E1808" s="1" t="s">
        <v>37</v>
      </c>
      <c r="F1808" s="1">
        <v>786.32</v>
      </c>
      <c r="G1808" s="1">
        <v>252.56</v>
      </c>
      <c r="H1808" s="1">
        <v>8.0</v>
      </c>
      <c r="I1808" s="1" t="s">
        <v>23</v>
      </c>
      <c r="J1808" s="1" t="s">
        <v>18</v>
      </c>
      <c r="K1808" s="1">
        <f t="shared" si="1"/>
        <v>2021</v>
      </c>
      <c r="L1808" s="1" t="str">
        <f t="shared" si="2"/>
        <v>Nov</v>
      </c>
      <c r="M1808" s="1" t="str">
        <f t="shared" si="3"/>
        <v>Profit</v>
      </c>
    </row>
    <row r="1809" ht="14.25" customHeight="1">
      <c r="A1809" s="1" t="s">
        <v>1843</v>
      </c>
      <c r="B1809" s="2">
        <v>44926.0</v>
      </c>
      <c r="C1809" s="1" t="s">
        <v>20</v>
      </c>
      <c r="D1809" s="1" t="s">
        <v>21</v>
      </c>
      <c r="E1809" s="1" t="s">
        <v>76</v>
      </c>
      <c r="F1809" s="1">
        <v>728.15</v>
      </c>
      <c r="G1809" s="1">
        <v>82.31</v>
      </c>
      <c r="H1809" s="1">
        <v>5.0</v>
      </c>
      <c r="I1809" s="1" t="s">
        <v>17</v>
      </c>
      <c r="J1809" s="1" t="s">
        <v>38</v>
      </c>
      <c r="K1809" s="1">
        <f t="shared" si="1"/>
        <v>2022</v>
      </c>
      <c r="L1809" s="1" t="str">
        <f t="shared" si="2"/>
        <v>Dec</v>
      </c>
      <c r="M1809" s="1" t="str">
        <f t="shared" si="3"/>
        <v>Profit</v>
      </c>
    </row>
    <row r="1810" ht="14.25" customHeight="1">
      <c r="A1810" s="1" t="s">
        <v>1844</v>
      </c>
      <c r="B1810" s="2">
        <v>44215.0</v>
      </c>
      <c r="C1810" s="1" t="s">
        <v>30</v>
      </c>
      <c r="D1810" s="1" t="s">
        <v>27</v>
      </c>
      <c r="E1810" s="1" t="s">
        <v>33</v>
      </c>
      <c r="F1810" s="1">
        <v>508.81</v>
      </c>
      <c r="G1810" s="1">
        <v>-101.85</v>
      </c>
      <c r="H1810" s="1">
        <v>5.0</v>
      </c>
      <c r="I1810" s="1" t="s">
        <v>34</v>
      </c>
      <c r="J1810" s="1" t="s">
        <v>18</v>
      </c>
      <c r="K1810" s="1">
        <f t="shared" si="1"/>
        <v>2021</v>
      </c>
      <c r="L1810" s="1" t="str">
        <f t="shared" si="2"/>
        <v>Jan</v>
      </c>
      <c r="M1810" s="1" t="str">
        <f t="shared" si="3"/>
        <v>Loss</v>
      </c>
    </row>
    <row r="1811" ht="14.25" customHeight="1">
      <c r="A1811" s="1" t="s">
        <v>1845</v>
      </c>
      <c r="B1811" s="2">
        <v>44448.0</v>
      </c>
      <c r="C1811" s="1" t="s">
        <v>26</v>
      </c>
      <c r="D1811" s="1" t="s">
        <v>15</v>
      </c>
      <c r="E1811" s="1" t="s">
        <v>54</v>
      </c>
      <c r="F1811" s="1">
        <v>289.22</v>
      </c>
      <c r="G1811" s="1">
        <v>-173.34</v>
      </c>
      <c r="H1811" s="1">
        <v>7.0</v>
      </c>
      <c r="I1811" s="1" t="s">
        <v>34</v>
      </c>
      <c r="J1811" s="1" t="s">
        <v>24</v>
      </c>
      <c r="K1811" s="1">
        <f t="shared" si="1"/>
        <v>2021</v>
      </c>
      <c r="L1811" s="1" t="str">
        <f t="shared" si="2"/>
        <v>Sep</v>
      </c>
      <c r="M1811" s="1" t="str">
        <f t="shared" si="3"/>
        <v>Loss</v>
      </c>
    </row>
    <row r="1812" ht="14.25" customHeight="1">
      <c r="A1812" s="1" t="s">
        <v>1846</v>
      </c>
      <c r="B1812" s="2">
        <v>45024.0</v>
      </c>
      <c r="C1812" s="1" t="s">
        <v>20</v>
      </c>
      <c r="D1812" s="1" t="s">
        <v>27</v>
      </c>
      <c r="E1812" s="1" t="s">
        <v>40</v>
      </c>
      <c r="F1812" s="1">
        <v>301.64</v>
      </c>
      <c r="G1812" s="1">
        <v>147.39</v>
      </c>
      <c r="H1812" s="1">
        <v>5.0</v>
      </c>
      <c r="I1812" s="1" t="s">
        <v>34</v>
      </c>
      <c r="J1812" s="1" t="s">
        <v>18</v>
      </c>
      <c r="K1812" s="1">
        <f t="shared" si="1"/>
        <v>2023</v>
      </c>
      <c r="L1812" s="1" t="str">
        <f t="shared" si="2"/>
        <v>Apr</v>
      </c>
      <c r="M1812" s="1" t="str">
        <f t="shared" si="3"/>
        <v>Profit</v>
      </c>
    </row>
    <row r="1813" ht="14.25" customHeight="1">
      <c r="A1813" s="1" t="s">
        <v>1847</v>
      </c>
      <c r="B1813" s="2">
        <v>44464.0</v>
      </c>
      <c r="C1813" s="1" t="s">
        <v>30</v>
      </c>
      <c r="D1813" s="1" t="s">
        <v>15</v>
      </c>
      <c r="E1813" s="1" t="s">
        <v>16</v>
      </c>
      <c r="F1813" s="1">
        <v>354.02</v>
      </c>
      <c r="G1813" s="1">
        <v>181.06</v>
      </c>
      <c r="H1813" s="1">
        <v>9.0</v>
      </c>
      <c r="I1813" s="1" t="s">
        <v>17</v>
      </c>
      <c r="J1813" s="1" t="s">
        <v>35</v>
      </c>
      <c r="K1813" s="1">
        <f t="shared" si="1"/>
        <v>2021</v>
      </c>
      <c r="L1813" s="1" t="str">
        <f t="shared" si="2"/>
        <v>Sep</v>
      </c>
      <c r="M1813" s="1" t="str">
        <f t="shared" si="3"/>
        <v>Profit</v>
      </c>
    </row>
    <row r="1814" ht="14.25" customHeight="1">
      <c r="A1814" s="1" t="s">
        <v>1848</v>
      </c>
      <c r="B1814" s="2">
        <v>44789.0</v>
      </c>
      <c r="C1814" s="1" t="s">
        <v>30</v>
      </c>
      <c r="D1814" s="1" t="s">
        <v>21</v>
      </c>
      <c r="E1814" s="1" t="s">
        <v>37</v>
      </c>
      <c r="F1814" s="1">
        <v>969.23</v>
      </c>
      <c r="G1814" s="1">
        <v>-143.89</v>
      </c>
      <c r="H1814" s="1">
        <v>5.0</v>
      </c>
      <c r="I1814" s="1" t="s">
        <v>17</v>
      </c>
      <c r="J1814" s="1" t="s">
        <v>18</v>
      </c>
      <c r="K1814" s="1">
        <f t="shared" si="1"/>
        <v>2022</v>
      </c>
      <c r="L1814" s="1" t="str">
        <f t="shared" si="2"/>
        <v>Aug</v>
      </c>
      <c r="M1814" s="1" t="str">
        <f t="shared" si="3"/>
        <v>Loss</v>
      </c>
    </row>
    <row r="1815" ht="14.25" customHeight="1">
      <c r="A1815" s="1" t="s">
        <v>1849</v>
      </c>
      <c r="B1815" s="2">
        <v>44491.0</v>
      </c>
      <c r="C1815" s="1" t="s">
        <v>26</v>
      </c>
      <c r="D1815" s="1" t="s">
        <v>27</v>
      </c>
      <c r="E1815" s="1" t="s">
        <v>33</v>
      </c>
      <c r="F1815" s="1">
        <v>829.66</v>
      </c>
      <c r="G1815" s="1">
        <v>29.61</v>
      </c>
      <c r="H1815" s="1">
        <v>6.0</v>
      </c>
      <c r="I1815" s="1" t="s">
        <v>23</v>
      </c>
      <c r="J1815" s="1" t="s">
        <v>38</v>
      </c>
      <c r="K1815" s="1">
        <f t="shared" si="1"/>
        <v>2021</v>
      </c>
      <c r="L1815" s="1" t="str">
        <f t="shared" si="2"/>
        <v>Oct</v>
      </c>
      <c r="M1815" s="1" t="str">
        <f t="shared" si="3"/>
        <v>Profit</v>
      </c>
    </row>
    <row r="1816" ht="14.25" customHeight="1">
      <c r="A1816" s="1" t="s">
        <v>1850</v>
      </c>
      <c r="B1816" s="2">
        <v>44429.0</v>
      </c>
      <c r="C1816" s="1" t="s">
        <v>26</v>
      </c>
      <c r="D1816" s="1" t="s">
        <v>15</v>
      </c>
      <c r="E1816" s="1" t="s">
        <v>16</v>
      </c>
      <c r="F1816" s="1">
        <v>623.11</v>
      </c>
      <c r="G1816" s="1">
        <v>-162.58</v>
      </c>
      <c r="H1816" s="1">
        <v>10.0</v>
      </c>
      <c r="I1816" s="1" t="s">
        <v>17</v>
      </c>
      <c r="J1816" s="1" t="s">
        <v>35</v>
      </c>
      <c r="K1816" s="1">
        <f t="shared" si="1"/>
        <v>2021</v>
      </c>
      <c r="L1816" s="1" t="str">
        <f t="shared" si="2"/>
        <v>Aug</v>
      </c>
      <c r="M1816" s="1" t="str">
        <f t="shared" si="3"/>
        <v>Loss</v>
      </c>
    </row>
    <row r="1817" ht="14.25" customHeight="1">
      <c r="A1817" s="1" t="s">
        <v>1851</v>
      </c>
      <c r="B1817" s="2">
        <v>44603.0</v>
      </c>
      <c r="C1817" s="1" t="s">
        <v>26</v>
      </c>
      <c r="D1817" s="1" t="s">
        <v>21</v>
      </c>
      <c r="E1817" s="1" t="s">
        <v>22</v>
      </c>
      <c r="F1817" s="1">
        <v>411.03</v>
      </c>
      <c r="G1817" s="1">
        <v>210.2</v>
      </c>
      <c r="H1817" s="1">
        <v>3.0</v>
      </c>
      <c r="I1817" s="1" t="s">
        <v>34</v>
      </c>
      <c r="J1817" s="1" t="s">
        <v>38</v>
      </c>
      <c r="K1817" s="1">
        <f t="shared" si="1"/>
        <v>2022</v>
      </c>
      <c r="L1817" s="1" t="str">
        <f t="shared" si="2"/>
        <v>Feb</v>
      </c>
      <c r="M1817" s="1" t="str">
        <f t="shared" si="3"/>
        <v>Profit</v>
      </c>
    </row>
    <row r="1818" ht="14.25" customHeight="1">
      <c r="A1818" s="1" t="s">
        <v>1852</v>
      </c>
      <c r="B1818" s="2">
        <v>45164.0</v>
      </c>
      <c r="C1818" s="1" t="s">
        <v>30</v>
      </c>
      <c r="D1818" s="1" t="s">
        <v>27</v>
      </c>
      <c r="E1818" s="1" t="s">
        <v>40</v>
      </c>
      <c r="F1818" s="1">
        <v>926.46</v>
      </c>
      <c r="G1818" s="1">
        <v>-90.49</v>
      </c>
      <c r="H1818" s="1">
        <v>9.0</v>
      </c>
      <c r="I1818" s="1" t="s">
        <v>23</v>
      </c>
      <c r="J1818" s="1" t="s">
        <v>18</v>
      </c>
      <c r="K1818" s="1">
        <f t="shared" si="1"/>
        <v>2023</v>
      </c>
      <c r="L1818" s="1" t="str">
        <f t="shared" si="2"/>
        <v>Aug</v>
      </c>
      <c r="M1818" s="1" t="str">
        <f t="shared" si="3"/>
        <v>Loss</v>
      </c>
    </row>
    <row r="1819" ht="14.25" customHeight="1">
      <c r="A1819" s="1" t="s">
        <v>1853</v>
      </c>
      <c r="B1819" s="2">
        <v>44794.0</v>
      </c>
      <c r="C1819" s="1" t="s">
        <v>26</v>
      </c>
      <c r="D1819" s="1" t="s">
        <v>15</v>
      </c>
      <c r="E1819" s="1" t="s">
        <v>31</v>
      </c>
      <c r="F1819" s="1">
        <v>956.29</v>
      </c>
      <c r="G1819" s="1">
        <v>78.41</v>
      </c>
      <c r="H1819" s="1">
        <v>2.0</v>
      </c>
      <c r="I1819" s="1" t="s">
        <v>23</v>
      </c>
      <c r="J1819" s="1" t="s">
        <v>35</v>
      </c>
      <c r="K1819" s="1">
        <f t="shared" si="1"/>
        <v>2022</v>
      </c>
      <c r="L1819" s="1" t="str">
        <f t="shared" si="2"/>
        <v>Aug</v>
      </c>
      <c r="M1819" s="1" t="str">
        <f t="shared" si="3"/>
        <v>Profit</v>
      </c>
    </row>
    <row r="1820" ht="14.25" customHeight="1">
      <c r="A1820" s="1" t="s">
        <v>1854</v>
      </c>
      <c r="B1820" s="2">
        <v>45061.0</v>
      </c>
      <c r="C1820" s="1" t="s">
        <v>30</v>
      </c>
      <c r="D1820" s="1" t="s">
        <v>21</v>
      </c>
      <c r="E1820" s="1" t="s">
        <v>76</v>
      </c>
      <c r="F1820" s="1">
        <v>968.2</v>
      </c>
      <c r="G1820" s="1">
        <v>113.64</v>
      </c>
      <c r="H1820" s="1">
        <v>5.0</v>
      </c>
      <c r="I1820" s="1" t="s">
        <v>23</v>
      </c>
      <c r="J1820" s="1" t="s">
        <v>18</v>
      </c>
      <c r="K1820" s="1">
        <f t="shared" si="1"/>
        <v>2023</v>
      </c>
      <c r="L1820" s="1" t="str">
        <f t="shared" si="2"/>
        <v>May</v>
      </c>
      <c r="M1820" s="1" t="str">
        <f t="shared" si="3"/>
        <v>Profit</v>
      </c>
    </row>
    <row r="1821" ht="14.25" customHeight="1">
      <c r="A1821" s="1" t="s">
        <v>1855</v>
      </c>
      <c r="B1821" s="2">
        <v>45251.0</v>
      </c>
      <c r="C1821" s="1" t="s">
        <v>30</v>
      </c>
      <c r="D1821" s="1" t="s">
        <v>21</v>
      </c>
      <c r="E1821" s="1" t="s">
        <v>76</v>
      </c>
      <c r="F1821" s="1">
        <v>283.52</v>
      </c>
      <c r="G1821" s="1">
        <v>-71.49</v>
      </c>
      <c r="H1821" s="1">
        <v>2.0</v>
      </c>
      <c r="I1821" s="1" t="s">
        <v>17</v>
      </c>
      <c r="J1821" s="1" t="s">
        <v>35</v>
      </c>
      <c r="K1821" s="1">
        <f t="shared" si="1"/>
        <v>2023</v>
      </c>
      <c r="L1821" s="1" t="str">
        <f t="shared" si="2"/>
        <v>Nov</v>
      </c>
      <c r="M1821" s="1" t="str">
        <f t="shared" si="3"/>
        <v>Loss</v>
      </c>
    </row>
    <row r="1822" ht="14.25" customHeight="1">
      <c r="A1822" s="1" t="s">
        <v>1856</v>
      </c>
      <c r="B1822" s="2">
        <v>44940.0</v>
      </c>
      <c r="C1822" s="1" t="s">
        <v>20</v>
      </c>
      <c r="D1822" s="1" t="s">
        <v>27</v>
      </c>
      <c r="E1822" s="1" t="s">
        <v>33</v>
      </c>
      <c r="F1822" s="1">
        <v>785.51</v>
      </c>
      <c r="G1822" s="1">
        <v>85.99</v>
      </c>
      <c r="H1822" s="1">
        <v>9.0</v>
      </c>
      <c r="I1822" s="1" t="s">
        <v>17</v>
      </c>
      <c r="J1822" s="1" t="s">
        <v>24</v>
      </c>
      <c r="K1822" s="1">
        <f t="shared" si="1"/>
        <v>2023</v>
      </c>
      <c r="L1822" s="1" t="str">
        <f t="shared" si="2"/>
        <v>Jan</v>
      </c>
      <c r="M1822" s="1" t="str">
        <f t="shared" si="3"/>
        <v>Profit</v>
      </c>
    </row>
    <row r="1823" ht="14.25" customHeight="1">
      <c r="A1823" s="1" t="s">
        <v>1857</v>
      </c>
      <c r="B1823" s="2">
        <v>44262.0</v>
      </c>
      <c r="C1823" s="1" t="s">
        <v>14</v>
      </c>
      <c r="D1823" s="1" t="s">
        <v>15</v>
      </c>
      <c r="E1823" s="1" t="s">
        <v>16</v>
      </c>
      <c r="F1823" s="1">
        <v>974.94</v>
      </c>
      <c r="G1823" s="1">
        <v>-0.13</v>
      </c>
      <c r="H1823" s="1">
        <v>2.0</v>
      </c>
      <c r="I1823" s="1" t="s">
        <v>34</v>
      </c>
      <c r="J1823" s="1" t="s">
        <v>24</v>
      </c>
      <c r="K1823" s="1">
        <f t="shared" si="1"/>
        <v>2021</v>
      </c>
      <c r="L1823" s="1" t="str">
        <f t="shared" si="2"/>
        <v>Mar</v>
      </c>
      <c r="M1823" s="1" t="str">
        <f t="shared" si="3"/>
        <v>Loss</v>
      </c>
    </row>
    <row r="1824" ht="14.25" customHeight="1">
      <c r="A1824" s="1" t="s">
        <v>1858</v>
      </c>
      <c r="B1824" s="2">
        <v>44373.0</v>
      </c>
      <c r="C1824" s="1" t="s">
        <v>30</v>
      </c>
      <c r="D1824" s="1" t="s">
        <v>15</v>
      </c>
      <c r="E1824" s="1" t="s">
        <v>54</v>
      </c>
      <c r="F1824" s="1">
        <v>736.34</v>
      </c>
      <c r="G1824" s="1">
        <v>52.24</v>
      </c>
      <c r="H1824" s="1">
        <v>3.0</v>
      </c>
      <c r="I1824" s="1" t="s">
        <v>34</v>
      </c>
      <c r="J1824" s="1" t="s">
        <v>38</v>
      </c>
      <c r="K1824" s="1">
        <f t="shared" si="1"/>
        <v>2021</v>
      </c>
      <c r="L1824" s="1" t="str">
        <f t="shared" si="2"/>
        <v>Jun</v>
      </c>
      <c r="M1824" s="1" t="str">
        <f t="shared" si="3"/>
        <v>Profit</v>
      </c>
    </row>
    <row r="1825" ht="14.25" customHeight="1">
      <c r="A1825" s="1" t="s">
        <v>1859</v>
      </c>
      <c r="B1825" s="2">
        <v>45058.0</v>
      </c>
      <c r="C1825" s="1" t="s">
        <v>14</v>
      </c>
      <c r="D1825" s="1" t="s">
        <v>27</v>
      </c>
      <c r="E1825" s="1" t="s">
        <v>40</v>
      </c>
      <c r="F1825" s="1">
        <v>277.17</v>
      </c>
      <c r="G1825" s="1">
        <v>-193.31</v>
      </c>
      <c r="H1825" s="1">
        <v>7.0</v>
      </c>
      <c r="I1825" s="1" t="s">
        <v>34</v>
      </c>
      <c r="J1825" s="1" t="s">
        <v>35</v>
      </c>
      <c r="K1825" s="1">
        <f t="shared" si="1"/>
        <v>2023</v>
      </c>
      <c r="L1825" s="1" t="str">
        <f t="shared" si="2"/>
        <v>May</v>
      </c>
      <c r="M1825" s="1" t="str">
        <f t="shared" si="3"/>
        <v>Loss</v>
      </c>
    </row>
    <row r="1826" ht="14.25" customHeight="1">
      <c r="A1826" s="1" t="s">
        <v>1860</v>
      </c>
      <c r="B1826" s="2">
        <v>44255.0</v>
      </c>
      <c r="C1826" s="1" t="s">
        <v>14</v>
      </c>
      <c r="D1826" s="1" t="s">
        <v>21</v>
      </c>
      <c r="E1826" s="1" t="s">
        <v>76</v>
      </c>
      <c r="F1826" s="1">
        <v>172.16</v>
      </c>
      <c r="G1826" s="1">
        <v>99.76</v>
      </c>
      <c r="H1826" s="1">
        <v>9.0</v>
      </c>
      <c r="I1826" s="1" t="s">
        <v>23</v>
      </c>
      <c r="J1826" s="1" t="s">
        <v>38</v>
      </c>
      <c r="K1826" s="1">
        <f t="shared" si="1"/>
        <v>2021</v>
      </c>
      <c r="L1826" s="1" t="str">
        <f t="shared" si="2"/>
        <v>Feb</v>
      </c>
      <c r="M1826" s="1" t="str">
        <f t="shared" si="3"/>
        <v>Profit</v>
      </c>
    </row>
    <row r="1827" ht="14.25" customHeight="1">
      <c r="A1827" s="1" t="s">
        <v>1861</v>
      </c>
      <c r="B1827" s="2">
        <v>44895.0</v>
      </c>
      <c r="C1827" s="1" t="s">
        <v>20</v>
      </c>
      <c r="D1827" s="1" t="s">
        <v>15</v>
      </c>
      <c r="E1827" s="1" t="s">
        <v>31</v>
      </c>
      <c r="F1827" s="1">
        <v>596.98</v>
      </c>
      <c r="G1827" s="1">
        <v>112.56</v>
      </c>
      <c r="H1827" s="1">
        <v>1.0</v>
      </c>
      <c r="I1827" s="1" t="s">
        <v>17</v>
      </c>
      <c r="J1827" s="1" t="s">
        <v>24</v>
      </c>
      <c r="K1827" s="1">
        <f t="shared" si="1"/>
        <v>2022</v>
      </c>
      <c r="L1827" s="1" t="str">
        <f t="shared" si="2"/>
        <v>Nov</v>
      </c>
      <c r="M1827" s="1" t="str">
        <f t="shared" si="3"/>
        <v>Profit</v>
      </c>
    </row>
    <row r="1828" ht="14.25" customHeight="1">
      <c r="A1828" s="1" t="s">
        <v>1862</v>
      </c>
      <c r="B1828" s="2">
        <v>44572.0</v>
      </c>
      <c r="C1828" s="1" t="s">
        <v>30</v>
      </c>
      <c r="D1828" s="1" t="s">
        <v>21</v>
      </c>
      <c r="E1828" s="1" t="s">
        <v>22</v>
      </c>
      <c r="F1828" s="1">
        <v>312.11</v>
      </c>
      <c r="G1828" s="1">
        <v>-127.29</v>
      </c>
      <c r="H1828" s="1">
        <v>5.0</v>
      </c>
      <c r="I1828" s="1" t="s">
        <v>17</v>
      </c>
      <c r="J1828" s="1" t="s">
        <v>38</v>
      </c>
      <c r="K1828" s="1">
        <f t="shared" si="1"/>
        <v>2022</v>
      </c>
      <c r="L1828" s="1" t="str">
        <f t="shared" si="2"/>
        <v>Jan</v>
      </c>
      <c r="M1828" s="1" t="str">
        <f t="shared" si="3"/>
        <v>Loss</v>
      </c>
    </row>
    <row r="1829" ht="14.25" customHeight="1">
      <c r="A1829" s="1" t="s">
        <v>1863</v>
      </c>
      <c r="B1829" s="2">
        <v>44515.0</v>
      </c>
      <c r="C1829" s="1" t="s">
        <v>20</v>
      </c>
      <c r="D1829" s="1" t="s">
        <v>21</v>
      </c>
      <c r="E1829" s="1" t="s">
        <v>22</v>
      </c>
      <c r="F1829" s="1">
        <v>612.89</v>
      </c>
      <c r="G1829" s="1">
        <v>-110.14</v>
      </c>
      <c r="H1829" s="1">
        <v>3.0</v>
      </c>
      <c r="I1829" s="1" t="s">
        <v>34</v>
      </c>
      <c r="J1829" s="1" t="s">
        <v>35</v>
      </c>
      <c r="K1829" s="1">
        <f t="shared" si="1"/>
        <v>2021</v>
      </c>
      <c r="L1829" s="1" t="str">
        <f t="shared" si="2"/>
        <v>Nov</v>
      </c>
      <c r="M1829" s="1" t="str">
        <f t="shared" si="3"/>
        <v>Loss</v>
      </c>
    </row>
    <row r="1830" ht="14.25" customHeight="1">
      <c r="A1830" s="1" t="s">
        <v>1864</v>
      </c>
      <c r="B1830" s="2">
        <v>44788.0</v>
      </c>
      <c r="C1830" s="1" t="s">
        <v>30</v>
      </c>
      <c r="D1830" s="1" t="s">
        <v>27</v>
      </c>
      <c r="E1830" s="1" t="s">
        <v>28</v>
      </c>
      <c r="F1830" s="1">
        <v>792.5</v>
      </c>
      <c r="G1830" s="1">
        <v>169.22</v>
      </c>
      <c r="H1830" s="1">
        <v>6.0</v>
      </c>
      <c r="I1830" s="1" t="s">
        <v>23</v>
      </c>
      <c r="J1830" s="1" t="s">
        <v>24</v>
      </c>
      <c r="K1830" s="1">
        <f t="shared" si="1"/>
        <v>2022</v>
      </c>
      <c r="L1830" s="1" t="str">
        <f t="shared" si="2"/>
        <v>Aug</v>
      </c>
      <c r="M1830" s="1" t="str">
        <f t="shared" si="3"/>
        <v>Profit</v>
      </c>
    </row>
    <row r="1831" ht="14.25" customHeight="1">
      <c r="A1831" s="1" t="s">
        <v>1865</v>
      </c>
      <c r="B1831" s="2">
        <v>44989.0</v>
      </c>
      <c r="C1831" s="1" t="s">
        <v>30</v>
      </c>
      <c r="D1831" s="1" t="s">
        <v>27</v>
      </c>
      <c r="E1831" s="1" t="s">
        <v>40</v>
      </c>
      <c r="F1831" s="1">
        <v>826.74</v>
      </c>
      <c r="G1831" s="1">
        <v>102.18</v>
      </c>
      <c r="H1831" s="1">
        <v>10.0</v>
      </c>
      <c r="I1831" s="1" t="s">
        <v>17</v>
      </c>
      <c r="J1831" s="1" t="s">
        <v>18</v>
      </c>
      <c r="K1831" s="1">
        <f t="shared" si="1"/>
        <v>2023</v>
      </c>
      <c r="L1831" s="1" t="str">
        <f t="shared" si="2"/>
        <v>Mar</v>
      </c>
      <c r="M1831" s="1" t="str">
        <f t="shared" si="3"/>
        <v>Profit</v>
      </c>
    </row>
    <row r="1832" ht="14.25" customHeight="1">
      <c r="A1832" s="1" t="s">
        <v>1866</v>
      </c>
      <c r="B1832" s="2">
        <v>44340.0</v>
      </c>
      <c r="C1832" s="1" t="s">
        <v>20</v>
      </c>
      <c r="D1832" s="1" t="s">
        <v>27</v>
      </c>
      <c r="E1832" s="1" t="s">
        <v>33</v>
      </c>
      <c r="F1832" s="1">
        <v>626.03</v>
      </c>
      <c r="G1832" s="1">
        <v>-21.44</v>
      </c>
      <c r="H1832" s="1">
        <v>2.0</v>
      </c>
      <c r="I1832" s="1" t="s">
        <v>23</v>
      </c>
      <c r="J1832" s="1" t="s">
        <v>38</v>
      </c>
      <c r="K1832" s="1">
        <f t="shared" si="1"/>
        <v>2021</v>
      </c>
      <c r="L1832" s="1" t="str">
        <f t="shared" si="2"/>
        <v>May</v>
      </c>
      <c r="M1832" s="1" t="str">
        <f t="shared" si="3"/>
        <v>Loss</v>
      </c>
    </row>
    <row r="1833" ht="14.25" customHeight="1">
      <c r="A1833" s="1" t="s">
        <v>1867</v>
      </c>
      <c r="B1833" s="2">
        <v>44435.0</v>
      </c>
      <c r="C1833" s="1" t="s">
        <v>26</v>
      </c>
      <c r="D1833" s="1" t="s">
        <v>21</v>
      </c>
      <c r="E1833" s="1" t="s">
        <v>37</v>
      </c>
      <c r="F1833" s="1">
        <v>489.02</v>
      </c>
      <c r="G1833" s="1">
        <v>51.86</v>
      </c>
      <c r="H1833" s="1">
        <v>3.0</v>
      </c>
      <c r="I1833" s="1" t="s">
        <v>17</v>
      </c>
      <c r="J1833" s="1" t="s">
        <v>38</v>
      </c>
      <c r="K1833" s="1">
        <f t="shared" si="1"/>
        <v>2021</v>
      </c>
      <c r="L1833" s="1" t="str">
        <f t="shared" si="2"/>
        <v>Aug</v>
      </c>
      <c r="M1833" s="1" t="str">
        <f t="shared" si="3"/>
        <v>Profit</v>
      </c>
    </row>
    <row r="1834" ht="14.25" customHeight="1">
      <c r="A1834" s="1" t="s">
        <v>1868</v>
      </c>
      <c r="B1834" s="2">
        <v>44531.0</v>
      </c>
      <c r="C1834" s="1" t="s">
        <v>30</v>
      </c>
      <c r="D1834" s="1" t="s">
        <v>27</v>
      </c>
      <c r="E1834" s="1" t="s">
        <v>28</v>
      </c>
      <c r="F1834" s="1">
        <v>611.47</v>
      </c>
      <c r="G1834" s="1">
        <v>107.49</v>
      </c>
      <c r="H1834" s="1">
        <v>5.0</v>
      </c>
      <c r="I1834" s="1" t="s">
        <v>17</v>
      </c>
      <c r="J1834" s="1" t="s">
        <v>38</v>
      </c>
      <c r="K1834" s="1">
        <f t="shared" si="1"/>
        <v>2021</v>
      </c>
      <c r="L1834" s="1" t="str">
        <f t="shared" si="2"/>
        <v>Dec</v>
      </c>
      <c r="M1834" s="1" t="str">
        <f t="shared" si="3"/>
        <v>Profit</v>
      </c>
    </row>
    <row r="1835" ht="14.25" customHeight="1">
      <c r="A1835" s="1" t="s">
        <v>1869</v>
      </c>
      <c r="B1835" s="2">
        <v>45088.0</v>
      </c>
      <c r="C1835" s="1" t="s">
        <v>30</v>
      </c>
      <c r="D1835" s="1" t="s">
        <v>15</v>
      </c>
      <c r="E1835" s="1" t="s">
        <v>16</v>
      </c>
      <c r="F1835" s="1">
        <v>260.25</v>
      </c>
      <c r="G1835" s="1">
        <v>273.63</v>
      </c>
      <c r="H1835" s="1">
        <v>8.0</v>
      </c>
      <c r="I1835" s="1" t="s">
        <v>17</v>
      </c>
      <c r="J1835" s="1" t="s">
        <v>35</v>
      </c>
      <c r="K1835" s="1">
        <f t="shared" si="1"/>
        <v>2023</v>
      </c>
      <c r="L1835" s="1" t="str">
        <f t="shared" si="2"/>
        <v>Jun</v>
      </c>
      <c r="M1835" s="1" t="str">
        <f t="shared" si="3"/>
        <v>Profit</v>
      </c>
    </row>
    <row r="1836" ht="14.25" customHeight="1">
      <c r="A1836" s="1" t="s">
        <v>1870</v>
      </c>
      <c r="B1836" s="2">
        <v>44372.0</v>
      </c>
      <c r="C1836" s="1" t="s">
        <v>30</v>
      </c>
      <c r="D1836" s="1" t="s">
        <v>21</v>
      </c>
      <c r="E1836" s="1" t="s">
        <v>76</v>
      </c>
      <c r="F1836" s="1">
        <v>527.02</v>
      </c>
      <c r="G1836" s="1">
        <v>213.95</v>
      </c>
      <c r="H1836" s="1">
        <v>8.0</v>
      </c>
      <c r="I1836" s="1" t="s">
        <v>23</v>
      </c>
      <c r="J1836" s="1" t="s">
        <v>38</v>
      </c>
      <c r="K1836" s="1">
        <f t="shared" si="1"/>
        <v>2021</v>
      </c>
      <c r="L1836" s="1" t="str">
        <f t="shared" si="2"/>
        <v>Jun</v>
      </c>
      <c r="M1836" s="1" t="str">
        <f t="shared" si="3"/>
        <v>Profit</v>
      </c>
    </row>
    <row r="1837" ht="14.25" customHeight="1">
      <c r="A1837" s="1" t="s">
        <v>1871</v>
      </c>
      <c r="B1837" s="2">
        <v>44264.0</v>
      </c>
      <c r="C1837" s="1" t="s">
        <v>30</v>
      </c>
      <c r="D1837" s="1" t="s">
        <v>15</v>
      </c>
      <c r="E1837" s="1" t="s">
        <v>54</v>
      </c>
      <c r="F1837" s="1">
        <v>526.23</v>
      </c>
      <c r="G1837" s="1">
        <v>-60.63</v>
      </c>
      <c r="H1837" s="1">
        <v>10.0</v>
      </c>
      <c r="I1837" s="1" t="s">
        <v>23</v>
      </c>
      <c r="J1837" s="1" t="s">
        <v>24</v>
      </c>
      <c r="K1837" s="1">
        <f t="shared" si="1"/>
        <v>2021</v>
      </c>
      <c r="L1837" s="1" t="str">
        <f t="shared" si="2"/>
        <v>Mar</v>
      </c>
      <c r="M1837" s="1" t="str">
        <f t="shared" si="3"/>
        <v>Loss</v>
      </c>
    </row>
    <row r="1838" ht="14.25" customHeight="1">
      <c r="A1838" s="1" t="s">
        <v>1872</v>
      </c>
      <c r="B1838" s="2">
        <v>44401.0</v>
      </c>
      <c r="C1838" s="1" t="s">
        <v>14</v>
      </c>
      <c r="D1838" s="1" t="s">
        <v>27</v>
      </c>
      <c r="E1838" s="1" t="s">
        <v>40</v>
      </c>
      <c r="F1838" s="1">
        <v>526.14</v>
      </c>
      <c r="G1838" s="1">
        <v>243.49</v>
      </c>
      <c r="H1838" s="1">
        <v>2.0</v>
      </c>
      <c r="I1838" s="1" t="s">
        <v>34</v>
      </c>
      <c r="J1838" s="1" t="s">
        <v>35</v>
      </c>
      <c r="K1838" s="1">
        <f t="shared" si="1"/>
        <v>2021</v>
      </c>
      <c r="L1838" s="1" t="str">
        <f t="shared" si="2"/>
        <v>Jul</v>
      </c>
      <c r="M1838" s="1" t="str">
        <f t="shared" si="3"/>
        <v>Profit</v>
      </c>
    </row>
    <row r="1839" ht="14.25" customHeight="1">
      <c r="A1839" s="1" t="s">
        <v>1873</v>
      </c>
      <c r="B1839" s="2">
        <v>44590.0</v>
      </c>
      <c r="C1839" s="1" t="s">
        <v>26</v>
      </c>
      <c r="D1839" s="1" t="s">
        <v>15</v>
      </c>
      <c r="E1839" s="1" t="s">
        <v>31</v>
      </c>
      <c r="F1839" s="1">
        <v>535.01</v>
      </c>
      <c r="G1839" s="1">
        <v>243.72</v>
      </c>
      <c r="H1839" s="1">
        <v>10.0</v>
      </c>
      <c r="I1839" s="1" t="s">
        <v>34</v>
      </c>
      <c r="J1839" s="1" t="s">
        <v>35</v>
      </c>
      <c r="K1839" s="1">
        <f t="shared" si="1"/>
        <v>2022</v>
      </c>
      <c r="L1839" s="1" t="str">
        <f t="shared" si="2"/>
        <v>Jan</v>
      </c>
      <c r="M1839" s="1" t="str">
        <f t="shared" si="3"/>
        <v>Profit</v>
      </c>
    </row>
    <row r="1840" ht="14.25" customHeight="1">
      <c r="A1840" s="1" t="s">
        <v>1874</v>
      </c>
      <c r="B1840" s="2">
        <v>44946.0</v>
      </c>
      <c r="C1840" s="1" t="s">
        <v>26</v>
      </c>
      <c r="D1840" s="1" t="s">
        <v>21</v>
      </c>
      <c r="E1840" s="1" t="s">
        <v>22</v>
      </c>
      <c r="F1840" s="1">
        <v>379.73</v>
      </c>
      <c r="G1840" s="1">
        <v>177.32</v>
      </c>
      <c r="H1840" s="1">
        <v>7.0</v>
      </c>
      <c r="I1840" s="1" t="s">
        <v>34</v>
      </c>
      <c r="J1840" s="1" t="s">
        <v>24</v>
      </c>
      <c r="K1840" s="1">
        <f t="shared" si="1"/>
        <v>2023</v>
      </c>
      <c r="L1840" s="1" t="str">
        <f t="shared" si="2"/>
        <v>Jan</v>
      </c>
      <c r="M1840" s="1" t="str">
        <f t="shared" si="3"/>
        <v>Profit</v>
      </c>
    </row>
    <row r="1841" ht="14.25" customHeight="1">
      <c r="A1841" s="1" t="s">
        <v>1875</v>
      </c>
      <c r="B1841" s="2">
        <v>45045.0</v>
      </c>
      <c r="C1841" s="1" t="s">
        <v>20</v>
      </c>
      <c r="D1841" s="1" t="s">
        <v>21</v>
      </c>
      <c r="E1841" s="1" t="s">
        <v>76</v>
      </c>
      <c r="F1841" s="1">
        <v>493.13</v>
      </c>
      <c r="G1841" s="1">
        <v>-122.05</v>
      </c>
      <c r="H1841" s="1">
        <v>2.0</v>
      </c>
      <c r="I1841" s="1" t="s">
        <v>34</v>
      </c>
      <c r="J1841" s="1" t="s">
        <v>24</v>
      </c>
      <c r="K1841" s="1">
        <f t="shared" si="1"/>
        <v>2023</v>
      </c>
      <c r="L1841" s="1" t="str">
        <f t="shared" si="2"/>
        <v>Apr</v>
      </c>
      <c r="M1841" s="1" t="str">
        <f t="shared" si="3"/>
        <v>Loss</v>
      </c>
    </row>
    <row r="1842" ht="14.25" customHeight="1">
      <c r="A1842" s="1" t="s">
        <v>1876</v>
      </c>
      <c r="B1842" s="2">
        <v>44658.0</v>
      </c>
      <c r="C1842" s="1" t="s">
        <v>26</v>
      </c>
      <c r="D1842" s="1" t="s">
        <v>21</v>
      </c>
      <c r="E1842" s="1" t="s">
        <v>22</v>
      </c>
      <c r="F1842" s="1">
        <v>444.66</v>
      </c>
      <c r="G1842" s="1">
        <v>-77.24</v>
      </c>
      <c r="H1842" s="1">
        <v>8.0</v>
      </c>
      <c r="I1842" s="1" t="s">
        <v>17</v>
      </c>
      <c r="J1842" s="1" t="s">
        <v>18</v>
      </c>
      <c r="K1842" s="1">
        <f t="shared" si="1"/>
        <v>2022</v>
      </c>
      <c r="L1842" s="1" t="str">
        <f t="shared" si="2"/>
        <v>Apr</v>
      </c>
      <c r="M1842" s="1" t="str">
        <f t="shared" si="3"/>
        <v>Loss</v>
      </c>
    </row>
    <row r="1843" ht="14.25" customHeight="1">
      <c r="A1843" s="1" t="s">
        <v>1877</v>
      </c>
      <c r="B1843" s="2">
        <v>44314.0</v>
      </c>
      <c r="C1843" s="1" t="s">
        <v>14</v>
      </c>
      <c r="D1843" s="1" t="s">
        <v>27</v>
      </c>
      <c r="E1843" s="1" t="s">
        <v>40</v>
      </c>
      <c r="F1843" s="1">
        <v>284.88</v>
      </c>
      <c r="G1843" s="1">
        <v>136.39</v>
      </c>
      <c r="H1843" s="1">
        <v>3.0</v>
      </c>
      <c r="I1843" s="1" t="s">
        <v>23</v>
      </c>
      <c r="J1843" s="1" t="s">
        <v>18</v>
      </c>
      <c r="K1843" s="1">
        <f t="shared" si="1"/>
        <v>2021</v>
      </c>
      <c r="L1843" s="1" t="str">
        <f t="shared" si="2"/>
        <v>Apr</v>
      </c>
      <c r="M1843" s="1" t="str">
        <f t="shared" si="3"/>
        <v>Profit</v>
      </c>
    </row>
    <row r="1844" ht="14.25" customHeight="1">
      <c r="A1844" s="1" t="s">
        <v>1878</v>
      </c>
      <c r="B1844" s="2">
        <v>44239.0</v>
      </c>
      <c r="C1844" s="1" t="s">
        <v>30</v>
      </c>
      <c r="D1844" s="1" t="s">
        <v>15</v>
      </c>
      <c r="E1844" s="1" t="s">
        <v>54</v>
      </c>
      <c r="F1844" s="1">
        <v>495.83</v>
      </c>
      <c r="G1844" s="1">
        <v>130.93</v>
      </c>
      <c r="H1844" s="1">
        <v>8.0</v>
      </c>
      <c r="I1844" s="1" t="s">
        <v>34</v>
      </c>
      <c r="J1844" s="1" t="s">
        <v>35</v>
      </c>
      <c r="K1844" s="1">
        <f t="shared" si="1"/>
        <v>2021</v>
      </c>
      <c r="L1844" s="1" t="str">
        <f t="shared" si="2"/>
        <v>Feb</v>
      </c>
      <c r="M1844" s="1" t="str">
        <f t="shared" si="3"/>
        <v>Profit</v>
      </c>
    </row>
    <row r="1845" ht="14.25" customHeight="1">
      <c r="A1845" s="1" t="s">
        <v>1879</v>
      </c>
      <c r="B1845" s="2">
        <v>45145.0</v>
      </c>
      <c r="C1845" s="1" t="s">
        <v>14</v>
      </c>
      <c r="D1845" s="1" t="s">
        <v>21</v>
      </c>
      <c r="E1845" s="1" t="s">
        <v>22</v>
      </c>
      <c r="F1845" s="1">
        <v>640.68</v>
      </c>
      <c r="G1845" s="1">
        <v>292.07</v>
      </c>
      <c r="H1845" s="1">
        <v>8.0</v>
      </c>
      <c r="I1845" s="1" t="s">
        <v>17</v>
      </c>
      <c r="J1845" s="1" t="s">
        <v>35</v>
      </c>
      <c r="K1845" s="1">
        <f t="shared" si="1"/>
        <v>2023</v>
      </c>
      <c r="L1845" s="1" t="str">
        <f t="shared" si="2"/>
        <v>Aug</v>
      </c>
      <c r="M1845" s="1" t="str">
        <f t="shared" si="3"/>
        <v>Profit</v>
      </c>
    </row>
    <row r="1846" ht="14.25" customHeight="1">
      <c r="A1846" s="1" t="s">
        <v>1880</v>
      </c>
      <c r="B1846" s="2">
        <v>45179.0</v>
      </c>
      <c r="C1846" s="1" t="s">
        <v>20</v>
      </c>
      <c r="D1846" s="1" t="s">
        <v>15</v>
      </c>
      <c r="E1846" s="1" t="s">
        <v>54</v>
      </c>
      <c r="F1846" s="1">
        <v>917.84</v>
      </c>
      <c r="G1846" s="1">
        <v>51.51</v>
      </c>
      <c r="H1846" s="1">
        <v>6.0</v>
      </c>
      <c r="I1846" s="1" t="s">
        <v>23</v>
      </c>
      <c r="J1846" s="1" t="s">
        <v>24</v>
      </c>
      <c r="K1846" s="1">
        <f t="shared" si="1"/>
        <v>2023</v>
      </c>
      <c r="L1846" s="1" t="str">
        <f t="shared" si="2"/>
        <v>Sep</v>
      </c>
      <c r="M1846" s="1" t="str">
        <f t="shared" si="3"/>
        <v>Profit</v>
      </c>
    </row>
    <row r="1847" ht="14.25" customHeight="1">
      <c r="A1847" s="1" t="s">
        <v>1881</v>
      </c>
      <c r="B1847" s="2">
        <v>44571.0</v>
      </c>
      <c r="C1847" s="1" t="s">
        <v>20</v>
      </c>
      <c r="D1847" s="1" t="s">
        <v>27</v>
      </c>
      <c r="E1847" s="1" t="s">
        <v>28</v>
      </c>
      <c r="F1847" s="1">
        <v>506.72</v>
      </c>
      <c r="G1847" s="1">
        <v>40.47</v>
      </c>
      <c r="H1847" s="1">
        <v>10.0</v>
      </c>
      <c r="I1847" s="1" t="s">
        <v>17</v>
      </c>
      <c r="J1847" s="1" t="s">
        <v>38</v>
      </c>
      <c r="K1847" s="1">
        <f t="shared" si="1"/>
        <v>2022</v>
      </c>
      <c r="L1847" s="1" t="str">
        <f t="shared" si="2"/>
        <v>Jan</v>
      </c>
      <c r="M1847" s="1" t="str">
        <f t="shared" si="3"/>
        <v>Profit</v>
      </c>
    </row>
    <row r="1848" ht="14.25" customHeight="1">
      <c r="A1848" s="1" t="s">
        <v>1882</v>
      </c>
      <c r="B1848" s="2">
        <v>44564.0</v>
      </c>
      <c r="C1848" s="1" t="s">
        <v>26</v>
      </c>
      <c r="D1848" s="1" t="s">
        <v>15</v>
      </c>
      <c r="E1848" s="1" t="s">
        <v>16</v>
      </c>
      <c r="F1848" s="1">
        <v>402.78</v>
      </c>
      <c r="G1848" s="1">
        <v>86.96</v>
      </c>
      <c r="H1848" s="1">
        <v>6.0</v>
      </c>
      <c r="I1848" s="1" t="s">
        <v>17</v>
      </c>
      <c r="J1848" s="1" t="s">
        <v>38</v>
      </c>
      <c r="K1848" s="1">
        <f t="shared" si="1"/>
        <v>2022</v>
      </c>
      <c r="L1848" s="1" t="str">
        <f t="shared" si="2"/>
        <v>Jan</v>
      </c>
      <c r="M1848" s="1" t="str">
        <f t="shared" si="3"/>
        <v>Profit</v>
      </c>
    </row>
    <row r="1849" ht="14.25" customHeight="1">
      <c r="A1849" s="1" t="s">
        <v>1883</v>
      </c>
      <c r="B1849" s="2">
        <v>44501.0</v>
      </c>
      <c r="C1849" s="1" t="s">
        <v>20</v>
      </c>
      <c r="D1849" s="1" t="s">
        <v>27</v>
      </c>
      <c r="E1849" s="1" t="s">
        <v>28</v>
      </c>
      <c r="F1849" s="1">
        <v>426.96</v>
      </c>
      <c r="G1849" s="1">
        <v>-62.72</v>
      </c>
      <c r="H1849" s="1">
        <v>1.0</v>
      </c>
      <c r="I1849" s="1" t="s">
        <v>34</v>
      </c>
      <c r="J1849" s="1" t="s">
        <v>24</v>
      </c>
      <c r="K1849" s="1">
        <f t="shared" si="1"/>
        <v>2021</v>
      </c>
      <c r="L1849" s="1" t="str">
        <f t="shared" si="2"/>
        <v>Nov</v>
      </c>
      <c r="M1849" s="1" t="str">
        <f t="shared" si="3"/>
        <v>Loss</v>
      </c>
    </row>
    <row r="1850" ht="14.25" customHeight="1">
      <c r="A1850" s="1" t="s">
        <v>1884</v>
      </c>
      <c r="B1850" s="2">
        <v>45003.0</v>
      </c>
      <c r="C1850" s="1" t="s">
        <v>14</v>
      </c>
      <c r="D1850" s="1" t="s">
        <v>15</v>
      </c>
      <c r="E1850" s="1" t="s">
        <v>31</v>
      </c>
      <c r="F1850" s="1">
        <v>859.76</v>
      </c>
      <c r="G1850" s="1">
        <v>54.7</v>
      </c>
      <c r="H1850" s="1">
        <v>3.0</v>
      </c>
      <c r="I1850" s="1" t="s">
        <v>17</v>
      </c>
      <c r="J1850" s="1" t="s">
        <v>35</v>
      </c>
      <c r="K1850" s="1">
        <f t="shared" si="1"/>
        <v>2023</v>
      </c>
      <c r="L1850" s="1" t="str">
        <f t="shared" si="2"/>
        <v>Mar</v>
      </c>
      <c r="M1850" s="1" t="str">
        <f t="shared" si="3"/>
        <v>Profit</v>
      </c>
    </row>
    <row r="1851" ht="14.25" customHeight="1">
      <c r="A1851" s="1" t="s">
        <v>1885</v>
      </c>
      <c r="B1851" s="2">
        <v>44774.0</v>
      </c>
      <c r="C1851" s="1" t="s">
        <v>14</v>
      </c>
      <c r="D1851" s="1" t="s">
        <v>27</v>
      </c>
      <c r="E1851" s="1" t="s">
        <v>40</v>
      </c>
      <c r="F1851" s="1">
        <v>383.28</v>
      </c>
      <c r="G1851" s="1">
        <v>187.19</v>
      </c>
      <c r="H1851" s="1">
        <v>5.0</v>
      </c>
      <c r="I1851" s="1" t="s">
        <v>34</v>
      </c>
      <c r="J1851" s="1" t="s">
        <v>35</v>
      </c>
      <c r="K1851" s="1">
        <f t="shared" si="1"/>
        <v>2022</v>
      </c>
      <c r="L1851" s="1" t="str">
        <f t="shared" si="2"/>
        <v>Aug</v>
      </c>
      <c r="M1851" s="1" t="str">
        <f t="shared" si="3"/>
        <v>Profit</v>
      </c>
    </row>
    <row r="1852" ht="14.25" customHeight="1">
      <c r="A1852" s="1" t="s">
        <v>1886</v>
      </c>
      <c r="B1852" s="2">
        <v>45213.0</v>
      </c>
      <c r="C1852" s="1" t="s">
        <v>26</v>
      </c>
      <c r="D1852" s="1" t="s">
        <v>27</v>
      </c>
      <c r="E1852" s="1" t="s">
        <v>40</v>
      </c>
      <c r="F1852" s="1">
        <v>385.91</v>
      </c>
      <c r="G1852" s="1">
        <v>-123.12</v>
      </c>
      <c r="H1852" s="1">
        <v>2.0</v>
      </c>
      <c r="I1852" s="1" t="s">
        <v>34</v>
      </c>
      <c r="J1852" s="1" t="s">
        <v>18</v>
      </c>
      <c r="K1852" s="1">
        <f t="shared" si="1"/>
        <v>2023</v>
      </c>
      <c r="L1852" s="1" t="str">
        <f t="shared" si="2"/>
        <v>Oct</v>
      </c>
      <c r="M1852" s="1" t="str">
        <f t="shared" si="3"/>
        <v>Loss</v>
      </c>
    </row>
    <row r="1853" ht="14.25" customHeight="1">
      <c r="A1853" s="1" t="s">
        <v>1887</v>
      </c>
      <c r="B1853" s="2">
        <v>44681.0</v>
      </c>
      <c r="C1853" s="1" t="s">
        <v>30</v>
      </c>
      <c r="D1853" s="1" t="s">
        <v>27</v>
      </c>
      <c r="E1853" s="1" t="s">
        <v>28</v>
      </c>
      <c r="F1853" s="1">
        <v>187.64</v>
      </c>
      <c r="G1853" s="1">
        <v>-71.5</v>
      </c>
      <c r="H1853" s="1">
        <v>10.0</v>
      </c>
      <c r="I1853" s="1" t="s">
        <v>17</v>
      </c>
      <c r="J1853" s="1" t="s">
        <v>18</v>
      </c>
      <c r="K1853" s="1">
        <f t="shared" si="1"/>
        <v>2022</v>
      </c>
      <c r="L1853" s="1" t="str">
        <f t="shared" si="2"/>
        <v>Apr</v>
      </c>
      <c r="M1853" s="1" t="str">
        <f t="shared" si="3"/>
        <v>Loss</v>
      </c>
    </row>
    <row r="1854" ht="14.25" customHeight="1">
      <c r="A1854" s="1" t="s">
        <v>1888</v>
      </c>
      <c r="B1854" s="2">
        <v>45134.0</v>
      </c>
      <c r="C1854" s="1" t="s">
        <v>26</v>
      </c>
      <c r="D1854" s="1" t="s">
        <v>21</v>
      </c>
      <c r="E1854" s="1" t="s">
        <v>22</v>
      </c>
      <c r="F1854" s="1">
        <v>392.38</v>
      </c>
      <c r="G1854" s="1">
        <v>-136.55</v>
      </c>
      <c r="H1854" s="1">
        <v>8.0</v>
      </c>
      <c r="I1854" s="1" t="s">
        <v>17</v>
      </c>
      <c r="J1854" s="1" t="s">
        <v>24</v>
      </c>
      <c r="K1854" s="1">
        <f t="shared" si="1"/>
        <v>2023</v>
      </c>
      <c r="L1854" s="1" t="str">
        <f t="shared" si="2"/>
        <v>Jul</v>
      </c>
      <c r="M1854" s="1" t="str">
        <f t="shared" si="3"/>
        <v>Loss</v>
      </c>
    </row>
    <row r="1855" ht="14.25" customHeight="1">
      <c r="A1855" s="1" t="s">
        <v>1889</v>
      </c>
      <c r="B1855" s="2">
        <v>44206.0</v>
      </c>
      <c r="C1855" s="1" t="s">
        <v>14</v>
      </c>
      <c r="D1855" s="1" t="s">
        <v>15</v>
      </c>
      <c r="E1855" s="1" t="s">
        <v>16</v>
      </c>
      <c r="F1855" s="1">
        <v>480.38</v>
      </c>
      <c r="G1855" s="1">
        <v>-74.81</v>
      </c>
      <c r="H1855" s="1">
        <v>4.0</v>
      </c>
      <c r="I1855" s="1" t="s">
        <v>34</v>
      </c>
      <c r="J1855" s="1" t="s">
        <v>35</v>
      </c>
      <c r="K1855" s="1">
        <f t="shared" si="1"/>
        <v>2021</v>
      </c>
      <c r="L1855" s="1" t="str">
        <f t="shared" si="2"/>
        <v>Jan</v>
      </c>
      <c r="M1855" s="1" t="str">
        <f t="shared" si="3"/>
        <v>Loss</v>
      </c>
    </row>
    <row r="1856" ht="14.25" customHeight="1">
      <c r="A1856" s="1" t="s">
        <v>1890</v>
      </c>
      <c r="B1856" s="2">
        <v>44548.0</v>
      </c>
      <c r="C1856" s="1" t="s">
        <v>30</v>
      </c>
      <c r="D1856" s="1" t="s">
        <v>21</v>
      </c>
      <c r="E1856" s="1" t="s">
        <v>22</v>
      </c>
      <c r="F1856" s="1">
        <v>442.77</v>
      </c>
      <c r="G1856" s="1">
        <v>-187.51</v>
      </c>
      <c r="H1856" s="1">
        <v>4.0</v>
      </c>
      <c r="I1856" s="1" t="s">
        <v>23</v>
      </c>
      <c r="J1856" s="1" t="s">
        <v>18</v>
      </c>
      <c r="K1856" s="1">
        <f t="shared" si="1"/>
        <v>2021</v>
      </c>
      <c r="L1856" s="1" t="str">
        <f t="shared" si="2"/>
        <v>Dec</v>
      </c>
      <c r="M1856" s="1" t="str">
        <f t="shared" si="3"/>
        <v>Loss</v>
      </c>
    </row>
    <row r="1857" ht="14.25" customHeight="1">
      <c r="A1857" s="1" t="s">
        <v>1891</v>
      </c>
      <c r="B1857" s="2">
        <v>44385.0</v>
      </c>
      <c r="C1857" s="1" t="s">
        <v>14</v>
      </c>
      <c r="D1857" s="1" t="s">
        <v>21</v>
      </c>
      <c r="E1857" s="1" t="s">
        <v>76</v>
      </c>
      <c r="F1857" s="1">
        <v>471.91</v>
      </c>
      <c r="G1857" s="1">
        <v>94.57</v>
      </c>
      <c r="H1857" s="1">
        <v>8.0</v>
      </c>
      <c r="I1857" s="1" t="s">
        <v>34</v>
      </c>
      <c r="J1857" s="1" t="s">
        <v>18</v>
      </c>
      <c r="K1857" s="1">
        <f t="shared" si="1"/>
        <v>2021</v>
      </c>
      <c r="L1857" s="1" t="str">
        <f t="shared" si="2"/>
        <v>Jul</v>
      </c>
      <c r="M1857" s="1" t="str">
        <f t="shared" si="3"/>
        <v>Profit</v>
      </c>
    </row>
    <row r="1858" ht="14.25" customHeight="1">
      <c r="A1858" s="1" t="s">
        <v>1892</v>
      </c>
      <c r="B1858" s="2">
        <v>44785.0</v>
      </c>
      <c r="C1858" s="1" t="s">
        <v>14</v>
      </c>
      <c r="D1858" s="1" t="s">
        <v>21</v>
      </c>
      <c r="E1858" s="1" t="s">
        <v>22</v>
      </c>
      <c r="F1858" s="1">
        <v>175.52</v>
      </c>
      <c r="G1858" s="1">
        <v>127.71</v>
      </c>
      <c r="H1858" s="1">
        <v>3.0</v>
      </c>
      <c r="I1858" s="1" t="s">
        <v>17</v>
      </c>
      <c r="J1858" s="1" t="s">
        <v>35</v>
      </c>
      <c r="K1858" s="1">
        <f t="shared" si="1"/>
        <v>2022</v>
      </c>
      <c r="L1858" s="1" t="str">
        <f t="shared" si="2"/>
        <v>Aug</v>
      </c>
      <c r="M1858" s="1" t="str">
        <f t="shared" si="3"/>
        <v>Profit</v>
      </c>
    </row>
    <row r="1859" ht="14.25" customHeight="1">
      <c r="A1859" s="1" t="s">
        <v>1893</v>
      </c>
      <c r="B1859" s="2">
        <v>45204.0</v>
      </c>
      <c r="C1859" s="1" t="s">
        <v>14</v>
      </c>
      <c r="D1859" s="1" t="s">
        <v>27</v>
      </c>
      <c r="E1859" s="1" t="s">
        <v>28</v>
      </c>
      <c r="F1859" s="1">
        <v>35.59</v>
      </c>
      <c r="G1859" s="1">
        <v>31.02</v>
      </c>
      <c r="H1859" s="1">
        <v>5.0</v>
      </c>
      <c r="I1859" s="1" t="s">
        <v>34</v>
      </c>
      <c r="J1859" s="1" t="s">
        <v>35</v>
      </c>
      <c r="K1859" s="1">
        <f t="shared" si="1"/>
        <v>2023</v>
      </c>
      <c r="L1859" s="1" t="str">
        <f t="shared" si="2"/>
        <v>Oct</v>
      </c>
      <c r="M1859" s="1" t="str">
        <f t="shared" si="3"/>
        <v>Profit</v>
      </c>
    </row>
    <row r="1860" ht="14.25" customHeight="1">
      <c r="A1860" s="1" t="s">
        <v>1894</v>
      </c>
      <c r="B1860" s="2">
        <v>45258.0</v>
      </c>
      <c r="C1860" s="1" t="s">
        <v>30</v>
      </c>
      <c r="D1860" s="1" t="s">
        <v>27</v>
      </c>
      <c r="E1860" s="1" t="s">
        <v>33</v>
      </c>
      <c r="F1860" s="1">
        <v>387.04</v>
      </c>
      <c r="G1860" s="1">
        <v>169.15</v>
      </c>
      <c r="H1860" s="1">
        <v>1.0</v>
      </c>
      <c r="I1860" s="1" t="s">
        <v>34</v>
      </c>
      <c r="J1860" s="1" t="s">
        <v>38</v>
      </c>
      <c r="K1860" s="1">
        <f t="shared" si="1"/>
        <v>2023</v>
      </c>
      <c r="L1860" s="1" t="str">
        <f t="shared" si="2"/>
        <v>Nov</v>
      </c>
      <c r="M1860" s="1" t="str">
        <f t="shared" si="3"/>
        <v>Profit</v>
      </c>
    </row>
    <row r="1861" ht="14.25" customHeight="1">
      <c r="A1861" s="1" t="s">
        <v>1895</v>
      </c>
      <c r="B1861" s="2">
        <v>44625.0</v>
      </c>
      <c r="C1861" s="1" t="s">
        <v>26</v>
      </c>
      <c r="D1861" s="1" t="s">
        <v>27</v>
      </c>
      <c r="E1861" s="1" t="s">
        <v>40</v>
      </c>
      <c r="F1861" s="1">
        <v>233.73</v>
      </c>
      <c r="G1861" s="1">
        <v>-101.34</v>
      </c>
      <c r="H1861" s="1">
        <v>4.0</v>
      </c>
      <c r="I1861" s="1" t="s">
        <v>17</v>
      </c>
      <c r="J1861" s="1" t="s">
        <v>38</v>
      </c>
      <c r="K1861" s="1">
        <f t="shared" si="1"/>
        <v>2022</v>
      </c>
      <c r="L1861" s="1" t="str">
        <f t="shared" si="2"/>
        <v>Mar</v>
      </c>
      <c r="M1861" s="1" t="str">
        <f t="shared" si="3"/>
        <v>Loss</v>
      </c>
    </row>
    <row r="1862" ht="14.25" customHeight="1">
      <c r="A1862" s="1" t="s">
        <v>1896</v>
      </c>
      <c r="B1862" s="2">
        <v>44545.0</v>
      </c>
      <c r="C1862" s="1" t="s">
        <v>26</v>
      </c>
      <c r="D1862" s="1" t="s">
        <v>15</v>
      </c>
      <c r="E1862" s="1" t="s">
        <v>16</v>
      </c>
      <c r="F1862" s="1">
        <v>115.79</v>
      </c>
      <c r="G1862" s="1">
        <v>-161.64</v>
      </c>
      <c r="H1862" s="1">
        <v>2.0</v>
      </c>
      <c r="I1862" s="1" t="s">
        <v>34</v>
      </c>
      <c r="J1862" s="1" t="s">
        <v>24</v>
      </c>
      <c r="K1862" s="1">
        <f t="shared" si="1"/>
        <v>2021</v>
      </c>
      <c r="L1862" s="1" t="str">
        <f t="shared" si="2"/>
        <v>Dec</v>
      </c>
      <c r="M1862" s="1" t="str">
        <f t="shared" si="3"/>
        <v>Loss</v>
      </c>
    </row>
    <row r="1863" ht="14.25" customHeight="1">
      <c r="A1863" s="1" t="s">
        <v>1897</v>
      </c>
      <c r="B1863" s="2">
        <v>45166.0</v>
      </c>
      <c r="C1863" s="1" t="s">
        <v>14</v>
      </c>
      <c r="D1863" s="1" t="s">
        <v>27</v>
      </c>
      <c r="E1863" s="1" t="s">
        <v>40</v>
      </c>
      <c r="F1863" s="1">
        <v>422.44</v>
      </c>
      <c r="G1863" s="1">
        <v>137.82</v>
      </c>
      <c r="H1863" s="1">
        <v>2.0</v>
      </c>
      <c r="I1863" s="1" t="s">
        <v>23</v>
      </c>
      <c r="J1863" s="1" t="s">
        <v>18</v>
      </c>
      <c r="K1863" s="1">
        <f t="shared" si="1"/>
        <v>2023</v>
      </c>
      <c r="L1863" s="1" t="str">
        <f t="shared" si="2"/>
        <v>Aug</v>
      </c>
      <c r="M1863" s="1" t="str">
        <f t="shared" si="3"/>
        <v>Profit</v>
      </c>
    </row>
    <row r="1864" ht="14.25" customHeight="1">
      <c r="A1864" s="1" t="s">
        <v>1898</v>
      </c>
      <c r="B1864" s="2">
        <v>44540.0</v>
      </c>
      <c r="C1864" s="1" t="s">
        <v>20</v>
      </c>
      <c r="D1864" s="1" t="s">
        <v>21</v>
      </c>
      <c r="E1864" s="1" t="s">
        <v>37</v>
      </c>
      <c r="F1864" s="1">
        <v>199.69</v>
      </c>
      <c r="G1864" s="1">
        <v>239.45</v>
      </c>
      <c r="H1864" s="1">
        <v>2.0</v>
      </c>
      <c r="I1864" s="1" t="s">
        <v>34</v>
      </c>
      <c r="J1864" s="1" t="s">
        <v>35</v>
      </c>
      <c r="K1864" s="1">
        <f t="shared" si="1"/>
        <v>2021</v>
      </c>
      <c r="L1864" s="1" t="str">
        <f t="shared" si="2"/>
        <v>Dec</v>
      </c>
      <c r="M1864" s="1" t="str">
        <f t="shared" si="3"/>
        <v>Profit</v>
      </c>
    </row>
    <row r="1865" ht="14.25" customHeight="1">
      <c r="A1865" s="1" t="s">
        <v>1899</v>
      </c>
      <c r="B1865" s="2">
        <v>44406.0</v>
      </c>
      <c r="C1865" s="1" t="s">
        <v>14</v>
      </c>
      <c r="D1865" s="1" t="s">
        <v>21</v>
      </c>
      <c r="E1865" s="1" t="s">
        <v>22</v>
      </c>
      <c r="F1865" s="1">
        <v>575.97</v>
      </c>
      <c r="G1865" s="1">
        <v>22.61</v>
      </c>
      <c r="H1865" s="1">
        <v>8.0</v>
      </c>
      <c r="I1865" s="1" t="s">
        <v>17</v>
      </c>
      <c r="J1865" s="1" t="s">
        <v>18</v>
      </c>
      <c r="K1865" s="1">
        <f t="shared" si="1"/>
        <v>2021</v>
      </c>
      <c r="L1865" s="1" t="str">
        <f t="shared" si="2"/>
        <v>Jul</v>
      </c>
      <c r="M1865" s="1" t="str">
        <f t="shared" si="3"/>
        <v>Profit</v>
      </c>
    </row>
    <row r="1866" ht="14.25" customHeight="1">
      <c r="A1866" s="1" t="s">
        <v>1900</v>
      </c>
      <c r="B1866" s="2">
        <v>44289.0</v>
      </c>
      <c r="C1866" s="1" t="s">
        <v>14</v>
      </c>
      <c r="D1866" s="1" t="s">
        <v>27</v>
      </c>
      <c r="E1866" s="1" t="s">
        <v>28</v>
      </c>
      <c r="F1866" s="1">
        <v>134.26</v>
      </c>
      <c r="G1866" s="1">
        <v>-127.66</v>
      </c>
      <c r="H1866" s="1">
        <v>3.0</v>
      </c>
      <c r="I1866" s="1" t="s">
        <v>23</v>
      </c>
      <c r="J1866" s="1" t="s">
        <v>38</v>
      </c>
      <c r="K1866" s="1">
        <f t="shared" si="1"/>
        <v>2021</v>
      </c>
      <c r="L1866" s="1" t="str">
        <f t="shared" si="2"/>
        <v>Apr</v>
      </c>
      <c r="M1866" s="1" t="str">
        <f t="shared" si="3"/>
        <v>Loss</v>
      </c>
    </row>
    <row r="1867" ht="14.25" customHeight="1">
      <c r="A1867" s="1" t="s">
        <v>1901</v>
      </c>
      <c r="B1867" s="2">
        <v>44781.0</v>
      </c>
      <c r="C1867" s="1" t="s">
        <v>26</v>
      </c>
      <c r="D1867" s="1" t="s">
        <v>15</v>
      </c>
      <c r="E1867" s="1" t="s">
        <v>54</v>
      </c>
      <c r="F1867" s="1">
        <v>226.24</v>
      </c>
      <c r="G1867" s="1">
        <v>-142.41</v>
      </c>
      <c r="H1867" s="1">
        <v>5.0</v>
      </c>
      <c r="I1867" s="1" t="s">
        <v>34</v>
      </c>
      <c r="J1867" s="1" t="s">
        <v>18</v>
      </c>
      <c r="K1867" s="1">
        <f t="shared" si="1"/>
        <v>2022</v>
      </c>
      <c r="L1867" s="1" t="str">
        <f t="shared" si="2"/>
        <v>Aug</v>
      </c>
      <c r="M1867" s="1" t="str">
        <f t="shared" si="3"/>
        <v>Loss</v>
      </c>
    </row>
    <row r="1868" ht="14.25" customHeight="1">
      <c r="A1868" s="1" t="s">
        <v>1902</v>
      </c>
      <c r="B1868" s="2">
        <v>44578.0</v>
      </c>
      <c r="C1868" s="1" t="s">
        <v>20</v>
      </c>
      <c r="D1868" s="1" t="s">
        <v>21</v>
      </c>
      <c r="E1868" s="1" t="s">
        <v>37</v>
      </c>
      <c r="F1868" s="1">
        <v>459.34</v>
      </c>
      <c r="G1868" s="1">
        <v>-98.24</v>
      </c>
      <c r="H1868" s="1">
        <v>7.0</v>
      </c>
      <c r="I1868" s="1" t="s">
        <v>23</v>
      </c>
      <c r="J1868" s="1" t="s">
        <v>18</v>
      </c>
      <c r="K1868" s="1">
        <f t="shared" si="1"/>
        <v>2022</v>
      </c>
      <c r="L1868" s="1" t="str">
        <f t="shared" si="2"/>
        <v>Jan</v>
      </c>
      <c r="M1868" s="1" t="str">
        <f t="shared" si="3"/>
        <v>Loss</v>
      </c>
    </row>
    <row r="1869" ht="14.25" customHeight="1">
      <c r="A1869" s="1" t="s">
        <v>1903</v>
      </c>
      <c r="B1869" s="2">
        <v>45080.0</v>
      </c>
      <c r="C1869" s="1" t="s">
        <v>26</v>
      </c>
      <c r="D1869" s="1" t="s">
        <v>15</v>
      </c>
      <c r="E1869" s="1" t="s">
        <v>54</v>
      </c>
      <c r="F1869" s="1">
        <v>386.13</v>
      </c>
      <c r="G1869" s="1">
        <v>278.16</v>
      </c>
      <c r="H1869" s="1">
        <v>3.0</v>
      </c>
      <c r="I1869" s="1" t="s">
        <v>34</v>
      </c>
      <c r="J1869" s="1" t="s">
        <v>24</v>
      </c>
      <c r="K1869" s="1">
        <f t="shared" si="1"/>
        <v>2023</v>
      </c>
      <c r="L1869" s="1" t="str">
        <f t="shared" si="2"/>
        <v>Jun</v>
      </c>
      <c r="M1869" s="1" t="str">
        <f t="shared" si="3"/>
        <v>Profit</v>
      </c>
    </row>
    <row r="1870" ht="14.25" customHeight="1">
      <c r="A1870" s="1" t="s">
        <v>1904</v>
      </c>
      <c r="B1870" s="2">
        <v>44633.0</v>
      </c>
      <c r="C1870" s="1" t="s">
        <v>30</v>
      </c>
      <c r="D1870" s="1" t="s">
        <v>21</v>
      </c>
      <c r="E1870" s="1" t="s">
        <v>22</v>
      </c>
      <c r="F1870" s="1">
        <v>621.36</v>
      </c>
      <c r="G1870" s="1">
        <v>202.27</v>
      </c>
      <c r="H1870" s="1">
        <v>8.0</v>
      </c>
      <c r="I1870" s="1" t="s">
        <v>17</v>
      </c>
      <c r="J1870" s="1" t="s">
        <v>38</v>
      </c>
      <c r="K1870" s="1">
        <f t="shared" si="1"/>
        <v>2022</v>
      </c>
      <c r="L1870" s="1" t="str">
        <f t="shared" si="2"/>
        <v>Mar</v>
      </c>
      <c r="M1870" s="1" t="str">
        <f t="shared" si="3"/>
        <v>Profit</v>
      </c>
    </row>
    <row r="1871" ht="14.25" customHeight="1">
      <c r="A1871" s="1" t="s">
        <v>1905</v>
      </c>
      <c r="B1871" s="2">
        <v>45095.0</v>
      </c>
      <c r="C1871" s="1" t="s">
        <v>20</v>
      </c>
      <c r="D1871" s="1" t="s">
        <v>21</v>
      </c>
      <c r="E1871" s="1" t="s">
        <v>76</v>
      </c>
      <c r="F1871" s="1">
        <v>20.31</v>
      </c>
      <c r="G1871" s="1">
        <v>-124.06</v>
      </c>
      <c r="H1871" s="1">
        <v>9.0</v>
      </c>
      <c r="I1871" s="1" t="s">
        <v>23</v>
      </c>
      <c r="J1871" s="1" t="s">
        <v>38</v>
      </c>
      <c r="K1871" s="1">
        <f t="shared" si="1"/>
        <v>2023</v>
      </c>
      <c r="L1871" s="1" t="str">
        <f t="shared" si="2"/>
        <v>Jun</v>
      </c>
      <c r="M1871" s="1" t="str">
        <f t="shared" si="3"/>
        <v>Loss</v>
      </c>
    </row>
    <row r="1872" ht="14.25" customHeight="1">
      <c r="A1872" s="1" t="s">
        <v>1906</v>
      </c>
      <c r="B1872" s="2">
        <v>44651.0</v>
      </c>
      <c r="C1872" s="1" t="s">
        <v>30</v>
      </c>
      <c r="D1872" s="1" t="s">
        <v>15</v>
      </c>
      <c r="E1872" s="1" t="s">
        <v>16</v>
      </c>
      <c r="F1872" s="1">
        <v>427.78</v>
      </c>
      <c r="G1872" s="1">
        <v>229.81</v>
      </c>
      <c r="H1872" s="1">
        <v>8.0</v>
      </c>
      <c r="I1872" s="1" t="s">
        <v>34</v>
      </c>
      <c r="J1872" s="1" t="s">
        <v>18</v>
      </c>
      <c r="K1872" s="1">
        <f t="shared" si="1"/>
        <v>2022</v>
      </c>
      <c r="L1872" s="1" t="str">
        <f t="shared" si="2"/>
        <v>Mar</v>
      </c>
      <c r="M1872" s="1" t="str">
        <f t="shared" si="3"/>
        <v>Profit</v>
      </c>
    </row>
    <row r="1873" ht="14.25" customHeight="1">
      <c r="A1873" s="1" t="s">
        <v>1907</v>
      </c>
      <c r="B1873" s="2">
        <v>44835.0</v>
      </c>
      <c r="C1873" s="1" t="s">
        <v>26</v>
      </c>
      <c r="D1873" s="1" t="s">
        <v>27</v>
      </c>
      <c r="E1873" s="1" t="s">
        <v>28</v>
      </c>
      <c r="F1873" s="1">
        <v>548.71</v>
      </c>
      <c r="G1873" s="1">
        <v>34.12</v>
      </c>
      <c r="H1873" s="1">
        <v>2.0</v>
      </c>
      <c r="I1873" s="1" t="s">
        <v>34</v>
      </c>
      <c r="J1873" s="1" t="s">
        <v>35</v>
      </c>
      <c r="K1873" s="1">
        <f t="shared" si="1"/>
        <v>2022</v>
      </c>
      <c r="L1873" s="1" t="str">
        <f t="shared" si="2"/>
        <v>Oct</v>
      </c>
      <c r="M1873" s="1" t="str">
        <f t="shared" si="3"/>
        <v>Profit</v>
      </c>
    </row>
    <row r="1874" ht="14.25" customHeight="1">
      <c r="A1874" s="1" t="s">
        <v>1908</v>
      </c>
      <c r="B1874" s="2">
        <v>44243.0</v>
      </c>
      <c r="C1874" s="1" t="s">
        <v>30</v>
      </c>
      <c r="D1874" s="1" t="s">
        <v>21</v>
      </c>
      <c r="E1874" s="1" t="s">
        <v>22</v>
      </c>
      <c r="F1874" s="1">
        <v>393.07</v>
      </c>
      <c r="G1874" s="1">
        <v>136.13</v>
      </c>
      <c r="H1874" s="1">
        <v>1.0</v>
      </c>
      <c r="I1874" s="1" t="s">
        <v>23</v>
      </c>
      <c r="J1874" s="1" t="s">
        <v>38</v>
      </c>
      <c r="K1874" s="1">
        <f t="shared" si="1"/>
        <v>2021</v>
      </c>
      <c r="L1874" s="1" t="str">
        <f t="shared" si="2"/>
        <v>Feb</v>
      </c>
      <c r="M1874" s="1" t="str">
        <f t="shared" si="3"/>
        <v>Profit</v>
      </c>
    </row>
    <row r="1875" ht="14.25" customHeight="1">
      <c r="A1875" s="1" t="s">
        <v>1909</v>
      </c>
      <c r="B1875" s="2">
        <v>44429.0</v>
      </c>
      <c r="C1875" s="1" t="s">
        <v>20</v>
      </c>
      <c r="D1875" s="1" t="s">
        <v>27</v>
      </c>
      <c r="E1875" s="1" t="s">
        <v>40</v>
      </c>
      <c r="F1875" s="1">
        <v>397.42</v>
      </c>
      <c r="G1875" s="1">
        <v>95.06</v>
      </c>
      <c r="H1875" s="1">
        <v>4.0</v>
      </c>
      <c r="I1875" s="1" t="s">
        <v>17</v>
      </c>
      <c r="J1875" s="1" t="s">
        <v>38</v>
      </c>
      <c r="K1875" s="1">
        <f t="shared" si="1"/>
        <v>2021</v>
      </c>
      <c r="L1875" s="1" t="str">
        <f t="shared" si="2"/>
        <v>Aug</v>
      </c>
      <c r="M1875" s="1" t="str">
        <f t="shared" si="3"/>
        <v>Profit</v>
      </c>
    </row>
    <row r="1876" ht="14.25" customHeight="1">
      <c r="A1876" s="1" t="s">
        <v>1910</v>
      </c>
      <c r="B1876" s="2">
        <v>44955.0</v>
      </c>
      <c r="C1876" s="1" t="s">
        <v>20</v>
      </c>
      <c r="D1876" s="1" t="s">
        <v>15</v>
      </c>
      <c r="E1876" s="1" t="s">
        <v>54</v>
      </c>
      <c r="F1876" s="1">
        <v>360.43</v>
      </c>
      <c r="G1876" s="1">
        <v>96.12</v>
      </c>
      <c r="H1876" s="1">
        <v>6.0</v>
      </c>
      <c r="I1876" s="1" t="s">
        <v>23</v>
      </c>
      <c r="J1876" s="1" t="s">
        <v>24</v>
      </c>
      <c r="K1876" s="1">
        <f t="shared" si="1"/>
        <v>2023</v>
      </c>
      <c r="L1876" s="1" t="str">
        <f t="shared" si="2"/>
        <v>Jan</v>
      </c>
      <c r="M1876" s="1" t="str">
        <f t="shared" si="3"/>
        <v>Profit</v>
      </c>
    </row>
    <row r="1877" ht="14.25" customHeight="1">
      <c r="A1877" s="1" t="s">
        <v>1911</v>
      </c>
      <c r="B1877" s="2">
        <v>44924.0</v>
      </c>
      <c r="C1877" s="1" t="s">
        <v>30</v>
      </c>
      <c r="D1877" s="1" t="s">
        <v>15</v>
      </c>
      <c r="E1877" s="1" t="s">
        <v>31</v>
      </c>
      <c r="F1877" s="1">
        <v>278.54</v>
      </c>
      <c r="G1877" s="1">
        <v>72.95</v>
      </c>
      <c r="H1877" s="1">
        <v>2.0</v>
      </c>
      <c r="I1877" s="1" t="s">
        <v>17</v>
      </c>
      <c r="J1877" s="1" t="s">
        <v>18</v>
      </c>
      <c r="K1877" s="1">
        <f t="shared" si="1"/>
        <v>2022</v>
      </c>
      <c r="L1877" s="1" t="str">
        <f t="shared" si="2"/>
        <v>Dec</v>
      </c>
      <c r="M1877" s="1" t="str">
        <f t="shared" si="3"/>
        <v>Profit</v>
      </c>
    </row>
    <row r="1878" ht="14.25" customHeight="1">
      <c r="A1878" s="1" t="s">
        <v>1912</v>
      </c>
      <c r="B1878" s="2">
        <v>44214.0</v>
      </c>
      <c r="C1878" s="1" t="s">
        <v>30</v>
      </c>
      <c r="D1878" s="1" t="s">
        <v>15</v>
      </c>
      <c r="E1878" s="1" t="s">
        <v>16</v>
      </c>
      <c r="F1878" s="1">
        <v>748.84</v>
      </c>
      <c r="G1878" s="1">
        <v>158.96</v>
      </c>
      <c r="H1878" s="1">
        <v>4.0</v>
      </c>
      <c r="I1878" s="1" t="s">
        <v>34</v>
      </c>
      <c r="J1878" s="1" t="s">
        <v>18</v>
      </c>
      <c r="K1878" s="1">
        <f t="shared" si="1"/>
        <v>2021</v>
      </c>
      <c r="L1878" s="1" t="str">
        <f t="shared" si="2"/>
        <v>Jan</v>
      </c>
      <c r="M1878" s="1" t="str">
        <f t="shared" si="3"/>
        <v>Profit</v>
      </c>
    </row>
    <row r="1879" ht="14.25" customHeight="1">
      <c r="A1879" s="1" t="s">
        <v>1913</v>
      </c>
      <c r="B1879" s="2">
        <v>45188.0</v>
      </c>
      <c r="C1879" s="1" t="s">
        <v>30</v>
      </c>
      <c r="D1879" s="1" t="s">
        <v>21</v>
      </c>
      <c r="E1879" s="1" t="s">
        <v>76</v>
      </c>
      <c r="F1879" s="1">
        <v>453.91</v>
      </c>
      <c r="G1879" s="1">
        <v>160.04</v>
      </c>
      <c r="H1879" s="1">
        <v>2.0</v>
      </c>
      <c r="I1879" s="1" t="s">
        <v>34</v>
      </c>
      <c r="J1879" s="1" t="s">
        <v>18</v>
      </c>
      <c r="K1879" s="1">
        <f t="shared" si="1"/>
        <v>2023</v>
      </c>
      <c r="L1879" s="1" t="str">
        <f t="shared" si="2"/>
        <v>Sep</v>
      </c>
      <c r="M1879" s="1" t="str">
        <f t="shared" si="3"/>
        <v>Profit</v>
      </c>
    </row>
    <row r="1880" ht="14.25" customHeight="1">
      <c r="A1880" s="1" t="s">
        <v>1914</v>
      </c>
      <c r="B1880" s="2">
        <v>45175.0</v>
      </c>
      <c r="C1880" s="1" t="s">
        <v>14</v>
      </c>
      <c r="D1880" s="1" t="s">
        <v>21</v>
      </c>
      <c r="E1880" s="1" t="s">
        <v>76</v>
      </c>
      <c r="F1880" s="1">
        <v>92.34</v>
      </c>
      <c r="G1880" s="1">
        <v>119.0</v>
      </c>
      <c r="H1880" s="1">
        <v>10.0</v>
      </c>
      <c r="I1880" s="1" t="s">
        <v>23</v>
      </c>
      <c r="J1880" s="1" t="s">
        <v>38</v>
      </c>
      <c r="K1880" s="1">
        <f t="shared" si="1"/>
        <v>2023</v>
      </c>
      <c r="L1880" s="1" t="str">
        <f t="shared" si="2"/>
        <v>Sep</v>
      </c>
      <c r="M1880" s="1" t="str">
        <f t="shared" si="3"/>
        <v>Profit</v>
      </c>
    </row>
    <row r="1881" ht="14.25" customHeight="1">
      <c r="A1881" s="1" t="s">
        <v>1915</v>
      </c>
      <c r="B1881" s="2">
        <v>44295.0</v>
      </c>
      <c r="C1881" s="1" t="s">
        <v>20</v>
      </c>
      <c r="D1881" s="1" t="s">
        <v>15</v>
      </c>
      <c r="E1881" s="1" t="s">
        <v>16</v>
      </c>
      <c r="F1881" s="1">
        <v>194.67</v>
      </c>
      <c r="G1881" s="1">
        <v>59.59</v>
      </c>
      <c r="H1881" s="1">
        <v>10.0</v>
      </c>
      <c r="I1881" s="1" t="s">
        <v>34</v>
      </c>
      <c r="J1881" s="1" t="s">
        <v>38</v>
      </c>
      <c r="K1881" s="1">
        <f t="shared" si="1"/>
        <v>2021</v>
      </c>
      <c r="L1881" s="1" t="str">
        <f t="shared" si="2"/>
        <v>Apr</v>
      </c>
      <c r="M1881" s="1" t="str">
        <f t="shared" si="3"/>
        <v>Profit</v>
      </c>
    </row>
    <row r="1882" ht="14.25" customHeight="1">
      <c r="A1882" s="1" t="s">
        <v>1916</v>
      </c>
      <c r="B1882" s="2">
        <v>44827.0</v>
      </c>
      <c r="C1882" s="1" t="s">
        <v>30</v>
      </c>
      <c r="D1882" s="1" t="s">
        <v>21</v>
      </c>
      <c r="E1882" s="1" t="s">
        <v>76</v>
      </c>
      <c r="F1882" s="1">
        <v>94.42</v>
      </c>
      <c r="G1882" s="1">
        <v>296.81</v>
      </c>
      <c r="H1882" s="1">
        <v>2.0</v>
      </c>
      <c r="I1882" s="1" t="s">
        <v>23</v>
      </c>
      <c r="J1882" s="1" t="s">
        <v>38</v>
      </c>
      <c r="K1882" s="1">
        <f t="shared" si="1"/>
        <v>2022</v>
      </c>
      <c r="L1882" s="1" t="str">
        <f t="shared" si="2"/>
        <v>Sep</v>
      </c>
      <c r="M1882" s="1" t="str">
        <f t="shared" si="3"/>
        <v>Profit</v>
      </c>
    </row>
    <row r="1883" ht="14.25" customHeight="1">
      <c r="A1883" s="1" t="s">
        <v>1917</v>
      </c>
      <c r="B1883" s="2">
        <v>44744.0</v>
      </c>
      <c r="C1883" s="1" t="s">
        <v>20</v>
      </c>
      <c r="D1883" s="1" t="s">
        <v>27</v>
      </c>
      <c r="E1883" s="1" t="s">
        <v>33</v>
      </c>
      <c r="F1883" s="1">
        <v>883.98</v>
      </c>
      <c r="G1883" s="1">
        <v>184.72</v>
      </c>
      <c r="H1883" s="1">
        <v>2.0</v>
      </c>
      <c r="I1883" s="1" t="s">
        <v>23</v>
      </c>
      <c r="J1883" s="1" t="s">
        <v>18</v>
      </c>
      <c r="K1883" s="1">
        <f t="shared" si="1"/>
        <v>2022</v>
      </c>
      <c r="L1883" s="1" t="str">
        <f t="shared" si="2"/>
        <v>Jul</v>
      </c>
      <c r="M1883" s="1" t="str">
        <f t="shared" si="3"/>
        <v>Profit</v>
      </c>
    </row>
    <row r="1884" ht="14.25" customHeight="1">
      <c r="A1884" s="1" t="s">
        <v>1918</v>
      </c>
      <c r="B1884" s="2">
        <v>45263.0</v>
      </c>
      <c r="C1884" s="1" t="s">
        <v>14</v>
      </c>
      <c r="D1884" s="1" t="s">
        <v>27</v>
      </c>
      <c r="E1884" s="1" t="s">
        <v>33</v>
      </c>
      <c r="F1884" s="1">
        <v>371.96</v>
      </c>
      <c r="G1884" s="1">
        <v>-157.34</v>
      </c>
      <c r="H1884" s="1">
        <v>3.0</v>
      </c>
      <c r="I1884" s="1" t="s">
        <v>17</v>
      </c>
      <c r="J1884" s="1" t="s">
        <v>35</v>
      </c>
      <c r="K1884" s="1">
        <f t="shared" si="1"/>
        <v>2023</v>
      </c>
      <c r="L1884" s="1" t="str">
        <f t="shared" si="2"/>
        <v>Dec</v>
      </c>
      <c r="M1884" s="1" t="str">
        <f t="shared" si="3"/>
        <v>Loss</v>
      </c>
    </row>
    <row r="1885" ht="14.25" customHeight="1">
      <c r="A1885" s="1" t="s">
        <v>1919</v>
      </c>
      <c r="B1885" s="2">
        <v>44393.0</v>
      </c>
      <c r="C1885" s="1" t="s">
        <v>14</v>
      </c>
      <c r="D1885" s="1" t="s">
        <v>15</v>
      </c>
      <c r="E1885" s="1" t="s">
        <v>54</v>
      </c>
      <c r="F1885" s="1">
        <v>353.9</v>
      </c>
      <c r="G1885" s="1">
        <v>-166.97</v>
      </c>
      <c r="H1885" s="1">
        <v>3.0</v>
      </c>
      <c r="I1885" s="1" t="s">
        <v>23</v>
      </c>
      <c r="J1885" s="1" t="s">
        <v>24</v>
      </c>
      <c r="K1885" s="1">
        <f t="shared" si="1"/>
        <v>2021</v>
      </c>
      <c r="L1885" s="1" t="str">
        <f t="shared" si="2"/>
        <v>Jul</v>
      </c>
      <c r="M1885" s="1" t="str">
        <f t="shared" si="3"/>
        <v>Loss</v>
      </c>
    </row>
    <row r="1886" ht="14.25" customHeight="1">
      <c r="A1886" s="1" t="s">
        <v>1920</v>
      </c>
      <c r="B1886" s="2">
        <v>44272.0</v>
      </c>
      <c r="C1886" s="1" t="s">
        <v>20</v>
      </c>
      <c r="D1886" s="1" t="s">
        <v>27</v>
      </c>
      <c r="E1886" s="1" t="s">
        <v>28</v>
      </c>
      <c r="F1886" s="1">
        <v>722.97</v>
      </c>
      <c r="G1886" s="1">
        <v>140.59</v>
      </c>
      <c r="H1886" s="1">
        <v>1.0</v>
      </c>
      <c r="I1886" s="1" t="s">
        <v>17</v>
      </c>
      <c r="J1886" s="1" t="s">
        <v>24</v>
      </c>
      <c r="K1886" s="1">
        <f t="shared" si="1"/>
        <v>2021</v>
      </c>
      <c r="L1886" s="1" t="str">
        <f t="shared" si="2"/>
        <v>Mar</v>
      </c>
      <c r="M1886" s="1" t="str">
        <f t="shared" si="3"/>
        <v>Profit</v>
      </c>
    </row>
    <row r="1887" ht="14.25" customHeight="1">
      <c r="A1887" s="1" t="s">
        <v>1921</v>
      </c>
      <c r="B1887" s="2">
        <v>44874.0</v>
      </c>
      <c r="C1887" s="1" t="s">
        <v>26</v>
      </c>
      <c r="D1887" s="1" t="s">
        <v>21</v>
      </c>
      <c r="E1887" s="1" t="s">
        <v>22</v>
      </c>
      <c r="F1887" s="1">
        <v>544.15</v>
      </c>
      <c r="G1887" s="1">
        <v>103.46</v>
      </c>
      <c r="H1887" s="1">
        <v>5.0</v>
      </c>
      <c r="I1887" s="1" t="s">
        <v>23</v>
      </c>
      <c r="J1887" s="1" t="s">
        <v>18</v>
      </c>
      <c r="K1887" s="1">
        <f t="shared" si="1"/>
        <v>2022</v>
      </c>
      <c r="L1887" s="1" t="str">
        <f t="shared" si="2"/>
        <v>Nov</v>
      </c>
      <c r="M1887" s="1" t="str">
        <f t="shared" si="3"/>
        <v>Profit</v>
      </c>
    </row>
    <row r="1888" ht="14.25" customHeight="1">
      <c r="A1888" s="1" t="s">
        <v>1922</v>
      </c>
      <c r="B1888" s="2">
        <v>44757.0</v>
      </c>
      <c r="C1888" s="1" t="s">
        <v>14</v>
      </c>
      <c r="D1888" s="1" t="s">
        <v>15</v>
      </c>
      <c r="E1888" s="1" t="s">
        <v>16</v>
      </c>
      <c r="F1888" s="1">
        <v>79.9</v>
      </c>
      <c r="G1888" s="1">
        <v>62.52</v>
      </c>
      <c r="H1888" s="1">
        <v>3.0</v>
      </c>
      <c r="I1888" s="1" t="s">
        <v>17</v>
      </c>
      <c r="J1888" s="1" t="s">
        <v>24</v>
      </c>
      <c r="K1888" s="1">
        <f t="shared" si="1"/>
        <v>2022</v>
      </c>
      <c r="L1888" s="1" t="str">
        <f t="shared" si="2"/>
        <v>Jul</v>
      </c>
      <c r="M1888" s="1" t="str">
        <f t="shared" si="3"/>
        <v>Profit</v>
      </c>
    </row>
    <row r="1889" ht="14.25" customHeight="1">
      <c r="A1889" s="1" t="s">
        <v>1923</v>
      </c>
      <c r="B1889" s="2">
        <v>44617.0</v>
      </c>
      <c r="C1889" s="1" t="s">
        <v>30</v>
      </c>
      <c r="D1889" s="1" t="s">
        <v>15</v>
      </c>
      <c r="E1889" s="1" t="s">
        <v>16</v>
      </c>
      <c r="F1889" s="1">
        <v>457.89</v>
      </c>
      <c r="G1889" s="1">
        <v>-6.32</v>
      </c>
      <c r="H1889" s="1">
        <v>9.0</v>
      </c>
      <c r="I1889" s="1" t="s">
        <v>17</v>
      </c>
      <c r="J1889" s="1" t="s">
        <v>35</v>
      </c>
      <c r="K1889" s="1">
        <f t="shared" si="1"/>
        <v>2022</v>
      </c>
      <c r="L1889" s="1" t="str">
        <f t="shared" si="2"/>
        <v>Feb</v>
      </c>
      <c r="M1889" s="1" t="str">
        <f t="shared" si="3"/>
        <v>Loss</v>
      </c>
    </row>
    <row r="1890" ht="14.25" customHeight="1">
      <c r="A1890" s="1" t="s">
        <v>1924</v>
      </c>
      <c r="B1890" s="2">
        <v>44204.0</v>
      </c>
      <c r="C1890" s="1" t="s">
        <v>14</v>
      </c>
      <c r="D1890" s="1" t="s">
        <v>21</v>
      </c>
      <c r="E1890" s="1" t="s">
        <v>76</v>
      </c>
      <c r="F1890" s="1">
        <v>768.25</v>
      </c>
      <c r="G1890" s="1">
        <v>-179.6</v>
      </c>
      <c r="H1890" s="1">
        <v>5.0</v>
      </c>
      <c r="I1890" s="1" t="s">
        <v>17</v>
      </c>
      <c r="J1890" s="1" t="s">
        <v>38</v>
      </c>
      <c r="K1890" s="1">
        <f t="shared" si="1"/>
        <v>2021</v>
      </c>
      <c r="L1890" s="1" t="str">
        <f t="shared" si="2"/>
        <v>Jan</v>
      </c>
      <c r="M1890" s="1" t="str">
        <f t="shared" si="3"/>
        <v>Loss</v>
      </c>
    </row>
    <row r="1891" ht="14.25" customHeight="1">
      <c r="A1891" s="1" t="s">
        <v>1925</v>
      </c>
      <c r="B1891" s="2">
        <v>44406.0</v>
      </c>
      <c r="C1891" s="1" t="s">
        <v>30</v>
      </c>
      <c r="D1891" s="1" t="s">
        <v>15</v>
      </c>
      <c r="E1891" s="1" t="s">
        <v>31</v>
      </c>
      <c r="F1891" s="1">
        <v>108.75</v>
      </c>
      <c r="G1891" s="1">
        <v>-49.96</v>
      </c>
      <c r="H1891" s="1">
        <v>5.0</v>
      </c>
      <c r="I1891" s="1" t="s">
        <v>34</v>
      </c>
      <c r="J1891" s="1" t="s">
        <v>24</v>
      </c>
      <c r="K1891" s="1">
        <f t="shared" si="1"/>
        <v>2021</v>
      </c>
      <c r="L1891" s="1" t="str">
        <f t="shared" si="2"/>
        <v>Jul</v>
      </c>
      <c r="M1891" s="1" t="str">
        <f t="shared" si="3"/>
        <v>Loss</v>
      </c>
    </row>
    <row r="1892" ht="14.25" customHeight="1">
      <c r="A1892" s="1" t="s">
        <v>1926</v>
      </c>
      <c r="B1892" s="2">
        <v>44646.0</v>
      </c>
      <c r="C1892" s="1" t="s">
        <v>26</v>
      </c>
      <c r="D1892" s="1" t="s">
        <v>15</v>
      </c>
      <c r="E1892" s="1" t="s">
        <v>31</v>
      </c>
      <c r="F1892" s="1">
        <v>281.06</v>
      </c>
      <c r="G1892" s="1">
        <v>117.18</v>
      </c>
      <c r="H1892" s="1">
        <v>3.0</v>
      </c>
      <c r="I1892" s="1" t="s">
        <v>17</v>
      </c>
      <c r="J1892" s="1" t="s">
        <v>38</v>
      </c>
      <c r="K1892" s="1">
        <f t="shared" si="1"/>
        <v>2022</v>
      </c>
      <c r="L1892" s="1" t="str">
        <f t="shared" si="2"/>
        <v>Mar</v>
      </c>
      <c r="M1892" s="1" t="str">
        <f t="shared" si="3"/>
        <v>Profit</v>
      </c>
    </row>
    <row r="1893" ht="14.25" customHeight="1">
      <c r="A1893" s="1" t="s">
        <v>1927</v>
      </c>
      <c r="B1893" s="2">
        <v>44556.0</v>
      </c>
      <c r="C1893" s="1" t="s">
        <v>14</v>
      </c>
      <c r="D1893" s="1" t="s">
        <v>15</v>
      </c>
      <c r="E1893" s="1" t="s">
        <v>16</v>
      </c>
      <c r="F1893" s="1">
        <v>503.97</v>
      </c>
      <c r="G1893" s="1">
        <v>-175.74</v>
      </c>
      <c r="H1893" s="1">
        <v>7.0</v>
      </c>
      <c r="I1893" s="1" t="s">
        <v>17</v>
      </c>
      <c r="J1893" s="1" t="s">
        <v>18</v>
      </c>
      <c r="K1893" s="1">
        <f t="shared" si="1"/>
        <v>2021</v>
      </c>
      <c r="L1893" s="1" t="str">
        <f t="shared" si="2"/>
        <v>Dec</v>
      </c>
      <c r="M1893" s="1" t="str">
        <f t="shared" si="3"/>
        <v>Loss</v>
      </c>
    </row>
    <row r="1894" ht="14.25" customHeight="1">
      <c r="A1894" s="1" t="s">
        <v>1928</v>
      </c>
      <c r="B1894" s="2">
        <v>44307.0</v>
      </c>
      <c r="C1894" s="1" t="s">
        <v>26</v>
      </c>
      <c r="D1894" s="1" t="s">
        <v>27</v>
      </c>
      <c r="E1894" s="1" t="s">
        <v>40</v>
      </c>
      <c r="F1894" s="1">
        <v>101.5</v>
      </c>
      <c r="G1894" s="1">
        <v>263.87</v>
      </c>
      <c r="H1894" s="1">
        <v>2.0</v>
      </c>
      <c r="I1894" s="1" t="s">
        <v>23</v>
      </c>
      <c r="J1894" s="1" t="s">
        <v>38</v>
      </c>
      <c r="K1894" s="1">
        <f t="shared" si="1"/>
        <v>2021</v>
      </c>
      <c r="L1894" s="1" t="str">
        <f t="shared" si="2"/>
        <v>Apr</v>
      </c>
      <c r="M1894" s="1" t="str">
        <f t="shared" si="3"/>
        <v>Profit</v>
      </c>
    </row>
    <row r="1895" ht="14.25" customHeight="1">
      <c r="A1895" s="1" t="s">
        <v>1929</v>
      </c>
      <c r="B1895" s="2">
        <v>44420.0</v>
      </c>
      <c r="C1895" s="1" t="s">
        <v>26</v>
      </c>
      <c r="D1895" s="1" t="s">
        <v>15</v>
      </c>
      <c r="E1895" s="1" t="s">
        <v>16</v>
      </c>
      <c r="F1895" s="1">
        <v>735.77</v>
      </c>
      <c r="G1895" s="1">
        <v>61.98</v>
      </c>
      <c r="H1895" s="1">
        <v>2.0</v>
      </c>
      <c r="I1895" s="1" t="s">
        <v>34</v>
      </c>
      <c r="J1895" s="1" t="s">
        <v>18</v>
      </c>
      <c r="K1895" s="1">
        <f t="shared" si="1"/>
        <v>2021</v>
      </c>
      <c r="L1895" s="1" t="str">
        <f t="shared" si="2"/>
        <v>Aug</v>
      </c>
      <c r="M1895" s="1" t="str">
        <f t="shared" si="3"/>
        <v>Profit</v>
      </c>
    </row>
    <row r="1896" ht="14.25" customHeight="1">
      <c r="A1896" s="1" t="s">
        <v>1930</v>
      </c>
      <c r="B1896" s="2">
        <v>44446.0</v>
      </c>
      <c r="C1896" s="1" t="s">
        <v>26</v>
      </c>
      <c r="D1896" s="1" t="s">
        <v>15</v>
      </c>
      <c r="E1896" s="1" t="s">
        <v>16</v>
      </c>
      <c r="F1896" s="1">
        <v>623.83</v>
      </c>
      <c r="G1896" s="1">
        <v>-68.78</v>
      </c>
      <c r="H1896" s="1">
        <v>7.0</v>
      </c>
      <c r="I1896" s="1" t="s">
        <v>34</v>
      </c>
      <c r="J1896" s="1" t="s">
        <v>35</v>
      </c>
      <c r="K1896" s="1">
        <f t="shared" si="1"/>
        <v>2021</v>
      </c>
      <c r="L1896" s="1" t="str">
        <f t="shared" si="2"/>
        <v>Sep</v>
      </c>
      <c r="M1896" s="1" t="str">
        <f t="shared" si="3"/>
        <v>Loss</v>
      </c>
    </row>
    <row r="1897" ht="14.25" customHeight="1">
      <c r="A1897" s="1" t="s">
        <v>1931</v>
      </c>
      <c r="B1897" s="2">
        <v>44222.0</v>
      </c>
      <c r="C1897" s="1" t="s">
        <v>20</v>
      </c>
      <c r="D1897" s="1" t="s">
        <v>15</v>
      </c>
      <c r="E1897" s="1" t="s">
        <v>31</v>
      </c>
      <c r="F1897" s="1">
        <v>817.91</v>
      </c>
      <c r="G1897" s="1">
        <v>109.7</v>
      </c>
      <c r="H1897" s="1">
        <v>7.0</v>
      </c>
      <c r="I1897" s="1" t="s">
        <v>34</v>
      </c>
      <c r="J1897" s="1" t="s">
        <v>24</v>
      </c>
      <c r="K1897" s="1">
        <f t="shared" si="1"/>
        <v>2021</v>
      </c>
      <c r="L1897" s="1" t="str">
        <f t="shared" si="2"/>
        <v>Jan</v>
      </c>
      <c r="M1897" s="1" t="str">
        <f t="shared" si="3"/>
        <v>Profit</v>
      </c>
    </row>
    <row r="1898" ht="14.25" customHeight="1">
      <c r="A1898" s="1" t="s">
        <v>1932</v>
      </c>
      <c r="B1898" s="2">
        <v>45193.0</v>
      </c>
      <c r="C1898" s="1" t="s">
        <v>14</v>
      </c>
      <c r="D1898" s="1" t="s">
        <v>21</v>
      </c>
      <c r="E1898" s="1" t="s">
        <v>22</v>
      </c>
      <c r="F1898" s="1">
        <v>386.34</v>
      </c>
      <c r="G1898" s="1">
        <v>-36.21</v>
      </c>
      <c r="H1898" s="1">
        <v>6.0</v>
      </c>
      <c r="I1898" s="1" t="s">
        <v>34</v>
      </c>
      <c r="J1898" s="1" t="s">
        <v>24</v>
      </c>
      <c r="K1898" s="1">
        <f t="shared" si="1"/>
        <v>2023</v>
      </c>
      <c r="L1898" s="1" t="str">
        <f t="shared" si="2"/>
        <v>Sep</v>
      </c>
      <c r="M1898" s="1" t="str">
        <f t="shared" si="3"/>
        <v>Loss</v>
      </c>
    </row>
    <row r="1899" ht="14.25" customHeight="1">
      <c r="A1899" s="1" t="s">
        <v>1933</v>
      </c>
      <c r="B1899" s="2">
        <v>44872.0</v>
      </c>
      <c r="C1899" s="1" t="s">
        <v>30</v>
      </c>
      <c r="D1899" s="1" t="s">
        <v>27</v>
      </c>
      <c r="E1899" s="1" t="s">
        <v>28</v>
      </c>
      <c r="F1899" s="1">
        <v>728.58</v>
      </c>
      <c r="G1899" s="1">
        <v>-112.28</v>
      </c>
      <c r="H1899" s="1">
        <v>1.0</v>
      </c>
      <c r="I1899" s="1" t="s">
        <v>23</v>
      </c>
      <c r="J1899" s="1" t="s">
        <v>35</v>
      </c>
      <c r="K1899" s="1">
        <f t="shared" si="1"/>
        <v>2022</v>
      </c>
      <c r="L1899" s="1" t="str">
        <f t="shared" si="2"/>
        <v>Nov</v>
      </c>
      <c r="M1899" s="1" t="str">
        <f t="shared" si="3"/>
        <v>Loss</v>
      </c>
    </row>
    <row r="1900" ht="14.25" customHeight="1">
      <c r="A1900" s="1" t="s">
        <v>1934</v>
      </c>
      <c r="B1900" s="2">
        <v>45256.0</v>
      </c>
      <c r="C1900" s="1" t="s">
        <v>26</v>
      </c>
      <c r="D1900" s="1" t="s">
        <v>27</v>
      </c>
      <c r="E1900" s="1" t="s">
        <v>33</v>
      </c>
      <c r="F1900" s="1">
        <v>464.57</v>
      </c>
      <c r="G1900" s="1">
        <v>-81.64</v>
      </c>
      <c r="H1900" s="1">
        <v>10.0</v>
      </c>
      <c r="I1900" s="1" t="s">
        <v>17</v>
      </c>
      <c r="J1900" s="1" t="s">
        <v>18</v>
      </c>
      <c r="K1900" s="1">
        <f t="shared" si="1"/>
        <v>2023</v>
      </c>
      <c r="L1900" s="1" t="str">
        <f t="shared" si="2"/>
        <v>Nov</v>
      </c>
      <c r="M1900" s="1" t="str">
        <f t="shared" si="3"/>
        <v>Loss</v>
      </c>
    </row>
    <row r="1901" ht="14.25" customHeight="1">
      <c r="A1901" s="1" t="s">
        <v>1935</v>
      </c>
      <c r="B1901" s="2">
        <v>45123.0</v>
      </c>
      <c r="C1901" s="1" t="s">
        <v>26</v>
      </c>
      <c r="D1901" s="1" t="s">
        <v>27</v>
      </c>
      <c r="E1901" s="1" t="s">
        <v>28</v>
      </c>
      <c r="F1901" s="1">
        <v>537.99</v>
      </c>
      <c r="G1901" s="1">
        <v>-103.18</v>
      </c>
      <c r="H1901" s="1">
        <v>5.0</v>
      </c>
      <c r="I1901" s="1" t="s">
        <v>23</v>
      </c>
      <c r="J1901" s="1" t="s">
        <v>35</v>
      </c>
      <c r="K1901" s="1">
        <f t="shared" si="1"/>
        <v>2023</v>
      </c>
      <c r="L1901" s="1" t="str">
        <f t="shared" si="2"/>
        <v>Jul</v>
      </c>
      <c r="M1901" s="1" t="str">
        <f t="shared" si="3"/>
        <v>Loss</v>
      </c>
    </row>
    <row r="1902" ht="14.25" customHeight="1">
      <c r="A1902" s="1" t="s">
        <v>1936</v>
      </c>
      <c r="B1902" s="2">
        <v>44888.0</v>
      </c>
      <c r="C1902" s="1" t="s">
        <v>14</v>
      </c>
      <c r="D1902" s="1" t="s">
        <v>21</v>
      </c>
      <c r="E1902" s="1" t="s">
        <v>37</v>
      </c>
      <c r="F1902" s="1">
        <v>849.61</v>
      </c>
      <c r="G1902" s="1">
        <v>-107.97</v>
      </c>
      <c r="H1902" s="1">
        <v>6.0</v>
      </c>
      <c r="I1902" s="1" t="s">
        <v>17</v>
      </c>
      <c r="J1902" s="1" t="s">
        <v>18</v>
      </c>
      <c r="K1902" s="1">
        <f t="shared" si="1"/>
        <v>2022</v>
      </c>
      <c r="L1902" s="1" t="str">
        <f t="shared" si="2"/>
        <v>Nov</v>
      </c>
      <c r="M1902" s="1" t="str">
        <f t="shared" si="3"/>
        <v>Loss</v>
      </c>
    </row>
    <row r="1903" ht="14.25" customHeight="1">
      <c r="A1903" s="1" t="s">
        <v>1937</v>
      </c>
      <c r="B1903" s="2">
        <v>44723.0</v>
      </c>
      <c r="C1903" s="1" t="s">
        <v>30</v>
      </c>
      <c r="D1903" s="1" t="s">
        <v>21</v>
      </c>
      <c r="E1903" s="1" t="s">
        <v>76</v>
      </c>
      <c r="F1903" s="1">
        <v>451.64</v>
      </c>
      <c r="G1903" s="1">
        <v>-170.49</v>
      </c>
      <c r="H1903" s="1">
        <v>3.0</v>
      </c>
      <c r="I1903" s="1" t="s">
        <v>17</v>
      </c>
      <c r="J1903" s="1" t="s">
        <v>38</v>
      </c>
      <c r="K1903" s="1">
        <f t="shared" si="1"/>
        <v>2022</v>
      </c>
      <c r="L1903" s="1" t="str">
        <f t="shared" si="2"/>
        <v>Jun</v>
      </c>
      <c r="M1903" s="1" t="str">
        <f t="shared" si="3"/>
        <v>Loss</v>
      </c>
    </row>
    <row r="1904" ht="14.25" customHeight="1">
      <c r="A1904" s="1" t="s">
        <v>1938</v>
      </c>
      <c r="B1904" s="2">
        <v>45207.0</v>
      </c>
      <c r="C1904" s="1" t="s">
        <v>26</v>
      </c>
      <c r="D1904" s="1" t="s">
        <v>21</v>
      </c>
      <c r="E1904" s="1" t="s">
        <v>22</v>
      </c>
      <c r="F1904" s="1">
        <v>396.69</v>
      </c>
      <c r="G1904" s="1">
        <v>-195.32</v>
      </c>
      <c r="H1904" s="1">
        <v>6.0</v>
      </c>
      <c r="I1904" s="1" t="s">
        <v>34</v>
      </c>
      <c r="J1904" s="1" t="s">
        <v>24</v>
      </c>
      <c r="K1904" s="1">
        <f t="shared" si="1"/>
        <v>2023</v>
      </c>
      <c r="L1904" s="1" t="str">
        <f t="shared" si="2"/>
        <v>Oct</v>
      </c>
      <c r="M1904" s="1" t="str">
        <f t="shared" si="3"/>
        <v>Loss</v>
      </c>
    </row>
    <row r="1905" ht="14.25" customHeight="1">
      <c r="A1905" s="1" t="s">
        <v>1939</v>
      </c>
      <c r="B1905" s="2">
        <v>44203.0</v>
      </c>
      <c r="C1905" s="1" t="s">
        <v>14</v>
      </c>
      <c r="D1905" s="1" t="s">
        <v>27</v>
      </c>
      <c r="E1905" s="1" t="s">
        <v>33</v>
      </c>
      <c r="F1905" s="1">
        <v>255.09</v>
      </c>
      <c r="G1905" s="1">
        <v>-189.54</v>
      </c>
      <c r="H1905" s="1">
        <v>10.0</v>
      </c>
      <c r="I1905" s="1" t="s">
        <v>34</v>
      </c>
      <c r="J1905" s="1" t="s">
        <v>35</v>
      </c>
      <c r="K1905" s="1">
        <f t="shared" si="1"/>
        <v>2021</v>
      </c>
      <c r="L1905" s="1" t="str">
        <f t="shared" si="2"/>
        <v>Jan</v>
      </c>
      <c r="M1905" s="1" t="str">
        <f t="shared" si="3"/>
        <v>Loss</v>
      </c>
    </row>
    <row r="1906" ht="14.25" customHeight="1">
      <c r="A1906" s="1" t="s">
        <v>1940</v>
      </c>
      <c r="B1906" s="2">
        <v>45030.0</v>
      </c>
      <c r="C1906" s="1" t="s">
        <v>20</v>
      </c>
      <c r="D1906" s="1" t="s">
        <v>21</v>
      </c>
      <c r="E1906" s="1" t="s">
        <v>37</v>
      </c>
      <c r="F1906" s="1">
        <v>363.36</v>
      </c>
      <c r="G1906" s="1">
        <v>-180.68</v>
      </c>
      <c r="H1906" s="1">
        <v>9.0</v>
      </c>
      <c r="I1906" s="1" t="s">
        <v>23</v>
      </c>
      <c r="J1906" s="1" t="s">
        <v>35</v>
      </c>
      <c r="K1906" s="1">
        <f t="shared" si="1"/>
        <v>2023</v>
      </c>
      <c r="L1906" s="1" t="str">
        <f t="shared" si="2"/>
        <v>Apr</v>
      </c>
      <c r="M1906" s="1" t="str">
        <f t="shared" si="3"/>
        <v>Loss</v>
      </c>
    </row>
    <row r="1907" ht="14.25" customHeight="1">
      <c r="A1907" s="1" t="s">
        <v>1941</v>
      </c>
      <c r="B1907" s="2">
        <v>44459.0</v>
      </c>
      <c r="C1907" s="1" t="s">
        <v>20</v>
      </c>
      <c r="D1907" s="1" t="s">
        <v>15</v>
      </c>
      <c r="E1907" s="1" t="s">
        <v>54</v>
      </c>
      <c r="F1907" s="1">
        <v>989.63</v>
      </c>
      <c r="G1907" s="1">
        <v>-94.83</v>
      </c>
      <c r="H1907" s="1">
        <v>4.0</v>
      </c>
      <c r="I1907" s="1" t="s">
        <v>34</v>
      </c>
      <c r="J1907" s="1" t="s">
        <v>18</v>
      </c>
      <c r="K1907" s="1">
        <f t="shared" si="1"/>
        <v>2021</v>
      </c>
      <c r="L1907" s="1" t="str">
        <f t="shared" si="2"/>
        <v>Sep</v>
      </c>
      <c r="M1907" s="1" t="str">
        <f t="shared" si="3"/>
        <v>Loss</v>
      </c>
    </row>
    <row r="1908" ht="14.25" customHeight="1">
      <c r="A1908" s="1" t="s">
        <v>1942</v>
      </c>
      <c r="B1908" s="2">
        <v>44997.0</v>
      </c>
      <c r="C1908" s="1" t="s">
        <v>20</v>
      </c>
      <c r="D1908" s="1" t="s">
        <v>21</v>
      </c>
      <c r="E1908" s="1" t="s">
        <v>37</v>
      </c>
      <c r="F1908" s="1">
        <v>231.03</v>
      </c>
      <c r="G1908" s="1">
        <v>-70.42</v>
      </c>
      <c r="H1908" s="1">
        <v>7.0</v>
      </c>
      <c r="I1908" s="1" t="s">
        <v>23</v>
      </c>
      <c r="J1908" s="1" t="s">
        <v>24</v>
      </c>
      <c r="K1908" s="1">
        <f t="shared" si="1"/>
        <v>2023</v>
      </c>
      <c r="L1908" s="1" t="str">
        <f t="shared" si="2"/>
        <v>Mar</v>
      </c>
      <c r="M1908" s="1" t="str">
        <f t="shared" si="3"/>
        <v>Loss</v>
      </c>
    </row>
    <row r="1909" ht="14.25" customHeight="1">
      <c r="A1909" s="1" t="s">
        <v>1943</v>
      </c>
      <c r="B1909" s="2">
        <v>44212.0</v>
      </c>
      <c r="C1909" s="1" t="s">
        <v>20</v>
      </c>
      <c r="D1909" s="1" t="s">
        <v>27</v>
      </c>
      <c r="E1909" s="1" t="s">
        <v>33</v>
      </c>
      <c r="F1909" s="1">
        <v>225.45</v>
      </c>
      <c r="G1909" s="1">
        <v>186.3</v>
      </c>
      <c r="H1909" s="1">
        <v>6.0</v>
      </c>
      <c r="I1909" s="1" t="s">
        <v>17</v>
      </c>
      <c r="J1909" s="1" t="s">
        <v>38</v>
      </c>
      <c r="K1909" s="1">
        <f t="shared" si="1"/>
        <v>2021</v>
      </c>
      <c r="L1909" s="1" t="str">
        <f t="shared" si="2"/>
        <v>Jan</v>
      </c>
      <c r="M1909" s="1" t="str">
        <f t="shared" si="3"/>
        <v>Profit</v>
      </c>
    </row>
    <row r="1910" ht="14.25" customHeight="1">
      <c r="A1910" s="1" t="s">
        <v>1944</v>
      </c>
      <c r="B1910" s="2">
        <v>45095.0</v>
      </c>
      <c r="C1910" s="1" t="s">
        <v>26</v>
      </c>
      <c r="D1910" s="1" t="s">
        <v>27</v>
      </c>
      <c r="E1910" s="1" t="s">
        <v>28</v>
      </c>
      <c r="F1910" s="1">
        <v>860.27</v>
      </c>
      <c r="G1910" s="1">
        <v>28.01</v>
      </c>
      <c r="H1910" s="1">
        <v>8.0</v>
      </c>
      <c r="I1910" s="1" t="s">
        <v>34</v>
      </c>
      <c r="J1910" s="1" t="s">
        <v>35</v>
      </c>
      <c r="K1910" s="1">
        <f t="shared" si="1"/>
        <v>2023</v>
      </c>
      <c r="L1910" s="1" t="str">
        <f t="shared" si="2"/>
        <v>Jun</v>
      </c>
      <c r="M1910" s="1" t="str">
        <f t="shared" si="3"/>
        <v>Profit</v>
      </c>
    </row>
    <row r="1911" ht="14.25" customHeight="1">
      <c r="A1911" s="1" t="s">
        <v>1945</v>
      </c>
      <c r="B1911" s="2">
        <v>44512.0</v>
      </c>
      <c r="C1911" s="1" t="s">
        <v>30</v>
      </c>
      <c r="D1911" s="1" t="s">
        <v>21</v>
      </c>
      <c r="E1911" s="1" t="s">
        <v>22</v>
      </c>
      <c r="F1911" s="1">
        <v>195.1</v>
      </c>
      <c r="G1911" s="1">
        <v>106.53</v>
      </c>
      <c r="H1911" s="1">
        <v>9.0</v>
      </c>
      <c r="I1911" s="1" t="s">
        <v>34</v>
      </c>
      <c r="J1911" s="1" t="s">
        <v>35</v>
      </c>
      <c r="K1911" s="1">
        <f t="shared" si="1"/>
        <v>2021</v>
      </c>
      <c r="L1911" s="1" t="str">
        <f t="shared" si="2"/>
        <v>Nov</v>
      </c>
      <c r="M1911" s="1" t="str">
        <f t="shared" si="3"/>
        <v>Profit</v>
      </c>
    </row>
    <row r="1912" ht="14.25" customHeight="1">
      <c r="A1912" s="1" t="s">
        <v>1946</v>
      </c>
      <c r="B1912" s="2">
        <v>44845.0</v>
      </c>
      <c r="C1912" s="1" t="s">
        <v>20</v>
      </c>
      <c r="D1912" s="1" t="s">
        <v>21</v>
      </c>
      <c r="E1912" s="1" t="s">
        <v>22</v>
      </c>
      <c r="F1912" s="1">
        <v>219.15</v>
      </c>
      <c r="G1912" s="1">
        <v>-62.84</v>
      </c>
      <c r="H1912" s="1">
        <v>2.0</v>
      </c>
      <c r="I1912" s="1" t="s">
        <v>17</v>
      </c>
      <c r="J1912" s="1" t="s">
        <v>18</v>
      </c>
      <c r="K1912" s="1">
        <f t="shared" si="1"/>
        <v>2022</v>
      </c>
      <c r="L1912" s="1" t="str">
        <f t="shared" si="2"/>
        <v>Oct</v>
      </c>
      <c r="M1912" s="1" t="str">
        <f t="shared" si="3"/>
        <v>Loss</v>
      </c>
    </row>
    <row r="1913" ht="14.25" customHeight="1">
      <c r="A1913" s="1" t="s">
        <v>1947</v>
      </c>
      <c r="B1913" s="2">
        <v>44549.0</v>
      </c>
      <c r="C1913" s="1" t="s">
        <v>26</v>
      </c>
      <c r="D1913" s="1" t="s">
        <v>27</v>
      </c>
      <c r="E1913" s="1" t="s">
        <v>40</v>
      </c>
      <c r="F1913" s="1">
        <v>91.56</v>
      </c>
      <c r="G1913" s="1">
        <v>18.26</v>
      </c>
      <c r="H1913" s="1">
        <v>8.0</v>
      </c>
      <c r="I1913" s="1" t="s">
        <v>34</v>
      </c>
      <c r="J1913" s="1" t="s">
        <v>38</v>
      </c>
      <c r="K1913" s="1">
        <f t="shared" si="1"/>
        <v>2021</v>
      </c>
      <c r="L1913" s="1" t="str">
        <f t="shared" si="2"/>
        <v>Dec</v>
      </c>
      <c r="M1913" s="1" t="str">
        <f t="shared" si="3"/>
        <v>Profit</v>
      </c>
    </row>
    <row r="1914" ht="14.25" customHeight="1">
      <c r="A1914" s="1" t="s">
        <v>1948</v>
      </c>
      <c r="B1914" s="2">
        <v>45152.0</v>
      </c>
      <c r="C1914" s="1" t="s">
        <v>14</v>
      </c>
      <c r="D1914" s="1" t="s">
        <v>21</v>
      </c>
      <c r="E1914" s="1" t="s">
        <v>76</v>
      </c>
      <c r="F1914" s="1">
        <v>655.43</v>
      </c>
      <c r="G1914" s="1">
        <v>280.23</v>
      </c>
      <c r="H1914" s="1">
        <v>3.0</v>
      </c>
      <c r="I1914" s="1" t="s">
        <v>23</v>
      </c>
      <c r="J1914" s="1" t="s">
        <v>35</v>
      </c>
      <c r="K1914" s="1">
        <f t="shared" si="1"/>
        <v>2023</v>
      </c>
      <c r="L1914" s="1" t="str">
        <f t="shared" si="2"/>
        <v>Aug</v>
      </c>
      <c r="M1914" s="1" t="str">
        <f t="shared" si="3"/>
        <v>Profit</v>
      </c>
    </row>
    <row r="1915" ht="14.25" customHeight="1">
      <c r="A1915" s="1" t="s">
        <v>1949</v>
      </c>
      <c r="B1915" s="2">
        <v>44861.0</v>
      </c>
      <c r="C1915" s="1" t="s">
        <v>26</v>
      </c>
      <c r="D1915" s="1" t="s">
        <v>21</v>
      </c>
      <c r="E1915" s="1" t="s">
        <v>76</v>
      </c>
      <c r="F1915" s="1">
        <v>69.78</v>
      </c>
      <c r="G1915" s="1">
        <v>35.79</v>
      </c>
      <c r="H1915" s="1">
        <v>10.0</v>
      </c>
      <c r="I1915" s="1" t="s">
        <v>17</v>
      </c>
      <c r="J1915" s="1" t="s">
        <v>24</v>
      </c>
      <c r="K1915" s="1">
        <f t="shared" si="1"/>
        <v>2022</v>
      </c>
      <c r="L1915" s="1" t="str">
        <f t="shared" si="2"/>
        <v>Oct</v>
      </c>
      <c r="M1915" s="1" t="str">
        <f t="shared" si="3"/>
        <v>Profit</v>
      </c>
    </row>
    <row r="1916" ht="14.25" customHeight="1">
      <c r="A1916" s="1" t="s">
        <v>1950</v>
      </c>
      <c r="B1916" s="2">
        <v>45215.0</v>
      </c>
      <c r="C1916" s="1" t="s">
        <v>26</v>
      </c>
      <c r="D1916" s="1" t="s">
        <v>21</v>
      </c>
      <c r="E1916" s="1" t="s">
        <v>76</v>
      </c>
      <c r="F1916" s="1">
        <v>490.86</v>
      </c>
      <c r="G1916" s="1">
        <v>-196.04</v>
      </c>
      <c r="H1916" s="1">
        <v>8.0</v>
      </c>
      <c r="I1916" s="1" t="s">
        <v>17</v>
      </c>
      <c r="J1916" s="1" t="s">
        <v>24</v>
      </c>
      <c r="K1916" s="1">
        <f t="shared" si="1"/>
        <v>2023</v>
      </c>
      <c r="L1916" s="1" t="str">
        <f t="shared" si="2"/>
        <v>Oct</v>
      </c>
      <c r="M1916" s="1" t="str">
        <f t="shared" si="3"/>
        <v>Loss</v>
      </c>
    </row>
    <row r="1917" ht="14.25" customHeight="1">
      <c r="A1917" s="1" t="s">
        <v>1951</v>
      </c>
      <c r="B1917" s="2">
        <v>44844.0</v>
      </c>
      <c r="C1917" s="1" t="s">
        <v>30</v>
      </c>
      <c r="D1917" s="1" t="s">
        <v>15</v>
      </c>
      <c r="E1917" s="1" t="s">
        <v>54</v>
      </c>
      <c r="F1917" s="1">
        <v>617.55</v>
      </c>
      <c r="G1917" s="1">
        <v>-124.87</v>
      </c>
      <c r="H1917" s="1">
        <v>4.0</v>
      </c>
      <c r="I1917" s="1" t="s">
        <v>17</v>
      </c>
      <c r="J1917" s="1" t="s">
        <v>35</v>
      </c>
      <c r="K1917" s="1">
        <f t="shared" si="1"/>
        <v>2022</v>
      </c>
      <c r="L1917" s="1" t="str">
        <f t="shared" si="2"/>
        <v>Oct</v>
      </c>
      <c r="M1917" s="1" t="str">
        <f t="shared" si="3"/>
        <v>Loss</v>
      </c>
    </row>
    <row r="1918" ht="14.25" customHeight="1">
      <c r="A1918" s="1" t="s">
        <v>1952</v>
      </c>
      <c r="B1918" s="2">
        <v>44692.0</v>
      </c>
      <c r="C1918" s="1" t="s">
        <v>14</v>
      </c>
      <c r="D1918" s="1" t="s">
        <v>21</v>
      </c>
      <c r="E1918" s="1" t="s">
        <v>76</v>
      </c>
      <c r="F1918" s="1">
        <v>688.38</v>
      </c>
      <c r="G1918" s="1">
        <v>257.84</v>
      </c>
      <c r="H1918" s="1">
        <v>7.0</v>
      </c>
      <c r="I1918" s="1" t="s">
        <v>23</v>
      </c>
      <c r="J1918" s="1" t="s">
        <v>24</v>
      </c>
      <c r="K1918" s="1">
        <f t="shared" si="1"/>
        <v>2022</v>
      </c>
      <c r="L1918" s="1" t="str">
        <f t="shared" si="2"/>
        <v>May</v>
      </c>
      <c r="M1918" s="1" t="str">
        <f t="shared" si="3"/>
        <v>Profit</v>
      </c>
    </row>
    <row r="1919" ht="14.25" customHeight="1">
      <c r="A1919" s="1" t="s">
        <v>1953</v>
      </c>
      <c r="B1919" s="2">
        <v>45118.0</v>
      </c>
      <c r="C1919" s="1" t="s">
        <v>26</v>
      </c>
      <c r="D1919" s="1" t="s">
        <v>15</v>
      </c>
      <c r="E1919" s="1" t="s">
        <v>54</v>
      </c>
      <c r="F1919" s="1">
        <v>555.83</v>
      </c>
      <c r="G1919" s="1">
        <v>87.52</v>
      </c>
      <c r="H1919" s="1">
        <v>2.0</v>
      </c>
      <c r="I1919" s="1" t="s">
        <v>23</v>
      </c>
      <c r="J1919" s="1" t="s">
        <v>35</v>
      </c>
      <c r="K1919" s="1">
        <f t="shared" si="1"/>
        <v>2023</v>
      </c>
      <c r="L1919" s="1" t="str">
        <f t="shared" si="2"/>
        <v>Jul</v>
      </c>
      <c r="M1919" s="1" t="str">
        <f t="shared" si="3"/>
        <v>Profit</v>
      </c>
    </row>
    <row r="1920" ht="14.25" customHeight="1">
      <c r="A1920" s="1" t="s">
        <v>1954</v>
      </c>
      <c r="B1920" s="2">
        <v>44313.0</v>
      </c>
      <c r="C1920" s="1" t="s">
        <v>30</v>
      </c>
      <c r="D1920" s="1" t="s">
        <v>15</v>
      </c>
      <c r="E1920" s="1" t="s">
        <v>16</v>
      </c>
      <c r="F1920" s="1">
        <v>999.83</v>
      </c>
      <c r="G1920" s="1">
        <v>-148.07</v>
      </c>
      <c r="H1920" s="1">
        <v>2.0</v>
      </c>
      <c r="I1920" s="1" t="s">
        <v>17</v>
      </c>
      <c r="J1920" s="1" t="s">
        <v>18</v>
      </c>
      <c r="K1920" s="1">
        <f t="shared" si="1"/>
        <v>2021</v>
      </c>
      <c r="L1920" s="1" t="str">
        <f t="shared" si="2"/>
        <v>Apr</v>
      </c>
      <c r="M1920" s="1" t="str">
        <f t="shared" si="3"/>
        <v>Loss</v>
      </c>
    </row>
    <row r="1921" ht="14.25" customHeight="1">
      <c r="A1921" s="1" t="s">
        <v>1955</v>
      </c>
      <c r="B1921" s="2">
        <v>45010.0</v>
      </c>
      <c r="C1921" s="1" t="s">
        <v>30</v>
      </c>
      <c r="D1921" s="1" t="s">
        <v>15</v>
      </c>
      <c r="E1921" s="1" t="s">
        <v>54</v>
      </c>
      <c r="F1921" s="1">
        <v>730.83</v>
      </c>
      <c r="G1921" s="1">
        <v>56.44</v>
      </c>
      <c r="H1921" s="1">
        <v>5.0</v>
      </c>
      <c r="I1921" s="1" t="s">
        <v>23</v>
      </c>
      <c r="J1921" s="1" t="s">
        <v>18</v>
      </c>
      <c r="K1921" s="1">
        <f t="shared" si="1"/>
        <v>2023</v>
      </c>
      <c r="L1921" s="1" t="str">
        <f t="shared" si="2"/>
        <v>Mar</v>
      </c>
      <c r="M1921" s="1" t="str">
        <f t="shared" si="3"/>
        <v>Profit</v>
      </c>
    </row>
    <row r="1922" ht="14.25" customHeight="1">
      <c r="A1922" s="1" t="s">
        <v>1956</v>
      </c>
      <c r="B1922" s="2">
        <v>44317.0</v>
      </c>
      <c r="C1922" s="1" t="s">
        <v>26</v>
      </c>
      <c r="D1922" s="1" t="s">
        <v>15</v>
      </c>
      <c r="E1922" s="1" t="s">
        <v>54</v>
      </c>
      <c r="F1922" s="1">
        <v>870.92</v>
      </c>
      <c r="G1922" s="1">
        <v>162.69</v>
      </c>
      <c r="H1922" s="1">
        <v>5.0</v>
      </c>
      <c r="I1922" s="1" t="s">
        <v>23</v>
      </c>
      <c r="J1922" s="1" t="s">
        <v>18</v>
      </c>
      <c r="K1922" s="1">
        <f t="shared" si="1"/>
        <v>2021</v>
      </c>
      <c r="L1922" s="1" t="str">
        <f t="shared" si="2"/>
        <v>May</v>
      </c>
      <c r="M1922" s="1" t="str">
        <f t="shared" si="3"/>
        <v>Profit</v>
      </c>
    </row>
    <row r="1923" ht="14.25" customHeight="1">
      <c r="A1923" s="1" t="s">
        <v>1957</v>
      </c>
      <c r="B1923" s="2">
        <v>44673.0</v>
      </c>
      <c r="C1923" s="1" t="s">
        <v>20</v>
      </c>
      <c r="D1923" s="1" t="s">
        <v>27</v>
      </c>
      <c r="E1923" s="1" t="s">
        <v>33</v>
      </c>
      <c r="F1923" s="1">
        <v>464.85</v>
      </c>
      <c r="G1923" s="1">
        <v>180.91</v>
      </c>
      <c r="H1923" s="1">
        <v>4.0</v>
      </c>
      <c r="I1923" s="1" t="s">
        <v>34</v>
      </c>
      <c r="J1923" s="1" t="s">
        <v>38</v>
      </c>
      <c r="K1923" s="1">
        <f t="shared" si="1"/>
        <v>2022</v>
      </c>
      <c r="L1923" s="1" t="str">
        <f t="shared" si="2"/>
        <v>Apr</v>
      </c>
      <c r="M1923" s="1" t="str">
        <f t="shared" si="3"/>
        <v>Profit</v>
      </c>
    </row>
    <row r="1924" ht="14.25" customHeight="1">
      <c r="A1924" s="1" t="s">
        <v>1958</v>
      </c>
      <c r="B1924" s="2">
        <v>44287.0</v>
      </c>
      <c r="C1924" s="1" t="s">
        <v>14</v>
      </c>
      <c r="D1924" s="1" t="s">
        <v>21</v>
      </c>
      <c r="E1924" s="1" t="s">
        <v>76</v>
      </c>
      <c r="F1924" s="1">
        <v>832.74</v>
      </c>
      <c r="G1924" s="1">
        <v>166.41</v>
      </c>
      <c r="H1924" s="1">
        <v>3.0</v>
      </c>
      <c r="I1924" s="1" t="s">
        <v>17</v>
      </c>
      <c r="J1924" s="1" t="s">
        <v>35</v>
      </c>
      <c r="K1924" s="1">
        <f t="shared" si="1"/>
        <v>2021</v>
      </c>
      <c r="L1924" s="1" t="str">
        <f t="shared" si="2"/>
        <v>Apr</v>
      </c>
      <c r="M1924" s="1" t="str">
        <f t="shared" si="3"/>
        <v>Profit</v>
      </c>
    </row>
    <row r="1925" ht="14.25" customHeight="1">
      <c r="A1925" s="1" t="s">
        <v>1959</v>
      </c>
      <c r="B1925" s="2">
        <v>44737.0</v>
      </c>
      <c r="C1925" s="1" t="s">
        <v>14</v>
      </c>
      <c r="D1925" s="1" t="s">
        <v>27</v>
      </c>
      <c r="E1925" s="1" t="s">
        <v>33</v>
      </c>
      <c r="F1925" s="1">
        <v>978.71</v>
      </c>
      <c r="G1925" s="1">
        <v>14.65</v>
      </c>
      <c r="H1925" s="1">
        <v>6.0</v>
      </c>
      <c r="I1925" s="1" t="s">
        <v>23</v>
      </c>
      <c r="J1925" s="1" t="s">
        <v>24</v>
      </c>
      <c r="K1925" s="1">
        <f t="shared" si="1"/>
        <v>2022</v>
      </c>
      <c r="L1925" s="1" t="str">
        <f t="shared" si="2"/>
        <v>Jun</v>
      </c>
      <c r="M1925" s="1" t="str">
        <f t="shared" si="3"/>
        <v>Profit</v>
      </c>
    </row>
    <row r="1926" ht="14.25" customHeight="1">
      <c r="A1926" s="1" t="s">
        <v>1960</v>
      </c>
      <c r="B1926" s="2">
        <v>44507.0</v>
      </c>
      <c r="C1926" s="1" t="s">
        <v>30</v>
      </c>
      <c r="D1926" s="1" t="s">
        <v>15</v>
      </c>
      <c r="E1926" s="1" t="s">
        <v>16</v>
      </c>
      <c r="F1926" s="1">
        <v>385.15</v>
      </c>
      <c r="G1926" s="1">
        <v>-179.67</v>
      </c>
      <c r="H1926" s="1">
        <v>10.0</v>
      </c>
      <c r="I1926" s="1" t="s">
        <v>17</v>
      </c>
      <c r="J1926" s="1" t="s">
        <v>38</v>
      </c>
      <c r="K1926" s="1">
        <f t="shared" si="1"/>
        <v>2021</v>
      </c>
      <c r="L1926" s="1" t="str">
        <f t="shared" si="2"/>
        <v>Nov</v>
      </c>
      <c r="M1926" s="1" t="str">
        <f t="shared" si="3"/>
        <v>Loss</v>
      </c>
    </row>
    <row r="1927" ht="14.25" customHeight="1">
      <c r="A1927" s="1" t="s">
        <v>1961</v>
      </c>
      <c r="B1927" s="2">
        <v>44683.0</v>
      </c>
      <c r="C1927" s="1" t="s">
        <v>26</v>
      </c>
      <c r="D1927" s="1" t="s">
        <v>21</v>
      </c>
      <c r="E1927" s="1" t="s">
        <v>37</v>
      </c>
      <c r="F1927" s="1">
        <v>36.6</v>
      </c>
      <c r="G1927" s="1">
        <v>156.14</v>
      </c>
      <c r="H1927" s="1">
        <v>3.0</v>
      </c>
      <c r="I1927" s="1" t="s">
        <v>34</v>
      </c>
      <c r="J1927" s="1" t="s">
        <v>35</v>
      </c>
      <c r="K1927" s="1">
        <f t="shared" si="1"/>
        <v>2022</v>
      </c>
      <c r="L1927" s="1" t="str">
        <f t="shared" si="2"/>
        <v>May</v>
      </c>
      <c r="M1927" s="1" t="str">
        <f t="shared" si="3"/>
        <v>Profit</v>
      </c>
    </row>
    <row r="1928" ht="14.25" customHeight="1">
      <c r="A1928" s="1" t="s">
        <v>1962</v>
      </c>
      <c r="B1928" s="2">
        <v>44460.0</v>
      </c>
      <c r="C1928" s="1" t="s">
        <v>14</v>
      </c>
      <c r="D1928" s="1" t="s">
        <v>15</v>
      </c>
      <c r="E1928" s="1" t="s">
        <v>31</v>
      </c>
      <c r="F1928" s="1">
        <v>694.69</v>
      </c>
      <c r="G1928" s="1">
        <v>-185.76</v>
      </c>
      <c r="H1928" s="1">
        <v>6.0</v>
      </c>
      <c r="I1928" s="1" t="s">
        <v>23</v>
      </c>
      <c r="J1928" s="1" t="s">
        <v>38</v>
      </c>
      <c r="K1928" s="1">
        <f t="shared" si="1"/>
        <v>2021</v>
      </c>
      <c r="L1928" s="1" t="str">
        <f t="shared" si="2"/>
        <v>Sep</v>
      </c>
      <c r="M1928" s="1" t="str">
        <f t="shared" si="3"/>
        <v>Loss</v>
      </c>
    </row>
    <row r="1929" ht="14.25" customHeight="1">
      <c r="A1929" s="1" t="s">
        <v>1963</v>
      </c>
      <c r="B1929" s="2">
        <v>44634.0</v>
      </c>
      <c r="C1929" s="1" t="s">
        <v>30</v>
      </c>
      <c r="D1929" s="1" t="s">
        <v>27</v>
      </c>
      <c r="E1929" s="1" t="s">
        <v>40</v>
      </c>
      <c r="F1929" s="1">
        <v>65.41</v>
      </c>
      <c r="G1929" s="1">
        <v>-58.54</v>
      </c>
      <c r="H1929" s="1">
        <v>1.0</v>
      </c>
      <c r="I1929" s="1" t="s">
        <v>34</v>
      </c>
      <c r="J1929" s="1" t="s">
        <v>24</v>
      </c>
      <c r="K1929" s="1">
        <f t="shared" si="1"/>
        <v>2022</v>
      </c>
      <c r="L1929" s="1" t="str">
        <f t="shared" si="2"/>
        <v>Mar</v>
      </c>
      <c r="M1929" s="1" t="str">
        <f t="shared" si="3"/>
        <v>Loss</v>
      </c>
    </row>
    <row r="1930" ht="14.25" customHeight="1">
      <c r="A1930" s="1" t="s">
        <v>1964</v>
      </c>
      <c r="B1930" s="2">
        <v>45282.0</v>
      </c>
      <c r="C1930" s="1" t="s">
        <v>14</v>
      </c>
      <c r="D1930" s="1" t="s">
        <v>21</v>
      </c>
      <c r="E1930" s="1" t="s">
        <v>22</v>
      </c>
      <c r="F1930" s="1">
        <v>961.92</v>
      </c>
      <c r="G1930" s="1">
        <v>-63.91</v>
      </c>
      <c r="H1930" s="1">
        <v>8.0</v>
      </c>
      <c r="I1930" s="1" t="s">
        <v>17</v>
      </c>
      <c r="J1930" s="1" t="s">
        <v>18</v>
      </c>
      <c r="K1930" s="1">
        <f t="shared" si="1"/>
        <v>2023</v>
      </c>
      <c r="L1930" s="1" t="str">
        <f t="shared" si="2"/>
        <v>Dec</v>
      </c>
      <c r="M1930" s="1" t="str">
        <f t="shared" si="3"/>
        <v>Loss</v>
      </c>
    </row>
    <row r="1931" ht="14.25" customHeight="1">
      <c r="A1931" s="1" t="s">
        <v>1965</v>
      </c>
      <c r="B1931" s="2">
        <v>44232.0</v>
      </c>
      <c r="C1931" s="1" t="s">
        <v>26</v>
      </c>
      <c r="D1931" s="1" t="s">
        <v>27</v>
      </c>
      <c r="E1931" s="1" t="s">
        <v>40</v>
      </c>
      <c r="F1931" s="1">
        <v>687.59</v>
      </c>
      <c r="G1931" s="1">
        <v>42.75</v>
      </c>
      <c r="H1931" s="1">
        <v>2.0</v>
      </c>
      <c r="I1931" s="1" t="s">
        <v>34</v>
      </c>
      <c r="J1931" s="1" t="s">
        <v>18</v>
      </c>
      <c r="K1931" s="1">
        <f t="shared" si="1"/>
        <v>2021</v>
      </c>
      <c r="L1931" s="1" t="str">
        <f t="shared" si="2"/>
        <v>Feb</v>
      </c>
      <c r="M1931" s="1" t="str">
        <f t="shared" si="3"/>
        <v>Profit</v>
      </c>
    </row>
    <row r="1932" ht="14.25" customHeight="1">
      <c r="A1932" s="1" t="s">
        <v>1966</v>
      </c>
      <c r="B1932" s="2">
        <v>45159.0</v>
      </c>
      <c r="C1932" s="1" t="s">
        <v>20</v>
      </c>
      <c r="D1932" s="1" t="s">
        <v>15</v>
      </c>
      <c r="E1932" s="1" t="s">
        <v>31</v>
      </c>
      <c r="F1932" s="1">
        <v>783.8</v>
      </c>
      <c r="G1932" s="1">
        <v>-52.96</v>
      </c>
      <c r="H1932" s="1">
        <v>8.0</v>
      </c>
      <c r="I1932" s="1" t="s">
        <v>34</v>
      </c>
      <c r="J1932" s="1" t="s">
        <v>24</v>
      </c>
      <c r="K1932" s="1">
        <f t="shared" si="1"/>
        <v>2023</v>
      </c>
      <c r="L1932" s="1" t="str">
        <f t="shared" si="2"/>
        <v>Aug</v>
      </c>
      <c r="M1932" s="1" t="str">
        <f t="shared" si="3"/>
        <v>Loss</v>
      </c>
    </row>
    <row r="1933" ht="14.25" customHeight="1">
      <c r="A1933" s="1" t="s">
        <v>1967</v>
      </c>
      <c r="B1933" s="2">
        <v>44853.0</v>
      </c>
      <c r="C1933" s="1" t="s">
        <v>20</v>
      </c>
      <c r="D1933" s="1" t="s">
        <v>27</v>
      </c>
      <c r="E1933" s="1" t="s">
        <v>28</v>
      </c>
      <c r="F1933" s="1">
        <v>185.93</v>
      </c>
      <c r="G1933" s="1">
        <v>-118.13</v>
      </c>
      <c r="H1933" s="1">
        <v>5.0</v>
      </c>
      <c r="I1933" s="1" t="s">
        <v>23</v>
      </c>
      <c r="J1933" s="1" t="s">
        <v>38</v>
      </c>
      <c r="K1933" s="1">
        <f t="shared" si="1"/>
        <v>2022</v>
      </c>
      <c r="L1933" s="1" t="str">
        <f t="shared" si="2"/>
        <v>Oct</v>
      </c>
      <c r="M1933" s="1" t="str">
        <f t="shared" si="3"/>
        <v>Loss</v>
      </c>
    </row>
    <row r="1934" ht="14.25" customHeight="1">
      <c r="A1934" s="1" t="s">
        <v>1968</v>
      </c>
      <c r="B1934" s="2">
        <v>45054.0</v>
      </c>
      <c r="C1934" s="1" t="s">
        <v>30</v>
      </c>
      <c r="D1934" s="1" t="s">
        <v>27</v>
      </c>
      <c r="E1934" s="1" t="s">
        <v>28</v>
      </c>
      <c r="F1934" s="1">
        <v>580.5</v>
      </c>
      <c r="G1934" s="1">
        <v>169.46</v>
      </c>
      <c r="H1934" s="1">
        <v>2.0</v>
      </c>
      <c r="I1934" s="1" t="s">
        <v>17</v>
      </c>
      <c r="J1934" s="1" t="s">
        <v>24</v>
      </c>
      <c r="K1934" s="1">
        <f t="shared" si="1"/>
        <v>2023</v>
      </c>
      <c r="L1934" s="1" t="str">
        <f t="shared" si="2"/>
        <v>May</v>
      </c>
      <c r="M1934" s="1" t="str">
        <f t="shared" si="3"/>
        <v>Profit</v>
      </c>
    </row>
    <row r="1935" ht="14.25" customHeight="1">
      <c r="A1935" s="1" t="s">
        <v>1969</v>
      </c>
      <c r="B1935" s="2">
        <v>45218.0</v>
      </c>
      <c r="C1935" s="1" t="s">
        <v>14</v>
      </c>
      <c r="D1935" s="1" t="s">
        <v>27</v>
      </c>
      <c r="E1935" s="1" t="s">
        <v>33</v>
      </c>
      <c r="F1935" s="1">
        <v>798.61</v>
      </c>
      <c r="G1935" s="1">
        <v>-8.03</v>
      </c>
      <c r="H1935" s="1">
        <v>2.0</v>
      </c>
      <c r="I1935" s="1" t="s">
        <v>34</v>
      </c>
      <c r="J1935" s="1" t="s">
        <v>18</v>
      </c>
      <c r="K1935" s="1">
        <f t="shared" si="1"/>
        <v>2023</v>
      </c>
      <c r="L1935" s="1" t="str">
        <f t="shared" si="2"/>
        <v>Oct</v>
      </c>
      <c r="M1935" s="1" t="str">
        <f t="shared" si="3"/>
        <v>Loss</v>
      </c>
    </row>
    <row r="1936" ht="14.25" customHeight="1">
      <c r="A1936" s="1" t="s">
        <v>1970</v>
      </c>
      <c r="B1936" s="2">
        <v>44710.0</v>
      </c>
      <c r="C1936" s="1" t="s">
        <v>30</v>
      </c>
      <c r="D1936" s="1" t="s">
        <v>15</v>
      </c>
      <c r="E1936" s="1" t="s">
        <v>54</v>
      </c>
      <c r="F1936" s="1">
        <v>254.1</v>
      </c>
      <c r="G1936" s="1">
        <v>201.29</v>
      </c>
      <c r="H1936" s="1">
        <v>7.0</v>
      </c>
      <c r="I1936" s="1" t="s">
        <v>23</v>
      </c>
      <c r="J1936" s="1" t="s">
        <v>38</v>
      </c>
      <c r="K1936" s="1">
        <f t="shared" si="1"/>
        <v>2022</v>
      </c>
      <c r="L1936" s="1" t="str">
        <f t="shared" si="2"/>
        <v>May</v>
      </c>
      <c r="M1936" s="1" t="str">
        <f t="shared" si="3"/>
        <v>Profit</v>
      </c>
    </row>
    <row r="1937" ht="14.25" customHeight="1">
      <c r="A1937" s="1" t="s">
        <v>1971</v>
      </c>
      <c r="B1937" s="2">
        <v>44877.0</v>
      </c>
      <c r="C1937" s="1" t="s">
        <v>14</v>
      </c>
      <c r="D1937" s="1" t="s">
        <v>27</v>
      </c>
      <c r="E1937" s="1" t="s">
        <v>28</v>
      </c>
      <c r="F1937" s="1">
        <v>602.69</v>
      </c>
      <c r="G1937" s="1">
        <v>252.42</v>
      </c>
      <c r="H1937" s="1">
        <v>3.0</v>
      </c>
      <c r="I1937" s="1" t="s">
        <v>23</v>
      </c>
      <c r="J1937" s="1" t="s">
        <v>24</v>
      </c>
      <c r="K1937" s="1">
        <f t="shared" si="1"/>
        <v>2022</v>
      </c>
      <c r="L1937" s="1" t="str">
        <f t="shared" si="2"/>
        <v>Nov</v>
      </c>
      <c r="M1937" s="1" t="str">
        <f t="shared" si="3"/>
        <v>Profit</v>
      </c>
    </row>
    <row r="1938" ht="14.25" customHeight="1">
      <c r="A1938" s="1" t="s">
        <v>1972</v>
      </c>
      <c r="B1938" s="2">
        <v>44497.0</v>
      </c>
      <c r="C1938" s="1" t="s">
        <v>20</v>
      </c>
      <c r="D1938" s="1" t="s">
        <v>21</v>
      </c>
      <c r="E1938" s="1" t="s">
        <v>76</v>
      </c>
      <c r="F1938" s="1">
        <v>647.79</v>
      </c>
      <c r="G1938" s="1">
        <v>-111.14</v>
      </c>
      <c r="H1938" s="1">
        <v>4.0</v>
      </c>
      <c r="I1938" s="1" t="s">
        <v>23</v>
      </c>
      <c r="J1938" s="1" t="s">
        <v>18</v>
      </c>
      <c r="K1938" s="1">
        <f t="shared" si="1"/>
        <v>2021</v>
      </c>
      <c r="L1938" s="1" t="str">
        <f t="shared" si="2"/>
        <v>Oct</v>
      </c>
      <c r="M1938" s="1" t="str">
        <f t="shared" si="3"/>
        <v>Loss</v>
      </c>
    </row>
    <row r="1939" ht="14.25" customHeight="1">
      <c r="A1939" s="1" t="s">
        <v>1973</v>
      </c>
      <c r="B1939" s="2">
        <v>44548.0</v>
      </c>
      <c r="C1939" s="1" t="s">
        <v>26</v>
      </c>
      <c r="D1939" s="1" t="s">
        <v>21</v>
      </c>
      <c r="E1939" s="1" t="s">
        <v>22</v>
      </c>
      <c r="F1939" s="1">
        <v>426.63</v>
      </c>
      <c r="G1939" s="1">
        <v>102.04</v>
      </c>
      <c r="H1939" s="1">
        <v>8.0</v>
      </c>
      <c r="I1939" s="1" t="s">
        <v>34</v>
      </c>
      <c r="J1939" s="1" t="s">
        <v>24</v>
      </c>
      <c r="K1939" s="1">
        <f t="shared" si="1"/>
        <v>2021</v>
      </c>
      <c r="L1939" s="1" t="str">
        <f t="shared" si="2"/>
        <v>Dec</v>
      </c>
      <c r="M1939" s="1" t="str">
        <f t="shared" si="3"/>
        <v>Profit</v>
      </c>
    </row>
    <row r="1940" ht="14.25" customHeight="1">
      <c r="A1940" s="1" t="s">
        <v>1974</v>
      </c>
      <c r="B1940" s="2">
        <v>44892.0</v>
      </c>
      <c r="C1940" s="1" t="s">
        <v>14</v>
      </c>
      <c r="D1940" s="1" t="s">
        <v>21</v>
      </c>
      <c r="E1940" s="1" t="s">
        <v>76</v>
      </c>
      <c r="F1940" s="1">
        <v>516.03</v>
      </c>
      <c r="G1940" s="1">
        <v>292.62</v>
      </c>
      <c r="H1940" s="1">
        <v>5.0</v>
      </c>
      <c r="I1940" s="1" t="s">
        <v>23</v>
      </c>
      <c r="J1940" s="1" t="s">
        <v>38</v>
      </c>
      <c r="K1940" s="1">
        <f t="shared" si="1"/>
        <v>2022</v>
      </c>
      <c r="L1940" s="1" t="str">
        <f t="shared" si="2"/>
        <v>Nov</v>
      </c>
      <c r="M1940" s="1" t="str">
        <f t="shared" si="3"/>
        <v>Profit</v>
      </c>
    </row>
    <row r="1941" ht="14.25" customHeight="1">
      <c r="A1941" s="1" t="s">
        <v>1975</v>
      </c>
      <c r="B1941" s="2">
        <v>44386.0</v>
      </c>
      <c r="C1941" s="1" t="s">
        <v>26</v>
      </c>
      <c r="D1941" s="1" t="s">
        <v>21</v>
      </c>
      <c r="E1941" s="1" t="s">
        <v>76</v>
      </c>
      <c r="F1941" s="1">
        <v>798.09</v>
      </c>
      <c r="G1941" s="1">
        <v>256.31</v>
      </c>
      <c r="H1941" s="1">
        <v>4.0</v>
      </c>
      <c r="I1941" s="1" t="s">
        <v>23</v>
      </c>
      <c r="J1941" s="1" t="s">
        <v>24</v>
      </c>
      <c r="K1941" s="1">
        <f t="shared" si="1"/>
        <v>2021</v>
      </c>
      <c r="L1941" s="1" t="str">
        <f t="shared" si="2"/>
        <v>Jul</v>
      </c>
      <c r="M1941" s="1" t="str">
        <f t="shared" si="3"/>
        <v>Profit</v>
      </c>
    </row>
    <row r="1942" ht="14.25" customHeight="1">
      <c r="A1942" s="1" t="s">
        <v>1976</v>
      </c>
      <c r="B1942" s="2">
        <v>44312.0</v>
      </c>
      <c r="C1942" s="1" t="s">
        <v>14</v>
      </c>
      <c r="D1942" s="1" t="s">
        <v>27</v>
      </c>
      <c r="E1942" s="1" t="s">
        <v>28</v>
      </c>
      <c r="F1942" s="1">
        <v>290.84</v>
      </c>
      <c r="G1942" s="1">
        <v>75.29</v>
      </c>
      <c r="H1942" s="1">
        <v>4.0</v>
      </c>
      <c r="I1942" s="1" t="s">
        <v>34</v>
      </c>
      <c r="J1942" s="1" t="s">
        <v>18</v>
      </c>
      <c r="K1942" s="1">
        <f t="shared" si="1"/>
        <v>2021</v>
      </c>
      <c r="L1942" s="1" t="str">
        <f t="shared" si="2"/>
        <v>Apr</v>
      </c>
      <c r="M1942" s="1" t="str">
        <f t="shared" si="3"/>
        <v>Profit</v>
      </c>
    </row>
    <row r="1943" ht="14.25" customHeight="1">
      <c r="A1943" s="1" t="s">
        <v>1977</v>
      </c>
      <c r="B1943" s="2">
        <v>44327.0</v>
      </c>
      <c r="C1943" s="1" t="s">
        <v>30</v>
      </c>
      <c r="D1943" s="1" t="s">
        <v>15</v>
      </c>
      <c r="E1943" s="1" t="s">
        <v>16</v>
      </c>
      <c r="F1943" s="1">
        <v>959.36</v>
      </c>
      <c r="G1943" s="1">
        <v>284.64</v>
      </c>
      <c r="H1943" s="1">
        <v>9.0</v>
      </c>
      <c r="I1943" s="1" t="s">
        <v>23</v>
      </c>
      <c r="J1943" s="1" t="s">
        <v>38</v>
      </c>
      <c r="K1943" s="1">
        <f t="shared" si="1"/>
        <v>2021</v>
      </c>
      <c r="L1943" s="1" t="str">
        <f t="shared" si="2"/>
        <v>May</v>
      </c>
      <c r="M1943" s="1" t="str">
        <f t="shared" si="3"/>
        <v>Profit</v>
      </c>
    </row>
    <row r="1944" ht="14.25" customHeight="1">
      <c r="A1944" s="1" t="s">
        <v>1978</v>
      </c>
      <c r="B1944" s="2">
        <v>45093.0</v>
      </c>
      <c r="C1944" s="1" t="s">
        <v>30</v>
      </c>
      <c r="D1944" s="1" t="s">
        <v>15</v>
      </c>
      <c r="E1944" s="1" t="s">
        <v>16</v>
      </c>
      <c r="F1944" s="1">
        <v>946.7</v>
      </c>
      <c r="G1944" s="1">
        <v>61.78</v>
      </c>
      <c r="H1944" s="1">
        <v>6.0</v>
      </c>
      <c r="I1944" s="1" t="s">
        <v>34</v>
      </c>
      <c r="J1944" s="1" t="s">
        <v>35</v>
      </c>
      <c r="K1944" s="1">
        <f t="shared" si="1"/>
        <v>2023</v>
      </c>
      <c r="L1944" s="1" t="str">
        <f t="shared" si="2"/>
        <v>Jun</v>
      </c>
      <c r="M1944" s="1" t="str">
        <f t="shared" si="3"/>
        <v>Profit</v>
      </c>
    </row>
    <row r="1945" ht="14.25" customHeight="1">
      <c r="A1945" s="1" t="s">
        <v>1979</v>
      </c>
      <c r="B1945" s="2">
        <v>45209.0</v>
      </c>
      <c r="C1945" s="1" t="s">
        <v>26</v>
      </c>
      <c r="D1945" s="1" t="s">
        <v>15</v>
      </c>
      <c r="E1945" s="1" t="s">
        <v>31</v>
      </c>
      <c r="F1945" s="1">
        <v>356.86</v>
      </c>
      <c r="G1945" s="1">
        <v>-148.56</v>
      </c>
      <c r="H1945" s="1">
        <v>6.0</v>
      </c>
      <c r="I1945" s="1" t="s">
        <v>34</v>
      </c>
      <c r="J1945" s="1" t="s">
        <v>18</v>
      </c>
      <c r="K1945" s="1">
        <f t="shared" si="1"/>
        <v>2023</v>
      </c>
      <c r="L1945" s="1" t="str">
        <f t="shared" si="2"/>
        <v>Oct</v>
      </c>
      <c r="M1945" s="1" t="str">
        <f t="shared" si="3"/>
        <v>Loss</v>
      </c>
    </row>
    <row r="1946" ht="14.25" customHeight="1">
      <c r="A1946" s="1" t="s">
        <v>1980</v>
      </c>
      <c r="B1946" s="2">
        <v>44415.0</v>
      </c>
      <c r="C1946" s="1" t="s">
        <v>30</v>
      </c>
      <c r="D1946" s="1" t="s">
        <v>27</v>
      </c>
      <c r="E1946" s="1" t="s">
        <v>40</v>
      </c>
      <c r="F1946" s="1">
        <v>996.02</v>
      </c>
      <c r="G1946" s="1">
        <v>203.47</v>
      </c>
      <c r="H1946" s="1">
        <v>1.0</v>
      </c>
      <c r="I1946" s="1" t="s">
        <v>23</v>
      </c>
      <c r="J1946" s="1" t="s">
        <v>35</v>
      </c>
      <c r="K1946" s="1">
        <f t="shared" si="1"/>
        <v>2021</v>
      </c>
      <c r="L1946" s="1" t="str">
        <f t="shared" si="2"/>
        <v>Aug</v>
      </c>
      <c r="M1946" s="1" t="str">
        <f t="shared" si="3"/>
        <v>Profit</v>
      </c>
    </row>
    <row r="1947" ht="14.25" customHeight="1">
      <c r="A1947" s="1" t="s">
        <v>1981</v>
      </c>
      <c r="B1947" s="2">
        <v>44985.0</v>
      </c>
      <c r="C1947" s="1" t="s">
        <v>14</v>
      </c>
      <c r="D1947" s="1" t="s">
        <v>27</v>
      </c>
      <c r="E1947" s="1" t="s">
        <v>33</v>
      </c>
      <c r="F1947" s="1">
        <v>324.39</v>
      </c>
      <c r="G1947" s="1">
        <v>27.34</v>
      </c>
      <c r="H1947" s="1">
        <v>7.0</v>
      </c>
      <c r="I1947" s="1" t="s">
        <v>23</v>
      </c>
      <c r="J1947" s="1" t="s">
        <v>24</v>
      </c>
      <c r="K1947" s="1">
        <f t="shared" si="1"/>
        <v>2023</v>
      </c>
      <c r="L1947" s="1" t="str">
        <f t="shared" si="2"/>
        <v>Feb</v>
      </c>
      <c r="M1947" s="1" t="str">
        <f t="shared" si="3"/>
        <v>Profit</v>
      </c>
    </row>
    <row r="1948" ht="14.25" customHeight="1">
      <c r="A1948" s="1" t="s">
        <v>1982</v>
      </c>
      <c r="B1948" s="2">
        <v>44786.0</v>
      </c>
      <c r="C1948" s="1" t="s">
        <v>30</v>
      </c>
      <c r="D1948" s="1" t="s">
        <v>27</v>
      </c>
      <c r="E1948" s="1" t="s">
        <v>28</v>
      </c>
      <c r="F1948" s="1">
        <v>130.1</v>
      </c>
      <c r="G1948" s="1">
        <v>-125.86</v>
      </c>
      <c r="H1948" s="1">
        <v>5.0</v>
      </c>
      <c r="I1948" s="1" t="s">
        <v>23</v>
      </c>
      <c r="J1948" s="1" t="s">
        <v>35</v>
      </c>
      <c r="K1948" s="1">
        <f t="shared" si="1"/>
        <v>2022</v>
      </c>
      <c r="L1948" s="1" t="str">
        <f t="shared" si="2"/>
        <v>Aug</v>
      </c>
      <c r="M1948" s="1" t="str">
        <f t="shared" si="3"/>
        <v>Loss</v>
      </c>
    </row>
    <row r="1949" ht="14.25" customHeight="1">
      <c r="A1949" s="1" t="s">
        <v>1983</v>
      </c>
      <c r="B1949" s="2">
        <v>44733.0</v>
      </c>
      <c r="C1949" s="1" t="s">
        <v>14</v>
      </c>
      <c r="D1949" s="1" t="s">
        <v>27</v>
      </c>
      <c r="E1949" s="1" t="s">
        <v>40</v>
      </c>
      <c r="F1949" s="1">
        <v>53.27</v>
      </c>
      <c r="G1949" s="1">
        <v>-24.89</v>
      </c>
      <c r="H1949" s="1">
        <v>4.0</v>
      </c>
      <c r="I1949" s="1" t="s">
        <v>17</v>
      </c>
      <c r="J1949" s="1" t="s">
        <v>35</v>
      </c>
      <c r="K1949" s="1">
        <f t="shared" si="1"/>
        <v>2022</v>
      </c>
      <c r="L1949" s="1" t="str">
        <f t="shared" si="2"/>
        <v>Jun</v>
      </c>
      <c r="M1949" s="1" t="str">
        <f t="shared" si="3"/>
        <v>Loss</v>
      </c>
    </row>
    <row r="1950" ht="14.25" customHeight="1">
      <c r="A1950" s="1" t="s">
        <v>1984</v>
      </c>
      <c r="B1950" s="2">
        <v>45128.0</v>
      </c>
      <c r="C1950" s="1" t="s">
        <v>14</v>
      </c>
      <c r="D1950" s="1" t="s">
        <v>15</v>
      </c>
      <c r="E1950" s="1" t="s">
        <v>16</v>
      </c>
      <c r="F1950" s="1">
        <v>219.83</v>
      </c>
      <c r="G1950" s="1">
        <v>-186.77</v>
      </c>
      <c r="H1950" s="1">
        <v>3.0</v>
      </c>
      <c r="I1950" s="1" t="s">
        <v>17</v>
      </c>
      <c r="J1950" s="1" t="s">
        <v>24</v>
      </c>
      <c r="K1950" s="1">
        <f t="shared" si="1"/>
        <v>2023</v>
      </c>
      <c r="L1950" s="1" t="str">
        <f t="shared" si="2"/>
        <v>Jul</v>
      </c>
      <c r="M1950" s="1" t="str">
        <f t="shared" si="3"/>
        <v>Loss</v>
      </c>
    </row>
    <row r="1951" ht="14.25" customHeight="1">
      <c r="A1951" s="1" t="s">
        <v>1985</v>
      </c>
      <c r="B1951" s="2">
        <v>44388.0</v>
      </c>
      <c r="C1951" s="1" t="s">
        <v>20</v>
      </c>
      <c r="D1951" s="1" t="s">
        <v>15</v>
      </c>
      <c r="E1951" s="1" t="s">
        <v>54</v>
      </c>
      <c r="F1951" s="1">
        <v>760.89</v>
      </c>
      <c r="G1951" s="1">
        <v>19.74</v>
      </c>
      <c r="H1951" s="1">
        <v>5.0</v>
      </c>
      <c r="I1951" s="1" t="s">
        <v>23</v>
      </c>
      <c r="J1951" s="1" t="s">
        <v>24</v>
      </c>
      <c r="K1951" s="1">
        <f t="shared" si="1"/>
        <v>2021</v>
      </c>
      <c r="L1951" s="1" t="str">
        <f t="shared" si="2"/>
        <v>Jul</v>
      </c>
      <c r="M1951" s="1" t="str">
        <f t="shared" si="3"/>
        <v>Profit</v>
      </c>
    </row>
    <row r="1952" ht="14.25" customHeight="1">
      <c r="A1952" s="1" t="s">
        <v>1986</v>
      </c>
      <c r="B1952" s="2">
        <v>44286.0</v>
      </c>
      <c r="C1952" s="1" t="s">
        <v>30</v>
      </c>
      <c r="D1952" s="1" t="s">
        <v>27</v>
      </c>
      <c r="E1952" s="1" t="s">
        <v>33</v>
      </c>
      <c r="F1952" s="1">
        <v>308.89</v>
      </c>
      <c r="G1952" s="1">
        <v>-64.42</v>
      </c>
      <c r="H1952" s="1">
        <v>10.0</v>
      </c>
      <c r="I1952" s="1" t="s">
        <v>34</v>
      </c>
      <c r="J1952" s="1" t="s">
        <v>18</v>
      </c>
      <c r="K1952" s="1">
        <f t="shared" si="1"/>
        <v>2021</v>
      </c>
      <c r="L1952" s="1" t="str">
        <f t="shared" si="2"/>
        <v>Mar</v>
      </c>
      <c r="M1952" s="1" t="str">
        <f t="shared" si="3"/>
        <v>Loss</v>
      </c>
    </row>
    <row r="1953" ht="14.25" customHeight="1">
      <c r="A1953" s="1" t="s">
        <v>1987</v>
      </c>
      <c r="B1953" s="2">
        <v>44451.0</v>
      </c>
      <c r="C1953" s="1" t="s">
        <v>20</v>
      </c>
      <c r="D1953" s="1" t="s">
        <v>27</v>
      </c>
      <c r="E1953" s="1" t="s">
        <v>28</v>
      </c>
      <c r="F1953" s="1">
        <v>270.54</v>
      </c>
      <c r="G1953" s="1">
        <v>66.4</v>
      </c>
      <c r="H1953" s="1">
        <v>10.0</v>
      </c>
      <c r="I1953" s="1" t="s">
        <v>17</v>
      </c>
      <c r="J1953" s="1" t="s">
        <v>18</v>
      </c>
      <c r="K1953" s="1">
        <f t="shared" si="1"/>
        <v>2021</v>
      </c>
      <c r="L1953" s="1" t="str">
        <f t="shared" si="2"/>
        <v>Sep</v>
      </c>
      <c r="M1953" s="1" t="str">
        <f t="shared" si="3"/>
        <v>Profit</v>
      </c>
    </row>
    <row r="1954" ht="14.25" customHeight="1">
      <c r="A1954" s="1" t="s">
        <v>1988</v>
      </c>
      <c r="B1954" s="2">
        <v>44690.0</v>
      </c>
      <c r="C1954" s="1" t="s">
        <v>20</v>
      </c>
      <c r="D1954" s="1" t="s">
        <v>27</v>
      </c>
      <c r="E1954" s="1" t="s">
        <v>33</v>
      </c>
      <c r="F1954" s="1">
        <v>489.28</v>
      </c>
      <c r="G1954" s="1">
        <v>-113.87</v>
      </c>
      <c r="H1954" s="1">
        <v>7.0</v>
      </c>
      <c r="I1954" s="1" t="s">
        <v>34</v>
      </c>
      <c r="J1954" s="1" t="s">
        <v>24</v>
      </c>
      <c r="K1954" s="1">
        <f t="shared" si="1"/>
        <v>2022</v>
      </c>
      <c r="L1954" s="1" t="str">
        <f t="shared" si="2"/>
        <v>May</v>
      </c>
      <c r="M1954" s="1" t="str">
        <f t="shared" si="3"/>
        <v>Loss</v>
      </c>
    </row>
    <row r="1955" ht="14.25" customHeight="1">
      <c r="A1955" s="1" t="s">
        <v>1989</v>
      </c>
      <c r="B1955" s="2">
        <v>44882.0</v>
      </c>
      <c r="C1955" s="1" t="s">
        <v>26</v>
      </c>
      <c r="D1955" s="1" t="s">
        <v>27</v>
      </c>
      <c r="E1955" s="1" t="s">
        <v>40</v>
      </c>
      <c r="F1955" s="1">
        <v>824.72</v>
      </c>
      <c r="G1955" s="1">
        <v>-31.4</v>
      </c>
      <c r="H1955" s="1">
        <v>5.0</v>
      </c>
      <c r="I1955" s="1" t="s">
        <v>34</v>
      </c>
      <c r="J1955" s="1" t="s">
        <v>38</v>
      </c>
      <c r="K1955" s="1">
        <f t="shared" si="1"/>
        <v>2022</v>
      </c>
      <c r="L1955" s="1" t="str">
        <f t="shared" si="2"/>
        <v>Nov</v>
      </c>
      <c r="M1955" s="1" t="str">
        <f t="shared" si="3"/>
        <v>Loss</v>
      </c>
    </row>
    <row r="1956" ht="14.25" customHeight="1">
      <c r="A1956" s="1" t="s">
        <v>1990</v>
      </c>
      <c r="B1956" s="2">
        <v>44237.0</v>
      </c>
      <c r="C1956" s="1" t="s">
        <v>20</v>
      </c>
      <c r="D1956" s="1" t="s">
        <v>27</v>
      </c>
      <c r="E1956" s="1" t="s">
        <v>33</v>
      </c>
      <c r="F1956" s="1">
        <v>784.93</v>
      </c>
      <c r="G1956" s="1">
        <v>-108.8</v>
      </c>
      <c r="H1956" s="1">
        <v>1.0</v>
      </c>
      <c r="I1956" s="1" t="s">
        <v>17</v>
      </c>
      <c r="J1956" s="1" t="s">
        <v>24</v>
      </c>
      <c r="K1956" s="1">
        <f t="shared" si="1"/>
        <v>2021</v>
      </c>
      <c r="L1956" s="1" t="str">
        <f t="shared" si="2"/>
        <v>Feb</v>
      </c>
      <c r="M1956" s="1" t="str">
        <f t="shared" si="3"/>
        <v>Loss</v>
      </c>
    </row>
    <row r="1957" ht="14.25" customHeight="1">
      <c r="A1957" s="1" t="s">
        <v>1991</v>
      </c>
      <c r="B1957" s="2">
        <v>44566.0</v>
      </c>
      <c r="C1957" s="1" t="s">
        <v>20</v>
      </c>
      <c r="D1957" s="1" t="s">
        <v>27</v>
      </c>
      <c r="E1957" s="1" t="s">
        <v>33</v>
      </c>
      <c r="F1957" s="1">
        <v>663.07</v>
      </c>
      <c r="G1957" s="1">
        <v>109.23</v>
      </c>
      <c r="H1957" s="1">
        <v>1.0</v>
      </c>
      <c r="I1957" s="1" t="s">
        <v>17</v>
      </c>
      <c r="J1957" s="1" t="s">
        <v>24</v>
      </c>
      <c r="K1957" s="1">
        <f t="shared" si="1"/>
        <v>2022</v>
      </c>
      <c r="L1957" s="1" t="str">
        <f t="shared" si="2"/>
        <v>Jan</v>
      </c>
      <c r="M1957" s="1" t="str">
        <f t="shared" si="3"/>
        <v>Profit</v>
      </c>
    </row>
    <row r="1958" ht="14.25" customHeight="1">
      <c r="A1958" s="1" t="s">
        <v>1992</v>
      </c>
      <c r="B1958" s="2">
        <v>44451.0</v>
      </c>
      <c r="C1958" s="1" t="s">
        <v>14</v>
      </c>
      <c r="D1958" s="1" t="s">
        <v>15</v>
      </c>
      <c r="E1958" s="1" t="s">
        <v>31</v>
      </c>
      <c r="F1958" s="1">
        <v>772.68</v>
      </c>
      <c r="G1958" s="1">
        <v>237.07</v>
      </c>
      <c r="H1958" s="1">
        <v>7.0</v>
      </c>
      <c r="I1958" s="1" t="s">
        <v>34</v>
      </c>
      <c r="J1958" s="1" t="s">
        <v>18</v>
      </c>
      <c r="K1958" s="1">
        <f t="shared" si="1"/>
        <v>2021</v>
      </c>
      <c r="L1958" s="1" t="str">
        <f t="shared" si="2"/>
        <v>Sep</v>
      </c>
      <c r="M1958" s="1" t="str">
        <f t="shared" si="3"/>
        <v>Profit</v>
      </c>
    </row>
    <row r="1959" ht="14.25" customHeight="1">
      <c r="A1959" s="1" t="s">
        <v>1993</v>
      </c>
      <c r="B1959" s="2">
        <v>45039.0</v>
      </c>
      <c r="C1959" s="1" t="s">
        <v>20</v>
      </c>
      <c r="D1959" s="1" t="s">
        <v>27</v>
      </c>
      <c r="E1959" s="1" t="s">
        <v>40</v>
      </c>
      <c r="F1959" s="1">
        <v>301.6</v>
      </c>
      <c r="G1959" s="1">
        <v>255.09</v>
      </c>
      <c r="H1959" s="1">
        <v>9.0</v>
      </c>
      <c r="I1959" s="1" t="s">
        <v>23</v>
      </c>
      <c r="J1959" s="1" t="s">
        <v>35</v>
      </c>
      <c r="K1959" s="1">
        <f t="shared" si="1"/>
        <v>2023</v>
      </c>
      <c r="L1959" s="1" t="str">
        <f t="shared" si="2"/>
        <v>Apr</v>
      </c>
      <c r="M1959" s="1" t="str">
        <f t="shared" si="3"/>
        <v>Profit</v>
      </c>
    </row>
    <row r="1960" ht="14.25" customHeight="1">
      <c r="A1960" s="1" t="s">
        <v>1994</v>
      </c>
      <c r="B1960" s="2">
        <v>44804.0</v>
      </c>
      <c r="C1960" s="1" t="s">
        <v>30</v>
      </c>
      <c r="D1960" s="1" t="s">
        <v>27</v>
      </c>
      <c r="E1960" s="1" t="s">
        <v>40</v>
      </c>
      <c r="F1960" s="1">
        <v>249.72</v>
      </c>
      <c r="G1960" s="1">
        <v>242.16</v>
      </c>
      <c r="H1960" s="1">
        <v>9.0</v>
      </c>
      <c r="I1960" s="1" t="s">
        <v>23</v>
      </c>
      <c r="J1960" s="1" t="s">
        <v>38</v>
      </c>
      <c r="K1960" s="1">
        <f t="shared" si="1"/>
        <v>2022</v>
      </c>
      <c r="L1960" s="1" t="str">
        <f t="shared" si="2"/>
        <v>Aug</v>
      </c>
      <c r="M1960" s="1" t="str">
        <f t="shared" si="3"/>
        <v>Profit</v>
      </c>
    </row>
    <row r="1961" ht="14.25" customHeight="1">
      <c r="A1961" s="1" t="s">
        <v>1995</v>
      </c>
      <c r="B1961" s="2">
        <v>44591.0</v>
      </c>
      <c r="C1961" s="1" t="s">
        <v>30</v>
      </c>
      <c r="D1961" s="1" t="s">
        <v>21</v>
      </c>
      <c r="E1961" s="1" t="s">
        <v>22</v>
      </c>
      <c r="F1961" s="1">
        <v>95.14</v>
      </c>
      <c r="G1961" s="1">
        <v>-64.45</v>
      </c>
      <c r="H1961" s="1">
        <v>8.0</v>
      </c>
      <c r="I1961" s="1" t="s">
        <v>17</v>
      </c>
      <c r="J1961" s="1" t="s">
        <v>18</v>
      </c>
      <c r="K1961" s="1">
        <f t="shared" si="1"/>
        <v>2022</v>
      </c>
      <c r="L1961" s="1" t="str">
        <f t="shared" si="2"/>
        <v>Jan</v>
      </c>
      <c r="M1961" s="1" t="str">
        <f t="shared" si="3"/>
        <v>Loss</v>
      </c>
    </row>
    <row r="1962" ht="14.25" customHeight="1">
      <c r="A1962" s="1" t="s">
        <v>1996</v>
      </c>
      <c r="B1962" s="2">
        <v>44261.0</v>
      </c>
      <c r="C1962" s="1" t="s">
        <v>30</v>
      </c>
      <c r="D1962" s="1" t="s">
        <v>21</v>
      </c>
      <c r="E1962" s="1" t="s">
        <v>76</v>
      </c>
      <c r="F1962" s="1">
        <v>851.83</v>
      </c>
      <c r="G1962" s="1">
        <v>105.14</v>
      </c>
      <c r="H1962" s="1">
        <v>9.0</v>
      </c>
      <c r="I1962" s="1" t="s">
        <v>17</v>
      </c>
      <c r="J1962" s="1" t="s">
        <v>18</v>
      </c>
      <c r="K1962" s="1">
        <f t="shared" si="1"/>
        <v>2021</v>
      </c>
      <c r="L1962" s="1" t="str">
        <f t="shared" si="2"/>
        <v>Mar</v>
      </c>
      <c r="M1962" s="1" t="str">
        <f t="shared" si="3"/>
        <v>Profit</v>
      </c>
    </row>
    <row r="1963" ht="14.25" customHeight="1">
      <c r="A1963" s="1" t="s">
        <v>1997</v>
      </c>
      <c r="B1963" s="2">
        <v>44600.0</v>
      </c>
      <c r="C1963" s="1" t="s">
        <v>26</v>
      </c>
      <c r="D1963" s="1" t="s">
        <v>27</v>
      </c>
      <c r="E1963" s="1" t="s">
        <v>33</v>
      </c>
      <c r="F1963" s="1">
        <v>60.58</v>
      </c>
      <c r="G1963" s="1">
        <v>10.46</v>
      </c>
      <c r="H1963" s="1">
        <v>4.0</v>
      </c>
      <c r="I1963" s="1" t="s">
        <v>17</v>
      </c>
      <c r="J1963" s="1" t="s">
        <v>38</v>
      </c>
      <c r="K1963" s="1">
        <f t="shared" si="1"/>
        <v>2022</v>
      </c>
      <c r="L1963" s="1" t="str">
        <f t="shared" si="2"/>
        <v>Feb</v>
      </c>
      <c r="M1963" s="1" t="str">
        <f t="shared" si="3"/>
        <v>Profit</v>
      </c>
    </row>
    <row r="1964" ht="14.25" customHeight="1">
      <c r="A1964" s="1" t="s">
        <v>1998</v>
      </c>
      <c r="B1964" s="2">
        <v>44415.0</v>
      </c>
      <c r="C1964" s="1" t="s">
        <v>20</v>
      </c>
      <c r="D1964" s="1" t="s">
        <v>15</v>
      </c>
      <c r="E1964" s="1" t="s">
        <v>31</v>
      </c>
      <c r="F1964" s="1">
        <v>658.82</v>
      </c>
      <c r="G1964" s="1">
        <v>-191.41</v>
      </c>
      <c r="H1964" s="1">
        <v>6.0</v>
      </c>
      <c r="I1964" s="1" t="s">
        <v>17</v>
      </c>
      <c r="J1964" s="1" t="s">
        <v>24</v>
      </c>
      <c r="K1964" s="1">
        <f t="shared" si="1"/>
        <v>2021</v>
      </c>
      <c r="L1964" s="1" t="str">
        <f t="shared" si="2"/>
        <v>Aug</v>
      </c>
      <c r="M1964" s="1" t="str">
        <f t="shared" si="3"/>
        <v>Loss</v>
      </c>
    </row>
    <row r="1965" ht="14.25" customHeight="1">
      <c r="A1965" s="1" t="s">
        <v>1999</v>
      </c>
      <c r="B1965" s="2">
        <v>45100.0</v>
      </c>
      <c r="C1965" s="1" t="s">
        <v>30</v>
      </c>
      <c r="D1965" s="1" t="s">
        <v>21</v>
      </c>
      <c r="E1965" s="1" t="s">
        <v>22</v>
      </c>
      <c r="F1965" s="1">
        <v>567.1</v>
      </c>
      <c r="G1965" s="1">
        <v>-80.25</v>
      </c>
      <c r="H1965" s="1">
        <v>1.0</v>
      </c>
      <c r="I1965" s="1" t="s">
        <v>23</v>
      </c>
      <c r="J1965" s="1" t="s">
        <v>18</v>
      </c>
      <c r="K1965" s="1">
        <f t="shared" si="1"/>
        <v>2023</v>
      </c>
      <c r="L1965" s="1" t="str">
        <f t="shared" si="2"/>
        <v>Jun</v>
      </c>
      <c r="M1965" s="1" t="str">
        <f t="shared" si="3"/>
        <v>Loss</v>
      </c>
    </row>
    <row r="1966" ht="14.25" customHeight="1">
      <c r="A1966" s="1" t="s">
        <v>2000</v>
      </c>
      <c r="B1966" s="2">
        <v>45163.0</v>
      </c>
      <c r="C1966" s="1" t="s">
        <v>26</v>
      </c>
      <c r="D1966" s="1" t="s">
        <v>21</v>
      </c>
      <c r="E1966" s="1" t="s">
        <v>37</v>
      </c>
      <c r="F1966" s="1">
        <v>85.8</v>
      </c>
      <c r="G1966" s="1">
        <v>212.61</v>
      </c>
      <c r="H1966" s="1">
        <v>5.0</v>
      </c>
      <c r="I1966" s="1" t="s">
        <v>23</v>
      </c>
      <c r="J1966" s="1" t="s">
        <v>24</v>
      </c>
      <c r="K1966" s="1">
        <f t="shared" si="1"/>
        <v>2023</v>
      </c>
      <c r="L1966" s="1" t="str">
        <f t="shared" si="2"/>
        <v>Aug</v>
      </c>
      <c r="M1966" s="1" t="str">
        <f t="shared" si="3"/>
        <v>Profit</v>
      </c>
    </row>
    <row r="1967" ht="14.25" customHeight="1">
      <c r="A1967" s="1" t="s">
        <v>2001</v>
      </c>
      <c r="B1967" s="2">
        <v>44843.0</v>
      </c>
      <c r="C1967" s="1" t="s">
        <v>20</v>
      </c>
      <c r="D1967" s="1" t="s">
        <v>15</v>
      </c>
      <c r="E1967" s="1" t="s">
        <v>16</v>
      </c>
      <c r="F1967" s="1">
        <v>959.77</v>
      </c>
      <c r="G1967" s="1">
        <v>202.06</v>
      </c>
      <c r="H1967" s="1">
        <v>1.0</v>
      </c>
      <c r="I1967" s="1" t="s">
        <v>34</v>
      </c>
      <c r="J1967" s="1" t="s">
        <v>18</v>
      </c>
      <c r="K1967" s="1">
        <f t="shared" si="1"/>
        <v>2022</v>
      </c>
      <c r="L1967" s="1" t="str">
        <f t="shared" si="2"/>
        <v>Oct</v>
      </c>
      <c r="M1967" s="1" t="str">
        <f t="shared" si="3"/>
        <v>Profit</v>
      </c>
    </row>
    <row r="1968" ht="14.25" customHeight="1">
      <c r="A1968" s="1" t="s">
        <v>2002</v>
      </c>
      <c r="B1968" s="2">
        <v>44492.0</v>
      </c>
      <c r="C1968" s="1" t="s">
        <v>30</v>
      </c>
      <c r="D1968" s="1" t="s">
        <v>15</v>
      </c>
      <c r="E1968" s="1" t="s">
        <v>31</v>
      </c>
      <c r="F1968" s="1">
        <v>132.12</v>
      </c>
      <c r="G1968" s="1">
        <v>-177.81</v>
      </c>
      <c r="H1968" s="1">
        <v>10.0</v>
      </c>
      <c r="I1968" s="1" t="s">
        <v>17</v>
      </c>
      <c r="J1968" s="1" t="s">
        <v>38</v>
      </c>
      <c r="K1968" s="1">
        <f t="shared" si="1"/>
        <v>2021</v>
      </c>
      <c r="L1968" s="1" t="str">
        <f t="shared" si="2"/>
        <v>Oct</v>
      </c>
      <c r="M1968" s="1" t="str">
        <f t="shared" si="3"/>
        <v>Loss</v>
      </c>
    </row>
    <row r="1969" ht="14.25" customHeight="1">
      <c r="A1969" s="1" t="s">
        <v>2003</v>
      </c>
      <c r="B1969" s="2">
        <v>44268.0</v>
      </c>
      <c r="C1969" s="1" t="s">
        <v>30</v>
      </c>
      <c r="D1969" s="1" t="s">
        <v>27</v>
      </c>
      <c r="E1969" s="1" t="s">
        <v>28</v>
      </c>
      <c r="F1969" s="1">
        <v>414.3</v>
      </c>
      <c r="G1969" s="1">
        <v>108.71</v>
      </c>
      <c r="H1969" s="1">
        <v>8.0</v>
      </c>
      <c r="I1969" s="1" t="s">
        <v>17</v>
      </c>
      <c r="J1969" s="1" t="s">
        <v>38</v>
      </c>
      <c r="K1969" s="1">
        <f t="shared" si="1"/>
        <v>2021</v>
      </c>
      <c r="L1969" s="1" t="str">
        <f t="shared" si="2"/>
        <v>Mar</v>
      </c>
      <c r="M1969" s="1" t="str">
        <f t="shared" si="3"/>
        <v>Profit</v>
      </c>
    </row>
    <row r="1970" ht="14.25" customHeight="1">
      <c r="A1970" s="1" t="s">
        <v>2004</v>
      </c>
      <c r="B1970" s="2">
        <v>44454.0</v>
      </c>
      <c r="C1970" s="1" t="s">
        <v>20</v>
      </c>
      <c r="D1970" s="1" t="s">
        <v>21</v>
      </c>
      <c r="E1970" s="1" t="s">
        <v>37</v>
      </c>
      <c r="F1970" s="1">
        <v>861.19</v>
      </c>
      <c r="G1970" s="1">
        <v>125.05</v>
      </c>
      <c r="H1970" s="1">
        <v>10.0</v>
      </c>
      <c r="I1970" s="1" t="s">
        <v>17</v>
      </c>
      <c r="J1970" s="1" t="s">
        <v>24</v>
      </c>
      <c r="K1970" s="1">
        <f t="shared" si="1"/>
        <v>2021</v>
      </c>
      <c r="L1970" s="1" t="str">
        <f t="shared" si="2"/>
        <v>Sep</v>
      </c>
      <c r="M1970" s="1" t="str">
        <f t="shared" si="3"/>
        <v>Profit</v>
      </c>
    </row>
    <row r="1971" ht="14.25" customHeight="1">
      <c r="A1971" s="1" t="s">
        <v>2005</v>
      </c>
      <c r="B1971" s="2">
        <v>44535.0</v>
      </c>
      <c r="C1971" s="1" t="s">
        <v>20</v>
      </c>
      <c r="D1971" s="1" t="s">
        <v>27</v>
      </c>
      <c r="E1971" s="1" t="s">
        <v>40</v>
      </c>
      <c r="F1971" s="1">
        <v>774.5</v>
      </c>
      <c r="G1971" s="1">
        <v>119.2</v>
      </c>
      <c r="H1971" s="1">
        <v>6.0</v>
      </c>
      <c r="I1971" s="1" t="s">
        <v>23</v>
      </c>
      <c r="J1971" s="1" t="s">
        <v>35</v>
      </c>
      <c r="K1971" s="1">
        <f t="shared" si="1"/>
        <v>2021</v>
      </c>
      <c r="L1971" s="1" t="str">
        <f t="shared" si="2"/>
        <v>Dec</v>
      </c>
      <c r="M1971" s="1" t="str">
        <f t="shared" si="3"/>
        <v>Profit</v>
      </c>
    </row>
    <row r="1972" ht="14.25" customHeight="1">
      <c r="A1972" s="1" t="s">
        <v>2006</v>
      </c>
      <c r="B1972" s="2">
        <v>44485.0</v>
      </c>
      <c r="C1972" s="1" t="s">
        <v>26</v>
      </c>
      <c r="D1972" s="1" t="s">
        <v>15</v>
      </c>
      <c r="E1972" s="1" t="s">
        <v>31</v>
      </c>
      <c r="F1972" s="1">
        <v>808.3</v>
      </c>
      <c r="G1972" s="1">
        <v>-54.61</v>
      </c>
      <c r="H1972" s="1">
        <v>7.0</v>
      </c>
      <c r="I1972" s="1" t="s">
        <v>34</v>
      </c>
      <c r="J1972" s="1" t="s">
        <v>38</v>
      </c>
      <c r="K1972" s="1">
        <f t="shared" si="1"/>
        <v>2021</v>
      </c>
      <c r="L1972" s="1" t="str">
        <f t="shared" si="2"/>
        <v>Oct</v>
      </c>
      <c r="M1972" s="1" t="str">
        <f t="shared" si="3"/>
        <v>Loss</v>
      </c>
    </row>
    <row r="1973" ht="14.25" customHeight="1">
      <c r="A1973" s="1" t="s">
        <v>2007</v>
      </c>
      <c r="B1973" s="2">
        <v>44570.0</v>
      </c>
      <c r="C1973" s="1" t="s">
        <v>14</v>
      </c>
      <c r="D1973" s="1" t="s">
        <v>15</v>
      </c>
      <c r="E1973" s="1" t="s">
        <v>16</v>
      </c>
      <c r="F1973" s="1">
        <v>391.0</v>
      </c>
      <c r="G1973" s="1">
        <v>-125.6</v>
      </c>
      <c r="H1973" s="1">
        <v>4.0</v>
      </c>
      <c r="I1973" s="1" t="s">
        <v>23</v>
      </c>
      <c r="J1973" s="1" t="s">
        <v>35</v>
      </c>
      <c r="K1973" s="1">
        <f t="shared" si="1"/>
        <v>2022</v>
      </c>
      <c r="L1973" s="1" t="str">
        <f t="shared" si="2"/>
        <v>Jan</v>
      </c>
      <c r="M1973" s="1" t="str">
        <f t="shared" si="3"/>
        <v>Loss</v>
      </c>
    </row>
    <row r="1974" ht="14.25" customHeight="1">
      <c r="A1974" s="1" t="s">
        <v>2008</v>
      </c>
      <c r="B1974" s="2">
        <v>44745.0</v>
      </c>
      <c r="C1974" s="1" t="s">
        <v>30</v>
      </c>
      <c r="D1974" s="1" t="s">
        <v>15</v>
      </c>
      <c r="E1974" s="1" t="s">
        <v>16</v>
      </c>
      <c r="F1974" s="1">
        <v>351.56</v>
      </c>
      <c r="G1974" s="1">
        <v>-114.35</v>
      </c>
      <c r="H1974" s="1">
        <v>9.0</v>
      </c>
      <c r="I1974" s="1" t="s">
        <v>17</v>
      </c>
      <c r="J1974" s="1" t="s">
        <v>38</v>
      </c>
      <c r="K1974" s="1">
        <f t="shared" si="1"/>
        <v>2022</v>
      </c>
      <c r="L1974" s="1" t="str">
        <f t="shared" si="2"/>
        <v>Jul</v>
      </c>
      <c r="M1974" s="1" t="str">
        <f t="shared" si="3"/>
        <v>Loss</v>
      </c>
    </row>
    <row r="1975" ht="14.25" customHeight="1">
      <c r="A1975" s="1" t="s">
        <v>2009</v>
      </c>
      <c r="B1975" s="2">
        <v>44605.0</v>
      </c>
      <c r="C1975" s="1" t="s">
        <v>14</v>
      </c>
      <c r="D1975" s="1" t="s">
        <v>15</v>
      </c>
      <c r="E1975" s="1" t="s">
        <v>54</v>
      </c>
      <c r="F1975" s="1">
        <v>150.48</v>
      </c>
      <c r="G1975" s="1">
        <v>-126.56</v>
      </c>
      <c r="H1975" s="1">
        <v>5.0</v>
      </c>
      <c r="I1975" s="1" t="s">
        <v>23</v>
      </c>
      <c r="J1975" s="1" t="s">
        <v>38</v>
      </c>
      <c r="K1975" s="1">
        <f t="shared" si="1"/>
        <v>2022</v>
      </c>
      <c r="L1975" s="1" t="str">
        <f t="shared" si="2"/>
        <v>Feb</v>
      </c>
      <c r="M1975" s="1" t="str">
        <f t="shared" si="3"/>
        <v>Loss</v>
      </c>
    </row>
    <row r="1976" ht="14.25" customHeight="1">
      <c r="A1976" s="1" t="s">
        <v>2010</v>
      </c>
      <c r="B1976" s="2">
        <v>44687.0</v>
      </c>
      <c r="C1976" s="1" t="s">
        <v>14</v>
      </c>
      <c r="D1976" s="1" t="s">
        <v>27</v>
      </c>
      <c r="E1976" s="1" t="s">
        <v>28</v>
      </c>
      <c r="F1976" s="1">
        <v>854.95</v>
      </c>
      <c r="G1976" s="1">
        <v>-197.59</v>
      </c>
      <c r="H1976" s="1">
        <v>6.0</v>
      </c>
      <c r="I1976" s="1" t="s">
        <v>34</v>
      </c>
      <c r="J1976" s="1" t="s">
        <v>35</v>
      </c>
      <c r="K1976" s="1">
        <f t="shared" si="1"/>
        <v>2022</v>
      </c>
      <c r="L1976" s="1" t="str">
        <f t="shared" si="2"/>
        <v>May</v>
      </c>
      <c r="M1976" s="1" t="str">
        <f t="shared" si="3"/>
        <v>Loss</v>
      </c>
    </row>
    <row r="1977" ht="14.25" customHeight="1">
      <c r="A1977" s="1" t="s">
        <v>2011</v>
      </c>
      <c r="B1977" s="2">
        <v>44501.0</v>
      </c>
      <c r="C1977" s="1" t="s">
        <v>30</v>
      </c>
      <c r="D1977" s="1" t="s">
        <v>27</v>
      </c>
      <c r="E1977" s="1" t="s">
        <v>33</v>
      </c>
      <c r="F1977" s="1">
        <v>111.08</v>
      </c>
      <c r="G1977" s="1">
        <v>244.66</v>
      </c>
      <c r="H1977" s="1">
        <v>8.0</v>
      </c>
      <c r="I1977" s="1" t="s">
        <v>17</v>
      </c>
      <c r="J1977" s="1" t="s">
        <v>38</v>
      </c>
      <c r="K1977" s="1">
        <f t="shared" si="1"/>
        <v>2021</v>
      </c>
      <c r="L1977" s="1" t="str">
        <f t="shared" si="2"/>
        <v>Nov</v>
      </c>
      <c r="M1977" s="1" t="str">
        <f t="shared" si="3"/>
        <v>Profit</v>
      </c>
    </row>
    <row r="1978" ht="14.25" customHeight="1">
      <c r="A1978" s="1" t="s">
        <v>2012</v>
      </c>
      <c r="B1978" s="2">
        <v>44496.0</v>
      </c>
      <c r="C1978" s="1" t="s">
        <v>20</v>
      </c>
      <c r="D1978" s="1" t="s">
        <v>15</v>
      </c>
      <c r="E1978" s="1" t="s">
        <v>16</v>
      </c>
      <c r="F1978" s="1">
        <v>318.51</v>
      </c>
      <c r="G1978" s="1">
        <v>198.03</v>
      </c>
      <c r="H1978" s="1">
        <v>2.0</v>
      </c>
      <c r="I1978" s="1" t="s">
        <v>17</v>
      </c>
      <c r="J1978" s="1" t="s">
        <v>24</v>
      </c>
      <c r="K1978" s="1">
        <f t="shared" si="1"/>
        <v>2021</v>
      </c>
      <c r="L1978" s="1" t="str">
        <f t="shared" si="2"/>
        <v>Oct</v>
      </c>
      <c r="M1978" s="1" t="str">
        <f t="shared" si="3"/>
        <v>Profit</v>
      </c>
    </row>
    <row r="1979" ht="14.25" customHeight="1">
      <c r="A1979" s="1" t="s">
        <v>2013</v>
      </c>
      <c r="B1979" s="2">
        <v>44424.0</v>
      </c>
      <c r="C1979" s="1" t="s">
        <v>30</v>
      </c>
      <c r="D1979" s="1" t="s">
        <v>27</v>
      </c>
      <c r="E1979" s="1" t="s">
        <v>40</v>
      </c>
      <c r="F1979" s="1">
        <v>761.69</v>
      </c>
      <c r="G1979" s="1">
        <v>196.16</v>
      </c>
      <c r="H1979" s="1">
        <v>7.0</v>
      </c>
      <c r="I1979" s="1" t="s">
        <v>34</v>
      </c>
      <c r="J1979" s="1" t="s">
        <v>38</v>
      </c>
      <c r="K1979" s="1">
        <f t="shared" si="1"/>
        <v>2021</v>
      </c>
      <c r="L1979" s="1" t="str">
        <f t="shared" si="2"/>
        <v>Aug</v>
      </c>
      <c r="M1979" s="1" t="str">
        <f t="shared" si="3"/>
        <v>Profit</v>
      </c>
    </row>
    <row r="1980" ht="14.25" customHeight="1">
      <c r="A1980" s="1" t="s">
        <v>2014</v>
      </c>
      <c r="B1980" s="2">
        <v>45064.0</v>
      </c>
      <c r="C1980" s="1" t="s">
        <v>20</v>
      </c>
      <c r="D1980" s="1" t="s">
        <v>27</v>
      </c>
      <c r="E1980" s="1" t="s">
        <v>33</v>
      </c>
      <c r="F1980" s="1">
        <v>113.37</v>
      </c>
      <c r="G1980" s="1">
        <v>163.12</v>
      </c>
      <c r="H1980" s="1">
        <v>3.0</v>
      </c>
      <c r="I1980" s="1" t="s">
        <v>23</v>
      </c>
      <c r="J1980" s="1" t="s">
        <v>24</v>
      </c>
      <c r="K1980" s="1">
        <f t="shared" si="1"/>
        <v>2023</v>
      </c>
      <c r="L1980" s="1" t="str">
        <f t="shared" si="2"/>
        <v>May</v>
      </c>
      <c r="M1980" s="1" t="str">
        <f t="shared" si="3"/>
        <v>Profit</v>
      </c>
    </row>
    <row r="1981" ht="14.25" customHeight="1">
      <c r="A1981" s="1" t="s">
        <v>2015</v>
      </c>
      <c r="B1981" s="2">
        <v>44708.0</v>
      </c>
      <c r="C1981" s="1" t="s">
        <v>26</v>
      </c>
      <c r="D1981" s="1" t="s">
        <v>27</v>
      </c>
      <c r="E1981" s="1" t="s">
        <v>40</v>
      </c>
      <c r="F1981" s="1">
        <v>285.75</v>
      </c>
      <c r="G1981" s="1">
        <v>256.7</v>
      </c>
      <c r="H1981" s="1">
        <v>6.0</v>
      </c>
      <c r="I1981" s="1" t="s">
        <v>23</v>
      </c>
      <c r="J1981" s="1" t="s">
        <v>24</v>
      </c>
      <c r="K1981" s="1">
        <f t="shared" si="1"/>
        <v>2022</v>
      </c>
      <c r="L1981" s="1" t="str">
        <f t="shared" si="2"/>
        <v>May</v>
      </c>
      <c r="M1981" s="1" t="str">
        <f t="shared" si="3"/>
        <v>Profit</v>
      </c>
    </row>
    <row r="1982" ht="14.25" customHeight="1">
      <c r="A1982" s="1" t="s">
        <v>2016</v>
      </c>
      <c r="B1982" s="2">
        <v>45098.0</v>
      </c>
      <c r="C1982" s="1" t="s">
        <v>20</v>
      </c>
      <c r="D1982" s="1" t="s">
        <v>27</v>
      </c>
      <c r="E1982" s="1" t="s">
        <v>40</v>
      </c>
      <c r="F1982" s="1">
        <v>487.75</v>
      </c>
      <c r="G1982" s="1">
        <v>285.72</v>
      </c>
      <c r="H1982" s="1">
        <v>3.0</v>
      </c>
      <c r="I1982" s="1" t="s">
        <v>17</v>
      </c>
      <c r="J1982" s="1" t="s">
        <v>18</v>
      </c>
      <c r="K1982" s="1">
        <f t="shared" si="1"/>
        <v>2023</v>
      </c>
      <c r="L1982" s="1" t="str">
        <f t="shared" si="2"/>
        <v>Jun</v>
      </c>
      <c r="M1982" s="1" t="str">
        <f t="shared" si="3"/>
        <v>Profit</v>
      </c>
    </row>
    <row r="1983" ht="14.25" customHeight="1">
      <c r="A1983" s="1" t="s">
        <v>2017</v>
      </c>
      <c r="B1983" s="2">
        <v>45004.0</v>
      </c>
      <c r="C1983" s="1" t="s">
        <v>14</v>
      </c>
      <c r="D1983" s="1" t="s">
        <v>27</v>
      </c>
      <c r="E1983" s="1" t="s">
        <v>33</v>
      </c>
      <c r="F1983" s="1">
        <v>233.69</v>
      </c>
      <c r="G1983" s="1">
        <v>3.8</v>
      </c>
      <c r="H1983" s="1">
        <v>7.0</v>
      </c>
      <c r="I1983" s="1" t="s">
        <v>17</v>
      </c>
      <c r="J1983" s="1" t="s">
        <v>38</v>
      </c>
      <c r="K1983" s="1">
        <f t="shared" si="1"/>
        <v>2023</v>
      </c>
      <c r="L1983" s="1" t="str">
        <f t="shared" si="2"/>
        <v>Mar</v>
      </c>
      <c r="M1983" s="1" t="str">
        <f t="shared" si="3"/>
        <v>Profit</v>
      </c>
    </row>
    <row r="1984" ht="14.25" customHeight="1">
      <c r="A1984" s="1" t="s">
        <v>2018</v>
      </c>
      <c r="B1984" s="2">
        <v>44716.0</v>
      </c>
      <c r="C1984" s="1" t="s">
        <v>20</v>
      </c>
      <c r="D1984" s="1" t="s">
        <v>21</v>
      </c>
      <c r="E1984" s="1" t="s">
        <v>37</v>
      </c>
      <c r="F1984" s="1">
        <v>928.5</v>
      </c>
      <c r="G1984" s="1">
        <v>33.8</v>
      </c>
      <c r="H1984" s="1">
        <v>9.0</v>
      </c>
      <c r="I1984" s="1" t="s">
        <v>23</v>
      </c>
      <c r="J1984" s="1" t="s">
        <v>38</v>
      </c>
      <c r="K1984" s="1">
        <f t="shared" si="1"/>
        <v>2022</v>
      </c>
      <c r="L1984" s="1" t="str">
        <f t="shared" si="2"/>
        <v>Jun</v>
      </c>
      <c r="M1984" s="1" t="str">
        <f t="shared" si="3"/>
        <v>Profit</v>
      </c>
    </row>
    <row r="1985" ht="14.25" customHeight="1">
      <c r="A1985" s="1" t="s">
        <v>2019</v>
      </c>
      <c r="B1985" s="2">
        <v>44515.0</v>
      </c>
      <c r="C1985" s="1" t="s">
        <v>26</v>
      </c>
      <c r="D1985" s="1" t="s">
        <v>15</v>
      </c>
      <c r="E1985" s="1" t="s">
        <v>31</v>
      </c>
      <c r="F1985" s="1">
        <v>444.61</v>
      </c>
      <c r="G1985" s="1">
        <v>-156.15</v>
      </c>
      <c r="H1985" s="1">
        <v>4.0</v>
      </c>
      <c r="I1985" s="1" t="s">
        <v>23</v>
      </c>
      <c r="J1985" s="1" t="s">
        <v>38</v>
      </c>
      <c r="K1985" s="1">
        <f t="shared" si="1"/>
        <v>2021</v>
      </c>
      <c r="L1985" s="1" t="str">
        <f t="shared" si="2"/>
        <v>Nov</v>
      </c>
      <c r="M1985" s="1" t="str">
        <f t="shared" si="3"/>
        <v>Loss</v>
      </c>
    </row>
    <row r="1986" ht="14.25" customHeight="1">
      <c r="A1986" s="1" t="s">
        <v>2020</v>
      </c>
      <c r="B1986" s="2">
        <v>44489.0</v>
      </c>
      <c r="C1986" s="1" t="s">
        <v>14</v>
      </c>
      <c r="D1986" s="1" t="s">
        <v>15</v>
      </c>
      <c r="E1986" s="1" t="s">
        <v>31</v>
      </c>
      <c r="F1986" s="1">
        <v>223.01</v>
      </c>
      <c r="G1986" s="1">
        <v>229.17</v>
      </c>
      <c r="H1986" s="1">
        <v>5.0</v>
      </c>
      <c r="I1986" s="1" t="s">
        <v>17</v>
      </c>
      <c r="J1986" s="1" t="s">
        <v>38</v>
      </c>
      <c r="K1986" s="1">
        <f t="shared" si="1"/>
        <v>2021</v>
      </c>
      <c r="L1986" s="1" t="str">
        <f t="shared" si="2"/>
        <v>Oct</v>
      </c>
      <c r="M1986" s="1" t="str">
        <f t="shared" si="3"/>
        <v>Profit</v>
      </c>
    </row>
    <row r="1987" ht="14.25" customHeight="1">
      <c r="A1987" s="1" t="s">
        <v>2021</v>
      </c>
      <c r="B1987" s="2">
        <v>45224.0</v>
      </c>
      <c r="C1987" s="1" t="s">
        <v>20</v>
      </c>
      <c r="D1987" s="1" t="s">
        <v>15</v>
      </c>
      <c r="E1987" s="1" t="s">
        <v>54</v>
      </c>
      <c r="F1987" s="1">
        <v>231.4</v>
      </c>
      <c r="G1987" s="1">
        <v>36.06</v>
      </c>
      <c r="H1987" s="1">
        <v>1.0</v>
      </c>
      <c r="I1987" s="1" t="s">
        <v>17</v>
      </c>
      <c r="J1987" s="1" t="s">
        <v>38</v>
      </c>
      <c r="K1987" s="1">
        <f t="shared" si="1"/>
        <v>2023</v>
      </c>
      <c r="L1987" s="1" t="str">
        <f t="shared" si="2"/>
        <v>Oct</v>
      </c>
      <c r="M1987" s="1" t="str">
        <f t="shared" si="3"/>
        <v>Profit</v>
      </c>
    </row>
    <row r="1988" ht="14.25" customHeight="1">
      <c r="A1988" s="1" t="s">
        <v>2022</v>
      </c>
      <c r="B1988" s="2">
        <v>45181.0</v>
      </c>
      <c r="C1988" s="1" t="s">
        <v>14</v>
      </c>
      <c r="D1988" s="1" t="s">
        <v>27</v>
      </c>
      <c r="E1988" s="1" t="s">
        <v>40</v>
      </c>
      <c r="F1988" s="1">
        <v>820.01</v>
      </c>
      <c r="G1988" s="1">
        <v>-177.84</v>
      </c>
      <c r="H1988" s="1">
        <v>6.0</v>
      </c>
      <c r="I1988" s="1" t="s">
        <v>34</v>
      </c>
      <c r="J1988" s="1" t="s">
        <v>38</v>
      </c>
      <c r="K1988" s="1">
        <f t="shared" si="1"/>
        <v>2023</v>
      </c>
      <c r="L1988" s="1" t="str">
        <f t="shared" si="2"/>
        <v>Sep</v>
      </c>
      <c r="M1988" s="1" t="str">
        <f t="shared" si="3"/>
        <v>Loss</v>
      </c>
    </row>
    <row r="1989" ht="14.25" customHeight="1">
      <c r="A1989" s="1" t="s">
        <v>2023</v>
      </c>
      <c r="B1989" s="2">
        <v>44362.0</v>
      </c>
      <c r="C1989" s="1" t="s">
        <v>30</v>
      </c>
      <c r="D1989" s="1" t="s">
        <v>27</v>
      </c>
      <c r="E1989" s="1" t="s">
        <v>33</v>
      </c>
      <c r="F1989" s="1">
        <v>155.7</v>
      </c>
      <c r="G1989" s="1">
        <v>111.99</v>
      </c>
      <c r="H1989" s="1">
        <v>7.0</v>
      </c>
      <c r="I1989" s="1" t="s">
        <v>17</v>
      </c>
      <c r="J1989" s="1" t="s">
        <v>38</v>
      </c>
      <c r="K1989" s="1">
        <f t="shared" si="1"/>
        <v>2021</v>
      </c>
      <c r="L1989" s="1" t="str">
        <f t="shared" si="2"/>
        <v>Jun</v>
      </c>
      <c r="M1989" s="1" t="str">
        <f t="shared" si="3"/>
        <v>Profit</v>
      </c>
    </row>
    <row r="1990" ht="14.25" customHeight="1">
      <c r="A1990" s="1" t="s">
        <v>2024</v>
      </c>
      <c r="B1990" s="2">
        <v>44783.0</v>
      </c>
      <c r="C1990" s="1" t="s">
        <v>14</v>
      </c>
      <c r="D1990" s="1" t="s">
        <v>27</v>
      </c>
      <c r="E1990" s="1" t="s">
        <v>28</v>
      </c>
      <c r="F1990" s="1">
        <v>589.53</v>
      </c>
      <c r="G1990" s="1">
        <v>-145.57</v>
      </c>
      <c r="H1990" s="1">
        <v>6.0</v>
      </c>
      <c r="I1990" s="1" t="s">
        <v>34</v>
      </c>
      <c r="J1990" s="1" t="s">
        <v>18</v>
      </c>
      <c r="K1990" s="1">
        <f t="shared" si="1"/>
        <v>2022</v>
      </c>
      <c r="L1990" s="1" t="str">
        <f t="shared" si="2"/>
        <v>Aug</v>
      </c>
      <c r="M1990" s="1" t="str">
        <f t="shared" si="3"/>
        <v>Loss</v>
      </c>
    </row>
    <row r="1991" ht="14.25" customHeight="1">
      <c r="A1991" s="1" t="s">
        <v>2025</v>
      </c>
      <c r="B1991" s="2">
        <v>44445.0</v>
      </c>
      <c r="C1991" s="1" t="s">
        <v>14</v>
      </c>
      <c r="D1991" s="1" t="s">
        <v>15</v>
      </c>
      <c r="E1991" s="1" t="s">
        <v>31</v>
      </c>
      <c r="F1991" s="1">
        <v>631.63</v>
      </c>
      <c r="G1991" s="1">
        <v>202.1</v>
      </c>
      <c r="H1991" s="1">
        <v>8.0</v>
      </c>
      <c r="I1991" s="1" t="s">
        <v>23</v>
      </c>
      <c r="J1991" s="1" t="s">
        <v>35</v>
      </c>
      <c r="K1991" s="1">
        <f t="shared" si="1"/>
        <v>2021</v>
      </c>
      <c r="L1991" s="1" t="str">
        <f t="shared" si="2"/>
        <v>Sep</v>
      </c>
      <c r="M1991" s="1" t="str">
        <f t="shared" si="3"/>
        <v>Profit</v>
      </c>
    </row>
    <row r="1992" ht="14.25" customHeight="1">
      <c r="A1992" s="1" t="s">
        <v>2026</v>
      </c>
      <c r="B1992" s="2">
        <v>44201.0</v>
      </c>
      <c r="C1992" s="1" t="s">
        <v>14</v>
      </c>
      <c r="D1992" s="1" t="s">
        <v>15</v>
      </c>
      <c r="E1992" s="1" t="s">
        <v>16</v>
      </c>
      <c r="F1992" s="1">
        <v>984.52</v>
      </c>
      <c r="G1992" s="1">
        <v>-63.86</v>
      </c>
      <c r="H1992" s="1">
        <v>8.0</v>
      </c>
      <c r="I1992" s="1" t="s">
        <v>17</v>
      </c>
      <c r="J1992" s="1" t="s">
        <v>24</v>
      </c>
      <c r="K1992" s="1">
        <f t="shared" si="1"/>
        <v>2021</v>
      </c>
      <c r="L1992" s="1" t="str">
        <f t="shared" si="2"/>
        <v>Jan</v>
      </c>
      <c r="M1992" s="1" t="str">
        <f t="shared" si="3"/>
        <v>Loss</v>
      </c>
    </row>
    <row r="1993" ht="14.25" customHeight="1">
      <c r="A1993" s="1" t="s">
        <v>2027</v>
      </c>
      <c r="B1993" s="2">
        <v>45099.0</v>
      </c>
      <c r="C1993" s="1" t="s">
        <v>20</v>
      </c>
      <c r="D1993" s="1" t="s">
        <v>21</v>
      </c>
      <c r="E1993" s="1" t="s">
        <v>76</v>
      </c>
      <c r="F1993" s="1">
        <v>389.11</v>
      </c>
      <c r="G1993" s="1">
        <v>152.81</v>
      </c>
      <c r="H1993" s="1">
        <v>2.0</v>
      </c>
      <c r="I1993" s="1" t="s">
        <v>17</v>
      </c>
      <c r="J1993" s="1" t="s">
        <v>35</v>
      </c>
      <c r="K1993" s="1">
        <f t="shared" si="1"/>
        <v>2023</v>
      </c>
      <c r="L1993" s="1" t="str">
        <f t="shared" si="2"/>
        <v>Jun</v>
      </c>
      <c r="M1993" s="1" t="str">
        <f t="shared" si="3"/>
        <v>Profit</v>
      </c>
    </row>
    <row r="1994" ht="14.25" customHeight="1">
      <c r="A1994" s="1" t="s">
        <v>2028</v>
      </c>
      <c r="B1994" s="2">
        <v>45088.0</v>
      </c>
      <c r="C1994" s="1" t="s">
        <v>20</v>
      </c>
      <c r="D1994" s="1" t="s">
        <v>15</v>
      </c>
      <c r="E1994" s="1" t="s">
        <v>16</v>
      </c>
      <c r="F1994" s="1">
        <v>669.16</v>
      </c>
      <c r="G1994" s="1">
        <v>-31.55</v>
      </c>
      <c r="H1994" s="1">
        <v>7.0</v>
      </c>
      <c r="I1994" s="1" t="s">
        <v>34</v>
      </c>
      <c r="J1994" s="1" t="s">
        <v>35</v>
      </c>
      <c r="K1994" s="1">
        <f t="shared" si="1"/>
        <v>2023</v>
      </c>
      <c r="L1994" s="1" t="str">
        <f t="shared" si="2"/>
        <v>Jun</v>
      </c>
      <c r="M1994" s="1" t="str">
        <f t="shared" si="3"/>
        <v>Loss</v>
      </c>
    </row>
    <row r="1995" ht="14.25" customHeight="1">
      <c r="A1995" s="1" t="s">
        <v>2029</v>
      </c>
      <c r="B1995" s="2">
        <v>44420.0</v>
      </c>
      <c r="C1995" s="1" t="s">
        <v>20</v>
      </c>
      <c r="D1995" s="1" t="s">
        <v>21</v>
      </c>
      <c r="E1995" s="1" t="s">
        <v>22</v>
      </c>
      <c r="F1995" s="1">
        <v>455.09</v>
      </c>
      <c r="G1995" s="1">
        <v>275.16</v>
      </c>
      <c r="H1995" s="1">
        <v>8.0</v>
      </c>
      <c r="I1995" s="1" t="s">
        <v>34</v>
      </c>
      <c r="J1995" s="1" t="s">
        <v>24</v>
      </c>
      <c r="K1995" s="1">
        <f t="shared" si="1"/>
        <v>2021</v>
      </c>
      <c r="L1995" s="1" t="str">
        <f t="shared" si="2"/>
        <v>Aug</v>
      </c>
      <c r="M1995" s="1" t="str">
        <f t="shared" si="3"/>
        <v>Profit</v>
      </c>
    </row>
    <row r="1996" ht="14.25" customHeight="1">
      <c r="A1996" s="1" t="s">
        <v>2030</v>
      </c>
      <c r="B1996" s="2">
        <v>44943.0</v>
      </c>
      <c r="C1996" s="1" t="s">
        <v>26</v>
      </c>
      <c r="D1996" s="1" t="s">
        <v>15</v>
      </c>
      <c r="E1996" s="1" t="s">
        <v>16</v>
      </c>
      <c r="F1996" s="1">
        <v>361.03</v>
      </c>
      <c r="G1996" s="1">
        <v>291.32</v>
      </c>
      <c r="H1996" s="1">
        <v>9.0</v>
      </c>
      <c r="I1996" s="1" t="s">
        <v>23</v>
      </c>
      <c r="J1996" s="1" t="s">
        <v>35</v>
      </c>
      <c r="K1996" s="1">
        <f t="shared" si="1"/>
        <v>2023</v>
      </c>
      <c r="L1996" s="1" t="str">
        <f t="shared" si="2"/>
        <v>Jan</v>
      </c>
      <c r="M1996" s="1" t="str">
        <f t="shared" si="3"/>
        <v>Profit</v>
      </c>
    </row>
    <row r="1997" ht="14.25" customHeight="1">
      <c r="A1997" s="1" t="s">
        <v>2031</v>
      </c>
      <c r="B1997" s="2">
        <v>44928.0</v>
      </c>
      <c r="C1997" s="1" t="s">
        <v>30</v>
      </c>
      <c r="D1997" s="1" t="s">
        <v>27</v>
      </c>
      <c r="E1997" s="1" t="s">
        <v>28</v>
      </c>
      <c r="F1997" s="1">
        <v>302.51</v>
      </c>
      <c r="G1997" s="1">
        <v>92.9</v>
      </c>
      <c r="H1997" s="1">
        <v>3.0</v>
      </c>
      <c r="I1997" s="1" t="s">
        <v>23</v>
      </c>
      <c r="J1997" s="1" t="s">
        <v>35</v>
      </c>
      <c r="K1997" s="1">
        <f t="shared" si="1"/>
        <v>2023</v>
      </c>
      <c r="L1997" s="1" t="str">
        <f t="shared" si="2"/>
        <v>Jan</v>
      </c>
      <c r="M1997" s="1" t="str">
        <f t="shared" si="3"/>
        <v>Profit</v>
      </c>
    </row>
    <row r="1998" ht="14.25" customHeight="1">
      <c r="A1998" s="1" t="s">
        <v>2032</v>
      </c>
      <c r="B1998" s="2">
        <v>44286.0</v>
      </c>
      <c r="C1998" s="1" t="s">
        <v>20</v>
      </c>
      <c r="D1998" s="1" t="s">
        <v>27</v>
      </c>
      <c r="E1998" s="1" t="s">
        <v>28</v>
      </c>
      <c r="F1998" s="1">
        <v>122.14</v>
      </c>
      <c r="G1998" s="1">
        <v>32.43</v>
      </c>
      <c r="H1998" s="1">
        <v>1.0</v>
      </c>
      <c r="I1998" s="1" t="s">
        <v>34</v>
      </c>
      <c r="J1998" s="1" t="s">
        <v>24</v>
      </c>
      <c r="K1998" s="1">
        <f t="shared" si="1"/>
        <v>2021</v>
      </c>
      <c r="L1998" s="1" t="str">
        <f t="shared" si="2"/>
        <v>Mar</v>
      </c>
      <c r="M1998" s="1" t="str">
        <f t="shared" si="3"/>
        <v>Profit</v>
      </c>
    </row>
    <row r="1999" ht="14.25" customHeight="1">
      <c r="A1999" s="1" t="s">
        <v>2033</v>
      </c>
      <c r="B1999" s="2">
        <v>44912.0</v>
      </c>
      <c r="C1999" s="1" t="s">
        <v>20</v>
      </c>
      <c r="D1999" s="1" t="s">
        <v>27</v>
      </c>
      <c r="E1999" s="1" t="s">
        <v>40</v>
      </c>
      <c r="F1999" s="1">
        <v>924.63</v>
      </c>
      <c r="G1999" s="1">
        <v>104.87</v>
      </c>
      <c r="H1999" s="1">
        <v>7.0</v>
      </c>
      <c r="I1999" s="1" t="s">
        <v>34</v>
      </c>
      <c r="J1999" s="1" t="s">
        <v>38</v>
      </c>
      <c r="K1999" s="1">
        <f t="shared" si="1"/>
        <v>2022</v>
      </c>
      <c r="L1999" s="1" t="str">
        <f t="shared" si="2"/>
        <v>Dec</v>
      </c>
      <c r="M1999" s="1" t="str">
        <f t="shared" si="3"/>
        <v>Profit</v>
      </c>
    </row>
    <row r="2000" ht="14.25" customHeight="1">
      <c r="A2000" s="1" t="s">
        <v>2034</v>
      </c>
      <c r="B2000" s="2">
        <v>44725.0</v>
      </c>
      <c r="C2000" s="1" t="s">
        <v>26</v>
      </c>
      <c r="D2000" s="1" t="s">
        <v>15</v>
      </c>
      <c r="E2000" s="1" t="s">
        <v>54</v>
      </c>
      <c r="F2000" s="1">
        <v>892.76</v>
      </c>
      <c r="G2000" s="1">
        <v>223.45</v>
      </c>
      <c r="H2000" s="1">
        <v>7.0</v>
      </c>
      <c r="I2000" s="1" t="s">
        <v>23</v>
      </c>
      <c r="J2000" s="1" t="s">
        <v>18</v>
      </c>
      <c r="K2000" s="1">
        <f t="shared" si="1"/>
        <v>2022</v>
      </c>
      <c r="L2000" s="1" t="str">
        <f t="shared" si="2"/>
        <v>Jun</v>
      </c>
      <c r="M2000" s="1" t="str">
        <f t="shared" si="3"/>
        <v>Profit</v>
      </c>
    </row>
    <row r="2001" ht="14.25" customHeight="1">
      <c r="A2001" s="1" t="s">
        <v>2035</v>
      </c>
      <c r="B2001" s="2">
        <v>45064.0</v>
      </c>
      <c r="C2001" s="1" t="s">
        <v>14</v>
      </c>
      <c r="D2001" s="1" t="s">
        <v>21</v>
      </c>
      <c r="E2001" s="1" t="s">
        <v>76</v>
      </c>
      <c r="F2001" s="1">
        <v>492.6</v>
      </c>
      <c r="G2001" s="1">
        <v>-159.76</v>
      </c>
      <c r="H2001" s="1">
        <v>6.0</v>
      </c>
      <c r="I2001" s="1" t="s">
        <v>23</v>
      </c>
      <c r="J2001" s="1" t="s">
        <v>35</v>
      </c>
      <c r="K2001" s="1">
        <f t="shared" si="1"/>
        <v>2023</v>
      </c>
      <c r="L2001" s="1" t="str">
        <f t="shared" si="2"/>
        <v>May</v>
      </c>
      <c r="M2001" s="1" t="str">
        <f t="shared" si="3"/>
        <v>Loss</v>
      </c>
    </row>
    <row r="2002" ht="14.25" customHeight="1">
      <c r="A2002" s="1" t="s">
        <v>2036</v>
      </c>
      <c r="B2002" s="2">
        <v>44956.0</v>
      </c>
      <c r="C2002" s="1" t="s">
        <v>20</v>
      </c>
      <c r="D2002" s="1" t="s">
        <v>15</v>
      </c>
      <c r="E2002" s="1" t="s">
        <v>31</v>
      </c>
      <c r="F2002" s="1">
        <v>666.99</v>
      </c>
      <c r="G2002" s="1">
        <v>-170.31</v>
      </c>
      <c r="H2002" s="1">
        <v>10.0</v>
      </c>
      <c r="I2002" s="1" t="s">
        <v>34</v>
      </c>
      <c r="J2002" s="1" t="s">
        <v>38</v>
      </c>
      <c r="K2002" s="1">
        <f t="shared" si="1"/>
        <v>2023</v>
      </c>
      <c r="L2002" s="1" t="str">
        <f t="shared" si="2"/>
        <v>Jan</v>
      </c>
      <c r="M2002" s="1" t="str">
        <f t="shared" si="3"/>
        <v>Loss</v>
      </c>
    </row>
    <row r="2003" ht="14.25" customHeight="1">
      <c r="A2003" s="1" t="s">
        <v>2037</v>
      </c>
      <c r="B2003" s="2">
        <v>44531.0</v>
      </c>
      <c r="C2003" s="1" t="s">
        <v>14</v>
      </c>
      <c r="D2003" s="1" t="s">
        <v>27</v>
      </c>
      <c r="E2003" s="1" t="s">
        <v>28</v>
      </c>
      <c r="F2003" s="1">
        <v>806.09</v>
      </c>
      <c r="G2003" s="1">
        <v>134.45</v>
      </c>
      <c r="H2003" s="1">
        <v>2.0</v>
      </c>
      <c r="I2003" s="1" t="s">
        <v>17</v>
      </c>
      <c r="J2003" s="1" t="s">
        <v>35</v>
      </c>
      <c r="K2003" s="1">
        <f t="shared" si="1"/>
        <v>2021</v>
      </c>
      <c r="L2003" s="1" t="str">
        <f t="shared" si="2"/>
        <v>Dec</v>
      </c>
      <c r="M2003" s="1" t="str">
        <f t="shared" si="3"/>
        <v>Profit</v>
      </c>
    </row>
    <row r="2004" ht="14.25" customHeight="1">
      <c r="A2004" s="1" t="s">
        <v>2038</v>
      </c>
      <c r="B2004" s="2">
        <v>44643.0</v>
      </c>
      <c r="C2004" s="1" t="s">
        <v>30</v>
      </c>
      <c r="D2004" s="1" t="s">
        <v>15</v>
      </c>
      <c r="E2004" s="1" t="s">
        <v>31</v>
      </c>
      <c r="F2004" s="1">
        <v>757.01</v>
      </c>
      <c r="G2004" s="1">
        <v>85.82</v>
      </c>
      <c r="H2004" s="1">
        <v>6.0</v>
      </c>
      <c r="I2004" s="1" t="s">
        <v>34</v>
      </c>
      <c r="J2004" s="1" t="s">
        <v>18</v>
      </c>
      <c r="K2004" s="1">
        <f t="shared" si="1"/>
        <v>2022</v>
      </c>
      <c r="L2004" s="1" t="str">
        <f t="shared" si="2"/>
        <v>Mar</v>
      </c>
      <c r="M2004" s="1" t="str">
        <f t="shared" si="3"/>
        <v>Profit</v>
      </c>
    </row>
    <row r="2005" ht="14.25" customHeight="1">
      <c r="A2005" s="1" t="s">
        <v>2039</v>
      </c>
      <c r="B2005" s="2">
        <v>44701.0</v>
      </c>
      <c r="C2005" s="1" t="s">
        <v>30</v>
      </c>
      <c r="D2005" s="1" t="s">
        <v>21</v>
      </c>
      <c r="E2005" s="1" t="s">
        <v>76</v>
      </c>
      <c r="F2005" s="1">
        <v>46.01</v>
      </c>
      <c r="G2005" s="1">
        <v>-176.54</v>
      </c>
      <c r="H2005" s="1">
        <v>6.0</v>
      </c>
      <c r="I2005" s="1" t="s">
        <v>17</v>
      </c>
      <c r="J2005" s="1" t="s">
        <v>24</v>
      </c>
      <c r="K2005" s="1">
        <f t="shared" si="1"/>
        <v>2022</v>
      </c>
      <c r="L2005" s="1" t="str">
        <f t="shared" si="2"/>
        <v>May</v>
      </c>
      <c r="M2005" s="1" t="str">
        <f t="shared" si="3"/>
        <v>Loss</v>
      </c>
    </row>
    <row r="2006" ht="14.25" customHeight="1">
      <c r="A2006" s="1" t="s">
        <v>2040</v>
      </c>
      <c r="B2006" s="2">
        <v>44359.0</v>
      </c>
      <c r="C2006" s="1" t="s">
        <v>26</v>
      </c>
      <c r="D2006" s="1" t="s">
        <v>21</v>
      </c>
      <c r="E2006" s="1" t="s">
        <v>76</v>
      </c>
      <c r="F2006" s="1">
        <v>679.57</v>
      </c>
      <c r="G2006" s="1">
        <v>-1.99</v>
      </c>
      <c r="H2006" s="1">
        <v>1.0</v>
      </c>
      <c r="I2006" s="1" t="s">
        <v>17</v>
      </c>
      <c r="J2006" s="1" t="s">
        <v>35</v>
      </c>
      <c r="K2006" s="1">
        <f t="shared" si="1"/>
        <v>2021</v>
      </c>
      <c r="L2006" s="1" t="str">
        <f t="shared" si="2"/>
        <v>Jun</v>
      </c>
      <c r="M2006" s="1" t="str">
        <f t="shared" si="3"/>
        <v>Loss</v>
      </c>
    </row>
    <row r="2007" ht="14.25" customHeight="1">
      <c r="A2007" s="1" t="s">
        <v>2041</v>
      </c>
      <c r="B2007" s="2">
        <v>44431.0</v>
      </c>
      <c r="C2007" s="1" t="s">
        <v>20</v>
      </c>
      <c r="D2007" s="1" t="s">
        <v>15</v>
      </c>
      <c r="E2007" s="1" t="s">
        <v>54</v>
      </c>
      <c r="F2007" s="1">
        <v>461.75</v>
      </c>
      <c r="G2007" s="1">
        <v>114.82</v>
      </c>
      <c r="H2007" s="1">
        <v>4.0</v>
      </c>
      <c r="I2007" s="1" t="s">
        <v>17</v>
      </c>
      <c r="J2007" s="1" t="s">
        <v>35</v>
      </c>
      <c r="K2007" s="1">
        <f t="shared" si="1"/>
        <v>2021</v>
      </c>
      <c r="L2007" s="1" t="str">
        <f t="shared" si="2"/>
        <v>Aug</v>
      </c>
      <c r="M2007" s="1" t="str">
        <f t="shared" si="3"/>
        <v>Profit</v>
      </c>
    </row>
    <row r="2008" ht="14.25" customHeight="1">
      <c r="A2008" s="1" t="s">
        <v>2042</v>
      </c>
      <c r="B2008" s="2">
        <v>45244.0</v>
      </c>
      <c r="C2008" s="1" t="s">
        <v>20</v>
      </c>
      <c r="D2008" s="1" t="s">
        <v>21</v>
      </c>
      <c r="E2008" s="1" t="s">
        <v>22</v>
      </c>
      <c r="F2008" s="1">
        <v>761.44</v>
      </c>
      <c r="G2008" s="1">
        <v>81.22</v>
      </c>
      <c r="H2008" s="1">
        <v>6.0</v>
      </c>
      <c r="I2008" s="1" t="s">
        <v>23</v>
      </c>
      <c r="J2008" s="1" t="s">
        <v>38</v>
      </c>
      <c r="K2008" s="1">
        <f t="shared" si="1"/>
        <v>2023</v>
      </c>
      <c r="L2008" s="1" t="str">
        <f t="shared" si="2"/>
        <v>Nov</v>
      </c>
      <c r="M2008" s="1" t="str">
        <f t="shared" si="3"/>
        <v>Profit</v>
      </c>
    </row>
    <row r="2009" ht="14.25" customHeight="1">
      <c r="A2009" s="1" t="s">
        <v>2043</v>
      </c>
      <c r="B2009" s="2">
        <v>44791.0</v>
      </c>
      <c r="C2009" s="1" t="s">
        <v>26</v>
      </c>
      <c r="D2009" s="1" t="s">
        <v>21</v>
      </c>
      <c r="E2009" s="1" t="s">
        <v>76</v>
      </c>
      <c r="F2009" s="1">
        <v>991.25</v>
      </c>
      <c r="G2009" s="1">
        <v>36.95</v>
      </c>
      <c r="H2009" s="1">
        <v>10.0</v>
      </c>
      <c r="I2009" s="1" t="s">
        <v>34</v>
      </c>
      <c r="J2009" s="1" t="s">
        <v>35</v>
      </c>
      <c r="K2009" s="1">
        <f t="shared" si="1"/>
        <v>2022</v>
      </c>
      <c r="L2009" s="1" t="str">
        <f t="shared" si="2"/>
        <v>Aug</v>
      </c>
      <c r="M2009" s="1" t="str">
        <f t="shared" si="3"/>
        <v>Profit</v>
      </c>
    </row>
    <row r="2010" ht="14.25" customHeight="1">
      <c r="A2010" s="1" t="s">
        <v>2044</v>
      </c>
      <c r="B2010" s="2">
        <v>44367.0</v>
      </c>
      <c r="C2010" s="1" t="s">
        <v>26</v>
      </c>
      <c r="D2010" s="1" t="s">
        <v>21</v>
      </c>
      <c r="E2010" s="1" t="s">
        <v>37</v>
      </c>
      <c r="F2010" s="1">
        <v>382.56</v>
      </c>
      <c r="G2010" s="1">
        <v>78.94</v>
      </c>
      <c r="H2010" s="1">
        <v>8.0</v>
      </c>
      <c r="I2010" s="1" t="s">
        <v>34</v>
      </c>
      <c r="J2010" s="1" t="s">
        <v>24</v>
      </c>
      <c r="K2010" s="1">
        <f t="shared" si="1"/>
        <v>2021</v>
      </c>
      <c r="L2010" s="1" t="str">
        <f t="shared" si="2"/>
        <v>Jun</v>
      </c>
      <c r="M2010" s="1" t="str">
        <f t="shared" si="3"/>
        <v>Profit</v>
      </c>
    </row>
    <row r="2011" ht="14.25" customHeight="1">
      <c r="A2011" s="1" t="s">
        <v>2045</v>
      </c>
      <c r="B2011" s="2">
        <v>44953.0</v>
      </c>
      <c r="C2011" s="1" t="s">
        <v>26</v>
      </c>
      <c r="D2011" s="1" t="s">
        <v>15</v>
      </c>
      <c r="E2011" s="1" t="s">
        <v>31</v>
      </c>
      <c r="F2011" s="1">
        <v>866.52</v>
      </c>
      <c r="G2011" s="1">
        <v>-15.52</v>
      </c>
      <c r="H2011" s="1">
        <v>4.0</v>
      </c>
      <c r="I2011" s="1" t="s">
        <v>34</v>
      </c>
      <c r="J2011" s="1" t="s">
        <v>18</v>
      </c>
      <c r="K2011" s="1">
        <f t="shared" si="1"/>
        <v>2023</v>
      </c>
      <c r="L2011" s="1" t="str">
        <f t="shared" si="2"/>
        <v>Jan</v>
      </c>
      <c r="M2011" s="1" t="str">
        <f t="shared" si="3"/>
        <v>Loss</v>
      </c>
    </row>
    <row r="2012" ht="14.25" customHeight="1">
      <c r="A2012" s="1" t="s">
        <v>2046</v>
      </c>
      <c r="B2012" s="2">
        <v>44378.0</v>
      </c>
      <c r="C2012" s="1" t="s">
        <v>30</v>
      </c>
      <c r="D2012" s="1" t="s">
        <v>15</v>
      </c>
      <c r="E2012" s="1" t="s">
        <v>54</v>
      </c>
      <c r="F2012" s="1">
        <v>333.95</v>
      </c>
      <c r="G2012" s="1">
        <v>192.42</v>
      </c>
      <c r="H2012" s="1">
        <v>10.0</v>
      </c>
      <c r="I2012" s="1" t="s">
        <v>23</v>
      </c>
      <c r="J2012" s="1" t="s">
        <v>18</v>
      </c>
      <c r="K2012" s="1">
        <f t="shared" si="1"/>
        <v>2021</v>
      </c>
      <c r="L2012" s="1" t="str">
        <f t="shared" si="2"/>
        <v>Jul</v>
      </c>
      <c r="M2012" s="1" t="str">
        <f t="shared" si="3"/>
        <v>Profit</v>
      </c>
    </row>
    <row r="2013" ht="14.25" customHeight="1">
      <c r="A2013" s="1" t="s">
        <v>2047</v>
      </c>
      <c r="B2013" s="2">
        <v>44430.0</v>
      </c>
      <c r="C2013" s="1" t="s">
        <v>30</v>
      </c>
      <c r="D2013" s="1" t="s">
        <v>21</v>
      </c>
      <c r="E2013" s="1" t="s">
        <v>22</v>
      </c>
      <c r="F2013" s="1">
        <v>155.78</v>
      </c>
      <c r="G2013" s="1">
        <v>129.04</v>
      </c>
      <c r="H2013" s="1">
        <v>1.0</v>
      </c>
      <c r="I2013" s="1" t="s">
        <v>34</v>
      </c>
      <c r="J2013" s="1" t="s">
        <v>35</v>
      </c>
      <c r="K2013" s="1">
        <f t="shared" si="1"/>
        <v>2021</v>
      </c>
      <c r="L2013" s="1" t="str">
        <f t="shared" si="2"/>
        <v>Aug</v>
      </c>
      <c r="M2013" s="1" t="str">
        <f t="shared" si="3"/>
        <v>Profit</v>
      </c>
    </row>
    <row r="2014" ht="14.25" customHeight="1">
      <c r="A2014" s="1" t="s">
        <v>2048</v>
      </c>
      <c r="B2014" s="2">
        <v>45094.0</v>
      </c>
      <c r="C2014" s="1" t="s">
        <v>30</v>
      </c>
      <c r="D2014" s="1" t="s">
        <v>15</v>
      </c>
      <c r="E2014" s="1" t="s">
        <v>54</v>
      </c>
      <c r="F2014" s="1">
        <v>738.79</v>
      </c>
      <c r="G2014" s="1">
        <v>292.34</v>
      </c>
      <c r="H2014" s="1">
        <v>8.0</v>
      </c>
      <c r="I2014" s="1" t="s">
        <v>17</v>
      </c>
      <c r="J2014" s="1" t="s">
        <v>24</v>
      </c>
      <c r="K2014" s="1">
        <f t="shared" si="1"/>
        <v>2023</v>
      </c>
      <c r="L2014" s="1" t="str">
        <f t="shared" si="2"/>
        <v>Jun</v>
      </c>
      <c r="M2014" s="1" t="str">
        <f t="shared" si="3"/>
        <v>Profit</v>
      </c>
    </row>
    <row r="2015" ht="14.25" customHeight="1">
      <c r="A2015" s="1" t="s">
        <v>2049</v>
      </c>
      <c r="B2015" s="2">
        <v>44586.0</v>
      </c>
      <c r="C2015" s="1" t="s">
        <v>14</v>
      </c>
      <c r="D2015" s="1" t="s">
        <v>27</v>
      </c>
      <c r="E2015" s="1" t="s">
        <v>40</v>
      </c>
      <c r="F2015" s="1">
        <v>361.41</v>
      </c>
      <c r="G2015" s="1">
        <v>-32.18</v>
      </c>
      <c r="H2015" s="1">
        <v>7.0</v>
      </c>
      <c r="I2015" s="1" t="s">
        <v>34</v>
      </c>
      <c r="J2015" s="1" t="s">
        <v>24</v>
      </c>
      <c r="K2015" s="1">
        <f t="shared" si="1"/>
        <v>2022</v>
      </c>
      <c r="L2015" s="1" t="str">
        <f t="shared" si="2"/>
        <v>Jan</v>
      </c>
      <c r="M2015" s="1" t="str">
        <f t="shared" si="3"/>
        <v>Loss</v>
      </c>
    </row>
    <row r="2016" ht="14.25" customHeight="1">
      <c r="A2016" s="1" t="s">
        <v>2050</v>
      </c>
      <c r="B2016" s="2">
        <v>45125.0</v>
      </c>
      <c r="C2016" s="1" t="s">
        <v>14</v>
      </c>
      <c r="D2016" s="1" t="s">
        <v>15</v>
      </c>
      <c r="E2016" s="1" t="s">
        <v>31</v>
      </c>
      <c r="F2016" s="1">
        <v>966.81</v>
      </c>
      <c r="G2016" s="1">
        <v>270.07</v>
      </c>
      <c r="H2016" s="1">
        <v>4.0</v>
      </c>
      <c r="I2016" s="1" t="s">
        <v>23</v>
      </c>
      <c r="J2016" s="1" t="s">
        <v>38</v>
      </c>
      <c r="K2016" s="1">
        <f t="shared" si="1"/>
        <v>2023</v>
      </c>
      <c r="L2016" s="1" t="str">
        <f t="shared" si="2"/>
        <v>Jul</v>
      </c>
      <c r="M2016" s="1" t="str">
        <f t="shared" si="3"/>
        <v>Profit</v>
      </c>
    </row>
    <row r="2017" ht="14.25" customHeight="1">
      <c r="A2017" s="1" t="s">
        <v>2051</v>
      </c>
      <c r="B2017" s="2">
        <v>45227.0</v>
      </c>
      <c r="C2017" s="1" t="s">
        <v>30</v>
      </c>
      <c r="D2017" s="1" t="s">
        <v>27</v>
      </c>
      <c r="E2017" s="1" t="s">
        <v>28</v>
      </c>
      <c r="F2017" s="1">
        <v>671.78</v>
      </c>
      <c r="G2017" s="1">
        <v>82.42</v>
      </c>
      <c r="H2017" s="1">
        <v>6.0</v>
      </c>
      <c r="I2017" s="1" t="s">
        <v>17</v>
      </c>
      <c r="J2017" s="1" t="s">
        <v>38</v>
      </c>
      <c r="K2017" s="1">
        <f t="shared" si="1"/>
        <v>2023</v>
      </c>
      <c r="L2017" s="1" t="str">
        <f t="shared" si="2"/>
        <v>Oct</v>
      </c>
      <c r="M2017" s="1" t="str">
        <f t="shared" si="3"/>
        <v>Profit</v>
      </c>
    </row>
    <row r="2018" ht="14.25" customHeight="1">
      <c r="A2018" s="1" t="s">
        <v>2052</v>
      </c>
      <c r="B2018" s="2">
        <v>44949.0</v>
      </c>
      <c r="C2018" s="1" t="s">
        <v>14</v>
      </c>
      <c r="D2018" s="1" t="s">
        <v>27</v>
      </c>
      <c r="E2018" s="1" t="s">
        <v>40</v>
      </c>
      <c r="F2018" s="1">
        <v>112.36</v>
      </c>
      <c r="G2018" s="1">
        <v>85.26</v>
      </c>
      <c r="H2018" s="1">
        <v>8.0</v>
      </c>
      <c r="I2018" s="1" t="s">
        <v>23</v>
      </c>
      <c r="J2018" s="1" t="s">
        <v>35</v>
      </c>
      <c r="K2018" s="1">
        <f t="shared" si="1"/>
        <v>2023</v>
      </c>
      <c r="L2018" s="1" t="str">
        <f t="shared" si="2"/>
        <v>Jan</v>
      </c>
      <c r="M2018" s="1" t="str">
        <f t="shared" si="3"/>
        <v>Profit</v>
      </c>
    </row>
    <row r="2019" ht="14.25" customHeight="1">
      <c r="A2019" s="1" t="s">
        <v>2053</v>
      </c>
      <c r="B2019" s="2">
        <v>44837.0</v>
      </c>
      <c r="C2019" s="1" t="s">
        <v>14</v>
      </c>
      <c r="D2019" s="1" t="s">
        <v>15</v>
      </c>
      <c r="E2019" s="1" t="s">
        <v>16</v>
      </c>
      <c r="F2019" s="1">
        <v>374.23</v>
      </c>
      <c r="G2019" s="1">
        <v>248.93</v>
      </c>
      <c r="H2019" s="1">
        <v>7.0</v>
      </c>
      <c r="I2019" s="1" t="s">
        <v>23</v>
      </c>
      <c r="J2019" s="1" t="s">
        <v>35</v>
      </c>
      <c r="K2019" s="1">
        <f t="shared" si="1"/>
        <v>2022</v>
      </c>
      <c r="L2019" s="1" t="str">
        <f t="shared" si="2"/>
        <v>Oct</v>
      </c>
      <c r="M2019" s="1" t="str">
        <f t="shared" si="3"/>
        <v>Profit</v>
      </c>
    </row>
    <row r="2020" ht="14.25" customHeight="1">
      <c r="A2020" s="1" t="s">
        <v>2054</v>
      </c>
      <c r="B2020" s="2">
        <v>45029.0</v>
      </c>
      <c r="C2020" s="1" t="s">
        <v>14</v>
      </c>
      <c r="D2020" s="1" t="s">
        <v>15</v>
      </c>
      <c r="E2020" s="1" t="s">
        <v>54</v>
      </c>
      <c r="F2020" s="1">
        <v>836.35</v>
      </c>
      <c r="G2020" s="1">
        <v>294.57</v>
      </c>
      <c r="H2020" s="1">
        <v>9.0</v>
      </c>
      <c r="I2020" s="1" t="s">
        <v>34</v>
      </c>
      <c r="J2020" s="1" t="s">
        <v>38</v>
      </c>
      <c r="K2020" s="1">
        <f t="shared" si="1"/>
        <v>2023</v>
      </c>
      <c r="L2020" s="1" t="str">
        <f t="shared" si="2"/>
        <v>Apr</v>
      </c>
      <c r="M2020" s="1" t="str">
        <f t="shared" si="3"/>
        <v>Profit</v>
      </c>
    </row>
    <row r="2021" ht="14.25" customHeight="1">
      <c r="A2021" s="1" t="s">
        <v>2055</v>
      </c>
      <c r="B2021" s="2">
        <v>44800.0</v>
      </c>
      <c r="C2021" s="1" t="s">
        <v>20</v>
      </c>
      <c r="D2021" s="1" t="s">
        <v>15</v>
      </c>
      <c r="E2021" s="1" t="s">
        <v>16</v>
      </c>
      <c r="F2021" s="1">
        <v>275.63</v>
      </c>
      <c r="G2021" s="1">
        <v>4.81</v>
      </c>
      <c r="H2021" s="1">
        <v>4.0</v>
      </c>
      <c r="I2021" s="1" t="s">
        <v>23</v>
      </c>
      <c r="J2021" s="1" t="s">
        <v>18</v>
      </c>
      <c r="K2021" s="1">
        <f t="shared" si="1"/>
        <v>2022</v>
      </c>
      <c r="L2021" s="1" t="str">
        <f t="shared" si="2"/>
        <v>Aug</v>
      </c>
      <c r="M2021" s="1" t="str">
        <f t="shared" si="3"/>
        <v>Profit</v>
      </c>
    </row>
    <row r="2022" ht="14.25" customHeight="1">
      <c r="A2022" s="1" t="s">
        <v>2056</v>
      </c>
      <c r="B2022" s="2">
        <v>44247.0</v>
      </c>
      <c r="C2022" s="1" t="s">
        <v>14</v>
      </c>
      <c r="D2022" s="1" t="s">
        <v>21</v>
      </c>
      <c r="E2022" s="1" t="s">
        <v>37</v>
      </c>
      <c r="F2022" s="1">
        <v>339.25</v>
      </c>
      <c r="G2022" s="1">
        <v>133.51</v>
      </c>
      <c r="H2022" s="1">
        <v>7.0</v>
      </c>
      <c r="I2022" s="1" t="s">
        <v>17</v>
      </c>
      <c r="J2022" s="1" t="s">
        <v>35</v>
      </c>
      <c r="K2022" s="1">
        <f t="shared" si="1"/>
        <v>2021</v>
      </c>
      <c r="L2022" s="1" t="str">
        <f t="shared" si="2"/>
        <v>Feb</v>
      </c>
      <c r="M2022" s="1" t="str">
        <f t="shared" si="3"/>
        <v>Profit</v>
      </c>
    </row>
    <row r="2023" ht="14.25" customHeight="1">
      <c r="A2023" s="1" t="s">
        <v>2057</v>
      </c>
      <c r="B2023" s="2">
        <v>45116.0</v>
      </c>
      <c r="C2023" s="1" t="s">
        <v>26</v>
      </c>
      <c r="D2023" s="1" t="s">
        <v>21</v>
      </c>
      <c r="E2023" s="1" t="s">
        <v>37</v>
      </c>
      <c r="F2023" s="1">
        <v>603.72</v>
      </c>
      <c r="G2023" s="1">
        <v>22.48</v>
      </c>
      <c r="H2023" s="1">
        <v>4.0</v>
      </c>
      <c r="I2023" s="1" t="s">
        <v>23</v>
      </c>
      <c r="J2023" s="1" t="s">
        <v>18</v>
      </c>
      <c r="K2023" s="1">
        <f t="shared" si="1"/>
        <v>2023</v>
      </c>
      <c r="L2023" s="1" t="str">
        <f t="shared" si="2"/>
        <v>Jul</v>
      </c>
      <c r="M2023" s="1" t="str">
        <f t="shared" si="3"/>
        <v>Profit</v>
      </c>
    </row>
    <row r="2024" ht="14.25" customHeight="1">
      <c r="A2024" s="1" t="s">
        <v>2058</v>
      </c>
      <c r="B2024" s="2">
        <v>44483.0</v>
      </c>
      <c r="C2024" s="1" t="s">
        <v>14</v>
      </c>
      <c r="D2024" s="1" t="s">
        <v>27</v>
      </c>
      <c r="E2024" s="1" t="s">
        <v>28</v>
      </c>
      <c r="F2024" s="1">
        <v>935.47</v>
      </c>
      <c r="G2024" s="1">
        <v>277.07</v>
      </c>
      <c r="H2024" s="1">
        <v>1.0</v>
      </c>
      <c r="I2024" s="1" t="s">
        <v>23</v>
      </c>
      <c r="J2024" s="1" t="s">
        <v>24</v>
      </c>
      <c r="K2024" s="1">
        <f t="shared" si="1"/>
        <v>2021</v>
      </c>
      <c r="L2024" s="1" t="str">
        <f t="shared" si="2"/>
        <v>Oct</v>
      </c>
      <c r="M2024" s="1" t="str">
        <f t="shared" si="3"/>
        <v>Profit</v>
      </c>
    </row>
    <row r="2025" ht="14.25" customHeight="1">
      <c r="A2025" s="1" t="s">
        <v>2059</v>
      </c>
      <c r="B2025" s="2">
        <v>44835.0</v>
      </c>
      <c r="C2025" s="1" t="s">
        <v>14</v>
      </c>
      <c r="D2025" s="1" t="s">
        <v>27</v>
      </c>
      <c r="E2025" s="1" t="s">
        <v>28</v>
      </c>
      <c r="F2025" s="1">
        <v>443.49</v>
      </c>
      <c r="G2025" s="1">
        <v>296.63</v>
      </c>
      <c r="H2025" s="1">
        <v>5.0</v>
      </c>
      <c r="I2025" s="1" t="s">
        <v>23</v>
      </c>
      <c r="J2025" s="1" t="s">
        <v>38</v>
      </c>
      <c r="K2025" s="1">
        <f t="shared" si="1"/>
        <v>2022</v>
      </c>
      <c r="L2025" s="1" t="str">
        <f t="shared" si="2"/>
        <v>Oct</v>
      </c>
      <c r="M2025" s="1" t="str">
        <f t="shared" si="3"/>
        <v>Profit</v>
      </c>
    </row>
    <row r="2026" ht="14.25" customHeight="1">
      <c r="A2026" s="1" t="s">
        <v>2060</v>
      </c>
      <c r="B2026" s="2">
        <v>44900.0</v>
      </c>
      <c r="C2026" s="1" t="s">
        <v>26</v>
      </c>
      <c r="D2026" s="1" t="s">
        <v>21</v>
      </c>
      <c r="E2026" s="1" t="s">
        <v>22</v>
      </c>
      <c r="F2026" s="1">
        <v>598.93</v>
      </c>
      <c r="G2026" s="1">
        <v>272.32</v>
      </c>
      <c r="H2026" s="1">
        <v>3.0</v>
      </c>
      <c r="I2026" s="1" t="s">
        <v>23</v>
      </c>
      <c r="J2026" s="1" t="s">
        <v>35</v>
      </c>
      <c r="K2026" s="1">
        <f t="shared" si="1"/>
        <v>2022</v>
      </c>
      <c r="L2026" s="1" t="str">
        <f t="shared" si="2"/>
        <v>Dec</v>
      </c>
      <c r="M2026" s="1" t="str">
        <f t="shared" si="3"/>
        <v>Profit</v>
      </c>
    </row>
    <row r="2027" ht="14.25" customHeight="1">
      <c r="A2027" s="1" t="s">
        <v>2061</v>
      </c>
      <c r="B2027" s="2">
        <v>44820.0</v>
      </c>
      <c r="C2027" s="1" t="s">
        <v>26</v>
      </c>
      <c r="D2027" s="1" t="s">
        <v>21</v>
      </c>
      <c r="E2027" s="1" t="s">
        <v>76</v>
      </c>
      <c r="F2027" s="1">
        <v>196.29</v>
      </c>
      <c r="G2027" s="1">
        <v>110.55</v>
      </c>
      <c r="H2027" s="1">
        <v>4.0</v>
      </c>
      <c r="I2027" s="1" t="s">
        <v>34</v>
      </c>
      <c r="J2027" s="1" t="s">
        <v>38</v>
      </c>
      <c r="K2027" s="1">
        <f t="shared" si="1"/>
        <v>2022</v>
      </c>
      <c r="L2027" s="1" t="str">
        <f t="shared" si="2"/>
        <v>Sep</v>
      </c>
      <c r="M2027" s="1" t="str">
        <f t="shared" si="3"/>
        <v>Profit</v>
      </c>
    </row>
    <row r="2028" ht="14.25" customHeight="1">
      <c r="A2028" s="1" t="s">
        <v>2062</v>
      </c>
      <c r="B2028" s="2">
        <v>45145.0</v>
      </c>
      <c r="C2028" s="1" t="s">
        <v>30</v>
      </c>
      <c r="D2028" s="1" t="s">
        <v>15</v>
      </c>
      <c r="E2028" s="1" t="s">
        <v>16</v>
      </c>
      <c r="F2028" s="1">
        <v>467.41</v>
      </c>
      <c r="G2028" s="1">
        <v>-14.56</v>
      </c>
      <c r="H2028" s="1">
        <v>5.0</v>
      </c>
      <c r="I2028" s="1" t="s">
        <v>23</v>
      </c>
      <c r="J2028" s="1" t="s">
        <v>38</v>
      </c>
      <c r="K2028" s="1">
        <f t="shared" si="1"/>
        <v>2023</v>
      </c>
      <c r="L2028" s="1" t="str">
        <f t="shared" si="2"/>
        <v>Aug</v>
      </c>
      <c r="M2028" s="1" t="str">
        <f t="shared" si="3"/>
        <v>Loss</v>
      </c>
    </row>
    <row r="2029" ht="14.25" customHeight="1">
      <c r="A2029" s="1" t="s">
        <v>2063</v>
      </c>
      <c r="B2029" s="2">
        <v>44353.0</v>
      </c>
      <c r="C2029" s="1" t="s">
        <v>26</v>
      </c>
      <c r="D2029" s="1" t="s">
        <v>15</v>
      </c>
      <c r="E2029" s="1" t="s">
        <v>31</v>
      </c>
      <c r="F2029" s="1">
        <v>136.8</v>
      </c>
      <c r="G2029" s="1">
        <v>103.64</v>
      </c>
      <c r="H2029" s="1">
        <v>8.0</v>
      </c>
      <c r="I2029" s="1" t="s">
        <v>23</v>
      </c>
      <c r="J2029" s="1" t="s">
        <v>18</v>
      </c>
      <c r="K2029" s="1">
        <f t="shared" si="1"/>
        <v>2021</v>
      </c>
      <c r="L2029" s="1" t="str">
        <f t="shared" si="2"/>
        <v>Jun</v>
      </c>
      <c r="M2029" s="1" t="str">
        <f t="shared" si="3"/>
        <v>Profit</v>
      </c>
    </row>
    <row r="2030" ht="14.25" customHeight="1">
      <c r="A2030" s="1" t="s">
        <v>2064</v>
      </c>
      <c r="B2030" s="2">
        <v>45053.0</v>
      </c>
      <c r="C2030" s="1" t="s">
        <v>14</v>
      </c>
      <c r="D2030" s="1" t="s">
        <v>21</v>
      </c>
      <c r="E2030" s="1" t="s">
        <v>37</v>
      </c>
      <c r="F2030" s="1">
        <v>730.21</v>
      </c>
      <c r="G2030" s="1">
        <v>-149.04</v>
      </c>
      <c r="H2030" s="1">
        <v>6.0</v>
      </c>
      <c r="I2030" s="1" t="s">
        <v>34</v>
      </c>
      <c r="J2030" s="1" t="s">
        <v>38</v>
      </c>
      <c r="K2030" s="1">
        <f t="shared" si="1"/>
        <v>2023</v>
      </c>
      <c r="L2030" s="1" t="str">
        <f t="shared" si="2"/>
        <v>May</v>
      </c>
      <c r="M2030" s="1" t="str">
        <f t="shared" si="3"/>
        <v>Loss</v>
      </c>
    </row>
    <row r="2031" ht="14.25" customHeight="1">
      <c r="A2031" s="1" t="s">
        <v>2065</v>
      </c>
      <c r="B2031" s="2">
        <v>45068.0</v>
      </c>
      <c r="C2031" s="1" t="s">
        <v>14</v>
      </c>
      <c r="D2031" s="1" t="s">
        <v>21</v>
      </c>
      <c r="E2031" s="1" t="s">
        <v>76</v>
      </c>
      <c r="F2031" s="1">
        <v>849.15</v>
      </c>
      <c r="G2031" s="1">
        <v>268.2</v>
      </c>
      <c r="H2031" s="1">
        <v>1.0</v>
      </c>
      <c r="I2031" s="1" t="s">
        <v>34</v>
      </c>
      <c r="J2031" s="1" t="s">
        <v>18</v>
      </c>
      <c r="K2031" s="1">
        <f t="shared" si="1"/>
        <v>2023</v>
      </c>
      <c r="L2031" s="1" t="str">
        <f t="shared" si="2"/>
        <v>May</v>
      </c>
      <c r="M2031" s="1" t="str">
        <f t="shared" si="3"/>
        <v>Profit</v>
      </c>
    </row>
    <row r="2032" ht="14.25" customHeight="1">
      <c r="A2032" s="1" t="s">
        <v>2066</v>
      </c>
      <c r="B2032" s="2">
        <v>45042.0</v>
      </c>
      <c r="C2032" s="1" t="s">
        <v>30</v>
      </c>
      <c r="D2032" s="1" t="s">
        <v>15</v>
      </c>
      <c r="E2032" s="1" t="s">
        <v>16</v>
      </c>
      <c r="F2032" s="1">
        <v>144.33</v>
      </c>
      <c r="G2032" s="1">
        <v>115.01</v>
      </c>
      <c r="H2032" s="1">
        <v>5.0</v>
      </c>
      <c r="I2032" s="1" t="s">
        <v>34</v>
      </c>
      <c r="J2032" s="1" t="s">
        <v>38</v>
      </c>
      <c r="K2032" s="1">
        <f t="shared" si="1"/>
        <v>2023</v>
      </c>
      <c r="L2032" s="1" t="str">
        <f t="shared" si="2"/>
        <v>Apr</v>
      </c>
      <c r="M2032" s="1" t="str">
        <f t="shared" si="3"/>
        <v>Profit</v>
      </c>
    </row>
    <row r="2033" ht="14.25" customHeight="1">
      <c r="A2033" s="1" t="s">
        <v>2067</v>
      </c>
      <c r="B2033" s="2">
        <v>44922.0</v>
      </c>
      <c r="C2033" s="1" t="s">
        <v>26</v>
      </c>
      <c r="D2033" s="1" t="s">
        <v>15</v>
      </c>
      <c r="E2033" s="1" t="s">
        <v>54</v>
      </c>
      <c r="F2033" s="1">
        <v>750.89</v>
      </c>
      <c r="G2033" s="1">
        <v>15.34</v>
      </c>
      <c r="H2033" s="1">
        <v>8.0</v>
      </c>
      <c r="I2033" s="1" t="s">
        <v>17</v>
      </c>
      <c r="J2033" s="1" t="s">
        <v>24</v>
      </c>
      <c r="K2033" s="1">
        <f t="shared" si="1"/>
        <v>2022</v>
      </c>
      <c r="L2033" s="1" t="str">
        <f t="shared" si="2"/>
        <v>Dec</v>
      </c>
      <c r="M2033" s="1" t="str">
        <f t="shared" si="3"/>
        <v>Profit</v>
      </c>
    </row>
    <row r="2034" ht="14.25" customHeight="1">
      <c r="A2034" s="1" t="s">
        <v>2068</v>
      </c>
      <c r="B2034" s="2">
        <v>45040.0</v>
      </c>
      <c r="C2034" s="1" t="s">
        <v>26</v>
      </c>
      <c r="D2034" s="1" t="s">
        <v>15</v>
      </c>
      <c r="E2034" s="1" t="s">
        <v>31</v>
      </c>
      <c r="F2034" s="1">
        <v>65.3</v>
      </c>
      <c r="G2034" s="1">
        <v>-95.76</v>
      </c>
      <c r="H2034" s="1">
        <v>8.0</v>
      </c>
      <c r="I2034" s="1" t="s">
        <v>23</v>
      </c>
      <c r="J2034" s="1" t="s">
        <v>24</v>
      </c>
      <c r="K2034" s="1">
        <f t="shared" si="1"/>
        <v>2023</v>
      </c>
      <c r="L2034" s="1" t="str">
        <f t="shared" si="2"/>
        <v>Apr</v>
      </c>
      <c r="M2034" s="1" t="str">
        <f t="shared" si="3"/>
        <v>Loss</v>
      </c>
    </row>
    <row r="2035" ht="14.25" customHeight="1">
      <c r="A2035" s="1" t="s">
        <v>2069</v>
      </c>
      <c r="B2035" s="2">
        <v>45157.0</v>
      </c>
      <c r="C2035" s="1" t="s">
        <v>30</v>
      </c>
      <c r="D2035" s="1" t="s">
        <v>27</v>
      </c>
      <c r="E2035" s="1" t="s">
        <v>28</v>
      </c>
      <c r="F2035" s="1">
        <v>963.75</v>
      </c>
      <c r="G2035" s="1">
        <v>101.42</v>
      </c>
      <c r="H2035" s="1">
        <v>5.0</v>
      </c>
      <c r="I2035" s="1" t="s">
        <v>17</v>
      </c>
      <c r="J2035" s="1" t="s">
        <v>18</v>
      </c>
      <c r="K2035" s="1">
        <f t="shared" si="1"/>
        <v>2023</v>
      </c>
      <c r="L2035" s="1" t="str">
        <f t="shared" si="2"/>
        <v>Aug</v>
      </c>
      <c r="M2035" s="1" t="str">
        <f t="shared" si="3"/>
        <v>Profit</v>
      </c>
    </row>
    <row r="2036" ht="14.25" customHeight="1">
      <c r="A2036" s="1" t="s">
        <v>2070</v>
      </c>
      <c r="B2036" s="2">
        <v>45215.0</v>
      </c>
      <c r="C2036" s="1" t="s">
        <v>26</v>
      </c>
      <c r="D2036" s="1" t="s">
        <v>21</v>
      </c>
      <c r="E2036" s="1" t="s">
        <v>37</v>
      </c>
      <c r="F2036" s="1">
        <v>511.7</v>
      </c>
      <c r="G2036" s="1">
        <v>290.82</v>
      </c>
      <c r="H2036" s="1">
        <v>8.0</v>
      </c>
      <c r="I2036" s="1" t="s">
        <v>34</v>
      </c>
      <c r="J2036" s="1" t="s">
        <v>35</v>
      </c>
      <c r="K2036" s="1">
        <f t="shared" si="1"/>
        <v>2023</v>
      </c>
      <c r="L2036" s="1" t="str">
        <f t="shared" si="2"/>
        <v>Oct</v>
      </c>
      <c r="M2036" s="1" t="str">
        <f t="shared" si="3"/>
        <v>Profit</v>
      </c>
    </row>
    <row r="2037" ht="14.25" customHeight="1">
      <c r="A2037" s="1" t="s">
        <v>2071</v>
      </c>
      <c r="B2037" s="2">
        <v>45090.0</v>
      </c>
      <c r="C2037" s="1" t="s">
        <v>30</v>
      </c>
      <c r="D2037" s="1" t="s">
        <v>15</v>
      </c>
      <c r="E2037" s="1" t="s">
        <v>54</v>
      </c>
      <c r="F2037" s="1">
        <v>126.07</v>
      </c>
      <c r="G2037" s="1">
        <v>154.33</v>
      </c>
      <c r="H2037" s="1">
        <v>9.0</v>
      </c>
      <c r="I2037" s="1" t="s">
        <v>23</v>
      </c>
      <c r="J2037" s="1" t="s">
        <v>24</v>
      </c>
      <c r="K2037" s="1">
        <f t="shared" si="1"/>
        <v>2023</v>
      </c>
      <c r="L2037" s="1" t="str">
        <f t="shared" si="2"/>
        <v>Jun</v>
      </c>
      <c r="M2037" s="1" t="str">
        <f t="shared" si="3"/>
        <v>Profit</v>
      </c>
    </row>
    <row r="2038" ht="14.25" customHeight="1">
      <c r="A2038" s="1" t="s">
        <v>2072</v>
      </c>
      <c r="B2038" s="2">
        <v>45265.0</v>
      </c>
      <c r="C2038" s="1" t="s">
        <v>30</v>
      </c>
      <c r="D2038" s="1" t="s">
        <v>21</v>
      </c>
      <c r="E2038" s="1" t="s">
        <v>37</v>
      </c>
      <c r="F2038" s="1">
        <v>119.34</v>
      </c>
      <c r="G2038" s="1">
        <v>11.09</v>
      </c>
      <c r="H2038" s="1">
        <v>10.0</v>
      </c>
      <c r="I2038" s="1" t="s">
        <v>23</v>
      </c>
      <c r="J2038" s="1" t="s">
        <v>38</v>
      </c>
      <c r="K2038" s="1">
        <f t="shared" si="1"/>
        <v>2023</v>
      </c>
      <c r="L2038" s="1" t="str">
        <f t="shared" si="2"/>
        <v>Dec</v>
      </c>
      <c r="M2038" s="1" t="str">
        <f t="shared" si="3"/>
        <v>Profit</v>
      </c>
    </row>
    <row r="2039" ht="14.25" customHeight="1">
      <c r="A2039" s="1" t="s">
        <v>2073</v>
      </c>
      <c r="B2039" s="2">
        <v>44252.0</v>
      </c>
      <c r="C2039" s="1" t="s">
        <v>20</v>
      </c>
      <c r="D2039" s="1" t="s">
        <v>15</v>
      </c>
      <c r="E2039" s="1" t="s">
        <v>54</v>
      </c>
      <c r="F2039" s="1">
        <v>65.12</v>
      </c>
      <c r="G2039" s="1">
        <v>213.41</v>
      </c>
      <c r="H2039" s="1">
        <v>8.0</v>
      </c>
      <c r="I2039" s="1" t="s">
        <v>17</v>
      </c>
      <c r="J2039" s="1" t="s">
        <v>38</v>
      </c>
      <c r="K2039" s="1">
        <f t="shared" si="1"/>
        <v>2021</v>
      </c>
      <c r="L2039" s="1" t="str">
        <f t="shared" si="2"/>
        <v>Feb</v>
      </c>
      <c r="M2039" s="1" t="str">
        <f t="shared" si="3"/>
        <v>Profit</v>
      </c>
    </row>
    <row r="2040" ht="14.25" customHeight="1">
      <c r="A2040" s="1" t="s">
        <v>2074</v>
      </c>
      <c r="B2040" s="2">
        <v>44769.0</v>
      </c>
      <c r="C2040" s="1" t="s">
        <v>20</v>
      </c>
      <c r="D2040" s="1" t="s">
        <v>15</v>
      </c>
      <c r="E2040" s="1" t="s">
        <v>16</v>
      </c>
      <c r="F2040" s="1">
        <v>693.94</v>
      </c>
      <c r="G2040" s="1">
        <v>-95.87</v>
      </c>
      <c r="H2040" s="1">
        <v>10.0</v>
      </c>
      <c r="I2040" s="1" t="s">
        <v>23</v>
      </c>
      <c r="J2040" s="1" t="s">
        <v>18</v>
      </c>
      <c r="K2040" s="1">
        <f t="shared" si="1"/>
        <v>2022</v>
      </c>
      <c r="L2040" s="1" t="str">
        <f t="shared" si="2"/>
        <v>Jul</v>
      </c>
      <c r="M2040" s="1" t="str">
        <f t="shared" si="3"/>
        <v>Loss</v>
      </c>
    </row>
    <row r="2041" ht="14.25" customHeight="1">
      <c r="A2041" s="1" t="s">
        <v>2075</v>
      </c>
      <c r="B2041" s="2">
        <v>44832.0</v>
      </c>
      <c r="C2041" s="1" t="s">
        <v>30</v>
      </c>
      <c r="D2041" s="1" t="s">
        <v>21</v>
      </c>
      <c r="E2041" s="1" t="s">
        <v>37</v>
      </c>
      <c r="F2041" s="1">
        <v>979.55</v>
      </c>
      <c r="G2041" s="1">
        <v>291.47</v>
      </c>
      <c r="H2041" s="1">
        <v>2.0</v>
      </c>
      <c r="I2041" s="1" t="s">
        <v>17</v>
      </c>
      <c r="J2041" s="1" t="s">
        <v>24</v>
      </c>
      <c r="K2041" s="1">
        <f t="shared" si="1"/>
        <v>2022</v>
      </c>
      <c r="L2041" s="1" t="str">
        <f t="shared" si="2"/>
        <v>Sep</v>
      </c>
      <c r="M2041" s="1" t="str">
        <f t="shared" si="3"/>
        <v>Profit</v>
      </c>
    </row>
    <row r="2042" ht="14.25" customHeight="1">
      <c r="A2042" s="1" t="s">
        <v>2076</v>
      </c>
      <c r="B2042" s="2">
        <v>44605.0</v>
      </c>
      <c r="C2042" s="1" t="s">
        <v>30</v>
      </c>
      <c r="D2042" s="1" t="s">
        <v>27</v>
      </c>
      <c r="E2042" s="1" t="s">
        <v>40</v>
      </c>
      <c r="F2042" s="1">
        <v>796.47</v>
      </c>
      <c r="G2042" s="1">
        <v>82.48</v>
      </c>
      <c r="H2042" s="1">
        <v>9.0</v>
      </c>
      <c r="I2042" s="1" t="s">
        <v>23</v>
      </c>
      <c r="J2042" s="1" t="s">
        <v>38</v>
      </c>
      <c r="K2042" s="1">
        <f t="shared" si="1"/>
        <v>2022</v>
      </c>
      <c r="L2042" s="1" t="str">
        <f t="shared" si="2"/>
        <v>Feb</v>
      </c>
      <c r="M2042" s="1" t="str">
        <f t="shared" si="3"/>
        <v>Profit</v>
      </c>
    </row>
    <row r="2043" ht="14.25" customHeight="1">
      <c r="A2043" s="1" t="s">
        <v>2077</v>
      </c>
      <c r="B2043" s="2">
        <v>44941.0</v>
      </c>
      <c r="C2043" s="1" t="s">
        <v>20</v>
      </c>
      <c r="D2043" s="1" t="s">
        <v>15</v>
      </c>
      <c r="E2043" s="1" t="s">
        <v>54</v>
      </c>
      <c r="F2043" s="1">
        <v>937.07</v>
      </c>
      <c r="G2043" s="1">
        <v>118.13</v>
      </c>
      <c r="H2043" s="1">
        <v>10.0</v>
      </c>
      <c r="I2043" s="1" t="s">
        <v>34</v>
      </c>
      <c r="J2043" s="1" t="s">
        <v>35</v>
      </c>
      <c r="K2043" s="1">
        <f t="shared" si="1"/>
        <v>2023</v>
      </c>
      <c r="L2043" s="1" t="str">
        <f t="shared" si="2"/>
        <v>Jan</v>
      </c>
      <c r="M2043" s="1" t="str">
        <f t="shared" si="3"/>
        <v>Profit</v>
      </c>
    </row>
    <row r="2044" ht="14.25" customHeight="1">
      <c r="A2044" s="1" t="s">
        <v>2078</v>
      </c>
      <c r="B2044" s="2">
        <v>44296.0</v>
      </c>
      <c r="C2044" s="1" t="s">
        <v>20</v>
      </c>
      <c r="D2044" s="1" t="s">
        <v>15</v>
      </c>
      <c r="E2044" s="1" t="s">
        <v>31</v>
      </c>
      <c r="F2044" s="1">
        <v>832.57</v>
      </c>
      <c r="G2044" s="1">
        <v>-97.5</v>
      </c>
      <c r="H2044" s="1">
        <v>8.0</v>
      </c>
      <c r="I2044" s="1" t="s">
        <v>23</v>
      </c>
      <c r="J2044" s="1" t="s">
        <v>35</v>
      </c>
      <c r="K2044" s="1">
        <f t="shared" si="1"/>
        <v>2021</v>
      </c>
      <c r="L2044" s="1" t="str">
        <f t="shared" si="2"/>
        <v>Apr</v>
      </c>
      <c r="M2044" s="1" t="str">
        <f t="shared" si="3"/>
        <v>Loss</v>
      </c>
    </row>
    <row r="2045" ht="14.25" customHeight="1">
      <c r="A2045" s="1" t="s">
        <v>2079</v>
      </c>
      <c r="B2045" s="2">
        <v>44790.0</v>
      </c>
      <c r="C2045" s="1" t="s">
        <v>20</v>
      </c>
      <c r="D2045" s="1" t="s">
        <v>15</v>
      </c>
      <c r="E2045" s="1" t="s">
        <v>54</v>
      </c>
      <c r="F2045" s="1">
        <v>500.16</v>
      </c>
      <c r="G2045" s="1">
        <v>-96.89</v>
      </c>
      <c r="H2045" s="1">
        <v>6.0</v>
      </c>
      <c r="I2045" s="1" t="s">
        <v>23</v>
      </c>
      <c r="J2045" s="1" t="s">
        <v>35</v>
      </c>
      <c r="K2045" s="1">
        <f t="shared" si="1"/>
        <v>2022</v>
      </c>
      <c r="L2045" s="1" t="str">
        <f t="shared" si="2"/>
        <v>Aug</v>
      </c>
      <c r="M2045" s="1" t="str">
        <f t="shared" si="3"/>
        <v>Loss</v>
      </c>
    </row>
    <row r="2046" ht="14.25" customHeight="1">
      <c r="A2046" s="1" t="s">
        <v>2080</v>
      </c>
      <c r="B2046" s="2">
        <v>45098.0</v>
      </c>
      <c r="C2046" s="1" t="s">
        <v>26</v>
      </c>
      <c r="D2046" s="1" t="s">
        <v>15</v>
      </c>
      <c r="E2046" s="1" t="s">
        <v>31</v>
      </c>
      <c r="F2046" s="1">
        <v>86.55</v>
      </c>
      <c r="G2046" s="1">
        <v>140.5</v>
      </c>
      <c r="H2046" s="1">
        <v>6.0</v>
      </c>
      <c r="I2046" s="1" t="s">
        <v>17</v>
      </c>
      <c r="J2046" s="1" t="s">
        <v>24</v>
      </c>
      <c r="K2046" s="1">
        <f t="shared" si="1"/>
        <v>2023</v>
      </c>
      <c r="L2046" s="1" t="str">
        <f t="shared" si="2"/>
        <v>Jun</v>
      </c>
      <c r="M2046" s="1" t="str">
        <f t="shared" si="3"/>
        <v>Profit</v>
      </c>
    </row>
    <row r="2047" ht="14.25" customHeight="1">
      <c r="A2047" s="1" t="s">
        <v>2081</v>
      </c>
      <c r="B2047" s="2">
        <v>44917.0</v>
      </c>
      <c r="C2047" s="1" t="s">
        <v>26</v>
      </c>
      <c r="D2047" s="1" t="s">
        <v>27</v>
      </c>
      <c r="E2047" s="1" t="s">
        <v>33</v>
      </c>
      <c r="F2047" s="1">
        <v>680.09</v>
      </c>
      <c r="G2047" s="1">
        <v>169.38</v>
      </c>
      <c r="H2047" s="1">
        <v>5.0</v>
      </c>
      <c r="I2047" s="1" t="s">
        <v>34</v>
      </c>
      <c r="J2047" s="1" t="s">
        <v>24</v>
      </c>
      <c r="K2047" s="1">
        <f t="shared" si="1"/>
        <v>2022</v>
      </c>
      <c r="L2047" s="1" t="str">
        <f t="shared" si="2"/>
        <v>Dec</v>
      </c>
      <c r="M2047" s="1" t="str">
        <f t="shared" si="3"/>
        <v>Profit</v>
      </c>
    </row>
    <row r="2048" ht="14.25" customHeight="1">
      <c r="A2048" s="1" t="s">
        <v>2082</v>
      </c>
      <c r="B2048" s="2">
        <v>44332.0</v>
      </c>
      <c r="C2048" s="1" t="s">
        <v>30</v>
      </c>
      <c r="D2048" s="1" t="s">
        <v>27</v>
      </c>
      <c r="E2048" s="1" t="s">
        <v>33</v>
      </c>
      <c r="F2048" s="1">
        <v>791.31</v>
      </c>
      <c r="G2048" s="1">
        <v>-177.85</v>
      </c>
      <c r="H2048" s="1">
        <v>5.0</v>
      </c>
      <c r="I2048" s="1" t="s">
        <v>34</v>
      </c>
      <c r="J2048" s="1" t="s">
        <v>35</v>
      </c>
      <c r="K2048" s="1">
        <f t="shared" si="1"/>
        <v>2021</v>
      </c>
      <c r="L2048" s="1" t="str">
        <f t="shared" si="2"/>
        <v>May</v>
      </c>
      <c r="M2048" s="1" t="str">
        <f t="shared" si="3"/>
        <v>Loss</v>
      </c>
    </row>
    <row r="2049" ht="14.25" customHeight="1">
      <c r="A2049" s="1" t="s">
        <v>2083</v>
      </c>
      <c r="B2049" s="2">
        <v>44226.0</v>
      </c>
      <c r="C2049" s="1" t="s">
        <v>26</v>
      </c>
      <c r="D2049" s="1" t="s">
        <v>21</v>
      </c>
      <c r="E2049" s="1" t="s">
        <v>22</v>
      </c>
      <c r="F2049" s="1">
        <v>455.53</v>
      </c>
      <c r="G2049" s="1">
        <v>-20.32</v>
      </c>
      <c r="H2049" s="1">
        <v>1.0</v>
      </c>
      <c r="I2049" s="1" t="s">
        <v>23</v>
      </c>
      <c r="J2049" s="1" t="s">
        <v>18</v>
      </c>
      <c r="K2049" s="1">
        <f t="shared" si="1"/>
        <v>2021</v>
      </c>
      <c r="L2049" s="1" t="str">
        <f t="shared" si="2"/>
        <v>Jan</v>
      </c>
      <c r="M2049" s="1" t="str">
        <f t="shared" si="3"/>
        <v>Loss</v>
      </c>
    </row>
    <row r="2050" ht="14.25" customHeight="1">
      <c r="A2050" s="1" t="s">
        <v>2084</v>
      </c>
      <c r="B2050" s="2">
        <v>44409.0</v>
      </c>
      <c r="C2050" s="1" t="s">
        <v>26</v>
      </c>
      <c r="D2050" s="1" t="s">
        <v>15</v>
      </c>
      <c r="E2050" s="1" t="s">
        <v>31</v>
      </c>
      <c r="F2050" s="1">
        <v>947.05</v>
      </c>
      <c r="G2050" s="1">
        <v>171.02</v>
      </c>
      <c r="H2050" s="1">
        <v>7.0</v>
      </c>
      <c r="I2050" s="1" t="s">
        <v>34</v>
      </c>
      <c r="J2050" s="1" t="s">
        <v>18</v>
      </c>
      <c r="K2050" s="1">
        <f t="shared" si="1"/>
        <v>2021</v>
      </c>
      <c r="L2050" s="1" t="str">
        <f t="shared" si="2"/>
        <v>Aug</v>
      </c>
      <c r="M2050" s="1" t="str">
        <f t="shared" si="3"/>
        <v>Profit</v>
      </c>
    </row>
    <row r="2051" ht="14.25" customHeight="1">
      <c r="A2051" s="1" t="s">
        <v>2085</v>
      </c>
      <c r="B2051" s="2">
        <v>44695.0</v>
      </c>
      <c r="C2051" s="1" t="s">
        <v>20</v>
      </c>
      <c r="D2051" s="1" t="s">
        <v>27</v>
      </c>
      <c r="E2051" s="1" t="s">
        <v>33</v>
      </c>
      <c r="F2051" s="1">
        <v>471.93</v>
      </c>
      <c r="G2051" s="1">
        <v>56.47</v>
      </c>
      <c r="H2051" s="1">
        <v>4.0</v>
      </c>
      <c r="I2051" s="1" t="s">
        <v>17</v>
      </c>
      <c r="J2051" s="1" t="s">
        <v>24</v>
      </c>
      <c r="K2051" s="1">
        <f t="shared" si="1"/>
        <v>2022</v>
      </c>
      <c r="L2051" s="1" t="str">
        <f t="shared" si="2"/>
        <v>May</v>
      </c>
      <c r="M2051" s="1" t="str">
        <f t="shared" si="3"/>
        <v>Profit</v>
      </c>
    </row>
    <row r="2052" ht="14.25" customHeight="1">
      <c r="A2052" s="1" t="s">
        <v>2086</v>
      </c>
      <c r="B2052" s="2">
        <v>44790.0</v>
      </c>
      <c r="C2052" s="1" t="s">
        <v>20</v>
      </c>
      <c r="D2052" s="1" t="s">
        <v>21</v>
      </c>
      <c r="E2052" s="1" t="s">
        <v>76</v>
      </c>
      <c r="F2052" s="1">
        <v>402.07</v>
      </c>
      <c r="G2052" s="1">
        <v>268.79</v>
      </c>
      <c r="H2052" s="1">
        <v>2.0</v>
      </c>
      <c r="I2052" s="1" t="s">
        <v>23</v>
      </c>
      <c r="J2052" s="1" t="s">
        <v>18</v>
      </c>
      <c r="K2052" s="1">
        <f t="shared" si="1"/>
        <v>2022</v>
      </c>
      <c r="L2052" s="1" t="str">
        <f t="shared" si="2"/>
        <v>Aug</v>
      </c>
      <c r="M2052" s="1" t="str">
        <f t="shared" si="3"/>
        <v>Profit</v>
      </c>
    </row>
    <row r="2053" ht="14.25" customHeight="1">
      <c r="A2053" s="1" t="s">
        <v>2087</v>
      </c>
      <c r="B2053" s="2">
        <v>44879.0</v>
      </c>
      <c r="C2053" s="1" t="s">
        <v>30</v>
      </c>
      <c r="D2053" s="1" t="s">
        <v>27</v>
      </c>
      <c r="E2053" s="1" t="s">
        <v>28</v>
      </c>
      <c r="F2053" s="1">
        <v>658.89</v>
      </c>
      <c r="G2053" s="1">
        <v>274.73</v>
      </c>
      <c r="H2053" s="1">
        <v>8.0</v>
      </c>
      <c r="I2053" s="1" t="s">
        <v>34</v>
      </c>
      <c r="J2053" s="1" t="s">
        <v>35</v>
      </c>
      <c r="K2053" s="1">
        <f t="shared" si="1"/>
        <v>2022</v>
      </c>
      <c r="L2053" s="1" t="str">
        <f t="shared" si="2"/>
        <v>Nov</v>
      </c>
      <c r="M2053" s="1" t="str">
        <f t="shared" si="3"/>
        <v>Profit</v>
      </c>
    </row>
    <row r="2054" ht="14.25" customHeight="1">
      <c r="A2054" s="1" t="s">
        <v>2088</v>
      </c>
      <c r="B2054" s="2">
        <v>44797.0</v>
      </c>
      <c r="C2054" s="1" t="s">
        <v>20</v>
      </c>
      <c r="D2054" s="1" t="s">
        <v>27</v>
      </c>
      <c r="E2054" s="1" t="s">
        <v>33</v>
      </c>
      <c r="F2054" s="1">
        <v>20.16</v>
      </c>
      <c r="G2054" s="1">
        <v>-67.65</v>
      </c>
      <c r="H2054" s="1">
        <v>9.0</v>
      </c>
      <c r="I2054" s="1" t="s">
        <v>34</v>
      </c>
      <c r="J2054" s="1" t="s">
        <v>35</v>
      </c>
      <c r="K2054" s="1">
        <f t="shared" si="1"/>
        <v>2022</v>
      </c>
      <c r="L2054" s="1" t="str">
        <f t="shared" si="2"/>
        <v>Aug</v>
      </c>
      <c r="M2054" s="1" t="str">
        <f t="shared" si="3"/>
        <v>Loss</v>
      </c>
    </row>
    <row r="2055" ht="14.25" customHeight="1">
      <c r="A2055" s="1" t="s">
        <v>2089</v>
      </c>
      <c r="B2055" s="2">
        <v>44983.0</v>
      </c>
      <c r="C2055" s="1" t="s">
        <v>26</v>
      </c>
      <c r="D2055" s="1" t="s">
        <v>21</v>
      </c>
      <c r="E2055" s="1" t="s">
        <v>76</v>
      </c>
      <c r="F2055" s="1">
        <v>819.17</v>
      </c>
      <c r="G2055" s="1">
        <v>190.83</v>
      </c>
      <c r="H2055" s="1">
        <v>5.0</v>
      </c>
      <c r="I2055" s="1" t="s">
        <v>17</v>
      </c>
      <c r="J2055" s="1" t="s">
        <v>24</v>
      </c>
      <c r="K2055" s="1">
        <f t="shared" si="1"/>
        <v>2023</v>
      </c>
      <c r="L2055" s="1" t="str">
        <f t="shared" si="2"/>
        <v>Feb</v>
      </c>
      <c r="M2055" s="1" t="str">
        <f t="shared" si="3"/>
        <v>Profit</v>
      </c>
    </row>
    <row r="2056" ht="14.25" customHeight="1">
      <c r="A2056" s="1" t="s">
        <v>2090</v>
      </c>
      <c r="B2056" s="2">
        <v>44849.0</v>
      </c>
      <c r="C2056" s="1" t="s">
        <v>26</v>
      </c>
      <c r="D2056" s="1" t="s">
        <v>21</v>
      </c>
      <c r="E2056" s="1" t="s">
        <v>37</v>
      </c>
      <c r="F2056" s="1">
        <v>802.88</v>
      </c>
      <c r="G2056" s="1">
        <v>50.26</v>
      </c>
      <c r="H2056" s="1">
        <v>2.0</v>
      </c>
      <c r="I2056" s="1" t="s">
        <v>34</v>
      </c>
      <c r="J2056" s="1" t="s">
        <v>35</v>
      </c>
      <c r="K2056" s="1">
        <f t="shared" si="1"/>
        <v>2022</v>
      </c>
      <c r="L2056" s="1" t="str">
        <f t="shared" si="2"/>
        <v>Oct</v>
      </c>
      <c r="M2056" s="1" t="str">
        <f t="shared" si="3"/>
        <v>Profit</v>
      </c>
    </row>
    <row r="2057" ht="14.25" customHeight="1">
      <c r="A2057" s="1" t="s">
        <v>2091</v>
      </c>
      <c r="B2057" s="2">
        <v>44863.0</v>
      </c>
      <c r="C2057" s="1" t="s">
        <v>20</v>
      </c>
      <c r="D2057" s="1" t="s">
        <v>21</v>
      </c>
      <c r="E2057" s="1" t="s">
        <v>37</v>
      </c>
      <c r="F2057" s="1">
        <v>547.11</v>
      </c>
      <c r="G2057" s="1">
        <v>291.9</v>
      </c>
      <c r="H2057" s="1">
        <v>10.0</v>
      </c>
      <c r="I2057" s="1" t="s">
        <v>17</v>
      </c>
      <c r="J2057" s="1" t="s">
        <v>38</v>
      </c>
      <c r="K2057" s="1">
        <f t="shared" si="1"/>
        <v>2022</v>
      </c>
      <c r="L2057" s="1" t="str">
        <f t="shared" si="2"/>
        <v>Oct</v>
      </c>
      <c r="M2057" s="1" t="str">
        <f t="shared" si="3"/>
        <v>Profit</v>
      </c>
    </row>
    <row r="2058" ht="14.25" customHeight="1">
      <c r="A2058" s="1" t="s">
        <v>2092</v>
      </c>
      <c r="B2058" s="2">
        <v>44891.0</v>
      </c>
      <c r="C2058" s="1" t="s">
        <v>20</v>
      </c>
      <c r="D2058" s="1" t="s">
        <v>27</v>
      </c>
      <c r="E2058" s="1" t="s">
        <v>33</v>
      </c>
      <c r="F2058" s="1">
        <v>816.68</v>
      </c>
      <c r="G2058" s="1">
        <v>143.78</v>
      </c>
      <c r="H2058" s="1">
        <v>7.0</v>
      </c>
      <c r="I2058" s="1" t="s">
        <v>23</v>
      </c>
      <c r="J2058" s="1" t="s">
        <v>35</v>
      </c>
      <c r="K2058" s="1">
        <f t="shared" si="1"/>
        <v>2022</v>
      </c>
      <c r="L2058" s="1" t="str">
        <f t="shared" si="2"/>
        <v>Nov</v>
      </c>
      <c r="M2058" s="1" t="str">
        <f t="shared" si="3"/>
        <v>Profit</v>
      </c>
    </row>
    <row r="2059" ht="14.25" customHeight="1">
      <c r="A2059" s="1" t="s">
        <v>2093</v>
      </c>
      <c r="B2059" s="2">
        <v>44387.0</v>
      </c>
      <c r="C2059" s="1" t="s">
        <v>30</v>
      </c>
      <c r="D2059" s="1" t="s">
        <v>21</v>
      </c>
      <c r="E2059" s="1" t="s">
        <v>37</v>
      </c>
      <c r="F2059" s="1">
        <v>202.38</v>
      </c>
      <c r="G2059" s="1">
        <v>90.92</v>
      </c>
      <c r="H2059" s="1">
        <v>8.0</v>
      </c>
      <c r="I2059" s="1" t="s">
        <v>17</v>
      </c>
      <c r="J2059" s="1" t="s">
        <v>35</v>
      </c>
      <c r="K2059" s="1">
        <f t="shared" si="1"/>
        <v>2021</v>
      </c>
      <c r="L2059" s="1" t="str">
        <f t="shared" si="2"/>
        <v>Jul</v>
      </c>
      <c r="M2059" s="1" t="str">
        <f t="shared" si="3"/>
        <v>Profit</v>
      </c>
    </row>
    <row r="2060" ht="14.25" customHeight="1">
      <c r="A2060" s="1" t="s">
        <v>2094</v>
      </c>
      <c r="B2060" s="2">
        <v>44596.0</v>
      </c>
      <c r="C2060" s="1" t="s">
        <v>30</v>
      </c>
      <c r="D2060" s="1" t="s">
        <v>15</v>
      </c>
      <c r="E2060" s="1" t="s">
        <v>31</v>
      </c>
      <c r="F2060" s="1">
        <v>797.19</v>
      </c>
      <c r="G2060" s="1">
        <v>-178.29</v>
      </c>
      <c r="H2060" s="1">
        <v>5.0</v>
      </c>
      <c r="I2060" s="1" t="s">
        <v>23</v>
      </c>
      <c r="J2060" s="1" t="s">
        <v>24</v>
      </c>
      <c r="K2060" s="1">
        <f t="shared" si="1"/>
        <v>2022</v>
      </c>
      <c r="L2060" s="1" t="str">
        <f t="shared" si="2"/>
        <v>Feb</v>
      </c>
      <c r="M2060" s="1" t="str">
        <f t="shared" si="3"/>
        <v>Loss</v>
      </c>
    </row>
    <row r="2061" ht="14.25" customHeight="1">
      <c r="A2061" s="1" t="s">
        <v>2095</v>
      </c>
      <c r="B2061" s="2">
        <v>44601.0</v>
      </c>
      <c r="C2061" s="1" t="s">
        <v>26</v>
      </c>
      <c r="D2061" s="1" t="s">
        <v>15</v>
      </c>
      <c r="E2061" s="1" t="s">
        <v>16</v>
      </c>
      <c r="F2061" s="1">
        <v>33.5</v>
      </c>
      <c r="G2061" s="1">
        <v>-138.89</v>
      </c>
      <c r="H2061" s="1">
        <v>4.0</v>
      </c>
      <c r="I2061" s="1" t="s">
        <v>23</v>
      </c>
      <c r="J2061" s="1" t="s">
        <v>18</v>
      </c>
      <c r="K2061" s="1">
        <f t="shared" si="1"/>
        <v>2022</v>
      </c>
      <c r="L2061" s="1" t="str">
        <f t="shared" si="2"/>
        <v>Feb</v>
      </c>
      <c r="M2061" s="1" t="str">
        <f t="shared" si="3"/>
        <v>Loss</v>
      </c>
    </row>
    <row r="2062" ht="14.25" customHeight="1">
      <c r="A2062" s="1" t="s">
        <v>2096</v>
      </c>
      <c r="B2062" s="2">
        <v>44838.0</v>
      </c>
      <c r="C2062" s="1" t="s">
        <v>20</v>
      </c>
      <c r="D2062" s="1" t="s">
        <v>27</v>
      </c>
      <c r="E2062" s="1" t="s">
        <v>33</v>
      </c>
      <c r="F2062" s="1">
        <v>988.39</v>
      </c>
      <c r="G2062" s="1">
        <v>-133.01</v>
      </c>
      <c r="H2062" s="1">
        <v>4.0</v>
      </c>
      <c r="I2062" s="1" t="s">
        <v>23</v>
      </c>
      <c r="J2062" s="1" t="s">
        <v>18</v>
      </c>
      <c r="K2062" s="1">
        <f t="shared" si="1"/>
        <v>2022</v>
      </c>
      <c r="L2062" s="1" t="str">
        <f t="shared" si="2"/>
        <v>Oct</v>
      </c>
      <c r="M2062" s="1" t="str">
        <f t="shared" si="3"/>
        <v>Loss</v>
      </c>
    </row>
    <row r="2063" ht="14.25" customHeight="1">
      <c r="A2063" s="1" t="s">
        <v>2097</v>
      </c>
      <c r="B2063" s="2">
        <v>45080.0</v>
      </c>
      <c r="C2063" s="1" t="s">
        <v>30</v>
      </c>
      <c r="D2063" s="1" t="s">
        <v>15</v>
      </c>
      <c r="E2063" s="1" t="s">
        <v>54</v>
      </c>
      <c r="F2063" s="1">
        <v>311.52</v>
      </c>
      <c r="G2063" s="1">
        <v>-125.7</v>
      </c>
      <c r="H2063" s="1">
        <v>4.0</v>
      </c>
      <c r="I2063" s="1" t="s">
        <v>17</v>
      </c>
      <c r="J2063" s="1" t="s">
        <v>18</v>
      </c>
      <c r="K2063" s="1">
        <f t="shared" si="1"/>
        <v>2023</v>
      </c>
      <c r="L2063" s="1" t="str">
        <f t="shared" si="2"/>
        <v>Jun</v>
      </c>
      <c r="M2063" s="1" t="str">
        <f t="shared" si="3"/>
        <v>Loss</v>
      </c>
    </row>
    <row r="2064" ht="14.25" customHeight="1">
      <c r="A2064" s="1" t="s">
        <v>2098</v>
      </c>
      <c r="B2064" s="2">
        <v>45091.0</v>
      </c>
      <c r="C2064" s="1" t="s">
        <v>14</v>
      </c>
      <c r="D2064" s="1" t="s">
        <v>21</v>
      </c>
      <c r="E2064" s="1" t="s">
        <v>37</v>
      </c>
      <c r="F2064" s="1">
        <v>660.16</v>
      </c>
      <c r="G2064" s="1">
        <v>185.82</v>
      </c>
      <c r="H2064" s="1">
        <v>2.0</v>
      </c>
      <c r="I2064" s="1" t="s">
        <v>17</v>
      </c>
      <c r="J2064" s="1" t="s">
        <v>24</v>
      </c>
      <c r="K2064" s="1">
        <f t="shared" si="1"/>
        <v>2023</v>
      </c>
      <c r="L2064" s="1" t="str">
        <f t="shared" si="2"/>
        <v>Jun</v>
      </c>
      <c r="M2064" s="1" t="str">
        <f t="shared" si="3"/>
        <v>Profit</v>
      </c>
    </row>
    <row r="2065" ht="14.25" customHeight="1">
      <c r="A2065" s="1" t="s">
        <v>2099</v>
      </c>
      <c r="B2065" s="2">
        <v>45096.0</v>
      </c>
      <c r="C2065" s="1" t="s">
        <v>30</v>
      </c>
      <c r="D2065" s="1" t="s">
        <v>21</v>
      </c>
      <c r="E2065" s="1" t="s">
        <v>37</v>
      </c>
      <c r="F2065" s="1">
        <v>854.42</v>
      </c>
      <c r="G2065" s="1">
        <v>89.34</v>
      </c>
      <c r="H2065" s="1">
        <v>6.0</v>
      </c>
      <c r="I2065" s="1" t="s">
        <v>23</v>
      </c>
      <c r="J2065" s="1" t="s">
        <v>18</v>
      </c>
      <c r="K2065" s="1">
        <f t="shared" si="1"/>
        <v>2023</v>
      </c>
      <c r="L2065" s="1" t="str">
        <f t="shared" si="2"/>
        <v>Jun</v>
      </c>
      <c r="M2065" s="1" t="str">
        <f t="shared" si="3"/>
        <v>Profit</v>
      </c>
    </row>
    <row r="2066" ht="14.25" customHeight="1">
      <c r="A2066" s="1" t="s">
        <v>2100</v>
      </c>
      <c r="B2066" s="2">
        <v>44882.0</v>
      </c>
      <c r="C2066" s="1" t="s">
        <v>14</v>
      </c>
      <c r="D2066" s="1" t="s">
        <v>15</v>
      </c>
      <c r="E2066" s="1" t="s">
        <v>16</v>
      </c>
      <c r="F2066" s="1">
        <v>262.03</v>
      </c>
      <c r="G2066" s="1">
        <v>250.61</v>
      </c>
      <c r="H2066" s="1">
        <v>1.0</v>
      </c>
      <c r="I2066" s="1" t="s">
        <v>23</v>
      </c>
      <c r="J2066" s="1" t="s">
        <v>38</v>
      </c>
      <c r="K2066" s="1">
        <f t="shared" si="1"/>
        <v>2022</v>
      </c>
      <c r="L2066" s="1" t="str">
        <f t="shared" si="2"/>
        <v>Nov</v>
      </c>
      <c r="M2066" s="1" t="str">
        <f t="shared" si="3"/>
        <v>Profit</v>
      </c>
    </row>
    <row r="2067" ht="14.25" customHeight="1">
      <c r="A2067" s="1" t="s">
        <v>2101</v>
      </c>
      <c r="B2067" s="2">
        <v>44309.0</v>
      </c>
      <c r="C2067" s="1" t="s">
        <v>14</v>
      </c>
      <c r="D2067" s="1" t="s">
        <v>21</v>
      </c>
      <c r="E2067" s="1" t="s">
        <v>76</v>
      </c>
      <c r="F2067" s="1">
        <v>287.61</v>
      </c>
      <c r="G2067" s="1">
        <v>4.39</v>
      </c>
      <c r="H2067" s="1">
        <v>4.0</v>
      </c>
      <c r="I2067" s="1" t="s">
        <v>23</v>
      </c>
      <c r="J2067" s="1" t="s">
        <v>35</v>
      </c>
      <c r="K2067" s="1">
        <f t="shared" si="1"/>
        <v>2021</v>
      </c>
      <c r="L2067" s="1" t="str">
        <f t="shared" si="2"/>
        <v>Apr</v>
      </c>
      <c r="M2067" s="1" t="str">
        <f t="shared" si="3"/>
        <v>Profit</v>
      </c>
    </row>
    <row r="2068" ht="14.25" customHeight="1">
      <c r="A2068" s="1" t="s">
        <v>2102</v>
      </c>
      <c r="B2068" s="2">
        <v>44695.0</v>
      </c>
      <c r="C2068" s="1" t="s">
        <v>26</v>
      </c>
      <c r="D2068" s="1" t="s">
        <v>27</v>
      </c>
      <c r="E2068" s="1" t="s">
        <v>33</v>
      </c>
      <c r="F2068" s="1">
        <v>174.78</v>
      </c>
      <c r="G2068" s="1">
        <v>129.68</v>
      </c>
      <c r="H2068" s="1">
        <v>8.0</v>
      </c>
      <c r="I2068" s="1" t="s">
        <v>23</v>
      </c>
      <c r="J2068" s="1" t="s">
        <v>24</v>
      </c>
      <c r="K2068" s="1">
        <f t="shared" si="1"/>
        <v>2022</v>
      </c>
      <c r="L2068" s="1" t="str">
        <f t="shared" si="2"/>
        <v>May</v>
      </c>
      <c r="M2068" s="1" t="str">
        <f t="shared" si="3"/>
        <v>Profit</v>
      </c>
    </row>
    <row r="2069" ht="14.25" customHeight="1">
      <c r="A2069" s="1" t="s">
        <v>2103</v>
      </c>
      <c r="B2069" s="2">
        <v>45075.0</v>
      </c>
      <c r="C2069" s="1" t="s">
        <v>30</v>
      </c>
      <c r="D2069" s="1" t="s">
        <v>21</v>
      </c>
      <c r="E2069" s="1" t="s">
        <v>22</v>
      </c>
      <c r="F2069" s="1">
        <v>196.43</v>
      </c>
      <c r="G2069" s="1">
        <v>191.88</v>
      </c>
      <c r="H2069" s="1">
        <v>6.0</v>
      </c>
      <c r="I2069" s="1" t="s">
        <v>17</v>
      </c>
      <c r="J2069" s="1" t="s">
        <v>18</v>
      </c>
      <c r="K2069" s="1">
        <f t="shared" si="1"/>
        <v>2023</v>
      </c>
      <c r="L2069" s="1" t="str">
        <f t="shared" si="2"/>
        <v>May</v>
      </c>
      <c r="M2069" s="1" t="str">
        <f t="shared" si="3"/>
        <v>Profit</v>
      </c>
    </row>
    <row r="2070" ht="14.25" customHeight="1">
      <c r="A2070" s="1" t="s">
        <v>2104</v>
      </c>
      <c r="B2070" s="2">
        <v>44283.0</v>
      </c>
      <c r="C2070" s="1" t="s">
        <v>30</v>
      </c>
      <c r="D2070" s="1" t="s">
        <v>15</v>
      </c>
      <c r="E2070" s="1" t="s">
        <v>54</v>
      </c>
      <c r="F2070" s="1">
        <v>391.28</v>
      </c>
      <c r="G2070" s="1">
        <v>160.86</v>
      </c>
      <c r="H2070" s="1">
        <v>4.0</v>
      </c>
      <c r="I2070" s="1" t="s">
        <v>17</v>
      </c>
      <c r="J2070" s="1" t="s">
        <v>24</v>
      </c>
      <c r="K2070" s="1">
        <f t="shared" si="1"/>
        <v>2021</v>
      </c>
      <c r="L2070" s="1" t="str">
        <f t="shared" si="2"/>
        <v>Mar</v>
      </c>
      <c r="M2070" s="1" t="str">
        <f t="shared" si="3"/>
        <v>Profit</v>
      </c>
    </row>
    <row r="2071" ht="14.25" customHeight="1">
      <c r="A2071" s="1" t="s">
        <v>2105</v>
      </c>
      <c r="B2071" s="2">
        <v>45163.0</v>
      </c>
      <c r="C2071" s="1" t="s">
        <v>14</v>
      </c>
      <c r="D2071" s="1" t="s">
        <v>15</v>
      </c>
      <c r="E2071" s="1" t="s">
        <v>31</v>
      </c>
      <c r="F2071" s="1">
        <v>189.13</v>
      </c>
      <c r="G2071" s="1">
        <v>-85.18</v>
      </c>
      <c r="H2071" s="1">
        <v>9.0</v>
      </c>
      <c r="I2071" s="1" t="s">
        <v>23</v>
      </c>
      <c r="J2071" s="1" t="s">
        <v>35</v>
      </c>
      <c r="K2071" s="1">
        <f t="shared" si="1"/>
        <v>2023</v>
      </c>
      <c r="L2071" s="1" t="str">
        <f t="shared" si="2"/>
        <v>Aug</v>
      </c>
      <c r="M2071" s="1" t="str">
        <f t="shared" si="3"/>
        <v>Loss</v>
      </c>
    </row>
    <row r="2072" ht="14.25" customHeight="1">
      <c r="A2072" s="1" t="s">
        <v>2106</v>
      </c>
      <c r="B2072" s="2">
        <v>44329.0</v>
      </c>
      <c r="C2072" s="1" t="s">
        <v>26</v>
      </c>
      <c r="D2072" s="1" t="s">
        <v>15</v>
      </c>
      <c r="E2072" s="1" t="s">
        <v>54</v>
      </c>
      <c r="F2072" s="1">
        <v>123.12</v>
      </c>
      <c r="G2072" s="1">
        <v>179.93</v>
      </c>
      <c r="H2072" s="1">
        <v>2.0</v>
      </c>
      <c r="I2072" s="1" t="s">
        <v>34</v>
      </c>
      <c r="J2072" s="1" t="s">
        <v>24</v>
      </c>
      <c r="K2072" s="1">
        <f t="shared" si="1"/>
        <v>2021</v>
      </c>
      <c r="L2072" s="1" t="str">
        <f t="shared" si="2"/>
        <v>May</v>
      </c>
      <c r="M2072" s="1" t="str">
        <f t="shared" si="3"/>
        <v>Profit</v>
      </c>
    </row>
    <row r="2073" ht="14.25" customHeight="1">
      <c r="A2073" s="1" t="s">
        <v>2107</v>
      </c>
      <c r="B2073" s="2">
        <v>45278.0</v>
      </c>
      <c r="C2073" s="1" t="s">
        <v>14</v>
      </c>
      <c r="D2073" s="1" t="s">
        <v>21</v>
      </c>
      <c r="E2073" s="1" t="s">
        <v>76</v>
      </c>
      <c r="F2073" s="1">
        <v>209.55</v>
      </c>
      <c r="G2073" s="1">
        <v>-112.89</v>
      </c>
      <c r="H2073" s="1">
        <v>10.0</v>
      </c>
      <c r="I2073" s="1" t="s">
        <v>17</v>
      </c>
      <c r="J2073" s="1" t="s">
        <v>18</v>
      </c>
      <c r="K2073" s="1">
        <f t="shared" si="1"/>
        <v>2023</v>
      </c>
      <c r="L2073" s="1" t="str">
        <f t="shared" si="2"/>
        <v>Dec</v>
      </c>
      <c r="M2073" s="1" t="str">
        <f t="shared" si="3"/>
        <v>Loss</v>
      </c>
    </row>
    <row r="2074" ht="14.25" customHeight="1">
      <c r="A2074" s="1" t="s">
        <v>2108</v>
      </c>
      <c r="B2074" s="2">
        <v>44372.0</v>
      </c>
      <c r="C2074" s="1" t="s">
        <v>30</v>
      </c>
      <c r="D2074" s="1" t="s">
        <v>15</v>
      </c>
      <c r="E2074" s="1" t="s">
        <v>31</v>
      </c>
      <c r="F2074" s="1">
        <v>677.19</v>
      </c>
      <c r="G2074" s="1">
        <v>-144.0</v>
      </c>
      <c r="H2074" s="1">
        <v>6.0</v>
      </c>
      <c r="I2074" s="1" t="s">
        <v>34</v>
      </c>
      <c r="J2074" s="1" t="s">
        <v>35</v>
      </c>
      <c r="K2074" s="1">
        <f t="shared" si="1"/>
        <v>2021</v>
      </c>
      <c r="L2074" s="1" t="str">
        <f t="shared" si="2"/>
        <v>Jun</v>
      </c>
      <c r="M2074" s="1" t="str">
        <f t="shared" si="3"/>
        <v>Loss</v>
      </c>
    </row>
    <row r="2075" ht="14.25" customHeight="1">
      <c r="A2075" s="1" t="s">
        <v>2109</v>
      </c>
      <c r="B2075" s="2">
        <v>44348.0</v>
      </c>
      <c r="C2075" s="1" t="s">
        <v>30</v>
      </c>
      <c r="D2075" s="1" t="s">
        <v>27</v>
      </c>
      <c r="E2075" s="1" t="s">
        <v>33</v>
      </c>
      <c r="F2075" s="1">
        <v>224.52</v>
      </c>
      <c r="G2075" s="1">
        <v>-38.94</v>
      </c>
      <c r="H2075" s="1">
        <v>10.0</v>
      </c>
      <c r="I2075" s="1" t="s">
        <v>23</v>
      </c>
      <c r="J2075" s="1" t="s">
        <v>35</v>
      </c>
      <c r="K2075" s="1">
        <f t="shared" si="1"/>
        <v>2021</v>
      </c>
      <c r="L2075" s="1" t="str">
        <f t="shared" si="2"/>
        <v>Jun</v>
      </c>
      <c r="M2075" s="1" t="str">
        <f t="shared" si="3"/>
        <v>Loss</v>
      </c>
    </row>
    <row r="2076" ht="14.25" customHeight="1">
      <c r="A2076" s="1" t="s">
        <v>2110</v>
      </c>
      <c r="B2076" s="2">
        <v>45199.0</v>
      </c>
      <c r="C2076" s="1" t="s">
        <v>30</v>
      </c>
      <c r="D2076" s="1" t="s">
        <v>15</v>
      </c>
      <c r="E2076" s="1" t="s">
        <v>16</v>
      </c>
      <c r="F2076" s="1">
        <v>867.85</v>
      </c>
      <c r="G2076" s="1">
        <v>-130.09</v>
      </c>
      <c r="H2076" s="1">
        <v>1.0</v>
      </c>
      <c r="I2076" s="1" t="s">
        <v>17</v>
      </c>
      <c r="J2076" s="1" t="s">
        <v>38</v>
      </c>
      <c r="K2076" s="1">
        <f t="shared" si="1"/>
        <v>2023</v>
      </c>
      <c r="L2076" s="1" t="str">
        <f t="shared" si="2"/>
        <v>Sep</v>
      </c>
      <c r="M2076" s="1" t="str">
        <f t="shared" si="3"/>
        <v>Loss</v>
      </c>
    </row>
    <row r="2077" ht="14.25" customHeight="1">
      <c r="A2077" s="1" t="s">
        <v>2111</v>
      </c>
      <c r="B2077" s="2">
        <v>44275.0</v>
      </c>
      <c r="C2077" s="1" t="s">
        <v>30</v>
      </c>
      <c r="D2077" s="1" t="s">
        <v>15</v>
      </c>
      <c r="E2077" s="1" t="s">
        <v>54</v>
      </c>
      <c r="F2077" s="1">
        <v>61.8</v>
      </c>
      <c r="G2077" s="1">
        <v>-193.17</v>
      </c>
      <c r="H2077" s="1">
        <v>9.0</v>
      </c>
      <c r="I2077" s="1" t="s">
        <v>17</v>
      </c>
      <c r="J2077" s="1" t="s">
        <v>18</v>
      </c>
      <c r="K2077" s="1">
        <f t="shared" si="1"/>
        <v>2021</v>
      </c>
      <c r="L2077" s="1" t="str">
        <f t="shared" si="2"/>
        <v>Mar</v>
      </c>
      <c r="M2077" s="1" t="str">
        <f t="shared" si="3"/>
        <v>Loss</v>
      </c>
    </row>
    <row r="2078" ht="14.25" customHeight="1">
      <c r="A2078" s="1" t="s">
        <v>2112</v>
      </c>
      <c r="B2078" s="2">
        <v>44763.0</v>
      </c>
      <c r="C2078" s="1" t="s">
        <v>30</v>
      </c>
      <c r="D2078" s="1" t="s">
        <v>15</v>
      </c>
      <c r="E2078" s="1" t="s">
        <v>54</v>
      </c>
      <c r="F2078" s="1">
        <v>520.91</v>
      </c>
      <c r="G2078" s="1">
        <v>17.92</v>
      </c>
      <c r="H2078" s="1">
        <v>6.0</v>
      </c>
      <c r="I2078" s="1" t="s">
        <v>23</v>
      </c>
      <c r="J2078" s="1" t="s">
        <v>38</v>
      </c>
      <c r="K2078" s="1">
        <f t="shared" si="1"/>
        <v>2022</v>
      </c>
      <c r="L2078" s="1" t="str">
        <f t="shared" si="2"/>
        <v>Jul</v>
      </c>
      <c r="M2078" s="1" t="str">
        <f t="shared" si="3"/>
        <v>Profit</v>
      </c>
    </row>
    <row r="2079" ht="14.25" customHeight="1">
      <c r="A2079" s="1" t="s">
        <v>2113</v>
      </c>
      <c r="B2079" s="2">
        <v>45174.0</v>
      </c>
      <c r="C2079" s="1" t="s">
        <v>20</v>
      </c>
      <c r="D2079" s="1" t="s">
        <v>15</v>
      </c>
      <c r="E2079" s="1" t="s">
        <v>16</v>
      </c>
      <c r="F2079" s="1">
        <v>710.16</v>
      </c>
      <c r="G2079" s="1">
        <v>78.52</v>
      </c>
      <c r="H2079" s="1">
        <v>7.0</v>
      </c>
      <c r="I2079" s="1" t="s">
        <v>17</v>
      </c>
      <c r="J2079" s="1" t="s">
        <v>18</v>
      </c>
      <c r="K2079" s="1">
        <f t="shared" si="1"/>
        <v>2023</v>
      </c>
      <c r="L2079" s="1" t="str">
        <f t="shared" si="2"/>
        <v>Sep</v>
      </c>
      <c r="M2079" s="1" t="str">
        <f t="shared" si="3"/>
        <v>Profit</v>
      </c>
    </row>
    <row r="2080" ht="14.25" customHeight="1">
      <c r="A2080" s="1" t="s">
        <v>2114</v>
      </c>
      <c r="B2080" s="2">
        <v>44485.0</v>
      </c>
      <c r="C2080" s="1" t="s">
        <v>30</v>
      </c>
      <c r="D2080" s="1" t="s">
        <v>15</v>
      </c>
      <c r="E2080" s="1" t="s">
        <v>31</v>
      </c>
      <c r="F2080" s="1">
        <v>932.82</v>
      </c>
      <c r="G2080" s="1">
        <v>155.07</v>
      </c>
      <c r="H2080" s="1">
        <v>2.0</v>
      </c>
      <c r="I2080" s="1" t="s">
        <v>17</v>
      </c>
      <c r="J2080" s="1" t="s">
        <v>18</v>
      </c>
      <c r="K2080" s="1">
        <f t="shared" si="1"/>
        <v>2021</v>
      </c>
      <c r="L2080" s="1" t="str">
        <f t="shared" si="2"/>
        <v>Oct</v>
      </c>
      <c r="M2080" s="1" t="str">
        <f t="shared" si="3"/>
        <v>Profit</v>
      </c>
    </row>
    <row r="2081" ht="14.25" customHeight="1">
      <c r="A2081" s="1" t="s">
        <v>2115</v>
      </c>
      <c r="B2081" s="2">
        <v>44260.0</v>
      </c>
      <c r="C2081" s="1" t="s">
        <v>30</v>
      </c>
      <c r="D2081" s="1" t="s">
        <v>27</v>
      </c>
      <c r="E2081" s="1" t="s">
        <v>40</v>
      </c>
      <c r="F2081" s="1">
        <v>29.13</v>
      </c>
      <c r="G2081" s="1">
        <v>-180.61</v>
      </c>
      <c r="H2081" s="1">
        <v>7.0</v>
      </c>
      <c r="I2081" s="1" t="s">
        <v>17</v>
      </c>
      <c r="J2081" s="1" t="s">
        <v>24</v>
      </c>
      <c r="K2081" s="1">
        <f t="shared" si="1"/>
        <v>2021</v>
      </c>
      <c r="L2081" s="1" t="str">
        <f t="shared" si="2"/>
        <v>Mar</v>
      </c>
      <c r="M2081" s="1" t="str">
        <f t="shared" si="3"/>
        <v>Loss</v>
      </c>
    </row>
    <row r="2082" ht="14.25" customHeight="1">
      <c r="A2082" s="1" t="s">
        <v>2116</v>
      </c>
      <c r="B2082" s="2">
        <v>45009.0</v>
      </c>
      <c r="C2082" s="1" t="s">
        <v>20</v>
      </c>
      <c r="D2082" s="1" t="s">
        <v>15</v>
      </c>
      <c r="E2082" s="1" t="s">
        <v>54</v>
      </c>
      <c r="F2082" s="1">
        <v>134.28</v>
      </c>
      <c r="G2082" s="1">
        <v>75.7</v>
      </c>
      <c r="H2082" s="1">
        <v>8.0</v>
      </c>
      <c r="I2082" s="1" t="s">
        <v>23</v>
      </c>
      <c r="J2082" s="1" t="s">
        <v>24</v>
      </c>
      <c r="K2082" s="1">
        <f t="shared" si="1"/>
        <v>2023</v>
      </c>
      <c r="L2082" s="1" t="str">
        <f t="shared" si="2"/>
        <v>Mar</v>
      </c>
      <c r="M2082" s="1" t="str">
        <f t="shared" si="3"/>
        <v>Profit</v>
      </c>
    </row>
    <row r="2083" ht="14.25" customHeight="1">
      <c r="A2083" s="1" t="s">
        <v>2117</v>
      </c>
      <c r="B2083" s="2">
        <v>44545.0</v>
      </c>
      <c r="C2083" s="1" t="s">
        <v>30</v>
      </c>
      <c r="D2083" s="1" t="s">
        <v>15</v>
      </c>
      <c r="E2083" s="1" t="s">
        <v>31</v>
      </c>
      <c r="F2083" s="1">
        <v>216.26</v>
      </c>
      <c r="G2083" s="1">
        <v>-4.93</v>
      </c>
      <c r="H2083" s="1">
        <v>3.0</v>
      </c>
      <c r="I2083" s="1" t="s">
        <v>34</v>
      </c>
      <c r="J2083" s="1" t="s">
        <v>24</v>
      </c>
      <c r="K2083" s="1">
        <f t="shared" si="1"/>
        <v>2021</v>
      </c>
      <c r="L2083" s="1" t="str">
        <f t="shared" si="2"/>
        <v>Dec</v>
      </c>
      <c r="M2083" s="1" t="str">
        <f t="shared" si="3"/>
        <v>Loss</v>
      </c>
    </row>
    <row r="2084" ht="14.25" customHeight="1">
      <c r="A2084" s="1" t="s">
        <v>2118</v>
      </c>
      <c r="B2084" s="2">
        <v>44273.0</v>
      </c>
      <c r="C2084" s="1" t="s">
        <v>30</v>
      </c>
      <c r="D2084" s="1" t="s">
        <v>21</v>
      </c>
      <c r="E2084" s="1" t="s">
        <v>37</v>
      </c>
      <c r="F2084" s="1">
        <v>475.01</v>
      </c>
      <c r="G2084" s="1">
        <v>296.14</v>
      </c>
      <c r="H2084" s="1">
        <v>7.0</v>
      </c>
      <c r="I2084" s="1" t="s">
        <v>17</v>
      </c>
      <c r="J2084" s="1" t="s">
        <v>18</v>
      </c>
      <c r="K2084" s="1">
        <f t="shared" si="1"/>
        <v>2021</v>
      </c>
      <c r="L2084" s="1" t="str">
        <f t="shared" si="2"/>
        <v>Mar</v>
      </c>
      <c r="M2084" s="1" t="str">
        <f t="shared" si="3"/>
        <v>Profit</v>
      </c>
    </row>
    <row r="2085" ht="14.25" customHeight="1">
      <c r="A2085" s="1" t="s">
        <v>2119</v>
      </c>
      <c r="B2085" s="2">
        <v>44761.0</v>
      </c>
      <c r="C2085" s="1" t="s">
        <v>14</v>
      </c>
      <c r="D2085" s="1" t="s">
        <v>21</v>
      </c>
      <c r="E2085" s="1" t="s">
        <v>22</v>
      </c>
      <c r="F2085" s="1">
        <v>865.45</v>
      </c>
      <c r="G2085" s="1">
        <v>146.48</v>
      </c>
      <c r="H2085" s="1">
        <v>3.0</v>
      </c>
      <c r="I2085" s="1" t="s">
        <v>17</v>
      </c>
      <c r="J2085" s="1" t="s">
        <v>38</v>
      </c>
      <c r="K2085" s="1">
        <f t="shared" si="1"/>
        <v>2022</v>
      </c>
      <c r="L2085" s="1" t="str">
        <f t="shared" si="2"/>
        <v>Jul</v>
      </c>
      <c r="M2085" s="1" t="str">
        <f t="shared" si="3"/>
        <v>Profit</v>
      </c>
    </row>
    <row r="2086" ht="14.25" customHeight="1">
      <c r="A2086" s="1" t="s">
        <v>2120</v>
      </c>
      <c r="B2086" s="2">
        <v>44894.0</v>
      </c>
      <c r="C2086" s="1" t="s">
        <v>14</v>
      </c>
      <c r="D2086" s="1" t="s">
        <v>27</v>
      </c>
      <c r="E2086" s="1" t="s">
        <v>28</v>
      </c>
      <c r="F2086" s="1">
        <v>908.69</v>
      </c>
      <c r="G2086" s="1">
        <v>283.91</v>
      </c>
      <c r="H2086" s="1">
        <v>7.0</v>
      </c>
      <c r="I2086" s="1" t="s">
        <v>17</v>
      </c>
      <c r="J2086" s="1" t="s">
        <v>38</v>
      </c>
      <c r="K2086" s="1">
        <f t="shared" si="1"/>
        <v>2022</v>
      </c>
      <c r="L2086" s="1" t="str">
        <f t="shared" si="2"/>
        <v>Nov</v>
      </c>
      <c r="M2086" s="1" t="str">
        <f t="shared" si="3"/>
        <v>Profit</v>
      </c>
    </row>
    <row r="2087" ht="14.25" customHeight="1">
      <c r="A2087" s="1" t="s">
        <v>2121</v>
      </c>
      <c r="B2087" s="2">
        <v>44535.0</v>
      </c>
      <c r="C2087" s="1" t="s">
        <v>26</v>
      </c>
      <c r="D2087" s="1" t="s">
        <v>15</v>
      </c>
      <c r="E2087" s="1" t="s">
        <v>54</v>
      </c>
      <c r="F2087" s="1">
        <v>778.36</v>
      </c>
      <c r="G2087" s="1">
        <v>44.96</v>
      </c>
      <c r="H2087" s="1">
        <v>9.0</v>
      </c>
      <c r="I2087" s="1" t="s">
        <v>17</v>
      </c>
      <c r="J2087" s="1" t="s">
        <v>18</v>
      </c>
      <c r="K2087" s="1">
        <f t="shared" si="1"/>
        <v>2021</v>
      </c>
      <c r="L2087" s="1" t="str">
        <f t="shared" si="2"/>
        <v>Dec</v>
      </c>
      <c r="M2087" s="1" t="str">
        <f t="shared" si="3"/>
        <v>Profit</v>
      </c>
    </row>
    <row r="2088" ht="14.25" customHeight="1">
      <c r="A2088" s="1" t="s">
        <v>2122</v>
      </c>
      <c r="B2088" s="2">
        <v>44283.0</v>
      </c>
      <c r="C2088" s="1" t="s">
        <v>14</v>
      </c>
      <c r="D2088" s="1" t="s">
        <v>15</v>
      </c>
      <c r="E2088" s="1" t="s">
        <v>54</v>
      </c>
      <c r="F2088" s="1">
        <v>802.76</v>
      </c>
      <c r="G2088" s="1">
        <v>61.89</v>
      </c>
      <c r="H2088" s="1">
        <v>8.0</v>
      </c>
      <c r="I2088" s="1" t="s">
        <v>17</v>
      </c>
      <c r="J2088" s="1" t="s">
        <v>35</v>
      </c>
      <c r="K2088" s="1">
        <f t="shared" si="1"/>
        <v>2021</v>
      </c>
      <c r="L2088" s="1" t="str">
        <f t="shared" si="2"/>
        <v>Mar</v>
      </c>
      <c r="M2088" s="1" t="str">
        <f t="shared" si="3"/>
        <v>Profit</v>
      </c>
    </row>
    <row r="2089" ht="14.25" customHeight="1">
      <c r="A2089" s="1" t="s">
        <v>2123</v>
      </c>
      <c r="B2089" s="2">
        <v>44806.0</v>
      </c>
      <c r="C2089" s="1" t="s">
        <v>26</v>
      </c>
      <c r="D2089" s="1" t="s">
        <v>21</v>
      </c>
      <c r="E2089" s="1" t="s">
        <v>37</v>
      </c>
      <c r="F2089" s="1">
        <v>574.41</v>
      </c>
      <c r="G2089" s="1">
        <v>181.64</v>
      </c>
      <c r="H2089" s="1">
        <v>9.0</v>
      </c>
      <c r="I2089" s="1" t="s">
        <v>34</v>
      </c>
      <c r="J2089" s="1" t="s">
        <v>18</v>
      </c>
      <c r="K2089" s="1">
        <f t="shared" si="1"/>
        <v>2022</v>
      </c>
      <c r="L2089" s="1" t="str">
        <f t="shared" si="2"/>
        <v>Sep</v>
      </c>
      <c r="M2089" s="1" t="str">
        <f t="shared" si="3"/>
        <v>Profit</v>
      </c>
    </row>
    <row r="2090" ht="14.25" customHeight="1">
      <c r="A2090" s="1" t="s">
        <v>2124</v>
      </c>
      <c r="B2090" s="2">
        <v>44765.0</v>
      </c>
      <c r="C2090" s="1" t="s">
        <v>26</v>
      </c>
      <c r="D2090" s="1" t="s">
        <v>21</v>
      </c>
      <c r="E2090" s="1" t="s">
        <v>76</v>
      </c>
      <c r="F2090" s="1">
        <v>404.21</v>
      </c>
      <c r="G2090" s="1">
        <v>231.16</v>
      </c>
      <c r="H2090" s="1">
        <v>9.0</v>
      </c>
      <c r="I2090" s="1" t="s">
        <v>23</v>
      </c>
      <c r="J2090" s="1" t="s">
        <v>38</v>
      </c>
      <c r="K2090" s="1">
        <f t="shared" si="1"/>
        <v>2022</v>
      </c>
      <c r="L2090" s="1" t="str">
        <f t="shared" si="2"/>
        <v>Jul</v>
      </c>
      <c r="M2090" s="1" t="str">
        <f t="shared" si="3"/>
        <v>Profit</v>
      </c>
    </row>
    <row r="2091" ht="14.25" customHeight="1">
      <c r="A2091" s="1" t="s">
        <v>2125</v>
      </c>
      <c r="B2091" s="2">
        <v>45121.0</v>
      </c>
      <c r="C2091" s="1" t="s">
        <v>30</v>
      </c>
      <c r="D2091" s="1" t="s">
        <v>21</v>
      </c>
      <c r="E2091" s="1" t="s">
        <v>37</v>
      </c>
      <c r="F2091" s="1">
        <v>846.0</v>
      </c>
      <c r="G2091" s="1">
        <v>-185.59</v>
      </c>
      <c r="H2091" s="1">
        <v>10.0</v>
      </c>
      <c r="I2091" s="1" t="s">
        <v>17</v>
      </c>
      <c r="J2091" s="1" t="s">
        <v>35</v>
      </c>
      <c r="K2091" s="1">
        <f t="shared" si="1"/>
        <v>2023</v>
      </c>
      <c r="L2091" s="1" t="str">
        <f t="shared" si="2"/>
        <v>Jul</v>
      </c>
      <c r="M2091" s="1" t="str">
        <f t="shared" si="3"/>
        <v>Loss</v>
      </c>
    </row>
    <row r="2092" ht="14.25" customHeight="1">
      <c r="A2092" s="1" t="s">
        <v>2126</v>
      </c>
      <c r="B2092" s="2">
        <v>44213.0</v>
      </c>
      <c r="C2092" s="1" t="s">
        <v>20</v>
      </c>
      <c r="D2092" s="1" t="s">
        <v>21</v>
      </c>
      <c r="E2092" s="1" t="s">
        <v>37</v>
      </c>
      <c r="F2092" s="1">
        <v>154.05</v>
      </c>
      <c r="G2092" s="1">
        <v>132.7</v>
      </c>
      <c r="H2092" s="1">
        <v>8.0</v>
      </c>
      <c r="I2092" s="1" t="s">
        <v>34</v>
      </c>
      <c r="J2092" s="1" t="s">
        <v>18</v>
      </c>
      <c r="K2092" s="1">
        <f t="shared" si="1"/>
        <v>2021</v>
      </c>
      <c r="L2092" s="1" t="str">
        <f t="shared" si="2"/>
        <v>Jan</v>
      </c>
      <c r="M2092" s="1" t="str">
        <f t="shared" si="3"/>
        <v>Profit</v>
      </c>
    </row>
    <row r="2093" ht="14.25" customHeight="1">
      <c r="A2093" s="1" t="s">
        <v>2127</v>
      </c>
      <c r="B2093" s="2">
        <v>44516.0</v>
      </c>
      <c r="C2093" s="1" t="s">
        <v>14</v>
      </c>
      <c r="D2093" s="1" t="s">
        <v>21</v>
      </c>
      <c r="E2093" s="1" t="s">
        <v>37</v>
      </c>
      <c r="F2093" s="1">
        <v>748.67</v>
      </c>
      <c r="G2093" s="1">
        <v>49.7</v>
      </c>
      <c r="H2093" s="1">
        <v>1.0</v>
      </c>
      <c r="I2093" s="1" t="s">
        <v>34</v>
      </c>
      <c r="J2093" s="1" t="s">
        <v>35</v>
      </c>
      <c r="K2093" s="1">
        <f t="shared" si="1"/>
        <v>2021</v>
      </c>
      <c r="L2093" s="1" t="str">
        <f t="shared" si="2"/>
        <v>Nov</v>
      </c>
      <c r="M2093" s="1" t="str">
        <f t="shared" si="3"/>
        <v>Profit</v>
      </c>
    </row>
    <row r="2094" ht="14.25" customHeight="1">
      <c r="A2094" s="1" t="s">
        <v>2128</v>
      </c>
      <c r="B2094" s="2">
        <v>44200.0</v>
      </c>
      <c r="C2094" s="1" t="s">
        <v>20</v>
      </c>
      <c r="D2094" s="1" t="s">
        <v>27</v>
      </c>
      <c r="E2094" s="1" t="s">
        <v>33</v>
      </c>
      <c r="F2094" s="1">
        <v>547.14</v>
      </c>
      <c r="G2094" s="1">
        <v>-60.35</v>
      </c>
      <c r="H2094" s="1">
        <v>6.0</v>
      </c>
      <c r="I2094" s="1" t="s">
        <v>23</v>
      </c>
      <c r="J2094" s="1" t="s">
        <v>24</v>
      </c>
      <c r="K2094" s="1">
        <f t="shared" si="1"/>
        <v>2021</v>
      </c>
      <c r="L2094" s="1" t="str">
        <f t="shared" si="2"/>
        <v>Jan</v>
      </c>
      <c r="M2094" s="1" t="str">
        <f t="shared" si="3"/>
        <v>Loss</v>
      </c>
    </row>
    <row r="2095" ht="14.25" customHeight="1">
      <c r="A2095" s="1" t="s">
        <v>2129</v>
      </c>
      <c r="B2095" s="2">
        <v>45187.0</v>
      </c>
      <c r="C2095" s="1" t="s">
        <v>14</v>
      </c>
      <c r="D2095" s="1" t="s">
        <v>21</v>
      </c>
      <c r="E2095" s="1" t="s">
        <v>37</v>
      </c>
      <c r="F2095" s="1">
        <v>793.59</v>
      </c>
      <c r="G2095" s="1">
        <v>229.54</v>
      </c>
      <c r="H2095" s="1">
        <v>1.0</v>
      </c>
      <c r="I2095" s="1" t="s">
        <v>34</v>
      </c>
      <c r="J2095" s="1" t="s">
        <v>24</v>
      </c>
      <c r="K2095" s="1">
        <f t="shared" si="1"/>
        <v>2023</v>
      </c>
      <c r="L2095" s="1" t="str">
        <f t="shared" si="2"/>
        <v>Sep</v>
      </c>
      <c r="M2095" s="1" t="str">
        <f t="shared" si="3"/>
        <v>Profit</v>
      </c>
    </row>
    <row r="2096" ht="14.25" customHeight="1">
      <c r="A2096" s="1" t="s">
        <v>2130</v>
      </c>
      <c r="B2096" s="2">
        <v>45214.0</v>
      </c>
      <c r="C2096" s="1" t="s">
        <v>20</v>
      </c>
      <c r="D2096" s="1" t="s">
        <v>21</v>
      </c>
      <c r="E2096" s="1" t="s">
        <v>76</v>
      </c>
      <c r="F2096" s="1">
        <v>531.89</v>
      </c>
      <c r="G2096" s="1">
        <v>289.22</v>
      </c>
      <c r="H2096" s="1">
        <v>10.0</v>
      </c>
      <c r="I2096" s="1" t="s">
        <v>23</v>
      </c>
      <c r="J2096" s="1" t="s">
        <v>35</v>
      </c>
      <c r="K2096" s="1">
        <f t="shared" si="1"/>
        <v>2023</v>
      </c>
      <c r="L2096" s="1" t="str">
        <f t="shared" si="2"/>
        <v>Oct</v>
      </c>
      <c r="M2096" s="1" t="str">
        <f t="shared" si="3"/>
        <v>Profit</v>
      </c>
    </row>
    <row r="2097" ht="14.25" customHeight="1">
      <c r="A2097" s="1" t="s">
        <v>2131</v>
      </c>
      <c r="B2097" s="2">
        <v>44744.0</v>
      </c>
      <c r="C2097" s="1" t="s">
        <v>14</v>
      </c>
      <c r="D2097" s="1" t="s">
        <v>27</v>
      </c>
      <c r="E2097" s="1" t="s">
        <v>40</v>
      </c>
      <c r="F2097" s="1">
        <v>689.19</v>
      </c>
      <c r="G2097" s="1">
        <v>-172.02</v>
      </c>
      <c r="H2097" s="1">
        <v>5.0</v>
      </c>
      <c r="I2097" s="1" t="s">
        <v>17</v>
      </c>
      <c r="J2097" s="1" t="s">
        <v>24</v>
      </c>
      <c r="K2097" s="1">
        <f t="shared" si="1"/>
        <v>2022</v>
      </c>
      <c r="L2097" s="1" t="str">
        <f t="shared" si="2"/>
        <v>Jul</v>
      </c>
      <c r="M2097" s="1" t="str">
        <f t="shared" si="3"/>
        <v>Loss</v>
      </c>
    </row>
    <row r="2098" ht="14.25" customHeight="1">
      <c r="A2098" s="1" t="s">
        <v>2132</v>
      </c>
      <c r="B2098" s="2">
        <v>44617.0</v>
      </c>
      <c r="C2098" s="1" t="s">
        <v>20</v>
      </c>
      <c r="D2098" s="1" t="s">
        <v>15</v>
      </c>
      <c r="E2098" s="1" t="s">
        <v>54</v>
      </c>
      <c r="F2098" s="1">
        <v>591.88</v>
      </c>
      <c r="G2098" s="1">
        <v>84.46</v>
      </c>
      <c r="H2098" s="1">
        <v>7.0</v>
      </c>
      <c r="I2098" s="1" t="s">
        <v>23</v>
      </c>
      <c r="J2098" s="1" t="s">
        <v>18</v>
      </c>
      <c r="K2098" s="1">
        <f t="shared" si="1"/>
        <v>2022</v>
      </c>
      <c r="L2098" s="1" t="str">
        <f t="shared" si="2"/>
        <v>Feb</v>
      </c>
      <c r="M2098" s="1" t="str">
        <f t="shared" si="3"/>
        <v>Profit</v>
      </c>
    </row>
    <row r="2099" ht="14.25" customHeight="1">
      <c r="A2099" s="1" t="s">
        <v>2133</v>
      </c>
      <c r="B2099" s="2">
        <v>44252.0</v>
      </c>
      <c r="C2099" s="1" t="s">
        <v>26</v>
      </c>
      <c r="D2099" s="1" t="s">
        <v>27</v>
      </c>
      <c r="E2099" s="1" t="s">
        <v>28</v>
      </c>
      <c r="F2099" s="1">
        <v>70.17</v>
      </c>
      <c r="G2099" s="1">
        <v>169.81</v>
      </c>
      <c r="H2099" s="1">
        <v>2.0</v>
      </c>
      <c r="I2099" s="1" t="s">
        <v>17</v>
      </c>
      <c r="J2099" s="1" t="s">
        <v>24</v>
      </c>
      <c r="K2099" s="1">
        <f t="shared" si="1"/>
        <v>2021</v>
      </c>
      <c r="L2099" s="1" t="str">
        <f t="shared" si="2"/>
        <v>Feb</v>
      </c>
      <c r="M2099" s="1" t="str">
        <f t="shared" si="3"/>
        <v>Profit</v>
      </c>
    </row>
    <row r="2100" ht="14.25" customHeight="1">
      <c r="A2100" s="1" t="s">
        <v>2134</v>
      </c>
      <c r="B2100" s="2">
        <v>44502.0</v>
      </c>
      <c r="C2100" s="1" t="s">
        <v>14</v>
      </c>
      <c r="D2100" s="1" t="s">
        <v>21</v>
      </c>
      <c r="E2100" s="1" t="s">
        <v>76</v>
      </c>
      <c r="F2100" s="1">
        <v>656.1</v>
      </c>
      <c r="G2100" s="1">
        <v>284.74</v>
      </c>
      <c r="H2100" s="1">
        <v>4.0</v>
      </c>
      <c r="I2100" s="1" t="s">
        <v>23</v>
      </c>
      <c r="J2100" s="1" t="s">
        <v>35</v>
      </c>
      <c r="K2100" s="1">
        <f t="shared" si="1"/>
        <v>2021</v>
      </c>
      <c r="L2100" s="1" t="str">
        <f t="shared" si="2"/>
        <v>Nov</v>
      </c>
      <c r="M2100" s="1" t="str">
        <f t="shared" si="3"/>
        <v>Profit</v>
      </c>
    </row>
    <row r="2101" ht="14.25" customHeight="1">
      <c r="A2101" s="1" t="s">
        <v>2135</v>
      </c>
      <c r="B2101" s="2">
        <v>45232.0</v>
      </c>
      <c r="C2101" s="1" t="s">
        <v>20</v>
      </c>
      <c r="D2101" s="1" t="s">
        <v>21</v>
      </c>
      <c r="E2101" s="1" t="s">
        <v>76</v>
      </c>
      <c r="F2101" s="1">
        <v>305.48</v>
      </c>
      <c r="G2101" s="1">
        <v>122.43</v>
      </c>
      <c r="H2101" s="1">
        <v>1.0</v>
      </c>
      <c r="I2101" s="1" t="s">
        <v>17</v>
      </c>
      <c r="J2101" s="1" t="s">
        <v>24</v>
      </c>
      <c r="K2101" s="1">
        <f t="shared" si="1"/>
        <v>2023</v>
      </c>
      <c r="L2101" s="1" t="str">
        <f t="shared" si="2"/>
        <v>Nov</v>
      </c>
      <c r="M2101" s="1" t="str">
        <f t="shared" si="3"/>
        <v>Profit</v>
      </c>
    </row>
    <row r="2102" ht="14.25" customHeight="1">
      <c r="A2102" s="1" t="s">
        <v>2136</v>
      </c>
      <c r="B2102" s="2">
        <v>44428.0</v>
      </c>
      <c r="C2102" s="1" t="s">
        <v>14</v>
      </c>
      <c r="D2102" s="1" t="s">
        <v>21</v>
      </c>
      <c r="E2102" s="1" t="s">
        <v>76</v>
      </c>
      <c r="F2102" s="1">
        <v>38.06</v>
      </c>
      <c r="G2102" s="1">
        <v>71.99</v>
      </c>
      <c r="H2102" s="1">
        <v>1.0</v>
      </c>
      <c r="I2102" s="1" t="s">
        <v>34</v>
      </c>
      <c r="J2102" s="1" t="s">
        <v>38</v>
      </c>
      <c r="K2102" s="1">
        <f t="shared" si="1"/>
        <v>2021</v>
      </c>
      <c r="L2102" s="1" t="str">
        <f t="shared" si="2"/>
        <v>Aug</v>
      </c>
      <c r="M2102" s="1" t="str">
        <f t="shared" si="3"/>
        <v>Profit</v>
      </c>
    </row>
    <row r="2103" ht="14.25" customHeight="1">
      <c r="A2103" s="1" t="s">
        <v>2137</v>
      </c>
      <c r="B2103" s="2">
        <v>45007.0</v>
      </c>
      <c r="C2103" s="1" t="s">
        <v>30</v>
      </c>
      <c r="D2103" s="1" t="s">
        <v>21</v>
      </c>
      <c r="E2103" s="1" t="s">
        <v>76</v>
      </c>
      <c r="F2103" s="1">
        <v>425.76</v>
      </c>
      <c r="G2103" s="1">
        <v>-149.58</v>
      </c>
      <c r="H2103" s="1">
        <v>5.0</v>
      </c>
      <c r="I2103" s="1" t="s">
        <v>23</v>
      </c>
      <c r="J2103" s="1" t="s">
        <v>18</v>
      </c>
      <c r="K2103" s="1">
        <f t="shared" si="1"/>
        <v>2023</v>
      </c>
      <c r="L2103" s="1" t="str">
        <f t="shared" si="2"/>
        <v>Mar</v>
      </c>
      <c r="M2103" s="1" t="str">
        <f t="shared" si="3"/>
        <v>Loss</v>
      </c>
    </row>
    <row r="2104" ht="14.25" customHeight="1">
      <c r="A2104" s="1" t="s">
        <v>2138</v>
      </c>
      <c r="B2104" s="2">
        <v>44747.0</v>
      </c>
      <c r="C2104" s="1" t="s">
        <v>30</v>
      </c>
      <c r="D2104" s="1" t="s">
        <v>27</v>
      </c>
      <c r="E2104" s="1" t="s">
        <v>28</v>
      </c>
      <c r="F2104" s="1">
        <v>83.61</v>
      </c>
      <c r="G2104" s="1">
        <v>-66.06</v>
      </c>
      <c r="H2104" s="1">
        <v>5.0</v>
      </c>
      <c r="I2104" s="1" t="s">
        <v>34</v>
      </c>
      <c r="J2104" s="1" t="s">
        <v>18</v>
      </c>
      <c r="K2104" s="1">
        <f t="shared" si="1"/>
        <v>2022</v>
      </c>
      <c r="L2104" s="1" t="str">
        <f t="shared" si="2"/>
        <v>Jul</v>
      </c>
      <c r="M2104" s="1" t="str">
        <f t="shared" si="3"/>
        <v>Loss</v>
      </c>
    </row>
    <row r="2105" ht="14.25" customHeight="1">
      <c r="A2105" s="1" t="s">
        <v>2139</v>
      </c>
      <c r="B2105" s="2">
        <v>44233.0</v>
      </c>
      <c r="C2105" s="1" t="s">
        <v>26</v>
      </c>
      <c r="D2105" s="1" t="s">
        <v>21</v>
      </c>
      <c r="E2105" s="1" t="s">
        <v>37</v>
      </c>
      <c r="F2105" s="1">
        <v>573.02</v>
      </c>
      <c r="G2105" s="1">
        <v>143.19</v>
      </c>
      <c r="H2105" s="1">
        <v>6.0</v>
      </c>
      <c r="I2105" s="1" t="s">
        <v>34</v>
      </c>
      <c r="J2105" s="1" t="s">
        <v>35</v>
      </c>
      <c r="K2105" s="1">
        <f t="shared" si="1"/>
        <v>2021</v>
      </c>
      <c r="L2105" s="1" t="str">
        <f t="shared" si="2"/>
        <v>Feb</v>
      </c>
      <c r="M2105" s="1" t="str">
        <f t="shared" si="3"/>
        <v>Profit</v>
      </c>
    </row>
    <row r="2106" ht="14.25" customHeight="1">
      <c r="A2106" s="1" t="s">
        <v>2140</v>
      </c>
      <c r="B2106" s="2">
        <v>45227.0</v>
      </c>
      <c r="C2106" s="1" t="s">
        <v>26</v>
      </c>
      <c r="D2106" s="1" t="s">
        <v>27</v>
      </c>
      <c r="E2106" s="1" t="s">
        <v>33</v>
      </c>
      <c r="F2106" s="1">
        <v>444.41</v>
      </c>
      <c r="G2106" s="1">
        <v>239.13</v>
      </c>
      <c r="H2106" s="1">
        <v>6.0</v>
      </c>
      <c r="I2106" s="1" t="s">
        <v>23</v>
      </c>
      <c r="J2106" s="1" t="s">
        <v>18</v>
      </c>
      <c r="K2106" s="1">
        <f t="shared" si="1"/>
        <v>2023</v>
      </c>
      <c r="L2106" s="1" t="str">
        <f t="shared" si="2"/>
        <v>Oct</v>
      </c>
      <c r="M2106" s="1" t="str">
        <f t="shared" si="3"/>
        <v>Profit</v>
      </c>
    </row>
    <row r="2107" ht="14.25" customHeight="1">
      <c r="A2107" s="1" t="s">
        <v>2141</v>
      </c>
      <c r="B2107" s="2">
        <v>45150.0</v>
      </c>
      <c r="C2107" s="1" t="s">
        <v>20</v>
      </c>
      <c r="D2107" s="1" t="s">
        <v>21</v>
      </c>
      <c r="E2107" s="1" t="s">
        <v>76</v>
      </c>
      <c r="F2107" s="1">
        <v>733.54</v>
      </c>
      <c r="G2107" s="1">
        <v>203.11</v>
      </c>
      <c r="H2107" s="1">
        <v>9.0</v>
      </c>
      <c r="I2107" s="1" t="s">
        <v>23</v>
      </c>
      <c r="J2107" s="1" t="s">
        <v>38</v>
      </c>
      <c r="K2107" s="1">
        <f t="shared" si="1"/>
        <v>2023</v>
      </c>
      <c r="L2107" s="1" t="str">
        <f t="shared" si="2"/>
        <v>Aug</v>
      </c>
      <c r="M2107" s="1" t="str">
        <f t="shared" si="3"/>
        <v>Profit</v>
      </c>
    </row>
    <row r="2108" ht="14.25" customHeight="1">
      <c r="A2108" s="1" t="s">
        <v>2142</v>
      </c>
      <c r="B2108" s="2">
        <v>45196.0</v>
      </c>
      <c r="C2108" s="1" t="s">
        <v>30</v>
      </c>
      <c r="D2108" s="1" t="s">
        <v>27</v>
      </c>
      <c r="E2108" s="1" t="s">
        <v>33</v>
      </c>
      <c r="F2108" s="1">
        <v>268.06</v>
      </c>
      <c r="G2108" s="1">
        <v>-165.46</v>
      </c>
      <c r="H2108" s="1">
        <v>2.0</v>
      </c>
      <c r="I2108" s="1" t="s">
        <v>17</v>
      </c>
      <c r="J2108" s="1" t="s">
        <v>38</v>
      </c>
      <c r="K2108" s="1">
        <f t="shared" si="1"/>
        <v>2023</v>
      </c>
      <c r="L2108" s="1" t="str">
        <f t="shared" si="2"/>
        <v>Sep</v>
      </c>
      <c r="M2108" s="1" t="str">
        <f t="shared" si="3"/>
        <v>Loss</v>
      </c>
    </row>
    <row r="2109" ht="14.25" customHeight="1">
      <c r="A2109" s="1" t="s">
        <v>2143</v>
      </c>
      <c r="B2109" s="2">
        <v>44420.0</v>
      </c>
      <c r="C2109" s="1" t="s">
        <v>26</v>
      </c>
      <c r="D2109" s="1" t="s">
        <v>27</v>
      </c>
      <c r="E2109" s="1" t="s">
        <v>28</v>
      </c>
      <c r="F2109" s="1">
        <v>625.88</v>
      </c>
      <c r="G2109" s="1">
        <v>-21.31</v>
      </c>
      <c r="H2109" s="1">
        <v>1.0</v>
      </c>
      <c r="I2109" s="1" t="s">
        <v>23</v>
      </c>
      <c r="J2109" s="1" t="s">
        <v>38</v>
      </c>
      <c r="K2109" s="1">
        <f t="shared" si="1"/>
        <v>2021</v>
      </c>
      <c r="L2109" s="1" t="str">
        <f t="shared" si="2"/>
        <v>Aug</v>
      </c>
      <c r="M2109" s="1" t="str">
        <f t="shared" si="3"/>
        <v>Loss</v>
      </c>
    </row>
    <row r="2110" ht="14.25" customHeight="1">
      <c r="A2110" s="1" t="s">
        <v>2144</v>
      </c>
      <c r="B2110" s="2">
        <v>45144.0</v>
      </c>
      <c r="C2110" s="1" t="s">
        <v>30</v>
      </c>
      <c r="D2110" s="1" t="s">
        <v>27</v>
      </c>
      <c r="E2110" s="1" t="s">
        <v>28</v>
      </c>
      <c r="F2110" s="1">
        <v>500.0</v>
      </c>
      <c r="G2110" s="1">
        <v>101.74</v>
      </c>
      <c r="H2110" s="1">
        <v>8.0</v>
      </c>
      <c r="I2110" s="1" t="s">
        <v>34</v>
      </c>
      <c r="J2110" s="1" t="s">
        <v>35</v>
      </c>
      <c r="K2110" s="1">
        <f t="shared" si="1"/>
        <v>2023</v>
      </c>
      <c r="L2110" s="1" t="str">
        <f t="shared" si="2"/>
        <v>Aug</v>
      </c>
      <c r="M2110" s="1" t="str">
        <f t="shared" si="3"/>
        <v>Profit</v>
      </c>
    </row>
    <row r="2111" ht="14.25" customHeight="1">
      <c r="A2111" s="1" t="s">
        <v>2145</v>
      </c>
      <c r="B2111" s="2">
        <v>44823.0</v>
      </c>
      <c r="C2111" s="1" t="s">
        <v>30</v>
      </c>
      <c r="D2111" s="1" t="s">
        <v>15</v>
      </c>
      <c r="E2111" s="1" t="s">
        <v>54</v>
      </c>
      <c r="F2111" s="1">
        <v>139.88</v>
      </c>
      <c r="G2111" s="1">
        <v>-83.97</v>
      </c>
      <c r="H2111" s="1">
        <v>5.0</v>
      </c>
      <c r="I2111" s="1" t="s">
        <v>17</v>
      </c>
      <c r="J2111" s="1" t="s">
        <v>18</v>
      </c>
      <c r="K2111" s="1">
        <f t="shared" si="1"/>
        <v>2022</v>
      </c>
      <c r="L2111" s="1" t="str">
        <f t="shared" si="2"/>
        <v>Sep</v>
      </c>
      <c r="M2111" s="1" t="str">
        <f t="shared" si="3"/>
        <v>Loss</v>
      </c>
    </row>
    <row r="2112" ht="14.25" customHeight="1">
      <c r="A2112" s="1" t="s">
        <v>2146</v>
      </c>
      <c r="B2112" s="2">
        <v>44895.0</v>
      </c>
      <c r="C2112" s="1" t="s">
        <v>26</v>
      </c>
      <c r="D2112" s="1" t="s">
        <v>15</v>
      </c>
      <c r="E2112" s="1" t="s">
        <v>16</v>
      </c>
      <c r="F2112" s="1">
        <v>677.16</v>
      </c>
      <c r="G2112" s="1">
        <v>273.83</v>
      </c>
      <c r="H2112" s="1">
        <v>7.0</v>
      </c>
      <c r="I2112" s="1" t="s">
        <v>23</v>
      </c>
      <c r="J2112" s="1" t="s">
        <v>24</v>
      </c>
      <c r="K2112" s="1">
        <f t="shared" si="1"/>
        <v>2022</v>
      </c>
      <c r="L2112" s="1" t="str">
        <f t="shared" si="2"/>
        <v>Nov</v>
      </c>
      <c r="M2112" s="1" t="str">
        <f t="shared" si="3"/>
        <v>Profit</v>
      </c>
    </row>
    <row r="2113" ht="14.25" customHeight="1">
      <c r="A2113" s="1" t="s">
        <v>2147</v>
      </c>
      <c r="B2113" s="2">
        <v>44988.0</v>
      </c>
      <c r="C2113" s="1" t="s">
        <v>20</v>
      </c>
      <c r="D2113" s="1" t="s">
        <v>27</v>
      </c>
      <c r="E2113" s="1" t="s">
        <v>33</v>
      </c>
      <c r="F2113" s="1">
        <v>315.25</v>
      </c>
      <c r="G2113" s="1">
        <v>185.21</v>
      </c>
      <c r="H2113" s="1">
        <v>7.0</v>
      </c>
      <c r="I2113" s="1" t="s">
        <v>34</v>
      </c>
      <c r="J2113" s="1" t="s">
        <v>18</v>
      </c>
      <c r="K2113" s="1">
        <f t="shared" si="1"/>
        <v>2023</v>
      </c>
      <c r="L2113" s="1" t="str">
        <f t="shared" si="2"/>
        <v>Mar</v>
      </c>
      <c r="M2113" s="1" t="str">
        <f t="shared" si="3"/>
        <v>Profit</v>
      </c>
    </row>
    <row r="2114" ht="14.25" customHeight="1">
      <c r="A2114" s="1" t="s">
        <v>2148</v>
      </c>
      <c r="B2114" s="2">
        <v>44874.0</v>
      </c>
      <c r="C2114" s="1" t="s">
        <v>30</v>
      </c>
      <c r="D2114" s="1" t="s">
        <v>21</v>
      </c>
      <c r="E2114" s="1" t="s">
        <v>22</v>
      </c>
      <c r="F2114" s="1">
        <v>590.48</v>
      </c>
      <c r="G2114" s="1">
        <v>141.98</v>
      </c>
      <c r="H2114" s="1">
        <v>9.0</v>
      </c>
      <c r="I2114" s="1" t="s">
        <v>17</v>
      </c>
      <c r="J2114" s="1" t="s">
        <v>38</v>
      </c>
      <c r="K2114" s="1">
        <f t="shared" si="1"/>
        <v>2022</v>
      </c>
      <c r="L2114" s="1" t="str">
        <f t="shared" si="2"/>
        <v>Nov</v>
      </c>
      <c r="M2114" s="1" t="str">
        <f t="shared" si="3"/>
        <v>Profit</v>
      </c>
    </row>
    <row r="2115" ht="14.25" customHeight="1">
      <c r="A2115" s="1" t="s">
        <v>2149</v>
      </c>
      <c r="B2115" s="2">
        <v>44599.0</v>
      </c>
      <c r="C2115" s="1" t="s">
        <v>14</v>
      </c>
      <c r="D2115" s="1" t="s">
        <v>15</v>
      </c>
      <c r="E2115" s="1" t="s">
        <v>54</v>
      </c>
      <c r="F2115" s="1">
        <v>346.32</v>
      </c>
      <c r="G2115" s="1">
        <v>-28.34</v>
      </c>
      <c r="H2115" s="1">
        <v>3.0</v>
      </c>
      <c r="I2115" s="1" t="s">
        <v>17</v>
      </c>
      <c r="J2115" s="1" t="s">
        <v>38</v>
      </c>
      <c r="K2115" s="1">
        <f t="shared" si="1"/>
        <v>2022</v>
      </c>
      <c r="L2115" s="1" t="str">
        <f t="shared" si="2"/>
        <v>Feb</v>
      </c>
      <c r="M2115" s="1" t="str">
        <f t="shared" si="3"/>
        <v>Loss</v>
      </c>
    </row>
    <row r="2116" ht="14.25" customHeight="1">
      <c r="A2116" s="1" t="s">
        <v>2150</v>
      </c>
      <c r="B2116" s="2">
        <v>45071.0</v>
      </c>
      <c r="C2116" s="1" t="s">
        <v>26</v>
      </c>
      <c r="D2116" s="1" t="s">
        <v>15</v>
      </c>
      <c r="E2116" s="1" t="s">
        <v>31</v>
      </c>
      <c r="F2116" s="1">
        <v>757.73</v>
      </c>
      <c r="G2116" s="1">
        <v>2.03</v>
      </c>
      <c r="H2116" s="1">
        <v>6.0</v>
      </c>
      <c r="I2116" s="1" t="s">
        <v>34</v>
      </c>
      <c r="J2116" s="1" t="s">
        <v>24</v>
      </c>
      <c r="K2116" s="1">
        <f t="shared" si="1"/>
        <v>2023</v>
      </c>
      <c r="L2116" s="1" t="str">
        <f t="shared" si="2"/>
        <v>May</v>
      </c>
      <c r="M2116" s="1" t="str">
        <f t="shared" si="3"/>
        <v>Profit</v>
      </c>
    </row>
    <row r="2117" ht="14.25" customHeight="1">
      <c r="A2117" s="1" t="s">
        <v>2151</v>
      </c>
      <c r="B2117" s="2">
        <v>45102.0</v>
      </c>
      <c r="C2117" s="1" t="s">
        <v>26</v>
      </c>
      <c r="D2117" s="1" t="s">
        <v>15</v>
      </c>
      <c r="E2117" s="1" t="s">
        <v>54</v>
      </c>
      <c r="F2117" s="1">
        <v>879.35</v>
      </c>
      <c r="G2117" s="1">
        <v>-114.28</v>
      </c>
      <c r="H2117" s="1">
        <v>2.0</v>
      </c>
      <c r="I2117" s="1" t="s">
        <v>23</v>
      </c>
      <c r="J2117" s="1" t="s">
        <v>35</v>
      </c>
      <c r="K2117" s="1">
        <f t="shared" si="1"/>
        <v>2023</v>
      </c>
      <c r="L2117" s="1" t="str">
        <f t="shared" si="2"/>
        <v>Jun</v>
      </c>
      <c r="M2117" s="1" t="str">
        <f t="shared" si="3"/>
        <v>Loss</v>
      </c>
    </row>
    <row r="2118" ht="14.25" customHeight="1">
      <c r="A2118" s="1" t="s">
        <v>2152</v>
      </c>
      <c r="B2118" s="2">
        <v>44924.0</v>
      </c>
      <c r="C2118" s="1" t="s">
        <v>30</v>
      </c>
      <c r="D2118" s="1" t="s">
        <v>21</v>
      </c>
      <c r="E2118" s="1" t="s">
        <v>37</v>
      </c>
      <c r="F2118" s="1">
        <v>909.04</v>
      </c>
      <c r="G2118" s="1">
        <v>-144.8</v>
      </c>
      <c r="H2118" s="1">
        <v>10.0</v>
      </c>
      <c r="I2118" s="1" t="s">
        <v>34</v>
      </c>
      <c r="J2118" s="1" t="s">
        <v>18</v>
      </c>
      <c r="K2118" s="1">
        <f t="shared" si="1"/>
        <v>2022</v>
      </c>
      <c r="L2118" s="1" t="str">
        <f t="shared" si="2"/>
        <v>Dec</v>
      </c>
      <c r="M2118" s="1" t="str">
        <f t="shared" si="3"/>
        <v>Loss</v>
      </c>
    </row>
    <row r="2119" ht="14.25" customHeight="1">
      <c r="A2119" s="1" t="s">
        <v>2153</v>
      </c>
      <c r="B2119" s="2">
        <v>44919.0</v>
      </c>
      <c r="C2119" s="1" t="s">
        <v>26</v>
      </c>
      <c r="D2119" s="1" t="s">
        <v>21</v>
      </c>
      <c r="E2119" s="1" t="s">
        <v>22</v>
      </c>
      <c r="F2119" s="1">
        <v>66.19</v>
      </c>
      <c r="G2119" s="1">
        <v>-32.91</v>
      </c>
      <c r="H2119" s="1">
        <v>10.0</v>
      </c>
      <c r="I2119" s="1" t="s">
        <v>34</v>
      </c>
      <c r="J2119" s="1" t="s">
        <v>35</v>
      </c>
      <c r="K2119" s="1">
        <f t="shared" si="1"/>
        <v>2022</v>
      </c>
      <c r="L2119" s="1" t="str">
        <f t="shared" si="2"/>
        <v>Dec</v>
      </c>
      <c r="M2119" s="1" t="str">
        <f t="shared" si="3"/>
        <v>Loss</v>
      </c>
    </row>
    <row r="2120" ht="14.25" customHeight="1">
      <c r="A2120" s="1" t="s">
        <v>2154</v>
      </c>
      <c r="B2120" s="2">
        <v>44898.0</v>
      </c>
      <c r="C2120" s="1" t="s">
        <v>14</v>
      </c>
      <c r="D2120" s="1" t="s">
        <v>27</v>
      </c>
      <c r="E2120" s="1" t="s">
        <v>28</v>
      </c>
      <c r="F2120" s="1">
        <v>775.35</v>
      </c>
      <c r="G2120" s="1">
        <v>297.89</v>
      </c>
      <c r="H2120" s="1">
        <v>1.0</v>
      </c>
      <c r="I2120" s="1" t="s">
        <v>17</v>
      </c>
      <c r="J2120" s="1" t="s">
        <v>35</v>
      </c>
      <c r="K2120" s="1">
        <f t="shared" si="1"/>
        <v>2022</v>
      </c>
      <c r="L2120" s="1" t="str">
        <f t="shared" si="2"/>
        <v>Dec</v>
      </c>
      <c r="M2120" s="1" t="str">
        <f t="shared" si="3"/>
        <v>Profit</v>
      </c>
    </row>
    <row r="2121" ht="14.25" customHeight="1">
      <c r="A2121" s="1" t="s">
        <v>2155</v>
      </c>
      <c r="B2121" s="2">
        <v>44914.0</v>
      </c>
      <c r="C2121" s="1" t="s">
        <v>30</v>
      </c>
      <c r="D2121" s="1" t="s">
        <v>27</v>
      </c>
      <c r="E2121" s="1" t="s">
        <v>28</v>
      </c>
      <c r="F2121" s="1">
        <v>428.85</v>
      </c>
      <c r="G2121" s="1">
        <v>116.86</v>
      </c>
      <c r="H2121" s="1">
        <v>1.0</v>
      </c>
      <c r="I2121" s="1" t="s">
        <v>17</v>
      </c>
      <c r="J2121" s="1" t="s">
        <v>35</v>
      </c>
      <c r="K2121" s="1">
        <f t="shared" si="1"/>
        <v>2022</v>
      </c>
      <c r="L2121" s="1" t="str">
        <f t="shared" si="2"/>
        <v>Dec</v>
      </c>
      <c r="M2121" s="1" t="str">
        <f t="shared" si="3"/>
        <v>Profit</v>
      </c>
    </row>
    <row r="2122" ht="14.25" customHeight="1">
      <c r="A2122" s="1" t="s">
        <v>2156</v>
      </c>
      <c r="B2122" s="2">
        <v>45063.0</v>
      </c>
      <c r="C2122" s="1" t="s">
        <v>20</v>
      </c>
      <c r="D2122" s="1" t="s">
        <v>27</v>
      </c>
      <c r="E2122" s="1" t="s">
        <v>33</v>
      </c>
      <c r="F2122" s="1">
        <v>919.1</v>
      </c>
      <c r="G2122" s="1">
        <v>236.54</v>
      </c>
      <c r="H2122" s="1">
        <v>2.0</v>
      </c>
      <c r="I2122" s="1" t="s">
        <v>34</v>
      </c>
      <c r="J2122" s="1" t="s">
        <v>18</v>
      </c>
      <c r="K2122" s="1">
        <f t="shared" si="1"/>
        <v>2023</v>
      </c>
      <c r="L2122" s="1" t="str">
        <f t="shared" si="2"/>
        <v>May</v>
      </c>
      <c r="M2122" s="1" t="str">
        <f t="shared" si="3"/>
        <v>Profit</v>
      </c>
    </row>
    <row r="2123" ht="14.25" customHeight="1">
      <c r="A2123" s="1" t="s">
        <v>2157</v>
      </c>
      <c r="B2123" s="2">
        <v>45281.0</v>
      </c>
      <c r="C2123" s="1" t="s">
        <v>14</v>
      </c>
      <c r="D2123" s="1" t="s">
        <v>27</v>
      </c>
      <c r="E2123" s="1" t="s">
        <v>40</v>
      </c>
      <c r="F2123" s="1">
        <v>215.61</v>
      </c>
      <c r="G2123" s="1">
        <v>-13.07</v>
      </c>
      <c r="H2123" s="1">
        <v>2.0</v>
      </c>
      <c r="I2123" s="1" t="s">
        <v>23</v>
      </c>
      <c r="J2123" s="1" t="s">
        <v>38</v>
      </c>
      <c r="K2123" s="1">
        <f t="shared" si="1"/>
        <v>2023</v>
      </c>
      <c r="L2123" s="1" t="str">
        <f t="shared" si="2"/>
        <v>Dec</v>
      </c>
      <c r="M2123" s="1" t="str">
        <f t="shared" si="3"/>
        <v>Loss</v>
      </c>
    </row>
    <row r="2124" ht="14.25" customHeight="1">
      <c r="A2124" s="1" t="s">
        <v>2158</v>
      </c>
      <c r="B2124" s="2">
        <v>44804.0</v>
      </c>
      <c r="C2124" s="1" t="s">
        <v>26</v>
      </c>
      <c r="D2124" s="1" t="s">
        <v>15</v>
      </c>
      <c r="E2124" s="1" t="s">
        <v>31</v>
      </c>
      <c r="F2124" s="1">
        <v>434.15</v>
      </c>
      <c r="G2124" s="1">
        <v>131.07</v>
      </c>
      <c r="H2124" s="1">
        <v>6.0</v>
      </c>
      <c r="I2124" s="1" t="s">
        <v>23</v>
      </c>
      <c r="J2124" s="1" t="s">
        <v>24</v>
      </c>
      <c r="K2124" s="1">
        <f t="shared" si="1"/>
        <v>2022</v>
      </c>
      <c r="L2124" s="1" t="str">
        <f t="shared" si="2"/>
        <v>Aug</v>
      </c>
      <c r="M2124" s="1" t="str">
        <f t="shared" si="3"/>
        <v>Profit</v>
      </c>
    </row>
    <row r="2125" ht="14.25" customHeight="1">
      <c r="A2125" s="1" t="s">
        <v>2159</v>
      </c>
      <c r="B2125" s="2">
        <v>44906.0</v>
      </c>
      <c r="C2125" s="1" t="s">
        <v>26</v>
      </c>
      <c r="D2125" s="1" t="s">
        <v>21</v>
      </c>
      <c r="E2125" s="1" t="s">
        <v>37</v>
      </c>
      <c r="F2125" s="1">
        <v>442.63</v>
      </c>
      <c r="G2125" s="1">
        <v>281.34</v>
      </c>
      <c r="H2125" s="1">
        <v>7.0</v>
      </c>
      <c r="I2125" s="1" t="s">
        <v>34</v>
      </c>
      <c r="J2125" s="1" t="s">
        <v>38</v>
      </c>
      <c r="K2125" s="1">
        <f t="shared" si="1"/>
        <v>2022</v>
      </c>
      <c r="L2125" s="1" t="str">
        <f t="shared" si="2"/>
        <v>Dec</v>
      </c>
      <c r="M2125" s="1" t="str">
        <f t="shared" si="3"/>
        <v>Profit</v>
      </c>
    </row>
    <row r="2126" ht="14.25" customHeight="1">
      <c r="A2126" s="1" t="s">
        <v>2160</v>
      </c>
      <c r="B2126" s="2">
        <v>45219.0</v>
      </c>
      <c r="C2126" s="1" t="s">
        <v>20</v>
      </c>
      <c r="D2126" s="1" t="s">
        <v>27</v>
      </c>
      <c r="E2126" s="1" t="s">
        <v>40</v>
      </c>
      <c r="F2126" s="1">
        <v>546.25</v>
      </c>
      <c r="G2126" s="1">
        <v>261.68</v>
      </c>
      <c r="H2126" s="1">
        <v>2.0</v>
      </c>
      <c r="I2126" s="1" t="s">
        <v>34</v>
      </c>
      <c r="J2126" s="1" t="s">
        <v>38</v>
      </c>
      <c r="K2126" s="1">
        <f t="shared" si="1"/>
        <v>2023</v>
      </c>
      <c r="L2126" s="1" t="str">
        <f t="shared" si="2"/>
        <v>Oct</v>
      </c>
      <c r="M2126" s="1" t="str">
        <f t="shared" si="3"/>
        <v>Profit</v>
      </c>
    </row>
    <row r="2127" ht="14.25" customHeight="1">
      <c r="A2127" s="1" t="s">
        <v>2161</v>
      </c>
      <c r="B2127" s="2">
        <v>44657.0</v>
      </c>
      <c r="C2127" s="1" t="s">
        <v>20</v>
      </c>
      <c r="D2127" s="1" t="s">
        <v>21</v>
      </c>
      <c r="E2127" s="1" t="s">
        <v>76</v>
      </c>
      <c r="F2127" s="1">
        <v>625.76</v>
      </c>
      <c r="G2127" s="1">
        <v>-78.27</v>
      </c>
      <c r="H2127" s="1">
        <v>10.0</v>
      </c>
      <c r="I2127" s="1" t="s">
        <v>34</v>
      </c>
      <c r="J2127" s="1" t="s">
        <v>24</v>
      </c>
      <c r="K2127" s="1">
        <f t="shared" si="1"/>
        <v>2022</v>
      </c>
      <c r="L2127" s="1" t="str">
        <f t="shared" si="2"/>
        <v>Apr</v>
      </c>
      <c r="M2127" s="1" t="str">
        <f t="shared" si="3"/>
        <v>Loss</v>
      </c>
    </row>
    <row r="2128" ht="14.25" customHeight="1">
      <c r="A2128" s="1" t="s">
        <v>2162</v>
      </c>
      <c r="B2128" s="2">
        <v>44627.0</v>
      </c>
      <c r="C2128" s="1" t="s">
        <v>20</v>
      </c>
      <c r="D2128" s="1" t="s">
        <v>21</v>
      </c>
      <c r="E2128" s="1" t="s">
        <v>37</v>
      </c>
      <c r="F2128" s="1">
        <v>657.59</v>
      </c>
      <c r="G2128" s="1">
        <v>40.49</v>
      </c>
      <c r="H2128" s="1">
        <v>5.0</v>
      </c>
      <c r="I2128" s="1" t="s">
        <v>23</v>
      </c>
      <c r="J2128" s="1" t="s">
        <v>24</v>
      </c>
      <c r="K2128" s="1">
        <f t="shared" si="1"/>
        <v>2022</v>
      </c>
      <c r="L2128" s="1" t="str">
        <f t="shared" si="2"/>
        <v>Mar</v>
      </c>
      <c r="M2128" s="1" t="str">
        <f t="shared" si="3"/>
        <v>Profit</v>
      </c>
    </row>
    <row r="2129" ht="14.25" customHeight="1">
      <c r="A2129" s="1" t="s">
        <v>2163</v>
      </c>
      <c r="B2129" s="2">
        <v>44936.0</v>
      </c>
      <c r="C2129" s="1" t="s">
        <v>26</v>
      </c>
      <c r="D2129" s="1" t="s">
        <v>27</v>
      </c>
      <c r="E2129" s="1" t="s">
        <v>40</v>
      </c>
      <c r="F2129" s="1">
        <v>700.2</v>
      </c>
      <c r="G2129" s="1">
        <v>-24.06</v>
      </c>
      <c r="H2129" s="1">
        <v>10.0</v>
      </c>
      <c r="I2129" s="1" t="s">
        <v>34</v>
      </c>
      <c r="J2129" s="1" t="s">
        <v>18</v>
      </c>
      <c r="K2129" s="1">
        <f t="shared" si="1"/>
        <v>2023</v>
      </c>
      <c r="L2129" s="1" t="str">
        <f t="shared" si="2"/>
        <v>Jan</v>
      </c>
      <c r="M2129" s="1" t="str">
        <f t="shared" si="3"/>
        <v>Loss</v>
      </c>
    </row>
    <row r="2130" ht="14.25" customHeight="1">
      <c r="A2130" s="1" t="s">
        <v>2164</v>
      </c>
      <c r="B2130" s="2">
        <v>44980.0</v>
      </c>
      <c r="C2130" s="1" t="s">
        <v>14</v>
      </c>
      <c r="D2130" s="1" t="s">
        <v>21</v>
      </c>
      <c r="E2130" s="1" t="s">
        <v>37</v>
      </c>
      <c r="F2130" s="1">
        <v>758.17</v>
      </c>
      <c r="G2130" s="1">
        <v>12.05</v>
      </c>
      <c r="H2130" s="1">
        <v>2.0</v>
      </c>
      <c r="I2130" s="1" t="s">
        <v>17</v>
      </c>
      <c r="J2130" s="1" t="s">
        <v>35</v>
      </c>
      <c r="K2130" s="1">
        <f t="shared" si="1"/>
        <v>2023</v>
      </c>
      <c r="L2130" s="1" t="str">
        <f t="shared" si="2"/>
        <v>Feb</v>
      </c>
      <c r="M2130" s="1" t="str">
        <f t="shared" si="3"/>
        <v>Profit</v>
      </c>
    </row>
    <row r="2131" ht="14.25" customHeight="1">
      <c r="A2131" s="1" t="s">
        <v>2165</v>
      </c>
      <c r="B2131" s="2">
        <v>44630.0</v>
      </c>
      <c r="C2131" s="1" t="s">
        <v>26</v>
      </c>
      <c r="D2131" s="1" t="s">
        <v>27</v>
      </c>
      <c r="E2131" s="1" t="s">
        <v>40</v>
      </c>
      <c r="F2131" s="1">
        <v>724.59</v>
      </c>
      <c r="G2131" s="1">
        <v>34.54</v>
      </c>
      <c r="H2131" s="1">
        <v>3.0</v>
      </c>
      <c r="I2131" s="1" t="s">
        <v>34</v>
      </c>
      <c r="J2131" s="1" t="s">
        <v>24</v>
      </c>
      <c r="K2131" s="1">
        <f t="shared" si="1"/>
        <v>2022</v>
      </c>
      <c r="L2131" s="1" t="str">
        <f t="shared" si="2"/>
        <v>Mar</v>
      </c>
      <c r="M2131" s="1" t="str">
        <f t="shared" si="3"/>
        <v>Profit</v>
      </c>
    </row>
    <row r="2132" ht="14.25" customHeight="1">
      <c r="A2132" s="1" t="s">
        <v>2166</v>
      </c>
      <c r="B2132" s="2">
        <v>44665.0</v>
      </c>
      <c r="C2132" s="1" t="s">
        <v>30</v>
      </c>
      <c r="D2132" s="1" t="s">
        <v>15</v>
      </c>
      <c r="E2132" s="1" t="s">
        <v>31</v>
      </c>
      <c r="F2132" s="1">
        <v>942.54</v>
      </c>
      <c r="G2132" s="1">
        <v>-82.4</v>
      </c>
      <c r="H2132" s="1">
        <v>7.0</v>
      </c>
      <c r="I2132" s="1" t="s">
        <v>34</v>
      </c>
      <c r="J2132" s="1" t="s">
        <v>18</v>
      </c>
      <c r="K2132" s="1">
        <f t="shared" si="1"/>
        <v>2022</v>
      </c>
      <c r="L2132" s="1" t="str">
        <f t="shared" si="2"/>
        <v>Apr</v>
      </c>
      <c r="M2132" s="1" t="str">
        <f t="shared" si="3"/>
        <v>Loss</v>
      </c>
    </row>
    <row r="2133" ht="14.25" customHeight="1">
      <c r="A2133" s="1" t="s">
        <v>2167</v>
      </c>
      <c r="B2133" s="2">
        <v>44842.0</v>
      </c>
      <c r="C2133" s="1" t="s">
        <v>30</v>
      </c>
      <c r="D2133" s="1" t="s">
        <v>15</v>
      </c>
      <c r="E2133" s="1" t="s">
        <v>16</v>
      </c>
      <c r="F2133" s="1">
        <v>730.0</v>
      </c>
      <c r="G2133" s="1">
        <v>-39.45</v>
      </c>
      <c r="H2133" s="1">
        <v>1.0</v>
      </c>
      <c r="I2133" s="1" t="s">
        <v>34</v>
      </c>
      <c r="J2133" s="1" t="s">
        <v>35</v>
      </c>
      <c r="K2133" s="1">
        <f t="shared" si="1"/>
        <v>2022</v>
      </c>
      <c r="L2133" s="1" t="str">
        <f t="shared" si="2"/>
        <v>Oct</v>
      </c>
      <c r="M2133" s="1" t="str">
        <f t="shared" si="3"/>
        <v>Loss</v>
      </c>
    </row>
    <row r="2134" ht="14.25" customHeight="1">
      <c r="A2134" s="1" t="s">
        <v>2168</v>
      </c>
      <c r="B2134" s="2">
        <v>44580.0</v>
      </c>
      <c r="C2134" s="1" t="s">
        <v>26</v>
      </c>
      <c r="D2134" s="1" t="s">
        <v>15</v>
      </c>
      <c r="E2134" s="1" t="s">
        <v>54</v>
      </c>
      <c r="F2134" s="1">
        <v>180.17</v>
      </c>
      <c r="G2134" s="1">
        <v>196.78</v>
      </c>
      <c r="H2134" s="1">
        <v>8.0</v>
      </c>
      <c r="I2134" s="1" t="s">
        <v>34</v>
      </c>
      <c r="J2134" s="1" t="s">
        <v>24</v>
      </c>
      <c r="K2134" s="1">
        <f t="shared" si="1"/>
        <v>2022</v>
      </c>
      <c r="L2134" s="1" t="str">
        <f t="shared" si="2"/>
        <v>Jan</v>
      </c>
      <c r="M2134" s="1" t="str">
        <f t="shared" si="3"/>
        <v>Profit</v>
      </c>
    </row>
    <row r="2135" ht="14.25" customHeight="1">
      <c r="A2135" s="1" t="s">
        <v>2169</v>
      </c>
      <c r="B2135" s="2">
        <v>44707.0</v>
      </c>
      <c r="C2135" s="1" t="s">
        <v>20</v>
      </c>
      <c r="D2135" s="1" t="s">
        <v>27</v>
      </c>
      <c r="E2135" s="1" t="s">
        <v>33</v>
      </c>
      <c r="F2135" s="1">
        <v>35.0</v>
      </c>
      <c r="G2135" s="1">
        <v>-132.46</v>
      </c>
      <c r="H2135" s="1">
        <v>4.0</v>
      </c>
      <c r="I2135" s="1" t="s">
        <v>34</v>
      </c>
      <c r="J2135" s="1" t="s">
        <v>18</v>
      </c>
      <c r="K2135" s="1">
        <f t="shared" si="1"/>
        <v>2022</v>
      </c>
      <c r="L2135" s="1" t="str">
        <f t="shared" si="2"/>
        <v>May</v>
      </c>
      <c r="M2135" s="1" t="str">
        <f t="shared" si="3"/>
        <v>Loss</v>
      </c>
    </row>
    <row r="2136" ht="14.25" customHeight="1">
      <c r="A2136" s="1" t="s">
        <v>2170</v>
      </c>
      <c r="B2136" s="2">
        <v>45004.0</v>
      </c>
      <c r="C2136" s="1" t="s">
        <v>14</v>
      </c>
      <c r="D2136" s="1" t="s">
        <v>21</v>
      </c>
      <c r="E2136" s="1" t="s">
        <v>76</v>
      </c>
      <c r="F2136" s="1">
        <v>228.27</v>
      </c>
      <c r="G2136" s="1">
        <v>-86.52</v>
      </c>
      <c r="H2136" s="1">
        <v>3.0</v>
      </c>
      <c r="I2136" s="1" t="s">
        <v>17</v>
      </c>
      <c r="J2136" s="1" t="s">
        <v>35</v>
      </c>
      <c r="K2136" s="1">
        <f t="shared" si="1"/>
        <v>2023</v>
      </c>
      <c r="L2136" s="1" t="str">
        <f t="shared" si="2"/>
        <v>Mar</v>
      </c>
      <c r="M2136" s="1" t="str">
        <f t="shared" si="3"/>
        <v>Loss</v>
      </c>
    </row>
    <row r="2137" ht="14.25" customHeight="1">
      <c r="A2137" s="1" t="s">
        <v>2171</v>
      </c>
      <c r="B2137" s="2">
        <v>45163.0</v>
      </c>
      <c r="C2137" s="1" t="s">
        <v>14</v>
      </c>
      <c r="D2137" s="1" t="s">
        <v>15</v>
      </c>
      <c r="E2137" s="1" t="s">
        <v>16</v>
      </c>
      <c r="F2137" s="1">
        <v>858.21</v>
      </c>
      <c r="G2137" s="1">
        <v>257.16</v>
      </c>
      <c r="H2137" s="1">
        <v>6.0</v>
      </c>
      <c r="I2137" s="1" t="s">
        <v>34</v>
      </c>
      <c r="J2137" s="1" t="s">
        <v>35</v>
      </c>
      <c r="K2137" s="1">
        <f t="shared" si="1"/>
        <v>2023</v>
      </c>
      <c r="L2137" s="1" t="str">
        <f t="shared" si="2"/>
        <v>Aug</v>
      </c>
      <c r="M2137" s="1" t="str">
        <f t="shared" si="3"/>
        <v>Profit</v>
      </c>
    </row>
    <row r="2138" ht="14.25" customHeight="1">
      <c r="A2138" s="1" t="s">
        <v>2172</v>
      </c>
      <c r="B2138" s="2">
        <v>45021.0</v>
      </c>
      <c r="C2138" s="1" t="s">
        <v>20</v>
      </c>
      <c r="D2138" s="1" t="s">
        <v>21</v>
      </c>
      <c r="E2138" s="1" t="s">
        <v>37</v>
      </c>
      <c r="F2138" s="1">
        <v>273.45</v>
      </c>
      <c r="G2138" s="1">
        <v>228.29</v>
      </c>
      <c r="H2138" s="1">
        <v>7.0</v>
      </c>
      <c r="I2138" s="1" t="s">
        <v>23</v>
      </c>
      <c r="J2138" s="1" t="s">
        <v>24</v>
      </c>
      <c r="K2138" s="1">
        <f t="shared" si="1"/>
        <v>2023</v>
      </c>
      <c r="L2138" s="1" t="str">
        <f t="shared" si="2"/>
        <v>Apr</v>
      </c>
      <c r="M2138" s="1" t="str">
        <f t="shared" si="3"/>
        <v>Profit</v>
      </c>
    </row>
    <row r="2139" ht="14.25" customHeight="1">
      <c r="A2139" s="1" t="s">
        <v>2173</v>
      </c>
      <c r="B2139" s="2">
        <v>45095.0</v>
      </c>
      <c r="C2139" s="1" t="s">
        <v>30</v>
      </c>
      <c r="D2139" s="1" t="s">
        <v>27</v>
      </c>
      <c r="E2139" s="1" t="s">
        <v>33</v>
      </c>
      <c r="F2139" s="1">
        <v>807.4</v>
      </c>
      <c r="G2139" s="1">
        <v>260.92</v>
      </c>
      <c r="H2139" s="1">
        <v>7.0</v>
      </c>
      <c r="I2139" s="1" t="s">
        <v>34</v>
      </c>
      <c r="J2139" s="1" t="s">
        <v>35</v>
      </c>
      <c r="K2139" s="1">
        <f t="shared" si="1"/>
        <v>2023</v>
      </c>
      <c r="L2139" s="1" t="str">
        <f t="shared" si="2"/>
        <v>Jun</v>
      </c>
      <c r="M2139" s="1" t="str">
        <f t="shared" si="3"/>
        <v>Profit</v>
      </c>
    </row>
    <row r="2140" ht="14.25" customHeight="1">
      <c r="A2140" s="1" t="s">
        <v>2174</v>
      </c>
      <c r="B2140" s="2">
        <v>44284.0</v>
      </c>
      <c r="C2140" s="1" t="s">
        <v>14</v>
      </c>
      <c r="D2140" s="1" t="s">
        <v>27</v>
      </c>
      <c r="E2140" s="1" t="s">
        <v>40</v>
      </c>
      <c r="F2140" s="1">
        <v>343.08</v>
      </c>
      <c r="G2140" s="1">
        <v>288.21</v>
      </c>
      <c r="H2140" s="1">
        <v>5.0</v>
      </c>
      <c r="I2140" s="1" t="s">
        <v>34</v>
      </c>
      <c r="J2140" s="1" t="s">
        <v>35</v>
      </c>
      <c r="K2140" s="1">
        <f t="shared" si="1"/>
        <v>2021</v>
      </c>
      <c r="L2140" s="1" t="str">
        <f t="shared" si="2"/>
        <v>Mar</v>
      </c>
      <c r="M2140" s="1" t="str">
        <f t="shared" si="3"/>
        <v>Profit</v>
      </c>
    </row>
    <row r="2141" ht="14.25" customHeight="1">
      <c r="A2141" s="1" t="s">
        <v>2175</v>
      </c>
      <c r="B2141" s="2">
        <v>45047.0</v>
      </c>
      <c r="C2141" s="1" t="s">
        <v>26</v>
      </c>
      <c r="D2141" s="1" t="s">
        <v>27</v>
      </c>
      <c r="E2141" s="1" t="s">
        <v>40</v>
      </c>
      <c r="F2141" s="1">
        <v>768.17</v>
      </c>
      <c r="G2141" s="1">
        <v>74.87</v>
      </c>
      <c r="H2141" s="1">
        <v>7.0</v>
      </c>
      <c r="I2141" s="1" t="s">
        <v>17</v>
      </c>
      <c r="J2141" s="1" t="s">
        <v>38</v>
      </c>
      <c r="K2141" s="1">
        <f t="shared" si="1"/>
        <v>2023</v>
      </c>
      <c r="L2141" s="1" t="str">
        <f t="shared" si="2"/>
        <v>May</v>
      </c>
      <c r="M2141" s="1" t="str">
        <f t="shared" si="3"/>
        <v>Profit</v>
      </c>
    </row>
    <row r="2142" ht="14.25" customHeight="1">
      <c r="A2142" s="1" t="s">
        <v>2176</v>
      </c>
      <c r="B2142" s="2">
        <v>44388.0</v>
      </c>
      <c r="C2142" s="1" t="s">
        <v>14</v>
      </c>
      <c r="D2142" s="1" t="s">
        <v>15</v>
      </c>
      <c r="E2142" s="1" t="s">
        <v>31</v>
      </c>
      <c r="F2142" s="1">
        <v>654.07</v>
      </c>
      <c r="G2142" s="1">
        <v>190.55</v>
      </c>
      <c r="H2142" s="1">
        <v>2.0</v>
      </c>
      <c r="I2142" s="1" t="s">
        <v>17</v>
      </c>
      <c r="J2142" s="1" t="s">
        <v>24</v>
      </c>
      <c r="K2142" s="1">
        <f t="shared" si="1"/>
        <v>2021</v>
      </c>
      <c r="L2142" s="1" t="str">
        <f t="shared" si="2"/>
        <v>Jul</v>
      </c>
      <c r="M2142" s="1" t="str">
        <f t="shared" si="3"/>
        <v>Profit</v>
      </c>
    </row>
    <row r="2143" ht="14.25" customHeight="1">
      <c r="A2143" s="1" t="s">
        <v>2177</v>
      </c>
      <c r="B2143" s="2">
        <v>44673.0</v>
      </c>
      <c r="C2143" s="1" t="s">
        <v>26</v>
      </c>
      <c r="D2143" s="1" t="s">
        <v>15</v>
      </c>
      <c r="E2143" s="1" t="s">
        <v>16</v>
      </c>
      <c r="F2143" s="1">
        <v>957.41</v>
      </c>
      <c r="G2143" s="1">
        <v>166.57</v>
      </c>
      <c r="H2143" s="1">
        <v>7.0</v>
      </c>
      <c r="I2143" s="1" t="s">
        <v>34</v>
      </c>
      <c r="J2143" s="1" t="s">
        <v>24</v>
      </c>
      <c r="K2143" s="1">
        <f t="shared" si="1"/>
        <v>2022</v>
      </c>
      <c r="L2143" s="1" t="str">
        <f t="shared" si="2"/>
        <v>Apr</v>
      </c>
      <c r="M2143" s="1" t="str">
        <f t="shared" si="3"/>
        <v>Profit</v>
      </c>
    </row>
    <row r="2144" ht="14.25" customHeight="1">
      <c r="A2144" s="1" t="s">
        <v>2178</v>
      </c>
      <c r="B2144" s="2">
        <v>44273.0</v>
      </c>
      <c r="C2144" s="1" t="s">
        <v>26</v>
      </c>
      <c r="D2144" s="1" t="s">
        <v>21</v>
      </c>
      <c r="E2144" s="1" t="s">
        <v>22</v>
      </c>
      <c r="F2144" s="1">
        <v>388.01</v>
      </c>
      <c r="G2144" s="1">
        <v>165.47</v>
      </c>
      <c r="H2144" s="1">
        <v>1.0</v>
      </c>
      <c r="I2144" s="1" t="s">
        <v>17</v>
      </c>
      <c r="J2144" s="1" t="s">
        <v>24</v>
      </c>
      <c r="K2144" s="1">
        <f t="shared" si="1"/>
        <v>2021</v>
      </c>
      <c r="L2144" s="1" t="str">
        <f t="shared" si="2"/>
        <v>Mar</v>
      </c>
      <c r="M2144" s="1" t="str">
        <f t="shared" si="3"/>
        <v>Profit</v>
      </c>
    </row>
    <row r="2145" ht="14.25" customHeight="1">
      <c r="A2145" s="1" t="s">
        <v>2179</v>
      </c>
      <c r="B2145" s="2">
        <v>45100.0</v>
      </c>
      <c r="C2145" s="1" t="s">
        <v>26</v>
      </c>
      <c r="D2145" s="1" t="s">
        <v>27</v>
      </c>
      <c r="E2145" s="1" t="s">
        <v>33</v>
      </c>
      <c r="F2145" s="1">
        <v>427.68</v>
      </c>
      <c r="G2145" s="1">
        <v>109.96</v>
      </c>
      <c r="H2145" s="1">
        <v>7.0</v>
      </c>
      <c r="I2145" s="1" t="s">
        <v>34</v>
      </c>
      <c r="J2145" s="1" t="s">
        <v>38</v>
      </c>
      <c r="K2145" s="1">
        <f t="shared" si="1"/>
        <v>2023</v>
      </c>
      <c r="L2145" s="1" t="str">
        <f t="shared" si="2"/>
        <v>Jun</v>
      </c>
      <c r="M2145" s="1" t="str">
        <f t="shared" si="3"/>
        <v>Profit</v>
      </c>
    </row>
    <row r="2146" ht="14.25" customHeight="1">
      <c r="A2146" s="1" t="s">
        <v>2180</v>
      </c>
      <c r="B2146" s="2">
        <v>44628.0</v>
      </c>
      <c r="C2146" s="1" t="s">
        <v>30</v>
      </c>
      <c r="D2146" s="1" t="s">
        <v>27</v>
      </c>
      <c r="E2146" s="1" t="s">
        <v>40</v>
      </c>
      <c r="F2146" s="1">
        <v>374.23</v>
      </c>
      <c r="G2146" s="1">
        <v>93.57</v>
      </c>
      <c r="H2146" s="1">
        <v>5.0</v>
      </c>
      <c r="I2146" s="1" t="s">
        <v>17</v>
      </c>
      <c r="J2146" s="1" t="s">
        <v>35</v>
      </c>
      <c r="K2146" s="1">
        <f t="shared" si="1"/>
        <v>2022</v>
      </c>
      <c r="L2146" s="1" t="str">
        <f t="shared" si="2"/>
        <v>Mar</v>
      </c>
      <c r="M2146" s="1" t="str">
        <f t="shared" si="3"/>
        <v>Profit</v>
      </c>
    </row>
    <row r="2147" ht="14.25" customHeight="1">
      <c r="A2147" s="1" t="s">
        <v>2181</v>
      </c>
      <c r="B2147" s="2">
        <v>44794.0</v>
      </c>
      <c r="C2147" s="1" t="s">
        <v>30</v>
      </c>
      <c r="D2147" s="1" t="s">
        <v>27</v>
      </c>
      <c r="E2147" s="1" t="s">
        <v>40</v>
      </c>
      <c r="F2147" s="1">
        <v>844.26</v>
      </c>
      <c r="G2147" s="1">
        <v>105.27</v>
      </c>
      <c r="H2147" s="1">
        <v>2.0</v>
      </c>
      <c r="I2147" s="1" t="s">
        <v>34</v>
      </c>
      <c r="J2147" s="1" t="s">
        <v>35</v>
      </c>
      <c r="K2147" s="1">
        <f t="shared" si="1"/>
        <v>2022</v>
      </c>
      <c r="L2147" s="1" t="str">
        <f t="shared" si="2"/>
        <v>Aug</v>
      </c>
      <c r="M2147" s="1" t="str">
        <f t="shared" si="3"/>
        <v>Profit</v>
      </c>
    </row>
    <row r="2148" ht="14.25" customHeight="1">
      <c r="A2148" s="1" t="s">
        <v>2182</v>
      </c>
      <c r="B2148" s="2">
        <v>44581.0</v>
      </c>
      <c r="C2148" s="1" t="s">
        <v>20</v>
      </c>
      <c r="D2148" s="1" t="s">
        <v>21</v>
      </c>
      <c r="E2148" s="1" t="s">
        <v>22</v>
      </c>
      <c r="F2148" s="1">
        <v>595.49</v>
      </c>
      <c r="G2148" s="1">
        <v>143.54</v>
      </c>
      <c r="H2148" s="1">
        <v>7.0</v>
      </c>
      <c r="I2148" s="1" t="s">
        <v>34</v>
      </c>
      <c r="J2148" s="1" t="s">
        <v>35</v>
      </c>
      <c r="K2148" s="1">
        <f t="shared" si="1"/>
        <v>2022</v>
      </c>
      <c r="L2148" s="1" t="str">
        <f t="shared" si="2"/>
        <v>Jan</v>
      </c>
      <c r="M2148" s="1" t="str">
        <f t="shared" si="3"/>
        <v>Profit</v>
      </c>
    </row>
    <row r="2149" ht="14.25" customHeight="1">
      <c r="A2149" s="1" t="s">
        <v>2183</v>
      </c>
      <c r="B2149" s="2">
        <v>44572.0</v>
      </c>
      <c r="C2149" s="1" t="s">
        <v>20</v>
      </c>
      <c r="D2149" s="1" t="s">
        <v>15</v>
      </c>
      <c r="E2149" s="1" t="s">
        <v>54</v>
      </c>
      <c r="F2149" s="1">
        <v>489.75</v>
      </c>
      <c r="G2149" s="1">
        <v>249.59</v>
      </c>
      <c r="H2149" s="1">
        <v>9.0</v>
      </c>
      <c r="I2149" s="1" t="s">
        <v>23</v>
      </c>
      <c r="J2149" s="1" t="s">
        <v>38</v>
      </c>
      <c r="K2149" s="1">
        <f t="shared" si="1"/>
        <v>2022</v>
      </c>
      <c r="L2149" s="1" t="str">
        <f t="shared" si="2"/>
        <v>Jan</v>
      </c>
      <c r="M2149" s="1" t="str">
        <f t="shared" si="3"/>
        <v>Profit</v>
      </c>
    </row>
    <row r="2150" ht="14.25" customHeight="1">
      <c r="A2150" s="1" t="s">
        <v>2184</v>
      </c>
      <c r="B2150" s="2">
        <v>44842.0</v>
      </c>
      <c r="C2150" s="1" t="s">
        <v>30</v>
      </c>
      <c r="D2150" s="1" t="s">
        <v>15</v>
      </c>
      <c r="E2150" s="1" t="s">
        <v>16</v>
      </c>
      <c r="F2150" s="1">
        <v>35.12</v>
      </c>
      <c r="G2150" s="1">
        <v>87.95</v>
      </c>
      <c r="H2150" s="1">
        <v>1.0</v>
      </c>
      <c r="I2150" s="1" t="s">
        <v>23</v>
      </c>
      <c r="J2150" s="1" t="s">
        <v>24</v>
      </c>
      <c r="K2150" s="1">
        <f t="shared" si="1"/>
        <v>2022</v>
      </c>
      <c r="L2150" s="1" t="str">
        <f t="shared" si="2"/>
        <v>Oct</v>
      </c>
      <c r="M2150" s="1" t="str">
        <f t="shared" si="3"/>
        <v>Profit</v>
      </c>
    </row>
    <row r="2151" ht="14.25" customHeight="1">
      <c r="A2151" s="1" t="s">
        <v>2185</v>
      </c>
      <c r="B2151" s="2">
        <v>44341.0</v>
      </c>
      <c r="C2151" s="1" t="s">
        <v>26</v>
      </c>
      <c r="D2151" s="1" t="s">
        <v>15</v>
      </c>
      <c r="E2151" s="1" t="s">
        <v>16</v>
      </c>
      <c r="F2151" s="1">
        <v>367.34</v>
      </c>
      <c r="G2151" s="1">
        <v>225.61</v>
      </c>
      <c r="H2151" s="1">
        <v>4.0</v>
      </c>
      <c r="I2151" s="1" t="s">
        <v>34</v>
      </c>
      <c r="J2151" s="1" t="s">
        <v>35</v>
      </c>
      <c r="K2151" s="1">
        <f t="shared" si="1"/>
        <v>2021</v>
      </c>
      <c r="L2151" s="1" t="str">
        <f t="shared" si="2"/>
        <v>May</v>
      </c>
      <c r="M2151" s="1" t="str">
        <f t="shared" si="3"/>
        <v>Profit</v>
      </c>
    </row>
    <row r="2152" ht="14.25" customHeight="1">
      <c r="A2152" s="1" t="s">
        <v>2186</v>
      </c>
      <c r="B2152" s="2">
        <v>44569.0</v>
      </c>
      <c r="C2152" s="1" t="s">
        <v>20</v>
      </c>
      <c r="D2152" s="1" t="s">
        <v>27</v>
      </c>
      <c r="E2152" s="1" t="s">
        <v>33</v>
      </c>
      <c r="F2152" s="1">
        <v>443.11</v>
      </c>
      <c r="G2152" s="1">
        <v>278.56</v>
      </c>
      <c r="H2152" s="1">
        <v>2.0</v>
      </c>
      <c r="I2152" s="1" t="s">
        <v>17</v>
      </c>
      <c r="J2152" s="1" t="s">
        <v>24</v>
      </c>
      <c r="K2152" s="1">
        <f t="shared" si="1"/>
        <v>2022</v>
      </c>
      <c r="L2152" s="1" t="str">
        <f t="shared" si="2"/>
        <v>Jan</v>
      </c>
      <c r="M2152" s="1" t="str">
        <f t="shared" si="3"/>
        <v>Profit</v>
      </c>
    </row>
    <row r="2153" ht="14.25" customHeight="1">
      <c r="A2153" s="1" t="s">
        <v>2187</v>
      </c>
      <c r="B2153" s="2">
        <v>44733.0</v>
      </c>
      <c r="C2153" s="1" t="s">
        <v>20</v>
      </c>
      <c r="D2153" s="1" t="s">
        <v>27</v>
      </c>
      <c r="E2153" s="1" t="s">
        <v>40</v>
      </c>
      <c r="F2153" s="1">
        <v>547.45</v>
      </c>
      <c r="G2153" s="1">
        <v>37.99</v>
      </c>
      <c r="H2153" s="1">
        <v>1.0</v>
      </c>
      <c r="I2153" s="1" t="s">
        <v>17</v>
      </c>
      <c r="J2153" s="1" t="s">
        <v>38</v>
      </c>
      <c r="K2153" s="1">
        <f t="shared" si="1"/>
        <v>2022</v>
      </c>
      <c r="L2153" s="1" t="str">
        <f t="shared" si="2"/>
        <v>Jun</v>
      </c>
      <c r="M2153" s="1" t="str">
        <f t="shared" si="3"/>
        <v>Profit</v>
      </c>
    </row>
    <row r="2154" ht="14.25" customHeight="1">
      <c r="A2154" s="1" t="s">
        <v>2188</v>
      </c>
      <c r="B2154" s="2">
        <v>44866.0</v>
      </c>
      <c r="C2154" s="1" t="s">
        <v>14</v>
      </c>
      <c r="D2154" s="1" t="s">
        <v>15</v>
      </c>
      <c r="E2154" s="1" t="s">
        <v>16</v>
      </c>
      <c r="F2154" s="1">
        <v>230.73</v>
      </c>
      <c r="G2154" s="1">
        <v>40.0</v>
      </c>
      <c r="H2154" s="1">
        <v>9.0</v>
      </c>
      <c r="I2154" s="1" t="s">
        <v>17</v>
      </c>
      <c r="J2154" s="1" t="s">
        <v>18</v>
      </c>
      <c r="K2154" s="1">
        <f t="shared" si="1"/>
        <v>2022</v>
      </c>
      <c r="L2154" s="1" t="str">
        <f t="shared" si="2"/>
        <v>Nov</v>
      </c>
      <c r="M2154" s="1" t="str">
        <f t="shared" si="3"/>
        <v>Profit</v>
      </c>
    </row>
    <row r="2155" ht="14.25" customHeight="1">
      <c r="A2155" s="1" t="s">
        <v>2189</v>
      </c>
      <c r="B2155" s="2">
        <v>44821.0</v>
      </c>
      <c r="C2155" s="1" t="s">
        <v>26</v>
      </c>
      <c r="D2155" s="1" t="s">
        <v>27</v>
      </c>
      <c r="E2155" s="1" t="s">
        <v>33</v>
      </c>
      <c r="F2155" s="1">
        <v>448.74</v>
      </c>
      <c r="G2155" s="1">
        <v>152.71</v>
      </c>
      <c r="H2155" s="1">
        <v>10.0</v>
      </c>
      <c r="I2155" s="1" t="s">
        <v>34</v>
      </c>
      <c r="J2155" s="1" t="s">
        <v>35</v>
      </c>
      <c r="K2155" s="1">
        <f t="shared" si="1"/>
        <v>2022</v>
      </c>
      <c r="L2155" s="1" t="str">
        <f t="shared" si="2"/>
        <v>Sep</v>
      </c>
      <c r="M2155" s="1" t="str">
        <f t="shared" si="3"/>
        <v>Profit</v>
      </c>
    </row>
    <row r="2156" ht="14.25" customHeight="1">
      <c r="A2156" s="1" t="s">
        <v>2190</v>
      </c>
      <c r="B2156" s="2">
        <v>44326.0</v>
      </c>
      <c r="C2156" s="1" t="s">
        <v>20</v>
      </c>
      <c r="D2156" s="1" t="s">
        <v>21</v>
      </c>
      <c r="E2156" s="1" t="s">
        <v>22</v>
      </c>
      <c r="F2156" s="1">
        <v>928.23</v>
      </c>
      <c r="G2156" s="1">
        <v>-15.38</v>
      </c>
      <c r="H2156" s="1">
        <v>9.0</v>
      </c>
      <c r="I2156" s="1" t="s">
        <v>34</v>
      </c>
      <c r="J2156" s="1" t="s">
        <v>35</v>
      </c>
      <c r="K2156" s="1">
        <f t="shared" si="1"/>
        <v>2021</v>
      </c>
      <c r="L2156" s="1" t="str">
        <f t="shared" si="2"/>
        <v>May</v>
      </c>
      <c r="M2156" s="1" t="str">
        <f t="shared" si="3"/>
        <v>Loss</v>
      </c>
    </row>
    <row r="2157" ht="14.25" customHeight="1">
      <c r="A2157" s="1" t="s">
        <v>2191</v>
      </c>
      <c r="B2157" s="2">
        <v>45078.0</v>
      </c>
      <c r="C2157" s="1" t="s">
        <v>26</v>
      </c>
      <c r="D2157" s="1" t="s">
        <v>21</v>
      </c>
      <c r="E2157" s="1" t="s">
        <v>37</v>
      </c>
      <c r="F2157" s="1">
        <v>178.75</v>
      </c>
      <c r="G2157" s="1">
        <v>-100.54</v>
      </c>
      <c r="H2157" s="1">
        <v>8.0</v>
      </c>
      <c r="I2157" s="1" t="s">
        <v>23</v>
      </c>
      <c r="J2157" s="1" t="s">
        <v>24</v>
      </c>
      <c r="K2157" s="1">
        <f t="shared" si="1"/>
        <v>2023</v>
      </c>
      <c r="L2157" s="1" t="str">
        <f t="shared" si="2"/>
        <v>Jun</v>
      </c>
      <c r="M2157" s="1" t="str">
        <f t="shared" si="3"/>
        <v>Loss</v>
      </c>
    </row>
    <row r="2158" ht="14.25" customHeight="1">
      <c r="A2158" s="1" t="s">
        <v>2192</v>
      </c>
      <c r="B2158" s="2">
        <v>45099.0</v>
      </c>
      <c r="C2158" s="1" t="s">
        <v>26</v>
      </c>
      <c r="D2158" s="1" t="s">
        <v>21</v>
      </c>
      <c r="E2158" s="1" t="s">
        <v>76</v>
      </c>
      <c r="F2158" s="1">
        <v>397.6</v>
      </c>
      <c r="G2158" s="1">
        <v>-103.36</v>
      </c>
      <c r="H2158" s="1">
        <v>8.0</v>
      </c>
      <c r="I2158" s="1" t="s">
        <v>34</v>
      </c>
      <c r="J2158" s="1" t="s">
        <v>24</v>
      </c>
      <c r="K2158" s="1">
        <f t="shared" si="1"/>
        <v>2023</v>
      </c>
      <c r="L2158" s="1" t="str">
        <f t="shared" si="2"/>
        <v>Jun</v>
      </c>
      <c r="M2158" s="1" t="str">
        <f t="shared" si="3"/>
        <v>Loss</v>
      </c>
    </row>
    <row r="2159" ht="14.25" customHeight="1">
      <c r="A2159" s="1" t="s">
        <v>2193</v>
      </c>
      <c r="B2159" s="2">
        <v>45269.0</v>
      </c>
      <c r="C2159" s="1" t="s">
        <v>26</v>
      </c>
      <c r="D2159" s="1" t="s">
        <v>15</v>
      </c>
      <c r="E2159" s="1" t="s">
        <v>31</v>
      </c>
      <c r="F2159" s="1">
        <v>917.95</v>
      </c>
      <c r="G2159" s="1">
        <v>116.76</v>
      </c>
      <c r="H2159" s="1">
        <v>7.0</v>
      </c>
      <c r="I2159" s="1" t="s">
        <v>34</v>
      </c>
      <c r="J2159" s="1" t="s">
        <v>18</v>
      </c>
      <c r="K2159" s="1">
        <f t="shared" si="1"/>
        <v>2023</v>
      </c>
      <c r="L2159" s="1" t="str">
        <f t="shared" si="2"/>
        <v>Dec</v>
      </c>
      <c r="M2159" s="1" t="str">
        <f t="shared" si="3"/>
        <v>Profit</v>
      </c>
    </row>
    <row r="2160" ht="14.25" customHeight="1">
      <c r="A2160" s="1" t="s">
        <v>2194</v>
      </c>
      <c r="B2160" s="2">
        <v>45236.0</v>
      </c>
      <c r="C2160" s="1" t="s">
        <v>26</v>
      </c>
      <c r="D2160" s="1" t="s">
        <v>15</v>
      </c>
      <c r="E2160" s="1" t="s">
        <v>16</v>
      </c>
      <c r="F2160" s="1">
        <v>606.75</v>
      </c>
      <c r="G2160" s="1">
        <v>-3.38</v>
      </c>
      <c r="H2160" s="1">
        <v>3.0</v>
      </c>
      <c r="I2160" s="1" t="s">
        <v>34</v>
      </c>
      <c r="J2160" s="1" t="s">
        <v>18</v>
      </c>
      <c r="K2160" s="1">
        <f t="shared" si="1"/>
        <v>2023</v>
      </c>
      <c r="L2160" s="1" t="str">
        <f t="shared" si="2"/>
        <v>Nov</v>
      </c>
      <c r="M2160" s="1" t="str">
        <f t="shared" si="3"/>
        <v>Loss</v>
      </c>
    </row>
    <row r="2161" ht="14.25" customHeight="1">
      <c r="A2161" s="1" t="s">
        <v>2195</v>
      </c>
      <c r="B2161" s="2">
        <v>44248.0</v>
      </c>
      <c r="C2161" s="1" t="s">
        <v>30</v>
      </c>
      <c r="D2161" s="1" t="s">
        <v>15</v>
      </c>
      <c r="E2161" s="1" t="s">
        <v>54</v>
      </c>
      <c r="F2161" s="1">
        <v>78.34</v>
      </c>
      <c r="G2161" s="1">
        <v>138.27</v>
      </c>
      <c r="H2161" s="1">
        <v>7.0</v>
      </c>
      <c r="I2161" s="1" t="s">
        <v>23</v>
      </c>
      <c r="J2161" s="1" t="s">
        <v>38</v>
      </c>
      <c r="K2161" s="1">
        <f t="shared" si="1"/>
        <v>2021</v>
      </c>
      <c r="L2161" s="1" t="str">
        <f t="shared" si="2"/>
        <v>Feb</v>
      </c>
      <c r="M2161" s="1" t="str">
        <f t="shared" si="3"/>
        <v>Profit</v>
      </c>
    </row>
    <row r="2162" ht="14.25" customHeight="1">
      <c r="A2162" s="1" t="s">
        <v>2196</v>
      </c>
      <c r="B2162" s="2">
        <v>44444.0</v>
      </c>
      <c r="C2162" s="1" t="s">
        <v>26</v>
      </c>
      <c r="D2162" s="1" t="s">
        <v>27</v>
      </c>
      <c r="E2162" s="1" t="s">
        <v>33</v>
      </c>
      <c r="F2162" s="1">
        <v>350.3</v>
      </c>
      <c r="G2162" s="1">
        <v>-3.33</v>
      </c>
      <c r="H2162" s="1">
        <v>6.0</v>
      </c>
      <c r="I2162" s="1" t="s">
        <v>34</v>
      </c>
      <c r="J2162" s="1" t="s">
        <v>24</v>
      </c>
      <c r="K2162" s="1">
        <f t="shared" si="1"/>
        <v>2021</v>
      </c>
      <c r="L2162" s="1" t="str">
        <f t="shared" si="2"/>
        <v>Sep</v>
      </c>
      <c r="M2162" s="1" t="str">
        <f t="shared" si="3"/>
        <v>Loss</v>
      </c>
    </row>
    <row r="2163" ht="14.25" customHeight="1">
      <c r="A2163" s="1" t="s">
        <v>2197</v>
      </c>
      <c r="B2163" s="2">
        <v>44795.0</v>
      </c>
      <c r="C2163" s="1" t="s">
        <v>30</v>
      </c>
      <c r="D2163" s="1" t="s">
        <v>15</v>
      </c>
      <c r="E2163" s="1" t="s">
        <v>16</v>
      </c>
      <c r="F2163" s="1">
        <v>644.43</v>
      </c>
      <c r="G2163" s="1">
        <v>297.76</v>
      </c>
      <c r="H2163" s="1">
        <v>1.0</v>
      </c>
      <c r="I2163" s="1" t="s">
        <v>34</v>
      </c>
      <c r="J2163" s="1" t="s">
        <v>38</v>
      </c>
      <c r="K2163" s="1">
        <f t="shared" si="1"/>
        <v>2022</v>
      </c>
      <c r="L2163" s="1" t="str">
        <f t="shared" si="2"/>
        <v>Aug</v>
      </c>
      <c r="M2163" s="1" t="str">
        <f t="shared" si="3"/>
        <v>Profit</v>
      </c>
    </row>
    <row r="2164" ht="14.25" customHeight="1">
      <c r="A2164" s="1" t="s">
        <v>2198</v>
      </c>
      <c r="B2164" s="2">
        <v>44410.0</v>
      </c>
      <c r="C2164" s="1" t="s">
        <v>30</v>
      </c>
      <c r="D2164" s="1" t="s">
        <v>15</v>
      </c>
      <c r="E2164" s="1" t="s">
        <v>54</v>
      </c>
      <c r="F2164" s="1">
        <v>435.8</v>
      </c>
      <c r="G2164" s="1">
        <v>125.86</v>
      </c>
      <c r="H2164" s="1">
        <v>6.0</v>
      </c>
      <c r="I2164" s="1" t="s">
        <v>17</v>
      </c>
      <c r="J2164" s="1" t="s">
        <v>35</v>
      </c>
      <c r="K2164" s="1">
        <f t="shared" si="1"/>
        <v>2021</v>
      </c>
      <c r="L2164" s="1" t="str">
        <f t="shared" si="2"/>
        <v>Aug</v>
      </c>
      <c r="M2164" s="1" t="str">
        <f t="shared" si="3"/>
        <v>Profit</v>
      </c>
    </row>
    <row r="2165" ht="14.25" customHeight="1">
      <c r="A2165" s="1" t="s">
        <v>2199</v>
      </c>
      <c r="B2165" s="2">
        <v>45290.0</v>
      </c>
      <c r="C2165" s="1" t="s">
        <v>14</v>
      </c>
      <c r="D2165" s="1" t="s">
        <v>15</v>
      </c>
      <c r="E2165" s="1" t="s">
        <v>31</v>
      </c>
      <c r="F2165" s="1">
        <v>489.11</v>
      </c>
      <c r="G2165" s="1">
        <v>42.78</v>
      </c>
      <c r="H2165" s="1">
        <v>9.0</v>
      </c>
      <c r="I2165" s="1" t="s">
        <v>34</v>
      </c>
      <c r="J2165" s="1" t="s">
        <v>18</v>
      </c>
      <c r="K2165" s="1">
        <f t="shared" si="1"/>
        <v>2023</v>
      </c>
      <c r="L2165" s="1" t="str">
        <f t="shared" si="2"/>
        <v>Dec</v>
      </c>
      <c r="M2165" s="1" t="str">
        <f t="shared" si="3"/>
        <v>Profit</v>
      </c>
    </row>
    <row r="2166" ht="14.25" customHeight="1">
      <c r="A2166" s="1" t="s">
        <v>2200</v>
      </c>
      <c r="B2166" s="2">
        <v>45242.0</v>
      </c>
      <c r="C2166" s="1" t="s">
        <v>14</v>
      </c>
      <c r="D2166" s="1" t="s">
        <v>27</v>
      </c>
      <c r="E2166" s="1" t="s">
        <v>28</v>
      </c>
      <c r="F2166" s="1">
        <v>297.19</v>
      </c>
      <c r="G2166" s="1">
        <v>211.98</v>
      </c>
      <c r="H2166" s="1">
        <v>4.0</v>
      </c>
      <c r="I2166" s="1" t="s">
        <v>23</v>
      </c>
      <c r="J2166" s="1" t="s">
        <v>24</v>
      </c>
      <c r="K2166" s="1">
        <f t="shared" si="1"/>
        <v>2023</v>
      </c>
      <c r="L2166" s="1" t="str">
        <f t="shared" si="2"/>
        <v>Nov</v>
      </c>
      <c r="M2166" s="1" t="str">
        <f t="shared" si="3"/>
        <v>Profit</v>
      </c>
    </row>
    <row r="2167" ht="14.25" customHeight="1">
      <c r="A2167" s="1" t="s">
        <v>2201</v>
      </c>
      <c r="B2167" s="2">
        <v>44452.0</v>
      </c>
      <c r="C2167" s="1" t="s">
        <v>14</v>
      </c>
      <c r="D2167" s="1" t="s">
        <v>15</v>
      </c>
      <c r="E2167" s="1" t="s">
        <v>16</v>
      </c>
      <c r="F2167" s="1">
        <v>646.63</v>
      </c>
      <c r="G2167" s="1">
        <v>-83.69</v>
      </c>
      <c r="H2167" s="1">
        <v>10.0</v>
      </c>
      <c r="I2167" s="1" t="s">
        <v>23</v>
      </c>
      <c r="J2167" s="1" t="s">
        <v>24</v>
      </c>
      <c r="K2167" s="1">
        <f t="shared" si="1"/>
        <v>2021</v>
      </c>
      <c r="L2167" s="1" t="str">
        <f t="shared" si="2"/>
        <v>Sep</v>
      </c>
      <c r="M2167" s="1" t="str">
        <f t="shared" si="3"/>
        <v>Loss</v>
      </c>
    </row>
    <row r="2168" ht="14.25" customHeight="1">
      <c r="A2168" s="1" t="s">
        <v>2202</v>
      </c>
      <c r="B2168" s="2">
        <v>44448.0</v>
      </c>
      <c r="C2168" s="1" t="s">
        <v>26</v>
      </c>
      <c r="D2168" s="1" t="s">
        <v>21</v>
      </c>
      <c r="E2168" s="1" t="s">
        <v>76</v>
      </c>
      <c r="F2168" s="1">
        <v>861.32</v>
      </c>
      <c r="G2168" s="1">
        <v>-37.2</v>
      </c>
      <c r="H2168" s="1">
        <v>9.0</v>
      </c>
      <c r="I2168" s="1" t="s">
        <v>34</v>
      </c>
      <c r="J2168" s="1" t="s">
        <v>38</v>
      </c>
      <c r="K2168" s="1">
        <f t="shared" si="1"/>
        <v>2021</v>
      </c>
      <c r="L2168" s="1" t="str">
        <f t="shared" si="2"/>
        <v>Sep</v>
      </c>
      <c r="M2168" s="1" t="str">
        <f t="shared" si="3"/>
        <v>Loss</v>
      </c>
    </row>
    <row r="2169" ht="14.25" customHeight="1">
      <c r="A2169" s="1" t="s">
        <v>2203</v>
      </c>
      <c r="B2169" s="2">
        <v>44871.0</v>
      </c>
      <c r="C2169" s="1" t="s">
        <v>14</v>
      </c>
      <c r="D2169" s="1" t="s">
        <v>21</v>
      </c>
      <c r="E2169" s="1" t="s">
        <v>76</v>
      </c>
      <c r="F2169" s="1">
        <v>374.31</v>
      </c>
      <c r="G2169" s="1">
        <v>-118.51</v>
      </c>
      <c r="H2169" s="1">
        <v>10.0</v>
      </c>
      <c r="I2169" s="1" t="s">
        <v>23</v>
      </c>
      <c r="J2169" s="1" t="s">
        <v>35</v>
      </c>
      <c r="K2169" s="1">
        <f t="shared" si="1"/>
        <v>2022</v>
      </c>
      <c r="L2169" s="1" t="str">
        <f t="shared" si="2"/>
        <v>Nov</v>
      </c>
      <c r="M2169" s="1" t="str">
        <f t="shared" si="3"/>
        <v>Loss</v>
      </c>
    </row>
    <row r="2170" ht="14.25" customHeight="1">
      <c r="A2170" s="1" t="s">
        <v>2204</v>
      </c>
      <c r="B2170" s="2">
        <v>44471.0</v>
      </c>
      <c r="C2170" s="1" t="s">
        <v>26</v>
      </c>
      <c r="D2170" s="1" t="s">
        <v>27</v>
      </c>
      <c r="E2170" s="1" t="s">
        <v>33</v>
      </c>
      <c r="F2170" s="1">
        <v>895.31</v>
      </c>
      <c r="G2170" s="1">
        <v>-134.12</v>
      </c>
      <c r="H2170" s="1">
        <v>4.0</v>
      </c>
      <c r="I2170" s="1" t="s">
        <v>17</v>
      </c>
      <c r="J2170" s="1" t="s">
        <v>24</v>
      </c>
      <c r="K2170" s="1">
        <f t="shared" si="1"/>
        <v>2021</v>
      </c>
      <c r="L2170" s="1" t="str">
        <f t="shared" si="2"/>
        <v>Oct</v>
      </c>
      <c r="M2170" s="1" t="str">
        <f t="shared" si="3"/>
        <v>Loss</v>
      </c>
    </row>
    <row r="2171" ht="14.25" customHeight="1">
      <c r="A2171" s="1" t="s">
        <v>2205</v>
      </c>
      <c r="B2171" s="2">
        <v>44785.0</v>
      </c>
      <c r="C2171" s="1" t="s">
        <v>20</v>
      </c>
      <c r="D2171" s="1" t="s">
        <v>21</v>
      </c>
      <c r="E2171" s="1" t="s">
        <v>76</v>
      </c>
      <c r="F2171" s="1">
        <v>494.44</v>
      </c>
      <c r="G2171" s="1">
        <v>-147.13</v>
      </c>
      <c r="H2171" s="1">
        <v>1.0</v>
      </c>
      <c r="I2171" s="1" t="s">
        <v>17</v>
      </c>
      <c r="J2171" s="1" t="s">
        <v>18</v>
      </c>
      <c r="K2171" s="1">
        <f t="shared" si="1"/>
        <v>2022</v>
      </c>
      <c r="L2171" s="1" t="str">
        <f t="shared" si="2"/>
        <v>Aug</v>
      </c>
      <c r="M2171" s="1" t="str">
        <f t="shared" si="3"/>
        <v>Loss</v>
      </c>
    </row>
    <row r="2172" ht="14.25" customHeight="1">
      <c r="A2172" s="1" t="s">
        <v>2206</v>
      </c>
      <c r="B2172" s="2">
        <v>44987.0</v>
      </c>
      <c r="C2172" s="1" t="s">
        <v>20</v>
      </c>
      <c r="D2172" s="1" t="s">
        <v>15</v>
      </c>
      <c r="E2172" s="1" t="s">
        <v>54</v>
      </c>
      <c r="F2172" s="1">
        <v>282.57</v>
      </c>
      <c r="G2172" s="1">
        <v>112.45</v>
      </c>
      <c r="H2172" s="1">
        <v>4.0</v>
      </c>
      <c r="I2172" s="1" t="s">
        <v>23</v>
      </c>
      <c r="J2172" s="1" t="s">
        <v>18</v>
      </c>
      <c r="K2172" s="1">
        <f t="shared" si="1"/>
        <v>2023</v>
      </c>
      <c r="L2172" s="1" t="str">
        <f t="shared" si="2"/>
        <v>Mar</v>
      </c>
      <c r="M2172" s="1" t="str">
        <f t="shared" si="3"/>
        <v>Profit</v>
      </c>
    </row>
    <row r="2173" ht="14.25" customHeight="1">
      <c r="A2173" s="1" t="s">
        <v>2207</v>
      </c>
      <c r="B2173" s="2">
        <v>45218.0</v>
      </c>
      <c r="C2173" s="1" t="s">
        <v>14</v>
      </c>
      <c r="D2173" s="1" t="s">
        <v>21</v>
      </c>
      <c r="E2173" s="1" t="s">
        <v>37</v>
      </c>
      <c r="F2173" s="1">
        <v>350.48</v>
      </c>
      <c r="G2173" s="1">
        <v>224.06</v>
      </c>
      <c r="H2173" s="1">
        <v>5.0</v>
      </c>
      <c r="I2173" s="1" t="s">
        <v>17</v>
      </c>
      <c r="J2173" s="1" t="s">
        <v>24</v>
      </c>
      <c r="K2173" s="1">
        <f t="shared" si="1"/>
        <v>2023</v>
      </c>
      <c r="L2173" s="1" t="str">
        <f t="shared" si="2"/>
        <v>Oct</v>
      </c>
      <c r="M2173" s="1" t="str">
        <f t="shared" si="3"/>
        <v>Profit</v>
      </c>
    </row>
    <row r="2174" ht="14.25" customHeight="1">
      <c r="A2174" s="1" t="s">
        <v>2208</v>
      </c>
      <c r="B2174" s="2">
        <v>45059.0</v>
      </c>
      <c r="C2174" s="1" t="s">
        <v>26</v>
      </c>
      <c r="D2174" s="1" t="s">
        <v>27</v>
      </c>
      <c r="E2174" s="1" t="s">
        <v>33</v>
      </c>
      <c r="F2174" s="1">
        <v>815.4</v>
      </c>
      <c r="G2174" s="1">
        <v>221.15</v>
      </c>
      <c r="H2174" s="1">
        <v>4.0</v>
      </c>
      <c r="I2174" s="1" t="s">
        <v>17</v>
      </c>
      <c r="J2174" s="1" t="s">
        <v>35</v>
      </c>
      <c r="K2174" s="1">
        <f t="shared" si="1"/>
        <v>2023</v>
      </c>
      <c r="L2174" s="1" t="str">
        <f t="shared" si="2"/>
        <v>May</v>
      </c>
      <c r="M2174" s="1" t="str">
        <f t="shared" si="3"/>
        <v>Profit</v>
      </c>
    </row>
    <row r="2175" ht="14.25" customHeight="1">
      <c r="A2175" s="1" t="s">
        <v>2209</v>
      </c>
      <c r="B2175" s="2">
        <v>44408.0</v>
      </c>
      <c r="C2175" s="1" t="s">
        <v>20</v>
      </c>
      <c r="D2175" s="1" t="s">
        <v>15</v>
      </c>
      <c r="E2175" s="1" t="s">
        <v>54</v>
      </c>
      <c r="F2175" s="1">
        <v>632.36</v>
      </c>
      <c r="G2175" s="1">
        <v>21.69</v>
      </c>
      <c r="H2175" s="1">
        <v>4.0</v>
      </c>
      <c r="I2175" s="1" t="s">
        <v>34</v>
      </c>
      <c r="J2175" s="1" t="s">
        <v>35</v>
      </c>
      <c r="K2175" s="1">
        <f t="shared" si="1"/>
        <v>2021</v>
      </c>
      <c r="L2175" s="1" t="str">
        <f t="shared" si="2"/>
        <v>Jul</v>
      </c>
      <c r="M2175" s="1" t="str">
        <f t="shared" si="3"/>
        <v>Profit</v>
      </c>
    </row>
    <row r="2176" ht="14.25" customHeight="1">
      <c r="A2176" s="1" t="s">
        <v>2210</v>
      </c>
      <c r="B2176" s="2">
        <v>44816.0</v>
      </c>
      <c r="C2176" s="1" t="s">
        <v>26</v>
      </c>
      <c r="D2176" s="1" t="s">
        <v>27</v>
      </c>
      <c r="E2176" s="1" t="s">
        <v>33</v>
      </c>
      <c r="F2176" s="1">
        <v>111.31</v>
      </c>
      <c r="G2176" s="1">
        <v>179.99</v>
      </c>
      <c r="H2176" s="1">
        <v>5.0</v>
      </c>
      <c r="I2176" s="1" t="s">
        <v>23</v>
      </c>
      <c r="J2176" s="1" t="s">
        <v>18</v>
      </c>
      <c r="K2176" s="1">
        <f t="shared" si="1"/>
        <v>2022</v>
      </c>
      <c r="L2176" s="1" t="str">
        <f t="shared" si="2"/>
        <v>Sep</v>
      </c>
      <c r="M2176" s="1" t="str">
        <f t="shared" si="3"/>
        <v>Profit</v>
      </c>
    </row>
    <row r="2177" ht="14.25" customHeight="1">
      <c r="A2177" s="1" t="s">
        <v>2211</v>
      </c>
      <c r="B2177" s="2">
        <v>44373.0</v>
      </c>
      <c r="C2177" s="1" t="s">
        <v>20</v>
      </c>
      <c r="D2177" s="1" t="s">
        <v>27</v>
      </c>
      <c r="E2177" s="1" t="s">
        <v>40</v>
      </c>
      <c r="F2177" s="1">
        <v>908.07</v>
      </c>
      <c r="G2177" s="1">
        <v>-97.08</v>
      </c>
      <c r="H2177" s="1">
        <v>10.0</v>
      </c>
      <c r="I2177" s="1" t="s">
        <v>34</v>
      </c>
      <c r="J2177" s="1" t="s">
        <v>18</v>
      </c>
      <c r="K2177" s="1">
        <f t="shared" si="1"/>
        <v>2021</v>
      </c>
      <c r="L2177" s="1" t="str">
        <f t="shared" si="2"/>
        <v>Jun</v>
      </c>
      <c r="M2177" s="1" t="str">
        <f t="shared" si="3"/>
        <v>Loss</v>
      </c>
    </row>
    <row r="2178" ht="14.25" customHeight="1">
      <c r="A2178" s="1" t="s">
        <v>2212</v>
      </c>
      <c r="B2178" s="2">
        <v>44882.0</v>
      </c>
      <c r="C2178" s="1" t="s">
        <v>26</v>
      </c>
      <c r="D2178" s="1" t="s">
        <v>21</v>
      </c>
      <c r="E2178" s="1" t="s">
        <v>22</v>
      </c>
      <c r="F2178" s="1">
        <v>509.83</v>
      </c>
      <c r="G2178" s="1">
        <v>244.54</v>
      </c>
      <c r="H2178" s="1">
        <v>8.0</v>
      </c>
      <c r="I2178" s="1" t="s">
        <v>34</v>
      </c>
      <c r="J2178" s="1" t="s">
        <v>24</v>
      </c>
      <c r="K2178" s="1">
        <f t="shared" si="1"/>
        <v>2022</v>
      </c>
      <c r="L2178" s="1" t="str">
        <f t="shared" si="2"/>
        <v>Nov</v>
      </c>
      <c r="M2178" s="1" t="str">
        <f t="shared" si="3"/>
        <v>Profit</v>
      </c>
    </row>
    <row r="2179" ht="14.25" customHeight="1">
      <c r="A2179" s="1" t="s">
        <v>2213</v>
      </c>
      <c r="B2179" s="2">
        <v>44919.0</v>
      </c>
      <c r="C2179" s="1" t="s">
        <v>20</v>
      </c>
      <c r="D2179" s="1" t="s">
        <v>15</v>
      </c>
      <c r="E2179" s="1" t="s">
        <v>31</v>
      </c>
      <c r="F2179" s="1">
        <v>301.69</v>
      </c>
      <c r="G2179" s="1">
        <v>14.34</v>
      </c>
      <c r="H2179" s="1">
        <v>7.0</v>
      </c>
      <c r="I2179" s="1" t="s">
        <v>17</v>
      </c>
      <c r="J2179" s="1" t="s">
        <v>24</v>
      </c>
      <c r="K2179" s="1">
        <f t="shared" si="1"/>
        <v>2022</v>
      </c>
      <c r="L2179" s="1" t="str">
        <f t="shared" si="2"/>
        <v>Dec</v>
      </c>
      <c r="M2179" s="1" t="str">
        <f t="shared" si="3"/>
        <v>Profit</v>
      </c>
    </row>
    <row r="2180" ht="14.25" customHeight="1">
      <c r="A2180" s="1" t="s">
        <v>2214</v>
      </c>
      <c r="B2180" s="2">
        <v>44270.0</v>
      </c>
      <c r="C2180" s="1" t="s">
        <v>14</v>
      </c>
      <c r="D2180" s="1" t="s">
        <v>27</v>
      </c>
      <c r="E2180" s="1" t="s">
        <v>33</v>
      </c>
      <c r="F2180" s="1">
        <v>515.11</v>
      </c>
      <c r="G2180" s="1">
        <v>250.53</v>
      </c>
      <c r="H2180" s="1">
        <v>9.0</v>
      </c>
      <c r="I2180" s="1" t="s">
        <v>34</v>
      </c>
      <c r="J2180" s="1" t="s">
        <v>24</v>
      </c>
      <c r="K2180" s="1">
        <f t="shared" si="1"/>
        <v>2021</v>
      </c>
      <c r="L2180" s="1" t="str">
        <f t="shared" si="2"/>
        <v>Mar</v>
      </c>
      <c r="M2180" s="1" t="str">
        <f t="shared" si="3"/>
        <v>Profit</v>
      </c>
    </row>
    <row r="2181" ht="14.25" customHeight="1">
      <c r="A2181" s="1" t="s">
        <v>2215</v>
      </c>
      <c r="B2181" s="2">
        <v>44223.0</v>
      </c>
      <c r="C2181" s="1" t="s">
        <v>20</v>
      </c>
      <c r="D2181" s="1" t="s">
        <v>27</v>
      </c>
      <c r="E2181" s="1" t="s">
        <v>28</v>
      </c>
      <c r="F2181" s="1">
        <v>660.36</v>
      </c>
      <c r="G2181" s="1">
        <v>249.82</v>
      </c>
      <c r="H2181" s="1">
        <v>10.0</v>
      </c>
      <c r="I2181" s="1" t="s">
        <v>23</v>
      </c>
      <c r="J2181" s="1" t="s">
        <v>35</v>
      </c>
      <c r="K2181" s="1">
        <f t="shared" si="1"/>
        <v>2021</v>
      </c>
      <c r="L2181" s="1" t="str">
        <f t="shared" si="2"/>
        <v>Jan</v>
      </c>
      <c r="M2181" s="1" t="str">
        <f t="shared" si="3"/>
        <v>Profit</v>
      </c>
    </row>
    <row r="2182" ht="14.25" customHeight="1">
      <c r="A2182" s="1" t="s">
        <v>2216</v>
      </c>
      <c r="B2182" s="2">
        <v>44780.0</v>
      </c>
      <c r="C2182" s="1" t="s">
        <v>30</v>
      </c>
      <c r="D2182" s="1" t="s">
        <v>15</v>
      </c>
      <c r="E2182" s="1" t="s">
        <v>31</v>
      </c>
      <c r="F2182" s="1">
        <v>420.84</v>
      </c>
      <c r="G2182" s="1">
        <v>-93.22</v>
      </c>
      <c r="H2182" s="1">
        <v>3.0</v>
      </c>
      <c r="I2182" s="1" t="s">
        <v>23</v>
      </c>
      <c r="J2182" s="1" t="s">
        <v>38</v>
      </c>
      <c r="K2182" s="1">
        <f t="shared" si="1"/>
        <v>2022</v>
      </c>
      <c r="L2182" s="1" t="str">
        <f t="shared" si="2"/>
        <v>Aug</v>
      </c>
      <c r="M2182" s="1" t="str">
        <f t="shared" si="3"/>
        <v>Loss</v>
      </c>
    </row>
    <row r="2183" ht="14.25" customHeight="1">
      <c r="A2183" s="1" t="s">
        <v>2217</v>
      </c>
      <c r="B2183" s="2">
        <v>44574.0</v>
      </c>
      <c r="C2183" s="1" t="s">
        <v>30</v>
      </c>
      <c r="D2183" s="1" t="s">
        <v>15</v>
      </c>
      <c r="E2183" s="1" t="s">
        <v>16</v>
      </c>
      <c r="F2183" s="1">
        <v>833.83</v>
      </c>
      <c r="G2183" s="1">
        <v>-36.44</v>
      </c>
      <c r="H2183" s="1">
        <v>9.0</v>
      </c>
      <c r="I2183" s="1" t="s">
        <v>17</v>
      </c>
      <c r="J2183" s="1" t="s">
        <v>18</v>
      </c>
      <c r="K2183" s="1">
        <f t="shared" si="1"/>
        <v>2022</v>
      </c>
      <c r="L2183" s="1" t="str">
        <f t="shared" si="2"/>
        <v>Jan</v>
      </c>
      <c r="M2183" s="1" t="str">
        <f t="shared" si="3"/>
        <v>Loss</v>
      </c>
    </row>
    <row r="2184" ht="14.25" customHeight="1">
      <c r="A2184" s="1" t="s">
        <v>2218</v>
      </c>
      <c r="B2184" s="2">
        <v>44424.0</v>
      </c>
      <c r="C2184" s="1" t="s">
        <v>30</v>
      </c>
      <c r="D2184" s="1" t="s">
        <v>15</v>
      </c>
      <c r="E2184" s="1" t="s">
        <v>16</v>
      </c>
      <c r="F2184" s="1">
        <v>92.22</v>
      </c>
      <c r="G2184" s="1">
        <v>-67.34</v>
      </c>
      <c r="H2184" s="1">
        <v>5.0</v>
      </c>
      <c r="I2184" s="1" t="s">
        <v>23</v>
      </c>
      <c r="J2184" s="1" t="s">
        <v>35</v>
      </c>
      <c r="K2184" s="1">
        <f t="shared" si="1"/>
        <v>2021</v>
      </c>
      <c r="L2184" s="1" t="str">
        <f t="shared" si="2"/>
        <v>Aug</v>
      </c>
      <c r="M2184" s="1" t="str">
        <f t="shared" si="3"/>
        <v>Loss</v>
      </c>
    </row>
    <row r="2185" ht="14.25" customHeight="1">
      <c r="A2185" s="1" t="s">
        <v>2219</v>
      </c>
      <c r="B2185" s="2">
        <v>44720.0</v>
      </c>
      <c r="C2185" s="1" t="s">
        <v>26</v>
      </c>
      <c r="D2185" s="1" t="s">
        <v>15</v>
      </c>
      <c r="E2185" s="1" t="s">
        <v>54</v>
      </c>
      <c r="F2185" s="1">
        <v>827.93</v>
      </c>
      <c r="G2185" s="1">
        <v>97.14</v>
      </c>
      <c r="H2185" s="1">
        <v>1.0</v>
      </c>
      <c r="I2185" s="1" t="s">
        <v>34</v>
      </c>
      <c r="J2185" s="1" t="s">
        <v>35</v>
      </c>
      <c r="K2185" s="1">
        <f t="shared" si="1"/>
        <v>2022</v>
      </c>
      <c r="L2185" s="1" t="str">
        <f t="shared" si="2"/>
        <v>Jun</v>
      </c>
      <c r="M2185" s="1" t="str">
        <f t="shared" si="3"/>
        <v>Profit</v>
      </c>
    </row>
    <row r="2186" ht="14.25" customHeight="1">
      <c r="A2186" s="1" t="s">
        <v>2220</v>
      </c>
      <c r="B2186" s="2">
        <v>44730.0</v>
      </c>
      <c r="C2186" s="1" t="s">
        <v>14</v>
      </c>
      <c r="D2186" s="1" t="s">
        <v>27</v>
      </c>
      <c r="E2186" s="1" t="s">
        <v>33</v>
      </c>
      <c r="F2186" s="1">
        <v>727.41</v>
      </c>
      <c r="G2186" s="1">
        <v>286.93</v>
      </c>
      <c r="H2186" s="1">
        <v>6.0</v>
      </c>
      <c r="I2186" s="1" t="s">
        <v>23</v>
      </c>
      <c r="J2186" s="1" t="s">
        <v>18</v>
      </c>
      <c r="K2186" s="1">
        <f t="shared" si="1"/>
        <v>2022</v>
      </c>
      <c r="L2186" s="1" t="str">
        <f t="shared" si="2"/>
        <v>Jun</v>
      </c>
      <c r="M2186" s="1" t="str">
        <f t="shared" si="3"/>
        <v>Profit</v>
      </c>
    </row>
    <row r="2187" ht="14.25" customHeight="1">
      <c r="A2187" s="1" t="s">
        <v>2221</v>
      </c>
      <c r="B2187" s="2">
        <v>44987.0</v>
      </c>
      <c r="C2187" s="1" t="s">
        <v>20</v>
      </c>
      <c r="D2187" s="1" t="s">
        <v>27</v>
      </c>
      <c r="E2187" s="1" t="s">
        <v>33</v>
      </c>
      <c r="F2187" s="1">
        <v>878.34</v>
      </c>
      <c r="G2187" s="1">
        <v>-124.63</v>
      </c>
      <c r="H2187" s="1">
        <v>10.0</v>
      </c>
      <c r="I2187" s="1" t="s">
        <v>17</v>
      </c>
      <c r="J2187" s="1" t="s">
        <v>38</v>
      </c>
      <c r="K2187" s="1">
        <f t="shared" si="1"/>
        <v>2023</v>
      </c>
      <c r="L2187" s="1" t="str">
        <f t="shared" si="2"/>
        <v>Mar</v>
      </c>
      <c r="M2187" s="1" t="str">
        <f t="shared" si="3"/>
        <v>Loss</v>
      </c>
    </row>
    <row r="2188" ht="14.25" customHeight="1">
      <c r="A2188" s="1" t="s">
        <v>2222</v>
      </c>
      <c r="B2188" s="2">
        <v>44841.0</v>
      </c>
      <c r="C2188" s="1" t="s">
        <v>14</v>
      </c>
      <c r="D2188" s="1" t="s">
        <v>27</v>
      </c>
      <c r="E2188" s="1" t="s">
        <v>28</v>
      </c>
      <c r="F2188" s="1">
        <v>97.63</v>
      </c>
      <c r="G2188" s="1">
        <v>230.93</v>
      </c>
      <c r="H2188" s="1">
        <v>9.0</v>
      </c>
      <c r="I2188" s="1" t="s">
        <v>17</v>
      </c>
      <c r="J2188" s="1" t="s">
        <v>38</v>
      </c>
      <c r="K2188" s="1">
        <f t="shared" si="1"/>
        <v>2022</v>
      </c>
      <c r="L2188" s="1" t="str">
        <f t="shared" si="2"/>
        <v>Oct</v>
      </c>
      <c r="M2188" s="1" t="str">
        <f t="shared" si="3"/>
        <v>Profit</v>
      </c>
    </row>
    <row r="2189" ht="14.25" customHeight="1">
      <c r="A2189" s="1" t="s">
        <v>2223</v>
      </c>
      <c r="B2189" s="2">
        <v>44664.0</v>
      </c>
      <c r="C2189" s="1" t="s">
        <v>20</v>
      </c>
      <c r="D2189" s="1" t="s">
        <v>21</v>
      </c>
      <c r="E2189" s="1" t="s">
        <v>22</v>
      </c>
      <c r="F2189" s="1">
        <v>727.28</v>
      </c>
      <c r="G2189" s="1">
        <v>77.27</v>
      </c>
      <c r="H2189" s="1">
        <v>1.0</v>
      </c>
      <c r="I2189" s="1" t="s">
        <v>34</v>
      </c>
      <c r="J2189" s="1" t="s">
        <v>35</v>
      </c>
      <c r="K2189" s="1">
        <f t="shared" si="1"/>
        <v>2022</v>
      </c>
      <c r="L2189" s="1" t="str">
        <f t="shared" si="2"/>
        <v>Apr</v>
      </c>
      <c r="M2189" s="1" t="str">
        <f t="shared" si="3"/>
        <v>Profit</v>
      </c>
    </row>
    <row r="2190" ht="14.25" customHeight="1">
      <c r="A2190" s="1" t="s">
        <v>2224</v>
      </c>
      <c r="B2190" s="2">
        <v>44569.0</v>
      </c>
      <c r="C2190" s="1" t="s">
        <v>20</v>
      </c>
      <c r="D2190" s="1" t="s">
        <v>21</v>
      </c>
      <c r="E2190" s="1" t="s">
        <v>22</v>
      </c>
      <c r="F2190" s="1">
        <v>924.38</v>
      </c>
      <c r="G2190" s="1">
        <v>-6.51</v>
      </c>
      <c r="H2190" s="1">
        <v>7.0</v>
      </c>
      <c r="I2190" s="1" t="s">
        <v>23</v>
      </c>
      <c r="J2190" s="1" t="s">
        <v>18</v>
      </c>
      <c r="K2190" s="1">
        <f t="shared" si="1"/>
        <v>2022</v>
      </c>
      <c r="L2190" s="1" t="str">
        <f t="shared" si="2"/>
        <v>Jan</v>
      </c>
      <c r="M2190" s="1" t="str">
        <f t="shared" si="3"/>
        <v>Loss</v>
      </c>
    </row>
    <row r="2191" ht="14.25" customHeight="1">
      <c r="A2191" s="1" t="s">
        <v>2225</v>
      </c>
      <c r="B2191" s="2">
        <v>44344.0</v>
      </c>
      <c r="C2191" s="1" t="s">
        <v>20</v>
      </c>
      <c r="D2191" s="1" t="s">
        <v>27</v>
      </c>
      <c r="E2191" s="1" t="s">
        <v>33</v>
      </c>
      <c r="F2191" s="1">
        <v>412.97</v>
      </c>
      <c r="G2191" s="1">
        <v>161.56</v>
      </c>
      <c r="H2191" s="1">
        <v>10.0</v>
      </c>
      <c r="I2191" s="1" t="s">
        <v>23</v>
      </c>
      <c r="J2191" s="1" t="s">
        <v>35</v>
      </c>
      <c r="K2191" s="1">
        <f t="shared" si="1"/>
        <v>2021</v>
      </c>
      <c r="L2191" s="1" t="str">
        <f t="shared" si="2"/>
        <v>May</v>
      </c>
      <c r="M2191" s="1" t="str">
        <f t="shared" si="3"/>
        <v>Profit</v>
      </c>
    </row>
    <row r="2192" ht="14.25" customHeight="1">
      <c r="A2192" s="1" t="s">
        <v>2226</v>
      </c>
      <c r="B2192" s="2">
        <v>45157.0</v>
      </c>
      <c r="C2192" s="1" t="s">
        <v>20</v>
      </c>
      <c r="D2192" s="1" t="s">
        <v>15</v>
      </c>
      <c r="E2192" s="1" t="s">
        <v>54</v>
      </c>
      <c r="F2192" s="1">
        <v>119.85</v>
      </c>
      <c r="G2192" s="1">
        <v>70.44</v>
      </c>
      <c r="H2192" s="1">
        <v>6.0</v>
      </c>
      <c r="I2192" s="1" t="s">
        <v>23</v>
      </c>
      <c r="J2192" s="1" t="s">
        <v>35</v>
      </c>
      <c r="K2192" s="1">
        <f t="shared" si="1"/>
        <v>2023</v>
      </c>
      <c r="L2192" s="1" t="str">
        <f t="shared" si="2"/>
        <v>Aug</v>
      </c>
      <c r="M2192" s="1" t="str">
        <f t="shared" si="3"/>
        <v>Profit</v>
      </c>
    </row>
    <row r="2193" ht="14.25" customHeight="1">
      <c r="A2193" s="1" t="s">
        <v>2227</v>
      </c>
      <c r="B2193" s="2">
        <v>45097.0</v>
      </c>
      <c r="C2193" s="1" t="s">
        <v>20</v>
      </c>
      <c r="D2193" s="1" t="s">
        <v>27</v>
      </c>
      <c r="E2193" s="1" t="s">
        <v>33</v>
      </c>
      <c r="F2193" s="1">
        <v>48.99</v>
      </c>
      <c r="G2193" s="1">
        <v>-23.76</v>
      </c>
      <c r="H2193" s="1">
        <v>1.0</v>
      </c>
      <c r="I2193" s="1" t="s">
        <v>23</v>
      </c>
      <c r="J2193" s="1" t="s">
        <v>24</v>
      </c>
      <c r="K2193" s="1">
        <f t="shared" si="1"/>
        <v>2023</v>
      </c>
      <c r="L2193" s="1" t="str">
        <f t="shared" si="2"/>
        <v>Jun</v>
      </c>
      <c r="M2193" s="1" t="str">
        <f t="shared" si="3"/>
        <v>Loss</v>
      </c>
    </row>
    <row r="2194" ht="14.25" customHeight="1">
      <c r="A2194" s="1" t="s">
        <v>2228</v>
      </c>
      <c r="B2194" s="2">
        <v>44898.0</v>
      </c>
      <c r="C2194" s="1" t="s">
        <v>14</v>
      </c>
      <c r="D2194" s="1" t="s">
        <v>27</v>
      </c>
      <c r="E2194" s="1" t="s">
        <v>33</v>
      </c>
      <c r="F2194" s="1">
        <v>426.11</v>
      </c>
      <c r="G2194" s="1">
        <v>-115.03</v>
      </c>
      <c r="H2194" s="1">
        <v>8.0</v>
      </c>
      <c r="I2194" s="1" t="s">
        <v>17</v>
      </c>
      <c r="J2194" s="1" t="s">
        <v>35</v>
      </c>
      <c r="K2194" s="1">
        <f t="shared" si="1"/>
        <v>2022</v>
      </c>
      <c r="L2194" s="1" t="str">
        <f t="shared" si="2"/>
        <v>Dec</v>
      </c>
      <c r="M2194" s="1" t="str">
        <f t="shared" si="3"/>
        <v>Loss</v>
      </c>
    </row>
    <row r="2195" ht="14.25" customHeight="1">
      <c r="A2195" s="1" t="s">
        <v>2229</v>
      </c>
      <c r="B2195" s="2">
        <v>44611.0</v>
      </c>
      <c r="C2195" s="1" t="s">
        <v>20</v>
      </c>
      <c r="D2195" s="1" t="s">
        <v>21</v>
      </c>
      <c r="E2195" s="1" t="s">
        <v>22</v>
      </c>
      <c r="F2195" s="1">
        <v>775.85</v>
      </c>
      <c r="G2195" s="1">
        <v>170.14</v>
      </c>
      <c r="H2195" s="1">
        <v>4.0</v>
      </c>
      <c r="I2195" s="1" t="s">
        <v>17</v>
      </c>
      <c r="J2195" s="1" t="s">
        <v>18</v>
      </c>
      <c r="K2195" s="1">
        <f t="shared" si="1"/>
        <v>2022</v>
      </c>
      <c r="L2195" s="1" t="str">
        <f t="shared" si="2"/>
        <v>Feb</v>
      </c>
      <c r="M2195" s="1" t="str">
        <f t="shared" si="3"/>
        <v>Profit</v>
      </c>
    </row>
    <row r="2196" ht="14.25" customHeight="1">
      <c r="A2196" s="1" t="s">
        <v>2230</v>
      </c>
      <c r="B2196" s="2">
        <v>44853.0</v>
      </c>
      <c r="C2196" s="1" t="s">
        <v>14</v>
      </c>
      <c r="D2196" s="1" t="s">
        <v>21</v>
      </c>
      <c r="E2196" s="1" t="s">
        <v>76</v>
      </c>
      <c r="F2196" s="1">
        <v>970.75</v>
      </c>
      <c r="G2196" s="1">
        <v>108.29</v>
      </c>
      <c r="H2196" s="1">
        <v>2.0</v>
      </c>
      <c r="I2196" s="1" t="s">
        <v>34</v>
      </c>
      <c r="J2196" s="1" t="s">
        <v>38</v>
      </c>
      <c r="K2196" s="1">
        <f t="shared" si="1"/>
        <v>2022</v>
      </c>
      <c r="L2196" s="1" t="str">
        <f t="shared" si="2"/>
        <v>Oct</v>
      </c>
      <c r="M2196" s="1" t="str">
        <f t="shared" si="3"/>
        <v>Profit</v>
      </c>
    </row>
    <row r="2197" ht="14.25" customHeight="1">
      <c r="A2197" s="1" t="s">
        <v>2231</v>
      </c>
      <c r="B2197" s="2">
        <v>44513.0</v>
      </c>
      <c r="C2197" s="1" t="s">
        <v>20</v>
      </c>
      <c r="D2197" s="1" t="s">
        <v>27</v>
      </c>
      <c r="E2197" s="1" t="s">
        <v>33</v>
      </c>
      <c r="F2197" s="1">
        <v>73.63</v>
      </c>
      <c r="G2197" s="1">
        <v>217.52</v>
      </c>
      <c r="H2197" s="1">
        <v>7.0</v>
      </c>
      <c r="I2197" s="1" t="s">
        <v>17</v>
      </c>
      <c r="J2197" s="1" t="s">
        <v>38</v>
      </c>
      <c r="K2197" s="1">
        <f t="shared" si="1"/>
        <v>2021</v>
      </c>
      <c r="L2197" s="1" t="str">
        <f t="shared" si="2"/>
        <v>Nov</v>
      </c>
      <c r="M2197" s="1" t="str">
        <f t="shared" si="3"/>
        <v>Profit</v>
      </c>
    </row>
    <row r="2198" ht="14.25" customHeight="1">
      <c r="A2198" s="1" t="s">
        <v>2232</v>
      </c>
      <c r="B2198" s="2">
        <v>44734.0</v>
      </c>
      <c r="C2198" s="1" t="s">
        <v>14</v>
      </c>
      <c r="D2198" s="1" t="s">
        <v>27</v>
      </c>
      <c r="E2198" s="1" t="s">
        <v>40</v>
      </c>
      <c r="F2198" s="1">
        <v>856.84</v>
      </c>
      <c r="G2198" s="1">
        <v>25.85</v>
      </c>
      <c r="H2198" s="1">
        <v>5.0</v>
      </c>
      <c r="I2198" s="1" t="s">
        <v>23</v>
      </c>
      <c r="J2198" s="1" t="s">
        <v>38</v>
      </c>
      <c r="K2198" s="1">
        <f t="shared" si="1"/>
        <v>2022</v>
      </c>
      <c r="L2198" s="1" t="str">
        <f t="shared" si="2"/>
        <v>Jun</v>
      </c>
      <c r="M2198" s="1" t="str">
        <f t="shared" si="3"/>
        <v>Profit</v>
      </c>
    </row>
    <row r="2199" ht="14.25" customHeight="1">
      <c r="A2199" s="1" t="s">
        <v>2233</v>
      </c>
      <c r="B2199" s="2">
        <v>44856.0</v>
      </c>
      <c r="C2199" s="1" t="s">
        <v>20</v>
      </c>
      <c r="D2199" s="1" t="s">
        <v>27</v>
      </c>
      <c r="E2199" s="1" t="s">
        <v>28</v>
      </c>
      <c r="F2199" s="1">
        <v>884.53</v>
      </c>
      <c r="G2199" s="1">
        <v>-191.85</v>
      </c>
      <c r="H2199" s="1">
        <v>8.0</v>
      </c>
      <c r="I2199" s="1" t="s">
        <v>23</v>
      </c>
      <c r="J2199" s="1" t="s">
        <v>24</v>
      </c>
      <c r="K2199" s="1">
        <f t="shared" si="1"/>
        <v>2022</v>
      </c>
      <c r="L2199" s="1" t="str">
        <f t="shared" si="2"/>
        <v>Oct</v>
      </c>
      <c r="M2199" s="1" t="str">
        <f t="shared" si="3"/>
        <v>Loss</v>
      </c>
    </row>
    <row r="2200" ht="14.25" customHeight="1">
      <c r="A2200" s="1" t="s">
        <v>2234</v>
      </c>
      <c r="B2200" s="2">
        <v>44652.0</v>
      </c>
      <c r="C2200" s="1" t="s">
        <v>30</v>
      </c>
      <c r="D2200" s="1" t="s">
        <v>15</v>
      </c>
      <c r="E2200" s="1" t="s">
        <v>31</v>
      </c>
      <c r="F2200" s="1">
        <v>767.3</v>
      </c>
      <c r="G2200" s="1">
        <v>-175.65</v>
      </c>
      <c r="H2200" s="1">
        <v>4.0</v>
      </c>
      <c r="I2200" s="1" t="s">
        <v>17</v>
      </c>
      <c r="J2200" s="1" t="s">
        <v>38</v>
      </c>
      <c r="K2200" s="1">
        <f t="shared" si="1"/>
        <v>2022</v>
      </c>
      <c r="L2200" s="1" t="str">
        <f t="shared" si="2"/>
        <v>Apr</v>
      </c>
      <c r="M2200" s="1" t="str">
        <f t="shared" si="3"/>
        <v>Loss</v>
      </c>
    </row>
    <row r="2201" ht="14.25" customHeight="1">
      <c r="A2201" s="1" t="s">
        <v>2235</v>
      </c>
      <c r="B2201" s="2">
        <v>45252.0</v>
      </c>
      <c r="C2201" s="1" t="s">
        <v>26</v>
      </c>
      <c r="D2201" s="1" t="s">
        <v>21</v>
      </c>
      <c r="E2201" s="1" t="s">
        <v>37</v>
      </c>
      <c r="F2201" s="1">
        <v>465.22</v>
      </c>
      <c r="G2201" s="1">
        <v>227.11</v>
      </c>
      <c r="H2201" s="1">
        <v>3.0</v>
      </c>
      <c r="I2201" s="1" t="s">
        <v>17</v>
      </c>
      <c r="J2201" s="1" t="s">
        <v>24</v>
      </c>
      <c r="K2201" s="1">
        <f t="shared" si="1"/>
        <v>2023</v>
      </c>
      <c r="L2201" s="1" t="str">
        <f t="shared" si="2"/>
        <v>Nov</v>
      </c>
      <c r="M2201" s="1" t="str">
        <f t="shared" si="3"/>
        <v>Profit</v>
      </c>
    </row>
    <row r="2202" ht="14.25" customHeight="1">
      <c r="A2202" s="1" t="s">
        <v>2236</v>
      </c>
      <c r="B2202" s="2">
        <v>45168.0</v>
      </c>
      <c r="C2202" s="1" t="s">
        <v>20</v>
      </c>
      <c r="D2202" s="1" t="s">
        <v>15</v>
      </c>
      <c r="E2202" s="1" t="s">
        <v>31</v>
      </c>
      <c r="F2202" s="1">
        <v>509.13</v>
      </c>
      <c r="G2202" s="1">
        <v>-0.41</v>
      </c>
      <c r="H2202" s="1">
        <v>5.0</v>
      </c>
      <c r="I2202" s="1" t="s">
        <v>23</v>
      </c>
      <c r="J2202" s="1" t="s">
        <v>18</v>
      </c>
      <c r="K2202" s="1">
        <f t="shared" si="1"/>
        <v>2023</v>
      </c>
      <c r="L2202" s="1" t="str">
        <f t="shared" si="2"/>
        <v>Aug</v>
      </c>
      <c r="M2202" s="1" t="str">
        <f t="shared" si="3"/>
        <v>Loss</v>
      </c>
    </row>
    <row r="2203" ht="14.25" customHeight="1">
      <c r="A2203" s="1" t="s">
        <v>2237</v>
      </c>
      <c r="B2203" s="2">
        <v>44873.0</v>
      </c>
      <c r="C2203" s="1" t="s">
        <v>26</v>
      </c>
      <c r="D2203" s="1" t="s">
        <v>21</v>
      </c>
      <c r="E2203" s="1" t="s">
        <v>76</v>
      </c>
      <c r="F2203" s="1">
        <v>140.37</v>
      </c>
      <c r="G2203" s="1">
        <v>37.9</v>
      </c>
      <c r="H2203" s="1">
        <v>8.0</v>
      </c>
      <c r="I2203" s="1" t="s">
        <v>23</v>
      </c>
      <c r="J2203" s="1" t="s">
        <v>38</v>
      </c>
      <c r="K2203" s="1">
        <f t="shared" si="1"/>
        <v>2022</v>
      </c>
      <c r="L2203" s="1" t="str">
        <f t="shared" si="2"/>
        <v>Nov</v>
      </c>
      <c r="M2203" s="1" t="str">
        <f t="shared" si="3"/>
        <v>Profit</v>
      </c>
    </row>
    <row r="2204" ht="14.25" customHeight="1">
      <c r="A2204" s="1" t="s">
        <v>2238</v>
      </c>
      <c r="B2204" s="2">
        <v>44820.0</v>
      </c>
      <c r="C2204" s="1" t="s">
        <v>30</v>
      </c>
      <c r="D2204" s="1" t="s">
        <v>15</v>
      </c>
      <c r="E2204" s="1" t="s">
        <v>31</v>
      </c>
      <c r="F2204" s="1">
        <v>358.33</v>
      </c>
      <c r="G2204" s="1">
        <v>-2.11</v>
      </c>
      <c r="H2204" s="1">
        <v>6.0</v>
      </c>
      <c r="I2204" s="1" t="s">
        <v>23</v>
      </c>
      <c r="J2204" s="1" t="s">
        <v>24</v>
      </c>
      <c r="K2204" s="1">
        <f t="shared" si="1"/>
        <v>2022</v>
      </c>
      <c r="L2204" s="1" t="str">
        <f t="shared" si="2"/>
        <v>Sep</v>
      </c>
      <c r="M2204" s="1" t="str">
        <f t="shared" si="3"/>
        <v>Loss</v>
      </c>
    </row>
    <row r="2205" ht="14.25" customHeight="1">
      <c r="A2205" s="1" t="s">
        <v>2239</v>
      </c>
      <c r="B2205" s="2">
        <v>44856.0</v>
      </c>
      <c r="C2205" s="1" t="s">
        <v>20</v>
      </c>
      <c r="D2205" s="1" t="s">
        <v>15</v>
      </c>
      <c r="E2205" s="1" t="s">
        <v>54</v>
      </c>
      <c r="F2205" s="1">
        <v>712.66</v>
      </c>
      <c r="G2205" s="1">
        <v>190.82</v>
      </c>
      <c r="H2205" s="1">
        <v>8.0</v>
      </c>
      <c r="I2205" s="1" t="s">
        <v>34</v>
      </c>
      <c r="J2205" s="1" t="s">
        <v>18</v>
      </c>
      <c r="K2205" s="1">
        <f t="shared" si="1"/>
        <v>2022</v>
      </c>
      <c r="L2205" s="1" t="str">
        <f t="shared" si="2"/>
        <v>Oct</v>
      </c>
      <c r="M2205" s="1" t="str">
        <f t="shared" si="3"/>
        <v>Profit</v>
      </c>
    </row>
    <row r="2206" ht="14.25" customHeight="1">
      <c r="A2206" s="1" t="s">
        <v>2240</v>
      </c>
      <c r="B2206" s="2">
        <v>44960.0</v>
      </c>
      <c r="C2206" s="1" t="s">
        <v>20</v>
      </c>
      <c r="D2206" s="1" t="s">
        <v>15</v>
      </c>
      <c r="E2206" s="1" t="s">
        <v>16</v>
      </c>
      <c r="F2206" s="1">
        <v>187.37</v>
      </c>
      <c r="G2206" s="1">
        <v>-177.84</v>
      </c>
      <c r="H2206" s="1">
        <v>9.0</v>
      </c>
      <c r="I2206" s="1" t="s">
        <v>23</v>
      </c>
      <c r="J2206" s="1" t="s">
        <v>18</v>
      </c>
      <c r="K2206" s="1">
        <f t="shared" si="1"/>
        <v>2023</v>
      </c>
      <c r="L2206" s="1" t="str">
        <f t="shared" si="2"/>
        <v>Feb</v>
      </c>
      <c r="M2206" s="1" t="str">
        <f t="shared" si="3"/>
        <v>Loss</v>
      </c>
    </row>
    <row r="2207" ht="14.25" customHeight="1">
      <c r="A2207" s="1" t="s">
        <v>2241</v>
      </c>
      <c r="B2207" s="2">
        <v>44536.0</v>
      </c>
      <c r="C2207" s="1" t="s">
        <v>14</v>
      </c>
      <c r="D2207" s="1" t="s">
        <v>21</v>
      </c>
      <c r="E2207" s="1" t="s">
        <v>76</v>
      </c>
      <c r="F2207" s="1">
        <v>215.07</v>
      </c>
      <c r="G2207" s="1">
        <v>132.33</v>
      </c>
      <c r="H2207" s="1">
        <v>7.0</v>
      </c>
      <c r="I2207" s="1" t="s">
        <v>34</v>
      </c>
      <c r="J2207" s="1" t="s">
        <v>24</v>
      </c>
      <c r="K2207" s="1">
        <f t="shared" si="1"/>
        <v>2021</v>
      </c>
      <c r="L2207" s="1" t="str">
        <f t="shared" si="2"/>
        <v>Dec</v>
      </c>
      <c r="M2207" s="1" t="str">
        <f t="shared" si="3"/>
        <v>Profit</v>
      </c>
    </row>
    <row r="2208" ht="14.25" customHeight="1">
      <c r="A2208" s="1" t="s">
        <v>2242</v>
      </c>
      <c r="B2208" s="2">
        <v>44884.0</v>
      </c>
      <c r="C2208" s="1" t="s">
        <v>30</v>
      </c>
      <c r="D2208" s="1" t="s">
        <v>27</v>
      </c>
      <c r="E2208" s="1" t="s">
        <v>33</v>
      </c>
      <c r="F2208" s="1">
        <v>853.61</v>
      </c>
      <c r="G2208" s="1">
        <v>238.99</v>
      </c>
      <c r="H2208" s="1">
        <v>5.0</v>
      </c>
      <c r="I2208" s="1" t="s">
        <v>34</v>
      </c>
      <c r="J2208" s="1" t="s">
        <v>38</v>
      </c>
      <c r="K2208" s="1">
        <f t="shared" si="1"/>
        <v>2022</v>
      </c>
      <c r="L2208" s="1" t="str">
        <f t="shared" si="2"/>
        <v>Nov</v>
      </c>
      <c r="M2208" s="1" t="str">
        <f t="shared" si="3"/>
        <v>Profit</v>
      </c>
    </row>
    <row r="2209" ht="14.25" customHeight="1">
      <c r="A2209" s="1" t="s">
        <v>2243</v>
      </c>
      <c r="B2209" s="2">
        <v>44742.0</v>
      </c>
      <c r="C2209" s="1" t="s">
        <v>14</v>
      </c>
      <c r="D2209" s="1" t="s">
        <v>15</v>
      </c>
      <c r="E2209" s="1" t="s">
        <v>54</v>
      </c>
      <c r="F2209" s="1">
        <v>192.38</v>
      </c>
      <c r="G2209" s="1">
        <v>-149.16</v>
      </c>
      <c r="H2209" s="1">
        <v>6.0</v>
      </c>
      <c r="I2209" s="1" t="s">
        <v>23</v>
      </c>
      <c r="J2209" s="1" t="s">
        <v>38</v>
      </c>
      <c r="K2209" s="1">
        <f t="shared" si="1"/>
        <v>2022</v>
      </c>
      <c r="L2209" s="1" t="str">
        <f t="shared" si="2"/>
        <v>Jun</v>
      </c>
      <c r="M2209" s="1" t="str">
        <f t="shared" si="3"/>
        <v>Loss</v>
      </c>
    </row>
    <row r="2210" ht="14.25" customHeight="1">
      <c r="A2210" s="1" t="s">
        <v>2244</v>
      </c>
      <c r="B2210" s="2">
        <v>44559.0</v>
      </c>
      <c r="C2210" s="1" t="s">
        <v>26</v>
      </c>
      <c r="D2210" s="1" t="s">
        <v>21</v>
      </c>
      <c r="E2210" s="1" t="s">
        <v>37</v>
      </c>
      <c r="F2210" s="1">
        <v>877.25</v>
      </c>
      <c r="G2210" s="1">
        <v>204.77</v>
      </c>
      <c r="H2210" s="1">
        <v>5.0</v>
      </c>
      <c r="I2210" s="1" t="s">
        <v>34</v>
      </c>
      <c r="J2210" s="1" t="s">
        <v>18</v>
      </c>
      <c r="K2210" s="1">
        <f t="shared" si="1"/>
        <v>2021</v>
      </c>
      <c r="L2210" s="1" t="str">
        <f t="shared" si="2"/>
        <v>Dec</v>
      </c>
      <c r="M2210" s="1" t="str">
        <f t="shared" si="3"/>
        <v>Profit</v>
      </c>
    </row>
    <row r="2211" ht="14.25" customHeight="1">
      <c r="A2211" s="1" t="s">
        <v>2245</v>
      </c>
      <c r="B2211" s="2">
        <v>44753.0</v>
      </c>
      <c r="C2211" s="1" t="s">
        <v>26</v>
      </c>
      <c r="D2211" s="1" t="s">
        <v>15</v>
      </c>
      <c r="E2211" s="1" t="s">
        <v>16</v>
      </c>
      <c r="F2211" s="1">
        <v>279.04</v>
      </c>
      <c r="G2211" s="1">
        <v>18.32</v>
      </c>
      <c r="H2211" s="1">
        <v>4.0</v>
      </c>
      <c r="I2211" s="1" t="s">
        <v>17</v>
      </c>
      <c r="J2211" s="1" t="s">
        <v>24</v>
      </c>
      <c r="K2211" s="1">
        <f t="shared" si="1"/>
        <v>2022</v>
      </c>
      <c r="L2211" s="1" t="str">
        <f t="shared" si="2"/>
        <v>Jul</v>
      </c>
      <c r="M2211" s="1" t="str">
        <f t="shared" si="3"/>
        <v>Profit</v>
      </c>
    </row>
    <row r="2212" ht="14.25" customHeight="1">
      <c r="A2212" s="1" t="s">
        <v>2246</v>
      </c>
      <c r="B2212" s="2">
        <v>44247.0</v>
      </c>
      <c r="C2212" s="1" t="s">
        <v>14</v>
      </c>
      <c r="D2212" s="1" t="s">
        <v>15</v>
      </c>
      <c r="E2212" s="1" t="s">
        <v>16</v>
      </c>
      <c r="F2212" s="1">
        <v>971.27</v>
      </c>
      <c r="G2212" s="1">
        <v>167.17</v>
      </c>
      <c r="H2212" s="1">
        <v>7.0</v>
      </c>
      <c r="I2212" s="1" t="s">
        <v>23</v>
      </c>
      <c r="J2212" s="1" t="s">
        <v>35</v>
      </c>
      <c r="K2212" s="1">
        <f t="shared" si="1"/>
        <v>2021</v>
      </c>
      <c r="L2212" s="1" t="str">
        <f t="shared" si="2"/>
        <v>Feb</v>
      </c>
      <c r="M2212" s="1" t="str">
        <f t="shared" si="3"/>
        <v>Profit</v>
      </c>
    </row>
    <row r="2213" ht="14.25" customHeight="1">
      <c r="A2213" s="1" t="s">
        <v>2247</v>
      </c>
      <c r="B2213" s="2">
        <v>44899.0</v>
      </c>
      <c r="C2213" s="1" t="s">
        <v>26</v>
      </c>
      <c r="D2213" s="1" t="s">
        <v>27</v>
      </c>
      <c r="E2213" s="1" t="s">
        <v>28</v>
      </c>
      <c r="F2213" s="1">
        <v>504.67</v>
      </c>
      <c r="G2213" s="1">
        <v>-53.19</v>
      </c>
      <c r="H2213" s="1">
        <v>6.0</v>
      </c>
      <c r="I2213" s="1" t="s">
        <v>17</v>
      </c>
      <c r="J2213" s="1" t="s">
        <v>35</v>
      </c>
      <c r="K2213" s="1">
        <f t="shared" si="1"/>
        <v>2022</v>
      </c>
      <c r="L2213" s="1" t="str">
        <f t="shared" si="2"/>
        <v>Dec</v>
      </c>
      <c r="M2213" s="1" t="str">
        <f t="shared" si="3"/>
        <v>Loss</v>
      </c>
    </row>
    <row r="2214" ht="14.25" customHeight="1">
      <c r="A2214" s="1" t="s">
        <v>2248</v>
      </c>
      <c r="B2214" s="2">
        <v>44412.0</v>
      </c>
      <c r="C2214" s="1" t="s">
        <v>26</v>
      </c>
      <c r="D2214" s="1" t="s">
        <v>15</v>
      </c>
      <c r="E2214" s="1" t="s">
        <v>54</v>
      </c>
      <c r="F2214" s="1">
        <v>324.06</v>
      </c>
      <c r="G2214" s="1">
        <v>-75.15</v>
      </c>
      <c r="H2214" s="1">
        <v>9.0</v>
      </c>
      <c r="I2214" s="1" t="s">
        <v>17</v>
      </c>
      <c r="J2214" s="1" t="s">
        <v>18</v>
      </c>
      <c r="K2214" s="1">
        <f t="shared" si="1"/>
        <v>2021</v>
      </c>
      <c r="L2214" s="1" t="str">
        <f t="shared" si="2"/>
        <v>Aug</v>
      </c>
      <c r="M2214" s="1" t="str">
        <f t="shared" si="3"/>
        <v>Loss</v>
      </c>
    </row>
    <row r="2215" ht="14.25" customHeight="1">
      <c r="A2215" s="1" t="s">
        <v>2249</v>
      </c>
      <c r="B2215" s="2">
        <v>44578.0</v>
      </c>
      <c r="C2215" s="1" t="s">
        <v>20</v>
      </c>
      <c r="D2215" s="1" t="s">
        <v>27</v>
      </c>
      <c r="E2215" s="1" t="s">
        <v>33</v>
      </c>
      <c r="F2215" s="1">
        <v>168.58</v>
      </c>
      <c r="G2215" s="1">
        <v>71.92</v>
      </c>
      <c r="H2215" s="1">
        <v>8.0</v>
      </c>
      <c r="I2215" s="1" t="s">
        <v>34</v>
      </c>
      <c r="J2215" s="1" t="s">
        <v>24</v>
      </c>
      <c r="K2215" s="1">
        <f t="shared" si="1"/>
        <v>2022</v>
      </c>
      <c r="L2215" s="1" t="str">
        <f t="shared" si="2"/>
        <v>Jan</v>
      </c>
      <c r="M2215" s="1" t="str">
        <f t="shared" si="3"/>
        <v>Profit</v>
      </c>
    </row>
    <row r="2216" ht="14.25" customHeight="1">
      <c r="A2216" s="1" t="s">
        <v>2250</v>
      </c>
      <c r="B2216" s="2">
        <v>44239.0</v>
      </c>
      <c r="C2216" s="1" t="s">
        <v>20</v>
      </c>
      <c r="D2216" s="1" t="s">
        <v>21</v>
      </c>
      <c r="E2216" s="1" t="s">
        <v>76</v>
      </c>
      <c r="F2216" s="1">
        <v>395.65</v>
      </c>
      <c r="G2216" s="1">
        <v>132.27</v>
      </c>
      <c r="H2216" s="1">
        <v>10.0</v>
      </c>
      <c r="I2216" s="1" t="s">
        <v>23</v>
      </c>
      <c r="J2216" s="1" t="s">
        <v>35</v>
      </c>
      <c r="K2216" s="1">
        <f t="shared" si="1"/>
        <v>2021</v>
      </c>
      <c r="L2216" s="1" t="str">
        <f t="shared" si="2"/>
        <v>Feb</v>
      </c>
      <c r="M2216" s="1" t="str">
        <f t="shared" si="3"/>
        <v>Profit</v>
      </c>
    </row>
    <row r="2217" ht="14.25" customHeight="1">
      <c r="A2217" s="1" t="s">
        <v>2251</v>
      </c>
      <c r="B2217" s="2">
        <v>44800.0</v>
      </c>
      <c r="C2217" s="1" t="s">
        <v>20</v>
      </c>
      <c r="D2217" s="1" t="s">
        <v>15</v>
      </c>
      <c r="E2217" s="1" t="s">
        <v>54</v>
      </c>
      <c r="F2217" s="1">
        <v>881.41</v>
      </c>
      <c r="G2217" s="1">
        <v>-171.84</v>
      </c>
      <c r="H2217" s="1">
        <v>4.0</v>
      </c>
      <c r="I2217" s="1" t="s">
        <v>23</v>
      </c>
      <c r="J2217" s="1" t="s">
        <v>18</v>
      </c>
      <c r="K2217" s="1">
        <f t="shared" si="1"/>
        <v>2022</v>
      </c>
      <c r="L2217" s="1" t="str">
        <f t="shared" si="2"/>
        <v>Aug</v>
      </c>
      <c r="M2217" s="1" t="str">
        <f t="shared" si="3"/>
        <v>Loss</v>
      </c>
    </row>
    <row r="2218" ht="14.25" customHeight="1">
      <c r="A2218" s="1" t="s">
        <v>2252</v>
      </c>
      <c r="B2218" s="2">
        <v>44396.0</v>
      </c>
      <c r="C2218" s="1" t="s">
        <v>14</v>
      </c>
      <c r="D2218" s="1" t="s">
        <v>15</v>
      </c>
      <c r="E2218" s="1" t="s">
        <v>31</v>
      </c>
      <c r="F2218" s="1">
        <v>692.64</v>
      </c>
      <c r="G2218" s="1">
        <v>232.41</v>
      </c>
      <c r="H2218" s="1">
        <v>10.0</v>
      </c>
      <c r="I2218" s="1" t="s">
        <v>34</v>
      </c>
      <c r="J2218" s="1" t="s">
        <v>24</v>
      </c>
      <c r="K2218" s="1">
        <f t="shared" si="1"/>
        <v>2021</v>
      </c>
      <c r="L2218" s="1" t="str">
        <f t="shared" si="2"/>
        <v>Jul</v>
      </c>
      <c r="M2218" s="1" t="str">
        <f t="shared" si="3"/>
        <v>Profit</v>
      </c>
    </row>
    <row r="2219" ht="14.25" customHeight="1">
      <c r="A2219" s="1" t="s">
        <v>2253</v>
      </c>
      <c r="B2219" s="2">
        <v>44466.0</v>
      </c>
      <c r="C2219" s="1" t="s">
        <v>26</v>
      </c>
      <c r="D2219" s="1" t="s">
        <v>27</v>
      </c>
      <c r="E2219" s="1" t="s">
        <v>28</v>
      </c>
      <c r="F2219" s="1">
        <v>505.25</v>
      </c>
      <c r="G2219" s="1">
        <v>205.39</v>
      </c>
      <c r="H2219" s="1">
        <v>10.0</v>
      </c>
      <c r="I2219" s="1" t="s">
        <v>23</v>
      </c>
      <c r="J2219" s="1" t="s">
        <v>38</v>
      </c>
      <c r="K2219" s="1">
        <f t="shared" si="1"/>
        <v>2021</v>
      </c>
      <c r="L2219" s="1" t="str">
        <f t="shared" si="2"/>
        <v>Sep</v>
      </c>
      <c r="M2219" s="1" t="str">
        <f t="shared" si="3"/>
        <v>Profit</v>
      </c>
    </row>
    <row r="2220" ht="14.25" customHeight="1">
      <c r="A2220" s="1" t="s">
        <v>2254</v>
      </c>
      <c r="B2220" s="2">
        <v>44554.0</v>
      </c>
      <c r="C2220" s="1" t="s">
        <v>26</v>
      </c>
      <c r="D2220" s="1" t="s">
        <v>15</v>
      </c>
      <c r="E2220" s="1" t="s">
        <v>16</v>
      </c>
      <c r="F2220" s="1">
        <v>287.07</v>
      </c>
      <c r="G2220" s="1">
        <v>135.11</v>
      </c>
      <c r="H2220" s="1">
        <v>2.0</v>
      </c>
      <c r="I2220" s="1" t="s">
        <v>17</v>
      </c>
      <c r="J2220" s="1" t="s">
        <v>38</v>
      </c>
      <c r="K2220" s="1">
        <f t="shared" si="1"/>
        <v>2021</v>
      </c>
      <c r="L2220" s="1" t="str">
        <f t="shared" si="2"/>
        <v>Dec</v>
      </c>
      <c r="M2220" s="1" t="str">
        <f t="shared" si="3"/>
        <v>Profit</v>
      </c>
    </row>
    <row r="2221" ht="14.25" customHeight="1">
      <c r="A2221" s="1" t="s">
        <v>2255</v>
      </c>
      <c r="B2221" s="2">
        <v>44262.0</v>
      </c>
      <c r="C2221" s="1" t="s">
        <v>14</v>
      </c>
      <c r="D2221" s="1" t="s">
        <v>21</v>
      </c>
      <c r="E2221" s="1" t="s">
        <v>37</v>
      </c>
      <c r="F2221" s="1">
        <v>219.11</v>
      </c>
      <c r="G2221" s="1">
        <v>-67.2</v>
      </c>
      <c r="H2221" s="1">
        <v>6.0</v>
      </c>
      <c r="I2221" s="1" t="s">
        <v>23</v>
      </c>
      <c r="J2221" s="1" t="s">
        <v>35</v>
      </c>
      <c r="K2221" s="1">
        <f t="shared" si="1"/>
        <v>2021</v>
      </c>
      <c r="L2221" s="1" t="str">
        <f t="shared" si="2"/>
        <v>Mar</v>
      </c>
      <c r="M2221" s="1" t="str">
        <f t="shared" si="3"/>
        <v>Loss</v>
      </c>
    </row>
    <row r="2222" ht="14.25" customHeight="1">
      <c r="A2222" s="1" t="s">
        <v>2256</v>
      </c>
      <c r="B2222" s="2">
        <v>44882.0</v>
      </c>
      <c r="C2222" s="1" t="s">
        <v>14</v>
      </c>
      <c r="D2222" s="1" t="s">
        <v>27</v>
      </c>
      <c r="E2222" s="1" t="s">
        <v>33</v>
      </c>
      <c r="F2222" s="1">
        <v>906.68</v>
      </c>
      <c r="G2222" s="1">
        <v>-37.08</v>
      </c>
      <c r="H2222" s="1">
        <v>1.0</v>
      </c>
      <c r="I2222" s="1" t="s">
        <v>34</v>
      </c>
      <c r="J2222" s="1" t="s">
        <v>24</v>
      </c>
      <c r="K2222" s="1">
        <f t="shared" si="1"/>
        <v>2022</v>
      </c>
      <c r="L2222" s="1" t="str">
        <f t="shared" si="2"/>
        <v>Nov</v>
      </c>
      <c r="M2222" s="1" t="str">
        <f t="shared" si="3"/>
        <v>Loss</v>
      </c>
    </row>
    <row r="2223" ht="14.25" customHeight="1">
      <c r="A2223" s="1" t="s">
        <v>2257</v>
      </c>
      <c r="B2223" s="2">
        <v>44736.0</v>
      </c>
      <c r="C2223" s="1" t="s">
        <v>14</v>
      </c>
      <c r="D2223" s="1" t="s">
        <v>15</v>
      </c>
      <c r="E2223" s="1" t="s">
        <v>16</v>
      </c>
      <c r="F2223" s="1">
        <v>160.1</v>
      </c>
      <c r="G2223" s="1">
        <v>-54.98</v>
      </c>
      <c r="H2223" s="1">
        <v>2.0</v>
      </c>
      <c r="I2223" s="1" t="s">
        <v>23</v>
      </c>
      <c r="J2223" s="1" t="s">
        <v>24</v>
      </c>
      <c r="K2223" s="1">
        <f t="shared" si="1"/>
        <v>2022</v>
      </c>
      <c r="L2223" s="1" t="str">
        <f t="shared" si="2"/>
        <v>Jun</v>
      </c>
      <c r="M2223" s="1" t="str">
        <f t="shared" si="3"/>
        <v>Loss</v>
      </c>
    </row>
    <row r="2224" ht="14.25" customHeight="1">
      <c r="A2224" s="1" t="s">
        <v>2258</v>
      </c>
      <c r="B2224" s="2">
        <v>44649.0</v>
      </c>
      <c r="C2224" s="1" t="s">
        <v>30</v>
      </c>
      <c r="D2224" s="1" t="s">
        <v>27</v>
      </c>
      <c r="E2224" s="1" t="s">
        <v>33</v>
      </c>
      <c r="F2224" s="1">
        <v>702.42</v>
      </c>
      <c r="G2224" s="1">
        <v>-5.21</v>
      </c>
      <c r="H2224" s="1">
        <v>9.0</v>
      </c>
      <c r="I2224" s="1" t="s">
        <v>23</v>
      </c>
      <c r="J2224" s="1" t="s">
        <v>38</v>
      </c>
      <c r="K2224" s="1">
        <f t="shared" si="1"/>
        <v>2022</v>
      </c>
      <c r="L2224" s="1" t="str">
        <f t="shared" si="2"/>
        <v>Mar</v>
      </c>
      <c r="M2224" s="1" t="str">
        <f t="shared" si="3"/>
        <v>Loss</v>
      </c>
    </row>
    <row r="2225" ht="14.25" customHeight="1">
      <c r="A2225" s="1" t="s">
        <v>2259</v>
      </c>
      <c r="B2225" s="2">
        <v>45027.0</v>
      </c>
      <c r="C2225" s="1" t="s">
        <v>20</v>
      </c>
      <c r="D2225" s="1" t="s">
        <v>21</v>
      </c>
      <c r="E2225" s="1" t="s">
        <v>76</v>
      </c>
      <c r="F2225" s="1">
        <v>445.0</v>
      </c>
      <c r="G2225" s="1">
        <v>169.51</v>
      </c>
      <c r="H2225" s="1">
        <v>2.0</v>
      </c>
      <c r="I2225" s="1" t="s">
        <v>17</v>
      </c>
      <c r="J2225" s="1" t="s">
        <v>38</v>
      </c>
      <c r="K2225" s="1">
        <f t="shared" si="1"/>
        <v>2023</v>
      </c>
      <c r="L2225" s="1" t="str">
        <f t="shared" si="2"/>
        <v>Apr</v>
      </c>
      <c r="M2225" s="1" t="str">
        <f t="shared" si="3"/>
        <v>Profit</v>
      </c>
    </row>
    <row r="2226" ht="14.25" customHeight="1">
      <c r="A2226" s="1" t="s">
        <v>2260</v>
      </c>
      <c r="B2226" s="2">
        <v>44957.0</v>
      </c>
      <c r="C2226" s="1" t="s">
        <v>14</v>
      </c>
      <c r="D2226" s="1" t="s">
        <v>27</v>
      </c>
      <c r="E2226" s="1" t="s">
        <v>33</v>
      </c>
      <c r="F2226" s="1">
        <v>378.22</v>
      </c>
      <c r="G2226" s="1">
        <v>28.26</v>
      </c>
      <c r="H2226" s="1">
        <v>1.0</v>
      </c>
      <c r="I2226" s="1" t="s">
        <v>23</v>
      </c>
      <c r="J2226" s="1" t="s">
        <v>35</v>
      </c>
      <c r="K2226" s="1">
        <f t="shared" si="1"/>
        <v>2023</v>
      </c>
      <c r="L2226" s="1" t="str">
        <f t="shared" si="2"/>
        <v>Jan</v>
      </c>
      <c r="M2226" s="1" t="str">
        <f t="shared" si="3"/>
        <v>Profit</v>
      </c>
    </row>
    <row r="2227" ht="14.25" customHeight="1">
      <c r="A2227" s="1" t="s">
        <v>2261</v>
      </c>
      <c r="B2227" s="2">
        <v>44678.0</v>
      </c>
      <c r="C2227" s="1" t="s">
        <v>20</v>
      </c>
      <c r="D2227" s="1" t="s">
        <v>15</v>
      </c>
      <c r="E2227" s="1" t="s">
        <v>16</v>
      </c>
      <c r="F2227" s="1">
        <v>479.18</v>
      </c>
      <c r="G2227" s="1">
        <v>-14.32</v>
      </c>
      <c r="H2227" s="1">
        <v>3.0</v>
      </c>
      <c r="I2227" s="1" t="s">
        <v>23</v>
      </c>
      <c r="J2227" s="1" t="s">
        <v>38</v>
      </c>
      <c r="K2227" s="1">
        <f t="shared" si="1"/>
        <v>2022</v>
      </c>
      <c r="L2227" s="1" t="str">
        <f t="shared" si="2"/>
        <v>Apr</v>
      </c>
      <c r="M2227" s="1" t="str">
        <f t="shared" si="3"/>
        <v>Loss</v>
      </c>
    </row>
    <row r="2228" ht="14.25" customHeight="1">
      <c r="A2228" s="1" t="s">
        <v>2262</v>
      </c>
      <c r="B2228" s="2">
        <v>44497.0</v>
      </c>
      <c r="C2228" s="1" t="s">
        <v>30</v>
      </c>
      <c r="D2228" s="1" t="s">
        <v>21</v>
      </c>
      <c r="E2228" s="1" t="s">
        <v>76</v>
      </c>
      <c r="F2228" s="1">
        <v>116.35</v>
      </c>
      <c r="G2228" s="1">
        <v>-139.9</v>
      </c>
      <c r="H2228" s="1">
        <v>3.0</v>
      </c>
      <c r="I2228" s="1" t="s">
        <v>17</v>
      </c>
      <c r="J2228" s="1" t="s">
        <v>38</v>
      </c>
      <c r="K2228" s="1">
        <f t="shared" si="1"/>
        <v>2021</v>
      </c>
      <c r="L2228" s="1" t="str">
        <f t="shared" si="2"/>
        <v>Oct</v>
      </c>
      <c r="M2228" s="1" t="str">
        <f t="shared" si="3"/>
        <v>Loss</v>
      </c>
    </row>
    <row r="2229" ht="14.25" customHeight="1">
      <c r="A2229" s="1" t="s">
        <v>2263</v>
      </c>
      <c r="B2229" s="2">
        <v>44759.0</v>
      </c>
      <c r="C2229" s="1" t="s">
        <v>14</v>
      </c>
      <c r="D2229" s="1" t="s">
        <v>21</v>
      </c>
      <c r="E2229" s="1" t="s">
        <v>37</v>
      </c>
      <c r="F2229" s="1">
        <v>94.84</v>
      </c>
      <c r="G2229" s="1">
        <v>-161.08</v>
      </c>
      <c r="H2229" s="1">
        <v>2.0</v>
      </c>
      <c r="I2229" s="1" t="s">
        <v>17</v>
      </c>
      <c r="J2229" s="1" t="s">
        <v>38</v>
      </c>
      <c r="K2229" s="1">
        <f t="shared" si="1"/>
        <v>2022</v>
      </c>
      <c r="L2229" s="1" t="str">
        <f t="shared" si="2"/>
        <v>Jul</v>
      </c>
      <c r="M2229" s="1" t="str">
        <f t="shared" si="3"/>
        <v>Loss</v>
      </c>
    </row>
    <row r="2230" ht="14.25" customHeight="1">
      <c r="A2230" s="1" t="s">
        <v>2264</v>
      </c>
      <c r="B2230" s="2">
        <v>45207.0</v>
      </c>
      <c r="C2230" s="1" t="s">
        <v>20</v>
      </c>
      <c r="D2230" s="1" t="s">
        <v>27</v>
      </c>
      <c r="E2230" s="1" t="s">
        <v>33</v>
      </c>
      <c r="F2230" s="1">
        <v>263.49</v>
      </c>
      <c r="G2230" s="1">
        <v>49.24</v>
      </c>
      <c r="H2230" s="1">
        <v>3.0</v>
      </c>
      <c r="I2230" s="1" t="s">
        <v>23</v>
      </c>
      <c r="J2230" s="1" t="s">
        <v>18</v>
      </c>
      <c r="K2230" s="1">
        <f t="shared" si="1"/>
        <v>2023</v>
      </c>
      <c r="L2230" s="1" t="str">
        <f t="shared" si="2"/>
        <v>Oct</v>
      </c>
      <c r="M2230" s="1" t="str">
        <f t="shared" si="3"/>
        <v>Profit</v>
      </c>
    </row>
    <row r="2231" ht="14.25" customHeight="1">
      <c r="A2231" s="1" t="s">
        <v>2265</v>
      </c>
      <c r="B2231" s="2">
        <v>44584.0</v>
      </c>
      <c r="C2231" s="1" t="s">
        <v>26</v>
      </c>
      <c r="D2231" s="1" t="s">
        <v>15</v>
      </c>
      <c r="E2231" s="1" t="s">
        <v>31</v>
      </c>
      <c r="F2231" s="1">
        <v>597.88</v>
      </c>
      <c r="G2231" s="1">
        <v>-150.25</v>
      </c>
      <c r="H2231" s="1">
        <v>6.0</v>
      </c>
      <c r="I2231" s="1" t="s">
        <v>23</v>
      </c>
      <c r="J2231" s="1" t="s">
        <v>35</v>
      </c>
      <c r="K2231" s="1">
        <f t="shared" si="1"/>
        <v>2022</v>
      </c>
      <c r="L2231" s="1" t="str">
        <f t="shared" si="2"/>
        <v>Jan</v>
      </c>
      <c r="M2231" s="1" t="str">
        <f t="shared" si="3"/>
        <v>Loss</v>
      </c>
    </row>
    <row r="2232" ht="14.25" customHeight="1">
      <c r="A2232" s="1" t="s">
        <v>2266</v>
      </c>
      <c r="B2232" s="2">
        <v>44966.0</v>
      </c>
      <c r="C2232" s="1" t="s">
        <v>26</v>
      </c>
      <c r="D2232" s="1" t="s">
        <v>15</v>
      </c>
      <c r="E2232" s="1" t="s">
        <v>16</v>
      </c>
      <c r="F2232" s="1">
        <v>83.93</v>
      </c>
      <c r="G2232" s="1">
        <v>188.8</v>
      </c>
      <c r="H2232" s="1">
        <v>7.0</v>
      </c>
      <c r="I2232" s="1" t="s">
        <v>23</v>
      </c>
      <c r="J2232" s="1" t="s">
        <v>24</v>
      </c>
      <c r="K2232" s="1">
        <f t="shared" si="1"/>
        <v>2023</v>
      </c>
      <c r="L2232" s="1" t="str">
        <f t="shared" si="2"/>
        <v>Feb</v>
      </c>
      <c r="M2232" s="1" t="str">
        <f t="shared" si="3"/>
        <v>Profit</v>
      </c>
    </row>
    <row r="2233" ht="14.25" customHeight="1">
      <c r="A2233" s="1" t="s">
        <v>2267</v>
      </c>
      <c r="B2233" s="2">
        <v>44452.0</v>
      </c>
      <c r="C2233" s="1" t="s">
        <v>20</v>
      </c>
      <c r="D2233" s="1" t="s">
        <v>21</v>
      </c>
      <c r="E2233" s="1" t="s">
        <v>37</v>
      </c>
      <c r="F2233" s="1">
        <v>380.15</v>
      </c>
      <c r="G2233" s="1">
        <v>177.1</v>
      </c>
      <c r="H2233" s="1">
        <v>4.0</v>
      </c>
      <c r="I2233" s="1" t="s">
        <v>17</v>
      </c>
      <c r="J2233" s="1" t="s">
        <v>18</v>
      </c>
      <c r="K2233" s="1">
        <f t="shared" si="1"/>
        <v>2021</v>
      </c>
      <c r="L2233" s="1" t="str">
        <f t="shared" si="2"/>
        <v>Sep</v>
      </c>
      <c r="M2233" s="1" t="str">
        <f t="shared" si="3"/>
        <v>Profit</v>
      </c>
    </row>
    <row r="2234" ht="14.25" customHeight="1">
      <c r="A2234" s="1" t="s">
        <v>2268</v>
      </c>
      <c r="B2234" s="2">
        <v>44943.0</v>
      </c>
      <c r="C2234" s="1" t="s">
        <v>26</v>
      </c>
      <c r="D2234" s="1" t="s">
        <v>27</v>
      </c>
      <c r="E2234" s="1" t="s">
        <v>33</v>
      </c>
      <c r="F2234" s="1">
        <v>289.17</v>
      </c>
      <c r="G2234" s="1">
        <v>-145.47</v>
      </c>
      <c r="H2234" s="1">
        <v>8.0</v>
      </c>
      <c r="I2234" s="1" t="s">
        <v>23</v>
      </c>
      <c r="J2234" s="1" t="s">
        <v>38</v>
      </c>
      <c r="K2234" s="1">
        <f t="shared" si="1"/>
        <v>2023</v>
      </c>
      <c r="L2234" s="1" t="str">
        <f t="shared" si="2"/>
        <v>Jan</v>
      </c>
      <c r="M2234" s="1" t="str">
        <f t="shared" si="3"/>
        <v>Loss</v>
      </c>
    </row>
    <row r="2235" ht="14.25" customHeight="1">
      <c r="A2235" s="1" t="s">
        <v>2269</v>
      </c>
      <c r="B2235" s="2">
        <v>44289.0</v>
      </c>
      <c r="C2235" s="1" t="s">
        <v>30</v>
      </c>
      <c r="D2235" s="1" t="s">
        <v>21</v>
      </c>
      <c r="E2235" s="1" t="s">
        <v>22</v>
      </c>
      <c r="F2235" s="1">
        <v>371.19</v>
      </c>
      <c r="G2235" s="1">
        <v>154.41</v>
      </c>
      <c r="H2235" s="1">
        <v>6.0</v>
      </c>
      <c r="I2235" s="1" t="s">
        <v>23</v>
      </c>
      <c r="J2235" s="1" t="s">
        <v>18</v>
      </c>
      <c r="K2235" s="1">
        <f t="shared" si="1"/>
        <v>2021</v>
      </c>
      <c r="L2235" s="1" t="str">
        <f t="shared" si="2"/>
        <v>Apr</v>
      </c>
      <c r="M2235" s="1" t="str">
        <f t="shared" si="3"/>
        <v>Profit</v>
      </c>
    </row>
    <row r="2236" ht="14.25" customHeight="1">
      <c r="A2236" s="1" t="s">
        <v>2270</v>
      </c>
      <c r="B2236" s="2">
        <v>45149.0</v>
      </c>
      <c r="C2236" s="1" t="s">
        <v>14</v>
      </c>
      <c r="D2236" s="1" t="s">
        <v>15</v>
      </c>
      <c r="E2236" s="1" t="s">
        <v>16</v>
      </c>
      <c r="F2236" s="1">
        <v>751.92</v>
      </c>
      <c r="G2236" s="1">
        <v>4.28</v>
      </c>
      <c r="H2236" s="1">
        <v>5.0</v>
      </c>
      <c r="I2236" s="1" t="s">
        <v>34</v>
      </c>
      <c r="J2236" s="1" t="s">
        <v>35</v>
      </c>
      <c r="K2236" s="1">
        <f t="shared" si="1"/>
        <v>2023</v>
      </c>
      <c r="L2236" s="1" t="str">
        <f t="shared" si="2"/>
        <v>Aug</v>
      </c>
      <c r="M2236" s="1" t="str">
        <f t="shared" si="3"/>
        <v>Profit</v>
      </c>
    </row>
    <row r="2237" ht="14.25" customHeight="1">
      <c r="A2237" s="1" t="s">
        <v>2271</v>
      </c>
      <c r="B2237" s="2">
        <v>44570.0</v>
      </c>
      <c r="C2237" s="1" t="s">
        <v>30</v>
      </c>
      <c r="D2237" s="1" t="s">
        <v>27</v>
      </c>
      <c r="E2237" s="1" t="s">
        <v>33</v>
      </c>
      <c r="F2237" s="1">
        <v>178.51</v>
      </c>
      <c r="G2237" s="1">
        <v>131.16</v>
      </c>
      <c r="H2237" s="1">
        <v>6.0</v>
      </c>
      <c r="I2237" s="1" t="s">
        <v>34</v>
      </c>
      <c r="J2237" s="1" t="s">
        <v>18</v>
      </c>
      <c r="K2237" s="1">
        <f t="shared" si="1"/>
        <v>2022</v>
      </c>
      <c r="L2237" s="1" t="str">
        <f t="shared" si="2"/>
        <v>Jan</v>
      </c>
      <c r="M2237" s="1" t="str">
        <f t="shared" si="3"/>
        <v>Profit</v>
      </c>
    </row>
    <row r="2238" ht="14.25" customHeight="1">
      <c r="A2238" s="1" t="s">
        <v>2272</v>
      </c>
      <c r="B2238" s="2">
        <v>45256.0</v>
      </c>
      <c r="C2238" s="1" t="s">
        <v>20</v>
      </c>
      <c r="D2238" s="1" t="s">
        <v>15</v>
      </c>
      <c r="E2238" s="1" t="s">
        <v>54</v>
      </c>
      <c r="F2238" s="1">
        <v>32.55</v>
      </c>
      <c r="G2238" s="1">
        <v>258.4</v>
      </c>
      <c r="H2238" s="1">
        <v>5.0</v>
      </c>
      <c r="I2238" s="1" t="s">
        <v>17</v>
      </c>
      <c r="J2238" s="1" t="s">
        <v>18</v>
      </c>
      <c r="K2238" s="1">
        <f t="shared" si="1"/>
        <v>2023</v>
      </c>
      <c r="L2238" s="1" t="str">
        <f t="shared" si="2"/>
        <v>Nov</v>
      </c>
      <c r="M2238" s="1" t="str">
        <f t="shared" si="3"/>
        <v>Profit</v>
      </c>
    </row>
    <row r="2239" ht="14.25" customHeight="1">
      <c r="A2239" s="1" t="s">
        <v>2273</v>
      </c>
      <c r="B2239" s="2">
        <v>44950.0</v>
      </c>
      <c r="C2239" s="1" t="s">
        <v>26</v>
      </c>
      <c r="D2239" s="1" t="s">
        <v>15</v>
      </c>
      <c r="E2239" s="1" t="s">
        <v>54</v>
      </c>
      <c r="F2239" s="1">
        <v>455.08</v>
      </c>
      <c r="G2239" s="1">
        <v>253.49</v>
      </c>
      <c r="H2239" s="1">
        <v>5.0</v>
      </c>
      <c r="I2239" s="1" t="s">
        <v>23</v>
      </c>
      <c r="J2239" s="1" t="s">
        <v>24</v>
      </c>
      <c r="K2239" s="1">
        <f t="shared" si="1"/>
        <v>2023</v>
      </c>
      <c r="L2239" s="1" t="str">
        <f t="shared" si="2"/>
        <v>Jan</v>
      </c>
      <c r="M2239" s="1" t="str">
        <f t="shared" si="3"/>
        <v>Profit</v>
      </c>
    </row>
    <row r="2240" ht="14.25" customHeight="1">
      <c r="A2240" s="1" t="s">
        <v>2274</v>
      </c>
      <c r="B2240" s="2">
        <v>45206.0</v>
      </c>
      <c r="C2240" s="1" t="s">
        <v>14</v>
      </c>
      <c r="D2240" s="1" t="s">
        <v>21</v>
      </c>
      <c r="E2240" s="1" t="s">
        <v>37</v>
      </c>
      <c r="F2240" s="1">
        <v>307.05</v>
      </c>
      <c r="G2240" s="1">
        <v>119.42</v>
      </c>
      <c r="H2240" s="1">
        <v>1.0</v>
      </c>
      <c r="I2240" s="1" t="s">
        <v>23</v>
      </c>
      <c r="J2240" s="1" t="s">
        <v>38</v>
      </c>
      <c r="K2240" s="1">
        <f t="shared" si="1"/>
        <v>2023</v>
      </c>
      <c r="L2240" s="1" t="str">
        <f t="shared" si="2"/>
        <v>Oct</v>
      </c>
      <c r="M2240" s="1" t="str">
        <f t="shared" si="3"/>
        <v>Profit</v>
      </c>
    </row>
    <row r="2241" ht="14.25" customHeight="1">
      <c r="A2241" s="1" t="s">
        <v>2275</v>
      </c>
      <c r="B2241" s="2">
        <v>44448.0</v>
      </c>
      <c r="C2241" s="1" t="s">
        <v>20</v>
      </c>
      <c r="D2241" s="1" t="s">
        <v>27</v>
      </c>
      <c r="E2241" s="1" t="s">
        <v>33</v>
      </c>
      <c r="F2241" s="1">
        <v>154.87</v>
      </c>
      <c r="G2241" s="1">
        <v>136.85</v>
      </c>
      <c r="H2241" s="1">
        <v>3.0</v>
      </c>
      <c r="I2241" s="1" t="s">
        <v>34</v>
      </c>
      <c r="J2241" s="1" t="s">
        <v>24</v>
      </c>
      <c r="K2241" s="1">
        <f t="shared" si="1"/>
        <v>2021</v>
      </c>
      <c r="L2241" s="1" t="str">
        <f t="shared" si="2"/>
        <v>Sep</v>
      </c>
      <c r="M2241" s="1" t="str">
        <f t="shared" si="3"/>
        <v>Profit</v>
      </c>
    </row>
    <row r="2242" ht="14.25" customHeight="1">
      <c r="A2242" s="1" t="s">
        <v>2276</v>
      </c>
      <c r="B2242" s="2">
        <v>45051.0</v>
      </c>
      <c r="C2242" s="1" t="s">
        <v>20</v>
      </c>
      <c r="D2242" s="1" t="s">
        <v>27</v>
      </c>
      <c r="E2242" s="1" t="s">
        <v>28</v>
      </c>
      <c r="F2242" s="1">
        <v>228.62</v>
      </c>
      <c r="G2242" s="1">
        <v>172.39</v>
      </c>
      <c r="H2242" s="1">
        <v>8.0</v>
      </c>
      <c r="I2242" s="1" t="s">
        <v>23</v>
      </c>
      <c r="J2242" s="1" t="s">
        <v>24</v>
      </c>
      <c r="K2242" s="1">
        <f t="shared" si="1"/>
        <v>2023</v>
      </c>
      <c r="L2242" s="1" t="str">
        <f t="shared" si="2"/>
        <v>May</v>
      </c>
      <c r="M2242" s="1" t="str">
        <f t="shared" si="3"/>
        <v>Profit</v>
      </c>
    </row>
    <row r="2243" ht="14.25" customHeight="1">
      <c r="A2243" s="1" t="s">
        <v>2277</v>
      </c>
      <c r="B2243" s="2">
        <v>44236.0</v>
      </c>
      <c r="C2243" s="1" t="s">
        <v>20</v>
      </c>
      <c r="D2243" s="1" t="s">
        <v>15</v>
      </c>
      <c r="E2243" s="1" t="s">
        <v>31</v>
      </c>
      <c r="F2243" s="1">
        <v>783.99</v>
      </c>
      <c r="G2243" s="1">
        <v>-43.49</v>
      </c>
      <c r="H2243" s="1">
        <v>1.0</v>
      </c>
      <c r="I2243" s="1" t="s">
        <v>23</v>
      </c>
      <c r="J2243" s="1" t="s">
        <v>35</v>
      </c>
      <c r="K2243" s="1">
        <f t="shared" si="1"/>
        <v>2021</v>
      </c>
      <c r="L2243" s="1" t="str">
        <f t="shared" si="2"/>
        <v>Feb</v>
      </c>
      <c r="M2243" s="1" t="str">
        <f t="shared" si="3"/>
        <v>Loss</v>
      </c>
    </row>
    <row r="2244" ht="14.25" customHeight="1">
      <c r="A2244" s="1" t="s">
        <v>2278</v>
      </c>
      <c r="B2244" s="2">
        <v>44659.0</v>
      </c>
      <c r="C2244" s="1" t="s">
        <v>30</v>
      </c>
      <c r="D2244" s="1" t="s">
        <v>27</v>
      </c>
      <c r="E2244" s="1" t="s">
        <v>33</v>
      </c>
      <c r="F2244" s="1">
        <v>485.47</v>
      </c>
      <c r="G2244" s="1">
        <v>101.52</v>
      </c>
      <c r="H2244" s="1">
        <v>4.0</v>
      </c>
      <c r="I2244" s="1" t="s">
        <v>17</v>
      </c>
      <c r="J2244" s="1" t="s">
        <v>24</v>
      </c>
      <c r="K2244" s="1">
        <f t="shared" si="1"/>
        <v>2022</v>
      </c>
      <c r="L2244" s="1" t="str">
        <f t="shared" si="2"/>
        <v>Apr</v>
      </c>
      <c r="M2244" s="1" t="str">
        <f t="shared" si="3"/>
        <v>Profit</v>
      </c>
    </row>
    <row r="2245" ht="14.25" customHeight="1">
      <c r="A2245" s="1" t="s">
        <v>2279</v>
      </c>
      <c r="B2245" s="2">
        <v>44938.0</v>
      </c>
      <c r="C2245" s="1" t="s">
        <v>26</v>
      </c>
      <c r="D2245" s="1" t="s">
        <v>27</v>
      </c>
      <c r="E2245" s="1" t="s">
        <v>40</v>
      </c>
      <c r="F2245" s="1">
        <v>546.25</v>
      </c>
      <c r="G2245" s="1">
        <v>-88.77</v>
      </c>
      <c r="H2245" s="1">
        <v>10.0</v>
      </c>
      <c r="I2245" s="1" t="s">
        <v>23</v>
      </c>
      <c r="J2245" s="1" t="s">
        <v>38</v>
      </c>
      <c r="K2245" s="1">
        <f t="shared" si="1"/>
        <v>2023</v>
      </c>
      <c r="L2245" s="1" t="str">
        <f t="shared" si="2"/>
        <v>Jan</v>
      </c>
      <c r="M2245" s="1" t="str">
        <f t="shared" si="3"/>
        <v>Loss</v>
      </c>
    </row>
    <row r="2246" ht="14.25" customHeight="1">
      <c r="A2246" s="1" t="s">
        <v>2280</v>
      </c>
      <c r="B2246" s="2">
        <v>44300.0</v>
      </c>
      <c r="C2246" s="1" t="s">
        <v>14</v>
      </c>
      <c r="D2246" s="1" t="s">
        <v>27</v>
      </c>
      <c r="E2246" s="1" t="s">
        <v>40</v>
      </c>
      <c r="F2246" s="1">
        <v>569.12</v>
      </c>
      <c r="G2246" s="1">
        <v>247.66</v>
      </c>
      <c r="H2246" s="1">
        <v>1.0</v>
      </c>
      <c r="I2246" s="1" t="s">
        <v>23</v>
      </c>
      <c r="J2246" s="1" t="s">
        <v>24</v>
      </c>
      <c r="K2246" s="1">
        <f t="shared" si="1"/>
        <v>2021</v>
      </c>
      <c r="L2246" s="1" t="str">
        <f t="shared" si="2"/>
        <v>Apr</v>
      </c>
      <c r="M2246" s="1" t="str">
        <f t="shared" si="3"/>
        <v>Profit</v>
      </c>
    </row>
    <row r="2247" ht="14.25" customHeight="1">
      <c r="A2247" s="1" t="s">
        <v>2281</v>
      </c>
      <c r="B2247" s="2">
        <v>44456.0</v>
      </c>
      <c r="C2247" s="1" t="s">
        <v>14</v>
      </c>
      <c r="D2247" s="1" t="s">
        <v>15</v>
      </c>
      <c r="E2247" s="1" t="s">
        <v>16</v>
      </c>
      <c r="F2247" s="1">
        <v>133.58</v>
      </c>
      <c r="G2247" s="1">
        <v>187.64</v>
      </c>
      <c r="H2247" s="1">
        <v>8.0</v>
      </c>
      <c r="I2247" s="1" t="s">
        <v>23</v>
      </c>
      <c r="J2247" s="1" t="s">
        <v>35</v>
      </c>
      <c r="K2247" s="1">
        <f t="shared" si="1"/>
        <v>2021</v>
      </c>
      <c r="L2247" s="1" t="str">
        <f t="shared" si="2"/>
        <v>Sep</v>
      </c>
      <c r="M2247" s="1" t="str">
        <f t="shared" si="3"/>
        <v>Profit</v>
      </c>
    </row>
    <row r="2248" ht="14.25" customHeight="1">
      <c r="A2248" s="1" t="s">
        <v>2282</v>
      </c>
      <c r="B2248" s="2">
        <v>44822.0</v>
      </c>
      <c r="C2248" s="1" t="s">
        <v>30</v>
      </c>
      <c r="D2248" s="1" t="s">
        <v>21</v>
      </c>
      <c r="E2248" s="1" t="s">
        <v>22</v>
      </c>
      <c r="F2248" s="1">
        <v>235.97</v>
      </c>
      <c r="G2248" s="1">
        <v>80.86</v>
      </c>
      <c r="H2248" s="1">
        <v>8.0</v>
      </c>
      <c r="I2248" s="1" t="s">
        <v>23</v>
      </c>
      <c r="J2248" s="1" t="s">
        <v>18</v>
      </c>
      <c r="K2248" s="1">
        <f t="shared" si="1"/>
        <v>2022</v>
      </c>
      <c r="L2248" s="1" t="str">
        <f t="shared" si="2"/>
        <v>Sep</v>
      </c>
      <c r="M2248" s="1" t="str">
        <f t="shared" si="3"/>
        <v>Profit</v>
      </c>
    </row>
    <row r="2249" ht="14.25" customHeight="1">
      <c r="A2249" s="1" t="s">
        <v>2283</v>
      </c>
      <c r="B2249" s="2">
        <v>44777.0</v>
      </c>
      <c r="C2249" s="1" t="s">
        <v>20</v>
      </c>
      <c r="D2249" s="1" t="s">
        <v>15</v>
      </c>
      <c r="E2249" s="1" t="s">
        <v>31</v>
      </c>
      <c r="F2249" s="1">
        <v>825.69</v>
      </c>
      <c r="G2249" s="1">
        <v>72.02</v>
      </c>
      <c r="H2249" s="1">
        <v>7.0</v>
      </c>
      <c r="I2249" s="1" t="s">
        <v>23</v>
      </c>
      <c r="J2249" s="1" t="s">
        <v>24</v>
      </c>
      <c r="K2249" s="1">
        <f t="shared" si="1"/>
        <v>2022</v>
      </c>
      <c r="L2249" s="1" t="str">
        <f t="shared" si="2"/>
        <v>Aug</v>
      </c>
      <c r="M2249" s="1" t="str">
        <f t="shared" si="3"/>
        <v>Profit</v>
      </c>
    </row>
    <row r="2250" ht="14.25" customHeight="1">
      <c r="A2250" s="1" t="s">
        <v>2284</v>
      </c>
      <c r="B2250" s="2">
        <v>44603.0</v>
      </c>
      <c r="C2250" s="1" t="s">
        <v>30</v>
      </c>
      <c r="D2250" s="1" t="s">
        <v>21</v>
      </c>
      <c r="E2250" s="1" t="s">
        <v>37</v>
      </c>
      <c r="F2250" s="1">
        <v>619.29</v>
      </c>
      <c r="G2250" s="1">
        <v>180.64</v>
      </c>
      <c r="H2250" s="1">
        <v>10.0</v>
      </c>
      <c r="I2250" s="1" t="s">
        <v>17</v>
      </c>
      <c r="J2250" s="1" t="s">
        <v>38</v>
      </c>
      <c r="K2250" s="1">
        <f t="shared" si="1"/>
        <v>2022</v>
      </c>
      <c r="L2250" s="1" t="str">
        <f t="shared" si="2"/>
        <v>Feb</v>
      </c>
      <c r="M2250" s="1" t="str">
        <f t="shared" si="3"/>
        <v>Profit</v>
      </c>
    </row>
    <row r="2251" ht="14.25" customHeight="1">
      <c r="A2251" s="1" t="s">
        <v>2285</v>
      </c>
      <c r="B2251" s="2">
        <v>44669.0</v>
      </c>
      <c r="C2251" s="1" t="s">
        <v>30</v>
      </c>
      <c r="D2251" s="1" t="s">
        <v>15</v>
      </c>
      <c r="E2251" s="1" t="s">
        <v>31</v>
      </c>
      <c r="F2251" s="1">
        <v>708.44</v>
      </c>
      <c r="G2251" s="1">
        <v>88.74</v>
      </c>
      <c r="H2251" s="1">
        <v>9.0</v>
      </c>
      <c r="I2251" s="1" t="s">
        <v>17</v>
      </c>
      <c r="J2251" s="1" t="s">
        <v>24</v>
      </c>
      <c r="K2251" s="1">
        <f t="shared" si="1"/>
        <v>2022</v>
      </c>
      <c r="L2251" s="1" t="str">
        <f t="shared" si="2"/>
        <v>Apr</v>
      </c>
      <c r="M2251" s="1" t="str">
        <f t="shared" si="3"/>
        <v>Profit</v>
      </c>
    </row>
    <row r="2252" ht="14.25" customHeight="1">
      <c r="A2252" s="1" t="s">
        <v>2286</v>
      </c>
      <c r="B2252" s="2">
        <v>44769.0</v>
      </c>
      <c r="C2252" s="1" t="s">
        <v>26</v>
      </c>
      <c r="D2252" s="1" t="s">
        <v>21</v>
      </c>
      <c r="E2252" s="1" t="s">
        <v>37</v>
      </c>
      <c r="F2252" s="1">
        <v>543.14</v>
      </c>
      <c r="G2252" s="1">
        <v>267.64</v>
      </c>
      <c r="H2252" s="1">
        <v>5.0</v>
      </c>
      <c r="I2252" s="1" t="s">
        <v>34</v>
      </c>
      <c r="J2252" s="1" t="s">
        <v>18</v>
      </c>
      <c r="K2252" s="1">
        <f t="shared" si="1"/>
        <v>2022</v>
      </c>
      <c r="L2252" s="1" t="str">
        <f t="shared" si="2"/>
        <v>Jul</v>
      </c>
      <c r="M2252" s="1" t="str">
        <f t="shared" si="3"/>
        <v>Profit</v>
      </c>
    </row>
    <row r="2253" ht="14.25" customHeight="1">
      <c r="A2253" s="1" t="s">
        <v>2287</v>
      </c>
      <c r="B2253" s="2">
        <v>44438.0</v>
      </c>
      <c r="C2253" s="1" t="s">
        <v>14</v>
      </c>
      <c r="D2253" s="1" t="s">
        <v>27</v>
      </c>
      <c r="E2253" s="1" t="s">
        <v>28</v>
      </c>
      <c r="F2253" s="1">
        <v>344.3</v>
      </c>
      <c r="G2253" s="1">
        <v>173.1</v>
      </c>
      <c r="H2253" s="1">
        <v>1.0</v>
      </c>
      <c r="I2253" s="1" t="s">
        <v>17</v>
      </c>
      <c r="J2253" s="1" t="s">
        <v>18</v>
      </c>
      <c r="K2253" s="1">
        <f t="shared" si="1"/>
        <v>2021</v>
      </c>
      <c r="L2253" s="1" t="str">
        <f t="shared" si="2"/>
        <v>Aug</v>
      </c>
      <c r="M2253" s="1" t="str">
        <f t="shared" si="3"/>
        <v>Profit</v>
      </c>
    </row>
    <row r="2254" ht="14.25" customHeight="1">
      <c r="A2254" s="1" t="s">
        <v>2288</v>
      </c>
      <c r="B2254" s="2">
        <v>45112.0</v>
      </c>
      <c r="C2254" s="1" t="s">
        <v>30</v>
      </c>
      <c r="D2254" s="1" t="s">
        <v>21</v>
      </c>
      <c r="E2254" s="1" t="s">
        <v>22</v>
      </c>
      <c r="F2254" s="1">
        <v>620.0</v>
      </c>
      <c r="G2254" s="1">
        <v>262.85</v>
      </c>
      <c r="H2254" s="1">
        <v>9.0</v>
      </c>
      <c r="I2254" s="1" t="s">
        <v>23</v>
      </c>
      <c r="J2254" s="1" t="s">
        <v>38</v>
      </c>
      <c r="K2254" s="1">
        <f t="shared" si="1"/>
        <v>2023</v>
      </c>
      <c r="L2254" s="1" t="str">
        <f t="shared" si="2"/>
        <v>Jul</v>
      </c>
      <c r="M2254" s="1" t="str">
        <f t="shared" si="3"/>
        <v>Profit</v>
      </c>
    </row>
    <row r="2255" ht="14.25" customHeight="1">
      <c r="A2255" s="1" t="s">
        <v>2289</v>
      </c>
      <c r="B2255" s="2">
        <v>44760.0</v>
      </c>
      <c r="C2255" s="1" t="s">
        <v>30</v>
      </c>
      <c r="D2255" s="1" t="s">
        <v>27</v>
      </c>
      <c r="E2255" s="1" t="s">
        <v>33</v>
      </c>
      <c r="F2255" s="1">
        <v>926.04</v>
      </c>
      <c r="G2255" s="1">
        <v>171.6</v>
      </c>
      <c r="H2255" s="1">
        <v>8.0</v>
      </c>
      <c r="I2255" s="1" t="s">
        <v>34</v>
      </c>
      <c r="J2255" s="1" t="s">
        <v>18</v>
      </c>
      <c r="K2255" s="1">
        <f t="shared" si="1"/>
        <v>2022</v>
      </c>
      <c r="L2255" s="1" t="str">
        <f t="shared" si="2"/>
        <v>Jul</v>
      </c>
      <c r="M2255" s="1" t="str">
        <f t="shared" si="3"/>
        <v>Profit</v>
      </c>
    </row>
    <row r="2256" ht="14.25" customHeight="1">
      <c r="A2256" s="1" t="s">
        <v>2290</v>
      </c>
      <c r="B2256" s="2">
        <v>45104.0</v>
      </c>
      <c r="C2256" s="1" t="s">
        <v>26</v>
      </c>
      <c r="D2256" s="1" t="s">
        <v>27</v>
      </c>
      <c r="E2256" s="1" t="s">
        <v>28</v>
      </c>
      <c r="F2256" s="1">
        <v>850.74</v>
      </c>
      <c r="G2256" s="1">
        <v>-8.55</v>
      </c>
      <c r="H2256" s="1">
        <v>6.0</v>
      </c>
      <c r="I2256" s="1" t="s">
        <v>34</v>
      </c>
      <c r="J2256" s="1" t="s">
        <v>35</v>
      </c>
      <c r="K2256" s="1">
        <f t="shared" si="1"/>
        <v>2023</v>
      </c>
      <c r="L2256" s="1" t="str">
        <f t="shared" si="2"/>
        <v>Jun</v>
      </c>
      <c r="M2256" s="1" t="str">
        <f t="shared" si="3"/>
        <v>Loss</v>
      </c>
    </row>
    <row r="2257" ht="14.25" customHeight="1">
      <c r="A2257" s="1" t="s">
        <v>2291</v>
      </c>
      <c r="B2257" s="2">
        <v>44856.0</v>
      </c>
      <c r="C2257" s="1" t="s">
        <v>26</v>
      </c>
      <c r="D2257" s="1" t="s">
        <v>27</v>
      </c>
      <c r="E2257" s="1" t="s">
        <v>28</v>
      </c>
      <c r="F2257" s="1">
        <v>574.21</v>
      </c>
      <c r="G2257" s="1">
        <v>115.5</v>
      </c>
      <c r="H2257" s="1">
        <v>4.0</v>
      </c>
      <c r="I2257" s="1" t="s">
        <v>23</v>
      </c>
      <c r="J2257" s="1" t="s">
        <v>24</v>
      </c>
      <c r="K2257" s="1">
        <f t="shared" si="1"/>
        <v>2022</v>
      </c>
      <c r="L2257" s="1" t="str">
        <f t="shared" si="2"/>
        <v>Oct</v>
      </c>
      <c r="M2257" s="1" t="str">
        <f t="shared" si="3"/>
        <v>Profit</v>
      </c>
    </row>
    <row r="2258" ht="14.25" customHeight="1">
      <c r="A2258" s="1" t="s">
        <v>2292</v>
      </c>
      <c r="B2258" s="2">
        <v>44420.0</v>
      </c>
      <c r="C2258" s="1" t="s">
        <v>26</v>
      </c>
      <c r="D2258" s="1" t="s">
        <v>21</v>
      </c>
      <c r="E2258" s="1" t="s">
        <v>37</v>
      </c>
      <c r="F2258" s="1">
        <v>211.9</v>
      </c>
      <c r="G2258" s="1">
        <v>258.98</v>
      </c>
      <c r="H2258" s="1">
        <v>2.0</v>
      </c>
      <c r="I2258" s="1" t="s">
        <v>23</v>
      </c>
      <c r="J2258" s="1" t="s">
        <v>24</v>
      </c>
      <c r="K2258" s="1">
        <f t="shared" si="1"/>
        <v>2021</v>
      </c>
      <c r="L2258" s="1" t="str">
        <f t="shared" si="2"/>
        <v>Aug</v>
      </c>
      <c r="M2258" s="1" t="str">
        <f t="shared" si="3"/>
        <v>Profit</v>
      </c>
    </row>
    <row r="2259" ht="14.25" customHeight="1">
      <c r="A2259" s="1" t="s">
        <v>2293</v>
      </c>
      <c r="B2259" s="2">
        <v>44328.0</v>
      </c>
      <c r="C2259" s="1" t="s">
        <v>14</v>
      </c>
      <c r="D2259" s="1" t="s">
        <v>21</v>
      </c>
      <c r="E2259" s="1" t="s">
        <v>22</v>
      </c>
      <c r="F2259" s="1">
        <v>728.16</v>
      </c>
      <c r="G2259" s="1">
        <v>232.08</v>
      </c>
      <c r="H2259" s="1">
        <v>8.0</v>
      </c>
      <c r="I2259" s="1" t="s">
        <v>17</v>
      </c>
      <c r="J2259" s="1" t="s">
        <v>38</v>
      </c>
      <c r="K2259" s="1">
        <f t="shared" si="1"/>
        <v>2021</v>
      </c>
      <c r="L2259" s="1" t="str">
        <f t="shared" si="2"/>
        <v>May</v>
      </c>
      <c r="M2259" s="1" t="str">
        <f t="shared" si="3"/>
        <v>Profit</v>
      </c>
    </row>
    <row r="2260" ht="14.25" customHeight="1">
      <c r="A2260" s="1" t="s">
        <v>2294</v>
      </c>
      <c r="B2260" s="2">
        <v>45069.0</v>
      </c>
      <c r="C2260" s="1" t="s">
        <v>30</v>
      </c>
      <c r="D2260" s="1" t="s">
        <v>21</v>
      </c>
      <c r="E2260" s="1" t="s">
        <v>37</v>
      </c>
      <c r="F2260" s="1">
        <v>909.39</v>
      </c>
      <c r="G2260" s="1">
        <v>115.48</v>
      </c>
      <c r="H2260" s="1">
        <v>4.0</v>
      </c>
      <c r="I2260" s="1" t="s">
        <v>23</v>
      </c>
      <c r="J2260" s="1" t="s">
        <v>35</v>
      </c>
      <c r="K2260" s="1">
        <f t="shared" si="1"/>
        <v>2023</v>
      </c>
      <c r="L2260" s="1" t="str">
        <f t="shared" si="2"/>
        <v>May</v>
      </c>
      <c r="M2260" s="1" t="str">
        <f t="shared" si="3"/>
        <v>Profit</v>
      </c>
    </row>
    <row r="2261" ht="14.25" customHeight="1">
      <c r="A2261" s="1" t="s">
        <v>2295</v>
      </c>
      <c r="B2261" s="2">
        <v>45137.0</v>
      </c>
      <c r="C2261" s="1" t="s">
        <v>30</v>
      </c>
      <c r="D2261" s="1" t="s">
        <v>15</v>
      </c>
      <c r="E2261" s="1" t="s">
        <v>54</v>
      </c>
      <c r="F2261" s="1">
        <v>691.6</v>
      </c>
      <c r="G2261" s="1">
        <v>224.49</v>
      </c>
      <c r="H2261" s="1">
        <v>9.0</v>
      </c>
      <c r="I2261" s="1" t="s">
        <v>34</v>
      </c>
      <c r="J2261" s="1" t="s">
        <v>18</v>
      </c>
      <c r="K2261" s="1">
        <f t="shared" si="1"/>
        <v>2023</v>
      </c>
      <c r="L2261" s="1" t="str">
        <f t="shared" si="2"/>
        <v>Jul</v>
      </c>
      <c r="M2261" s="1" t="str">
        <f t="shared" si="3"/>
        <v>Profit</v>
      </c>
    </row>
    <row r="2262" ht="14.25" customHeight="1">
      <c r="A2262" s="1" t="s">
        <v>2296</v>
      </c>
      <c r="B2262" s="2">
        <v>44954.0</v>
      </c>
      <c r="C2262" s="1" t="s">
        <v>30</v>
      </c>
      <c r="D2262" s="1" t="s">
        <v>15</v>
      </c>
      <c r="E2262" s="1" t="s">
        <v>31</v>
      </c>
      <c r="F2262" s="1">
        <v>107.28</v>
      </c>
      <c r="G2262" s="1">
        <v>-5.63</v>
      </c>
      <c r="H2262" s="1">
        <v>4.0</v>
      </c>
      <c r="I2262" s="1" t="s">
        <v>17</v>
      </c>
      <c r="J2262" s="1" t="s">
        <v>35</v>
      </c>
      <c r="K2262" s="1">
        <f t="shared" si="1"/>
        <v>2023</v>
      </c>
      <c r="L2262" s="1" t="str">
        <f t="shared" si="2"/>
        <v>Jan</v>
      </c>
      <c r="M2262" s="1" t="str">
        <f t="shared" si="3"/>
        <v>Loss</v>
      </c>
    </row>
    <row r="2263" ht="14.25" customHeight="1">
      <c r="A2263" s="1" t="s">
        <v>2297</v>
      </c>
      <c r="B2263" s="2">
        <v>44936.0</v>
      </c>
      <c r="C2263" s="1" t="s">
        <v>20</v>
      </c>
      <c r="D2263" s="1" t="s">
        <v>15</v>
      </c>
      <c r="E2263" s="1" t="s">
        <v>54</v>
      </c>
      <c r="F2263" s="1">
        <v>104.81</v>
      </c>
      <c r="G2263" s="1">
        <v>264.15</v>
      </c>
      <c r="H2263" s="1">
        <v>10.0</v>
      </c>
      <c r="I2263" s="1" t="s">
        <v>34</v>
      </c>
      <c r="J2263" s="1" t="s">
        <v>18</v>
      </c>
      <c r="K2263" s="1">
        <f t="shared" si="1"/>
        <v>2023</v>
      </c>
      <c r="L2263" s="1" t="str">
        <f t="shared" si="2"/>
        <v>Jan</v>
      </c>
      <c r="M2263" s="1" t="str">
        <f t="shared" si="3"/>
        <v>Profit</v>
      </c>
    </row>
    <row r="2264" ht="14.25" customHeight="1">
      <c r="A2264" s="1" t="s">
        <v>2298</v>
      </c>
      <c r="B2264" s="2">
        <v>45155.0</v>
      </c>
      <c r="C2264" s="1" t="s">
        <v>26</v>
      </c>
      <c r="D2264" s="1" t="s">
        <v>15</v>
      </c>
      <c r="E2264" s="1" t="s">
        <v>54</v>
      </c>
      <c r="F2264" s="1">
        <v>793.61</v>
      </c>
      <c r="G2264" s="1">
        <v>18.4</v>
      </c>
      <c r="H2264" s="1">
        <v>10.0</v>
      </c>
      <c r="I2264" s="1" t="s">
        <v>17</v>
      </c>
      <c r="J2264" s="1" t="s">
        <v>18</v>
      </c>
      <c r="K2264" s="1">
        <f t="shared" si="1"/>
        <v>2023</v>
      </c>
      <c r="L2264" s="1" t="str">
        <f t="shared" si="2"/>
        <v>Aug</v>
      </c>
      <c r="M2264" s="1" t="str">
        <f t="shared" si="3"/>
        <v>Profit</v>
      </c>
    </row>
    <row r="2265" ht="14.25" customHeight="1">
      <c r="A2265" s="1" t="s">
        <v>2299</v>
      </c>
      <c r="B2265" s="2">
        <v>45021.0</v>
      </c>
      <c r="C2265" s="1" t="s">
        <v>20</v>
      </c>
      <c r="D2265" s="1" t="s">
        <v>15</v>
      </c>
      <c r="E2265" s="1" t="s">
        <v>31</v>
      </c>
      <c r="F2265" s="1">
        <v>837.36</v>
      </c>
      <c r="G2265" s="1">
        <v>-86.57</v>
      </c>
      <c r="H2265" s="1">
        <v>1.0</v>
      </c>
      <c r="I2265" s="1" t="s">
        <v>17</v>
      </c>
      <c r="J2265" s="1" t="s">
        <v>35</v>
      </c>
      <c r="K2265" s="1">
        <f t="shared" si="1"/>
        <v>2023</v>
      </c>
      <c r="L2265" s="1" t="str">
        <f t="shared" si="2"/>
        <v>Apr</v>
      </c>
      <c r="M2265" s="1" t="str">
        <f t="shared" si="3"/>
        <v>Loss</v>
      </c>
    </row>
    <row r="2266" ht="14.25" customHeight="1">
      <c r="A2266" s="1" t="s">
        <v>2300</v>
      </c>
      <c r="B2266" s="2">
        <v>45041.0</v>
      </c>
      <c r="C2266" s="1" t="s">
        <v>30</v>
      </c>
      <c r="D2266" s="1" t="s">
        <v>27</v>
      </c>
      <c r="E2266" s="1" t="s">
        <v>33</v>
      </c>
      <c r="F2266" s="1">
        <v>125.8</v>
      </c>
      <c r="G2266" s="1">
        <v>97.77</v>
      </c>
      <c r="H2266" s="1">
        <v>3.0</v>
      </c>
      <c r="I2266" s="1" t="s">
        <v>17</v>
      </c>
      <c r="J2266" s="1" t="s">
        <v>38</v>
      </c>
      <c r="K2266" s="1">
        <f t="shared" si="1"/>
        <v>2023</v>
      </c>
      <c r="L2266" s="1" t="str">
        <f t="shared" si="2"/>
        <v>Apr</v>
      </c>
      <c r="M2266" s="1" t="str">
        <f t="shared" si="3"/>
        <v>Profit</v>
      </c>
    </row>
    <row r="2267" ht="14.25" customHeight="1">
      <c r="A2267" s="1" t="s">
        <v>2301</v>
      </c>
      <c r="B2267" s="2">
        <v>44727.0</v>
      </c>
      <c r="C2267" s="1" t="s">
        <v>26</v>
      </c>
      <c r="D2267" s="1" t="s">
        <v>15</v>
      </c>
      <c r="E2267" s="1" t="s">
        <v>16</v>
      </c>
      <c r="F2267" s="1">
        <v>694.02</v>
      </c>
      <c r="G2267" s="1">
        <v>33.12</v>
      </c>
      <c r="H2267" s="1">
        <v>3.0</v>
      </c>
      <c r="I2267" s="1" t="s">
        <v>34</v>
      </c>
      <c r="J2267" s="1" t="s">
        <v>24</v>
      </c>
      <c r="K2267" s="1">
        <f t="shared" si="1"/>
        <v>2022</v>
      </c>
      <c r="L2267" s="1" t="str">
        <f t="shared" si="2"/>
        <v>Jun</v>
      </c>
      <c r="M2267" s="1" t="str">
        <f t="shared" si="3"/>
        <v>Profit</v>
      </c>
    </row>
    <row r="2268" ht="14.25" customHeight="1">
      <c r="A2268" s="1" t="s">
        <v>2302</v>
      </c>
      <c r="B2268" s="2">
        <v>44745.0</v>
      </c>
      <c r="C2268" s="1" t="s">
        <v>20</v>
      </c>
      <c r="D2268" s="1" t="s">
        <v>21</v>
      </c>
      <c r="E2268" s="1" t="s">
        <v>76</v>
      </c>
      <c r="F2268" s="1">
        <v>262.73</v>
      </c>
      <c r="G2268" s="1">
        <v>178.24</v>
      </c>
      <c r="H2268" s="1">
        <v>9.0</v>
      </c>
      <c r="I2268" s="1" t="s">
        <v>17</v>
      </c>
      <c r="J2268" s="1" t="s">
        <v>24</v>
      </c>
      <c r="K2268" s="1">
        <f t="shared" si="1"/>
        <v>2022</v>
      </c>
      <c r="L2268" s="1" t="str">
        <f t="shared" si="2"/>
        <v>Jul</v>
      </c>
      <c r="M2268" s="1" t="str">
        <f t="shared" si="3"/>
        <v>Profit</v>
      </c>
    </row>
    <row r="2269" ht="14.25" customHeight="1">
      <c r="A2269" s="1" t="s">
        <v>2303</v>
      </c>
      <c r="B2269" s="2">
        <v>44248.0</v>
      </c>
      <c r="C2269" s="1" t="s">
        <v>20</v>
      </c>
      <c r="D2269" s="1" t="s">
        <v>27</v>
      </c>
      <c r="E2269" s="1" t="s">
        <v>28</v>
      </c>
      <c r="F2269" s="1">
        <v>82.4</v>
      </c>
      <c r="G2269" s="1">
        <v>-143.88</v>
      </c>
      <c r="H2269" s="1">
        <v>1.0</v>
      </c>
      <c r="I2269" s="1" t="s">
        <v>17</v>
      </c>
      <c r="J2269" s="1" t="s">
        <v>35</v>
      </c>
      <c r="K2269" s="1">
        <f t="shared" si="1"/>
        <v>2021</v>
      </c>
      <c r="L2269" s="1" t="str">
        <f t="shared" si="2"/>
        <v>Feb</v>
      </c>
      <c r="M2269" s="1" t="str">
        <f t="shared" si="3"/>
        <v>Loss</v>
      </c>
    </row>
    <row r="2270" ht="14.25" customHeight="1">
      <c r="A2270" s="1" t="s">
        <v>2304</v>
      </c>
      <c r="B2270" s="2">
        <v>44381.0</v>
      </c>
      <c r="C2270" s="1" t="s">
        <v>14</v>
      </c>
      <c r="D2270" s="1" t="s">
        <v>15</v>
      </c>
      <c r="E2270" s="1" t="s">
        <v>54</v>
      </c>
      <c r="F2270" s="1">
        <v>437.09</v>
      </c>
      <c r="G2270" s="1">
        <v>54.52</v>
      </c>
      <c r="H2270" s="1">
        <v>4.0</v>
      </c>
      <c r="I2270" s="1" t="s">
        <v>23</v>
      </c>
      <c r="J2270" s="1" t="s">
        <v>35</v>
      </c>
      <c r="K2270" s="1">
        <f t="shared" si="1"/>
        <v>2021</v>
      </c>
      <c r="L2270" s="1" t="str">
        <f t="shared" si="2"/>
        <v>Jul</v>
      </c>
      <c r="M2270" s="1" t="str">
        <f t="shared" si="3"/>
        <v>Profit</v>
      </c>
    </row>
    <row r="2271" ht="14.25" customHeight="1">
      <c r="A2271" s="1" t="s">
        <v>2305</v>
      </c>
      <c r="B2271" s="2">
        <v>44983.0</v>
      </c>
      <c r="C2271" s="1" t="s">
        <v>30</v>
      </c>
      <c r="D2271" s="1" t="s">
        <v>27</v>
      </c>
      <c r="E2271" s="1" t="s">
        <v>40</v>
      </c>
      <c r="F2271" s="1">
        <v>211.04</v>
      </c>
      <c r="G2271" s="1">
        <v>261.24</v>
      </c>
      <c r="H2271" s="1">
        <v>1.0</v>
      </c>
      <c r="I2271" s="1" t="s">
        <v>34</v>
      </c>
      <c r="J2271" s="1" t="s">
        <v>18</v>
      </c>
      <c r="K2271" s="1">
        <f t="shared" si="1"/>
        <v>2023</v>
      </c>
      <c r="L2271" s="1" t="str">
        <f t="shared" si="2"/>
        <v>Feb</v>
      </c>
      <c r="M2271" s="1" t="str">
        <f t="shared" si="3"/>
        <v>Profit</v>
      </c>
    </row>
    <row r="2272" ht="14.25" customHeight="1">
      <c r="A2272" s="1" t="s">
        <v>2306</v>
      </c>
      <c r="B2272" s="2">
        <v>44724.0</v>
      </c>
      <c r="C2272" s="1" t="s">
        <v>20</v>
      </c>
      <c r="D2272" s="1" t="s">
        <v>21</v>
      </c>
      <c r="E2272" s="1" t="s">
        <v>37</v>
      </c>
      <c r="F2272" s="1">
        <v>695.6</v>
      </c>
      <c r="G2272" s="1">
        <v>119.57</v>
      </c>
      <c r="H2272" s="1">
        <v>9.0</v>
      </c>
      <c r="I2272" s="1" t="s">
        <v>17</v>
      </c>
      <c r="J2272" s="1" t="s">
        <v>38</v>
      </c>
      <c r="K2272" s="1">
        <f t="shared" si="1"/>
        <v>2022</v>
      </c>
      <c r="L2272" s="1" t="str">
        <f t="shared" si="2"/>
        <v>Jun</v>
      </c>
      <c r="M2272" s="1" t="str">
        <f t="shared" si="3"/>
        <v>Profit</v>
      </c>
    </row>
    <row r="2273" ht="14.25" customHeight="1">
      <c r="A2273" s="1" t="s">
        <v>2307</v>
      </c>
      <c r="B2273" s="2">
        <v>44330.0</v>
      </c>
      <c r="C2273" s="1" t="s">
        <v>20</v>
      </c>
      <c r="D2273" s="1" t="s">
        <v>15</v>
      </c>
      <c r="E2273" s="1" t="s">
        <v>54</v>
      </c>
      <c r="F2273" s="1">
        <v>782.74</v>
      </c>
      <c r="G2273" s="1">
        <v>56.68</v>
      </c>
      <c r="H2273" s="1">
        <v>9.0</v>
      </c>
      <c r="I2273" s="1" t="s">
        <v>34</v>
      </c>
      <c r="J2273" s="1" t="s">
        <v>18</v>
      </c>
      <c r="K2273" s="1">
        <f t="shared" si="1"/>
        <v>2021</v>
      </c>
      <c r="L2273" s="1" t="str">
        <f t="shared" si="2"/>
        <v>May</v>
      </c>
      <c r="M2273" s="1" t="str">
        <f t="shared" si="3"/>
        <v>Profit</v>
      </c>
    </row>
    <row r="2274" ht="14.25" customHeight="1">
      <c r="A2274" s="1" t="s">
        <v>2308</v>
      </c>
      <c r="B2274" s="2">
        <v>44968.0</v>
      </c>
      <c r="C2274" s="1" t="s">
        <v>26</v>
      </c>
      <c r="D2274" s="1" t="s">
        <v>21</v>
      </c>
      <c r="E2274" s="1" t="s">
        <v>37</v>
      </c>
      <c r="F2274" s="1">
        <v>759.01</v>
      </c>
      <c r="G2274" s="1">
        <v>229.04</v>
      </c>
      <c r="H2274" s="1">
        <v>7.0</v>
      </c>
      <c r="I2274" s="1" t="s">
        <v>17</v>
      </c>
      <c r="J2274" s="1" t="s">
        <v>38</v>
      </c>
      <c r="K2274" s="1">
        <f t="shared" si="1"/>
        <v>2023</v>
      </c>
      <c r="L2274" s="1" t="str">
        <f t="shared" si="2"/>
        <v>Feb</v>
      </c>
      <c r="M2274" s="1" t="str">
        <f t="shared" si="3"/>
        <v>Profit</v>
      </c>
    </row>
    <row r="2275" ht="14.25" customHeight="1">
      <c r="A2275" s="1" t="s">
        <v>2309</v>
      </c>
      <c r="B2275" s="2">
        <v>44847.0</v>
      </c>
      <c r="C2275" s="1" t="s">
        <v>14</v>
      </c>
      <c r="D2275" s="1" t="s">
        <v>21</v>
      </c>
      <c r="E2275" s="1" t="s">
        <v>76</v>
      </c>
      <c r="F2275" s="1">
        <v>24.73</v>
      </c>
      <c r="G2275" s="1">
        <v>193.75</v>
      </c>
      <c r="H2275" s="1">
        <v>4.0</v>
      </c>
      <c r="I2275" s="1" t="s">
        <v>17</v>
      </c>
      <c r="J2275" s="1" t="s">
        <v>24</v>
      </c>
      <c r="K2275" s="1">
        <f t="shared" si="1"/>
        <v>2022</v>
      </c>
      <c r="L2275" s="1" t="str">
        <f t="shared" si="2"/>
        <v>Oct</v>
      </c>
      <c r="M2275" s="1" t="str">
        <f t="shared" si="3"/>
        <v>Profit</v>
      </c>
    </row>
    <row r="2276" ht="14.25" customHeight="1">
      <c r="A2276" s="1" t="s">
        <v>2310</v>
      </c>
      <c r="B2276" s="2">
        <v>44879.0</v>
      </c>
      <c r="C2276" s="1" t="s">
        <v>20</v>
      </c>
      <c r="D2276" s="1" t="s">
        <v>27</v>
      </c>
      <c r="E2276" s="1" t="s">
        <v>33</v>
      </c>
      <c r="F2276" s="1">
        <v>591.46</v>
      </c>
      <c r="G2276" s="1">
        <v>-92.11</v>
      </c>
      <c r="H2276" s="1">
        <v>1.0</v>
      </c>
      <c r="I2276" s="1" t="s">
        <v>34</v>
      </c>
      <c r="J2276" s="1" t="s">
        <v>24</v>
      </c>
      <c r="K2276" s="1">
        <f t="shared" si="1"/>
        <v>2022</v>
      </c>
      <c r="L2276" s="1" t="str">
        <f t="shared" si="2"/>
        <v>Nov</v>
      </c>
      <c r="M2276" s="1" t="str">
        <f t="shared" si="3"/>
        <v>Loss</v>
      </c>
    </row>
    <row r="2277" ht="14.25" customHeight="1">
      <c r="A2277" s="1" t="s">
        <v>2311</v>
      </c>
      <c r="B2277" s="2">
        <v>45271.0</v>
      </c>
      <c r="C2277" s="1" t="s">
        <v>14</v>
      </c>
      <c r="D2277" s="1" t="s">
        <v>15</v>
      </c>
      <c r="E2277" s="1" t="s">
        <v>54</v>
      </c>
      <c r="F2277" s="1">
        <v>193.27</v>
      </c>
      <c r="G2277" s="1">
        <v>298.58</v>
      </c>
      <c r="H2277" s="1">
        <v>6.0</v>
      </c>
      <c r="I2277" s="1" t="s">
        <v>23</v>
      </c>
      <c r="J2277" s="1" t="s">
        <v>35</v>
      </c>
      <c r="K2277" s="1">
        <f t="shared" si="1"/>
        <v>2023</v>
      </c>
      <c r="L2277" s="1" t="str">
        <f t="shared" si="2"/>
        <v>Dec</v>
      </c>
      <c r="M2277" s="1" t="str">
        <f t="shared" si="3"/>
        <v>Profit</v>
      </c>
    </row>
    <row r="2278" ht="14.25" customHeight="1">
      <c r="A2278" s="1" t="s">
        <v>2312</v>
      </c>
      <c r="B2278" s="2">
        <v>44852.0</v>
      </c>
      <c r="C2278" s="1" t="s">
        <v>14</v>
      </c>
      <c r="D2278" s="1" t="s">
        <v>27</v>
      </c>
      <c r="E2278" s="1" t="s">
        <v>40</v>
      </c>
      <c r="F2278" s="1">
        <v>572.88</v>
      </c>
      <c r="G2278" s="1">
        <v>66.51</v>
      </c>
      <c r="H2278" s="1">
        <v>8.0</v>
      </c>
      <c r="I2278" s="1" t="s">
        <v>17</v>
      </c>
      <c r="J2278" s="1" t="s">
        <v>24</v>
      </c>
      <c r="K2278" s="1">
        <f t="shared" si="1"/>
        <v>2022</v>
      </c>
      <c r="L2278" s="1" t="str">
        <f t="shared" si="2"/>
        <v>Oct</v>
      </c>
      <c r="M2278" s="1" t="str">
        <f t="shared" si="3"/>
        <v>Profit</v>
      </c>
    </row>
    <row r="2279" ht="14.25" customHeight="1">
      <c r="A2279" s="1" t="s">
        <v>2313</v>
      </c>
      <c r="B2279" s="2">
        <v>44241.0</v>
      </c>
      <c r="C2279" s="1" t="s">
        <v>26</v>
      </c>
      <c r="D2279" s="1" t="s">
        <v>27</v>
      </c>
      <c r="E2279" s="1" t="s">
        <v>40</v>
      </c>
      <c r="F2279" s="1">
        <v>489.54</v>
      </c>
      <c r="G2279" s="1">
        <v>124.44</v>
      </c>
      <c r="H2279" s="1">
        <v>6.0</v>
      </c>
      <c r="I2279" s="1" t="s">
        <v>34</v>
      </c>
      <c r="J2279" s="1" t="s">
        <v>18</v>
      </c>
      <c r="K2279" s="1">
        <f t="shared" si="1"/>
        <v>2021</v>
      </c>
      <c r="L2279" s="1" t="str">
        <f t="shared" si="2"/>
        <v>Feb</v>
      </c>
      <c r="M2279" s="1" t="str">
        <f t="shared" si="3"/>
        <v>Profit</v>
      </c>
    </row>
    <row r="2280" ht="14.25" customHeight="1">
      <c r="A2280" s="1" t="s">
        <v>2314</v>
      </c>
      <c r="B2280" s="2">
        <v>44299.0</v>
      </c>
      <c r="C2280" s="1" t="s">
        <v>26</v>
      </c>
      <c r="D2280" s="1" t="s">
        <v>15</v>
      </c>
      <c r="E2280" s="1" t="s">
        <v>54</v>
      </c>
      <c r="F2280" s="1">
        <v>289.83</v>
      </c>
      <c r="G2280" s="1">
        <v>206.65</v>
      </c>
      <c r="H2280" s="1">
        <v>1.0</v>
      </c>
      <c r="I2280" s="1" t="s">
        <v>23</v>
      </c>
      <c r="J2280" s="1" t="s">
        <v>24</v>
      </c>
      <c r="K2280" s="1">
        <f t="shared" si="1"/>
        <v>2021</v>
      </c>
      <c r="L2280" s="1" t="str">
        <f t="shared" si="2"/>
        <v>Apr</v>
      </c>
      <c r="M2280" s="1" t="str">
        <f t="shared" si="3"/>
        <v>Profit</v>
      </c>
    </row>
    <row r="2281" ht="14.25" customHeight="1">
      <c r="A2281" s="1" t="s">
        <v>2315</v>
      </c>
      <c r="B2281" s="2">
        <v>45008.0</v>
      </c>
      <c r="C2281" s="1" t="s">
        <v>14</v>
      </c>
      <c r="D2281" s="1" t="s">
        <v>15</v>
      </c>
      <c r="E2281" s="1" t="s">
        <v>16</v>
      </c>
      <c r="F2281" s="1">
        <v>379.17</v>
      </c>
      <c r="G2281" s="1">
        <v>88.7</v>
      </c>
      <c r="H2281" s="1">
        <v>7.0</v>
      </c>
      <c r="I2281" s="1" t="s">
        <v>17</v>
      </c>
      <c r="J2281" s="1" t="s">
        <v>38</v>
      </c>
      <c r="K2281" s="1">
        <f t="shared" si="1"/>
        <v>2023</v>
      </c>
      <c r="L2281" s="1" t="str">
        <f t="shared" si="2"/>
        <v>Mar</v>
      </c>
      <c r="M2281" s="1" t="str">
        <f t="shared" si="3"/>
        <v>Profit</v>
      </c>
    </row>
    <row r="2282" ht="14.25" customHeight="1">
      <c r="A2282" s="1" t="s">
        <v>2316</v>
      </c>
      <c r="B2282" s="2">
        <v>45085.0</v>
      </c>
      <c r="C2282" s="1" t="s">
        <v>14</v>
      </c>
      <c r="D2282" s="1" t="s">
        <v>27</v>
      </c>
      <c r="E2282" s="1" t="s">
        <v>33</v>
      </c>
      <c r="F2282" s="1">
        <v>608.89</v>
      </c>
      <c r="G2282" s="1">
        <v>-189.62</v>
      </c>
      <c r="H2282" s="1">
        <v>6.0</v>
      </c>
      <c r="I2282" s="1" t="s">
        <v>34</v>
      </c>
      <c r="J2282" s="1" t="s">
        <v>35</v>
      </c>
      <c r="K2282" s="1">
        <f t="shared" si="1"/>
        <v>2023</v>
      </c>
      <c r="L2282" s="1" t="str">
        <f t="shared" si="2"/>
        <v>Jun</v>
      </c>
      <c r="M2282" s="1" t="str">
        <f t="shared" si="3"/>
        <v>Loss</v>
      </c>
    </row>
    <row r="2283" ht="14.25" customHeight="1">
      <c r="A2283" s="1" t="s">
        <v>2317</v>
      </c>
      <c r="B2283" s="2">
        <v>44963.0</v>
      </c>
      <c r="C2283" s="1" t="s">
        <v>14</v>
      </c>
      <c r="D2283" s="1" t="s">
        <v>27</v>
      </c>
      <c r="E2283" s="1" t="s">
        <v>28</v>
      </c>
      <c r="F2283" s="1">
        <v>260.67</v>
      </c>
      <c r="G2283" s="1">
        <v>24.88</v>
      </c>
      <c r="H2283" s="1">
        <v>6.0</v>
      </c>
      <c r="I2283" s="1" t="s">
        <v>23</v>
      </c>
      <c r="J2283" s="1" t="s">
        <v>35</v>
      </c>
      <c r="K2283" s="1">
        <f t="shared" si="1"/>
        <v>2023</v>
      </c>
      <c r="L2283" s="1" t="str">
        <f t="shared" si="2"/>
        <v>Feb</v>
      </c>
      <c r="M2283" s="1" t="str">
        <f t="shared" si="3"/>
        <v>Profit</v>
      </c>
    </row>
    <row r="2284" ht="14.25" customHeight="1">
      <c r="A2284" s="1" t="s">
        <v>2318</v>
      </c>
      <c r="B2284" s="2">
        <v>44783.0</v>
      </c>
      <c r="C2284" s="1" t="s">
        <v>26</v>
      </c>
      <c r="D2284" s="1" t="s">
        <v>21</v>
      </c>
      <c r="E2284" s="1" t="s">
        <v>37</v>
      </c>
      <c r="F2284" s="1">
        <v>798.62</v>
      </c>
      <c r="G2284" s="1">
        <v>106.07</v>
      </c>
      <c r="H2284" s="1">
        <v>10.0</v>
      </c>
      <c r="I2284" s="1" t="s">
        <v>23</v>
      </c>
      <c r="J2284" s="1" t="s">
        <v>24</v>
      </c>
      <c r="K2284" s="1">
        <f t="shared" si="1"/>
        <v>2022</v>
      </c>
      <c r="L2284" s="1" t="str">
        <f t="shared" si="2"/>
        <v>Aug</v>
      </c>
      <c r="M2284" s="1" t="str">
        <f t="shared" si="3"/>
        <v>Profit</v>
      </c>
    </row>
    <row r="2285" ht="14.25" customHeight="1">
      <c r="A2285" s="1" t="s">
        <v>2319</v>
      </c>
      <c r="B2285" s="2">
        <v>45067.0</v>
      </c>
      <c r="C2285" s="1" t="s">
        <v>20</v>
      </c>
      <c r="D2285" s="1" t="s">
        <v>27</v>
      </c>
      <c r="E2285" s="1" t="s">
        <v>33</v>
      </c>
      <c r="F2285" s="1">
        <v>744.55</v>
      </c>
      <c r="G2285" s="1">
        <v>198.8</v>
      </c>
      <c r="H2285" s="1">
        <v>1.0</v>
      </c>
      <c r="I2285" s="1" t="s">
        <v>34</v>
      </c>
      <c r="J2285" s="1" t="s">
        <v>18</v>
      </c>
      <c r="K2285" s="1">
        <f t="shared" si="1"/>
        <v>2023</v>
      </c>
      <c r="L2285" s="1" t="str">
        <f t="shared" si="2"/>
        <v>May</v>
      </c>
      <c r="M2285" s="1" t="str">
        <f t="shared" si="3"/>
        <v>Profit</v>
      </c>
    </row>
    <row r="2286" ht="14.25" customHeight="1">
      <c r="A2286" s="1" t="s">
        <v>2320</v>
      </c>
      <c r="B2286" s="2">
        <v>44209.0</v>
      </c>
      <c r="C2286" s="1" t="s">
        <v>26</v>
      </c>
      <c r="D2286" s="1" t="s">
        <v>27</v>
      </c>
      <c r="E2286" s="1" t="s">
        <v>40</v>
      </c>
      <c r="F2286" s="1">
        <v>50.84</v>
      </c>
      <c r="G2286" s="1">
        <v>-98.4</v>
      </c>
      <c r="H2286" s="1">
        <v>4.0</v>
      </c>
      <c r="I2286" s="1" t="s">
        <v>17</v>
      </c>
      <c r="J2286" s="1" t="s">
        <v>18</v>
      </c>
      <c r="K2286" s="1">
        <f t="shared" si="1"/>
        <v>2021</v>
      </c>
      <c r="L2286" s="1" t="str">
        <f t="shared" si="2"/>
        <v>Jan</v>
      </c>
      <c r="M2286" s="1" t="str">
        <f t="shared" si="3"/>
        <v>Loss</v>
      </c>
    </row>
    <row r="2287" ht="14.25" customHeight="1">
      <c r="A2287" s="1" t="s">
        <v>2321</v>
      </c>
      <c r="B2287" s="2">
        <v>44220.0</v>
      </c>
      <c r="C2287" s="1" t="s">
        <v>14</v>
      </c>
      <c r="D2287" s="1" t="s">
        <v>21</v>
      </c>
      <c r="E2287" s="1" t="s">
        <v>37</v>
      </c>
      <c r="F2287" s="1">
        <v>206.04</v>
      </c>
      <c r="G2287" s="1">
        <v>-127.97</v>
      </c>
      <c r="H2287" s="1">
        <v>3.0</v>
      </c>
      <c r="I2287" s="1" t="s">
        <v>23</v>
      </c>
      <c r="J2287" s="1" t="s">
        <v>18</v>
      </c>
      <c r="K2287" s="1">
        <f t="shared" si="1"/>
        <v>2021</v>
      </c>
      <c r="L2287" s="1" t="str">
        <f t="shared" si="2"/>
        <v>Jan</v>
      </c>
      <c r="M2287" s="1" t="str">
        <f t="shared" si="3"/>
        <v>Loss</v>
      </c>
    </row>
    <row r="2288" ht="14.25" customHeight="1">
      <c r="A2288" s="1" t="s">
        <v>2322</v>
      </c>
      <c r="B2288" s="2">
        <v>44726.0</v>
      </c>
      <c r="C2288" s="1" t="s">
        <v>14</v>
      </c>
      <c r="D2288" s="1" t="s">
        <v>15</v>
      </c>
      <c r="E2288" s="1" t="s">
        <v>16</v>
      </c>
      <c r="F2288" s="1">
        <v>146.45</v>
      </c>
      <c r="G2288" s="1">
        <v>184.5</v>
      </c>
      <c r="H2288" s="1">
        <v>9.0</v>
      </c>
      <c r="I2288" s="1" t="s">
        <v>23</v>
      </c>
      <c r="J2288" s="1" t="s">
        <v>24</v>
      </c>
      <c r="K2288" s="1">
        <f t="shared" si="1"/>
        <v>2022</v>
      </c>
      <c r="L2288" s="1" t="str">
        <f t="shared" si="2"/>
        <v>Jun</v>
      </c>
      <c r="M2288" s="1" t="str">
        <f t="shared" si="3"/>
        <v>Profit</v>
      </c>
    </row>
    <row r="2289" ht="14.25" customHeight="1">
      <c r="A2289" s="1" t="s">
        <v>2323</v>
      </c>
      <c r="B2289" s="2">
        <v>45236.0</v>
      </c>
      <c r="C2289" s="1" t="s">
        <v>20</v>
      </c>
      <c r="D2289" s="1" t="s">
        <v>21</v>
      </c>
      <c r="E2289" s="1" t="s">
        <v>22</v>
      </c>
      <c r="F2289" s="1">
        <v>768.79</v>
      </c>
      <c r="G2289" s="1">
        <v>72.2</v>
      </c>
      <c r="H2289" s="1">
        <v>3.0</v>
      </c>
      <c r="I2289" s="1" t="s">
        <v>17</v>
      </c>
      <c r="J2289" s="1" t="s">
        <v>38</v>
      </c>
      <c r="K2289" s="1">
        <f t="shared" si="1"/>
        <v>2023</v>
      </c>
      <c r="L2289" s="1" t="str">
        <f t="shared" si="2"/>
        <v>Nov</v>
      </c>
      <c r="M2289" s="1" t="str">
        <f t="shared" si="3"/>
        <v>Profit</v>
      </c>
    </row>
    <row r="2290" ht="14.25" customHeight="1">
      <c r="A2290" s="1" t="s">
        <v>2324</v>
      </c>
      <c r="B2290" s="2">
        <v>44919.0</v>
      </c>
      <c r="C2290" s="1" t="s">
        <v>30</v>
      </c>
      <c r="D2290" s="1" t="s">
        <v>21</v>
      </c>
      <c r="E2290" s="1" t="s">
        <v>76</v>
      </c>
      <c r="F2290" s="1">
        <v>388.77</v>
      </c>
      <c r="G2290" s="1">
        <v>-61.71</v>
      </c>
      <c r="H2290" s="1">
        <v>3.0</v>
      </c>
      <c r="I2290" s="1" t="s">
        <v>34</v>
      </c>
      <c r="J2290" s="1" t="s">
        <v>18</v>
      </c>
      <c r="K2290" s="1">
        <f t="shared" si="1"/>
        <v>2022</v>
      </c>
      <c r="L2290" s="1" t="str">
        <f t="shared" si="2"/>
        <v>Dec</v>
      </c>
      <c r="M2290" s="1" t="str">
        <f t="shared" si="3"/>
        <v>Loss</v>
      </c>
    </row>
    <row r="2291" ht="14.25" customHeight="1">
      <c r="A2291" s="1" t="s">
        <v>2325</v>
      </c>
      <c r="B2291" s="2">
        <v>44858.0</v>
      </c>
      <c r="C2291" s="1" t="s">
        <v>14</v>
      </c>
      <c r="D2291" s="1" t="s">
        <v>27</v>
      </c>
      <c r="E2291" s="1" t="s">
        <v>40</v>
      </c>
      <c r="F2291" s="1">
        <v>319.23</v>
      </c>
      <c r="G2291" s="1">
        <v>-57.54</v>
      </c>
      <c r="H2291" s="1">
        <v>7.0</v>
      </c>
      <c r="I2291" s="1" t="s">
        <v>34</v>
      </c>
      <c r="J2291" s="1" t="s">
        <v>38</v>
      </c>
      <c r="K2291" s="1">
        <f t="shared" si="1"/>
        <v>2022</v>
      </c>
      <c r="L2291" s="1" t="str">
        <f t="shared" si="2"/>
        <v>Oct</v>
      </c>
      <c r="M2291" s="1" t="str">
        <f t="shared" si="3"/>
        <v>Loss</v>
      </c>
    </row>
    <row r="2292" ht="14.25" customHeight="1">
      <c r="A2292" s="1" t="s">
        <v>2326</v>
      </c>
      <c r="B2292" s="2">
        <v>44237.0</v>
      </c>
      <c r="C2292" s="1" t="s">
        <v>14</v>
      </c>
      <c r="D2292" s="1" t="s">
        <v>21</v>
      </c>
      <c r="E2292" s="1" t="s">
        <v>22</v>
      </c>
      <c r="F2292" s="1">
        <v>387.99</v>
      </c>
      <c r="G2292" s="1">
        <v>170.39</v>
      </c>
      <c r="H2292" s="1">
        <v>4.0</v>
      </c>
      <c r="I2292" s="1" t="s">
        <v>17</v>
      </c>
      <c r="J2292" s="1" t="s">
        <v>18</v>
      </c>
      <c r="K2292" s="1">
        <f t="shared" si="1"/>
        <v>2021</v>
      </c>
      <c r="L2292" s="1" t="str">
        <f t="shared" si="2"/>
        <v>Feb</v>
      </c>
      <c r="M2292" s="1" t="str">
        <f t="shared" si="3"/>
        <v>Profit</v>
      </c>
    </row>
    <row r="2293" ht="14.25" customHeight="1">
      <c r="A2293" s="1" t="s">
        <v>2327</v>
      </c>
      <c r="B2293" s="2">
        <v>44432.0</v>
      </c>
      <c r="C2293" s="1" t="s">
        <v>14</v>
      </c>
      <c r="D2293" s="1" t="s">
        <v>15</v>
      </c>
      <c r="E2293" s="1" t="s">
        <v>54</v>
      </c>
      <c r="F2293" s="1">
        <v>518.7</v>
      </c>
      <c r="G2293" s="1">
        <v>216.05</v>
      </c>
      <c r="H2293" s="1">
        <v>8.0</v>
      </c>
      <c r="I2293" s="1" t="s">
        <v>34</v>
      </c>
      <c r="J2293" s="1" t="s">
        <v>24</v>
      </c>
      <c r="K2293" s="1">
        <f t="shared" si="1"/>
        <v>2021</v>
      </c>
      <c r="L2293" s="1" t="str">
        <f t="shared" si="2"/>
        <v>Aug</v>
      </c>
      <c r="M2293" s="1" t="str">
        <f t="shared" si="3"/>
        <v>Profit</v>
      </c>
    </row>
    <row r="2294" ht="14.25" customHeight="1">
      <c r="A2294" s="1" t="s">
        <v>2328</v>
      </c>
      <c r="B2294" s="2">
        <v>44579.0</v>
      </c>
      <c r="C2294" s="1" t="s">
        <v>14</v>
      </c>
      <c r="D2294" s="1" t="s">
        <v>27</v>
      </c>
      <c r="E2294" s="1" t="s">
        <v>28</v>
      </c>
      <c r="F2294" s="1">
        <v>827.98</v>
      </c>
      <c r="G2294" s="1">
        <v>37.71</v>
      </c>
      <c r="H2294" s="1">
        <v>5.0</v>
      </c>
      <c r="I2294" s="1" t="s">
        <v>23</v>
      </c>
      <c r="J2294" s="1" t="s">
        <v>38</v>
      </c>
      <c r="K2294" s="1">
        <f t="shared" si="1"/>
        <v>2022</v>
      </c>
      <c r="L2294" s="1" t="str">
        <f t="shared" si="2"/>
        <v>Jan</v>
      </c>
      <c r="M2294" s="1" t="str">
        <f t="shared" si="3"/>
        <v>Profit</v>
      </c>
    </row>
    <row r="2295" ht="14.25" customHeight="1">
      <c r="A2295" s="1" t="s">
        <v>2329</v>
      </c>
      <c r="B2295" s="2">
        <v>45005.0</v>
      </c>
      <c r="C2295" s="1" t="s">
        <v>20</v>
      </c>
      <c r="D2295" s="1" t="s">
        <v>27</v>
      </c>
      <c r="E2295" s="1" t="s">
        <v>28</v>
      </c>
      <c r="F2295" s="1">
        <v>666.2</v>
      </c>
      <c r="G2295" s="1">
        <v>123.55</v>
      </c>
      <c r="H2295" s="1">
        <v>3.0</v>
      </c>
      <c r="I2295" s="1" t="s">
        <v>23</v>
      </c>
      <c r="J2295" s="1" t="s">
        <v>18</v>
      </c>
      <c r="K2295" s="1">
        <f t="shared" si="1"/>
        <v>2023</v>
      </c>
      <c r="L2295" s="1" t="str">
        <f t="shared" si="2"/>
        <v>Mar</v>
      </c>
      <c r="M2295" s="1" t="str">
        <f t="shared" si="3"/>
        <v>Profit</v>
      </c>
    </row>
    <row r="2296" ht="14.25" customHeight="1">
      <c r="A2296" s="1" t="s">
        <v>2330</v>
      </c>
      <c r="B2296" s="2">
        <v>44540.0</v>
      </c>
      <c r="C2296" s="1" t="s">
        <v>14</v>
      </c>
      <c r="D2296" s="1" t="s">
        <v>21</v>
      </c>
      <c r="E2296" s="1" t="s">
        <v>22</v>
      </c>
      <c r="F2296" s="1">
        <v>989.34</v>
      </c>
      <c r="G2296" s="1">
        <v>226.03</v>
      </c>
      <c r="H2296" s="1">
        <v>7.0</v>
      </c>
      <c r="I2296" s="1" t="s">
        <v>34</v>
      </c>
      <c r="J2296" s="1" t="s">
        <v>38</v>
      </c>
      <c r="K2296" s="1">
        <f t="shared" si="1"/>
        <v>2021</v>
      </c>
      <c r="L2296" s="1" t="str">
        <f t="shared" si="2"/>
        <v>Dec</v>
      </c>
      <c r="M2296" s="1" t="str">
        <f t="shared" si="3"/>
        <v>Profit</v>
      </c>
    </row>
    <row r="2297" ht="14.25" customHeight="1">
      <c r="A2297" s="1" t="s">
        <v>2331</v>
      </c>
      <c r="B2297" s="2">
        <v>45117.0</v>
      </c>
      <c r="C2297" s="1" t="s">
        <v>26</v>
      </c>
      <c r="D2297" s="1" t="s">
        <v>15</v>
      </c>
      <c r="E2297" s="1" t="s">
        <v>31</v>
      </c>
      <c r="F2297" s="1">
        <v>276.67</v>
      </c>
      <c r="G2297" s="1">
        <v>77.57</v>
      </c>
      <c r="H2297" s="1">
        <v>4.0</v>
      </c>
      <c r="I2297" s="1" t="s">
        <v>23</v>
      </c>
      <c r="J2297" s="1" t="s">
        <v>24</v>
      </c>
      <c r="K2297" s="1">
        <f t="shared" si="1"/>
        <v>2023</v>
      </c>
      <c r="L2297" s="1" t="str">
        <f t="shared" si="2"/>
        <v>Jul</v>
      </c>
      <c r="M2297" s="1" t="str">
        <f t="shared" si="3"/>
        <v>Profit</v>
      </c>
    </row>
    <row r="2298" ht="14.25" customHeight="1">
      <c r="A2298" s="1" t="s">
        <v>2332</v>
      </c>
      <c r="B2298" s="2">
        <v>44366.0</v>
      </c>
      <c r="C2298" s="1" t="s">
        <v>26</v>
      </c>
      <c r="D2298" s="1" t="s">
        <v>21</v>
      </c>
      <c r="E2298" s="1" t="s">
        <v>22</v>
      </c>
      <c r="F2298" s="1">
        <v>355.81</v>
      </c>
      <c r="G2298" s="1">
        <v>188.45</v>
      </c>
      <c r="H2298" s="1">
        <v>6.0</v>
      </c>
      <c r="I2298" s="1" t="s">
        <v>23</v>
      </c>
      <c r="J2298" s="1" t="s">
        <v>38</v>
      </c>
      <c r="K2298" s="1">
        <f t="shared" si="1"/>
        <v>2021</v>
      </c>
      <c r="L2298" s="1" t="str">
        <f t="shared" si="2"/>
        <v>Jun</v>
      </c>
      <c r="M2298" s="1" t="str">
        <f t="shared" si="3"/>
        <v>Profit</v>
      </c>
    </row>
    <row r="2299" ht="14.25" customHeight="1">
      <c r="A2299" s="1" t="s">
        <v>2333</v>
      </c>
      <c r="B2299" s="2">
        <v>44736.0</v>
      </c>
      <c r="C2299" s="1" t="s">
        <v>30</v>
      </c>
      <c r="D2299" s="1" t="s">
        <v>21</v>
      </c>
      <c r="E2299" s="1" t="s">
        <v>76</v>
      </c>
      <c r="F2299" s="1">
        <v>440.39</v>
      </c>
      <c r="G2299" s="1">
        <v>40.19</v>
      </c>
      <c r="H2299" s="1">
        <v>9.0</v>
      </c>
      <c r="I2299" s="1" t="s">
        <v>17</v>
      </c>
      <c r="J2299" s="1" t="s">
        <v>35</v>
      </c>
      <c r="K2299" s="1">
        <f t="shared" si="1"/>
        <v>2022</v>
      </c>
      <c r="L2299" s="1" t="str">
        <f t="shared" si="2"/>
        <v>Jun</v>
      </c>
      <c r="M2299" s="1" t="str">
        <f t="shared" si="3"/>
        <v>Profit</v>
      </c>
    </row>
    <row r="2300" ht="14.25" customHeight="1">
      <c r="A2300" s="1" t="s">
        <v>2334</v>
      </c>
      <c r="B2300" s="2">
        <v>44497.0</v>
      </c>
      <c r="C2300" s="1" t="s">
        <v>26</v>
      </c>
      <c r="D2300" s="1" t="s">
        <v>27</v>
      </c>
      <c r="E2300" s="1" t="s">
        <v>40</v>
      </c>
      <c r="F2300" s="1">
        <v>100.32</v>
      </c>
      <c r="G2300" s="1">
        <v>284.28</v>
      </c>
      <c r="H2300" s="1">
        <v>10.0</v>
      </c>
      <c r="I2300" s="1" t="s">
        <v>23</v>
      </c>
      <c r="J2300" s="1" t="s">
        <v>18</v>
      </c>
      <c r="K2300" s="1">
        <f t="shared" si="1"/>
        <v>2021</v>
      </c>
      <c r="L2300" s="1" t="str">
        <f t="shared" si="2"/>
        <v>Oct</v>
      </c>
      <c r="M2300" s="1" t="str">
        <f t="shared" si="3"/>
        <v>Profit</v>
      </c>
    </row>
    <row r="2301" ht="14.25" customHeight="1">
      <c r="A2301" s="1" t="s">
        <v>2335</v>
      </c>
      <c r="B2301" s="2">
        <v>44817.0</v>
      </c>
      <c r="C2301" s="1" t="s">
        <v>14</v>
      </c>
      <c r="D2301" s="1" t="s">
        <v>21</v>
      </c>
      <c r="E2301" s="1" t="s">
        <v>37</v>
      </c>
      <c r="F2301" s="1">
        <v>581.95</v>
      </c>
      <c r="G2301" s="1">
        <v>198.31</v>
      </c>
      <c r="H2301" s="1">
        <v>3.0</v>
      </c>
      <c r="I2301" s="1" t="s">
        <v>23</v>
      </c>
      <c r="J2301" s="1" t="s">
        <v>35</v>
      </c>
      <c r="K2301" s="1">
        <f t="shared" si="1"/>
        <v>2022</v>
      </c>
      <c r="L2301" s="1" t="str">
        <f t="shared" si="2"/>
        <v>Sep</v>
      </c>
      <c r="M2301" s="1" t="str">
        <f t="shared" si="3"/>
        <v>Profit</v>
      </c>
    </row>
    <row r="2302" ht="14.25" customHeight="1">
      <c r="A2302" s="1" t="s">
        <v>2336</v>
      </c>
      <c r="B2302" s="2">
        <v>44957.0</v>
      </c>
      <c r="C2302" s="1" t="s">
        <v>30</v>
      </c>
      <c r="D2302" s="1" t="s">
        <v>27</v>
      </c>
      <c r="E2302" s="1" t="s">
        <v>33</v>
      </c>
      <c r="F2302" s="1">
        <v>947.53</v>
      </c>
      <c r="G2302" s="1">
        <v>42.43</v>
      </c>
      <c r="H2302" s="1">
        <v>7.0</v>
      </c>
      <c r="I2302" s="1" t="s">
        <v>34</v>
      </c>
      <c r="J2302" s="1" t="s">
        <v>24</v>
      </c>
      <c r="K2302" s="1">
        <f t="shared" si="1"/>
        <v>2023</v>
      </c>
      <c r="L2302" s="1" t="str">
        <f t="shared" si="2"/>
        <v>Jan</v>
      </c>
      <c r="M2302" s="1" t="str">
        <f t="shared" si="3"/>
        <v>Profit</v>
      </c>
    </row>
    <row r="2303" ht="14.25" customHeight="1">
      <c r="A2303" s="1" t="s">
        <v>2337</v>
      </c>
      <c r="B2303" s="2">
        <v>45007.0</v>
      </c>
      <c r="C2303" s="1" t="s">
        <v>14</v>
      </c>
      <c r="D2303" s="1" t="s">
        <v>21</v>
      </c>
      <c r="E2303" s="1" t="s">
        <v>37</v>
      </c>
      <c r="F2303" s="1">
        <v>101.96</v>
      </c>
      <c r="G2303" s="1">
        <v>-178.23</v>
      </c>
      <c r="H2303" s="1">
        <v>7.0</v>
      </c>
      <c r="I2303" s="1" t="s">
        <v>34</v>
      </c>
      <c r="J2303" s="1" t="s">
        <v>24</v>
      </c>
      <c r="K2303" s="1">
        <f t="shared" si="1"/>
        <v>2023</v>
      </c>
      <c r="L2303" s="1" t="str">
        <f t="shared" si="2"/>
        <v>Mar</v>
      </c>
      <c r="M2303" s="1" t="str">
        <f t="shared" si="3"/>
        <v>Loss</v>
      </c>
    </row>
    <row r="2304" ht="14.25" customHeight="1">
      <c r="A2304" s="1" t="s">
        <v>2338</v>
      </c>
      <c r="B2304" s="2">
        <v>45020.0</v>
      </c>
      <c r="C2304" s="1" t="s">
        <v>26</v>
      </c>
      <c r="D2304" s="1" t="s">
        <v>21</v>
      </c>
      <c r="E2304" s="1" t="s">
        <v>76</v>
      </c>
      <c r="F2304" s="1">
        <v>978.21</v>
      </c>
      <c r="G2304" s="1">
        <v>180.91</v>
      </c>
      <c r="H2304" s="1">
        <v>5.0</v>
      </c>
      <c r="I2304" s="1" t="s">
        <v>34</v>
      </c>
      <c r="J2304" s="1" t="s">
        <v>18</v>
      </c>
      <c r="K2304" s="1">
        <f t="shared" si="1"/>
        <v>2023</v>
      </c>
      <c r="L2304" s="1" t="str">
        <f t="shared" si="2"/>
        <v>Apr</v>
      </c>
      <c r="M2304" s="1" t="str">
        <f t="shared" si="3"/>
        <v>Profit</v>
      </c>
    </row>
    <row r="2305" ht="14.25" customHeight="1">
      <c r="A2305" s="1" t="s">
        <v>2339</v>
      </c>
      <c r="B2305" s="2">
        <v>45151.0</v>
      </c>
      <c r="C2305" s="1" t="s">
        <v>20</v>
      </c>
      <c r="D2305" s="1" t="s">
        <v>15</v>
      </c>
      <c r="E2305" s="1" t="s">
        <v>31</v>
      </c>
      <c r="F2305" s="1">
        <v>920.97</v>
      </c>
      <c r="G2305" s="1">
        <v>108.8</v>
      </c>
      <c r="H2305" s="1">
        <v>6.0</v>
      </c>
      <c r="I2305" s="1" t="s">
        <v>34</v>
      </c>
      <c r="J2305" s="1" t="s">
        <v>35</v>
      </c>
      <c r="K2305" s="1">
        <f t="shared" si="1"/>
        <v>2023</v>
      </c>
      <c r="L2305" s="1" t="str">
        <f t="shared" si="2"/>
        <v>Aug</v>
      </c>
      <c r="M2305" s="1" t="str">
        <f t="shared" si="3"/>
        <v>Profit</v>
      </c>
    </row>
    <row r="2306" ht="14.25" customHeight="1">
      <c r="A2306" s="1" t="s">
        <v>2340</v>
      </c>
      <c r="B2306" s="2">
        <v>44484.0</v>
      </c>
      <c r="C2306" s="1" t="s">
        <v>26</v>
      </c>
      <c r="D2306" s="1" t="s">
        <v>15</v>
      </c>
      <c r="E2306" s="1" t="s">
        <v>16</v>
      </c>
      <c r="F2306" s="1">
        <v>697.75</v>
      </c>
      <c r="G2306" s="1">
        <v>-61.9</v>
      </c>
      <c r="H2306" s="1">
        <v>3.0</v>
      </c>
      <c r="I2306" s="1" t="s">
        <v>17</v>
      </c>
      <c r="J2306" s="1" t="s">
        <v>38</v>
      </c>
      <c r="K2306" s="1">
        <f t="shared" si="1"/>
        <v>2021</v>
      </c>
      <c r="L2306" s="1" t="str">
        <f t="shared" si="2"/>
        <v>Oct</v>
      </c>
      <c r="M2306" s="1" t="str">
        <f t="shared" si="3"/>
        <v>Loss</v>
      </c>
    </row>
    <row r="2307" ht="14.25" customHeight="1">
      <c r="A2307" s="1" t="s">
        <v>2341</v>
      </c>
      <c r="B2307" s="2">
        <v>45144.0</v>
      </c>
      <c r="C2307" s="1" t="s">
        <v>26</v>
      </c>
      <c r="D2307" s="1" t="s">
        <v>15</v>
      </c>
      <c r="E2307" s="1" t="s">
        <v>16</v>
      </c>
      <c r="F2307" s="1">
        <v>769.24</v>
      </c>
      <c r="G2307" s="1">
        <v>72.92</v>
      </c>
      <c r="H2307" s="1">
        <v>1.0</v>
      </c>
      <c r="I2307" s="1" t="s">
        <v>34</v>
      </c>
      <c r="J2307" s="1" t="s">
        <v>18</v>
      </c>
      <c r="K2307" s="1">
        <f t="shared" si="1"/>
        <v>2023</v>
      </c>
      <c r="L2307" s="1" t="str">
        <f t="shared" si="2"/>
        <v>Aug</v>
      </c>
      <c r="M2307" s="1" t="str">
        <f t="shared" si="3"/>
        <v>Profit</v>
      </c>
    </row>
    <row r="2308" ht="14.25" customHeight="1">
      <c r="A2308" s="1" t="s">
        <v>2342</v>
      </c>
      <c r="B2308" s="2">
        <v>44776.0</v>
      </c>
      <c r="C2308" s="1" t="s">
        <v>14</v>
      </c>
      <c r="D2308" s="1" t="s">
        <v>27</v>
      </c>
      <c r="E2308" s="1" t="s">
        <v>28</v>
      </c>
      <c r="F2308" s="1">
        <v>134.67</v>
      </c>
      <c r="G2308" s="1">
        <v>172.92</v>
      </c>
      <c r="H2308" s="1">
        <v>2.0</v>
      </c>
      <c r="I2308" s="1" t="s">
        <v>34</v>
      </c>
      <c r="J2308" s="1" t="s">
        <v>24</v>
      </c>
      <c r="K2308" s="1">
        <f t="shared" si="1"/>
        <v>2022</v>
      </c>
      <c r="L2308" s="1" t="str">
        <f t="shared" si="2"/>
        <v>Aug</v>
      </c>
      <c r="M2308" s="1" t="str">
        <f t="shared" si="3"/>
        <v>Profit</v>
      </c>
    </row>
    <row r="2309" ht="14.25" customHeight="1">
      <c r="A2309" s="1" t="s">
        <v>2343</v>
      </c>
      <c r="B2309" s="2">
        <v>45116.0</v>
      </c>
      <c r="C2309" s="1" t="s">
        <v>20</v>
      </c>
      <c r="D2309" s="1" t="s">
        <v>21</v>
      </c>
      <c r="E2309" s="1" t="s">
        <v>76</v>
      </c>
      <c r="F2309" s="1">
        <v>254.89</v>
      </c>
      <c r="G2309" s="1">
        <v>249.16</v>
      </c>
      <c r="H2309" s="1">
        <v>3.0</v>
      </c>
      <c r="I2309" s="1" t="s">
        <v>34</v>
      </c>
      <c r="J2309" s="1" t="s">
        <v>24</v>
      </c>
      <c r="K2309" s="1">
        <f t="shared" si="1"/>
        <v>2023</v>
      </c>
      <c r="L2309" s="1" t="str">
        <f t="shared" si="2"/>
        <v>Jul</v>
      </c>
      <c r="M2309" s="1" t="str">
        <f t="shared" si="3"/>
        <v>Profit</v>
      </c>
    </row>
    <row r="2310" ht="14.25" customHeight="1">
      <c r="A2310" s="1" t="s">
        <v>2344</v>
      </c>
      <c r="B2310" s="2">
        <v>44667.0</v>
      </c>
      <c r="C2310" s="1" t="s">
        <v>14</v>
      </c>
      <c r="D2310" s="1" t="s">
        <v>15</v>
      </c>
      <c r="E2310" s="1" t="s">
        <v>31</v>
      </c>
      <c r="F2310" s="1">
        <v>161.14</v>
      </c>
      <c r="G2310" s="1">
        <v>204.16</v>
      </c>
      <c r="H2310" s="1">
        <v>9.0</v>
      </c>
      <c r="I2310" s="1" t="s">
        <v>17</v>
      </c>
      <c r="J2310" s="1" t="s">
        <v>35</v>
      </c>
      <c r="K2310" s="1">
        <f t="shared" si="1"/>
        <v>2022</v>
      </c>
      <c r="L2310" s="1" t="str">
        <f t="shared" si="2"/>
        <v>Apr</v>
      </c>
      <c r="M2310" s="1" t="str">
        <f t="shared" si="3"/>
        <v>Profit</v>
      </c>
    </row>
    <row r="2311" ht="14.25" customHeight="1">
      <c r="A2311" s="1" t="s">
        <v>2345</v>
      </c>
      <c r="B2311" s="2">
        <v>44443.0</v>
      </c>
      <c r="C2311" s="1" t="s">
        <v>26</v>
      </c>
      <c r="D2311" s="1" t="s">
        <v>15</v>
      </c>
      <c r="E2311" s="1" t="s">
        <v>31</v>
      </c>
      <c r="F2311" s="1">
        <v>22.67</v>
      </c>
      <c r="G2311" s="1">
        <v>49.45</v>
      </c>
      <c r="H2311" s="1">
        <v>6.0</v>
      </c>
      <c r="I2311" s="1" t="s">
        <v>23</v>
      </c>
      <c r="J2311" s="1" t="s">
        <v>24</v>
      </c>
      <c r="K2311" s="1">
        <f t="shared" si="1"/>
        <v>2021</v>
      </c>
      <c r="L2311" s="1" t="str">
        <f t="shared" si="2"/>
        <v>Sep</v>
      </c>
      <c r="M2311" s="1" t="str">
        <f t="shared" si="3"/>
        <v>Profit</v>
      </c>
    </row>
    <row r="2312" ht="14.25" customHeight="1">
      <c r="A2312" s="1" t="s">
        <v>2346</v>
      </c>
      <c r="B2312" s="2">
        <v>44963.0</v>
      </c>
      <c r="C2312" s="1" t="s">
        <v>26</v>
      </c>
      <c r="D2312" s="1" t="s">
        <v>21</v>
      </c>
      <c r="E2312" s="1" t="s">
        <v>37</v>
      </c>
      <c r="F2312" s="1">
        <v>349.98</v>
      </c>
      <c r="G2312" s="1">
        <v>294.4</v>
      </c>
      <c r="H2312" s="1">
        <v>8.0</v>
      </c>
      <c r="I2312" s="1" t="s">
        <v>17</v>
      </c>
      <c r="J2312" s="1" t="s">
        <v>35</v>
      </c>
      <c r="K2312" s="1">
        <f t="shared" si="1"/>
        <v>2023</v>
      </c>
      <c r="L2312" s="1" t="str">
        <f t="shared" si="2"/>
        <v>Feb</v>
      </c>
      <c r="M2312" s="1" t="str">
        <f t="shared" si="3"/>
        <v>Profit</v>
      </c>
    </row>
    <row r="2313" ht="14.25" customHeight="1">
      <c r="A2313" s="1" t="s">
        <v>2347</v>
      </c>
      <c r="B2313" s="2">
        <v>45045.0</v>
      </c>
      <c r="C2313" s="1" t="s">
        <v>20</v>
      </c>
      <c r="D2313" s="1" t="s">
        <v>21</v>
      </c>
      <c r="E2313" s="1" t="s">
        <v>37</v>
      </c>
      <c r="F2313" s="1">
        <v>539.14</v>
      </c>
      <c r="G2313" s="1">
        <v>-99.29</v>
      </c>
      <c r="H2313" s="1">
        <v>5.0</v>
      </c>
      <c r="I2313" s="1" t="s">
        <v>17</v>
      </c>
      <c r="J2313" s="1" t="s">
        <v>24</v>
      </c>
      <c r="K2313" s="1">
        <f t="shared" si="1"/>
        <v>2023</v>
      </c>
      <c r="L2313" s="1" t="str">
        <f t="shared" si="2"/>
        <v>Apr</v>
      </c>
      <c r="M2313" s="1" t="str">
        <f t="shared" si="3"/>
        <v>Loss</v>
      </c>
    </row>
    <row r="2314" ht="14.25" customHeight="1">
      <c r="A2314" s="1" t="s">
        <v>2348</v>
      </c>
      <c r="B2314" s="2">
        <v>45039.0</v>
      </c>
      <c r="C2314" s="1" t="s">
        <v>30</v>
      </c>
      <c r="D2314" s="1" t="s">
        <v>21</v>
      </c>
      <c r="E2314" s="1" t="s">
        <v>22</v>
      </c>
      <c r="F2314" s="1">
        <v>500.11</v>
      </c>
      <c r="G2314" s="1">
        <v>-169.22</v>
      </c>
      <c r="H2314" s="1">
        <v>8.0</v>
      </c>
      <c r="I2314" s="1" t="s">
        <v>23</v>
      </c>
      <c r="J2314" s="1" t="s">
        <v>18</v>
      </c>
      <c r="K2314" s="1">
        <f t="shared" si="1"/>
        <v>2023</v>
      </c>
      <c r="L2314" s="1" t="str">
        <f t="shared" si="2"/>
        <v>Apr</v>
      </c>
      <c r="M2314" s="1" t="str">
        <f t="shared" si="3"/>
        <v>Loss</v>
      </c>
    </row>
    <row r="2315" ht="14.25" customHeight="1">
      <c r="A2315" s="1" t="s">
        <v>2349</v>
      </c>
      <c r="B2315" s="2">
        <v>44204.0</v>
      </c>
      <c r="C2315" s="1" t="s">
        <v>30</v>
      </c>
      <c r="D2315" s="1" t="s">
        <v>15</v>
      </c>
      <c r="E2315" s="1" t="s">
        <v>54</v>
      </c>
      <c r="F2315" s="1">
        <v>354.88</v>
      </c>
      <c r="G2315" s="1">
        <v>276.23</v>
      </c>
      <c r="H2315" s="1">
        <v>5.0</v>
      </c>
      <c r="I2315" s="1" t="s">
        <v>34</v>
      </c>
      <c r="J2315" s="1" t="s">
        <v>18</v>
      </c>
      <c r="K2315" s="1">
        <f t="shared" si="1"/>
        <v>2021</v>
      </c>
      <c r="L2315" s="1" t="str">
        <f t="shared" si="2"/>
        <v>Jan</v>
      </c>
      <c r="M2315" s="1" t="str">
        <f t="shared" si="3"/>
        <v>Profit</v>
      </c>
    </row>
    <row r="2316" ht="14.25" customHeight="1">
      <c r="A2316" s="1" t="s">
        <v>2350</v>
      </c>
      <c r="B2316" s="2">
        <v>44627.0</v>
      </c>
      <c r="C2316" s="1" t="s">
        <v>14</v>
      </c>
      <c r="D2316" s="1" t="s">
        <v>27</v>
      </c>
      <c r="E2316" s="1" t="s">
        <v>33</v>
      </c>
      <c r="F2316" s="1">
        <v>721.37</v>
      </c>
      <c r="G2316" s="1">
        <v>252.82</v>
      </c>
      <c r="H2316" s="1">
        <v>2.0</v>
      </c>
      <c r="I2316" s="1" t="s">
        <v>23</v>
      </c>
      <c r="J2316" s="1" t="s">
        <v>35</v>
      </c>
      <c r="K2316" s="1">
        <f t="shared" si="1"/>
        <v>2022</v>
      </c>
      <c r="L2316" s="1" t="str">
        <f t="shared" si="2"/>
        <v>Mar</v>
      </c>
      <c r="M2316" s="1" t="str">
        <f t="shared" si="3"/>
        <v>Profit</v>
      </c>
    </row>
    <row r="2317" ht="14.25" customHeight="1">
      <c r="A2317" s="1" t="s">
        <v>2351</v>
      </c>
      <c r="B2317" s="2">
        <v>44459.0</v>
      </c>
      <c r="C2317" s="1" t="s">
        <v>30</v>
      </c>
      <c r="D2317" s="1" t="s">
        <v>15</v>
      </c>
      <c r="E2317" s="1" t="s">
        <v>16</v>
      </c>
      <c r="F2317" s="1">
        <v>780.16</v>
      </c>
      <c r="G2317" s="1">
        <v>-28.45</v>
      </c>
      <c r="H2317" s="1">
        <v>2.0</v>
      </c>
      <c r="I2317" s="1" t="s">
        <v>17</v>
      </c>
      <c r="J2317" s="1" t="s">
        <v>24</v>
      </c>
      <c r="K2317" s="1">
        <f t="shared" si="1"/>
        <v>2021</v>
      </c>
      <c r="L2317" s="1" t="str">
        <f t="shared" si="2"/>
        <v>Sep</v>
      </c>
      <c r="M2317" s="1" t="str">
        <f t="shared" si="3"/>
        <v>Loss</v>
      </c>
    </row>
    <row r="2318" ht="14.25" customHeight="1">
      <c r="A2318" s="1" t="s">
        <v>2352</v>
      </c>
      <c r="B2318" s="2">
        <v>45112.0</v>
      </c>
      <c r="C2318" s="1" t="s">
        <v>26</v>
      </c>
      <c r="D2318" s="1" t="s">
        <v>27</v>
      </c>
      <c r="E2318" s="1" t="s">
        <v>28</v>
      </c>
      <c r="F2318" s="1">
        <v>280.71</v>
      </c>
      <c r="G2318" s="1">
        <v>-134.05</v>
      </c>
      <c r="H2318" s="1">
        <v>10.0</v>
      </c>
      <c r="I2318" s="1" t="s">
        <v>34</v>
      </c>
      <c r="J2318" s="1" t="s">
        <v>38</v>
      </c>
      <c r="K2318" s="1">
        <f t="shared" si="1"/>
        <v>2023</v>
      </c>
      <c r="L2318" s="1" t="str">
        <f t="shared" si="2"/>
        <v>Jul</v>
      </c>
      <c r="M2318" s="1" t="str">
        <f t="shared" si="3"/>
        <v>Loss</v>
      </c>
    </row>
    <row r="2319" ht="14.25" customHeight="1">
      <c r="A2319" s="1" t="s">
        <v>2353</v>
      </c>
      <c r="B2319" s="2">
        <v>44215.0</v>
      </c>
      <c r="C2319" s="1" t="s">
        <v>30</v>
      </c>
      <c r="D2319" s="1" t="s">
        <v>27</v>
      </c>
      <c r="E2319" s="1" t="s">
        <v>28</v>
      </c>
      <c r="F2319" s="1">
        <v>218.52</v>
      </c>
      <c r="G2319" s="1">
        <v>125.2</v>
      </c>
      <c r="H2319" s="1">
        <v>5.0</v>
      </c>
      <c r="I2319" s="1" t="s">
        <v>17</v>
      </c>
      <c r="J2319" s="1" t="s">
        <v>18</v>
      </c>
      <c r="K2319" s="1">
        <f t="shared" si="1"/>
        <v>2021</v>
      </c>
      <c r="L2319" s="1" t="str">
        <f t="shared" si="2"/>
        <v>Jan</v>
      </c>
      <c r="M2319" s="1" t="str">
        <f t="shared" si="3"/>
        <v>Profit</v>
      </c>
    </row>
    <row r="2320" ht="14.25" customHeight="1">
      <c r="A2320" s="1" t="s">
        <v>2354</v>
      </c>
      <c r="B2320" s="2">
        <v>44834.0</v>
      </c>
      <c r="C2320" s="1" t="s">
        <v>26</v>
      </c>
      <c r="D2320" s="1" t="s">
        <v>27</v>
      </c>
      <c r="E2320" s="1" t="s">
        <v>33</v>
      </c>
      <c r="F2320" s="1">
        <v>899.01</v>
      </c>
      <c r="G2320" s="1">
        <v>132.27</v>
      </c>
      <c r="H2320" s="1">
        <v>1.0</v>
      </c>
      <c r="I2320" s="1" t="s">
        <v>17</v>
      </c>
      <c r="J2320" s="1" t="s">
        <v>18</v>
      </c>
      <c r="K2320" s="1">
        <f t="shared" si="1"/>
        <v>2022</v>
      </c>
      <c r="L2320" s="1" t="str">
        <f t="shared" si="2"/>
        <v>Sep</v>
      </c>
      <c r="M2320" s="1" t="str">
        <f t="shared" si="3"/>
        <v>Profit</v>
      </c>
    </row>
    <row r="2321" ht="14.25" customHeight="1">
      <c r="A2321" s="1" t="s">
        <v>2355</v>
      </c>
      <c r="B2321" s="2">
        <v>44420.0</v>
      </c>
      <c r="C2321" s="1" t="s">
        <v>20</v>
      </c>
      <c r="D2321" s="1" t="s">
        <v>15</v>
      </c>
      <c r="E2321" s="1" t="s">
        <v>31</v>
      </c>
      <c r="F2321" s="1">
        <v>654.29</v>
      </c>
      <c r="G2321" s="1">
        <v>129.83</v>
      </c>
      <c r="H2321" s="1">
        <v>1.0</v>
      </c>
      <c r="I2321" s="1" t="s">
        <v>34</v>
      </c>
      <c r="J2321" s="1" t="s">
        <v>24</v>
      </c>
      <c r="K2321" s="1">
        <f t="shared" si="1"/>
        <v>2021</v>
      </c>
      <c r="L2321" s="1" t="str">
        <f t="shared" si="2"/>
        <v>Aug</v>
      </c>
      <c r="M2321" s="1" t="str">
        <f t="shared" si="3"/>
        <v>Profit</v>
      </c>
    </row>
    <row r="2322" ht="14.25" customHeight="1">
      <c r="A2322" s="1" t="s">
        <v>2356</v>
      </c>
      <c r="B2322" s="2">
        <v>44450.0</v>
      </c>
      <c r="C2322" s="1" t="s">
        <v>26</v>
      </c>
      <c r="D2322" s="1" t="s">
        <v>21</v>
      </c>
      <c r="E2322" s="1" t="s">
        <v>22</v>
      </c>
      <c r="F2322" s="1">
        <v>391.76</v>
      </c>
      <c r="G2322" s="1">
        <v>252.35</v>
      </c>
      <c r="H2322" s="1">
        <v>5.0</v>
      </c>
      <c r="I2322" s="1" t="s">
        <v>34</v>
      </c>
      <c r="J2322" s="1" t="s">
        <v>35</v>
      </c>
      <c r="K2322" s="1">
        <f t="shared" si="1"/>
        <v>2021</v>
      </c>
      <c r="L2322" s="1" t="str">
        <f t="shared" si="2"/>
        <v>Sep</v>
      </c>
      <c r="M2322" s="1" t="str">
        <f t="shared" si="3"/>
        <v>Profit</v>
      </c>
    </row>
    <row r="2323" ht="14.25" customHeight="1">
      <c r="A2323" s="1" t="s">
        <v>2357</v>
      </c>
      <c r="B2323" s="2">
        <v>44912.0</v>
      </c>
      <c r="C2323" s="1" t="s">
        <v>20</v>
      </c>
      <c r="D2323" s="1" t="s">
        <v>15</v>
      </c>
      <c r="E2323" s="1" t="s">
        <v>31</v>
      </c>
      <c r="F2323" s="1">
        <v>689.57</v>
      </c>
      <c r="G2323" s="1">
        <v>67.96</v>
      </c>
      <c r="H2323" s="1">
        <v>3.0</v>
      </c>
      <c r="I2323" s="1" t="s">
        <v>17</v>
      </c>
      <c r="J2323" s="1" t="s">
        <v>18</v>
      </c>
      <c r="K2323" s="1">
        <f t="shared" si="1"/>
        <v>2022</v>
      </c>
      <c r="L2323" s="1" t="str">
        <f t="shared" si="2"/>
        <v>Dec</v>
      </c>
      <c r="M2323" s="1" t="str">
        <f t="shared" si="3"/>
        <v>Profit</v>
      </c>
    </row>
    <row r="2324" ht="14.25" customHeight="1">
      <c r="A2324" s="1" t="s">
        <v>2358</v>
      </c>
      <c r="B2324" s="2">
        <v>44495.0</v>
      </c>
      <c r="C2324" s="1" t="s">
        <v>20</v>
      </c>
      <c r="D2324" s="1" t="s">
        <v>21</v>
      </c>
      <c r="E2324" s="1" t="s">
        <v>37</v>
      </c>
      <c r="F2324" s="1">
        <v>39.95</v>
      </c>
      <c r="G2324" s="1">
        <v>-109.64</v>
      </c>
      <c r="H2324" s="1">
        <v>8.0</v>
      </c>
      <c r="I2324" s="1" t="s">
        <v>23</v>
      </c>
      <c r="J2324" s="1" t="s">
        <v>35</v>
      </c>
      <c r="K2324" s="1">
        <f t="shared" si="1"/>
        <v>2021</v>
      </c>
      <c r="L2324" s="1" t="str">
        <f t="shared" si="2"/>
        <v>Oct</v>
      </c>
      <c r="M2324" s="1" t="str">
        <f t="shared" si="3"/>
        <v>Loss</v>
      </c>
    </row>
    <row r="2325" ht="14.25" customHeight="1">
      <c r="A2325" s="1" t="s">
        <v>2359</v>
      </c>
      <c r="B2325" s="2">
        <v>44504.0</v>
      </c>
      <c r="C2325" s="1" t="s">
        <v>20</v>
      </c>
      <c r="D2325" s="1" t="s">
        <v>15</v>
      </c>
      <c r="E2325" s="1" t="s">
        <v>31</v>
      </c>
      <c r="F2325" s="1">
        <v>597.59</v>
      </c>
      <c r="G2325" s="1">
        <v>126.14</v>
      </c>
      <c r="H2325" s="1">
        <v>7.0</v>
      </c>
      <c r="I2325" s="1" t="s">
        <v>34</v>
      </c>
      <c r="J2325" s="1" t="s">
        <v>35</v>
      </c>
      <c r="K2325" s="1">
        <f t="shared" si="1"/>
        <v>2021</v>
      </c>
      <c r="L2325" s="1" t="str">
        <f t="shared" si="2"/>
        <v>Nov</v>
      </c>
      <c r="M2325" s="1" t="str">
        <f t="shared" si="3"/>
        <v>Profit</v>
      </c>
    </row>
    <row r="2326" ht="14.25" customHeight="1">
      <c r="A2326" s="1" t="s">
        <v>2360</v>
      </c>
      <c r="B2326" s="2">
        <v>44356.0</v>
      </c>
      <c r="C2326" s="1" t="s">
        <v>14</v>
      </c>
      <c r="D2326" s="1" t="s">
        <v>21</v>
      </c>
      <c r="E2326" s="1" t="s">
        <v>22</v>
      </c>
      <c r="F2326" s="1">
        <v>915.41</v>
      </c>
      <c r="G2326" s="1">
        <v>-7.22</v>
      </c>
      <c r="H2326" s="1">
        <v>9.0</v>
      </c>
      <c r="I2326" s="1" t="s">
        <v>17</v>
      </c>
      <c r="J2326" s="1" t="s">
        <v>24</v>
      </c>
      <c r="K2326" s="1">
        <f t="shared" si="1"/>
        <v>2021</v>
      </c>
      <c r="L2326" s="1" t="str">
        <f t="shared" si="2"/>
        <v>Jun</v>
      </c>
      <c r="M2326" s="1" t="str">
        <f t="shared" si="3"/>
        <v>Loss</v>
      </c>
    </row>
    <row r="2327" ht="14.25" customHeight="1">
      <c r="A2327" s="1" t="s">
        <v>2361</v>
      </c>
      <c r="B2327" s="2">
        <v>44566.0</v>
      </c>
      <c r="C2327" s="1" t="s">
        <v>26</v>
      </c>
      <c r="D2327" s="1" t="s">
        <v>15</v>
      </c>
      <c r="E2327" s="1" t="s">
        <v>31</v>
      </c>
      <c r="F2327" s="1">
        <v>794.52</v>
      </c>
      <c r="G2327" s="1">
        <v>146.15</v>
      </c>
      <c r="H2327" s="1">
        <v>6.0</v>
      </c>
      <c r="I2327" s="1" t="s">
        <v>17</v>
      </c>
      <c r="J2327" s="1" t="s">
        <v>38</v>
      </c>
      <c r="K2327" s="1">
        <f t="shared" si="1"/>
        <v>2022</v>
      </c>
      <c r="L2327" s="1" t="str">
        <f t="shared" si="2"/>
        <v>Jan</v>
      </c>
      <c r="M2327" s="1" t="str">
        <f t="shared" si="3"/>
        <v>Profit</v>
      </c>
    </row>
    <row r="2328" ht="14.25" customHeight="1">
      <c r="A2328" s="1" t="s">
        <v>2362</v>
      </c>
      <c r="B2328" s="2">
        <v>44624.0</v>
      </c>
      <c r="C2328" s="1" t="s">
        <v>30</v>
      </c>
      <c r="D2328" s="1" t="s">
        <v>21</v>
      </c>
      <c r="E2328" s="1" t="s">
        <v>37</v>
      </c>
      <c r="F2328" s="1">
        <v>223.26</v>
      </c>
      <c r="G2328" s="1">
        <v>233.9</v>
      </c>
      <c r="H2328" s="1">
        <v>5.0</v>
      </c>
      <c r="I2328" s="1" t="s">
        <v>23</v>
      </c>
      <c r="J2328" s="1" t="s">
        <v>18</v>
      </c>
      <c r="K2328" s="1">
        <f t="shared" si="1"/>
        <v>2022</v>
      </c>
      <c r="L2328" s="1" t="str">
        <f t="shared" si="2"/>
        <v>Mar</v>
      </c>
      <c r="M2328" s="1" t="str">
        <f t="shared" si="3"/>
        <v>Profit</v>
      </c>
    </row>
    <row r="2329" ht="14.25" customHeight="1">
      <c r="A2329" s="1" t="s">
        <v>2363</v>
      </c>
      <c r="B2329" s="2">
        <v>45119.0</v>
      </c>
      <c r="C2329" s="1" t="s">
        <v>14</v>
      </c>
      <c r="D2329" s="1" t="s">
        <v>15</v>
      </c>
      <c r="E2329" s="1" t="s">
        <v>31</v>
      </c>
      <c r="F2329" s="1">
        <v>908.46</v>
      </c>
      <c r="G2329" s="1">
        <v>293.16</v>
      </c>
      <c r="H2329" s="1">
        <v>5.0</v>
      </c>
      <c r="I2329" s="1" t="s">
        <v>34</v>
      </c>
      <c r="J2329" s="1" t="s">
        <v>18</v>
      </c>
      <c r="K2329" s="1">
        <f t="shared" si="1"/>
        <v>2023</v>
      </c>
      <c r="L2329" s="1" t="str">
        <f t="shared" si="2"/>
        <v>Jul</v>
      </c>
      <c r="M2329" s="1" t="str">
        <f t="shared" si="3"/>
        <v>Profit</v>
      </c>
    </row>
    <row r="2330" ht="14.25" customHeight="1">
      <c r="A2330" s="1" t="s">
        <v>2364</v>
      </c>
      <c r="B2330" s="2">
        <v>44683.0</v>
      </c>
      <c r="C2330" s="1" t="s">
        <v>20</v>
      </c>
      <c r="D2330" s="1" t="s">
        <v>21</v>
      </c>
      <c r="E2330" s="1" t="s">
        <v>37</v>
      </c>
      <c r="F2330" s="1">
        <v>346.52</v>
      </c>
      <c r="G2330" s="1">
        <v>-140.11</v>
      </c>
      <c r="H2330" s="1">
        <v>3.0</v>
      </c>
      <c r="I2330" s="1" t="s">
        <v>17</v>
      </c>
      <c r="J2330" s="1" t="s">
        <v>38</v>
      </c>
      <c r="K2330" s="1">
        <f t="shared" si="1"/>
        <v>2022</v>
      </c>
      <c r="L2330" s="1" t="str">
        <f t="shared" si="2"/>
        <v>May</v>
      </c>
      <c r="M2330" s="1" t="str">
        <f t="shared" si="3"/>
        <v>Loss</v>
      </c>
    </row>
    <row r="2331" ht="14.25" customHeight="1">
      <c r="A2331" s="1" t="s">
        <v>2365</v>
      </c>
      <c r="B2331" s="2">
        <v>44375.0</v>
      </c>
      <c r="C2331" s="1" t="s">
        <v>30</v>
      </c>
      <c r="D2331" s="1" t="s">
        <v>27</v>
      </c>
      <c r="E2331" s="1" t="s">
        <v>33</v>
      </c>
      <c r="F2331" s="1">
        <v>612.01</v>
      </c>
      <c r="G2331" s="1">
        <v>-79.73</v>
      </c>
      <c r="H2331" s="1">
        <v>7.0</v>
      </c>
      <c r="I2331" s="1" t="s">
        <v>17</v>
      </c>
      <c r="J2331" s="1" t="s">
        <v>24</v>
      </c>
      <c r="K2331" s="1">
        <f t="shared" si="1"/>
        <v>2021</v>
      </c>
      <c r="L2331" s="1" t="str">
        <f t="shared" si="2"/>
        <v>Jun</v>
      </c>
      <c r="M2331" s="1" t="str">
        <f t="shared" si="3"/>
        <v>Loss</v>
      </c>
    </row>
    <row r="2332" ht="14.25" customHeight="1">
      <c r="A2332" s="1" t="s">
        <v>2366</v>
      </c>
      <c r="B2332" s="2">
        <v>44679.0</v>
      </c>
      <c r="C2332" s="1" t="s">
        <v>20</v>
      </c>
      <c r="D2332" s="1" t="s">
        <v>27</v>
      </c>
      <c r="E2332" s="1" t="s">
        <v>33</v>
      </c>
      <c r="F2332" s="1">
        <v>265.45</v>
      </c>
      <c r="G2332" s="1">
        <v>191.25</v>
      </c>
      <c r="H2332" s="1">
        <v>10.0</v>
      </c>
      <c r="I2332" s="1" t="s">
        <v>23</v>
      </c>
      <c r="J2332" s="1" t="s">
        <v>35</v>
      </c>
      <c r="K2332" s="1">
        <f t="shared" si="1"/>
        <v>2022</v>
      </c>
      <c r="L2332" s="1" t="str">
        <f t="shared" si="2"/>
        <v>Apr</v>
      </c>
      <c r="M2332" s="1" t="str">
        <f t="shared" si="3"/>
        <v>Profit</v>
      </c>
    </row>
    <row r="2333" ht="14.25" customHeight="1">
      <c r="A2333" s="1" t="s">
        <v>2367</v>
      </c>
      <c r="B2333" s="2">
        <v>45072.0</v>
      </c>
      <c r="C2333" s="1" t="s">
        <v>26</v>
      </c>
      <c r="D2333" s="1" t="s">
        <v>21</v>
      </c>
      <c r="E2333" s="1" t="s">
        <v>76</v>
      </c>
      <c r="F2333" s="1">
        <v>743.9</v>
      </c>
      <c r="G2333" s="1">
        <v>-138.63</v>
      </c>
      <c r="H2333" s="1">
        <v>7.0</v>
      </c>
      <c r="I2333" s="1" t="s">
        <v>34</v>
      </c>
      <c r="J2333" s="1" t="s">
        <v>24</v>
      </c>
      <c r="K2333" s="1">
        <f t="shared" si="1"/>
        <v>2023</v>
      </c>
      <c r="L2333" s="1" t="str">
        <f t="shared" si="2"/>
        <v>May</v>
      </c>
      <c r="M2333" s="1" t="str">
        <f t="shared" si="3"/>
        <v>Loss</v>
      </c>
    </row>
    <row r="2334" ht="14.25" customHeight="1">
      <c r="A2334" s="1" t="s">
        <v>2368</v>
      </c>
      <c r="B2334" s="2">
        <v>45154.0</v>
      </c>
      <c r="C2334" s="1" t="s">
        <v>20</v>
      </c>
      <c r="D2334" s="1" t="s">
        <v>27</v>
      </c>
      <c r="E2334" s="1" t="s">
        <v>40</v>
      </c>
      <c r="F2334" s="1">
        <v>197.38</v>
      </c>
      <c r="G2334" s="1">
        <v>-60.0</v>
      </c>
      <c r="H2334" s="1">
        <v>8.0</v>
      </c>
      <c r="I2334" s="1" t="s">
        <v>17</v>
      </c>
      <c r="J2334" s="1" t="s">
        <v>35</v>
      </c>
      <c r="K2334" s="1">
        <f t="shared" si="1"/>
        <v>2023</v>
      </c>
      <c r="L2334" s="1" t="str">
        <f t="shared" si="2"/>
        <v>Aug</v>
      </c>
      <c r="M2334" s="1" t="str">
        <f t="shared" si="3"/>
        <v>Loss</v>
      </c>
    </row>
    <row r="2335" ht="14.25" customHeight="1">
      <c r="A2335" s="1" t="s">
        <v>2369</v>
      </c>
      <c r="B2335" s="2">
        <v>44235.0</v>
      </c>
      <c r="C2335" s="1" t="s">
        <v>26</v>
      </c>
      <c r="D2335" s="1" t="s">
        <v>21</v>
      </c>
      <c r="E2335" s="1" t="s">
        <v>37</v>
      </c>
      <c r="F2335" s="1">
        <v>651.58</v>
      </c>
      <c r="G2335" s="1">
        <v>-124.61</v>
      </c>
      <c r="H2335" s="1">
        <v>5.0</v>
      </c>
      <c r="I2335" s="1" t="s">
        <v>34</v>
      </c>
      <c r="J2335" s="1" t="s">
        <v>38</v>
      </c>
      <c r="K2335" s="1">
        <f t="shared" si="1"/>
        <v>2021</v>
      </c>
      <c r="L2335" s="1" t="str">
        <f t="shared" si="2"/>
        <v>Feb</v>
      </c>
      <c r="M2335" s="1" t="str">
        <f t="shared" si="3"/>
        <v>Loss</v>
      </c>
    </row>
    <row r="2336" ht="14.25" customHeight="1">
      <c r="A2336" s="1" t="s">
        <v>2370</v>
      </c>
      <c r="B2336" s="2">
        <v>44719.0</v>
      </c>
      <c r="C2336" s="1" t="s">
        <v>26</v>
      </c>
      <c r="D2336" s="1" t="s">
        <v>21</v>
      </c>
      <c r="E2336" s="1" t="s">
        <v>22</v>
      </c>
      <c r="F2336" s="1">
        <v>466.17</v>
      </c>
      <c r="G2336" s="1">
        <v>6.2</v>
      </c>
      <c r="H2336" s="1">
        <v>2.0</v>
      </c>
      <c r="I2336" s="1" t="s">
        <v>23</v>
      </c>
      <c r="J2336" s="1" t="s">
        <v>38</v>
      </c>
      <c r="K2336" s="1">
        <f t="shared" si="1"/>
        <v>2022</v>
      </c>
      <c r="L2336" s="1" t="str">
        <f t="shared" si="2"/>
        <v>Jun</v>
      </c>
      <c r="M2336" s="1" t="str">
        <f t="shared" si="3"/>
        <v>Profit</v>
      </c>
    </row>
    <row r="2337" ht="14.25" customHeight="1">
      <c r="A2337" s="1" t="s">
        <v>2371</v>
      </c>
      <c r="B2337" s="2">
        <v>44908.0</v>
      </c>
      <c r="C2337" s="1" t="s">
        <v>30</v>
      </c>
      <c r="D2337" s="1" t="s">
        <v>21</v>
      </c>
      <c r="E2337" s="1" t="s">
        <v>37</v>
      </c>
      <c r="F2337" s="1">
        <v>296.53</v>
      </c>
      <c r="G2337" s="1">
        <v>260.33</v>
      </c>
      <c r="H2337" s="1">
        <v>5.0</v>
      </c>
      <c r="I2337" s="1" t="s">
        <v>23</v>
      </c>
      <c r="J2337" s="1" t="s">
        <v>38</v>
      </c>
      <c r="K2337" s="1">
        <f t="shared" si="1"/>
        <v>2022</v>
      </c>
      <c r="L2337" s="1" t="str">
        <f t="shared" si="2"/>
        <v>Dec</v>
      </c>
      <c r="M2337" s="1" t="str">
        <f t="shared" si="3"/>
        <v>Profit</v>
      </c>
    </row>
    <row r="2338" ht="14.25" customHeight="1">
      <c r="A2338" s="1" t="s">
        <v>2372</v>
      </c>
      <c r="B2338" s="2">
        <v>44776.0</v>
      </c>
      <c r="C2338" s="1" t="s">
        <v>26</v>
      </c>
      <c r="D2338" s="1" t="s">
        <v>21</v>
      </c>
      <c r="E2338" s="1" t="s">
        <v>76</v>
      </c>
      <c r="F2338" s="1">
        <v>289.98</v>
      </c>
      <c r="G2338" s="1">
        <v>-123.73</v>
      </c>
      <c r="H2338" s="1">
        <v>3.0</v>
      </c>
      <c r="I2338" s="1" t="s">
        <v>23</v>
      </c>
      <c r="J2338" s="1" t="s">
        <v>35</v>
      </c>
      <c r="K2338" s="1">
        <f t="shared" si="1"/>
        <v>2022</v>
      </c>
      <c r="L2338" s="1" t="str">
        <f t="shared" si="2"/>
        <v>Aug</v>
      </c>
      <c r="M2338" s="1" t="str">
        <f t="shared" si="3"/>
        <v>Loss</v>
      </c>
    </row>
    <row r="2339" ht="14.25" customHeight="1">
      <c r="A2339" s="1" t="s">
        <v>2373</v>
      </c>
      <c r="B2339" s="2">
        <v>45119.0</v>
      </c>
      <c r="C2339" s="1" t="s">
        <v>26</v>
      </c>
      <c r="D2339" s="1" t="s">
        <v>27</v>
      </c>
      <c r="E2339" s="1" t="s">
        <v>33</v>
      </c>
      <c r="F2339" s="1">
        <v>119.37</v>
      </c>
      <c r="G2339" s="1">
        <v>207.84</v>
      </c>
      <c r="H2339" s="1">
        <v>6.0</v>
      </c>
      <c r="I2339" s="1" t="s">
        <v>34</v>
      </c>
      <c r="J2339" s="1" t="s">
        <v>24</v>
      </c>
      <c r="K2339" s="1">
        <f t="shared" si="1"/>
        <v>2023</v>
      </c>
      <c r="L2339" s="1" t="str">
        <f t="shared" si="2"/>
        <v>Jul</v>
      </c>
      <c r="M2339" s="1" t="str">
        <f t="shared" si="3"/>
        <v>Profit</v>
      </c>
    </row>
    <row r="2340" ht="14.25" customHeight="1">
      <c r="A2340" s="1" t="s">
        <v>2374</v>
      </c>
      <c r="B2340" s="2">
        <v>44379.0</v>
      </c>
      <c r="C2340" s="1" t="s">
        <v>26</v>
      </c>
      <c r="D2340" s="1" t="s">
        <v>27</v>
      </c>
      <c r="E2340" s="1" t="s">
        <v>33</v>
      </c>
      <c r="F2340" s="1">
        <v>211.57</v>
      </c>
      <c r="G2340" s="1">
        <v>-105.35</v>
      </c>
      <c r="H2340" s="1">
        <v>6.0</v>
      </c>
      <c r="I2340" s="1" t="s">
        <v>17</v>
      </c>
      <c r="J2340" s="1" t="s">
        <v>24</v>
      </c>
      <c r="K2340" s="1">
        <f t="shared" si="1"/>
        <v>2021</v>
      </c>
      <c r="L2340" s="1" t="str">
        <f t="shared" si="2"/>
        <v>Jul</v>
      </c>
      <c r="M2340" s="1" t="str">
        <f t="shared" si="3"/>
        <v>Loss</v>
      </c>
    </row>
    <row r="2341" ht="14.25" customHeight="1">
      <c r="A2341" s="1" t="s">
        <v>2375</v>
      </c>
      <c r="B2341" s="2">
        <v>44954.0</v>
      </c>
      <c r="C2341" s="1" t="s">
        <v>30</v>
      </c>
      <c r="D2341" s="1" t="s">
        <v>21</v>
      </c>
      <c r="E2341" s="1" t="s">
        <v>22</v>
      </c>
      <c r="F2341" s="1">
        <v>624.68</v>
      </c>
      <c r="G2341" s="1">
        <v>168.32</v>
      </c>
      <c r="H2341" s="1">
        <v>3.0</v>
      </c>
      <c r="I2341" s="1" t="s">
        <v>23</v>
      </c>
      <c r="J2341" s="1" t="s">
        <v>24</v>
      </c>
      <c r="K2341" s="1">
        <f t="shared" si="1"/>
        <v>2023</v>
      </c>
      <c r="L2341" s="1" t="str">
        <f t="shared" si="2"/>
        <v>Jan</v>
      </c>
      <c r="M2341" s="1" t="str">
        <f t="shared" si="3"/>
        <v>Profit</v>
      </c>
    </row>
    <row r="2342" ht="14.25" customHeight="1">
      <c r="A2342" s="1" t="s">
        <v>2376</v>
      </c>
      <c r="B2342" s="2">
        <v>45220.0</v>
      </c>
      <c r="C2342" s="1" t="s">
        <v>26</v>
      </c>
      <c r="D2342" s="1" t="s">
        <v>27</v>
      </c>
      <c r="E2342" s="1" t="s">
        <v>28</v>
      </c>
      <c r="F2342" s="1">
        <v>81.76</v>
      </c>
      <c r="G2342" s="1">
        <v>213.84</v>
      </c>
      <c r="H2342" s="1">
        <v>3.0</v>
      </c>
      <c r="I2342" s="1" t="s">
        <v>34</v>
      </c>
      <c r="J2342" s="1" t="s">
        <v>24</v>
      </c>
      <c r="K2342" s="1">
        <f t="shared" si="1"/>
        <v>2023</v>
      </c>
      <c r="L2342" s="1" t="str">
        <f t="shared" si="2"/>
        <v>Oct</v>
      </c>
      <c r="M2342" s="1" t="str">
        <f t="shared" si="3"/>
        <v>Profit</v>
      </c>
    </row>
    <row r="2343" ht="14.25" customHeight="1">
      <c r="A2343" s="1" t="s">
        <v>2377</v>
      </c>
      <c r="B2343" s="2">
        <v>44935.0</v>
      </c>
      <c r="C2343" s="1" t="s">
        <v>30</v>
      </c>
      <c r="D2343" s="1" t="s">
        <v>15</v>
      </c>
      <c r="E2343" s="1" t="s">
        <v>31</v>
      </c>
      <c r="F2343" s="1">
        <v>124.23</v>
      </c>
      <c r="G2343" s="1">
        <v>165.18</v>
      </c>
      <c r="H2343" s="1">
        <v>2.0</v>
      </c>
      <c r="I2343" s="1" t="s">
        <v>17</v>
      </c>
      <c r="J2343" s="1" t="s">
        <v>35</v>
      </c>
      <c r="K2343" s="1">
        <f t="shared" si="1"/>
        <v>2023</v>
      </c>
      <c r="L2343" s="1" t="str">
        <f t="shared" si="2"/>
        <v>Jan</v>
      </c>
      <c r="M2343" s="1" t="str">
        <f t="shared" si="3"/>
        <v>Profit</v>
      </c>
    </row>
    <row r="2344" ht="14.25" customHeight="1">
      <c r="A2344" s="1" t="s">
        <v>2378</v>
      </c>
      <c r="B2344" s="2">
        <v>44687.0</v>
      </c>
      <c r="C2344" s="1" t="s">
        <v>20</v>
      </c>
      <c r="D2344" s="1" t="s">
        <v>15</v>
      </c>
      <c r="E2344" s="1" t="s">
        <v>16</v>
      </c>
      <c r="F2344" s="1">
        <v>512.72</v>
      </c>
      <c r="G2344" s="1">
        <v>11.44</v>
      </c>
      <c r="H2344" s="1">
        <v>8.0</v>
      </c>
      <c r="I2344" s="1" t="s">
        <v>23</v>
      </c>
      <c r="J2344" s="1" t="s">
        <v>38</v>
      </c>
      <c r="K2344" s="1">
        <f t="shared" si="1"/>
        <v>2022</v>
      </c>
      <c r="L2344" s="1" t="str">
        <f t="shared" si="2"/>
        <v>May</v>
      </c>
      <c r="M2344" s="1" t="str">
        <f t="shared" si="3"/>
        <v>Profit</v>
      </c>
    </row>
    <row r="2345" ht="14.25" customHeight="1">
      <c r="A2345" s="1" t="s">
        <v>2379</v>
      </c>
      <c r="B2345" s="2">
        <v>45149.0</v>
      </c>
      <c r="C2345" s="1" t="s">
        <v>26</v>
      </c>
      <c r="D2345" s="1" t="s">
        <v>15</v>
      </c>
      <c r="E2345" s="1" t="s">
        <v>31</v>
      </c>
      <c r="F2345" s="1">
        <v>376.26</v>
      </c>
      <c r="G2345" s="1">
        <v>-104.14</v>
      </c>
      <c r="H2345" s="1">
        <v>9.0</v>
      </c>
      <c r="I2345" s="1" t="s">
        <v>23</v>
      </c>
      <c r="J2345" s="1" t="s">
        <v>24</v>
      </c>
      <c r="K2345" s="1">
        <f t="shared" si="1"/>
        <v>2023</v>
      </c>
      <c r="L2345" s="1" t="str">
        <f t="shared" si="2"/>
        <v>Aug</v>
      </c>
      <c r="M2345" s="1" t="str">
        <f t="shared" si="3"/>
        <v>Loss</v>
      </c>
    </row>
    <row r="2346" ht="14.25" customHeight="1">
      <c r="A2346" s="1" t="s">
        <v>2380</v>
      </c>
      <c r="B2346" s="2">
        <v>44472.0</v>
      </c>
      <c r="C2346" s="1" t="s">
        <v>20</v>
      </c>
      <c r="D2346" s="1" t="s">
        <v>15</v>
      </c>
      <c r="E2346" s="1" t="s">
        <v>16</v>
      </c>
      <c r="F2346" s="1">
        <v>628.75</v>
      </c>
      <c r="G2346" s="1">
        <v>186.77</v>
      </c>
      <c r="H2346" s="1">
        <v>7.0</v>
      </c>
      <c r="I2346" s="1" t="s">
        <v>23</v>
      </c>
      <c r="J2346" s="1" t="s">
        <v>35</v>
      </c>
      <c r="K2346" s="1">
        <f t="shared" si="1"/>
        <v>2021</v>
      </c>
      <c r="L2346" s="1" t="str">
        <f t="shared" si="2"/>
        <v>Oct</v>
      </c>
      <c r="M2346" s="1" t="str">
        <f t="shared" si="3"/>
        <v>Profit</v>
      </c>
    </row>
    <row r="2347" ht="14.25" customHeight="1">
      <c r="A2347" s="1" t="s">
        <v>2381</v>
      </c>
      <c r="B2347" s="2">
        <v>45135.0</v>
      </c>
      <c r="C2347" s="1" t="s">
        <v>14</v>
      </c>
      <c r="D2347" s="1" t="s">
        <v>15</v>
      </c>
      <c r="E2347" s="1" t="s">
        <v>54</v>
      </c>
      <c r="F2347" s="1">
        <v>977.74</v>
      </c>
      <c r="G2347" s="1">
        <v>110.49</v>
      </c>
      <c r="H2347" s="1">
        <v>3.0</v>
      </c>
      <c r="I2347" s="1" t="s">
        <v>23</v>
      </c>
      <c r="J2347" s="1" t="s">
        <v>35</v>
      </c>
      <c r="K2347" s="1">
        <f t="shared" si="1"/>
        <v>2023</v>
      </c>
      <c r="L2347" s="1" t="str">
        <f t="shared" si="2"/>
        <v>Jul</v>
      </c>
      <c r="M2347" s="1" t="str">
        <f t="shared" si="3"/>
        <v>Profit</v>
      </c>
    </row>
    <row r="2348" ht="14.25" customHeight="1">
      <c r="A2348" s="1" t="s">
        <v>2382</v>
      </c>
      <c r="B2348" s="2">
        <v>45231.0</v>
      </c>
      <c r="C2348" s="1" t="s">
        <v>26</v>
      </c>
      <c r="D2348" s="1" t="s">
        <v>15</v>
      </c>
      <c r="E2348" s="1" t="s">
        <v>54</v>
      </c>
      <c r="F2348" s="1">
        <v>448.44</v>
      </c>
      <c r="G2348" s="1">
        <v>23.0</v>
      </c>
      <c r="H2348" s="1">
        <v>5.0</v>
      </c>
      <c r="I2348" s="1" t="s">
        <v>34</v>
      </c>
      <c r="J2348" s="1" t="s">
        <v>35</v>
      </c>
      <c r="K2348" s="1">
        <f t="shared" si="1"/>
        <v>2023</v>
      </c>
      <c r="L2348" s="1" t="str">
        <f t="shared" si="2"/>
        <v>Nov</v>
      </c>
      <c r="M2348" s="1" t="str">
        <f t="shared" si="3"/>
        <v>Profit</v>
      </c>
    </row>
    <row r="2349" ht="14.25" customHeight="1">
      <c r="A2349" s="1" t="s">
        <v>2383</v>
      </c>
      <c r="B2349" s="2">
        <v>44377.0</v>
      </c>
      <c r="C2349" s="1" t="s">
        <v>14</v>
      </c>
      <c r="D2349" s="1" t="s">
        <v>27</v>
      </c>
      <c r="E2349" s="1" t="s">
        <v>28</v>
      </c>
      <c r="F2349" s="1">
        <v>531.57</v>
      </c>
      <c r="G2349" s="1">
        <v>170.48</v>
      </c>
      <c r="H2349" s="1">
        <v>7.0</v>
      </c>
      <c r="I2349" s="1" t="s">
        <v>17</v>
      </c>
      <c r="J2349" s="1" t="s">
        <v>35</v>
      </c>
      <c r="K2349" s="1">
        <f t="shared" si="1"/>
        <v>2021</v>
      </c>
      <c r="L2349" s="1" t="str">
        <f t="shared" si="2"/>
        <v>Jun</v>
      </c>
      <c r="M2349" s="1" t="str">
        <f t="shared" si="3"/>
        <v>Profit</v>
      </c>
    </row>
    <row r="2350" ht="14.25" customHeight="1">
      <c r="A2350" s="1" t="s">
        <v>2384</v>
      </c>
      <c r="B2350" s="2">
        <v>44422.0</v>
      </c>
      <c r="C2350" s="1" t="s">
        <v>30</v>
      </c>
      <c r="D2350" s="1" t="s">
        <v>15</v>
      </c>
      <c r="E2350" s="1" t="s">
        <v>31</v>
      </c>
      <c r="F2350" s="1">
        <v>206.06</v>
      </c>
      <c r="G2350" s="1">
        <v>19.88</v>
      </c>
      <c r="H2350" s="1">
        <v>7.0</v>
      </c>
      <c r="I2350" s="1" t="s">
        <v>17</v>
      </c>
      <c r="J2350" s="1" t="s">
        <v>38</v>
      </c>
      <c r="K2350" s="1">
        <f t="shared" si="1"/>
        <v>2021</v>
      </c>
      <c r="L2350" s="1" t="str">
        <f t="shared" si="2"/>
        <v>Aug</v>
      </c>
      <c r="M2350" s="1" t="str">
        <f t="shared" si="3"/>
        <v>Profit</v>
      </c>
    </row>
    <row r="2351" ht="14.25" customHeight="1">
      <c r="A2351" s="1" t="s">
        <v>2385</v>
      </c>
      <c r="B2351" s="2">
        <v>44481.0</v>
      </c>
      <c r="C2351" s="1" t="s">
        <v>14</v>
      </c>
      <c r="D2351" s="1" t="s">
        <v>27</v>
      </c>
      <c r="E2351" s="1" t="s">
        <v>28</v>
      </c>
      <c r="F2351" s="1">
        <v>293.61</v>
      </c>
      <c r="G2351" s="1">
        <v>44.4</v>
      </c>
      <c r="H2351" s="1">
        <v>8.0</v>
      </c>
      <c r="I2351" s="1" t="s">
        <v>17</v>
      </c>
      <c r="J2351" s="1" t="s">
        <v>35</v>
      </c>
      <c r="K2351" s="1">
        <f t="shared" si="1"/>
        <v>2021</v>
      </c>
      <c r="L2351" s="1" t="str">
        <f t="shared" si="2"/>
        <v>Oct</v>
      </c>
      <c r="M2351" s="1" t="str">
        <f t="shared" si="3"/>
        <v>Profit</v>
      </c>
    </row>
    <row r="2352" ht="14.25" customHeight="1">
      <c r="A2352" s="1" t="s">
        <v>2386</v>
      </c>
      <c r="B2352" s="2">
        <v>45099.0</v>
      </c>
      <c r="C2352" s="1" t="s">
        <v>26</v>
      </c>
      <c r="D2352" s="1" t="s">
        <v>27</v>
      </c>
      <c r="E2352" s="1" t="s">
        <v>28</v>
      </c>
      <c r="F2352" s="1">
        <v>501.18</v>
      </c>
      <c r="G2352" s="1">
        <v>273.28</v>
      </c>
      <c r="H2352" s="1">
        <v>9.0</v>
      </c>
      <c r="I2352" s="1" t="s">
        <v>17</v>
      </c>
      <c r="J2352" s="1" t="s">
        <v>38</v>
      </c>
      <c r="K2352" s="1">
        <f t="shared" si="1"/>
        <v>2023</v>
      </c>
      <c r="L2352" s="1" t="str">
        <f t="shared" si="2"/>
        <v>Jun</v>
      </c>
      <c r="M2352" s="1" t="str">
        <f t="shared" si="3"/>
        <v>Profit</v>
      </c>
    </row>
    <row r="2353" ht="14.25" customHeight="1">
      <c r="A2353" s="1" t="s">
        <v>2387</v>
      </c>
      <c r="B2353" s="2">
        <v>45174.0</v>
      </c>
      <c r="C2353" s="1" t="s">
        <v>30</v>
      </c>
      <c r="D2353" s="1" t="s">
        <v>21</v>
      </c>
      <c r="E2353" s="1" t="s">
        <v>22</v>
      </c>
      <c r="F2353" s="1">
        <v>38.69</v>
      </c>
      <c r="G2353" s="1">
        <v>204.39</v>
      </c>
      <c r="H2353" s="1">
        <v>6.0</v>
      </c>
      <c r="I2353" s="1" t="s">
        <v>34</v>
      </c>
      <c r="J2353" s="1" t="s">
        <v>18</v>
      </c>
      <c r="K2353" s="1">
        <f t="shared" si="1"/>
        <v>2023</v>
      </c>
      <c r="L2353" s="1" t="str">
        <f t="shared" si="2"/>
        <v>Sep</v>
      </c>
      <c r="M2353" s="1" t="str">
        <f t="shared" si="3"/>
        <v>Profit</v>
      </c>
    </row>
    <row r="2354" ht="14.25" customHeight="1">
      <c r="A2354" s="1" t="s">
        <v>2388</v>
      </c>
      <c r="B2354" s="2">
        <v>44759.0</v>
      </c>
      <c r="C2354" s="1" t="s">
        <v>26</v>
      </c>
      <c r="D2354" s="1" t="s">
        <v>21</v>
      </c>
      <c r="E2354" s="1" t="s">
        <v>76</v>
      </c>
      <c r="F2354" s="1">
        <v>782.87</v>
      </c>
      <c r="G2354" s="1">
        <v>56.44</v>
      </c>
      <c r="H2354" s="1">
        <v>3.0</v>
      </c>
      <c r="I2354" s="1" t="s">
        <v>34</v>
      </c>
      <c r="J2354" s="1" t="s">
        <v>24</v>
      </c>
      <c r="K2354" s="1">
        <f t="shared" si="1"/>
        <v>2022</v>
      </c>
      <c r="L2354" s="1" t="str">
        <f t="shared" si="2"/>
        <v>Jul</v>
      </c>
      <c r="M2354" s="1" t="str">
        <f t="shared" si="3"/>
        <v>Profit</v>
      </c>
    </row>
    <row r="2355" ht="14.25" customHeight="1">
      <c r="A2355" s="1" t="s">
        <v>2389</v>
      </c>
      <c r="B2355" s="2">
        <v>44594.0</v>
      </c>
      <c r="C2355" s="1" t="s">
        <v>26</v>
      </c>
      <c r="D2355" s="1" t="s">
        <v>27</v>
      </c>
      <c r="E2355" s="1" t="s">
        <v>33</v>
      </c>
      <c r="F2355" s="1">
        <v>70.41</v>
      </c>
      <c r="G2355" s="1">
        <v>1.44</v>
      </c>
      <c r="H2355" s="1">
        <v>4.0</v>
      </c>
      <c r="I2355" s="1" t="s">
        <v>17</v>
      </c>
      <c r="J2355" s="1" t="s">
        <v>38</v>
      </c>
      <c r="K2355" s="1">
        <f t="shared" si="1"/>
        <v>2022</v>
      </c>
      <c r="L2355" s="1" t="str">
        <f t="shared" si="2"/>
        <v>Feb</v>
      </c>
      <c r="M2355" s="1" t="str">
        <f t="shared" si="3"/>
        <v>Profit</v>
      </c>
    </row>
    <row r="2356" ht="14.25" customHeight="1">
      <c r="A2356" s="1" t="s">
        <v>2390</v>
      </c>
      <c r="B2356" s="2">
        <v>44609.0</v>
      </c>
      <c r="C2356" s="1" t="s">
        <v>20</v>
      </c>
      <c r="D2356" s="1" t="s">
        <v>27</v>
      </c>
      <c r="E2356" s="1" t="s">
        <v>40</v>
      </c>
      <c r="F2356" s="1">
        <v>204.91</v>
      </c>
      <c r="G2356" s="1">
        <v>76.5</v>
      </c>
      <c r="H2356" s="1">
        <v>1.0</v>
      </c>
      <c r="I2356" s="1" t="s">
        <v>34</v>
      </c>
      <c r="J2356" s="1" t="s">
        <v>18</v>
      </c>
      <c r="K2356" s="1">
        <f t="shared" si="1"/>
        <v>2022</v>
      </c>
      <c r="L2356" s="1" t="str">
        <f t="shared" si="2"/>
        <v>Feb</v>
      </c>
      <c r="M2356" s="1" t="str">
        <f t="shared" si="3"/>
        <v>Profit</v>
      </c>
    </row>
    <row r="2357" ht="14.25" customHeight="1">
      <c r="A2357" s="1" t="s">
        <v>2391</v>
      </c>
      <c r="B2357" s="2">
        <v>44756.0</v>
      </c>
      <c r="C2357" s="1" t="s">
        <v>14</v>
      </c>
      <c r="D2357" s="1" t="s">
        <v>27</v>
      </c>
      <c r="E2357" s="1" t="s">
        <v>40</v>
      </c>
      <c r="F2357" s="1">
        <v>602.15</v>
      </c>
      <c r="G2357" s="1">
        <v>-11.52</v>
      </c>
      <c r="H2357" s="1">
        <v>8.0</v>
      </c>
      <c r="I2357" s="1" t="s">
        <v>17</v>
      </c>
      <c r="J2357" s="1" t="s">
        <v>35</v>
      </c>
      <c r="K2357" s="1">
        <f t="shared" si="1"/>
        <v>2022</v>
      </c>
      <c r="L2357" s="1" t="str">
        <f t="shared" si="2"/>
        <v>Jul</v>
      </c>
      <c r="M2357" s="1" t="str">
        <f t="shared" si="3"/>
        <v>Loss</v>
      </c>
    </row>
    <row r="2358" ht="14.25" customHeight="1">
      <c r="A2358" s="1" t="s">
        <v>2392</v>
      </c>
      <c r="B2358" s="2">
        <v>45083.0</v>
      </c>
      <c r="C2358" s="1" t="s">
        <v>30</v>
      </c>
      <c r="D2358" s="1" t="s">
        <v>15</v>
      </c>
      <c r="E2358" s="1" t="s">
        <v>16</v>
      </c>
      <c r="F2358" s="1">
        <v>836.43</v>
      </c>
      <c r="G2358" s="1">
        <v>-134.62</v>
      </c>
      <c r="H2358" s="1">
        <v>5.0</v>
      </c>
      <c r="I2358" s="1" t="s">
        <v>34</v>
      </c>
      <c r="J2358" s="1" t="s">
        <v>18</v>
      </c>
      <c r="K2358" s="1">
        <f t="shared" si="1"/>
        <v>2023</v>
      </c>
      <c r="L2358" s="1" t="str">
        <f t="shared" si="2"/>
        <v>Jun</v>
      </c>
      <c r="M2358" s="1" t="str">
        <f t="shared" si="3"/>
        <v>Loss</v>
      </c>
    </row>
    <row r="2359" ht="14.25" customHeight="1">
      <c r="A2359" s="1" t="s">
        <v>2393</v>
      </c>
      <c r="B2359" s="2">
        <v>44487.0</v>
      </c>
      <c r="C2359" s="1" t="s">
        <v>20</v>
      </c>
      <c r="D2359" s="1" t="s">
        <v>21</v>
      </c>
      <c r="E2359" s="1" t="s">
        <v>37</v>
      </c>
      <c r="F2359" s="1">
        <v>492.66</v>
      </c>
      <c r="G2359" s="1">
        <v>22.11</v>
      </c>
      <c r="H2359" s="1">
        <v>8.0</v>
      </c>
      <c r="I2359" s="1" t="s">
        <v>23</v>
      </c>
      <c r="J2359" s="1" t="s">
        <v>38</v>
      </c>
      <c r="K2359" s="1">
        <f t="shared" si="1"/>
        <v>2021</v>
      </c>
      <c r="L2359" s="1" t="str">
        <f t="shared" si="2"/>
        <v>Oct</v>
      </c>
      <c r="M2359" s="1" t="str">
        <f t="shared" si="3"/>
        <v>Profit</v>
      </c>
    </row>
    <row r="2360" ht="14.25" customHeight="1">
      <c r="A2360" s="1" t="s">
        <v>2394</v>
      </c>
      <c r="B2360" s="2">
        <v>44311.0</v>
      </c>
      <c r="C2360" s="1" t="s">
        <v>20</v>
      </c>
      <c r="D2360" s="1" t="s">
        <v>21</v>
      </c>
      <c r="E2360" s="1" t="s">
        <v>76</v>
      </c>
      <c r="F2360" s="1">
        <v>291.52</v>
      </c>
      <c r="G2360" s="1">
        <v>-12.22</v>
      </c>
      <c r="H2360" s="1">
        <v>6.0</v>
      </c>
      <c r="I2360" s="1" t="s">
        <v>34</v>
      </c>
      <c r="J2360" s="1" t="s">
        <v>38</v>
      </c>
      <c r="K2360" s="1">
        <f t="shared" si="1"/>
        <v>2021</v>
      </c>
      <c r="L2360" s="1" t="str">
        <f t="shared" si="2"/>
        <v>Apr</v>
      </c>
      <c r="M2360" s="1" t="str">
        <f t="shared" si="3"/>
        <v>Loss</v>
      </c>
    </row>
    <row r="2361" ht="14.25" customHeight="1">
      <c r="A2361" s="1" t="s">
        <v>2395</v>
      </c>
      <c r="B2361" s="2">
        <v>45209.0</v>
      </c>
      <c r="C2361" s="1" t="s">
        <v>14</v>
      </c>
      <c r="D2361" s="1" t="s">
        <v>21</v>
      </c>
      <c r="E2361" s="1" t="s">
        <v>22</v>
      </c>
      <c r="F2361" s="1">
        <v>304.79</v>
      </c>
      <c r="G2361" s="1">
        <v>-156.87</v>
      </c>
      <c r="H2361" s="1">
        <v>7.0</v>
      </c>
      <c r="I2361" s="1" t="s">
        <v>34</v>
      </c>
      <c r="J2361" s="1" t="s">
        <v>38</v>
      </c>
      <c r="K2361" s="1">
        <f t="shared" si="1"/>
        <v>2023</v>
      </c>
      <c r="L2361" s="1" t="str">
        <f t="shared" si="2"/>
        <v>Oct</v>
      </c>
      <c r="M2361" s="1" t="str">
        <f t="shared" si="3"/>
        <v>Loss</v>
      </c>
    </row>
    <row r="2362" ht="14.25" customHeight="1">
      <c r="A2362" s="1" t="s">
        <v>2396</v>
      </c>
      <c r="B2362" s="2">
        <v>44529.0</v>
      </c>
      <c r="C2362" s="1" t="s">
        <v>30</v>
      </c>
      <c r="D2362" s="1" t="s">
        <v>15</v>
      </c>
      <c r="E2362" s="1" t="s">
        <v>31</v>
      </c>
      <c r="F2362" s="1">
        <v>257.49</v>
      </c>
      <c r="G2362" s="1">
        <v>-162.64</v>
      </c>
      <c r="H2362" s="1">
        <v>8.0</v>
      </c>
      <c r="I2362" s="1" t="s">
        <v>23</v>
      </c>
      <c r="J2362" s="1" t="s">
        <v>38</v>
      </c>
      <c r="K2362" s="1">
        <f t="shared" si="1"/>
        <v>2021</v>
      </c>
      <c r="L2362" s="1" t="str">
        <f t="shared" si="2"/>
        <v>Nov</v>
      </c>
      <c r="M2362" s="1" t="str">
        <f t="shared" si="3"/>
        <v>Loss</v>
      </c>
    </row>
    <row r="2363" ht="14.25" customHeight="1">
      <c r="A2363" s="1" t="s">
        <v>2397</v>
      </c>
      <c r="B2363" s="2">
        <v>44534.0</v>
      </c>
      <c r="C2363" s="1" t="s">
        <v>30</v>
      </c>
      <c r="D2363" s="1" t="s">
        <v>15</v>
      </c>
      <c r="E2363" s="1" t="s">
        <v>16</v>
      </c>
      <c r="F2363" s="1">
        <v>264.53</v>
      </c>
      <c r="G2363" s="1">
        <v>-158.92</v>
      </c>
      <c r="H2363" s="1">
        <v>7.0</v>
      </c>
      <c r="I2363" s="1" t="s">
        <v>34</v>
      </c>
      <c r="J2363" s="1" t="s">
        <v>35</v>
      </c>
      <c r="K2363" s="1">
        <f t="shared" si="1"/>
        <v>2021</v>
      </c>
      <c r="L2363" s="1" t="str">
        <f t="shared" si="2"/>
        <v>Dec</v>
      </c>
      <c r="M2363" s="1" t="str">
        <f t="shared" si="3"/>
        <v>Loss</v>
      </c>
    </row>
    <row r="2364" ht="14.25" customHeight="1">
      <c r="A2364" s="1" t="s">
        <v>2398</v>
      </c>
      <c r="B2364" s="2">
        <v>44479.0</v>
      </c>
      <c r="C2364" s="1" t="s">
        <v>30</v>
      </c>
      <c r="D2364" s="1" t="s">
        <v>27</v>
      </c>
      <c r="E2364" s="1" t="s">
        <v>28</v>
      </c>
      <c r="F2364" s="1">
        <v>483.93</v>
      </c>
      <c r="G2364" s="1">
        <v>-114.45</v>
      </c>
      <c r="H2364" s="1">
        <v>10.0</v>
      </c>
      <c r="I2364" s="1" t="s">
        <v>34</v>
      </c>
      <c r="J2364" s="1" t="s">
        <v>24</v>
      </c>
      <c r="K2364" s="1">
        <f t="shared" si="1"/>
        <v>2021</v>
      </c>
      <c r="L2364" s="1" t="str">
        <f t="shared" si="2"/>
        <v>Oct</v>
      </c>
      <c r="M2364" s="1" t="str">
        <f t="shared" si="3"/>
        <v>Loss</v>
      </c>
    </row>
    <row r="2365" ht="14.25" customHeight="1">
      <c r="A2365" s="1" t="s">
        <v>2399</v>
      </c>
      <c r="B2365" s="2">
        <v>45103.0</v>
      </c>
      <c r="C2365" s="1" t="s">
        <v>30</v>
      </c>
      <c r="D2365" s="1" t="s">
        <v>27</v>
      </c>
      <c r="E2365" s="1" t="s">
        <v>28</v>
      </c>
      <c r="F2365" s="1">
        <v>283.5</v>
      </c>
      <c r="G2365" s="1">
        <v>44.23</v>
      </c>
      <c r="H2365" s="1">
        <v>7.0</v>
      </c>
      <c r="I2365" s="1" t="s">
        <v>17</v>
      </c>
      <c r="J2365" s="1" t="s">
        <v>38</v>
      </c>
      <c r="K2365" s="1">
        <f t="shared" si="1"/>
        <v>2023</v>
      </c>
      <c r="L2365" s="1" t="str">
        <f t="shared" si="2"/>
        <v>Jun</v>
      </c>
      <c r="M2365" s="1" t="str">
        <f t="shared" si="3"/>
        <v>Profit</v>
      </c>
    </row>
    <row r="2366" ht="14.25" customHeight="1">
      <c r="A2366" s="1" t="s">
        <v>2400</v>
      </c>
      <c r="B2366" s="2">
        <v>44891.0</v>
      </c>
      <c r="C2366" s="1" t="s">
        <v>30</v>
      </c>
      <c r="D2366" s="1" t="s">
        <v>15</v>
      </c>
      <c r="E2366" s="1" t="s">
        <v>31</v>
      </c>
      <c r="F2366" s="1">
        <v>869.11</v>
      </c>
      <c r="G2366" s="1">
        <v>175.4</v>
      </c>
      <c r="H2366" s="1">
        <v>10.0</v>
      </c>
      <c r="I2366" s="1" t="s">
        <v>34</v>
      </c>
      <c r="J2366" s="1" t="s">
        <v>38</v>
      </c>
      <c r="K2366" s="1">
        <f t="shared" si="1"/>
        <v>2022</v>
      </c>
      <c r="L2366" s="1" t="str">
        <f t="shared" si="2"/>
        <v>Nov</v>
      </c>
      <c r="M2366" s="1" t="str">
        <f t="shared" si="3"/>
        <v>Profit</v>
      </c>
    </row>
    <row r="2367" ht="14.25" customHeight="1">
      <c r="A2367" s="1" t="s">
        <v>2401</v>
      </c>
      <c r="B2367" s="2">
        <v>44604.0</v>
      </c>
      <c r="C2367" s="1" t="s">
        <v>26</v>
      </c>
      <c r="D2367" s="1" t="s">
        <v>27</v>
      </c>
      <c r="E2367" s="1" t="s">
        <v>33</v>
      </c>
      <c r="F2367" s="1">
        <v>240.08</v>
      </c>
      <c r="G2367" s="1">
        <v>189.16</v>
      </c>
      <c r="H2367" s="1">
        <v>8.0</v>
      </c>
      <c r="I2367" s="1" t="s">
        <v>17</v>
      </c>
      <c r="J2367" s="1" t="s">
        <v>18</v>
      </c>
      <c r="K2367" s="1">
        <f t="shared" si="1"/>
        <v>2022</v>
      </c>
      <c r="L2367" s="1" t="str">
        <f t="shared" si="2"/>
        <v>Feb</v>
      </c>
      <c r="M2367" s="1" t="str">
        <f t="shared" si="3"/>
        <v>Profit</v>
      </c>
    </row>
    <row r="2368" ht="14.25" customHeight="1">
      <c r="A2368" s="1" t="s">
        <v>2402</v>
      </c>
      <c r="B2368" s="2">
        <v>44275.0</v>
      </c>
      <c r="C2368" s="1" t="s">
        <v>26</v>
      </c>
      <c r="D2368" s="1" t="s">
        <v>15</v>
      </c>
      <c r="E2368" s="1" t="s">
        <v>54</v>
      </c>
      <c r="F2368" s="1">
        <v>410.79</v>
      </c>
      <c r="G2368" s="1">
        <v>39.94</v>
      </c>
      <c r="H2368" s="1">
        <v>1.0</v>
      </c>
      <c r="I2368" s="1" t="s">
        <v>34</v>
      </c>
      <c r="J2368" s="1" t="s">
        <v>35</v>
      </c>
      <c r="K2368" s="1">
        <f t="shared" si="1"/>
        <v>2021</v>
      </c>
      <c r="L2368" s="1" t="str">
        <f t="shared" si="2"/>
        <v>Mar</v>
      </c>
      <c r="M2368" s="1" t="str">
        <f t="shared" si="3"/>
        <v>Profit</v>
      </c>
    </row>
    <row r="2369" ht="14.25" customHeight="1">
      <c r="A2369" s="1" t="s">
        <v>2403</v>
      </c>
      <c r="B2369" s="2">
        <v>44697.0</v>
      </c>
      <c r="C2369" s="1" t="s">
        <v>14</v>
      </c>
      <c r="D2369" s="1" t="s">
        <v>21</v>
      </c>
      <c r="E2369" s="1" t="s">
        <v>22</v>
      </c>
      <c r="F2369" s="1">
        <v>498.61</v>
      </c>
      <c r="G2369" s="1">
        <v>-134.67</v>
      </c>
      <c r="H2369" s="1">
        <v>9.0</v>
      </c>
      <c r="I2369" s="1" t="s">
        <v>34</v>
      </c>
      <c r="J2369" s="1" t="s">
        <v>18</v>
      </c>
      <c r="K2369" s="1">
        <f t="shared" si="1"/>
        <v>2022</v>
      </c>
      <c r="L2369" s="1" t="str">
        <f t="shared" si="2"/>
        <v>May</v>
      </c>
      <c r="M2369" s="1" t="str">
        <f t="shared" si="3"/>
        <v>Loss</v>
      </c>
    </row>
    <row r="2370" ht="14.25" customHeight="1">
      <c r="A2370" s="1" t="s">
        <v>2404</v>
      </c>
      <c r="B2370" s="2">
        <v>44894.0</v>
      </c>
      <c r="C2370" s="1" t="s">
        <v>14</v>
      </c>
      <c r="D2370" s="1" t="s">
        <v>21</v>
      </c>
      <c r="E2370" s="1" t="s">
        <v>76</v>
      </c>
      <c r="F2370" s="1">
        <v>807.23</v>
      </c>
      <c r="G2370" s="1">
        <v>42.24</v>
      </c>
      <c r="H2370" s="1">
        <v>8.0</v>
      </c>
      <c r="I2370" s="1" t="s">
        <v>23</v>
      </c>
      <c r="J2370" s="1" t="s">
        <v>24</v>
      </c>
      <c r="K2370" s="1">
        <f t="shared" si="1"/>
        <v>2022</v>
      </c>
      <c r="L2370" s="1" t="str">
        <f t="shared" si="2"/>
        <v>Nov</v>
      </c>
      <c r="M2370" s="1" t="str">
        <f t="shared" si="3"/>
        <v>Profit</v>
      </c>
    </row>
    <row r="2371" ht="14.25" customHeight="1">
      <c r="A2371" s="1" t="s">
        <v>2405</v>
      </c>
      <c r="B2371" s="2">
        <v>45075.0</v>
      </c>
      <c r="C2371" s="1" t="s">
        <v>26</v>
      </c>
      <c r="D2371" s="1" t="s">
        <v>27</v>
      </c>
      <c r="E2371" s="1" t="s">
        <v>28</v>
      </c>
      <c r="F2371" s="1">
        <v>687.13</v>
      </c>
      <c r="G2371" s="1">
        <v>-171.87</v>
      </c>
      <c r="H2371" s="1">
        <v>5.0</v>
      </c>
      <c r="I2371" s="1" t="s">
        <v>23</v>
      </c>
      <c r="J2371" s="1" t="s">
        <v>38</v>
      </c>
      <c r="K2371" s="1">
        <f t="shared" si="1"/>
        <v>2023</v>
      </c>
      <c r="L2371" s="1" t="str">
        <f t="shared" si="2"/>
        <v>May</v>
      </c>
      <c r="M2371" s="1" t="str">
        <f t="shared" si="3"/>
        <v>Loss</v>
      </c>
    </row>
    <row r="2372" ht="14.25" customHeight="1">
      <c r="A2372" s="1" t="s">
        <v>2406</v>
      </c>
      <c r="B2372" s="2">
        <v>44662.0</v>
      </c>
      <c r="C2372" s="1" t="s">
        <v>26</v>
      </c>
      <c r="D2372" s="1" t="s">
        <v>21</v>
      </c>
      <c r="E2372" s="1" t="s">
        <v>37</v>
      </c>
      <c r="F2372" s="1">
        <v>158.78</v>
      </c>
      <c r="G2372" s="1">
        <v>25.42</v>
      </c>
      <c r="H2372" s="1">
        <v>9.0</v>
      </c>
      <c r="I2372" s="1" t="s">
        <v>23</v>
      </c>
      <c r="J2372" s="1" t="s">
        <v>18</v>
      </c>
      <c r="K2372" s="1">
        <f t="shared" si="1"/>
        <v>2022</v>
      </c>
      <c r="L2372" s="1" t="str">
        <f t="shared" si="2"/>
        <v>Apr</v>
      </c>
      <c r="M2372" s="1" t="str">
        <f t="shared" si="3"/>
        <v>Profit</v>
      </c>
    </row>
    <row r="2373" ht="14.25" customHeight="1">
      <c r="A2373" s="1" t="s">
        <v>2407</v>
      </c>
      <c r="B2373" s="2">
        <v>44907.0</v>
      </c>
      <c r="C2373" s="1" t="s">
        <v>20</v>
      </c>
      <c r="D2373" s="1" t="s">
        <v>15</v>
      </c>
      <c r="E2373" s="1" t="s">
        <v>16</v>
      </c>
      <c r="F2373" s="1">
        <v>849.37</v>
      </c>
      <c r="G2373" s="1">
        <v>-198.43</v>
      </c>
      <c r="H2373" s="1">
        <v>3.0</v>
      </c>
      <c r="I2373" s="1" t="s">
        <v>17</v>
      </c>
      <c r="J2373" s="1" t="s">
        <v>35</v>
      </c>
      <c r="K2373" s="1">
        <f t="shared" si="1"/>
        <v>2022</v>
      </c>
      <c r="L2373" s="1" t="str">
        <f t="shared" si="2"/>
        <v>Dec</v>
      </c>
      <c r="M2373" s="1" t="str">
        <f t="shared" si="3"/>
        <v>Loss</v>
      </c>
    </row>
    <row r="2374" ht="14.25" customHeight="1">
      <c r="A2374" s="1" t="s">
        <v>2408</v>
      </c>
      <c r="B2374" s="2">
        <v>44810.0</v>
      </c>
      <c r="C2374" s="1" t="s">
        <v>20</v>
      </c>
      <c r="D2374" s="1" t="s">
        <v>27</v>
      </c>
      <c r="E2374" s="1" t="s">
        <v>40</v>
      </c>
      <c r="F2374" s="1">
        <v>59.97</v>
      </c>
      <c r="G2374" s="1">
        <v>-66.92</v>
      </c>
      <c r="H2374" s="1">
        <v>6.0</v>
      </c>
      <c r="I2374" s="1" t="s">
        <v>34</v>
      </c>
      <c r="J2374" s="1" t="s">
        <v>18</v>
      </c>
      <c r="K2374" s="1">
        <f t="shared" si="1"/>
        <v>2022</v>
      </c>
      <c r="L2374" s="1" t="str">
        <f t="shared" si="2"/>
        <v>Sep</v>
      </c>
      <c r="M2374" s="1" t="str">
        <f t="shared" si="3"/>
        <v>Loss</v>
      </c>
    </row>
    <row r="2375" ht="14.25" customHeight="1">
      <c r="A2375" s="1" t="s">
        <v>2409</v>
      </c>
      <c r="B2375" s="2">
        <v>44246.0</v>
      </c>
      <c r="C2375" s="1" t="s">
        <v>20</v>
      </c>
      <c r="D2375" s="1" t="s">
        <v>15</v>
      </c>
      <c r="E2375" s="1" t="s">
        <v>31</v>
      </c>
      <c r="F2375" s="1">
        <v>842.69</v>
      </c>
      <c r="G2375" s="1">
        <v>20.58</v>
      </c>
      <c r="H2375" s="1">
        <v>9.0</v>
      </c>
      <c r="I2375" s="1" t="s">
        <v>23</v>
      </c>
      <c r="J2375" s="1" t="s">
        <v>38</v>
      </c>
      <c r="K2375" s="1">
        <f t="shared" si="1"/>
        <v>2021</v>
      </c>
      <c r="L2375" s="1" t="str">
        <f t="shared" si="2"/>
        <v>Feb</v>
      </c>
      <c r="M2375" s="1" t="str">
        <f t="shared" si="3"/>
        <v>Profit</v>
      </c>
    </row>
    <row r="2376" ht="14.25" customHeight="1">
      <c r="A2376" s="1" t="s">
        <v>2410</v>
      </c>
      <c r="B2376" s="2">
        <v>44302.0</v>
      </c>
      <c r="C2376" s="1" t="s">
        <v>26</v>
      </c>
      <c r="D2376" s="1" t="s">
        <v>27</v>
      </c>
      <c r="E2376" s="1" t="s">
        <v>40</v>
      </c>
      <c r="F2376" s="1">
        <v>86.54</v>
      </c>
      <c r="G2376" s="1">
        <v>-177.57</v>
      </c>
      <c r="H2376" s="1">
        <v>10.0</v>
      </c>
      <c r="I2376" s="1" t="s">
        <v>34</v>
      </c>
      <c r="J2376" s="1" t="s">
        <v>18</v>
      </c>
      <c r="K2376" s="1">
        <f t="shared" si="1"/>
        <v>2021</v>
      </c>
      <c r="L2376" s="1" t="str">
        <f t="shared" si="2"/>
        <v>Apr</v>
      </c>
      <c r="M2376" s="1" t="str">
        <f t="shared" si="3"/>
        <v>Loss</v>
      </c>
    </row>
    <row r="2377" ht="14.25" customHeight="1">
      <c r="A2377" s="1" t="s">
        <v>2411</v>
      </c>
      <c r="B2377" s="2">
        <v>44557.0</v>
      </c>
      <c r="C2377" s="1" t="s">
        <v>14</v>
      </c>
      <c r="D2377" s="1" t="s">
        <v>21</v>
      </c>
      <c r="E2377" s="1" t="s">
        <v>37</v>
      </c>
      <c r="F2377" s="1">
        <v>508.78</v>
      </c>
      <c r="G2377" s="1">
        <v>226.51</v>
      </c>
      <c r="H2377" s="1">
        <v>9.0</v>
      </c>
      <c r="I2377" s="1" t="s">
        <v>34</v>
      </c>
      <c r="J2377" s="1" t="s">
        <v>35</v>
      </c>
      <c r="K2377" s="1">
        <f t="shared" si="1"/>
        <v>2021</v>
      </c>
      <c r="L2377" s="1" t="str">
        <f t="shared" si="2"/>
        <v>Dec</v>
      </c>
      <c r="M2377" s="1" t="str">
        <f t="shared" si="3"/>
        <v>Profit</v>
      </c>
    </row>
    <row r="2378" ht="14.25" customHeight="1">
      <c r="A2378" s="1" t="s">
        <v>2412</v>
      </c>
      <c r="B2378" s="2">
        <v>44923.0</v>
      </c>
      <c r="C2378" s="1" t="s">
        <v>30</v>
      </c>
      <c r="D2378" s="1" t="s">
        <v>15</v>
      </c>
      <c r="E2378" s="1" t="s">
        <v>31</v>
      </c>
      <c r="F2378" s="1">
        <v>125.68</v>
      </c>
      <c r="G2378" s="1">
        <v>-13.25</v>
      </c>
      <c r="H2378" s="1">
        <v>6.0</v>
      </c>
      <c r="I2378" s="1" t="s">
        <v>17</v>
      </c>
      <c r="J2378" s="1" t="s">
        <v>24</v>
      </c>
      <c r="K2378" s="1">
        <f t="shared" si="1"/>
        <v>2022</v>
      </c>
      <c r="L2378" s="1" t="str">
        <f t="shared" si="2"/>
        <v>Dec</v>
      </c>
      <c r="M2378" s="1" t="str">
        <f t="shared" si="3"/>
        <v>Loss</v>
      </c>
    </row>
    <row r="2379" ht="14.25" customHeight="1">
      <c r="A2379" s="1" t="s">
        <v>2413</v>
      </c>
      <c r="B2379" s="2">
        <v>44664.0</v>
      </c>
      <c r="C2379" s="1" t="s">
        <v>14</v>
      </c>
      <c r="D2379" s="1" t="s">
        <v>21</v>
      </c>
      <c r="E2379" s="1" t="s">
        <v>37</v>
      </c>
      <c r="F2379" s="1">
        <v>425.84</v>
      </c>
      <c r="G2379" s="1">
        <v>79.3</v>
      </c>
      <c r="H2379" s="1">
        <v>3.0</v>
      </c>
      <c r="I2379" s="1" t="s">
        <v>23</v>
      </c>
      <c r="J2379" s="1" t="s">
        <v>38</v>
      </c>
      <c r="K2379" s="1">
        <f t="shared" si="1"/>
        <v>2022</v>
      </c>
      <c r="L2379" s="1" t="str">
        <f t="shared" si="2"/>
        <v>Apr</v>
      </c>
      <c r="M2379" s="1" t="str">
        <f t="shared" si="3"/>
        <v>Profit</v>
      </c>
    </row>
    <row r="2380" ht="14.25" customHeight="1">
      <c r="A2380" s="1" t="s">
        <v>2414</v>
      </c>
      <c r="B2380" s="2">
        <v>44866.0</v>
      </c>
      <c r="C2380" s="1" t="s">
        <v>20</v>
      </c>
      <c r="D2380" s="1" t="s">
        <v>15</v>
      </c>
      <c r="E2380" s="1" t="s">
        <v>54</v>
      </c>
      <c r="F2380" s="1">
        <v>522.47</v>
      </c>
      <c r="G2380" s="1">
        <v>-17.55</v>
      </c>
      <c r="H2380" s="1">
        <v>3.0</v>
      </c>
      <c r="I2380" s="1" t="s">
        <v>34</v>
      </c>
      <c r="J2380" s="1" t="s">
        <v>18</v>
      </c>
      <c r="K2380" s="1">
        <f t="shared" si="1"/>
        <v>2022</v>
      </c>
      <c r="L2380" s="1" t="str">
        <f t="shared" si="2"/>
        <v>Nov</v>
      </c>
      <c r="M2380" s="1" t="str">
        <f t="shared" si="3"/>
        <v>Loss</v>
      </c>
    </row>
    <row r="2381" ht="14.25" customHeight="1">
      <c r="A2381" s="1" t="s">
        <v>2415</v>
      </c>
      <c r="B2381" s="2">
        <v>44600.0</v>
      </c>
      <c r="C2381" s="1" t="s">
        <v>20</v>
      </c>
      <c r="D2381" s="1" t="s">
        <v>21</v>
      </c>
      <c r="E2381" s="1" t="s">
        <v>37</v>
      </c>
      <c r="F2381" s="1">
        <v>404.03</v>
      </c>
      <c r="G2381" s="1">
        <v>231.51</v>
      </c>
      <c r="H2381" s="1">
        <v>9.0</v>
      </c>
      <c r="I2381" s="1" t="s">
        <v>17</v>
      </c>
      <c r="J2381" s="1" t="s">
        <v>35</v>
      </c>
      <c r="K2381" s="1">
        <f t="shared" si="1"/>
        <v>2022</v>
      </c>
      <c r="L2381" s="1" t="str">
        <f t="shared" si="2"/>
        <v>Feb</v>
      </c>
      <c r="M2381" s="1" t="str">
        <f t="shared" si="3"/>
        <v>Profit</v>
      </c>
    </row>
    <row r="2382" ht="14.25" customHeight="1">
      <c r="A2382" s="1" t="s">
        <v>2416</v>
      </c>
      <c r="B2382" s="2">
        <v>44780.0</v>
      </c>
      <c r="C2382" s="1" t="s">
        <v>20</v>
      </c>
      <c r="D2382" s="1" t="s">
        <v>21</v>
      </c>
      <c r="E2382" s="1" t="s">
        <v>22</v>
      </c>
      <c r="F2382" s="1">
        <v>865.27</v>
      </c>
      <c r="G2382" s="1">
        <v>166.75</v>
      </c>
      <c r="H2382" s="1">
        <v>9.0</v>
      </c>
      <c r="I2382" s="1" t="s">
        <v>23</v>
      </c>
      <c r="J2382" s="1" t="s">
        <v>24</v>
      </c>
      <c r="K2382" s="1">
        <f t="shared" si="1"/>
        <v>2022</v>
      </c>
      <c r="L2382" s="1" t="str">
        <f t="shared" si="2"/>
        <v>Aug</v>
      </c>
      <c r="M2382" s="1" t="str">
        <f t="shared" si="3"/>
        <v>Profit</v>
      </c>
    </row>
    <row r="2383" ht="14.25" customHeight="1">
      <c r="A2383" s="1" t="s">
        <v>2417</v>
      </c>
      <c r="B2383" s="2">
        <v>45222.0</v>
      </c>
      <c r="C2383" s="1" t="s">
        <v>20</v>
      </c>
      <c r="D2383" s="1" t="s">
        <v>27</v>
      </c>
      <c r="E2383" s="1" t="s">
        <v>33</v>
      </c>
      <c r="F2383" s="1">
        <v>958.43</v>
      </c>
      <c r="G2383" s="1">
        <v>68.93</v>
      </c>
      <c r="H2383" s="1">
        <v>6.0</v>
      </c>
      <c r="I2383" s="1" t="s">
        <v>17</v>
      </c>
      <c r="J2383" s="1" t="s">
        <v>18</v>
      </c>
      <c r="K2383" s="1">
        <f t="shared" si="1"/>
        <v>2023</v>
      </c>
      <c r="L2383" s="1" t="str">
        <f t="shared" si="2"/>
        <v>Oct</v>
      </c>
      <c r="M2383" s="1" t="str">
        <f t="shared" si="3"/>
        <v>Profit</v>
      </c>
    </row>
    <row r="2384" ht="14.25" customHeight="1">
      <c r="A2384" s="1" t="s">
        <v>2418</v>
      </c>
      <c r="B2384" s="2">
        <v>45230.0</v>
      </c>
      <c r="C2384" s="1" t="s">
        <v>26</v>
      </c>
      <c r="D2384" s="1" t="s">
        <v>27</v>
      </c>
      <c r="E2384" s="1" t="s">
        <v>33</v>
      </c>
      <c r="F2384" s="1">
        <v>598.34</v>
      </c>
      <c r="G2384" s="1">
        <v>0.73</v>
      </c>
      <c r="H2384" s="1">
        <v>7.0</v>
      </c>
      <c r="I2384" s="1" t="s">
        <v>23</v>
      </c>
      <c r="J2384" s="1" t="s">
        <v>18</v>
      </c>
      <c r="K2384" s="1">
        <f t="shared" si="1"/>
        <v>2023</v>
      </c>
      <c r="L2384" s="1" t="str">
        <f t="shared" si="2"/>
        <v>Oct</v>
      </c>
      <c r="M2384" s="1" t="str">
        <f t="shared" si="3"/>
        <v>Profit</v>
      </c>
    </row>
    <row r="2385" ht="14.25" customHeight="1">
      <c r="A2385" s="1" t="s">
        <v>2419</v>
      </c>
      <c r="B2385" s="2">
        <v>44610.0</v>
      </c>
      <c r="C2385" s="1" t="s">
        <v>26</v>
      </c>
      <c r="D2385" s="1" t="s">
        <v>21</v>
      </c>
      <c r="E2385" s="1" t="s">
        <v>76</v>
      </c>
      <c r="F2385" s="1">
        <v>705.7</v>
      </c>
      <c r="G2385" s="1">
        <v>2.75</v>
      </c>
      <c r="H2385" s="1">
        <v>4.0</v>
      </c>
      <c r="I2385" s="1" t="s">
        <v>23</v>
      </c>
      <c r="J2385" s="1" t="s">
        <v>38</v>
      </c>
      <c r="K2385" s="1">
        <f t="shared" si="1"/>
        <v>2022</v>
      </c>
      <c r="L2385" s="1" t="str">
        <f t="shared" si="2"/>
        <v>Feb</v>
      </c>
      <c r="M2385" s="1" t="str">
        <f t="shared" si="3"/>
        <v>Profit</v>
      </c>
    </row>
    <row r="2386" ht="14.25" customHeight="1">
      <c r="A2386" s="1" t="s">
        <v>2420</v>
      </c>
      <c r="B2386" s="2">
        <v>44783.0</v>
      </c>
      <c r="C2386" s="1" t="s">
        <v>20</v>
      </c>
      <c r="D2386" s="1" t="s">
        <v>27</v>
      </c>
      <c r="E2386" s="1" t="s">
        <v>33</v>
      </c>
      <c r="F2386" s="1">
        <v>840.82</v>
      </c>
      <c r="G2386" s="1">
        <v>-77.72</v>
      </c>
      <c r="H2386" s="1">
        <v>6.0</v>
      </c>
      <c r="I2386" s="1" t="s">
        <v>17</v>
      </c>
      <c r="J2386" s="1" t="s">
        <v>18</v>
      </c>
      <c r="K2386" s="1">
        <f t="shared" si="1"/>
        <v>2022</v>
      </c>
      <c r="L2386" s="1" t="str">
        <f t="shared" si="2"/>
        <v>Aug</v>
      </c>
      <c r="M2386" s="1" t="str">
        <f t="shared" si="3"/>
        <v>Loss</v>
      </c>
    </row>
    <row r="2387" ht="14.25" customHeight="1">
      <c r="A2387" s="1" t="s">
        <v>2421</v>
      </c>
      <c r="B2387" s="2">
        <v>44977.0</v>
      </c>
      <c r="C2387" s="1" t="s">
        <v>20</v>
      </c>
      <c r="D2387" s="1" t="s">
        <v>27</v>
      </c>
      <c r="E2387" s="1" t="s">
        <v>28</v>
      </c>
      <c r="F2387" s="1">
        <v>641.22</v>
      </c>
      <c r="G2387" s="1">
        <v>-93.68</v>
      </c>
      <c r="H2387" s="1">
        <v>5.0</v>
      </c>
      <c r="I2387" s="1" t="s">
        <v>34</v>
      </c>
      <c r="J2387" s="1" t="s">
        <v>18</v>
      </c>
      <c r="K2387" s="1">
        <f t="shared" si="1"/>
        <v>2023</v>
      </c>
      <c r="L2387" s="1" t="str">
        <f t="shared" si="2"/>
        <v>Feb</v>
      </c>
      <c r="M2387" s="1" t="str">
        <f t="shared" si="3"/>
        <v>Loss</v>
      </c>
    </row>
    <row r="2388" ht="14.25" customHeight="1">
      <c r="A2388" s="1" t="s">
        <v>2422</v>
      </c>
      <c r="B2388" s="2">
        <v>44704.0</v>
      </c>
      <c r="C2388" s="1" t="s">
        <v>26</v>
      </c>
      <c r="D2388" s="1" t="s">
        <v>27</v>
      </c>
      <c r="E2388" s="1" t="s">
        <v>28</v>
      </c>
      <c r="F2388" s="1">
        <v>678.26</v>
      </c>
      <c r="G2388" s="1">
        <v>121.52</v>
      </c>
      <c r="H2388" s="1">
        <v>9.0</v>
      </c>
      <c r="I2388" s="1" t="s">
        <v>17</v>
      </c>
      <c r="J2388" s="1" t="s">
        <v>35</v>
      </c>
      <c r="K2388" s="1">
        <f t="shared" si="1"/>
        <v>2022</v>
      </c>
      <c r="L2388" s="1" t="str">
        <f t="shared" si="2"/>
        <v>May</v>
      </c>
      <c r="M2388" s="1" t="str">
        <f t="shared" si="3"/>
        <v>Profit</v>
      </c>
    </row>
    <row r="2389" ht="14.25" customHeight="1">
      <c r="A2389" s="1" t="s">
        <v>2423</v>
      </c>
      <c r="B2389" s="2">
        <v>44334.0</v>
      </c>
      <c r="C2389" s="1" t="s">
        <v>30</v>
      </c>
      <c r="D2389" s="1" t="s">
        <v>15</v>
      </c>
      <c r="E2389" s="1" t="s">
        <v>31</v>
      </c>
      <c r="F2389" s="1">
        <v>377.71</v>
      </c>
      <c r="G2389" s="1">
        <v>186.83</v>
      </c>
      <c r="H2389" s="1">
        <v>4.0</v>
      </c>
      <c r="I2389" s="1" t="s">
        <v>17</v>
      </c>
      <c r="J2389" s="1" t="s">
        <v>38</v>
      </c>
      <c r="K2389" s="1">
        <f t="shared" si="1"/>
        <v>2021</v>
      </c>
      <c r="L2389" s="1" t="str">
        <f t="shared" si="2"/>
        <v>May</v>
      </c>
      <c r="M2389" s="1" t="str">
        <f t="shared" si="3"/>
        <v>Profit</v>
      </c>
    </row>
    <row r="2390" ht="14.25" customHeight="1">
      <c r="A2390" s="1" t="s">
        <v>2424</v>
      </c>
      <c r="B2390" s="2">
        <v>44954.0</v>
      </c>
      <c r="C2390" s="1" t="s">
        <v>30</v>
      </c>
      <c r="D2390" s="1" t="s">
        <v>15</v>
      </c>
      <c r="E2390" s="1" t="s">
        <v>31</v>
      </c>
      <c r="F2390" s="1">
        <v>896.98</v>
      </c>
      <c r="G2390" s="1">
        <v>-85.01</v>
      </c>
      <c r="H2390" s="1">
        <v>6.0</v>
      </c>
      <c r="I2390" s="1" t="s">
        <v>17</v>
      </c>
      <c r="J2390" s="1" t="s">
        <v>35</v>
      </c>
      <c r="K2390" s="1">
        <f t="shared" si="1"/>
        <v>2023</v>
      </c>
      <c r="L2390" s="1" t="str">
        <f t="shared" si="2"/>
        <v>Jan</v>
      </c>
      <c r="M2390" s="1" t="str">
        <f t="shared" si="3"/>
        <v>Loss</v>
      </c>
    </row>
    <row r="2391" ht="14.25" customHeight="1">
      <c r="A2391" s="1" t="s">
        <v>2425</v>
      </c>
      <c r="B2391" s="2">
        <v>44350.0</v>
      </c>
      <c r="C2391" s="1" t="s">
        <v>20</v>
      </c>
      <c r="D2391" s="1" t="s">
        <v>15</v>
      </c>
      <c r="E2391" s="1" t="s">
        <v>31</v>
      </c>
      <c r="F2391" s="1">
        <v>272.61</v>
      </c>
      <c r="G2391" s="1">
        <v>-137.17</v>
      </c>
      <c r="H2391" s="1">
        <v>4.0</v>
      </c>
      <c r="I2391" s="1" t="s">
        <v>23</v>
      </c>
      <c r="J2391" s="1" t="s">
        <v>35</v>
      </c>
      <c r="K2391" s="1">
        <f t="shared" si="1"/>
        <v>2021</v>
      </c>
      <c r="L2391" s="1" t="str">
        <f t="shared" si="2"/>
        <v>Jun</v>
      </c>
      <c r="M2391" s="1" t="str">
        <f t="shared" si="3"/>
        <v>Loss</v>
      </c>
    </row>
    <row r="2392" ht="14.25" customHeight="1">
      <c r="A2392" s="1" t="s">
        <v>2426</v>
      </c>
      <c r="B2392" s="2">
        <v>44399.0</v>
      </c>
      <c r="C2392" s="1" t="s">
        <v>14</v>
      </c>
      <c r="D2392" s="1" t="s">
        <v>27</v>
      </c>
      <c r="E2392" s="1" t="s">
        <v>40</v>
      </c>
      <c r="F2392" s="1">
        <v>866.73</v>
      </c>
      <c r="G2392" s="1">
        <v>126.72</v>
      </c>
      <c r="H2392" s="1">
        <v>8.0</v>
      </c>
      <c r="I2392" s="1" t="s">
        <v>23</v>
      </c>
      <c r="J2392" s="1" t="s">
        <v>18</v>
      </c>
      <c r="K2392" s="1">
        <f t="shared" si="1"/>
        <v>2021</v>
      </c>
      <c r="L2392" s="1" t="str">
        <f t="shared" si="2"/>
        <v>Jul</v>
      </c>
      <c r="M2392" s="1" t="str">
        <f t="shared" si="3"/>
        <v>Profit</v>
      </c>
    </row>
    <row r="2393" ht="14.25" customHeight="1">
      <c r="A2393" s="1" t="s">
        <v>2427</v>
      </c>
      <c r="B2393" s="2">
        <v>44718.0</v>
      </c>
      <c r="C2393" s="1" t="s">
        <v>20</v>
      </c>
      <c r="D2393" s="1" t="s">
        <v>21</v>
      </c>
      <c r="E2393" s="1" t="s">
        <v>76</v>
      </c>
      <c r="F2393" s="1">
        <v>156.11</v>
      </c>
      <c r="G2393" s="1">
        <v>0.22</v>
      </c>
      <c r="H2393" s="1">
        <v>7.0</v>
      </c>
      <c r="I2393" s="1" t="s">
        <v>34</v>
      </c>
      <c r="J2393" s="1" t="s">
        <v>24</v>
      </c>
      <c r="K2393" s="1">
        <f t="shared" si="1"/>
        <v>2022</v>
      </c>
      <c r="L2393" s="1" t="str">
        <f t="shared" si="2"/>
        <v>Jun</v>
      </c>
      <c r="M2393" s="1" t="str">
        <f t="shared" si="3"/>
        <v>Profit</v>
      </c>
    </row>
    <row r="2394" ht="14.25" customHeight="1">
      <c r="A2394" s="1" t="s">
        <v>2428</v>
      </c>
      <c r="B2394" s="2">
        <v>44732.0</v>
      </c>
      <c r="C2394" s="1" t="s">
        <v>26</v>
      </c>
      <c r="D2394" s="1" t="s">
        <v>27</v>
      </c>
      <c r="E2394" s="1" t="s">
        <v>40</v>
      </c>
      <c r="F2394" s="1">
        <v>875.24</v>
      </c>
      <c r="G2394" s="1">
        <v>-197.86</v>
      </c>
      <c r="H2394" s="1">
        <v>2.0</v>
      </c>
      <c r="I2394" s="1" t="s">
        <v>34</v>
      </c>
      <c r="J2394" s="1" t="s">
        <v>18</v>
      </c>
      <c r="K2394" s="1">
        <f t="shared" si="1"/>
        <v>2022</v>
      </c>
      <c r="L2394" s="1" t="str">
        <f t="shared" si="2"/>
        <v>Jun</v>
      </c>
      <c r="M2394" s="1" t="str">
        <f t="shared" si="3"/>
        <v>Loss</v>
      </c>
    </row>
    <row r="2395" ht="14.25" customHeight="1">
      <c r="A2395" s="1" t="s">
        <v>2429</v>
      </c>
      <c r="B2395" s="2">
        <v>44385.0</v>
      </c>
      <c r="C2395" s="1" t="s">
        <v>14</v>
      </c>
      <c r="D2395" s="1" t="s">
        <v>15</v>
      </c>
      <c r="E2395" s="1" t="s">
        <v>31</v>
      </c>
      <c r="F2395" s="1">
        <v>340.02</v>
      </c>
      <c r="G2395" s="1">
        <v>200.47</v>
      </c>
      <c r="H2395" s="1">
        <v>5.0</v>
      </c>
      <c r="I2395" s="1" t="s">
        <v>17</v>
      </c>
      <c r="J2395" s="1" t="s">
        <v>38</v>
      </c>
      <c r="K2395" s="1">
        <f t="shared" si="1"/>
        <v>2021</v>
      </c>
      <c r="L2395" s="1" t="str">
        <f t="shared" si="2"/>
        <v>Jul</v>
      </c>
      <c r="M2395" s="1" t="str">
        <f t="shared" si="3"/>
        <v>Profit</v>
      </c>
    </row>
    <row r="2396" ht="14.25" customHeight="1">
      <c r="A2396" s="1" t="s">
        <v>2430</v>
      </c>
      <c r="B2396" s="2">
        <v>44204.0</v>
      </c>
      <c r="C2396" s="1" t="s">
        <v>20</v>
      </c>
      <c r="D2396" s="1" t="s">
        <v>27</v>
      </c>
      <c r="E2396" s="1" t="s">
        <v>33</v>
      </c>
      <c r="F2396" s="1">
        <v>146.56</v>
      </c>
      <c r="G2396" s="1">
        <v>-147.59</v>
      </c>
      <c r="H2396" s="1">
        <v>7.0</v>
      </c>
      <c r="I2396" s="1" t="s">
        <v>34</v>
      </c>
      <c r="J2396" s="1" t="s">
        <v>18</v>
      </c>
      <c r="K2396" s="1">
        <f t="shared" si="1"/>
        <v>2021</v>
      </c>
      <c r="L2396" s="1" t="str">
        <f t="shared" si="2"/>
        <v>Jan</v>
      </c>
      <c r="M2396" s="1" t="str">
        <f t="shared" si="3"/>
        <v>Loss</v>
      </c>
    </row>
    <row r="2397" ht="14.25" customHeight="1">
      <c r="A2397" s="1" t="s">
        <v>2431</v>
      </c>
      <c r="B2397" s="2">
        <v>44426.0</v>
      </c>
      <c r="C2397" s="1" t="s">
        <v>14</v>
      </c>
      <c r="D2397" s="1" t="s">
        <v>27</v>
      </c>
      <c r="E2397" s="1" t="s">
        <v>33</v>
      </c>
      <c r="F2397" s="1">
        <v>302.58</v>
      </c>
      <c r="G2397" s="1">
        <v>-34.81</v>
      </c>
      <c r="H2397" s="1">
        <v>5.0</v>
      </c>
      <c r="I2397" s="1" t="s">
        <v>23</v>
      </c>
      <c r="J2397" s="1" t="s">
        <v>18</v>
      </c>
      <c r="K2397" s="1">
        <f t="shared" si="1"/>
        <v>2021</v>
      </c>
      <c r="L2397" s="1" t="str">
        <f t="shared" si="2"/>
        <v>Aug</v>
      </c>
      <c r="M2397" s="1" t="str">
        <f t="shared" si="3"/>
        <v>Loss</v>
      </c>
    </row>
    <row r="2398" ht="14.25" customHeight="1">
      <c r="A2398" s="1" t="s">
        <v>2432</v>
      </c>
      <c r="B2398" s="2">
        <v>45002.0</v>
      </c>
      <c r="C2398" s="1" t="s">
        <v>30</v>
      </c>
      <c r="D2398" s="1" t="s">
        <v>21</v>
      </c>
      <c r="E2398" s="1" t="s">
        <v>76</v>
      </c>
      <c r="F2398" s="1">
        <v>167.66</v>
      </c>
      <c r="G2398" s="1">
        <v>161.13</v>
      </c>
      <c r="H2398" s="1">
        <v>3.0</v>
      </c>
      <c r="I2398" s="1" t="s">
        <v>34</v>
      </c>
      <c r="J2398" s="1" t="s">
        <v>18</v>
      </c>
      <c r="K2398" s="1">
        <f t="shared" si="1"/>
        <v>2023</v>
      </c>
      <c r="L2398" s="1" t="str">
        <f t="shared" si="2"/>
        <v>Mar</v>
      </c>
      <c r="M2398" s="1" t="str">
        <f t="shared" si="3"/>
        <v>Profit</v>
      </c>
    </row>
    <row r="2399" ht="14.25" customHeight="1">
      <c r="A2399" s="1" t="s">
        <v>2433</v>
      </c>
      <c r="B2399" s="2">
        <v>44729.0</v>
      </c>
      <c r="C2399" s="1" t="s">
        <v>20</v>
      </c>
      <c r="D2399" s="1" t="s">
        <v>27</v>
      </c>
      <c r="E2399" s="1" t="s">
        <v>33</v>
      </c>
      <c r="F2399" s="1">
        <v>292.71</v>
      </c>
      <c r="G2399" s="1">
        <v>-33.18</v>
      </c>
      <c r="H2399" s="1">
        <v>9.0</v>
      </c>
      <c r="I2399" s="1" t="s">
        <v>34</v>
      </c>
      <c r="J2399" s="1" t="s">
        <v>24</v>
      </c>
      <c r="K2399" s="1">
        <f t="shared" si="1"/>
        <v>2022</v>
      </c>
      <c r="L2399" s="1" t="str">
        <f t="shared" si="2"/>
        <v>Jun</v>
      </c>
      <c r="M2399" s="1" t="str">
        <f t="shared" si="3"/>
        <v>Loss</v>
      </c>
    </row>
    <row r="2400" ht="14.25" customHeight="1">
      <c r="A2400" s="1" t="s">
        <v>2434</v>
      </c>
      <c r="B2400" s="2">
        <v>45026.0</v>
      </c>
      <c r="C2400" s="1" t="s">
        <v>14</v>
      </c>
      <c r="D2400" s="1" t="s">
        <v>21</v>
      </c>
      <c r="E2400" s="1" t="s">
        <v>37</v>
      </c>
      <c r="F2400" s="1">
        <v>323.64</v>
      </c>
      <c r="G2400" s="1">
        <v>-101.6</v>
      </c>
      <c r="H2400" s="1">
        <v>6.0</v>
      </c>
      <c r="I2400" s="1" t="s">
        <v>23</v>
      </c>
      <c r="J2400" s="1" t="s">
        <v>38</v>
      </c>
      <c r="K2400" s="1">
        <f t="shared" si="1"/>
        <v>2023</v>
      </c>
      <c r="L2400" s="1" t="str">
        <f t="shared" si="2"/>
        <v>Apr</v>
      </c>
      <c r="M2400" s="1" t="str">
        <f t="shared" si="3"/>
        <v>Loss</v>
      </c>
    </row>
    <row r="2401" ht="14.25" customHeight="1">
      <c r="A2401" s="1" t="s">
        <v>2435</v>
      </c>
      <c r="B2401" s="2">
        <v>45244.0</v>
      </c>
      <c r="C2401" s="1" t="s">
        <v>14</v>
      </c>
      <c r="D2401" s="1" t="s">
        <v>15</v>
      </c>
      <c r="E2401" s="1" t="s">
        <v>54</v>
      </c>
      <c r="F2401" s="1">
        <v>796.39</v>
      </c>
      <c r="G2401" s="1">
        <v>72.82</v>
      </c>
      <c r="H2401" s="1">
        <v>2.0</v>
      </c>
      <c r="I2401" s="1" t="s">
        <v>34</v>
      </c>
      <c r="J2401" s="1" t="s">
        <v>18</v>
      </c>
      <c r="K2401" s="1">
        <f t="shared" si="1"/>
        <v>2023</v>
      </c>
      <c r="L2401" s="1" t="str">
        <f t="shared" si="2"/>
        <v>Nov</v>
      </c>
      <c r="M2401" s="1" t="str">
        <f t="shared" si="3"/>
        <v>Profit</v>
      </c>
    </row>
    <row r="2402" ht="14.25" customHeight="1">
      <c r="A2402" s="1" t="s">
        <v>2436</v>
      </c>
      <c r="B2402" s="2">
        <v>44626.0</v>
      </c>
      <c r="C2402" s="1" t="s">
        <v>20</v>
      </c>
      <c r="D2402" s="1" t="s">
        <v>21</v>
      </c>
      <c r="E2402" s="1" t="s">
        <v>76</v>
      </c>
      <c r="F2402" s="1">
        <v>543.49</v>
      </c>
      <c r="G2402" s="1">
        <v>100.65</v>
      </c>
      <c r="H2402" s="1">
        <v>10.0</v>
      </c>
      <c r="I2402" s="1" t="s">
        <v>17</v>
      </c>
      <c r="J2402" s="1" t="s">
        <v>35</v>
      </c>
      <c r="K2402" s="1">
        <f t="shared" si="1"/>
        <v>2022</v>
      </c>
      <c r="L2402" s="1" t="str">
        <f t="shared" si="2"/>
        <v>Mar</v>
      </c>
      <c r="M2402" s="1" t="str">
        <f t="shared" si="3"/>
        <v>Profit</v>
      </c>
    </row>
    <row r="2403" ht="14.25" customHeight="1">
      <c r="A2403" s="1" t="s">
        <v>2437</v>
      </c>
      <c r="B2403" s="2">
        <v>44977.0</v>
      </c>
      <c r="C2403" s="1" t="s">
        <v>14</v>
      </c>
      <c r="D2403" s="1" t="s">
        <v>21</v>
      </c>
      <c r="E2403" s="1" t="s">
        <v>76</v>
      </c>
      <c r="F2403" s="1">
        <v>330.16</v>
      </c>
      <c r="G2403" s="1">
        <v>6.01</v>
      </c>
      <c r="H2403" s="1">
        <v>7.0</v>
      </c>
      <c r="I2403" s="1" t="s">
        <v>17</v>
      </c>
      <c r="J2403" s="1" t="s">
        <v>35</v>
      </c>
      <c r="K2403" s="1">
        <f t="shared" si="1"/>
        <v>2023</v>
      </c>
      <c r="L2403" s="1" t="str">
        <f t="shared" si="2"/>
        <v>Feb</v>
      </c>
      <c r="M2403" s="1" t="str">
        <f t="shared" si="3"/>
        <v>Profit</v>
      </c>
    </row>
    <row r="2404" ht="14.25" customHeight="1">
      <c r="A2404" s="1" t="s">
        <v>2438</v>
      </c>
      <c r="B2404" s="2">
        <v>45232.0</v>
      </c>
      <c r="C2404" s="1" t="s">
        <v>30</v>
      </c>
      <c r="D2404" s="1" t="s">
        <v>27</v>
      </c>
      <c r="E2404" s="1" t="s">
        <v>40</v>
      </c>
      <c r="F2404" s="1">
        <v>672.27</v>
      </c>
      <c r="G2404" s="1">
        <v>-17.3</v>
      </c>
      <c r="H2404" s="1">
        <v>5.0</v>
      </c>
      <c r="I2404" s="1" t="s">
        <v>23</v>
      </c>
      <c r="J2404" s="1" t="s">
        <v>38</v>
      </c>
      <c r="K2404" s="1">
        <f t="shared" si="1"/>
        <v>2023</v>
      </c>
      <c r="L2404" s="1" t="str">
        <f t="shared" si="2"/>
        <v>Nov</v>
      </c>
      <c r="M2404" s="1" t="str">
        <f t="shared" si="3"/>
        <v>Loss</v>
      </c>
    </row>
    <row r="2405" ht="14.25" customHeight="1">
      <c r="A2405" s="1" t="s">
        <v>2439</v>
      </c>
      <c r="B2405" s="2">
        <v>44346.0</v>
      </c>
      <c r="C2405" s="1" t="s">
        <v>20</v>
      </c>
      <c r="D2405" s="1" t="s">
        <v>15</v>
      </c>
      <c r="E2405" s="1" t="s">
        <v>31</v>
      </c>
      <c r="F2405" s="1">
        <v>613.56</v>
      </c>
      <c r="G2405" s="1">
        <v>-191.09</v>
      </c>
      <c r="H2405" s="1">
        <v>6.0</v>
      </c>
      <c r="I2405" s="1" t="s">
        <v>17</v>
      </c>
      <c r="J2405" s="1" t="s">
        <v>24</v>
      </c>
      <c r="K2405" s="1">
        <f t="shared" si="1"/>
        <v>2021</v>
      </c>
      <c r="L2405" s="1" t="str">
        <f t="shared" si="2"/>
        <v>May</v>
      </c>
      <c r="M2405" s="1" t="str">
        <f t="shared" si="3"/>
        <v>Loss</v>
      </c>
    </row>
    <row r="2406" ht="14.25" customHeight="1">
      <c r="A2406" s="1" t="s">
        <v>2440</v>
      </c>
      <c r="B2406" s="2">
        <v>45004.0</v>
      </c>
      <c r="C2406" s="1" t="s">
        <v>30</v>
      </c>
      <c r="D2406" s="1" t="s">
        <v>21</v>
      </c>
      <c r="E2406" s="1" t="s">
        <v>22</v>
      </c>
      <c r="F2406" s="1">
        <v>276.83</v>
      </c>
      <c r="G2406" s="1">
        <v>81.13</v>
      </c>
      <c r="H2406" s="1">
        <v>9.0</v>
      </c>
      <c r="I2406" s="1" t="s">
        <v>23</v>
      </c>
      <c r="J2406" s="1" t="s">
        <v>24</v>
      </c>
      <c r="K2406" s="1">
        <f t="shared" si="1"/>
        <v>2023</v>
      </c>
      <c r="L2406" s="1" t="str">
        <f t="shared" si="2"/>
        <v>Mar</v>
      </c>
      <c r="M2406" s="1" t="str">
        <f t="shared" si="3"/>
        <v>Profit</v>
      </c>
    </row>
    <row r="2407" ht="14.25" customHeight="1">
      <c r="A2407" s="1" t="s">
        <v>2441</v>
      </c>
      <c r="B2407" s="2">
        <v>44983.0</v>
      </c>
      <c r="C2407" s="1" t="s">
        <v>26</v>
      </c>
      <c r="D2407" s="1" t="s">
        <v>27</v>
      </c>
      <c r="E2407" s="1" t="s">
        <v>33</v>
      </c>
      <c r="F2407" s="1">
        <v>897.51</v>
      </c>
      <c r="G2407" s="1">
        <v>-37.53</v>
      </c>
      <c r="H2407" s="1">
        <v>2.0</v>
      </c>
      <c r="I2407" s="1" t="s">
        <v>34</v>
      </c>
      <c r="J2407" s="1" t="s">
        <v>18</v>
      </c>
      <c r="K2407" s="1">
        <f t="shared" si="1"/>
        <v>2023</v>
      </c>
      <c r="L2407" s="1" t="str">
        <f t="shared" si="2"/>
        <v>Feb</v>
      </c>
      <c r="M2407" s="1" t="str">
        <f t="shared" si="3"/>
        <v>Loss</v>
      </c>
    </row>
    <row r="2408" ht="14.25" customHeight="1">
      <c r="A2408" s="1" t="s">
        <v>2442</v>
      </c>
      <c r="B2408" s="2">
        <v>44731.0</v>
      </c>
      <c r="C2408" s="1" t="s">
        <v>26</v>
      </c>
      <c r="D2408" s="1" t="s">
        <v>15</v>
      </c>
      <c r="E2408" s="1" t="s">
        <v>54</v>
      </c>
      <c r="F2408" s="1">
        <v>414.19</v>
      </c>
      <c r="G2408" s="1">
        <v>-196.26</v>
      </c>
      <c r="H2408" s="1">
        <v>2.0</v>
      </c>
      <c r="I2408" s="1" t="s">
        <v>34</v>
      </c>
      <c r="J2408" s="1" t="s">
        <v>38</v>
      </c>
      <c r="K2408" s="1">
        <f t="shared" si="1"/>
        <v>2022</v>
      </c>
      <c r="L2408" s="1" t="str">
        <f t="shared" si="2"/>
        <v>Jun</v>
      </c>
      <c r="M2408" s="1" t="str">
        <f t="shared" si="3"/>
        <v>Loss</v>
      </c>
    </row>
    <row r="2409" ht="14.25" customHeight="1">
      <c r="A2409" s="1" t="s">
        <v>2443</v>
      </c>
      <c r="B2409" s="2">
        <v>44796.0</v>
      </c>
      <c r="C2409" s="1" t="s">
        <v>26</v>
      </c>
      <c r="D2409" s="1" t="s">
        <v>21</v>
      </c>
      <c r="E2409" s="1" t="s">
        <v>76</v>
      </c>
      <c r="F2409" s="1">
        <v>566.07</v>
      </c>
      <c r="G2409" s="1">
        <v>-70.9</v>
      </c>
      <c r="H2409" s="1">
        <v>5.0</v>
      </c>
      <c r="I2409" s="1" t="s">
        <v>17</v>
      </c>
      <c r="J2409" s="1" t="s">
        <v>18</v>
      </c>
      <c r="K2409" s="1">
        <f t="shared" si="1"/>
        <v>2022</v>
      </c>
      <c r="L2409" s="1" t="str">
        <f t="shared" si="2"/>
        <v>Aug</v>
      </c>
      <c r="M2409" s="1" t="str">
        <f t="shared" si="3"/>
        <v>Loss</v>
      </c>
    </row>
    <row r="2410" ht="14.25" customHeight="1">
      <c r="A2410" s="1" t="s">
        <v>2444</v>
      </c>
      <c r="B2410" s="2">
        <v>45292.0</v>
      </c>
      <c r="C2410" s="1" t="s">
        <v>26</v>
      </c>
      <c r="D2410" s="1" t="s">
        <v>21</v>
      </c>
      <c r="E2410" s="1" t="s">
        <v>22</v>
      </c>
      <c r="F2410" s="1">
        <v>953.67</v>
      </c>
      <c r="G2410" s="1">
        <v>152.54</v>
      </c>
      <c r="H2410" s="1">
        <v>7.0</v>
      </c>
      <c r="I2410" s="1" t="s">
        <v>23</v>
      </c>
      <c r="J2410" s="1" t="s">
        <v>18</v>
      </c>
      <c r="K2410" s="1">
        <f t="shared" si="1"/>
        <v>2024</v>
      </c>
      <c r="L2410" s="1" t="str">
        <f t="shared" si="2"/>
        <v>Jan</v>
      </c>
      <c r="M2410" s="1" t="str">
        <f t="shared" si="3"/>
        <v>Profit</v>
      </c>
    </row>
    <row r="2411" ht="14.25" customHeight="1">
      <c r="A2411" s="1" t="s">
        <v>2445</v>
      </c>
      <c r="B2411" s="2">
        <v>45291.0</v>
      </c>
      <c r="C2411" s="1" t="s">
        <v>20</v>
      </c>
      <c r="D2411" s="1" t="s">
        <v>15</v>
      </c>
      <c r="E2411" s="1" t="s">
        <v>31</v>
      </c>
      <c r="F2411" s="1">
        <v>801.92</v>
      </c>
      <c r="G2411" s="1">
        <v>-58.32</v>
      </c>
      <c r="H2411" s="1">
        <v>6.0</v>
      </c>
      <c r="I2411" s="1" t="s">
        <v>34</v>
      </c>
      <c r="J2411" s="1" t="s">
        <v>24</v>
      </c>
      <c r="K2411" s="1">
        <f t="shared" si="1"/>
        <v>2023</v>
      </c>
      <c r="L2411" s="1" t="str">
        <f t="shared" si="2"/>
        <v>Dec</v>
      </c>
      <c r="M2411" s="1" t="str">
        <f t="shared" si="3"/>
        <v>Loss</v>
      </c>
    </row>
    <row r="2412" ht="14.25" customHeight="1">
      <c r="A2412" s="1" t="s">
        <v>2446</v>
      </c>
      <c r="B2412" s="2">
        <v>44373.0</v>
      </c>
      <c r="C2412" s="1" t="s">
        <v>26</v>
      </c>
      <c r="D2412" s="1" t="s">
        <v>21</v>
      </c>
      <c r="E2412" s="1" t="s">
        <v>22</v>
      </c>
      <c r="F2412" s="1">
        <v>647.84</v>
      </c>
      <c r="G2412" s="1">
        <v>269.97</v>
      </c>
      <c r="H2412" s="1">
        <v>3.0</v>
      </c>
      <c r="I2412" s="1" t="s">
        <v>23</v>
      </c>
      <c r="J2412" s="1" t="s">
        <v>24</v>
      </c>
      <c r="K2412" s="1">
        <f t="shared" si="1"/>
        <v>2021</v>
      </c>
      <c r="L2412" s="1" t="str">
        <f t="shared" si="2"/>
        <v>Jun</v>
      </c>
      <c r="M2412" s="1" t="str">
        <f t="shared" si="3"/>
        <v>Profit</v>
      </c>
    </row>
    <row r="2413" ht="14.25" customHeight="1">
      <c r="A2413" s="1" t="s">
        <v>2447</v>
      </c>
      <c r="B2413" s="2">
        <v>44848.0</v>
      </c>
      <c r="C2413" s="1" t="s">
        <v>14</v>
      </c>
      <c r="D2413" s="1" t="s">
        <v>27</v>
      </c>
      <c r="E2413" s="1" t="s">
        <v>33</v>
      </c>
      <c r="F2413" s="1">
        <v>741.74</v>
      </c>
      <c r="G2413" s="1">
        <v>228.69</v>
      </c>
      <c r="H2413" s="1">
        <v>3.0</v>
      </c>
      <c r="I2413" s="1" t="s">
        <v>34</v>
      </c>
      <c r="J2413" s="1" t="s">
        <v>38</v>
      </c>
      <c r="K2413" s="1">
        <f t="shared" si="1"/>
        <v>2022</v>
      </c>
      <c r="L2413" s="1" t="str">
        <f t="shared" si="2"/>
        <v>Oct</v>
      </c>
      <c r="M2413" s="1" t="str">
        <f t="shared" si="3"/>
        <v>Profit</v>
      </c>
    </row>
    <row r="2414" ht="14.25" customHeight="1">
      <c r="A2414" s="1" t="s">
        <v>2448</v>
      </c>
      <c r="B2414" s="2">
        <v>44349.0</v>
      </c>
      <c r="C2414" s="1" t="s">
        <v>14</v>
      </c>
      <c r="D2414" s="1" t="s">
        <v>15</v>
      </c>
      <c r="E2414" s="1" t="s">
        <v>16</v>
      </c>
      <c r="F2414" s="1">
        <v>382.58</v>
      </c>
      <c r="G2414" s="1">
        <v>280.09</v>
      </c>
      <c r="H2414" s="1">
        <v>7.0</v>
      </c>
      <c r="I2414" s="1" t="s">
        <v>34</v>
      </c>
      <c r="J2414" s="1" t="s">
        <v>24</v>
      </c>
      <c r="K2414" s="1">
        <f t="shared" si="1"/>
        <v>2021</v>
      </c>
      <c r="L2414" s="1" t="str">
        <f t="shared" si="2"/>
        <v>Jun</v>
      </c>
      <c r="M2414" s="1" t="str">
        <f t="shared" si="3"/>
        <v>Profit</v>
      </c>
    </row>
    <row r="2415" ht="14.25" customHeight="1">
      <c r="A2415" s="1" t="s">
        <v>2449</v>
      </c>
      <c r="B2415" s="2">
        <v>44718.0</v>
      </c>
      <c r="C2415" s="1" t="s">
        <v>20</v>
      </c>
      <c r="D2415" s="1" t="s">
        <v>21</v>
      </c>
      <c r="E2415" s="1" t="s">
        <v>76</v>
      </c>
      <c r="F2415" s="1">
        <v>556.3</v>
      </c>
      <c r="G2415" s="1">
        <v>215.23</v>
      </c>
      <c r="H2415" s="1">
        <v>7.0</v>
      </c>
      <c r="I2415" s="1" t="s">
        <v>34</v>
      </c>
      <c r="J2415" s="1" t="s">
        <v>35</v>
      </c>
      <c r="K2415" s="1">
        <f t="shared" si="1"/>
        <v>2022</v>
      </c>
      <c r="L2415" s="1" t="str">
        <f t="shared" si="2"/>
        <v>Jun</v>
      </c>
      <c r="M2415" s="1" t="str">
        <f t="shared" si="3"/>
        <v>Profit</v>
      </c>
    </row>
    <row r="2416" ht="14.25" customHeight="1">
      <c r="A2416" s="1" t="s">
        <v>2450</v>
      </c>
      <c r="B2416" s="2">
        <v>44378.0</v>
      </c>
      <c r="C2416" s="1" t="s">
        <v>14</v>
      </c>
      <c r="D2416" s="1" t="s">
        <v>27</v>
      </c>
      <c r="E2416" s="1" t="s">
        <v>28</v>
      </c>
      <c r="F2416" s="1">
        <v>786.09</v>
      </c>
      <c r="G2416" s="1">
        <v>127.74</v>
      </c>
      <c r="H2416" s="1">
        <v>7.0</v>
      </c>
      <c r="I2416" s="1" t="s">
        <v>34</v>
      </c>
      <c r="J2416" s="1" t="s">
        <v>24</v>
      </c>
      <c r="K2416" s="1">
        <f t="shared" si="1"/>
        <v>2021</v>
      </c>
      <c r="L2416" s="1" t="str">
        <f t="shared" si="2"/>
        <v>Jul</v>
      </c>
      <c r="M2416" s="1" t="str">
        <f t="shared" si="3"/>
        <v>Profit</v>
      </c>
    </row>
    <row r="2417" ht="14.25" customHeight="1">
      <c r="A2417" s="1" t="s">
        <v>2451</v>
      </c>
      <c r="B2417" s="2">
        <v>44763.0</v>
      </c>
      <c r="C2417" s="1" t="s">
        <v>30</v>
      </c>
      <c r="D2417" s="1" t="s">
        <v>21</v>
      </c>
      <c r="E2417" s="1" t="s">
        <v>76</v>
      </c>
      <c r="F2417" s="1">
        <v>992.04</v>
      </c>
      <c r="G2417" s="1">
        <v>22.41</v>
      </c>
      <c r="H2417" s="1">
        <v>5.0</v>
      </c>
      <c r="I2417" s="1" t="s">
        <v>17</v>
      </c>
      <c r="J2417" s="1" t="s">
        <v>38</v>
      </c>
      <c r="K2417" s="1">
        <f t="shared" si="1"/>
        <v>2022</v>
      </c>
      <c r="L2417" s="1" t="str">
        <f t="shared" si="2"/>
        <v>Jul</v>
      </c>
      <c r="M2417" s="1" t="str">
        <f t="shared" si="3"/>
        <v>Profit</v>
      </c>
    </row>
    <row r="2418" ht="14.25" customHeight="1">
      <c r="A2418" s="1" t="s">
        <v>2452</v>
      </c>
      <c r="B2418" s="2">
        <v>44477.0</v>
      </c>
      <c r="C2418" s="1" t="s">
        <v>14</v>
      </c>
      <c r="D2418" s="1" t="s">
        <v>15</v>
      </c>
      <c r="E2418" s="1" t="s">
        <v>31</v>
      </c>
      <c r="F2418" s="1">
        <v>59.28</v>
      </c>
      <c r="G2418" s="1">
        <v>-181.43</v>
      </c>
      <c r="H2418" s="1">
        <v>4.0</v>
      </c>
      <c r="I2418" s="1" t="s">
        <v>34</v>
      </c>
      <c r="J2418" s="1" t="s">
        <v>38</v>
      </c>
      <c r="K2418" s="1">
        <f t="shared" si="1"/>
        <v>2021</v>
      </c>
      <c r="L2418" s="1" t="str">
        <f t="shared" si="2"/>
        <v>Oct</v>
      </c>
      <c r="M2418" s="1" t="str">
        <f t="shared" si="3"/>
        <v>Loss</v>
      </c>
    </row>
    <row r="2419" ht="14.25" customHeight="1">
      <c r="A2419" s="1" t="s">
        <v>2453</v>
      </c>
      <c r="B2419" s="2">
        <v>44740.0</v>
      </c>
      <c r="C2419" s="1" t="s">
        <v>26</v>
      </c>
      <c r="D2419" s="1" t="s">
        <v>27</v>
      </c>
      <c r="E2419" s="1" t="s">
        <v>28</v>
      </c>
      <c r="F2419" s="1">
        <v>366.29</v>
      </c>
      <c r="G2419" s="1">
        <v>-100.77</v>
      </c>
      <c r="H2419" s="1">
        <v>4.0</v>
      </c>
      <c r="I2419" s="1" t="s">
        <v>17</v>
      </c>
      <c r="J2419" s="1" t="s">
        <v>35</v>
      </c>
      <c r="K2419" s="1">
        <f t="shared" si="1"/>
        <v>2022</v>
      </c>
      <c r="L2419" s="1" t="str">
        <f t="shared" si="2"/>
        <v>Jun</v>
      </c>
      <c r="M2419" s="1" t="str">
        <f t="shared" si="3"/>
        <v>Loss</v>
      </c>
    </row>
    <row r="2420" ht="14.25" customHeight="1">
      <c r="A2420" s="1" t="s">
        <v>2454</v>
      </c>
      <c r="B2420" s="2">
        <v>44502.0</v>
      </c>
      <c r="C2420" s="1" t="s">
        <v>14</v>
      </c>
      <c r="D2420" s="1" t="s">
        <v>21</v>
      </c>
      <c r="E2420" s="1" t="s">
        <v>37</v>
      </c>
      <c r="F2420" s="1">
        <v>392.38</v>
      </c>
      <c r="G2420" s="1">
        <v>206.8</v>
      </c>
      <c r="H2420" s="1">
        <v>3.0</v>
      </c>
      <c r="I2420" s="1" t="s">
        <v>34</v>
      </c>
      <c r="J2420" s="1" t="s">
        <v>24</v>
      </c>
      <c r="K2420" s="1">
        <f t="shared" si="1"/>
        <v>2021</v>
      </c>
      <c r="L2420" s="1" t="str">
        <f t="shared" si="2"/>
        <v>Nov</v>
      </c>
      <c r="M2420" s="1" t="str">
        <f t="shared" si="3"/>
        <v>Profit</v>
      </c>
    </row>
    <row r="2421" ht="14.25" customHeight="1">
      <c r="A2421" s="1" t="s">
        <v>2455</v>
      </c>
      <c r="B2421" s="2">
        <v>44757.0</v>
      </c>
      <c r="C2421" s="1" t="s">
        <v>20</v>
      </c>
      <c r="D2421" s="1" t="s">
        <v>27</v>
      </c>
      <c r="E2421" s="1" t="s">
        <v>40</v>
      </c>
      <c r="F2421" s="1">
        <v>656.71</v>
      </c>
      <c r="G2421" s="1">
        <v>-48.61</v>
      </c>
      <c r="H2421" s="1">
        <v>9.0</v>
      </c>
      <c r="I2421" s="1" t="s">
        <v>23</v>
      </c>
      <c r="J2421" s="1" t="s">
        <v>35</v>
      </c>
      <c r="K2421" s="1">
        <f t="shared" si="1"/>
        <v>2022</v>
      </c>
      <c r="L2421" s="1" t="str">
        <f t="shared" si="2"/>
        <v>Jul</v>
      </c>
      <c r="M2421" s="1" t="str">
        <f t="shared" si="3"/>
        <v>Loss</v>
      </c>
    </row>
    <row r="2422" ht="14.25" customHeight="1">
      <c r="A2422" s="1" t="s">
        <v>2456</v>
      </c>
      <c r="B2422" s="2">
        <v>44372.0</v>
      </c>
      <c r="C2422" s="1" t="s">
        <v>20</v>
      </c>
      <c r="D2422" s="1" t="s">
        <v>15</v>
      </c>
      <c r="E2422" s="1" t="s">
        <v>16</v>
      </c>
      <c r="F2422" s="1">
        <v>886.69</v>
      </c>
      <c r="G2422" s="1">
        <v>251.29</v>
      </c>
      <c r="H2422" s="1">
        <v>2.0</v>
      </c>
      <c r="I2422" s="1" t="s">
        <v>23</v>
      </c>
      <c r="J2422" s="1" t="s">
        <v>24</v>
      </c>
      <c r="K2422" s="1">
        <f t="shared" si="1"/>
        <v>2021</v>
      </c>
      <c r="L2422" s="1" t="str">
        <f t="shared" si="2"/>
        <v>Jun</v>
      </c>
      <c r="M2422" s="1" t="str">
        <f t="shared" si="3"/>
        <v>Profit</v>
      </c>
    </row>
    <row r="2423" ht="14.25" customHeight="1">
      <c r="A2423" s="1" t="s">
        <v>2457</v>
      </c>
      <c r="B2423" s="2">
        <v>44455.0</v>
      </c>
      <c r="C2423" s="1" t="s">
        <v>14</v>
      </c>
      <c r="D2423" s="1" t="s">
        <v>21</v>
      </c>
      <c r="E2423" s="1" t="s">
        <v>22</v>
      </c>
      <c r="F2423" s="1">
        <v>303.27</v>
      </c>
      <c r="G2423" s="1">
        <v>222.73</v>
      </c>
      <c r="H2423" s="1">
        <v>7.0</v>
      </c>
      <c r="I2423" s="1" t="s">
        <v>17</v>
      </c>
      <c r="J2423" s="1" t="s">
        <v>38</v>
      </c>
      <c r="K2423" s="1">
        <f t="shared" si="1"/>
        <v>2021</v>
      </c>
      <c r="L2423" s="1" t="str">
        <f t="shared" si="2"/>
        <v>Sep</v>
      </c>
      <c r="M2423" s="1" t="str">
        <f t="shared" si="3"/>
        <v>Profit</v>
      </c>
    </row>
    <row r="2424" ht="14.25" customHeight="1">
      <c r="A2424" s="1" t="s">
        <v>2458</v>
      </c>
      <c r="B2424" s="2">
        <v>45061.0</v>
      </c>
      <c r="C2424" s="1" t="s">
        <v>20</v>
      </c>
      <c r="D2424" s="1" t="s">
        <v>27</v>
      </c>
      <c r="E2424" s="1" t="s">
        <v>33</v>
      </c>
      <c r="F2424" s="1">
        <v>587.86</v>
      </c>
      <c r="G2424" s="1">
        <v>286.57</v>
      </c>
      <c r="H2424" s="1">
        <v>3.0</v>
      </c>
      <c r="I2424" s="1" t="s">
        <v>34</v>
      </c>
      <c r="J2424" s="1" t="s">
        <v>24</v>
      </c>
      <c r="K2424" s="1">
        <f t="shared" si="1"/>
        <v>2023</v>
      </c>
      <c r="L2424" s="1" t="str">
        <f t="shared" si="2"/>
        <v>May</v>
      </c>
      <c r="M2424" s="1" t="str">
        <f t="shared" si="3"/>
        <v>Profit</v>
      </c>
    </row>
    <row r="2425" ht="14.25" customHeight="1">
      <c r="A2425" s="1" t="s">
        <v>2459</v>
      </c>
      <c r="B2425" s="2">
        <v>45262.0</v>
      </c>
      <c r="C2425" s="1" t="s">
        <v>20</v>
      </c>
      <c r="D2425" s="1" t="s">
        <v>27</v>
      </c>
      <c r="E2425" s="1" t="s">
        <v>40</v>
      </c>
      <c r="F2425" s="1">
        <v>841.11</v>
      </c>
      <c r="G2425" s="1">
        <v>53.65</v>
      </c>
      <c r="H2425" s="1">
        <v>10.0</v>
      </c>
      <c r="I2425" s="1" t="s">
        <v>34</v>
      </c>
      <c r="J2425" s="1" t="s">
        <v>38</v>
      </c>
      <c r="K2425" s="1">
        <f t="shared" si="1"/>
        <v>2023</v>
      </c>
      <c r="L2425" s="1" t="str">
        <f t="shared" si="2"/>
        <v>Dec</v>
      </c>
      <c r="M2425" s="1" t="str">
        <f t="shared" si="3"/>
        <v>Profit</v>
      </c>
    </row>
    <row r="2426" ht="14.25" customHeight="1">
      <c r="A2426" s="1" t="s">
        <v>2460</v>
      </c>
      <c r="B2426" s="2">
        <v>44542.0</v>
      </c>
      <c r="C2426" s="1" t="s">
        <v>30</v>
      </c>
      <c r="D2426" s="1" t="s">
        <v>15</v>
      </c>
      <c r="E2426" s="1" t="s">
        <v>16</v>
      </c>
      <c r="F2426" s="1">
        <v>985.24</v>
      </c>
      <c r="G2426" s="1">
        <v>-51.37</v>
      </c>
      <c r="H2426" s="1">
        <v>1.0</v>
      </c>
      <c r="I2426" s="1" t="s">
        <v>23</v>
      </c>
      <c r="J2426" s="1" t="s">
        <v>38</v>
      </c>
      <c r="K2426" s="1">
        <f t="shared" si="1"/>
        <v>2021</v>
      </c>
      <c r="L2426" s="1" t="str">
        <f t="shared" si="2"/>
        <v>Dec</v>
      </c>
      <c r="M2426" s="1" t="str">
        <f t="shared" si="3"/>
        <v>Loss</v>
      </c>
    </row>
    <row r="2427" ht="14.25" customHeight="1">
      <c r="A2427" s="1" t="s">
        <v>2461</v>
      </c>
      <c r="B2427" s="2">
        <v>44997.0</v>
      </c>
      <c r="C2427" s="1" t="s">
        <v>26</v>
      </c>
      <c r="D2427" s="1" t="s">
        <v>27</v>
      </c>
      <c r="E2427" s="1" t="s">
        <v>33</v>
      </c>
      <c r="F2427" s="1">
        <v>687.11</v>
      </c>
      <c r="G2427" s="1">
        <v>3.44</v>
      </c>
      <c r="H2427" s="1">
        <v>9.0</v>
      </c>
      <c r="I2427" s="1" t="s">
        <v>17</v>
      </c>
      <c r="J2427" s="1" t="s">
        <v>18</v>
      </c>
      <c r="K2427" s="1">
        <f t="shared" si="1"/>
        <v>2023</v>
      </c>
      <c r="L2427" s="1" t="str">
        <f t="shared" si="2"/>
        <v>Mar</v>
      </c>
      <c r="M2427" s="1" t="str">
        <f t="shared" si="3"/>
        <v>Profit</v>
      </c>
    </row>
    <row r="2428" ht="14.25" customHeight="1">
      <c r="A2428" s="1" t="s">
        <v>2462</v>
      </c>
      <c r="B2428" s="2">
        <v>45085.0</v>
      </c>
      <c r="C2428" s="1" t="s">
        <v>26</v>
      </c>
      <c r="D2428" s="1" t="s">
        <v>15</v>
      </c>
      <c r="E2428" s="1" t="s">
        <v>31</v>
      </c>
      <c r="F2428" s="1">
        <v>462.18</v>
      </c>
      <c r="G2428" s="1">
        <v>253.97</v>
      </c>
      <c r="H2428" s="1">
        <v>2.0</v>
      </c>
      <c r="I2428" s="1" t="s">
        <v>34</v>
      </c>
      <c r="J2428" s="1" t="s">
        <v>24</v>
      </c>
      <c r="K2428" s="1">
        <f t="shared" si="1"/>
        <v>2023</v>
      </c>
      <c r="L2428" s="1" t="str">
        <f t="shared" si="2"/>
        <v>Jun</v>
      </c>
      <c r="M2428" s="1" t="str">
        <f t="shared" si="3"/>
        <v>Profit</v>
      </c>
    </row>
    <row r="2429" ht="14.25" customHeight="1">
      <c r="A2429" s="1" t="s">
        <v>2463</v>
      </c>
      <c r="B2429" s="2">
        <v>45276.0</v>
      </c>
      <c r="C2429" s="1" t="s">
        <v>20</v>
      </c>
      <c r="D2429" s="1" t="s">
        <v>27</v>
      </c>
      <c r="E2429" s="1" t="s">
        <v>40</v>
      </c>
      <c r="F2429" s="1">
        <v>202.11</v>
      </c>
      <c r="G2429" s="1">
        <v>284.91</v>
      </c>
      <c r="H2429" s="1">
        <v>5.0</v>
      </c>
      <c r="I2429" s="1" t="s">
        <v>34</v>
      </c>
      <c r="J2429" s="1" t="s">
        <v>38</v>
      </c>
      <c r="K2429" s="1">
        <f t="shared" si="1"/>
        <v>2023</v>
      </c>
      <c r="L2429" s="1" t="str">
        <f t="shared" si="2"/>
        <v>Dec</v>
      </c>
      <c r="M2429" s="1" t="str">
        <f t="shared" si="3"/>
        <v>Profit</v>
      </c>
    </row>
    <row r="2430" ht="14.25" customHeight="1">
      <c r="A2430" s="1" t="s">
        <v>2464</v>
      </c>
      <c r="B2430" s="2">
        <v>44431.0</v>
      </c>
      <c r="C2430" s="1" t="s">
        <v>14</v>
      </c>
      <c r="D2430" s="1" t="s">
        <v>27</v>
      </c>
      <c r="E2430" s="1" t="s">
        <v>28</v>
      </c>
      <c r="F2430" s="1">
        <v>527.99</v>
      </c>
      <c r="G2430" s="1">
        <v>-132.51</v>
      </c>
      <c r="H2430" s="1">
        <v>7.0</v>
      </c>
      <c r="I2430" s="1" t="s">
        <v>17</v>
      </c>
      <c r="J2430" s="1" t="s">
        <v>18</v>
      </c>
      <c r="K2430" s="1">
        <f t="shared" si="1"/>
        <v>2021</v>
      </c>
      <c r="L2430" s="1" t="str">
        <f t="shared" si="2"/>
        <v>Aug</v>
      </c>
      <c r="M2430" s="1" t="str">
        <f t="shared" si="3"/>
        <v>Loss</v>
      </c>
    </row>
    <row r="2431" ht="14.25" customHeight="1">
      <c r="A2431" s="1" t="s">
        <v>2465</v>
      </c>
      <c r="B2431" s="2">
        <v>45066.0</v>
      </c>
      <c r="C2431" s="1" t="s">
        <v>20</v>
      </c>
      <c r="D2431" s="1" t="s">
        <v>15</v>
      </c>
      <c r="E2431" s="1" t="s">
        <v>31</v>
      </c>
      <c r="F2431" s="1">
        <v>429.45</v>
      </c>
      <c r="G2431" s="1">
        <v>68.84</v>
      </c>
      <c r="H2431" s="1">
        <v>2.0</v>
      </c>
      <c r="I2431" s="1" t="s">
        <v>34</v>
      </c>
      <c r="J2431" s="1" t="s">
        <v>24</v>
      </c>
      <c r="K2431" s="1">
        <f t="shared" si="1"/>
        <v>2023</v>
      </c>
      <c r="L2431" s="1" t="str">
        <f t="shared" si="2"/>
        <v>May</v>
      </c>
      <c r="M2431" s="1" t="str">
        <f t="shared" si="3"/>
        <v>Profit</v>
      </c>
    </row>
    <row r="2432" ht="14.25" customHeight="1">
      <c r="A2432" s="1" t="s">
        <v>2466</v>
      </c>
      <c r="B2432" s="2">
        <v>45095.0</v>
      </c>
      <c r="C2432" s="1" t="s">
        <v>30</v>
      </c>
      <c r="D2432" s="1" t="s">
        <v>21</v>
      </c>
      <c r="E2432" s="1" t="s">
        <v>37</v>
      </c>
      <c r="F2432" s="1">
        <v>446.14</v>
      </c>
      <c r="G2432" s="1">
        <v>-73.2</v>
      </c>
      <c r="H2432" s="1">
        <v>8.0</v>
      </c>
      <c r="I2432" s="1" t="s">
        <v>17</v>
      </c>
      <c r="J2432" s="1" t="s">
        <v>24</v>
      </c>
      <c r="K2432" s="1">
        <f t="shared" si="1"/>
        <v>2023</v>
      </c>
      <c r="L2432" s="1" t="str">
        <f t="shared" si="2"/>
        <v>Jun</v>
      </c>
      <c r="M2432" s="1" t="str">
        <f t="shared" si="3"/>
        <v>Loss</v>
      </c>
    </row>
    <row r="2433" ht="14.25" customHeight="1">
      <c r="A2433" s="1" t="s">
        <v>2467</v>
      </c>
      <c r="B2433" s="2">
        <v>44501.0</v>
      </c>
      <c r="C2433" s="1" t="s">
        <v>30</v>
      </c>
      <c r="D2433" s="1" t="s">
        <v>15</v>
      </c>
      <c r="E2433" s="1" t="s">
        <v>54</v>
      </c>
      <c r="F2433" s="1">
        <v>391.23</v>
      </c>
      <c r="G2433" s="1">
        <v>225.37</v>
      </c>
      <c r="H2433" s="1">
        <v>8.0</v>
      </c>
      <c r="I2433" s="1" t="s">
        <v>17</v>
      </c>
      <c r="J2433" s="1" t="s">
        <v>24</v>
      </c>
      <c r="K2433" s="1">
        <f t="shared" si="1"/>
        <v>2021</v>
      </c>
      <c r="L2433" s="1" t="str">
        <f t="shared" si="2"/>
        <v>Nov</v>
      </c>
      <c r="M2433" s="1" t="str">
        <f t="shared" si="3"/>
        <v>Profit</v>
      </c>
    </row>
    <row r="2434" ht="14.25" customHeight="1">
      <c r="A2434" s="1" t="s">
        <v>2468</v>
      </c>
      <c r="B2434" s="2">
        <v>44348.0</v>
      </c>
      <c r="C2434" s="1" t="s">
        <v>30</v>
      </c>
      <c r="D2434" s="1" t="s">
        <v>21</v>
      </c>
      <c r="E2434" s="1" t="s">
        <v>22</v>
      </c>
      <c r="F2434" s="1">
        <v>395.1</v>
      </c>
      <c r="G2434" s="1">
        <v>-87.22</v>
      </c>
      <c r="H2434" s="1">
        <v>9.0</v>
      </c>
      <c r="I2434" s="1" t="s">
        <v>23</v>
      </c>
      <c r="J2434" s="1" t="s">
        <v>18</v>
      </c>
      <c r="K2434" s="1">
        <f t="shared" si="1"/>
        <v>2021</v>
      </c>
      <c r="L2434" s="1" t="str">
        <f t="shared" si="2"/>
        <v>Jun</v>
      </c>
      <c r="M2434" s="1" t="str">
        <f t="shared" si="3"/>
        <v>Loss</v>
      </c>
    </row>
    <row r="2435" ht="14.25" customHeight="1">
      <c r="A2435" s="1" t="s">
        <v>2469</v>
      </c>
      <c r="B2435" s="2">
        <v>44719.0</v>
      </c>
      <c r="C2435" s="1" t="s">
        <v>26</v>
      </c>
      <c r="D2435" s="1" t="s">
        <v>27</v>
      </c>
      <c r="E2435" s="1" t="s">
        <v>40</v>
      </c>
      <c r="F2435" s="1">
        <v>776.18</v>
      </c>
      <c r="G2435" s="1">
        <v>164.13</v>
      </c>
      <c r="H2435" s="1">
        <v>3.0</v>
      </c>
      <c r="I2435" s="1" t="s">
        <v>23</v>
      </c>
      <c r="J2435" s="1" t="s">
        <v>24</v>
      </c>
      <c r="K2435" s="1">
        <f t="shared" si="1"/>
        <v>2022</v>
      </c>
      <c r="L2435" s="1" t="str">
        <f t="shared" si="2"/>
        <v>Jun</v>
      </c>
      <c r="M2435" s="1" t="str">
        <f t="shared" si="3"/>
        <v>Profit</v>
      </c>
    </row>
    <row r="2436" ht="14.25" customHeight="1">
      <c r="A2436" s="1" t="s">
        <v>2470</v>
      </c>
      <c r="B2436" s="2">
        <v>45242.0</v>
      </c>
      <c r="C2436" s="1" t="s">
        <v>14</v>
      </c>
      <c r="D2436" s="1" t="s">
        <v>21</v>
      </c>
      <c r="E2436" s="1" t="s">
        <v>76</v>
      </c>
      <c r="F2436" s="1">
        <v>416.28</v>
      </c>
      <c r="G2436" s="1">
        <v>231.61</v>
      </c>
      <c r="H2436" s="1">
        <v>4.0</v>
      </c>
      <c r="I2436" s="1" t="s">
        <v>23</v>
      </c>
      <c r="J2436" s="1" t="s">
        <v>38</v>
      </c>
      <c r="K2436" s="1">
        <f t="shared" si="1"/>
        <v>2023</v>
      </c>
      <c r="L2436" s="1" t="str">
        <f t="shared" si="2"/>
        <v>Nov</v>
      </c>
      <c r="M2436" s="1" t="str">
        <f t="shared" si="3"/>
        <v>Profit</v>
      </c>
    </row>
    <row r="2437" ht="14.25" customHeight="1">
      <c r="A2437" s="1" t="s">
        <v>2471</v>
      </c>
      <c r="B2437" s="2">
        <v>44327.0</v>
      </c>
      <c r="C2437" s="1" t="s">
        <v>20</v>
      </c>
      <c r="D2437" s="1" t="s">
        <v>27</v>
      </c>
      <c r="E2437" s="1" t="s">
        <v>28</v>
      </c>
      <c r="F2437" s="1">
        <v>528.78</v>
      </c>
      <c r="G2437" s="1">
        <v>132.15</v>
      </c>
      <c r="H2437" s="1">
        <v>5.0</v>
      </c>
      <c r="I2437" s="1" t="s">
        <v>23</v>
      </c>
      <c r="J2437" s="1" t="s">
        <v>38</v>
      </c>
      <c r="K2437" s="1">
        <f t="shared" si="1"/>
        <v>2021</v>
      </c>
      <c r="L2437" s="1" t="str">
        <f t="shared" si="2"/>
        <v>May</v>
      </c>
      <c r="M2437" s="1" t="str">
        <f t="shared" si="3"/>
        <v>Profit</v>
      </c>
    </row>
    <row r="2438" ht="14.25" customHeight="1">
      <c r="A2438" s="1" t="s">
        <v>2472</v>
      </c>
      <c r="B2438" s="2">
        <v>44216.0</v>
      </c>
      <c r="C2438" s="1" t="s">
        <v>30</v>
      </c>
      <c r="D2438" s="1" t="s">
        <v>15</v>
      </c>
      <c r="E2438" s="1" t="s">
        <v>16</v>
      </c>
      <c r="F2438" s="1">
        <v>385.59</v>
      </c>
      <c r="G2438" s="1">
        <v>9.33</v>
      </c>
      <c r="H2438" s="1">
        <v>7.0</v>
      </c>
      <c r="I2438" s="1" t="s">
        <v>34</v>
      </c>
      <c r="J2438" s="1" t="s">
        <v>35</v>
      </c>
      <c r="K2438" s="1">
        <f t="shared" si="1"/>
        <v>2021</v>
      </c>
      <c r="L2438" s="1" t="str">
        <f t="shared" si="2"/>
        <v>Jan</v>
      </c>
      <c r="M2438" s="1" t="str">
        <f t="shared" si="3"/>
        <v>Profit</v>
      </c>
    </row>
    <row r="2439" ht="14.25" customHeight="1">
      <c r="A2439" s="1" t="s">
        <v>2473</v>
      </c>
      <c r="B2439" s="2">
        <v>44480.0</v>
      </c>
      <c r="C2439" s="1" t="s">
        <v>26</v>
      </c>
      <c r="D2439" s="1" t="s">
        <v>27</v>
      </c>
      <c r="E2439" s="1" t="s">
        <v>28</v>
      </c>
      <c r="F2439" s="1">
        <v>260.05</v>
      </c>
      <c r="G2439" s="1">
        <v>8.65</v>
      </c>
      <c r="H2439" s="1">
        <v>8.0</v>
      </c>
      <c r="I2439" s="1" t="s">
        <v>17</v>
      </c>
      <c r="J2439" s="1" t="s">
        <v>24</v>
      </c>
      <c r="K2439" s="1">
        <f t="shared" si="1"/>
        <v>2021</v>
      </c>
      <c r="L2439" s="1" t="str">
        <f t="shared" si="2"/>
        <v>Oct</v>
      </c>
      <c r="M2439" s="1" t="str">
        <f t="shared" si="3"/>
        <v>Profit</v>
      </c>
    </row>
    <row r="2440" ht="14.25" customHeight="1">
      <c r="A2440" s="1" t="s">
        <v>2474</v>
      </c>
      <c r="B2440" s="2">
        <v>44311.0</v>
      </c>
      <c r="C2440" s="1" t="s">
        <v>26</v>
      </c>
      <c r="D2440" s="1" t="s">
        <v>15</v>
      </c>
      <c r="E2440" s="1" t="s">
        <v>54</v>
      </c>
      <c r="F2440" s="1">
        <v>678.57</v>
      </c>
      <c r="G2440" s="1">
        <v>256.15</v>
      </c>
      <c r="H2440" s="1">
        <v>9.0</v>
      </c>
      <c r="I2440" s="1" t="s">
        <v>34</v>
      </c>
      <c r="J2440" s="1" t="s">
        <v>38</v>
      </c>
      <c r="K2440" s="1">
        <f t="shared" si="1"/>
        <v>2021</v>
      </c>
      <c r="L2440" s="1" t="str">
        <f t="shared" si="2"/>
        <v>Apr</v>
      </c>
      <c r="M2440" s="1" t="str">
        <f t="shared" si="3"/>
        <v>Profit</v>
      </c>
    </row>
    <row r="2441" ht="14.25" customHeight="1">
      <c r="A2441" s="1" t="s">
        <v>2475</v>
      </c>
      <c r="B2441" s="2">
        <v>44650.0</v>
      </c>
      <c r="C2441" s="1" t="s">
        <v>14</v>
      </c>
      <c r="D2441" s="1" t="s">
        <v>15</v>
      </c>
      <c r="E2441" s="1" t="s">
        <v>31</v>
      </c>
      <c r="F2441" s="1">
        <v>61.11</v>
      </c>
      <c r="G2441" s="1">
        <v>-113.26</v>
      </c>
      <c r="H2441" s="1">
        <v>7.0</v>
      </c>
      <c r="I2441" s="1" t="s">
        <v>17</v>
      </c>
      <c r="J2441" s="1" t="s">
        <v>18</v>
      </c>
      <c r="K2441" s="1">
        <f t="shared" si="1"/>
        <v>2022</v>
      </c>
      <c r="L2441" s="1" t="str">
        <f t="shared" si="2"/>
        <v>Mar</v>
      </c>
      <c r="M2441" s="1" t="str">
        <f t="shared" si="3"/>
        <v>Loss</v>
      </c>
    </row>
    <row r="2442" ht="14.25" customHeight="1">
      <c r="A2442" s="1" t="s">
        <v>2476</v>
      </c>
      <c r="B2442" s="2">
        <v>44824.0</v>
      </c>
      <c r="C2442" s="1" t="s">
        <v>26</v>
      </c>
      <c r="D2442" s="1" t="s">
        <v>15</v>
      </c>
      <c r="E2442" s="1" t="s">
        <v>16</v>
      </c>
      <c r="F2442" s="1">
        <v>288.34</v>
      </c>
      <c r="G2442" s="1">
        <v>-177.64</v>
      </c>
      <c r="H2442" s="1">
        <v>10.0</v>
      </c>
      <c r="I2442" s="1" t="s">
        <v>34</v>
      </c>
      <c r="J2442" s="1" t="s">
        <v>18</v>
      </c>
      <c r="K2442" s="1">
        <f t="shared" si="1"/>
        <v>2022</v>
      </c>
      <c r="L2442" s="1" t="str">
        <f t="shared" si="2"/>
        <v>Sep</v>
      </c>
      <c r="M2442" s="1" t="str">
        <f t="shared" si="3"/>
        <v>Loss</v>
      </c>
    </row>
    <row r="2443" ht="14.25" customHeight="1">
      <c r="A2443" s="1" t="s">
        <v>2477</v>
      </c>
      <c r="B2443" s="2">
        <v>45043.0</v>
      </c>
      <c r="C2443" s="1" t="s">
        <v>30</v>
      </c>
      <c r="D2443" s="1" t="s">
        <v>15</v>
      </c>
      <c r="E2443" s="1" t="s">
        <v>16</v>
      </c>
      <c r="F2443" s="1">
        <v>729.75</v>
      </c>
      <c r="G2443" s="1">
        <v>170.08</v>
      </c>
      <c r="H2443" s="1">
        <v>4.0</v>
      </c>
      <c r="I2443" s="1" t="s">
        <v>23</v>
      </c>
      <c r="J2443" s="1" t="s">
        <v>35</v>
      </c>
      <c r="K2443" s="1">
        <f t="shared" si="1"/>
        <v>2023</v>
      </c>
      <c r="L2443" s="1" t="str">
        <f t="shared" si="2"/>
        <v>Apr</v>
      </c>
      <c r="M2443" s="1" t="str">
        <f t="shared" si="3"/>
        <v>Profit</v>
      </c>
    </row>
    <row r="2444" ht="14.25" customHeight="1">
      <c r="A2444" s="1" t="s">
        <v>2478</v>
      </c>
      <c r="B2444" s="2">
        <v>44691.0</v>
      </c>
      <c r="C2444" s="1" t="s">
        <v>20</v>
      </c>
      <c r="D2444" s="1" t="s">
        <v>27</v>
      </c>
      <c r="E2444" s="1" t="s">
        <v>40</v>
      </c>
      <c r="F2444" s="1">
        <v>814.84</v>
      </c>
      <c r="G2444" s="1">
        <v>151.78</v>
      </c>
      <c r="H2444" s="1">
        <v>5.0</v>
      </c>
      <c r="I2444" s="1" t="s">
        <v>23</v>
      </c>
      <c r="J2444" s="1" t="s">
        <v>24</v>
      </c>
      <c r="K2444" s="1">
        <f t="shared" si="1"/>
        <v>2022</v>
      </c>
      <c r="L2444" s="1" t="str">
        <f t="shared" si="2"/>
        <v>May</v>
      </c>
      <c r="M2444" s="1" t="str">
        <f t="shared" si="3"/>
        <v>Profit</v>
      </c>
    </row>
    <row r="2445" ht="14.25" customHeight="1">
      <c r="A2445" s="1" t="s">
        <v>2479</v>
      </c>
      <c r="B2445" s="2">
        <v>44682.0</v>
      </c>
      <c r="C2445" s="1" t="s">
        <v>26</v>
      </c>
      <c r="D2445" s="1" t="s">
        <v>15</v>
      </c>
      <c r="E2445" s="1" t="s">
        <v>16</v>
      </c>
      <c r="F2445" s="1">
        <v>199.05</v>
      </c>
      <c r="G2445" s="1">
        <v>273.15</v>
      </c>
      <c r="H2445" s="1">
        <v>6.0</v>
      </c>
      <c r="I2445" s="1" t="s">
        <v>17</v>
      </c>
      <c r="J2445" s="1" t="s">
        <v>24</v>
      </c>
      <c r="K2445" s="1">
        <f t="shared" si="1"/>
        <v>2022</v>
      </c>
      <c r="L2445" s="1" t="str">
        <f t="shared" si="2"/>
        <v>May</v>
      </c>
      <c r="M2445" s="1" t="str">
        <f t="shared" si="3"/>
        <v>Profit</v>
      </c>
    </row>
    <row r="2446" ht="14.25" customHeight="1">
      <c r="A2446" s="1" t="s">
        <v>2480</v>
      </c>
      <c r="B2446" s="2">
        <v>44769.0</v>
      </c>
      <c r="C2446" s="1" t="s">
        <v>30</v>
      </c>
      <c r="D2446" s="1" t="s">
        <v>27</v>
      </c>
      <c r="E2446" s="1" t="s">
        <v>40</v>
      </c>
      <c r="F2446" s="1">
        <v>372.98</v>
      </c>
      <c r="G2446" s="1">
        <v>-126.54</v>
      </c>
      <c r="H2446" s="1">
        <v>9.0</v>
      </c>
      <c r="I2446" s="1" t="s">
        <v>23</v>
      </c>
      <c r="J2446" s="1" t="s">
        <v>35</v>
      </c>
      <c r="K2446" s="1">
        <f t="shared" si="1"/>
        <v>2022</v>
      </c>
      <c r="L2446" s="1" t="str">
        <f t="shared" si="2"/>
        <v>Jul</v>
      </c>
      <c r="M2446" s="1" t="str">
        <f t="shared" si="3"/>
        <v>Loss</v>
      </c>
    </row>
    <row r="2447" ht="14.25" customHeight="1">
      <c r="A2447" s="1" t="s">
        <v>2481</v>
      </c>
      <c r="B2447" s="2">
        <v>44325.0</v>
      </c>
      <c r="C2447" s="1" t="s">
        <v>20</v>
      </c>
      <c r="D2447" s="1" t="s">
        <v>27</v>
      </c>
      <c r="E2447" s="1" t="s">
        <v>40</v>
      </c>
      <c r="F2447" s="1">
        <v>185.36</v>
      </c>
      <c r="G2447" s="1">
        <v>-99.0</v>
      </c>
      <c r="H2447" s="1">
        <v>6.0</v>
      </c>
      <c r="I2447" s="1" t="s">
        <v>23</v>
      </c>
      <c r="J2447" s="1" t="s">
        <v>18</v>
      </c>
      <c r="K2447" s="1">
        <f t="shared" si="1"/>
        <v>2021</v>
      </c>
      <c r="L2447" s="1" t="str">
        <f t="shared" si="2"/>
        <v>May</v>
      </c>
      <c r="M2447" s="1" t="str">
        <f t="shared" si="3"/>
        <v>Loss</v>
      </c>
    </row>
    <row r="2448" ht="14.25" customHeight="1">
      <c r="A2448" s="1" t="s">
        <v>2482</v>
      </c>
      <c r="B2448" s="2">
        <v>45229.0</v>
      </c>
      <c r="C2448" s="1" t="s">
        <v>14</v>
      </c>
      <c r="D2448" s="1" t="s">
        <v>15</v>
      </c>
      <c r="E2448" s="1" t="s">
        <v>54</v>
      </c>
      <c r="F2448" s="1">
        <v>247.32</v>
      </c>
      <c r="G2448" s="1">
        <v>187.9</v>
      </c>
      <c r="H2448" s="1">
        <v>2.0</v>
      </c>
      <c r="I2448" s="1" t="s">
        <v>34</v>
      </c>
      <c r="J2448" s="1" t="s">
        <v>35</v>
      </c>
      <c r="K2448" s="1">
        <f t="shared" si="1"/>
        <v>2023</v>
      </c>
      <c r="L2448" s="1" t="str">
        <f t="shared" si="2"/>
        <v>Oct</v>
      </c>
      <c r="M2448" s="1" t="str">
        <f t="shared" si="3"/>
        <v>Profit</v>
      </c>
    </row>
    <row r="2449" ht="14.25" customHeight="1">
      <c r="A2449" s="1" t="s">
        <v>2483</v>
      </c>
      <c r="B2449" s="2">
        <v>44634.0</v>
      </c>
      <c r="C2449" s="1" t="s">
        <v>26</v>
      </c>
      <c r="D2449" s="1" t="s">
        <v>15</v>
      </c>
      <c r="E2449" s="1" t="s">
        <v>16</v>
      </c>
      <c r="F2449" s="1">
        <v>280.42</v>
      </c>
      <c r="G2449" s="1">
        <v>208.49</v>
      </c>
      <c r="H2449" s="1">
        <v>3.0</v>
      </c>
      <c r="I2449" s="1" t="s">
        <v>17</v>
      </c>
      <c r="J2449" s="1" t="s">
        <v>38</v>
      </c>
      <c r="K2449" s="1">
        <f t="shared" si="1"/>
        <v>2022</v>
      </c>
      <c r="L2449" s="1" t="str">
        <f t="shared" si="2"/>
        <v>Mar</v>
      </c>
      <c r="M2449" s="1" t="str">
        <f t="shared" si="3"/>
        <v>Profit</v>
      </c>
    </row>
    <row r="2450" ht="14.25" customHeight="1">
      <c r="A2450" s="1" t="s">
        <v>2484</v>
      </c>
      <c r="B2450" s="2">
        <v>44204.0</v>
      </c>
      <c r="C2450" s="1" t="s">
        <v>20</v>
      </c>
      <c r="D2450" s="1" t="s">
        <v>21</v>
      </c>
      <c r="E2450" s="1" t="s">
        <v>76</v>
      </c>
      <c r="F2450" s="1">
        <v>821.69</v>
      </c>
      <c r="G2450" s="1">
        <v>34.22</v>
      </c>
      <c r="H2450" s="1">
        <v>7.0</v>
      </c>
      <c r="I2450" s="1" t="s">
        <v>34</v>
      </c>
      <c r="J2450" s="1" t="s">
        <v>38</v>
      </c>
      <c r="K2450" s="1">
        <f t="shared" si="1"/>
        <v>2021</v>
      </c>
      <c r="L2450" s="1" t="str">
        <f t="shared" si="2"/>
        <v>Jan</v>
      </c>
      <c r="M2450" s="1" t="str">
        <f t="shared" si="3"/>
        <v>Profit</v>
      </c>
    </row>
    <row r="2451" ht="14.25" customHeight="1">
      <c r="A2451" s="1" t="s">
        <v>2485</v>
      </c>
      <c r="B2451" s="2">
        <v>44632.0</v>
      </c>
      <c r="C2451" s="1" t="s">
        <v>26</v>
      </c>
      <c r="D2451" s="1" t="s">
        <v>27</v>
      </c>
      <c r="E2451" s="1" t="s">
        <v>28</v>
      </c>
      <c r="F2451" s="1">
        <v>252.5</v>
      </c>
      <c r="G2451" s="1">
        <v>-6.22</v>
      </c>
      <c r="H2451" s="1">
        <v>8.0</v>
      </c>
      <c r="I2451" s="1" t="s">
        <v>23</v>
      </c>
      <c r="J2451" s="1" t="s">
        <v>35</v>
      </c>
      <c r="K2451" s="1">
        <f t="shared" si="1"/>
        <v>2022</v>
      </c>
      <c r="L2451" s="1" t="str">
        <f t="shared" si="2"/>
        <v>Mar</v>
      </c>
      <c r="M2451" s="1" t="str">
        <f t="shared" si="3"/>
        <v>Loss</v>
      </c>
    </row>
    <row r="2452" ht="14.25" customHeight="1">
      <c r="A2452" s="1" t="s">
        <v>2486</v>
      </c>
      <c r="B2452" s="2">
        <v>44395.0</v>
      </c>
      <c r="C2452" s="1" t="s">
        <v>14</v>
      </c>
      <c r="D2452" s="1" t="s">
        <v>27</v>
      </c>
      <c r="E2452" s="1" t="s">
        <v>28</v>
      </c>
      <c r="F2452" s="1">
        <v>211.59</v>
      </c>
      <c r="G2452" s="1">
        <v>91.85</v>
      </c>
      <c r="H2452" s="1">
        <v>4.0</v>
      </c>
      <c r="I2452" s="1" t="s">
        <v>23</v>
      </c>
      <c r="J2452" s="1" t="s">
        <v>24</v>
      </c>
      <c r="K2452" s="1">
        <f t="shared" si="1"/>
        <v>2021</v>
      </c>
      <c r="L2452" s="1" t="str">
        <f t="shared" si="2"/>
        <v>Jul</v>
      </c>
      <c r="M2452" s="1" t="str">
        <f t="shared" si="3"/>
        <v>Profit</v>
      </c>
    </row>
    <row r="2453" ht="14.25" customHeight="1">
      <c r="A2453" s="1" t="s">
        <v>2487</v>
      </c>
      <c r="B2453" s="2">
        <v>44213.0</v>
      </c>
      <c r="C2453" s="1" t="s">
        <v>26</v>
      </c>
      <c r="D2453" s="1" t="s">
        <v>27</v>
      </c>
      <c r="E2453" s="1" t="s">
        <v>40</v>
      </c>
      <c r="F2453" s="1">
        <v>86.94</v>
      </c>
      <c r="G2453" s="1">
        <v>-78.36</v>
      </c>
      <c r="H2453" s="1">
        <v>4.0</v>
      </c>
      <c r="I2453" s="1" t="s">
        <v>23</v>
      </c>
      <c r="J2453" s="1" t="s">
        <v>24</v>
      </c>
      <c r="K2453" s="1">
        <f t="shared" si="1"/>
        <v>2021</v>
      </c>
      <c r="L2453" s="1" t="str">
        <f t="shared" si="2"/>
        <v>Jan</v>
      </c>
      <c r="M2453" s="1" t="str">
        <f t="shared" si="3"/>
        <v>Loss</v>
      </c>
    </row>
    <row r="2454" ht="14.25" customHeight="1">
      <c r="A2454" s="1" t="s">
        <v>2488</v>
      </c>
      <c r="B2454" s="2">
        <v>44829.0</v>
      </c>
      <c r="C2454" s="1" t="s">
        <v>26</v>
      </c>
      <c r="D2454" s="1" t="s">
        <v>21</v>
      </c>
      <c r="E2454" s="1" t="s">
        <v>37</v>
      </c>
      <c r="F2454" s="1">
        <v>182.55</v>
      </c>
      <c r="G2454" s="1">
        <v>-105.36</v>
      </c>
      <c r="H2454" s="1">
        <v>10.0</v>
      </c>
      <c r="I2454" s="1" t="s">
        <v>34</v>
      </c>
      <c r="J2454" s="1" t="s">
        <v>24</v>
      </c>
      <c r="K2454" s="1">
        <f t="shared" si="1"/>
        <v>2022</v>
      </c>
      <c r="L2454" s="1" t="str">
        <f t="shared" si="2"/>
        <v>Sep</v>
      </c>
      <c r="M2454" s="1" t="str">
        <f t="shared" si="3"/>
        <v>Loss</v>
      </c>
    </row>
    <row r="2455" ht="14.25" customHeight="1">
      <c r="A2455" s="1" t="s">
        <v>2489</v>
      </c>
      <c r="B2455" s="2">
        <v>44348.0</v>
      </c>
      <c r="C2455" s="1" t="s">
        <v>14</v>
      </c>
      <c r="D2455" s="1" t="s">
        <v>27</v>
      </c>
      <c r="E2455" s="1" t="s">
        <v>40</v>
      </c>
      <c r="F2455" s="1">
        <v>255.27</v>
      </c>
      <c r="G2455" s="1">
        <v>-35.48</v>
      </c>
      <c r="H2455" s="1">
        <v>8.0</v>
      </c>
      <c r="I2455" s="1" t="s">
        <v>17</v>
      </c>
      <c r="J2455" s="1" t="s">
        <v>35</v>
      </c>
      <c r="K2455" s="1">
        <f t="shared" si="1"/>
        <v>2021</v>
      </c>
      <c r="L2455" s="1" t="str">
        <f t="shared" si="2"/>
        <v>Jun</v>
      </c>
      <c r="M2455" s="1" t="str">
        <f t="shared" si="3"/>
        <v>Loss</v>
      </c>
    </row>
    <row r="2456" ht="14.25" customHeight="1">
      <c r="A2456" s="1" t="s">
        <v>2490</v>
      </c>
      <c r="B2456" s="2">
        <v>45007.0</v>
      </c>
      <c r="C2456" s="1" t="s">
        <v>26</v>
      </c>
      <c r="D2456" s="1" t="s">
        <v>21</v>
      </c>
      <c r="E2456" s="1" t="s">
        <v>37</v>
      </c>
      <c r="F2456" s="1">
        <v>516.82</v>
      </c>
      <c r="G2456" s="1">
        <v>-58.5</v>
      </c>
      <c r="H2456" s="1">
        <v>3.0</v>
      </c>
      <c r="I2456" s="1" t="s">
        <v>23</v>
      </c>
      <c r="J2456" s="1" t="s">
        <v>38</v>
      </c>
      <c r="K2456" s="1">
        <f t="shared" si="1"/>
        <v>2023</v>
      </c>
      <c r="L2456" s="1" t="str">
        <f t="shared" si="2"/>
        <v>Mar</v>
      </c>
      <c r="M2456" s="1" t="str">
        <f t="shared" si="3"/>
        <v>Loss</v>
      </c>
    </row>
    <row r="2457" ht="14.25" customHeight="1">
      <c r="A2457" s="1" t="s">
        <v>2491</v>
      </c>
      <c r="B2457" s="2">
        <v>44860.0</v>
      </c>
      <c r="C2457" s="1" t="s">
        <v>30</v>
      </c>
      <c r="D2457" s="1" t="s">
        <v>21</v>
      </c>
      <c r="E2457" s="1" t="s">
        <v>76</v>
      </c>
      <c r="F2457" s="1">
        <v>585.38</v>
      </c>
      <c r="G2457" s="1">
        <v>-72.82</v>
      </c>
      <c r="H2457" s="1">
        <v>10.0</v>
      </c>
      <c r="I2457" s="1" t="s">
        <v>34</v>
      </c>
      <c r="J2457" s="1" t="s">
        <v>18</v>
      </c>
      <c r="K2457" s="1">
        <f t="shared" si="1"/>
        <v>2022</v>
      </c>
      <c r="L2457" s="1" t="str">
        <f t="shared" si="2"/>
        <v>Oct</v>
      </c>
      <c r="M2457" s="1" t="str">
        <f t="shared" si="3"/>
        <v>Loss</v>
      </c>
    </row>
    <row r="2458" ht="14.25" customHeight="1">
      <c r="A2458" s="1" t="s">
        <v>2492</v>
      </c>
      <c r="B2458" s="2">
        <v>44969.0</v>
      </c>
      <c r="C2458" s="1" t="s">
        <v>26</v>
      </c>
      <c r="D2458" s="1" t="s">
        <v>21</v>
      </c>
      <c r="E2458" s="1" t="s">
        <v>37</v>
      </c>
      <c r="F2458" s="1">
        <v>867.92</v>
      </c>
      <c r="G2458" s="1">
        <v>-125.37</v>
      </c>
      <c r="H2458" s="1">
        <v>3.0</v>
      </c>
      <c r="I2458" s="1" t="s">
        <v>17</v>
      </c>
      <c r="J2458" s="1" t="s">
        <v>18</v>
      </c>
      <c r="K2458" s="1">
        <f t="shared" si="1"/>
        <v>2023</v>
      </c>
      <c r="L2458" s="1" t="str">
        <f t="shared" si="2"/>
        <v>Feb</v>
      </c>
      <c r="M2458" s="1" t="str">
        <f t="shared" si="3"/>
        <v>Loss</v>
      </c>
    </row>
    <row r="2459" ht="14.25" customHeight="1">
      <c r="A2459" s="1" t="s">
        <v>2493</v>
      </c>
      <c r="B2459" s="2">
        <v>44451.0</v>
      </c>
      <c r="C2459" s="1" t="s">
        <v>14</v>
      </c>
      <c r="D2459" s="1" t="s">
        <v>27</v>
      </c>
      <c r="E2459" s="1" t="s">
        <v>33</v>
      </c>
      <c r="F2459" s="1">
        <v>881.49</v>
      </c>
      <c r="G2459" s="1">
        <v>100.18</v>
      </c>
      <c r="H2459" s="1">
        <v>6.0</v>
      </c>
      <c r="I2459" s="1" t="s">
        <v>34</v>
      </c>
      <c r="J2459" s="1" t="s">
        <v>18</v>
      </c>
      <c r="K2459" s="1">
        <f t="shared" si="1"/>
        <v>2021</v>
      </c>
      <c r="L2459" s="1" t="str">
        <f t="shared" si="2"/>
        <v>Sep</v>
      </c>
      <c r="M2459" s="1" t="str">
        <f t="shared" si="3"/>
        <v>Profit</v>
      </c>
    </row>
    <row r="2460" ht="14.25" customHeight="1">
      <c r="A2460" s="1" t="s">
        <v>2494</v>
      </c>
      <c r="B2460" s="2">
        <v>45109.0</v>
      </c>
      <c r="C2460" s="1" t="s">
        <v>26</v>
      </c>
      <c r="D2460" s="1" t="s">
        <v>21</v>
      </c>
      <c r="E2460" s="1" t="s">
        <v>22</v>
      </c>
      <c r="F2460" s="1">
        <v>555.43</v>
      </c>
      <c r="G2460" s="1">
        <v>-12.55</v>
      </c>
      <c r="H2460" s="1">
        <v>7.0</v>
      </c>
      <c r="I2460" s="1" t="s">
        <v>34</v>
      </c>
      <c r="J2460" s="1" t="s">
        <v>35</v>
      </c>
      <c r="K2460" s="1">
        <f t="shared" si="1"/>
        <v>2023</v>
      </c>
      <c r="L2460" s="1" t="str">
        <f t="shared" si="2"/>
        <v>Jul</v>
      </c>
      <c r="M2460" s="1" t="str">
        <f t="shared" si="3"/>
        <v>Loss</v>
      </c>
    </row>
    <row r="2461" ht="14.25" customHeight="1">
      <c r="A2461" s="1" t="s">
        <v>2495</v>
      </c>
      <c r="B2461" s="2">
        <v>44645.0</v>
      </c>
      <c r="C2461" s="1" t="s">
        <v>14</v>
      </c>
      <c r="D2461" s="1" t="s">
        <v>21</v>
      </c>
      <c r="E2461" s="1" t="s">
        <v>76</v>
      </c>
      <c r="F2461" s="1">
        <v>218.51</v>
      </c>
      <c r="G2461" s="1">
        <v>168.04</v>
      </c>
      <c r="H2461" s="1">
        <v>10.0</v>
      </c>
      <c r="I2461" s="1" t="s">
        <v>17</v>
      </c>
      <c r="J2461" s="1" t="s">
        <v>24</v>
      </c>
      <c r="K2461" s="1">
        <f t="shared" si="1"/>
        <v>2022</v>
      </c>
      <c r="L2461" s="1" t="str">
        <f t="shared" si="2"/>
        <v>Mar</v>
      </c>
      <c r="M2461" s="1" t="str">
        <f t="shared" si="3"/>
        <v>Profit</v>
      </c>
    </row>
    <row r="2462" ht="14.25" customHeight="1">
      <c r="A2462" s="1" t="s">
        <v>2496</v>
      </c>
      <c r="B2462" s="2">
        <v>44728.0</v>
      </c>
      <c r="C2462" s="1" t="s">
        <v>30</v>
      </c>
      <c r="D2462" s="1" t="s">
        <v>15</v>
      </c>
      <c r="E2462" s="1" t="s">
        <v>54</v>
      </c>
      <c r="F2462" s="1">
        <v>914.93</v>
      </c>
      <c r="G2462" s="1">
        <v>27.55</v>
      </c>
      <c r="H2462" s="1">
        <v>4.0</v>
      </c>
      <c r="I2462" s="1" t="s">
        <v>17</v>
      </c>
      <c r="J2462" s="1" t="s">
        <v>35</v>
      </c>
      <c r="K2462" s="1">
        <f t="shared" si="1"/>
        <v>2022</v>
      </c>
      <c r="L2462" s="1" t="str">
        <f t="shared" si="2"/>
        <v>Jun</v>
      </c>
      <c r="M2462" s="1" t="str">
        <f t="shared" si="3"/>
        <v>Profit</v>
      </c>
    </row>
    <row r="2463" ht="14.25" customHeight="1">
      <c r="A2463" s="1" t="s">
        <v>2497</v>
      </c>
      <c r="B2463" s="2">
        <v>44293.0</v>
      </c>
      <c r="C2463" s="1" t="s">
        <v>30</v>
      </c>
      <c r="D2463" s="1" t="s">
        <v>15</v>
      </c>
      <c r="E2463" s="1" t="s">
        <v>16</v>
      </c>
      <c r="F2463" s="1">
        <v>458.01</v>
      </c>
      <c r="G2463" s="1">
        <v>298.53</v>
      </c>
      <c r="H2463" s="1">
        <v>4.0</v>
      </c>
      <c r="I2463" s="1" t="s">
        <v>17</v>
      </c>
      <c r="J2463" s="1" t="s">
        <v>24</v>
      </c>
      <c r="K2463" s="1">
        <f t="shared" si="1"/>
        <v>2021</v>
      </c>
      <c r="L2463" s="1" t="str">
        <f t="shared" si="2"/>
        <v>Apr</v>
      </c>
      <c r="M2463" s="1" t="str">
        <f t="shared" si="3"/>
        <v>Profit</v>
      </c>
    </row>
    <row r="2464" ht="14.25" customHeight="1">
      <c r="A2464" s="1" t="s">
        <v>2498</v>
      </c>
      <c r="B2464" s="2">
        <v>44829.0</v>
      </c>
      <c r="C2464" s="1" t="s">
        <v>20</v>
      </c>
      <c r="D2464" s="1" t="s">
        <v>27</v>
      </c>
      <c r="E2464" s="1" t="s">
        <v>33</v>
      </c>
      <c r="F2464" s="1">
        <v>90.38</v>
      </c>
      <c r="G2464" s="1">
        <v>70.11</v>
      </c>
      <c r="H2464" s="1">
        <v>4.0</v>
      </c>
      <c r="I2464" s="1" t="s">
        <v>23</v>
      </c>
      <c r="J2464" s="1" t="s">
        <v>18</v>
      </c>
      <c r="K2464" s="1">
        <f t="shared" si="1"/>
        <v>2022</v>
      </c>
      <c r="L2464" s="1" t="str">
        <f t="shared" si="2"/>
        <v>Sep</v>
      </c>
      <c r="M2464" s="1" t="str">
        <f t="shared" si="3"/>
        <v>Profit</v>
      </c>
    </row>
    <row r="2465" ht="14.25" customHeight="1">
      <c r="A2465" s="1" t="s">
        <v>2499</v>
      </c>
      <c r="B2465" s="2">
        <v>44637.0</v>
      </c>
      <c r="C2465" s="1" t="s">
        <v>20</v>
      </c>
      <c r="D2465" s="1" t="s">
        <v>21</v>
      </c>
      <c r="E2465" s="1" t="s">
        <v>37</v>
      </c>
      <c r="F2465" s="1">
        <v>754.16</v>
      </c>
      <c r="G2465" s="1">
        <v>298.67</v>
      </c>
      <c r="H2465" s="1">
        <v>9.0</v>
      </c>
      <c r="I2465" s="1" t="s">
        <v>23</v>
      </c>
      <c r="J2465" s="1" t="s">
        <v>24</v>
      </c>
      <c r="K2465" s="1">
        <f t="shared" si="1"/>
        <v>2022</v>
      </c>
      <c r="L2465" s="1" t="str">
        <f t="shared" si="2"/>
        <v>Mar</v>
      </c>
      <c r="M2465" s="1" t="str">
        <f t="shared" si="3"/>
        <v>Profit</v>
      </c>
    </row>
    <row r="2466" ht="14.25" customHeight="1">
      <c r="A2466" s="1" t="s">
        <v>2500</v>
      </c>
      <c r="B2466" s="2">
        <v>44933.0</v>
      </c>
      <c r="C2466" s="1" t="s">
        <v>30</v>
      </c>
      <c r="D2466" s="1" t="s">
        <v>27</v>
      </c>
      <c r="E2466" s="1" t="s">
        <v>40</v>
      </c>
      <c r="F2466" s="1">
        <v>780.48</v>
      </c>
      <c r="G2466" s="1">
        <v>-80.47</v>
      </c>
      <c r="H2466" s="1">
        <v>2.0</v>
      </c>
      <c r="I2466" s="1" t="s">
        <v>17</v>
      </c>
      <c r="J2466" s="1" t="s">
        <v>18</v>
      </c>
      <c r="K2466" s="1">
        <f t="shared" si="1"/>
        <v>2023</v>
      </c>
      <c r="L2466" s="1" t="str">
        <f t="shared" si="2"/>
        <v>Jan</v>
      </c>
      <c r="M2466" s="1" t="str">
        <f t="shared" si="3"/>
        <v>Loss</v>
      </c>
    </row>
    <row r="2467" ht="14.25" customHeight="1">
      <c r="A2467" s="1" t="s">
        <v>2501</v>
      </c>
      <c r="B2467" s="2">
        <v>44765.0</v>
      </c>
      <c r="C2467" s="1" t="s">
        <v>26</v>
      </c>
      <c r="D2467" s="1" t="s">
        <v>15</v>
      </c>
      <c r="E2467" s="1" t="s">
        <v>31</v>
      </c>
      <c r="F2467" s="1">
        <v>247.98</v>
      </c>
      <c r="G2467" s="1">
        <v>166.73</v>
      </c>
      <c r="H2467" s="1">
        <v>1.0</v>
      </c>
      <c r="I2467" s="1" t="s">
        <v>23</v>
      </c>
      <c r="J2467" s="1" t="s">
        <v>38</v>
      </c>
      <c r="K2467" s="1">
        <f t="shared" si="1"/>
        <v>2022</v>
      </c>
      <c r="L2467" s="1" t="str">
        <f t="shared" si="2"/>
        <v>Jul</v>
      </c>
      <c r="M2467" s="1" t="str">
        <f t="shared" si="3"/>
        <v>Profit</v>
      </c>
    </row>
    <row r="2468" ht="14.25" customHeight="1">
      <c r="A2468" s="1" t="s">
        <v>2502</v>
      </c>
      <c r="B2468" s="2">
        <v>44365.0</v>
      </c>
      <c r="C2468" s="1" t="s">
        <v>30</v>
      </c>
      <c r="D2468" s="1" t="s">
        <v>21</v>
      </c>
      <c r="E2468" s="1" t="s">
        <v>37</v>
      </c>
      <c r="F2468" s="1">
        <v>619.86</v>
      </c>
      <c r="G2468" s="1">
        <v>39.0</v>
      </c>
      <c r="H2468" s="1">
        <v>10.0</v>
      </c>
      <c r="I2468" s="1" t="s">
        <v>23</v>
      </c>
      <c r="J2468" s="1" t="s">
        <v>18</v>
      </c>
      <c r="K2468" s="1">
        <f t="shared" si="1"/>
        <v>2021</v>
      </c>
      <c r="L2468" s="1" t="str">
        <f t="shared" si="2"/>
        <v>Jun</v>
      </c>
      <c r="M2468" s="1" t="str">
        <f t="shared" si="3"/>
        <v>Profit</v>
      </c>
    </row>
    <row r="2469" ht="14.25" customHeight="1">
      <c r="A2469" s="1" t="s">
        <v>2503</v>
      </c>
      <c r="B2469" s="2">
        <v>44458.0</v>
      </c>
      <c r="C2469" s="1" t="s">
        <v>26</v>
      </c>
      <c r="D2469" s="1" t="s">
        <v>15</v>
      </c>
      <c r="E2469" s="1" t="s">
        <v>31</v>
      </c>
      <c r="F2469" s="1">
        <v>169.2</v>
      </c>
      <c r="G2469" s="1">
        <v>-180.22</v>
      </c>
      <c r="H2469" s="1">
        <v>1.0</v>
      </c>
      <c r="I2469" s="1" t="s">
        <v>23</v>
      </c>
      <c r="J2469" s="1" t="s">
        <v>35</v>
      </c>
      <c r="K2469" s="1">
        <f t="shared" si="1"/>
        <v>2021</v>
      </c>
      <c r="L2469" s="1" t="str">
        <f t="shared" si="2"/>
        <v>Sep</v>
      </c>
      <c r="M2469" s="1" t="str">
        <f t="shared" si="3"/>
        <v>Loss</v>
      </c>
    </row>
    <row r="2470" ht="14.25" customHeight="1">
      <c r="A2470" s="1" t="s">
        <v>2504</v>
      </c>
      <c r="B2470" s="2">
        <v>45263.0</v>
      </c>
      <c r="C2470" s="1" t="s">
        <v>30</v>
      </c>
      <c r="D2470" s="1" t="s">
        <v>27</v>
      </c>
      <c r="E2470" s="1" t="s">
        <v>33</v>
      </c>
      <c r="F2470" s="1">
        <v>698.41</v>
      </c>
      <c r="G2470" s="1">
        <v>195.37</v>
      </c>
      <c r="H2470" s="1">
        <v>9.0</v>
      </c>
      <c r="I2470" s="1" t="s">
        <v>17</v>
      </c>
      <c r="J2470" s="1" t="s">
        <v>18</v>
      </c>
      <c r="K2470" s="1">
        <f t="shared" si="1"/>
        <v>2023</v>
      </c>
      <c r="L2470" s="1" t="str">
        <f t="shared" si="2"/>
        <v>Dec</v>
      </c>
      <c r="M2470" s="1" t="str">
        <f t="shared" si="3"/>
        <v>Profit</v>
      </c>
    </row>
    <row r="2471" ht="14.25" customHeight="1">
      <c r="A2471" s="1" t="s">
        <v>2505</v>
      </c>
      <c r="B2471" s="2">
        <v>44581.0</v>
      </c>
      <c r="C2471" s="1" t="s">
        <v>20</v>
      </c>
      <c r="D2471" s="1" t="s">
        <v>15</v>
      </c>
      <c r="E2471" s="1" t="s">
        <v>54</v>
      </c>
      <c r="F2471" s="1">
        <v>620.4</v>
      </c>
      <c r="G2471" s="1">
        <v>262.94</v>
      </c>
      <c r="H2471" s="1">
        <v>5.0</v>
      </c>
      <c r="I2471" s="1" t="s">
        <v>34</v>
      </c>
      <c r="J2471" s="1" t="s">
        <v>38</v>
      </c>
      <c r="K2471" s="1">
        <f t="shared" si="1"/>
        <v>2022</v>
      </c>
      <c r="L2471" s="1" t="str">
        <f t="shared" si="2"/>
        <v>Jan</v>
      </c>
      <c r="M2471" s="1" t="str">
        <f t="shared" si="3"/>
        <v>Profit</v>
      </c>
    </row>
    <row r="2472" ht="14.25" customHeight="1">
      <c r="A2472" s="1" t="s">
        <v>2506</v>
      </c>
      <c r="B2472" s="2">
        <v>44624.0</v>
      </c>
      <c r="C2472" s="1" t="s">
        <v>26</v>
      </c>
      <c r="D2472" s="1" t="s">
        <v>21</v>
      </c>
      <c r="E2472" s="1" t="s">
        <v>22</v>
      </c>
      <c r="F2472" s="1">
        <v>96.71</v>
      </c>
      <c r="G2472" s="1">
        <v>45.29</v>
      </c>
      <c r="H2472" s="1">
        <v>3.0</v>
      </c>
      <c r="I2472" s="1" t="s">
        <v>23</v>
      </c>
      <c r="J2472" s="1" t="s">
        <v>38</v>
      </c>
      <c r="K2472" s="1">
        <f t="shared" si="1"/>
        <v>2022</v>
      </c>
      <c r="L2472" s="1" t="str">
        <f t="shared" si="2"/>
        <v>Mar</v>
      </c>
      <c r="M2472" s="1" t="str">
        <f t="shared" si="3"/>
        <v>Profit</v>
      </c>
    </row>
    <row r="2473" ht="14.25" customHeight="1">
      <c r="A2473" s="1" t="s">
        <v>2507</v>
      </c>
      <c r="B2473" s="2">
        <v>44729.0</v>
      </c>
      <c r="C2473" s="1" t="s">
        <v>20</v>
      </c>
      <c r="D2473" s="1" t="s">
        <v>27</v>
      </c>
      <c r="E2473" s="1" t="s">
        <v>28</v>
      </c>
      <c r="F2473" s="1">
        <v>52.0</v>
      </c>
      <c r="G2473" s="1">
        <v>6.96</v>
      </c>
      <c r="H2473" s="1">
        <v>3.0</v>
      </c>
      <c r="I2473" s="1" t="s">
        <v>34</v>
      </c>
      <c r="J2473" s="1" t="s">
        <v>24</v>
      </c>
      <c r="K2473" s="1">
        <f t="shared" si="1"/>
        <v>2022</v>
      </c>
      <c r="L2473" s="1" t="str">
        <f t="shared" si="2"/>
        <v>Jun</v>
      </c>
      <c r="M2473" s="1" t="str">
        <f t="shared" si="3"/>
        <v>Profit</v>
      </c>
    </row>
    <row r="2474" ht="14.25" customHeight="1">
      <c r="A2474" s="1" t="s">
        <v>2508</v>
      </c>
      <c r="B2474" s="2">
        <v>44212.0</v>
      </c>
      <c r="C2474" s="1" t="s">
        <v>14</v>
      </c>
      <c r="D2474" s="1" t="s">
        <v>27</v>
      </c>
      <c r="E2474" s="1" t="s">
        <v>33</v>
      </c>
      <c r="F2474" s="1">
        <v>667.5</v>
      </c>
      <c r="G2474" s="1">
        <v>-129.27</v>
      </c>
      <c r="H2474" s="1">
        <v>4.0</v>
      </c>
      <c r="I2474" s="1" t="s">
        <v>34</v>
      </c>
      <c r="J2474" s="1" t="s">
        <v>18</v>
      </c>
      <c r="K2474" s="1">
        <f t="shared" si="1"/>
        <v>2021</v>
      </c>
      <c r="L2474" s="1" t="str">
        <f t="shared" si="2"/>
        <v>Jan</v>
      </c>
      <c r="M2474" s="1" t="str">
        <f t="shared" si="3"/>
        <v>Loss</v>
      </c>
    </row>
    <row r="2475" ht="14.25" customHeight="1">
      <c r="A2475" s="1" t="s">
        <v>2509</v>
      </c>
      <c r="B2475" s="2">
        <v>44733.0</v>
      </c>
      <c r="C2475" s="1" t="s">
        <v>26</v>
      </c>
      <c r="D2475" s="1" t="s">
        <v>21</v>
      </c>
      <c r="E2475" s="1" t="s">
        <v>22</v>
      </c>
      <c r="F2475" s="1">
        <v>495.1</v>
      </c>
      <c r="G2475" s="1">
        <v>-42.98</v>
      </c>
      <c r="H2475" s="1">
        <v>4.0</v>
      </c>
      <c r="I2475" s="1" t="s">
        <v>17</v>
      </c>
      <c r="J2475" s="1" t="s">
        <v>38</v>
      </c>
      <c r="K2475" s="1">
        <f t="shared" si="1"/>
        <v>2022</v>
      </c>
      <c r="L2475" s="1" t="str">
        <f t="shared" si="2"/>
        <v>Jun</v>
      </c>
      <c r="M2475" s="1" t="str">
        <f t="shared" si="3"/>
        <v>Loss</v>
      </c>
    </row>
    <row r="2476" ht="14.25" customHeight="1">
      <c r="A2476" s="1" t="s">
        <v>2510</v>
      </c>
      <c r="B2476" s="2">
        <v>45219.0</v>
      </c>
      <c r="C2476" s="1" t="s">
        <v>14</v>
      </c>
      <c r="D2476" s="1" t="s">
        <v>21</v>
      </c>
      <c r="E2476" s="1" t="s">
        <v>76</v>
      </c>
      <c r="F2476" s="1">
        <v>317.78</v>
      </c>
      <c r="G2476" s="1">
        <v>-110.77</v>
      </c>
      <c r="H2476" s="1">
        <v>3.0</v>
      </c>
      <c r="I2476" s="1" t="s">
        <v>34</v>
      </c>
      <c r="J2476" s="1" t="s">
        <v>18</v>
      </c>
      <c r="K2476" s="1">
        <f t="shared" si="1"/>
        <v>2023</v>
      </c>
      <c r="L2476" s="1" t="str">
        <f t="shared" si="2"/>
        <v>Oct</v>
      </c>
      <c r="M2476" s="1" t="str">
        <f t="shared" si="3"/>
        <v>Loss</v>
      </c>
    </row>
    <row r="2477" ht="14.25" customHeight="1">
      <c r="A2477" s="1" t="s">
        <v>2511</v>
      </c>
      <c r="B2477" s="2">
        <v>44259.0</v>
      </c>
      <c r="C2477" s="1" t="s">
        <v>20</v>
      </c>
      <c r="D2477" s="1" t="s">
        <v>21</v>
      </c>
      <c r="E2477" s="1" t="s">
        <v>37</v>
      </c>
      <c r="F2477" s="1">
        <v>511.17</v>
      </c>
      <c r="G2477" s="1">
        <v>271.38</v>
      </c>
      <c r="H2477" s="1">
        <v>1.0</v>
      </c>
      <c r="I2477" s="1" t="s">
        <v>17</v>
      </c>
      <c r="J2477" s="1" t="s">
        <v>35</v>
      </c>
      <c r="K2477" s="1">
        <f t="shared" si="1"/>
        <v>2021</v>
      </c>
      <c r="L2477" s="1" t="str">
        <f t="shared" si="2"/>
        <v>Mar</v>
      </c>
      <c r="M2477" s="1" t="str">
        <f t="shared" si="3"/>
        <v>Profit</v>
      </c>
    </row>
    <row r="2478" ht="14.25" customHeight="1">
      <c r="A2478" s="1" t="s">
        <v>2512</v>
      </c>
      <c r="B2478" s="2">
        <v>45063.0</v>
      </c>
      <c r="C2478" s="1" t="s">
        <v>26</v>
      </c>
      <c r="D2478" s="1" t="s">
        <v>21</v>
      </c>
      <c r="E2478" s="1" t="s">
        <v>37</v>
      </c>
      <c r="F2478" s="1">
        <v>194.94</v>
      </c>
      <c r="G2478" s="1">
        <v>-116.28</v>
      </c>
      <c r="H2478" s="1">
        <v>4.0</v>
      </c>
      <c r="I2478" s="1" t="s">
        <v>23</v>
      </c>
      <c r="J2478" s="1" t="s">
        <v>35</v>
      </c>
      <c r="K2478" s="1">
        <f t="shared" si="1"/>
        <v>2023</v>
      </c>
      <c r="L2478" s="1" t="str">
        <f t="shared" si="2"/>
        <v>May</v>
      </c>
      <c r="M2478" s="1" t="str">
        <f t="shared" si="3"/>
        <v>Loss</v>
      </c>
    </row>
    <row r="2479" ht="14.25" customHeight="1">
      <c r="A2479" s="1" t="s">
        <v>2513</v>
      </c>
      <c r="B2479" s="2">
        <v>44218.0</v>
      </c>
      <c r="C2479" s="1" t="s">
        <v>30</v>
      </c>
      <c r="D2479" s="1" t="s">
        <v>21</v>
      </c>
      <c r="E2479" s="1" t="s">
        <v>76</v>
      </c>
      <c r="F2479" s="1">
        <v>301.5</v>
      </c>
      <c r="G2479" s="1">
        <v>163.39</v>
      </c>
      <c r="H2479" s="1">
        <v>8.0</v>
      </c>
      <c r="I2479" s="1" t="s">
        <v>17</v>
      </c>
      <c r="J2479" s="1" t="s">
        <v>38</v>
      </c>
      <c r="K2479" s="1">
        <f t="shared" si="1"/>
        <v>2021</v>
      </c>
      <c r="L2479" s="1" t="str">
        <f t="shared" si="2"/>
        <v>Jan</v>
      </c>
      <c r="M2479" s="1" t="str">
        <f t="shared" si="3"/>
        <v>Profit</v>
      </c>
    </row>
    <row r="2480" ht="14.25" customHeight="1">
      <c r="A2480" s="1" t="s">
        <v>2514</v>
      </c>
      <c r="B2480" s="2">
        <v>44244.0</v>
      </c>
      <c r="C2480" s="1" t="s">
        <v>30</v>
      </c>
      <c r="D2480" s="1" t="s">
        <v>15</v>
      </c>
      <c r="E2480" s="1" t="s">
        <v>54</v>
      </c>
      <c r="F2480" s="1">
        <v>281.04</v>
      </c>
      <c r="G2480" s="1">
        <v>-129.9</v>
      </c>
      <c r="H2480" s="1">
        <v>3.0</v>
      </c>
      <c r="I2480" s="1" t="s">
        <v>17</v>
      </c>
      <c r="J2480" s="1" t="s">
        <v>35</v>
      </c>
      <c r="K2480" s="1">
        <f t="shared" si="1"/>
        <v>2021</v>
      </c>
      <c r="L2480" s="1" t="str">
        <f t="shared" si="2"/>
        <v>Feb</v>
      </c>
      <c r="M2480" s="1" t="str">
        <f t="shared" si="3"/>
        <v>Loss</v>
      </c>
    </row>
    <row r="2481" ht="14.25" customHeight="1">
      <c r="A2481" s="1" t="s">
        <v>2515</v>
      </c>
      <c r="B2481" s="2">
        <v>45278.0</v>
      </c>
      <c r="C2481" s="1" t="s">
        <v>14</v>
      </c>
      <c r="D2481" s="1" t="s">
        <v>15</v>
      </c>
      <c r="E2481" s="1" t="s">
        <v>54</v>
      </c>
      <c r="F2481" s="1">
        <v>214.29</v>
      </c>
      <c r="G2481" s="1">
        <v>154.29</v>
      </c>
      <c r="H2481" s="1">
        <v>9.0</v>
      </c>
      <c r="I2481" s="1" t="s">
        <v>23</v>
      </c>
      <c r="J2481" s="1" t="s">
        <v>24</v>
      </c>
      <c r="K2481" s="1">
        <f t="shared" si="1"/>
        <v>2023</v>
      </c>
      <c r="L2481" s="1" t="str">
        <f t="shared" si="2"/>
        <v>Dec</v>
      </c>
      <c r="M2481" s="1" t="str">
        <f t="shared" si="3"/>
        <v>Profit</v>
      </c>
    </row>
    <row r="2482" ht="14.25" customHeight="1">
      <c r="A2482" s="1" t="s">
        <v>2516</v>
      </c>
      <c r="B2482" s="2">
        <v>45205.0</v>
      </c>
      <c r="C2482" s="1" t="s">
        <v>26</v>
      </c>
      <c r="D2482" s="1" t="s">
        <v>15</v>
      </c>
      <c r="E2482" s="1" t="s">
        <v>16</v>
      </c>
      <c r="F2482" s="1">
        <v>45.7</v>
      </c>
      <c r="G2482" s="1">
        <v>-50.5</v>
      </c>
      <c r="H2482" s="1">
        <v>4.0</v>
      </c>
      <c r="I2482" s="1" t="s">
        <v>34</v>
      </c>
      <c r="J2482" s="1" t="s">
        <v>35</v>
      </c>
      <c r="K2482" s="1">
        <f t="shared" si="1"/>
        <v>2023</v>
      </c>
      <c r="L2482" s="1" t="str">
        <f t="shared" si="2"/>
        <v>Oct</v>
      </c>
      <c r="M2482" s="1" t="str">
        <f t="shared" si="3"/>
        <v>Loss</v>
      </c>
    </row>
    <row r="2483" ht="14.25" customHeight="1">
      <c r="A2483" s="1" t="s">
        <v>2517</v>
      </c>
      <c r="B2483" s="2">
        <v>44544.0</v>
      </c>
      <c r="C2483" s="1" t="s">
        <v>30</v>
      </c>
      <c r="D2483" s="1" t="s">
        <v>21</v>
      </c>
      <c r="E2483" s="1" t="s">
        <v>76</v>
      </c>
      <c r="F2483" s="1">
        <v>786.61</v>
      </c>
      <c r="G2483" s="1">
        <v>-83.73</v>
      </c>
      <c r="H2483" s="1">
        <v>7.0</v>
      </c>
      <c r="I2483" s="1" t="s">
        <v>17</v>
      </c>
      <c r="J2483" s="1" t="s">
        <v>24</v>
      </c>
      <c r="K2483" s="1">
        <f t="shared" si="1"/>
        <v>2021</v>
      </c>
      <c r="L2483" s="1" t="str">
        <f t="shared" si="2"/>
        <v>Dec</v>
      </c>
      <c r="M2483" s="1" t="str">
        <f t="shared" si="3"/>
        <v>Loss</v>
      </c>
    </row>
    <row r="2484" ht="14.25" customHeight="1">
      <c r="A2484" s="1" t="s">
        <v>2518</v>
      </c>
      <c r="B2484" s="2">
        <v>44237.0</v>
      </c>
      <c r="C2484" s="1" t="s">
        <v>26</v>
      </c>
      <c r="D2484" s="1" t="s">
        <v>15</v>
      </c>
      <c r="E2484" s="1" t="s">
        <v>31</v>
      </c>
      <c r="F2484" s="1">
        <v>118.35</v>
      </c>
      <c r="G2484" s="1">
        <v>159.46</v>
      </c>
      <c r="H2484" s="1">
        <v>7.0</v>
      </c>
      <c r="I2484" s="1" t="s">
        <v>34</v>
      </c>
      <c r="J2484" s="1" t="s">
        <v>18</v>
      </c>
      <c r="K2484" s="1">
        <f t="shared" si="1"/>
        <v>2021</v>
      </c>
      <c r="L2484" s="1" t="str">
        <f t="shared" si="2"/>
        <v>Feb</v>
      </c>
      <c r="M2484" s="1" t="str">
        <f t="shared" si="3"/>
        <v>Profit</v>
      </c>
    </row>
    <row r="2485" ht="14.25" customHeight="1">
      <c r="A2485" s="1" t="s">
        <v>2519</v>
      </c>
      <c r="B2485" s="2">
        <v>44542.0</v>
      </c>
      <c r="C2485" s="1" t="s">
        <v>14</v>
      </c>
      <c r="D2485" s="1" t="s">
        <v>15</v>
      </c>
      <c r="E2485" s="1" t="s">
        <v>16</v>
      </c>
      <c r="F2485" s="1">
        <v>98.44</v>
      </c>
      <c r="G2485" s="1">
        <v>-181.43</v>
      </c>
      <c r="H2485" s="1">
        <v>3.0</v>
      </c>
      <c r="I2485" s="1" t="s">
        <v>34</v>
      </c>
      <c r="J2485" s="1" t="s">
        <v>35</v>
      </c>
      <c r="K2485" s="1">
        <f t="shared" si="1"/>
        <v>2021</v>
      </c>
      <c r="L2485" s="1" t="str">
        <f t="shared" si="2"/>
        <v>Dec</v>
      </c>
      <c r="M2485" s="1" t="str">
        <f t="shared" si="3"/>
        <v>Loss</v>
      </c>
    </row>
    <row r="2486" ht="14.25" customHeight="1">
      <c r="A2486" s="1" t="s">
        <v>2520</v>
      </c>
      <c r="B2486" s="2">
        <v>44293.0</v>
      </c>
      <c r="C2486" s="1" t="s">
        <v>26</v>
      </c>
      <c r="D2486" s="1" t="s">
        <v>27</v>
      </c>
      <c r="E2486" s="1" t="s">
        <v>40</v>
      </c>
      <c r="F2486" s="1">
        <v>584.07</v>
      </c>
      <c r="G2486" s="1">
        <v>127.56</v>
      </c>
      <c r="H2486" s="1">
        <v>5.0</v>
      </c>
      <c r="I2486" s="1" t="s">
        <v>34</v>
      </c>
      <c r="J2486" s="1" t="s">
        <v>38</v>
      </c>
      <c r="K2486" s="1">
        <f t="shared" si="1"/>
        <v>2021</v>
      </c>
      <c r="L2486" s="1" t="str">
        <f t="shared" si="2"/>
        <v>Apr</v>
      </c>
      <c r="M2486" s="1" t="str">
        <f t="shared" si="3"/>
        <v>Profit</v>
      </c>
    </row>
    <row r="2487" ht="14.25" customHeight="1">
      <c r="A2487" s="1" t="s">
        <v>2521</v>
      </c>
      <c r="B2487" s="2">
        <v>45032.0</v>
      </c>
      <c r="C2487" s="1" t="s">
        <v>14</v>
      </c>
      <c r="D2487" s="1" t="s">
        <v>15</v>
      </c>
      <c r="E2487" s="1" t="s">
        <v>16</v>
      </c>
      <c r="F2487" s="1">
        <v>552.27</v>
      </c>
      <c r="G2487" s="1">
        <v>-133.5</v>
      </c>
      <c r="H2487" s="1">
        <v>5.0</v>
      </c>
      <c r="I2487" s="1" t="s">
        <v>17</v>
      </c>
      <c r="J2487" s="1" t="s">
        <v>18</v>
      </c>
      <c r="K2487" s="1">
        <f t="shared" si="1"/>
        <v>2023</v>
      </c>
      <c r="L2487" s="1" t="str">
        <f t="shared" si="2"/>
        <v>Apr</v>
      </c>
      <c r="M2487" s="1" t="str">
        <f t="shared" si="3"/>
        <v>Loss</v>
      </c>
    </row>
    <row r="2488" ht="14.25" customHeight="1">
      <c r="A2488" s="1" t="s">
        <v>2522</v>
      </c>
      <c r="B2488" s="2">
        <v>45272.0</v>
      </c>
      <c r="C2488" s="1" t="s">
        <v>26</v>
      </c>
      <c r="D2488" s="1" t="s">
        <v>21</v>
      </c>
      <c r="E2488" s="1" t="s">
        <v>22</v>
      </c>
      <c r="F2488" s="1">
        <v>119.54</v>
      </c>
      <c r="G2488" s="1">
        <v>-189.01</v>
      </c>
      <c r="H2488" s="1">
        <v>10.0</v>
      </c>
      <c r="I2488" s="1" t="s">
        <v>34</v>
      </c>
      <c r="J2488" s="1" t="s">
        <v>18</v>
      </c>
      <c r="K2488" s="1">
        <f t="shared" si="1"/>
        <v>2023</v>
      </c>
      <c r="L2488" s="1" t="str">
        <f t="shared" si="2"/>
        <v>Dec</v>
      </c>
      <c r="M2488" s="1" t="str">
        <f t="shared" si="3"/>
        <v>Loss</v>
      </c>
    </row>
    <row r="2489" ht="14.25" customHeight="1">
      <c r="A2489" s="1" t="s">
        <v>2523</v>
      </c>
      <c r="B2489" s="2">
        <v>44945.0</v>
      </c>
      <c r="C2489" s="1" t="s">
        <v>26</v>
      </c>
      <c r="D2489" s="1" t="s">
        <v>21</v>
      </c>
      <c r="E2489" s="1" t="s">
        <v>37</v>
      </c>
      <c r="F2489" s="1">
        <v>477.49</v>
      </c>
      <c r="G2489" s="1">
        <v>-113.66</v>
      </c>
      <c r="H2489" s="1">
        <v>7.0</v>
      </c>
      <c r="I2489" s="1" t="s">
        <v>23</v>
      </c>
      <c r="J2489" s="1" t="s">
        <v>38</v>
      </c>
      <c r="K2489" s="1">
        <f t="shared" si="1"/>
        <v>2023</v>
      </c>
      <c r="L2489" s="1" t="str">
        <f t="shared" si="2"/>
        <v>Jan</v>
      </c>
      <c r="M2489" s="1" t="str">
        <f t="shared" si="3"/>
        <v>Loss</v>
      </c>
    </row>
    <row r="2490" ht="14.25" customHeight="1">
      <c r="A2490" s="1" t="s">
        <v>2524</v>
      </c>
      <c r="B2490" s="2">
        <v>44703.0</v>
      </c>
      <c r="C2490" s="1" t="s">
        <v>30</v>
      </c>
      <c r="D2490" s="1" t="s">
        <v>27</v>
      </c>
      <c r="E2490" s="1" t="s">
        <v>40</v>
      </c>
      <c r="F2490" s="1">
        <v>188.37</v>
      </c>
      <c r="G2490" s="1">
        <v>238.92</v>
      </c>
      <c r="H2490" s="1">
        <v>10.0</v>
      </c>
      <c r="I2490" s="1" t="s">
        <v>34</v>
      </c>
      <c r="J2490" s="1" t="s">
        <v>24</v>
      </c>
      <c r="K2490" s="1">
        <f t="shared" si="1"/>
        <v>2022</v>
      </c>
      <c r="L2490" s="1" t="str">
        <f t="shared" si="2"/>
        <v>May</v>
      </c>
      <c r="M2490" s="1" t="str">
        <f t="shared" si="3"/>
        <v>Profit</v>
      </c>
    </row>
    <row r="2491" ht="14.25" customHeight="1">
      <c r="A2491" s="1" t="s">
        <v>2525</v>
      </c>
      <c r="B2491" s="2">
        <v>44956.0</v>
      </c>
      <c r="C2491" s="1" t="s">
        <v>30</v>
      </c>
      <c r="D2491" s="1" t="s">
        <v>21</v>
      </c>
      <c r="E2491" s="1" t="s">
        <v>22</v>
      </c>
      <c r="F2491" s="1">
        <v>67.54</v>
      </c>
      <c r="G2491" s="1">
        <v>57.27</v>
      </c>
      <c r="H2491" s="1">
        <v>10.0</v>
      </c>
      <c r="I2491" s="1" t="s">
        <v>23</v>
      </c>
      <c r="J2491" s="1" t="s">
        <v>18</v>
      </c>
      <c r="K2491" s="1">
        <f t="shared" si="1"/>
        <v>2023</v>
      </c>
      <c r="L2491" s="1" t="str">
        <f t="shared" si="2"/>
        <v>Jan</v>
      </c>
      <c r="M2491" s="1" t="str">
        <f t="shared" si="3"/>
        <v>Profit</v>
      </c>
    </row>
    <row r="2492" ht="14.25" customHeight="1">
      <c r="A2492" s="1" t="s">
        <v>2526</v>
      </c>
      <c r="B2492" s="2">
        <v>45263.0</v>
      </c>
      <c r="C2492" s="1" t="s">
        <v>14</v>
      </c>
      <c r="D2492" s="1" t="s">
        <v>21</v>
      </c>
      <c r="E2492" s="1" t="s">
        <v>37</v>
      </c>
      <c r="F2492" s="1">
        <v>119.25</v>
      </c>
      <c r="G2492" s="1">
        <v>-193.14</v>
      </c>
      <c r="H2492" s="1">
        <v>4.0</v>
      </c>
      <c r="I2492" s="1" t="s">
        <v>17</v>
      </c>
      <c r="J2492" s="1" t="s">
        <v>38</v>
      </c>
      <c r="K2492" s="1">
        <f t="shared" si="1"/>
        <v>2023</v>
      </c>
      <c r="L2492" s="1" t="str">
        <f t="shared" si="2"/>
        <v>Dec</v>
      </c>
      <c r="M2492" s="1" t="str">
        <f t="shared" si="3"/>
        <v>Loss</v>
      </c>
    </row>
    <row r="2493" ht="14.25" customHeight="1">
      <c r="A2493" s="1" t="s">
        <v>2527</v>
      </c>
      <c r="B2493" s="2">
        <v>45243.0</v>
      </c>
      <c r="C2493" s="1" t="s">
        <v>30</v>
      </c>
      <c r="D2493" s="1" t="s">
        <v>27</v>
      </c>
      <c r="E2493" s="1" t="s">
        <v>33</v>
      </c>
      <c r="F2493" s="1">
        <v>467.3</v>
      </c>
      <c r="G2493" s="1">
        <v>-102.65</v>
      </c>
      <c r="H2493" s="1">
        <v>2.0</v>
      </c>
      <c r="I2493" s="1" t="s">
        <v>17</v>
      </c>
      <c r="J2493" s="1" t="s">
        <v>35</v>
      </c>
      <c r="K2493" s="1">
        <f t="shared" si="1"/>
        <v>2023</v>
      </c>
      <c r="L2493" s="1" t="str">
        <f t="shared" si="2"/>
        <v>Nov</v>
      </c>
      <c r="M2493" s="1" t="str">
        <f t="shared" si="3"/>
        <v>Loss</v>
      </c>
    </row>
    <row r="2494" ht="14.25" customHeight="1">
      <c r="A2494" s="1" t="s">
        <v>2528</v>
      </c>
      <c r="B2494" s="2">
        <v>44646.0</v>
      </c>
      <c r="C2494" s="1" t="s">
        <v>30</v>
      </c>
      <c r="D2494" s="1" t="s">
        <v>21</v>
      </c>
      <c r="E2494" s="1" t="s">
        <v>37</v>
      </c>
      <c r="F2494" s="1">
        <v>370.4</v>
      </c>
      <c r="G2494" s="1">
        <v>-37.76</v>
      </c>
      <c r="H2494" s="1">
        <v>8.0</v>
      </c>
      <c r="I2494" s="1" t="s">
        <v>17</v>
      </c>
      <c r="J2494" s="1" t="s">
        <v>24</v>
      </c>
      <c r="K2494" s="1">
        <f t="shared" si="1"/>
        <v>2022</v>
      </c>
      <c r="L2494" s="1" t="str">
        <f t="shared" si="2"/>
        <v>Mar</v>
      </c>
      <c r="M2494" s="1" t="str">
        <f t="shared" si="3"/>
        <v>Loss</v>
      </c>
    </row>
    <row r="2495" ht="14.25" customHeight="1">
      <c r="A2495" s="1" t="s">
        <v>2529</v>
      </c>
      <c r="B2495" s="2">
        <v>44807.0</v>
      </c>
      <c r="C2495" s="1" t="s">
        <v>26</v>
      </c>
      <c r="D2495" s="1" t="s">
        <v>27</v>
      </c>
      <c r="E2495" s="1" t="s">
        <v>33</v>
      </c>
      <c r="F2495" s="1">
        <v>621.13</v>
      </c>
      <c r="G2495" s="1">
        <v>-70.89</v>
      </c>
      <c r="H2495" s="1">
        <v>6.0</v>
      </c>
      <c r="I2495" s="1" t="s">
        <v>23</v>
      </c>
      <c r="J2495" s="1" t="s">
        <v>38</v>
      </c>
      <c r="K2495" s="1">
        <f t="shared" si="1"/>
        <v>2022</v>
      </c>
      <c r="L2495" s="1" t="str">
        <f t="shared" si="2"/>
        <v>Sep</v>
      </c>
      <c r="M2495" s="1" t="str">
        <f t="shared" si="3"/>
        <v>Loss</v>
      </c>
    </row>
    <row r="2496" ht="14.25" customHeight="1">
      <c r="A2496" s="1" t="s">
        <v>2530</v>
      </c>
      <c r="B2496" s="2">
        <v>45099.0</v>
      </c>
      <c r="C2496" s="1" t="s">
        <v>20</v>
      </c>
      <c r="D2496" s="1" t="s">
        <v>15</v>
      </c>
      <c r="E2496" s="1" t="s">
        <v>16</v>
      </c>
      <c r="F2496" s="1">
        <v>815.81</v>
      </c>
      <c r="G2496" s="1">
        <v>293.09</v>
      </c>
      <c r="H2496" s="1">
        <v>10.0</v>
      </c>
      <c r="I2496" s="1" t="s">
        <v>34</v>
      </c>
      <c r="J2496" s="1" t="s">
        <v>24</v>
      </c>
      <c r="K2496" s="1">
        <f t="shared" si="1"/>
        <v>2023</v>
      </c>
      <c r="L2496" s="1" t="str">
        <f t="shared" si="2"/>
        <v>Jun</v>
      </c>
      <c r="M2496" s="1" t="str">
        <f t="shared" si="3"/>
        <v>Profit</v>
      </c>
    </row>
    <row r="2497" ht="14.25" customHeight="1">
      <c r="A2497" s="1" t="s">
        <v>2531</v>
      </c>
      <c r="B2497" s="2">
        <v>44291.0</v>
      </c>
      <c r="C2497" s="1" t="s">
        <v>20</v>
      </c>
      <c r="D2497" s="1" t="s">
        <v>15</v>
      </c>
      <c r="E2497" s="1" t="s">
        <v>54</v>
      </c>
      <c r="F2497" s="1">
        <v>60.59</v>
      </c>
      <c r="G2497" s="1">
        <v>-66.64</v>
      </c>
      <c r="H2497" s="1">
        <v>8.0</v>
      </c>
      <c r="I2497" s="1" t="s">
        <v>23</v>
      </c>
      <c r="J2497" s="1" t="s">
        <v>24</v>
      </c>
      <c r="K2497" s="1">
        <f t="shared" si="1"/>
        <v>2021</v>
      </c>
      <c r="L2497" s="1" t="str">
        <f t="shared" si="2"/>
        <v>Apr</v>
      </c>
      <c r="M2497" s="1" t="str">
        <f t="shared" si="3"/>
        <v>Loss</v>
      </c>
    </row>
    <row r="2498" ht="14.25" customHeight="1">
      <c r="A2498" s="1" t="s">
        <v>2532</v>
      </c>
      <c r="B2498" s="2">
        <v>45024.0</v>
      </c>
      <c r="C2498" s="1" t="s">
        <v>30</v>
      </c>
      <c r="D2498" s="1" t="s">
        <v>21</v>
      </c>
      <c r="E2498" s="1" t="s">
        <v>76</v>
      </c>
      <c r="F2498" s="1">
        <v>304.31</v>
      </c>
      <c r="G2498" s="1">
        <v>-90.19</v>
      </c>
      <c r="H2498" s="1">
        <v>3.0</v>
      </c>
      <c r="I2498" s="1" t="s">
        <v>34</v>
      </c>
      <c r="J2498" s="1" t="s">
        <v>35</v>
      </c>
      <c r="K2498" s="1">
        <f t="shared" si="1"/>
        <v>2023</v>
      </c>
      <c r="L2498" s="1" t="str">
        <f t="shared" si="2"/>
        <v>Apr</v>
      </c>
      <c r="M2498" s="1" t="str">
        <f t="shared" si="3"/>
        <v>Loss</v>
      </c>
    </row>
    <row r="2499" ht="14.25" customHeight="1">
      <c r="A2499" s="1" t="s">
        <v>2533</v>
      </c>
      <c r="B2499" s="2">
        <v>44966.0</v>
      </c>
      <c r="C2499" s="1" t="s">
        <v>26</v>
      </c>
      <c r="D2499" s="1" t="s">
        <v>15</v>
      </c>
      <c r="E2499" s="1" t="s">
        <v>16</v>
      </c>
      <c r="F2499" s="1">
        <v>991.83</v>
      </c>
      <c r="G2499" s="1">
        <v>-90.46</v>
      </c>
      <c r="H2499" s="1">
        <v>8.0</v>
      </c>
      <c r="I2499" s="1" t="s">
        <v>23</v>
      </c>
      <c r="J2499" s="1" t="s">
        <v>24</v>
      </c>
      <c r="K2499" s="1">
        <f t="shared" si="1"/>
        <v>2023</v>
      </c>
      <c r="L2499" s="1" t="str">
        <f t="shared" si="2"/>
        <v>Feb</v>
      </c>
      <c r="M2499" s="1" t="str">
        <f t="shared" si="3"/>
        <v>Loss</v>
      </c>
    </row>
    <row r="2500" ht="14.25" customHeight="1">
      <c r="A2500" s="1" t="s">
        <v>2534</v>
      </c>
      <c r="B2500" s="2">
        <v>44742.0</v>
      </c>
      <c r="C2500" s="1" t="s">
        <v>30</v>
      </c>
      <c r="D2500" s="1" t="s">
        <v>15</v>
      </c>
      <c r="E2500" s="1" t="s">
        <v>31</v>
      </c>
      <c r="F2500" s="1">
        <v>845.2</v>
      </c>
      <c r="G2500" s="1">
        <v>173.85</v>
      </c>
      <c r="H2500" s="1">
        <v>3.0</v>
      </c>
      <c r="I2500" s="1" t="s">
        <v>23</v>
      </c>
      <c r="J2500" s="1" t="s">
        <v>38</v>
      </c>
      <c r="K2500" s="1">
        <f t="shared" si="1"/>
        <v>2022</v>
      </c>
      <c r="L2500" s="1" t="str">
        <f t="shared" si="2"/>
        <v>Jun</v>
      </c>
      <c r="M2500" s="1" t="str">
        <f t="shared" si="3"/>
        <v>Profit</v>
      </c>
    </row>
    <row r="2501" ht="14.25" customHeight="1">
      <c r="A2501" s="1" t="s">
        <v>2535</v>
      </c>
      <c r="B2501" s="2">
        <v>45254.0</v>
      </c>
      <c r="C2501" s="1" t="s">
        <v>26</v>
      </c>
      <c r="D2501" s="1" t="s">
        <v>27</v>
      </c>
      <c r="E2501" s="1" t="s">
        <v>40</v>
      </c>
      <c r="F2501" s="1">
        <v>578.95</v>
      </c>
      <c r="G2501" s="1">
        <v>84.45</v>
      </c>
      <c r="H2501" s="1">
        <v>4.0</v>
      </c>
      <c r="I2501" s="1" t="s">
        <v>34</v>
      </c>
      <c r="J2501" s="1" t="s">
        <v>35</v>
      </c>
      <c r="K2501" s="1">
        <f t="shared" si="1"/>
        <v>2023</v>
      </c>
      <c r="L2501" s="1" t="str">
        <f t="shared" si="2"/>
        <v>Nov</v>
      </c>
      <c r="M2501" s="1" t="str">
        <f t="shared" si="3"/>
        <v>Profit</v>
      </c>
    </row>
    <row r="2502" ht="14.25" customHeight="1">
      <c r="A2502" s="1" t="s">
        <v>2536</v>
      </c>
      <c r="B2502" s="2">
        <v>44862.0</v>
      </c>
      <c r="C2502" s="1" t="s">
        <v>30</v>
      </c>
      <c r="D2502" s="1" t="s">
        <v>21</v>
      </c>
      <c r="E2502" s="1" t="s">
        <v>37</v>
      </c>
      <c r="F2502" s="1">
        <v>240.53</v>
      </c>
      <c r="G2502" s="1">
        <v>285.78</v>
      </c>
      <c r="H2502" s="1">
        <v>4.0</v>
      </c>
      <c r="I2502" s="1" t="s">
        <v>34</v>
      </c>
      <c r="J2502" s="1" t="s">
        <v>24</v>
      </c>
      <c r="K2502" s="1">
        <f t="shared" si="1"/>
        <v>2022</v>
      </c>
      <c r="L2502" s="1" t="str">
        <f t="shared" si="2"/>
        <v>Oct</v>
      </c>
      <c r="M2502" s="1" t="str">
        <f t="shared" si="3"/>
        <v>Profit</v>
      </c>
    </row>
    <row r="2503" ht="14.25" customHeight="1">
      <c r="A2503" s="1" t="s">
        <v>2537</v>
      </c>
      <c r="B2503" s="2">
        <v>44316.0</v>
      </c>
      <c r="C2503" s="1" t="s">
        <v>26</v>
      </c>
      <c r="D2503" s="1" t="s">
        <v>21</v>
      </c>
      <c r="E2503" s="1" t="s">
        <v>37</v>
      </c>
      <c r="F2503" s="1">
        <v>148.39</v>
      </c>
      <c r="G2503" s="1">
        <v>199.56</v>
      </c>
      <c r="H2503" s="1">
        <v>8.0</v>
      </c>
      <c r="I2503" s="1" t="s">
        <v>23</v>
      </c>
      <c r="J2503" s="1" t="s">
        <v>38</v>
      </c>
      <c r="K2503" s="1">
        <f t="shared" si="1"/>
        <v>2021</v>
      </c>
      <c r="L2503" s="1" t="str">
        <f t="shared" si="2"/>
        <v>Apr</v>
      </c>
      <c r="M2503" s="1" t="str">
        <f t="shared" si="3"/>
        <v>Profit</v>
      </c>
    </row>
    <row r="2504" ht="14.25" customHeight="1">
      <c r="A2504" s="1" t="s">
        <v>2538</v>
      </c>
      <c r="B2504" s="2">
        <v>45002.0</v>
      </c>
      <c r="C2504" s="1" t="s">
        <v>14</v>
      </c>
      <c r="D2504" s="1" t="s">
        <v>15</v>
      </c>
      <c r="E2504" s="1" t="s">
        <v>31</v>
      </c>
      <c r="F2504" s="1">
        <v>989.29</v>
      </c>
      <c r="G2504" s="1">
        <v>201.09</v>
      </c>
      <c r="H2504" s="1">
        <v>8.0</v>
      </c>
      <c r="I2504" s="1" t="s">
        <v>34</v>
      </c>
      <c r="J2504" s="1" t="s">
        <v>38</v>
      </c>
      <c r="K2504" s="1">
        <f t="shared" si="1"/>
        <v>2023</v>
      </c>
      <c r="L2504" s="1" t="str">
        <f t="shared" si="2"/>
        <v>Mar</v>
      </c>
      <c r="M2504" s="1" t="str">
        <f t="shared" si="3"/>
        <v>Profit</v>
      </c>
    </row>
    <row r="2505" ht="14.25" customHeight="1">
      <c r="A2505" s="1" t="s">
        <v>2539</v>
      </c>
      <c r="B2505" s="2">
        <v>44313.0</v>
      </c>
      <c r="C2505" s="1" t="s">
        <v>26</v>
      </c>
      <c r="D2505" s="1" t="s">
        <v>21</v>
      </c>
      <c r="E2505" s="1" t="s">
        <v>37</v>
      </c>
      <c r="F2505" s="1">
        <v>157.46</v>
      </c>
      <c r="G2505" s="1">
        <v>180.05</v>
      </c>
      <c r="H2505" s="1">
        <v>6.0</v>
      </c>
      <c r="I2505" s="1" t="s">
        <v>34</v>
      </c>
      <c r="J2505" s="1" t="s">
        <v>38</v>
      </c>
      <c r="K2505" s="1">
        <f t="shared" si="1"/>
        <v>2021</v>
      </c>
      <c r="L2505" s="1" t="str">
        <f t="shared" si="2"/>
        <v>Apr</v>
      </c>
      <c r="M2505" s="1" t="str">
        <f t="shared" si="3"/>
        <v>Profit</v>
      </c>
    </row>
    <row r="2506" ht="14.25" customHeight="1">
      <c r="A2506" s="1" t="s">
        <v>2540</v>
      </c>
      <c r="B2506" s="2">
        <v>44356.0</v>
      </c>
      <c r="C2506" s="1" t="s">
        <v>30</v>
      </c>
      <c r="D2506" s="1" t="s">
        <v>27</v>
      </c>
      <c r="E2506" s="1" t="s">
        <v>28</v>
      </c>
      <c r="F2506" s="1">
        <v>430.49</v>
      </c>
      <c r="G2506" s="1">
        <v>72.3</v>
      </c>
      <c r="H2506" s="1">
        <v>1.0</v>
      </c>
      <c r="I2506" s="1" t="s">
        <v>23</v>
      </c>
      <c r="J2506" s="1" t="s">
        <v>18</v>
      </c>
      <c r="K2506" s="1">
        <f t="shared" si="1"/>
        <v>2021</v>
      </c>
      <c r="L2506" s="1" t="str">
        <f t="shared" si="2"/>
        <v>Jun</v>
      </c>
      <c r="M2506" s="1" t="str">
        <f t="shared" si="3"/>
        <v>Profit</v>
      </c>
    </row>
    <row r="2507" ht="14.25" customHeight="1">
      <c r="A2507" s="1" t="s">
        <v>2541</v>
      </c>
      <c r="B2507" s="2">
        <v>44318.0</v>
      </c>
      <c r="C2507" s="1" t="s">
        <v>14</v>
      </c>
      <c r="D2507" s="1" t="s">
        <v>21</v>
      </c>
      <c r="E2507" s="1" t="s">
        <v>76</v>
      </c>
      <c r="F2507" s="1">
        <v>449.65</v>
      </c>
      <c r="G2507" s="1">
        <v>142.51</v>
      </c>
      <c r="H2507" s="1">
        <v>1.0</v>
      </c>
      <c r="I2507" s="1" t="s">
        <v>23</v>
      </c>
      <c r="J2507" s="1" t="s">
        <v>35</v>
      </c>
      <c r="K2507" s="1">
        <f t="shared" si="1"/>
        <v>2021</v>
      </c>
      <c r="L2507" s="1" t="str">
        <f t="shared" si="2"/>
        <v>May</v>
      </c>
      <c r="M2507" s="1" t="str">
        <f t="shared" si="3"/>
        <v>Profit</v>
      </c>
    </row>
    <row r="2508" ht="14.25" customHeight="1">
      <c r="A2508" s="1" t="s">
        <v>2542</v>
      </c>
      <c r="B2508" s="2">
        <v>45086.0</v>
      </c>
      <c r="C2508" s="1" t="s">
        <v>20</v>
      </c>
      <c r="D2508" s="1" t="s">
        <v>15</v>
      </c>
      <c r="E2508" s="1" t="s">
        <v>54</v>
      </c>
      <c r="F2508" s="1">
        <v>526.42</v>
      </c>
      <c r="G2508" s="1">
        <v>-30.09</v>
      </c>
      <c r="H2508" s="1">
        <v>1.0</v>
      </c>
      <c r="I2508" s="1" t="s">
        <v>17</v>
      </c>
      <c r="J2508" s="1" t="s">
        <v>35</v>
      </c>
      <c r="K2508" s="1">
        <f t="shared" si="1"/>
        <v>2023</v>
      </c>
      <c r="L2508" s="1" t="str">
        <f t="shared" si="2"/>
        <v>Jun</v>
      </c>
      <c r="M2508" s="1" t="str">
        <f t="shared" si="3"/>
        <v>Loss</v>
      </c>
    </row>
    <row r="2509" ht="14.25" customHeight="1">
      <c r="A2509" s="1" t="s">
        <v>2543</v>
      </c>
      <c r="B2509" s="2">
        <v>44250.0</v>
      </c>
      <c r="C2509" s="1" t="s">
        <v>14</v>
      </c>
      <c r="D2509" s="1" t="s">
        <v>27</v>
      </c>
      <c r="E2509" s="1" t="s">
        <v>33</v>
      </c>
      <c r="F2509" s="1">
        <v>838.26</v>
      </c>
      <c r="G2509" s="1">
        <v>166.91</v>
      </c>
      <c r="H2509" s="1">
        <v>10.0</v>
      </c>
      <c r="I2509" s="1" t="s">
        <v>34</v>
      </c>
      <c r="J2509" s="1" t="s">
        <v>24</v>
      </c>
      <c r="K2509" s="1">
        <f t="shared" si="1"/>
        <v>2021</v>
      </c>
      <c r="L2509" s="1" t="str">
        <f t="shared" si="2"/>
        <v>Feb</v>
      </c>
      <c r="M2509" s="1" t="str">
        <f t="shared" si="3"/>
        <v>Profit</v>
      </c>
    </row>
    <row r="2510" ht="14.25" customHeight="1">
      <c r="A2510" s="1" t="s">
        <v>2544</v>
      </c>
      <c r="B2510" s="2">
        <v>44842.0</v>
      </c>
      <c r="C2510" s="1" t="s">
        <v>20</v>
      </c>
      <c r="D2510" s="1" t="s">
        <v>21</v>
      </c>
      <c r="E2510" s="1" t="s">
        <v>22</v>
      </c>
      <c r="F2510" s="1">
        <v>705.59</v>
      </c>
      <c r="G2510" s="1">
        <v>-147.31</v>
      </c>
      <c r="H2510" s="1">
        <v>2.0</v>
      </c>
      <c r="I2510" s="1" t="s">
        <v>17</v>
      </c>
      <c r="J2510" s="1" t="s">
        <v>18</v>
      </c>
      <c r="K2510" s="1">
        <f t="shared" si="1"/>
        <v>2022</v>
      </c>
      <c r="L2510" s="1" t="str">
        <f t="shared" si="2"/>
        <v>Oct</v>
      </c>
      <c r="M2510" s="1" t="str">
        <f t="shared" si="3"/>
        <v>Loss</v>
      </c>
    </row>
    <row r="2511" ht="14.25" customHeight="1">
      <c r="A2511" s="1" t="s">
        <v>2545</v>
      </c>
      <c r="B2511" s="2">
        <v>44427.0</v>
      </c>
      <c r="C2511" s="1" t="s">
        <v>20</v>
      </c>
      <c r="D2511" s="1" t="s">
        <v>21</v>
      </c>
      <c r="E2511" s="1" t="s">
        <v>37</v>
      </c>
      <c r="F2511" s="1">
        <v>26.81</v>
      </c>
      <c r="G2511" s="1">
        <v>-19.67</v>
      </c>
      <c r="H2511" s="1">
        <v>4.0</v>
      </c>
      <c r="I2511" s="1" t="s">
        <v>34</v>
      </c>
      <c r="J2511" s="1" t="s">
        <v>38</v>
      </c>
      <c r="K2511" s="1">
        <f t="shared" si="1"/>
        <v>2021</v>
      </c>
      <c r="L2511" s="1" t="str">
        <f t="shared" si="2"/>
        <v>Aug</v>
      </c>
      <c r="M2511" s="1" t="str">
        <f t="shared" si="3"/>
        <v>Loss</v>
      </c>
    </row>
    <row r="2512" ht="14.25" customHeight="1">
      <c r="A2512" s="1" t="s">
        <v>2546</v>
      </c>
      <c r="B2512" s="2">
        <v>44868.0</v>
      </c>
      <c r="C2512" s="1" t="s">
        <v>30</v>
      </c>
      <c r="D2512" s="1" t="s">
        <v>15</v>
      </c>
      <c r="E2512" s="1" t="s">
        <v>54</v>
      </c>
      <c r="F2512" s="1">
        <v>852.2</v>
      </c>
      <c r="G2512" s="1">
        <v>-109.77</v>
      </c>
      <c r="H2512" s="1">
        <v>1.0</v>
      </c>
      <c r="I2512" s="1" t="s">
        <v>23</v>
      </c>
      <c r="J2512" s="1" t="s">
        <v>38</v>
      </c>
      <c r="K2512" s="1">
        <f t="shared" si="1"/>
        <v>2022</v>
      </c>
      <c r="L2512" s="1" t="str">
        <f t="shared" si="2"/>
        <v>Nov</v>
      </c>
      <c r="M2512" s="1" t="str">
        <f t="shared" si="3"/>
        <v>Loss</v>
      </c>
    </row>
    <row r="2513" ht="14.25" customHeight="1">
      <c r="A2513" s="1" t="s">
        <v>2547</v>
      </c>
      <c r="B2513" s="2">
        <v>44470.0</v>
      </c>
      <c r="C2513" s="1" t="s">
        <v>14</v>
      </c>
      <c r="D2513" s="1" t="s">
        <v>27</v>
      </c>
      <c r="E2513" s="1" t="s">
        <v>40</v>
      </c>
      <c r="F2513" s="1">
        <v>878.28</v>
      </c>
      <c r="G2513" s="1">
        <v>51.25</v>
      </c>
      <c r="H2513" s="1">
        <v>8.0</v>
      </c>
      <c r="I2513" s="1" t="s">
        <v>17</v>
      </c>
      <c r="J2513" s="1" t="s">
        <v>18</v>
      </c>
      <c r="K2513" s="1">
        <f t="shared" si="1"/>
        <v>2021</v>
      </c>
      <c r="L2513" s="1" t="str">
        <f t="shared" si="2"/>
        <v>Oct</v>
      </c>
      <c r="M2513" s="1" t="str">
        <f t="shared" si="3"/>
        <v>Profit</v>
      </c>
    </row>
    <row r="2514" ht="14.25" customHeight="1">
      <c r="A2514" s="1" t="s">
        <v>2548</v>
      </c>
      <c r="B2514" s="2">
        <v>44617.0</v>
      </c>
      <c r="C2514" s="1" t="s">
        <v>14</v>
      </c>
      <c r="D2514" s="1" t="s">
        <v>15</v>
      </c>
      <c r="E2514" s="1" t="s">
        <v>31</v>
      </c>
      <c r="F2514" s="1">
        <v>795.16</v>
      </c>
      <c r="G2514" s="1">
        <v>-110.78</v>
      </c>
      <c r="H2514" s="1">
        <v>6.0</v>
      </c>
      <c r="I2514" s="1" t="s">
        <v>34</v>
      </c>
      <c r="J2514" s="1" t="s">
        <v>18</v>
      </c>
      <c r="K2514" s="1">
        <f t="shared" si="1"/>
        <v>2022</v>
      </c>
      <c r="L2514" s="1" t="str">
        <f t="shared" si="2"/>
        <v>Feb</v>
      </c>
      <c r="M2514" s="1" t="str">
        <f t="shared" si="3"/>
        <v>Loss</v>
      </c>
    </row>
    <row r="2515" ht="14.25" customHeight="1">
      <c r="A2515" s="1" t="s">
        <v>2549</v>
      </c>
      <c r="B2515" s="2">
        <v>44909.0</v>
      </c>
      <c r="C2515" s="1" t="s">
        <v>20</v>
      </c>
      <c r="D2515" s="1" t="s">
        <v>21</v>
      </c>
      <c r="E2515" s="1" t="s">
        <v>37</v>
      </c>
      <c r="F2515" s="1">
        <v>598.64</v>
      </c>
      <c r="G2515" s="1">
        <v>-136.13</v>
      </c>
      <c r="H2515" s="1">
        <v>1.0</v>
      </c>
      <c r="I2515" s="1" t="s">
        <v>23</v>
      </c>
      <c r="J2515" s="1" t="s">
        <v>38</v>
      </c>
      <c r="K2515" s="1">
        <f t="shared" si="1"/>
        <v>2022</v>
      </c>
      <c r="L2515" s="1" t="str">
        <f t="shared" si="2"/>
        <v>Dec</v>
      </c>
      <c r="M2515" s="1" t="str">
        <f t="shared" si="3"/>
        <v>Loss</v>
      </c>
    </row>
    <row r="2516" ht="14.25" customHeight="1">
      <c r="A2516" s="1" t="s">
        <v>2550</v>
      </c>
      <c r="B2516" s="2">
        <v>45236.0</v>
      </c>
      <c r="C2516" s="1" t="s">
        <v>26</v>
      </c>
      <c r="D2516" s="1" t="s">
        <v>21</v>
      </c>
      <c r="E2516" s="1" t="s">
        <v>76</v>
      </c>
      <c r="F2516" s="1">
        <v>130.02</v>
      </c>
      <c r="G2516" s="1">
        <v>-115.65</v>
      </c>
      <c r="H2516" s="1">
        <v>4.0</v>
      </c>
      <c r="I2516" s="1" t="s">
        <v>34</v>
      </c>
      <c r="J2516" s="1" t="s">
        <v>38</v>
      </c>
      <c r="K2516" s="1">
        <f t="shared" si="1"/>
        <v>2023</v>
      </c>
      <c r="L2516" s="1" t="str">
        <f t="shared" si="2"/>
        <v>Nov</v>
      </c>
      <c r="M2516" s="1" t="str">
        <f t="shared" si="3"/>
        <v>Loss</v>
      </c>
    </row>
    <row r="2517" ht="14.25" customHeight="1">
      <c r="A2517" s="1" t="s">
        <v>2551</v>
      </c>
      <c r="B2517" s="2">
        <v>44809.0</v>
      </c>
      <c r="C2517" s="1" t="s">
        <v>14</v>
      </c>
      <c r="D2517" s="1" t="s">
        <v>21</v>
      </c>
      <c r="E2517" s="1" t="s">
        <v>22</v>
      </c>
      <c r="F2517" s="1">
        <v>741.02</v>
      </c>
      <c r="G2517" s="1">
        <v>-15.56</v>
      </c>
      <c r="H2517" s="1">
        <v>4.0</v>
      </c>
      <c r="I2517" s="1" t="s">
        <v>23</v>
      </c>
      <c r="J2517" s="1" t="s">
        <v>24</v>
      </c>
      <c r="K2517" s="1">
        <f t="shared" si="1"/>
        <v>2022</v>
      </c>
      <c r="L2517" s="1" t="str">
        <f t="shared" si="2"/>
        <v>Sep</v>
      </c>
      <c r="M2517" s="1" t="str">
        <f t="shared" si="3"/>
        <v>Loss</v>
      </c>
    </row>
    <row r="2518" ht="14.25" customHeight="1">
      <c r="A2518" s="1" t="s">
        <v>2552</v>
      </c>
      <c r="B2518" s="2">
        <v>45163.0</v>
      </c>
      <c r="C2518" s="1" t="s">
        <v>20</v>
      </c>
      <c r="D2518" s="1" t="s">
        <v>27</v>
      </c>
      <c r="E2518" s="1" t="s">
        <v>40</v>
      </c>
      <c r="F2518" s="1">
        <v>748.68</v>
      </c>
      <c r="G2518" s="1">
        <v>-140.52</v>
      </c>
      <c r="H2518" s="1">
        <v>7.0</v>
      </c>
      <c r="I2518" s="1" t="s">
        <v>17</v>
      </c>
      <c r="J2518" s="1" t="s">
        <v>35</v>
      </c>
      <c r="K2518" s="1">
        <f t="shared" si="1"/>
        <v>2023</v>
      </c>
      <c r="L2518" s="1" t="str">
        <f t="shared" si="2"/>
        <v>Aug</v>
      </c>
      <c r="M2518" s="1" t="str">
        <f t="shared" si="3"/>
        <v>Loss</v>
      </c>
    </row>
    <row r="2519" ht="14.25" customHeight="1">
      <c r="A2519" s="1" t="s">
        <v>2553</v>
      </c>
      <c r="B2519" s="2">
        <v>44203.0</v>
      </c>
      <c r="C2519" s="1" t="s">
        <v>14</v>
      </c>
      <c r="D2519" s="1" t="s">
        <v>15</v>
      </c>
      <c r="E2519" s="1" t="s">
        <v>54</v>
      </c>
      <c r="F2519" s="1">
        <v>900.03</v>
      </c>
      <c r="G2519" s="1">
        <v>20.55</v>
      </c>
      <c r="H2519" s="1">
        <v>3.0</v>
      </c>
      <c r="I2519" s="1" t="s">
        <v>17</v>
      </c>
      <c r="J2519" s="1" t="s">
        <v>38</v>
      </c>
      <c r="K2519" s="1">
        <f t="shared" si="1"/>
        <v>2021</v>
      </c>
      <c r="L2519" s="1" t="str">
        <f t="shared" si="2"/>
        <v>Jan</v>
      </c>
      <c r="M2519" s="1" t="str">
        <f t="shared" si="3"/>
        <v>Profit</v>
      </c>
    </row>
    <row r="2520" ht="14.25" customHeight="1">
      <c r="A2520" s="1" t="s">
        <v>2554</v>
      </c>
      <c r="B2520" s="2">
        <v>44297.0</v>
      </c>
      <c r="C2520" s="1" t="s">
        <v>30</v>
      </c>
      <c r="D2520" s="1" t="s">
        <v>15</v>
      </c>
      <c r="E2520" s="1" t="s">
        <v>31</v>
      </c>
      <c r="F2520" s="1">
        <v>558.94</v>
      </c>
      <c r="G2520" s="1">
        <v>5.96</v>
      </c>
      <c r="H2520" s="1">
        <v>9.0</v>
      </c>
      <c r="I2520" s="1" t="s">
        <v>34</v>
      </c>
      <c r="J2520" s="1" t="s">
        <v>38</v>
      </c>
      <c r="K2520" s="1">
        <f t="shared" si="1"/>
        <v>2021</v>
      </c>
      <c r="L2520" s="1" t="str">
        <f t="shared" si="2"/>
        <v>Apr</v>
      </c>
      <c r="M2520" s="1" t="str">
        <f t="shared" si="3"/>
        <v>Profit</v>
      </c>
    </row>
    <row r="2521" ht="14.25" customHeight="1">
      <c r="A2521" s="1" t="s">
        <v>2555</v>
      </c>
      <c r="B2521" s="2">
        <v>44877.0</v>
      </c>
      <c r="C2521" s="1" t="s">
        <v>20</v>
      </c>
      <c r="D2521" s="1" t="s">
        <v>27</v>
      </c>
      <c r="E2521" s="1" t="s">
        <v>40</v>
      </c>
      <c r="F2521" s="1">
        <v>586.07</v>
      </c>
      <c r="G2521" s="1">
        <v>-42.59</v>
      </c>
      <c r="H2521" s="1">
        <v>2.0</v>
      </c>
      <c r="I2521" s="1" t="s">
        <v>23</v>
      </c>
      <c r="J2521" s="1" t="s">
        <v>18</v>
      </c>
      <c r="K2521" s="1">
        <f t="shared" si="1"/>
        <v>2022</v>
      </c>
      <c r="L2521" s="1" t="str">
        <f t="shared" si="2"/>
        <v>Nov</v>
      </c>
      <c r="M2521" s="1" t="str">
        <f t="shared" si="3"/>
        <v>Loss</v>
      </c>
    </row>
    <row r="2522" ht="14.25" customHeight="1">
      <c r="A2522" s="1" t="s">
        <v>2556</v>
      </c>
      <c r="B2522" s="2">
        <v>44826.0</v>
      </c>
      <c r="C2522" s="1" t="s">
        <v>26</v>
      </c>
      <c r="D2522" s="1" t="s">
        <v>21</v>
      </c>
      <c r="E2522" s="1" t="s">
        <v>22</v>
      </c>
      <c r="F2522" s="1">
        <v>916.47</v>
      </c>
      <c r="G2522" s="1">
        <v>109.3</v>
      </c>
      <c r="H2522" s="1">
        <v>10.0</v>
      </c>
      <c r="I2522" s="1" t="s">
        <v>34</v>
      </c>
      <c r="J2522" s="1" t="s">
        <v>35</v>
      </c>
      <c r="K2522" s="1">
        <f t="shared" si="1"/>
        <v>2022</v>
      </c>
      <c r="L2522" s="1" t="str">
        <f t="shared" si="2"/>
        <v>Sep</v>
      </c>
      <c r="M2522" s="1" t="str">
        <f t="shared" si="3"/>
        <v>Profit</v>
      </c>
    </row>
    <row r="2523" ht="14.25" customHeight="1">
      <c r="A2523" s="1" t="s">
        <v>2557</v>
      </c>
      <c r="B2523" s="2">
        <v>45288.0</v>
      </c>
      <c r="C2523" s="1" t="s">
        <v>30</v>
      </c>
      <c r="D2523" s="1" t="s">
        <v>27</v>
      </c>
      <c r="E2523" s="1" t="s">
        <v>40</v>
      </c>
      <c r="F2523" s="1">
        <v>259.07</v>
      </c>
      <c r="G2523" s="1">
        <v>-42.61</v>
      </c>
      <c r="H2523" s="1">
        <v>2.0</v>
      </c>
      <c r="I2523" s="1" t="s">
        <v>34</v>
      </c>
      <c r="J2523" s="1" t="s">
        <v>38</v>
      </c>
      <c r="K2523" s="1">
        <f t="shared" si="1"/>
        <v>2023</v>
      </c>
      <c r="L2523" s="1" t="str">
        <f t="shared" si="2"/>
        <v>Dec</v>
      </c>
      <c r="M2523" s="1" t="str">
        <f t="shared" si="3"/>
        <v>Loss</v>
      </c>
    </row>
    <row r="2524" ht="14.25" customHeight="1">
      <c r="A2524" s="1" t="s">
        <v>2558</v>
      </c>
      <c r="B2524" s="2">
        <v>44444.0</v>
      </c>
      <c r="C2524" s="1" t="s">
        <v>20</v>
      </c>
      <c r="D2524" s="1" t="s">
        <v>21</v>
      </c>
      <c r="E2524" s="1" t="s">
        <v>37</v>
      </c>
      <c r="F2524" s="1">
        <v>650.19</v>
      </c>
      <c r="G2524" s="1">
        <v>-91.63</v>
      </c>
      <c r="H2524" s="1">
        <v>1.0</v>
      </c>
      <c r="I2524" s="1" t="s">
        <v>23</v>
      </c>
      <c r="J2524" s="1" t="s">
        <v>24</v>
      </c>
      <c r="K2524" s="1">
        <f t="shared" si="1"/>
        <v>2021</v>
      </c>
      <c r="L2524" s="1" t="str">
        <f t="shared" si="2"/>
        <v>Sep</v>
      </c>
      <c r="M2524" s="1" t="str">
        <f t="shared" si="3"/>
        <v>Loss</v>
      </c>
    </row>
    <row r="2525" ht="14.25" customHeight="1">
      <c r="A2525" s="1" t="s">
        <v>2559</v>
      </c>
      <c r="B2525" s="2">
        <v>44452.0</v>
      </c>
      <c r="C2525" s="1" t="s">
        <v>26</v>
      </c>
      <c r="D2525" s="1" t="s">
        <v>15</v>
      </c>
      <c r="E2525" s="1" t="s">
        <v>31</v>
      </c>
      <c r="F2525" s="1">
        <v>677.15</v>
      </c>
      <c r="G2525" s="1">
        <v>168.69</v>
      </c>
      <c r="H2525" s="1">
        <v>2.0</v>
      </c>
      <c r="I2525" s="1" t="s">
        <v>34</v>
      </c>
      <c r="J2525" s="1" t="s">
        <v>24</v>
      </c>
      <c r="K2525" s="1">
        <f t="shared" si="1"/>
        <v>2021</v>
      </c>
      <c r="L2525" s="1" t="str">
        <f t="shared" si="2"/>
        <v>Sep</v>
      </c>
      <c r="M2525" s="1" t="str">
        <f t="shared" si="3"/>
        <v>Profit</v>
      </c>
    </row>
    <row r="2526" ht="14.25" customHeight="1">
      <c r="A2526" s="1" t="s">
        <v>2560</v>
      </c>
      <c r="B2526" s="2">
        <v>44622.0</v>
      </c>
      <c r="C2526" s="1" t="s">
        <v>26</v>
      </c>
      <c r="D2526" s="1" t="s">
        <v>27</v>
      </c>
      <c r="E2526" s="1" t="s">
        <v>40</v>
      </c>
      <c r="F2526" s="1">
        <v>837.45</v>
      </c>
      <c r="G2526" s="1">
        <v>-50.91</v>
      </c>
      <c r="H2526" s="1">
        <v>9.0</v>
      </c>
      <c r="I2526" s="1" t="s">
        <v>23</v>
      </c>
      <c r="J2526" s="1" t="s">
        <v>35</v>
      </c>
      <c r="K2526" s="1">
        <f t="shared" si="1"/>
        <v>2022</v>
      </c>
      <c r="L2526" s="1" t="str">
        <f t="shared" si="2"/>
        <v>Mar</v>
      </c>
      <c r="M2526" s="1" t="str">
        <f t="shared" si="3"/>
        <v>Loss</v>
      </c>
    </row>
    <row r="2527" ht="14.25" customHeight="1">
      <c r="A2527" s="1" t="s">
        <v>2561</v>
      </c>
      <c r="B2527" s="2">
        <v>44405.0</v>
      </c>
      <c r="C2527" s="1" t="s">
        <v>20</v>
      </c>
      <c r="D2527" s="1" t="s">
        <v>27</v>
      </c>
      <c r="E2527" s="1" t="s">
        <v>33</v>
      </c>
      <c r="F2527" s="1">
        <v>729.86</v>
      </c>
      <c r="G2527" s="1">
        <v>151.25</v>
      </c>
      <c r="H2527" s="1">
        <v>8.0</v>
      </c>
      <c r="I2527" s="1" t="s">
        <v>17</v>
      </c>
      <c r="J2527" s="1" t="s">
        <v>35</v>
      </c>
      <c r="K2527" s="1">
        <f t="shared" si="1"/>
        <v>2021</v>
      </c>
      <c r="L2527" s="1" t="str">
        <f t="shared" si="2"/>
        <v>Jul</v>
      </c>
      <c r="M2527" s="1" t="str">
        <f t="shared" si="3"/>
        <v>Profit</v>
      </c>
    </row>
    <row r="2528" ht="14.25" customHeight="1">
      <c r="A2528" s="1" t="s">
        <v>2562</v>
      </c>
      <c r="B2528" s="2">
        <v>44482.0</v>
      </c>
      <c r="C2528" s="1" t="s">
        <v>30</v>
      </c>
      <c r="D2528" s="1" t="s">
        <v>27</v>
      </c>
      <c r="E2528" s="1" t="s">
        <v>33</v>
      </c>
      <c r="F2528" s="1">
        <v>716.27</v>
      </c>
      <c r="G2528" s="1">
        <v>-48.85</v>
      </c>
      <c r="H2528" s="1">
        <v>5.0</v>
      </c>
      <c r="I2528" s="1" t="s">
        <v>34</v>
      </c>
      <c r="J2528" s="1" t="s">
        <v>35</v>
      </c>
      <c r="K2528" s="1">
        <f t="shared" si="1"/>
        <v>2021</v>
      </c>
      <c r="L2528" s="1" t="str">
        <f t="shared" si="2"/>
        <v>Oct</v>
      </c>
      <c r="M2528" s="1" t="str">
        <f t="shared" si="3"/>
        <v>Loss</v>
      </c>
    </row>
    <row r="2529" ht="14.25" customHeight="1">
      <c r="A2529" s="1" t="s">
        <v>2563</v>
      </c>
      <c r="B2529" s="2">
        <v>44391.0</v>
      </c>
      <c r="C2529" s="1" t="s">
        <v>20</v>
      </c>
      <c r="D2529" s="1" t="s">
        <v>21</v>
      </c>
      <c r="E2529" s="1" t="s">
        <v>37</v>
      </c>
      <c r="F2529" s="1">
        <v>992.08</v>
      </c>
      <c r="G2529" s="1">
        <v>130.12</v>
      </c>
      <c r="H2529" s="1">
        <v>3.0</v>
      </c>
      <c r="I2529" s="1" t="s">
        <v>23</v>
      </c>
      <c r="J2529" s="1" t="s">
        <v>18</v>
      </c>
      <c r="K2529" s="1">
        <f t="shared" si="1"/>
        <v>2021</v>
      </c>
      <c r="L2529" s="1" t="str">
        <f t="shared" si="2"/>
        <v>Jul</v>
      </c>
      <c r="M2529" s="1" t="str">
        <f t="shared" si="3"/>
        <v>Profit</v>
      </c>
    </row>
    <row r="2530" ht="14.25" customHeight="1">
      <c r="A2530" s="1" t="s">
        <v>2564</v>
      </c>
      <c r="B2530" s="2">
        <v>45279.0</v>
      </c>
      <c r="C2530" s="1" t="s">
        <v>20</v>
      </c>
      <c r="D2530" s="1" t="s">
        <v>21</v>
      </c>
      <c r="E2530" s="1" t="s">
        <v>76</v>
      </c>
      <c r="F2530" s="1">
        <v>644.27</v>
      </c>
      <c r="G2530" s="1">
        <v>-106.8</v>
      </c>
      <c r="H2530" s="1">
        <v>3.0</v>
      </c>
      <c r="I2530" s="1" t="s">
        <v>34</v>
      </c>
      <c r="J2530" s="1" t="s">
        <v>38</v>
      </c>
      <c r="K2530" s="1">
        <f t="shared" si="1"/>
        <v>2023</v>
      </c>
      <c r="L2530" s="1" t="str">
        <f t="shared" si="2"/>
        <v>Dec</v>
      </c>
      <c r="M2530" s="1" t="str">
        <f t="shared" si="3"/>
        <v>Loss</v>
      </c>
    </row>
    <row r="2531" ht="14.25" customHeight="1">
      <c r="A2531" s="1" t="s">
        <v>2565</v>
      </c>
      <c r="B2531" s="2">
        <v>44525.0</v>
      </c>
      <c r="C2531" s="1" t="s">
        <v>26</v>
      </c>
      <c r="D2531" s="1" t="s">
        <v>27</v>
      </c>
      <c r="E2531" s="1" t="s">
        <v>28</v>
      </c>
      <c r="F2531" s="1">
        <v>403.38</v>
      </c>
      <c r="G2531" s="1">
        <v>-138.18</v>
      </c>
      <c r="H2531" s="1">
        <v>6.0</v>
      </c>
      <c r="I2531" s="1" t="s">
        <v>23</v>
      </c>
      <c r="J2531" s="1" t="s">
        <v>24</v>
      </c>
      <c r="K2531" s="1">
        <f t="shared" si="1"/>
        <v>2021</v>
      </c>
      <c r="L2531" s="1" t="str">
        <f t="shared" si="2"/>
        <v>Nov</v>
      </c>
      <c r="M2531" s="1" t="str">
        <f t="shared" si="3"/>
        <v>Loss</v>
      </c>
    </row>
    <row r="2532" ht="14.25" customHeight="1">
      <c r="A2532" s="1" t="s">
        <v>2566</v>
      </c>
      <c r="B2532" s="2">
        <v>44759.0</v>
      </c>
      <c r="C2532" s="1" t="s">
        <v>30</v>
      </c>
      <c r="D2532" s="1" t="s">
        <v>15</v>
      </c>
      <c r="E2532" s="1" t="s">
        <v>54</v>
      </c>
      <c r="F2532" s="1">
        <v>206.81</v>
      </c>
      <c r="G2532" s="1">
        <v>87.09</v>
      </c>
      <c r="H2532" s="1">
        <v>6.0</v>
      </c>
      <c r="I2532" s="1" t="s">
        <v>17</v>
      </c>
      <c r="J2532" s="1" t="s">
        <v>24</v>
      </c>
      <c r="K2532" s="1">
        <f t="shared" si="1"/>
        <v>2022</v>
      </c>
      <c r="L2532" s="1" t="str">
        <f t="shared" si="2"/>
        <v>Jul</v>
      </c>
      <c r="M2532" s="1" t="str">
        <f t="shared" si="3"/>
        <v>Profit</v>
      </c>
    </row>
    <row r="2533" ht="14.25" customHeight="1">
      <c r="A2533" s="1" t="s">
        <v>2567</v>
      </c>
      <c r="B2533" s="2">
        <v>44348.0</v>
      </c>
      <c r="C2533" s="1" t="s">
        <v>30</v>
      </c>
      <c r="D2533" s="1" t="s">
        <v>21</v>
      </c>
      <c r="E2533" s="1" t="s">
        <v>76</v>
      </c>
      <c r="F2533" s="1">
        <v>590.72</v>
      </c>
      <c r="G2533" s="1">
        <v>125.77</v>
      </c>
      <c r="H2533" s="1">
        <v>3.0</v>
      </c>
      <c r="I2533" s="1" t="s">
        <v>23</v>
      </c>
      <c r="J2533" s="1" t="s">
        <v>38</v>
      </c>
      <c r="K2533" s="1">
        <f t="shared" si="1"/>
        <v>2021</v>
      </c>
      <c r="L2533" s="1" t="str">
        <f t="shared" si="2"/>
        <v>Jun</v>
      </c>
      <c r="M2533" s="1" t="str">
        <f t="shared" si="3"/>
        <v>Profit</v>
      </c>
    </row>
    <row r="2534" ht="14.25" customHeight="1">
      <c r="A2534" s="1" t="s">
        <v>2568</v>
      </c>
      <c r="B2534" s="2">
        <v>44569.0</v>
      </c>
      <c r="C2534" s="1" t="s">
        <v>20</v>
      </c>
      <c r="D2534" s="1" t="s">
        <v>21</v>
      </c>
      <c r="E2534" s="1" t="s">
        <v>76</v>
      </c>
      <c r="F2534" s="1">
        <v>839.97</v>
      </c>
      <c r="G2534" s="1">
        <v>133.98</v>
      </c>
      <c r="H2534" s="1">
        <v>5.0</v>
      </c>
      <c r="I2534" s="1" t="s">
        <v>34</v>
      </c>
      <c r="J2534" s="1" t="s">
        <v>18</v>
      </c>
      <c r="K2534" s="1">
        <f t="shared" si="1"/>
        <v>2022</v>
      </c>
      <c r="L2534" s="1" t="str">
        <f t="shared" si="2"/>
        <v>Jan</v>
      </c>
      <c r="M2534" s="1" t="str">
        <f t="shared" si="3"/>
        <v>Profit</v>
      </c>
    </row>
    <row r="2535" ht="14.25" customHeight="1">
      <c r="A2535" s="1" t="s">
        <v>2569</v>
      </c>
      <c r="B2535" s="2">
        <v>44331.0</v>
      </c>
      <c r="C2535" s="1" t="s">
        <v>30</v>
      </c>
      <c r="D2535" s="1" t="s">
        <v>15</v>
      </c>
      <c r="E2535" s="1" t="s">
        <v>54</v>
      </c>
      <c r="F2535" s="1">
        <v>127.86</v>
      </c>
      <c r="G2535" s="1">
        <v>246.18</v>
      </c>
      <c r="H2535" s="1">
        <v>8.0</v>
      </c>
      <c r="I2535" s="1" t="s">
        <v>23</v>
      </c>
      <c r="J2535" s="1" t="s">
        <v>18</v>
      </c>
      <c r="K2535" s="1">
        <f t="shared" si="1"/>
        <v>2021</v>
      </c>
      <c r="L2535" s="1" t="str">
        <f t="shared" si="2"/>
        <v>May</v>
      </c>
      <c r="M2535" s="1" t="str">
        <f t="shared" si="3"/>
        <v>Profit</v>
      </c>
    </row>
    <row r="2536" ht="14.25" customHeight="1">
      <c r="A2536" s="1" t="s">
        <v>2570</v>
      </c>
      <c r="B2536" s="2">
        <v>44722.0</v>
      </c>
      <c r="C2536" s="1" t="s">
        <v>20</v>
      </c>
      <c r="D2536" s="1" t="s">
        <v>27</v>
      </c>
      <c r="E2536" s="1" t="s">
        <v>28</v>
      </c>
      <c r="F2536" s="1">
        <v>527.43</v>
      </c>
      <c r="G2536" s="1">
        <v>95.73</v>
      </c>
      <c r="H2536" s="1">
        <v>3.0</v>
      </c>
      <c r="I2536" s="1" t="s">
        <v>23</v>
      </c>
      <c r="J2536" s="1" t="s">
        <v>18</v>
      </c>
      <c r="K2536" s="1">
        <f t="shared" si="1"/>
        <v>2022</v>
      </c>
      <c r="L2536" s="1" t="str">
        <f t="shared" si="2"/>
        <v>Jun</v>
      </c>
      <c r="M2536" s="1" t="str">
        <f t="shared" si="3"/>
        <v>Profit</v>
      </c>
    </row>
    <row r="2537" ht="14.25" customHeight="1">
      <c r="A2537" s="1" t="s">
        <v>2571</v>
      </c>
      <c r="B2537" s="2">
        <v>44592.0</v>
      </c>
      <c r="C2537" s="1" t="s">
        <v>30</v>
      </c>
      <c r="D2537" s="1" t="s">
        <v>21</v>
      </c>
      <c r="E2537" s="1" t="s">
        <v>37</v>
      </c>
      <c r="F2537" s="1">
        <v>896.26</v>
      </c>
      <c r="G2537" s="1">
        <v>53.9</v>
      </c>
      <c r="H2537" s="1">
        <v>9.0</v>
      </c>
      <c r="I2537" s="1" t="s">
        <v>23</v>
      </c>
      <c r="J2537" s="1" t="s">
        <v>38</v>
      </c>
      <c r="K2537" s="1">
        <f t="shared" si="1"/>
        <v>2022</v>
      </c>
      <c r="L2537" s="1" t="str">
        <f t="shared" si="2"/>
        <v>Jan</v>
      </c>
      <c r="M2537" s="1" t="str">
        <f t="shared" si="3"/>
        <v>Profit</v>
      </c>
    </row>
    <row r="2538" ht="14.25" customHeight="1">
      <c r="A2538" s="1" t="s">
        <v>2572</v>
      </c>
      <c r="B2538" s="2">
        <v>44730.0</v>
      </c>
      <c r="C2538" s="1" t="s">
        <v>26</v>
      </c>
      <c r="D2538" s="1" t="s">
        <v>21</v>
      </c>
      <c r="E2538" s="1" t="s">
        <v>37</v>
      </c>
      <c r="F2538" s="1">
        <v>384.2</v>
      </c>
      <c r="G2538" s="1">
        <v>88.35</v>
      </c>
      <c r="H2538" s="1">
        <v>7.0</v>
      </c>
      <c r="I2538" s="1" t="s">
        <v>17</v>
      </c>
      <c r="J2538" s="1" t="s">
        <v>35</v>
      </c>
      <c r="K2538" s="1">
        <f t="shared" si="1"/>
        <v>2022</v>
      </c>
      <c r="L2538" s="1" t="str">
        <f t="shared" si="2"/>
        <v>Jun</v>
      </c>
      <c r="M2538" s="1" t="str">
        <f t="shared" si="3"/>
        <v>Profit</v>
      </c>
    </row>
    <row r="2539" ht="14.25" customHeight="1">
      <c r="A2539" s="1" t="s">
        <v>2573</v>
      </c>
      <c r="B2539" s="2">
        <v>44425.0</v>
      </c>
      <c r="C2539" s="1" t="s">
        <v>30</v>
      </c>
      <c r="D2539" s="1" t="s">
        <v>27</v>
      </c>
      <c r="E2539" s="1" t="s">
        <v>33</v>
      </c>
      <c r="F2539" s="1">
        <v>131.78</v>
      </c>
      <c r="G2539" s="1">
        <v>11.35</v>
      </c>
      <c r="H2539" s="1">
        <v>5.0</v>
      </c>
      <c r="I2539" s="1" t="s">
        <v>23</v>
      </c>
      <c r="J2539" s="1" t="s">
        <v>38</v>
      </c>
      <c r="K2539" s="1">
        <f t="shared" si="1"/>
        <v>2021</v>
      </c>
      <c r="L2539" s="1" t="str">
        <f t="shared" si="2"/>
        <v>Aug</v>
      </c>
      <c r="M2539" s="1" t="str">
        <f t="shared" si="3"/>
        <v>Profit</v>
      </c>
    </row>
    <row r="2540" ht="14.25" customHeight="1">
      <c r="A2540" s="1" t="s">
        <v>2574</v>
      </c>
      <c r="B2540" s="2">
        <v>44538.0</v>
      </c>
      <c r="C2540" s="1" t="s">
        <v>20</v>
      </c>
      <c r="D2540" s="1" t="s">
        <v>21</v>
      </c>
      <c r="E2540" s="1" t="s">
        <v>37</v>
      </c>
      <c r="F2540" s="1">
        <v>685.54</v>
      </c>
      <c r="G2540" s="1">
        <v>-112.85</v>
      </c>
      <c r="H2540" s="1">
        <v>5.0</v>
      </c>
      <c r="I2540" s="1" t="s">
        <v>34</v>
      </c>
      <c r="J2540" s="1" t="s">
        <v>24</v>
      </c>
      <c r="K2540" s="1">
        <f t="shared" si="1"/>
        <v>2021</v>
      </c>
      <c r="L2540" s="1" t="str">
        <f t="shared" si="2"/>
        <v>Dec</v>
      </c>
      <c r="M2540" s="1" t="str">
        <f t="shared" si="3"/>
        <v>Loss</v>
      </c>
    </row>
    <row r="2541" ht="14.25" customHeight="1">
      <c r="A2541" s="1" t="s">
        <v>2575</v>
      </c>
      <c r="B2541" s="2">
        <v>44537.0</v>
      </c>
      <c r="C2541" s="1" t="s">
        <v>14</v>
      </c>
      <c r="D2541" s="1" t="s">
        <v>21</v>
      </c>
      <c r="E2541" s="1" t="s">
        <v>37</v>
      </c>
      <c r="F2541" s="1">
        <v>712.71</v>
      </c>
      <c r="G2541" s="1">
        <v>83.77</v>
      </c>
      <c r="H2541" s="1">
        <v>5.0</v>
      </c>
      <c r="I2541" s="1" t="s">
        <v>17</v>
      </c>
      <c r="J2541" s="1" t="s">
        <v>35</v>
      </c>
      <c r="K2541" s="1">
        <f t="shared" si="1"/>
        <v>2021</v>
      </c>
      <c r="L2541" s="1" t="str">
        <f t="shared" si="2"/>
        <v>Dec</v>
      </c>
      <c r="M2541" s="1" t="str">
        <f t="shared" si="3"/>
        <v>Profit</v>
      </c>
    </row>
    <row r="2542" ht="14.25" customHeight="1">
      <c r="A2542" s="1" t="s">
        <v>2576</v>
      </c>
      <c r="B2542" s="2">
        <v>44874.0</v>
      </c>
      <c r="C2542" s="1" t="s">
        <v>14</v>
      </c>
      <c r="D2542" s="1" t="s">
        <v>21</v>
      </c>
      <c r="E2542" s="1" t="s">
        <v>76</v>
      </c>
      <c r="F2542" s="1">
        <v>951.83</v>
      </c>
      <c r="G2542" s="1">
        <v>-191.04</v>
      </c>
      <c r="H2542" s="1">
        <v>6.0</v>
      </c>
      <c r="I2542" s="1" t="s">
        <v>23</v>
      </c>
      <c r="J2542" s="1" t="s">
        <v>24</v>
      </c>
      <c r="K2542" s="1">
        <f t="shared" si="1"/>
        <v>2022</v>
      </c>
      <c r="L2542" s="1" t="str">
        <f t="shared" si="2"/>
        <v>Nov</v>
      </c>
      <c r="M2542" s="1" t="str">
        <f t="shared" si="3"/>
        <v>Loss</v>
      </c>
    </row>
    <row r="2543" ht="14.25" customHeight="1">
      <c r="A2543" s="1" t="s">
        <v>2577</v>
      </c>
      <c r="B2543" s="2">
        <v>44531.0</v>
      </c>
      <c r="C2543" s="1" t="s">
        <v>30</v>
      </c>
      <c r="D2543" s="1" t="s">
        <v>27</v>
      </c>
      <c r="E2543" s="1" t="s">
        <v>40</v>
      </c>
      <c r="F2543" s="1">
        <v>63.92</v>
      </c>
      <c r="G2543" s="1">
        <v>257.5</v>
      </c>
      <c r="H2543" s="1">
        <v>8.0</v>
      </c>
      <c r="I2543" s="1" t="s">
        <v>34</v>
      </c>
      <c r="J2543" s="1" t="s">
        <v>18</v>
      </c>
      <c r="K2543" s="1">
        <f t="shared" si="1"/>
        <v>2021</v>
      </c>
      <c r="L2543" s="1" t="str">
        <f t="shared" si="2"/>
        <v>Dec</v>
      </c>
      <c r="M2543" s="1" t="str">
        <f t="shared" si="3"/>
        <v>Profit</v>
      </c>
    </row>
    <row r="2544" ht="14.25" customHeight="1">
      <c r="A2544" s="1" t="s">
        <v>2578</v>
      </c>
      <c r="B2544" s="2">
        <v>44818.0</v>
      </c>
      <c r="C2544" s="1" t="s">
        <v>30</v>
      </c>
      <c r="D2544" s="1" t="s">
        <v>21</v>
      </c>
      <c r="E2544" s="1" t="s">
        <v>37</v>
      </c>
      <c r="F2544" s="1">
        <v>627.06</v>
      </c>
      <c r="G2544" s="1">
        <v>-65.71</v>
      </c>
      <c r="H2544" s="1">
        <v>10.0</v>
      </c>
      <c r="I2544" s="1" t="s">
        <v>34</v>
      </c>
      <c r="J2544" s="1" t="s">
        <v>38</v>
      </c>
      <c r="K2544" s="1">
        <f t="shared" si="1"/>
        <v>2022</v>
      </c>
      <c r="L2544" s="1" t="str">
        <f t="shared" si="2"/>
        <v>Sep</v>
      </c>
      <c r="M2544" s="1" t="str">
        <f t="shared" si="3"/>
        <v>Loss</v>
      </c>
    </row>
    <row r="2545" ht="14.25" customHeight="1">
      <c r="A2545" s="1" t="s">
        <v>2579</v>
      </c>
      <c r="B2545" s="2">
        <v>44523.0</v>
      </c>
      <c r="C2545" s="1" t="s">
        <v>20</v>
      </c>
      <c r="D2545" s="1" t="s">
        <v>27</v>
      </c>
      <c r="E2545" s="1" t="s">
        <v>33</v>
      </c>
      <c r="F2545" s="1">
        <v>315.13</v>
      </c>
      <c r="G2545" s="1">
        <v>115.42</v>
      </c>
      <c r="H2545" s="1">
        <v>3.0</v>
      </c>
      <c r="I2545" s="1" t="s">
        <v>17</v>
      </c>
      <c r="J2545" s="1" t="s">
        <v>18</v>
      </c>
      <c r="K2545" s="1">
        <f t="shared" si="1"/>
        <v>2021</v>
      </c>
      <c r="L2545" s="1" t="str">
        <f t="shared" si="2"/>
        <v>Nov</v>
      </c>
      <c r="M2545" s="1" t="str">
        <f t="shared" si="3"/>
        <v>Profit</v>
      </c>
    </row>
    <row r="2546" ht="14.25" customHeight="1">
      <c r="A2546" s="1" t="s">
        <v>2580</v>
      </c>
      <c r="B2546" s="2">
        <v>44706.0</v>
      </c>
      <c r="C2546" s="1" t="s">
        <v>20</v>
      </c>
      <c r="D2546" s="1" t="s">
        <v>15</v>
      </c>
      <c r="E2546" s="1" t="s">
        <v>31</v>
      </c>
      <c r="F2546" s="1">
        <v>126.66</v>
      </c>
      <c r="G2546" s="1">
        <v>202.3</v>
      </c>
      <c r="H2546" s="1">
        <v>3.0</v>
      </c>
      <c r="I2546" s="1" t="s">
        <v>23</v>
      </c>
      <c r="J2546" s="1" t="s">
        <v>38</v>
      </c>
      <c r="K2546" s="1">
        <f t="shared" si="1"/>
        <v>2022</v>
      </c>
      <c r="L2546" s="1" t="str">
        <f t="shared" si="2"/>
        <v>May</v>
      </c>
      <c r="M2546" s="1" t="str">
        <f t="shared" si="3"/>
        <v>Profit</v>
      </c>
    </row>
    <row r="2547" ht="14.25" customHeight="1">
      <c r="A2547" s="1" t="s">
        <v>2581</v>
      </c>
      <c r="B2547" s="2">
        <v>45158.0</v>
      </c>
      <c r="C2547" s="1" t="s">
        <v>14</v>
      </c>
      <c r="D2547" s="1" t="s">
        <v>21</v>
      </c>
      <c r="E2547" s="1" t="s">
        <v>37</v>
      </c>
      <c r="F2547" s="1">
        <v>634.48</v>
      </c>
      <c r="G2547" s="1">
        <v>-144.27</v>
      </c>
      <c r="H2547" s="1">
        <v>9.0</v>
      </c>
      <c r="I2547" s="1" t="s">
        <v>23</v>
      </c>
      <c r="J2547" s="1" t="s">
        <v>38</v>
      </c>
      <c r="K2547" s="1">
        <f t="shared" si="1"/>
        <v>2023</v>
      </c>
      <c r="L2547" s="1" t="str">
        <f t="shared" si="2"/>
        <v>Aug</v>
      </c>
      <c r="M2547" s="1" t="str">
        <f t="shared" si="3"/>
        <v>Loss</v>
      </c>
    </row>
    <row r="2548" ht="14.25" customHeight="1">
      <c r="A2548" s="1" t="s">
        <v>2582</v>
      </c>
      <c r="B2548" s="2">
        <v>44889.0</v>
      </c>
      <c r="C2548" s="1" t="s">
        <v>14</v>
      </c>
      <c r="D2548" s="1" t="s">
        <v>15</v>
      </c>
      <c r="E2548" s="1" t="s">
        <v>54</v>
      </c>
      <c r="F2548" s="1">
        <v>565.62</v>
      </c>
      <c r="G2548" s="1">
        <v>113.25</v>
      </c>
      <c r="H2548" s="1">
        <v>7.0</v>
      </c>
      <c r="I2548" s="1" t="s">
        <v>23</v>
      </c>
      <c r="J2548" s="1" t="s">
        <v>24</v>
      </c>
      <c r="K2548" s="1">
        <f t="shared" si="1"/>
        <v>2022</v>
      </c>
      <c r="L2548" s="1" t="str">
        <f t="shared" si="2"/>
        <v>Nov</v>
      </c>
      <c r="M2548" s="1" t="str">
        <f t="shared" si="3"/>
        <v>Profit</v>
      </c>
    </row>
    <row r="2549" ht="14.25" customHeight="1">
      <c r="A2549" s="1" t="s">
        <v>2583</v>
      </c>
      <c r="B2549" s="2">
        <v>45026.0</v>
      </c>
      <c r="C2549" s="1" t="s">
        <v>30</v>
      </c>
      <c r="D2549" s="1" t="s">
        <v>27</v>
      </c>
      <c r="E2549" s="1" t="s">
        <v>40</v>
      </c>
      <c r="F2549" s="1">
        <v>609.62</v>
      </c>
      <c r="G2549" s="1">
        <v>150.23</v>
      </c>
      <c r="H2549" s="1">
        <v>9.0</v>
      </c>
      <c r="I2549" s="1" t="s">
        <v>17</v>
      </c>
      <c r="J2549" s="1" t="s">
        <v>24</v>
      </c>
      <c r="K2549" s="1">
        <f t="shared" si="1"/>
        <v>2023</v>
      </c>
      <c r="L2549" s="1" t="str">
        <f t="shared" si="2"/>
        <v>Apr</v>
      </c>
      <c r="M2549" s="1" t="str">
        <f t="shared" si="3"/>
        <v>Profit</v>
      </c>
    </row>
    <row r="2550" ht="14.25" customHeight="1">
      <c r="A2550" s="1" t="s">
        <v>2584</v>
      </c>
      <c r="B2550" s="2">
        <v>44225.0</v>
      </c>
      <c r="C2550" s="1" t="s">
        <v>30</v>
      </c>
      <c r="D2550" s="1" t="s">
        <v>27</v>
      </c>
      <c r="E2550" s="1" t="s">
        <v>33</v>
      </c>
      <c r="F2550" s="1">
        <v>985.56</v>
      </c>
      <c r="G2550" s="1">
        <v>206.06</v>
      </c>
      <c r="H2550" s="1">
        <v>2.0</v>
      </c>
      <c r="I2550" s="1" t="s">
        <v>34</v>
      </c>
      <c r="J2550" s="1" t="s">
        <v>35</v>
      </c>
      <c r="K2550" s="1">
        <f t="shared" si="1"/>
        <v>2021</v>
      </c>
      <c r="L2550" s="1" t="str">
        <f t="shared" si="2"/>
        <v>Jan</v>
      </c>
      <c r="M2550" s="1" t="str">
        <f t="shared" si="3"/>
        <v>Profit</v>
      </c>
    </row>
    <row r="2551" ht="14.25" customHeight="1">
      <c r="A2551" s="1" t="s">
        <v>2585</v>
      </c>
      <c r="B2551" s="2">
        <v>44337.0</v>
      </c>
      <c r="C2551" s="1" t="s">
        <v>30</v>
      </c>
      <c r="D2551" s="1" t="s">
        <v>21</v>
      </c>
      <c r="E2551" s="1" t="s">
        <v>22</v>
      </c>
      <c r="F2551" s="1">
        <v>514.19</v>
      </c>
      <c r="G2551" s="1">
        <v>299.39</v>
      </c>
      <c r="H2551" s="1">
        <v>7.0</v>
      </c>
      <c r="I2551" s="1" t="s">
        <v>17</v>
      </c>
      <c r="J2551" s="1" t="s">
        <v>24</v>
      </c>
      <c r="K2551" s="1">
        <f t="shared" si="1"/>
        <v>2021</v>
      </c>
      <c r="L2551" s="1" t="str">
        <f t="shared" si="2"/>
        <v>May</v>
      </c>
      <c r="M2551" s="1" t="str">
        <f t="shared" si="3"/>
        <v>Profit</v>
      </c>
    </row>
    <row r="2552" ht="14.25" customHeight="1">
      <c r="A2552" s="1" t="s">
        <v>2586</v>
      </c>
      <c r="B2552" s="2">
        <v>44768.0</v>
      </c>
      <c r="C2552" s="1" t="s">
        <v>20</v>
      </c>
      <c r="D2552" s="1" t="s">
        <v>27</v>
      </c>
      <c r="E2552" s="1" t="s">
        <v>28</v>
      </c>
      <c r="F2552" s="1">
        <v>422.57</v>
      </c>
      <c r="G2552" s="1">
        <v>-170.89</v>
      </c>
      <c r="H2552" s="1">
        <v>7.0</v>
      </c>
      <c r="I2552" s="1" t="s">
        <v>34</v>
      </c>
      <c r="J2552" s="1" t="s">
        <v>18</v>
      </c>
      <c r="K2552" s="1">
        <f t="shared" si="1"/>
        <v>2022</v>
      </c>
      <c r="L2552" s="1" t="str">
        <f t="shared" si="2"/>
        <v>Jul</v>
      </c>
      <c r="M2552" s="1" t="str">
        <f t="shared" si="3"/>
        <v>Loss</v>
      </c>
    </row>
    <row r="2553" ht="14.25" customHeight="1">
      <c r="A2553" s="1" t="s">
        <v>2587</v>
      </c>
      <c r="B2553" s="2">
        <v>44339.0</v>
      </c>
      <c r="C2553" s="1" t="s">
        <v>26</v>
      </c>
      <c r="D2553" s="1" t="s">
        <v>27</v>
      </c>
      <c r="E2553" s="1" t="s">
        <v>28</v>
      </c>
      <c r="F2553" s="1">
        <v>971.71</v>
      </c>
      <c r="G2553" s="1">
        <v>75.01</v>
      </c>
      <c r="H2553" s="1">
        <v>1.0</v>
      </c>
      <c r="I2553" s="1" t="s">
        <v>34</v>
      </c>
      <c r="J2553" s="1" t="s">
        <v>24</v>
      </c>
      <c r="K2553" s="1">
        <f t="shared" si="1"/>
        <v>2021</v>
      </c>
      <c r="L2553" s="1" t="str">
        <f t="shared" si="2"/>
        <v>May</v>
      </c>
      <c r="M2553" s="1" t="str">
        <f t="shared" si="3"/>
        <v>Profit</v>
      </c>
    </row>
    <row r="2554" ht="14.25" customHeight="1">
      <c r="A2554" s="1" t="s">
        <v>2588</v>
      </c>
      <c r="B2554" s="2">
        <v>45237.0</v>
      </c>
      <c r="C2554" s="1" t="s">
        <v>26</v>
      </c>
      <c r="D2554" s="1" t="s">
        <v>21</v>
      </c>
      <c r="E2554" s="1" t="s">
        <v>37</v>
      </c>
      <c r="F2554" s="1">
        <v>925.69</v>
      </c>
      <c r="G2554" s="1">
        <v>158.94</v>
      </c>
      <c r="H2554" s="1">
        <v>4.0</v>
      </c>
      <c r="I2554" s="1" t="s">
        <v>17</v>
      </c>
      <c r="J2554" s="1" t="s">
        <v>18</v>
      </c>
      <c r="K2554" s="1">
        <f t="shared" si="1"/>
        <v>2023</v>
      </c>
      <c r="L2554" s="1" t="str">
        <f t="shared" si="2"/>
        <v>Nov</v>
      </c>
      <c r="M2554" s="1" t="str">
        <f t="shared" si="3"/>
        <v>Profit</v>
      </c>
    </row>
    <row r="2555" ht="14.25" customHeight="1">
      <c r="A2555" s="1" t="s">
        <v>2589</v>
      </c>
      <c r="B2555" s="2">
        <v>44815.0</v>
      </c>
      <c r="C2555" s="1" t="s">
        <v>20</v>
      </c>
      <c r="D2555" s="1" t="s">
        <v>27</v>
      </c>
      <c r="E2555" s="1" t="s">
        <v>33</v>
      </c>
      <c r="F2555" s="1">
        <v>793.49</v>
      </c>
      <c r="G2555" s="1">
        <v>224.35</v>
      </c>
      <c r="H2555" s="1">
        <v>7.0</v>
      </c>
      <c r="I2555" s="1" t="s">
        <v>23</v>
      </c>
      <c r="J2555" s="1" t="s">
        <v>35</v>
      </c>
      <c r="K2555" s="1">
        <f t="shared" si="1"/>
        <v>2022</v>
      </c>
      <c r="L2555" s="1" t="str">
        <f t="shared" si="2"/>
        <v>Sep</v>
      </c>
      <c r="M2555" s="1" t="str">
        <f t="shared" si="3"/>
        <v>Profit</v>
      </c>
    </row>
    <row r="2556" ht="14.25" customHeight="1">
      <c r="A2556" s="1" t="s">
        <v>2590</v>
      </c>
      <c r="B2556" s="2">
        <v>44301.0</v>
      </c>
      <c r="C2556" s="1" t="s">
        <v>20</v>
      </c>
      <c r="D2556" s="1" t="s">
        <v>27</v>
      </c>
      <c r="E2556" s="1" t="s">
        <v>33</v>
      </c>
      <c r="F2556" s="1">
        <v>921.06</v>
      </c>
      <c r="G2556" s="1">
        <v>232.06</v>
      </c>
      <c r="H2556" s="1">
        <v>3.0</v>
      </c>
      <c r="I2556" s="1" t="s">
        <v>23</v>
      </c>
      <c r="J2556" s="1" t="s">
        <v>18</v>
      </c>
      <c r="K2556" s="1">
        <f t="shared" si="1"/>
        <v>2021</v>
      </c>
      <c r="L2556" s="1" t="str">
        <f t="shared" si="2"/>
        <v>Apr</v>
      </c>
      <c r="M2556" s="1" t="str">
        <f t="shared" si="3"/>
        <v>Profit</v>
      </c>
    </row>
    <row r="2557" ht="14.25" customHeight="1">
      <c r="A2557" s="1" t="s">
        <v>2591</v>
      </c>
      <c r="B2557" s="2">
        <v>44903.0</v>
      </c>
      <c r="C2557" s="1" t="s">
        <v>20</v>
      </c>
      <c r="D2557" s="1" t="s">
        <v>27</v>
      </c>
      <c r="E2557" s="1" t="s">
        <v>28</v>
      </c>
      <c r="F2557" s="1">
        <v>474.01</v>
      </c>
      <c r="G2557" s="1">
        <v>182.83</v>
      </c>
      <c r="H2557" s="1">
        <v>6.0</v>
      </c>
      <c r="I2557" s="1" t="s">
        <v>17</v>
      </c>
      <c r="J2557" s="1" t="s">
        <v>24</v>
      </c>
      <c r="K2557" s="1">
        <f t="shared" si="1"/>
        <v>2022</v>
      </c>
      <c r="L2557" s="1" t="str">
        <f t="shared" si="2"/>
        <v>Dec</v>
      </c>
      <c r="M2557" s="1" t="str">
        <f t="shared" si="3"/>
        <v>Profit</v>
      </c>
    </row>
    <row r="2558" ht="14.25" customHeight="1">
      <c r="A2558" s="1" t="s">
        <v>2592</v>
      </c>
      <c r="B2558" s="2">
        <v>45128.0</v>
      </c>
      <c r="C2558" s="1" t="s">
        <v>26</v>
      </c>
      <c r="D2558" s="1" t="s">
        <v>15</v>
      </c>
      <c r="E2558" s="1" t="s">
        <v>54</v>
      </c>
      <c r="F2558" s="1">
        <v>870.93</v>
      </c>
      <c r="G2558" s="1">
        <v>-165.68</v>
      </c>
      <c r="H2558" s="1">
        <v>10.0</v>
      </c>
      <c r="I2558" s="1" t="s">
        <v>23</v>
      </c>
      <c r="J2558" s="1" t="s">
        <v>24</v>
      </c>
      <c r="K2558" s="1">
        <f t="shared" si="1"/>
        <v>2023</v>
      </c>
      <c r="L2558" s="1" t="str">
        <f t="shared" si="2"/>
        <v>Jul</v>
      </c>
      <c r="M2558" s="1" t="str">
        <f t="shared" si="3"/>
        <v>Loss</v>
      </c>
    </row>
    <row r="2559" ht="14.25" customHeight="1">
      <c r="A2559" s="1" t="s">
        <v>2593</v>
      </c>
      <c r="B2559" s="2">
        <v>44440.0</v>
      </c>
      <c r="C2559" s="1" t="s">
        <v>30</v>
      </c>
      <c r="D2559" s="1" t="s">
        <v>15</v>
      </c>
      <c r="E2559" s="1" t="s">
        <v>54</v>
      </c>
      <c r="F2559" s="1">
        <v>61.52</v>
      </c>
      <c r="G2559" s="1">
        <v>-62.5</v>
      </c>
      <c r="H2559" s="1">
        <v>7.0</v>
      </c>
      <c r="I2559" s="1" t="s">
        <v>23</v>
      </c>
      <c r="J2559" s="1" t="s">
        <v>24</v>
      </c>
      <c r="K2559" s="1">
        <f t="shared" si="1"/>
        <v>2021</v>
      </c>
      <c r="L2559" s="1" t="str">
        <f t="shared" si="2"/>
        <v>Sep</v>
      </c>
      <c r="M2559" s="1" t="str">
        <f t="shared" si="3"/>
        <v>Loss</v>
      </c>
    </row>
    <row r="2560" ht="14.25" customHeight="1">
      <c r="A2560" s="1" t="s">
        <v>2594</v>
      </c>
      <c r="B2560" s="2">
        <v>45261.0</v>
      </c>
      <c r="C2560" s="1" t="s">
        <v>30</v>
      </c>
      <c r="D2560" s="1" t="s">
        <v>15</v>
      </c>
      <c r="E2560" s="1" t="s">
        <v>54</v>
      </c>
      <c r="F2560" s="1">
        <v>545.89</v>
      </c>
      <c r="G2560" s="1">
        <v>178.72</v>
      </c>
      <c r="H2560" s="1">
        <v>3.0</v>
      </c>
      <c r="I2560" s="1" t="s">
        <v>17</v>
      </c>
      <c r="J2560" s="1" t="s">
        <v>35</v>
      </c>
      <c r="K2560" s="1">
        <f t="shared" si="1"/>
        <v>2023</v>
      </c>
      <c r="L2560" s="1" t="str">
        <f t="shared" si="2"/>
        <v>Dec</v>
      </c>
      <c r="M2560" s="1" t="str">
        <f t="shared" si="3"/>
        <v>Profit</v>
      </c>
    </row>
    <row r="2561" ht="14.25" customHeight="1">
      <c r="A2561" s="1" t="s">
        <v>2595</v>
      </c>
      <c r="B2561" s="2">
        <v>45118.0</v>
      </c>
      <c r="C2561" s="1" t="s">
        <v>20</v>
      </c>
      <c r="D2561" s="1" t="s">
        <v>21</v>
      </c>
      <c r="E2561" s="1" t="s">
        <v>37</v>
      </c>
      <c r="F2561" s="1">
        <v>477.43</v>
      </c>
      <c r="G2561" s="1">
        <v>63.28</v>
      </c>
      <c r="H2561" s="1">
        <v>4.0</v>
      </c>
      <c r="I2561" s="1" t="s">
        <v>23</v>
      </c>
      <c r="J2561" s="1" t="s">
        <v>24</v>
      </c>
      <c r="K2561" s="1">
        <f t="shared" si="1"/>
        <v>2023</v>
      </c>
      <c r="L2561" s="1" t="str">
        <f t="shared" si="2"/>
        <v>Jul</v>
      </c>
      <c r="M2561" s="1" t="str">
        <f t="shared" si="3"/>
        <v>Profit</v>
      </c>
    </row>
    <row r="2562" ht="14.25" customHeight="1">
      <c r="A2562" s="1" t="s">
        <v>2596</v>
      </c>
      <c r="B2562" s="2">
        <v>44853.0</v>
      </c>
      <c r="C2562" s="1" t="s">
        <v>26</v>
      </c>
      <c r="D2562" s="1" t="s">
        <v>27</v>
      </c>
      <c r="E2562" s="1" t="s">
        <v>33</v>
      </c>
      <c r="F2562" s="1">
        <v>573.12</v>
      </c>
      <c r="G2562" s="1">
        <v>130.86</v>
      </c>
      <c r="H2562" s="1">
        <v>4.0</v>
      </c>
      <c r="I2562" s="1" t="s">
        <v>34</v>
      </c>
      <c r="J2562" s="1" t="s">
        <v>18</v>
      </c>
      <c r="K2562" s="1">
        <f t="shared" si="1"/>
        <v>2022</v>
      </c>
      <c r="L2562" s="1" t="str">
        <f t="shared" si="2"/>
        <v>Oct</v>
      </c>
      <c r="M2562" s="1" t="str">
        <f t="shared" si="3"/>
        <v>Profit</v>
      </c>
    </row>
    <row r="2563" ht="14.25" customHeight="1">
      <c r="A2563" s="1" t="s">
        <v>2597</v>
      </c>
      <c r="B2563" s="2">
        <v>44584.0</v>
      </c>
      <c r="C2563" s="1" t="s">
        <v>26</v>
      </c>
      <c r="D2563" s="1" t="s">
        <v>15</v>
      </c>
      <c r="E2563" s="1" t="s">
        <v>31</v>
      </c>
      <c r="F2563" s="1">
        <v>511.9</v>
      </c>
      <c r="G2563" s="1">
        <v>131.2</v>
      </c>
      <c r="H2563" s="1">
        <v>9.0</v>
      </c>
      <c r="I2563" s="1" t="s">
        <v>17</v>
      </c>
      <c r="J2563" s="1" t="s">
        <v>18</v>
      </c>
      <c r="K2563" s="1">
        <f t="shared" si="1"/>
        <v>2022</v>
      </c>
      <c r="L2563" s="1" t="str">
        <f t="shared" si="2"/>
        <v>Jan</v>
      </c>
      <c r="M2563" s="1" t="str">
        <f t="shared" si="3"/>
        <v>Profit</v>
      </c>
    </row>
    <row r="2564" ht="14.25" customHeight="1">
      <c r="A2564" s="1" t="s">
        <v>2598</v>
      </c>
      <c r="B2564" s="2">
        <v>44498.0</v>
      </c>
      <c r="C2564" s="1" t="s">
        <v>30</v>
      </c>
      <c r="D2564" s="1" t="s">
        <v>21</v>
      </c>
      <c r="E2564" s="1" t="s">
        <v>37</v>
      </c>
      <c r="F2564" s="1">
        <v>779.84</v>
      </c>
      <c r="G2564" s="1">
        <v>39.88</v>
      </c>
      <c r="H2564" s="1">
        <v>8.0</v>
      </c>
      <c r="I2564" s="1" t="s">
        <v>17</v>
      </c>
      <c r="J2564" s="1" t="s">
        <v>35</v>
      </c>
      <c r="K2564" s="1">
        <f t="shared" si="1"/>
        <v>2021</v>
      </c>
      <c r="L2564" s="1" t="str">
        <f t="shared" si="2"/>
        <v>Oct</v>
      </c>
      <c r="M2564" s="1" t="str">
        <f t="shared" si="3"/>
        <v>Profit</v>
      </c>
    </row>
    <row r="2565" ht="14.25" customHeight="1">
      <c r="A2565" s="1" t="s">
        <v>2599</v>
      </c>
      <c r="B2565" s="2">
        <v>44718.0</v>
      </c>
      <c r="C2565" s="1" t="s">
        <v>20</v>
      </c>
      <c r="D2565" s="1" t="s">
        <v>21</v>
      </c>
      <c r="E2565" s="1" t="s">
        <v>76</v>
      </c>
      <c r="F2565" s="1">
        <v>419.65</v>
      </c>
      <c r="G2565" s="1">
        <v>-16.92</v>
      </c>
      <c r="H2565" s="1">
        <v>5.0</v>
      </c>
      <c r="I2565" s="1" t="s">
        <v>23</v>
      </c>
      <c r="J2565" s="1" t="s">
        <v>24</v>
      </c>
      <c r="K2565" s="1">
        <f t="shared" si="1"/>
        <v>2022</v>
      </c>
      <c r="L2565" s="1" t="str">
        <f t="shared" si="2"/>
        <v>Jun</v>
      </c>
      <c r="M2565" s="1" t="str">
        <f t="shared" si="3"/>
        <v>Loss</v>
      </c>
    </row>
    <row r="2566" ht="14.25" customHeight="1">
      <c r="A2566" s="1" t="s">
        <v>2600</v>
      </c>
      <c r="B2566" s="2">
        <v>45173.0</v>
      </c>
      <c r="C2566" s="1" t="s">
        <v>14</v>
      </c>
      <c r="D2566" s="1" t="s">
        <v>15</v>
      </c>
      <c r="E2566" s="1" t="s">
        <v>54</v>
      </c>
      <c r="F2566" s="1">
        <v>326.76</v>
      </c>
      <c r="G2566" s="1">
        <v>167.31</v>
      </c>
      <c r="H2566" s="1">
        <v>6.0</v>
      </c>
      <c r="I2566" s="1" t="s">
        <v>17</v>
      </c>
      <c r="J2566" s="1" t="s">
        <v>38</v>
      </c>
      <c r="K2566" s="1">
        <f t="shared" si="1"/>
        <v>2023</v>
      </c>
      <c r="L2566" s="1" t="str">
        <f t="shared" si="2"/>
        <v>Sep</v>
      </c>
      <c r="M2566" s="1" t="str">
        <f t="shared" si="3"/>
        <v>Profit</v>
      </c>
    </row>
    <row r="2567" ht="14.25" customHeight="1">
      <c r="A2567" s="1" t="s">
        <v>2601</v>
      </c>
      <c r="B2567" s="2">
        <v>45081.0</v>
      </c>
      <c r="C2567" s="1" t="s">
        <v>20</v>
      </c>
      <c r="D2567" s="1" t="s">
        <v>21</v>
      </c>
      <c r="E2567" s="1" t="s">
        <v>76</v>
      </c>
      <c r="F2567" s="1">
        <v>928.04</v>
      </c>
      <c r="G2567" s="1">
        <v>-12.1</v>
      </c>
      <c r="H2567" s="1">
        <v>8.0</v>
      </c>
      <c r="I2567" s="1" t="s">
        <v>34</v>
      </c>
      <c r="J2567" s="1" t="s">
        <v>35</v>
      </c>
      <c r="K2567" s="1">
        <f t="shared" si="1"/>
        <v>2023</v>
      </c>
      <c r="L2567" s="1" t="str">
        <f t="shared" si="2"/>
        <v>Jun</v>
      </c>
      <c r="M2567" s="1" t="str">
        <f t="shared" si="3"/>
        <v>Loss</v>
      </c>
    </row>
    <row r="2568" ht="14.25" customHeight="1">
      <c r="A2568" s="1" t="s">
        <v>2602</v>
      </c>
      <c r="B2568" s="2">
        <v>44413.0</v>
      </c>
      <c r="C2568" s="1" t="s">
        <v>26</v>
      </c>
      <c r="D2568" s="1" t="s">
        <v>27</v>
      </c>
      <c r="E2568" s="1" t="s">
        <v>33</v>
      </c>
      <c r="F2568" s="1">
        <v>564.52</v>
      </c>
      <c r="G2568" s="1">
        <v>68.41</v>
      </c>
      <c r="H2568" s="1">
        <v>6.0</v>
      </c>
      <c r="I2568" s="1" t="s">
        <v>17</v>
      </c>
      <c r="J2568" s="1" t="s">
        <v>24</v>
      </c>
      <c r="K2568" s="1">
        <f t="shared" si="1"/>
        <v>2021</v>
      </c>
      <c r="L2568" s="1" t="str">
        <f t="shared" si="2"/>
        <v>Aug</v>
      </c>
      <c r="M2568" s="1" t="str">
        <f t="shared" si="3"/>
        <v>Profit</v>
      </c>
    </row>
    <row r="2569" ht="14.25" customHeight="1">
      <c r="A2569" s="1" t="s">
        <v>2603</v>
      </c>
      <c r="B2569" s="2">
        <v>44675.0</v>
      </c>
      <c r="C2569" s="1" t="s">
        <v>30</v>
      </c>
      <c r="D2569" s="1" t="s">
        <v>15</v>
      </c>
      <c r="E2569" s="1" t="s">
        <v>54</v>
      </c>
      <c r="F2569" s="1">
        <v>624.53</v>
      </c>
      <c r="G2569" s="1">
        <v>227.22</v>
      </c>
      <c r="H2569" s="1">
        <v>2.0</v>
      </c>
      <c r="I2569" s="1" t="s">
        <v>34</v>
      </c>
      <c r="J2569" s="1" t="s">
        <v>18</v>
      </c>
      <c r="K2569" s="1">
        <f t="shared" si="1"/>
        <v>2022</v>
      </c>
      <c r="L2569" s="1" t="str">
        <f t="shared" si="2"/>
        <v>Apr</v>
      </c>
      <c r="M2569" s="1" t="str">
        <f t="shared" si="3"/>
        <v>Profit</v>
      </c>
    </row>
    <row r="2570" ht="14.25" customHeight="1">
      <c r="A2570" s="1" t="s">
        <v>2604</v>
      </c>
      <c r="B2570" s="2">
        <v>44331.0</v>
      </c>
      <c r="C2570" s="1" t="s">
        <v>20</v>
      </c>
      <c r="D2570" s="1" t="s">
        <v>27</v>
      </c>
      <c r="E2570" s="1" t="s">
        <v>40</v>
      </c>
      <c r="F2570" s="1">
        <v>999.24</v>
      </c>
      <c r="G2570" s="1">
        <v>55.51</v>
      </c>
      <c r="H2570" s="1">
        <v>2.0</v>
      </c>
      <c r="I2570" s="1" t="s">
        <v>34</v>
      </c>
      <c r="J2570" s="1" t="s">
        <v>18</v>
      </c>
      <c r="K2570" s="1">
        <f t="shared" si="1"/>
        <v>2021</v>
      </c>
      <c r="L2570" s="1" t="str">
        <f t="shared" si="2"/>
        <v>May</v>
      </c>
      <c r="M2570" s="1" t="str">
        <f t="shared" si="3"/>
        <v>Profit</v>
      </c>
    </row>
    <row r="2571" ht="14.25" customHeight="1">
      <c r="A2571" s="1" t="s">
        <v>2605</v>
      </c>
      <c r="B2571" s="2">
        <v>44895.0</v>
      </c>
      <c r="C2571" s="1" t="s">
        <v>20</v>
      </c>
      <c r="D2571" s="1" t="s">
        <v>21</v>
      </c>
      <c r="E2571" s="1" t="s">
        <v>37</v>
      </c>
      <c r="F2571" s="1">
        <v>260.51</v>
      </c>
      <c r="G2571" s="1">
        <v>17.76</v>
      </c>
      <c r="H2571" s="1">
        <v>2.0</v>
      </c>
      <c r="I2571" s="1" t="s">
        <v>23</v>
      </c>
      <c r="J2571" s="1" t="s">
        <v>35</v>
      </c>
      <c r="K2571" s="1">
        <f t="shared" si="1"/>
        <v>2022</v>
      </c>
      <c r="L2571" s="1" t="str">
        <f t="shared" si="2"/>
        <v>Nov</v>
      </c>
      <c r="M2571" s="1" t="str">
        <f t="shared" si="3"/>
        <v>Profit</v>
      </c>
    </row>
    <row r="2572" ht="14.25" customHeight="1">
      <c r="A2572" s="1" t="s">
        <v>2606</v>
      </c>
      <c r="B2572" s="2">
        <v>44804.0</v>
      </c>
      <c r="C2572" s="1" t="s">
        <v>26</v>
      </c>
      <c r="D2572" s="1" t="s">
        <v>15</v>
      </c>
      <c r="E2572" s="1" t="s">
        <v>54</v>
      </c>
      <c r="F2572" s="1">
        <v>254.22</v>
      </c>
      <c r="G2572" s="1">
        <v>-13.34</v>
      </c>
      <c r="H2572" s="1">
        <v>5.0</v>
      </c>
      <c r="I2572" s="1" t="s">
        <v>34</v>
      </c>
      <c r="J2572" s="1" t="s">
        <v>24</v>
      </c>
      <c r="K2572" s="1">
        <f t="shared" si="1"/>
        <v>2022</v>
      </c>
      <c r="L2572" s="1" t="str">
        <f t="shared" si="2"/>
        <v>Aug</v>
      </c>
      <c r="M2572" s="1" t="str">
        <f t="shared" si="3"/>
        <v>Loss</v>
      </c>
    </row>
    <row r="2573" ht="14.25" customHeight="1">
      <c r="A2573" s="1" t="s">
        <v>2607</v>
      </c>
      <c r="B2573" s="2">
        <v>44412.0</v>
      </c>
      <c r="C2573" s="1" t="s">
        <v>30</v>
      </c>
      <c r="D2573" s="1" t="s">
        <v>21</v>
      </c>
      <c r="E2573" s="1" t="s">
        <v>22</v>
      </c>
      <c r="F2573" s="1">
        <v>677.53</v>
      </c>
      <c r="G2573" s="1">
        <v>196.57</v>
      </c>
      <c r="H2573" s="1">
        <v>9.0</v>
      </c>
      <c r="I2573" s="1" t="s">
        <v>34</v>
      </c>
      <c r="J2573" s="1" t="s">
        <v>18</v>
      </c>
      <c r="K2573" s="1">
        <f t="shared" si="1"/>
        <v>2021</v>
      </c>
      <c r="L2573" s="1" t="str">
        <f t="shared" si="2"/>
        <v>Aug</v>
      </c>
      <c r="M2573" s="1" t="str">
        <f t="shared" si="3"/>
        <v>Profit</v>
      </c>
    </row>
    <row r="2574" ht="14.25" customHeight="1">
      <c r="A2574" s="1" t="s">
        <v>2608</v>
      </c>
      <c r="B2574" s="2">
        <v>44397.0</v>
      </c>
      <c r="C2574" s="1" t="s">
        <v>30</v>
      </c>
      <c r="D2574" s="1" t="s">
        <v>27</v>
      </c>
      <c r="E2574" s="1" t="s">
        <v>33</v>
      </c>
      <c r="F2574" s="1">
        <v>274.74</v>
      </c>
      <c r="G2574" s="1">
        <v>-32.85</v>
      </c>
      <c r="H2574" s="1">
        <v>1.0</v>
      </c>
      <c r="I2574" s="1" t="s">
        <v>34</v>
      </c>
      <c r="J2574" s="1" t="s">
        <v>24</v>
      </c>
      <c r="K2574" s="1">
        <f t="shared" si="1"/>
        <v>2021</v>
      </c>
      <c r="L2574" s="1" t="str">
        <f t="shared" si="2"/>
        <v>Jul</v>
      </c>
      <c r="M2574" s="1" t="str">
        <f t="shared" si="3"/>
        <v>Loss</v>
      </c>
    </row>
    <row r="2575" ht="14.25" customHeight="1">
      <c r="A2575" s="1" t="s">
        <v>2609</v>
      </c>
      <c r="B2575" s="2">
        <v>44490.0</v>
      </c>
      <c r="C2575" s="1" t="s">
        <v>20</v>
      </c>
      <c r="D2575" s="1" t="s">
        <v>21</v>
      </c>
      <c r="E2575" s="1" t="s">
        <v>76</v>
      </c>
      <c r="F2575" s="1">
        <v>62.87</v>
      </c>
      <c r="G2575" s="1">
        <v>99.49</v>
      </c>
      <c r="H2575" s="1">
        <v>5.0</v>
      </c>
      <c r="I2575" s="1" t="s">
        <v>23</v>
      </c>
      <c r="J2575" s="1" t="s">
        <v>35</v>
      </c>
      <c r="K2575" s="1">
        <f t="shared" si="1"/>
        <v>2021</v>
      </c>
      <c r="L2575" s="1" t="str">
        <f t="shared" si="2"/>
        <v>Oct</v>
      </c>
      <c r="M2575" s="1" t="str">
        <f t="shared" si="3"/>
        <v>Profit</v>
      </c>
    </row>
    <row r="2576" ht="14.25" customHeight="1">
      <c r="A2576" s="1" t="s">
        <v>2610</v>
      </c>
      <c r="B2576" s="2">
        <v>44972.0</v>
      </c>
      <c r="C2576" s="1" t="s">
        <v>30</v>
      </c>
      <c r="D2576" s="1" t="s">
        <v>21</v>
      </c>
      <c r="E2576" s="1" t="s">
        <v>37</v>
      </c>
      <c r="F2576" s="1">
        <v>880.94</v>
      </c>
      <c r="G2576" s="1">
        <v>-197.17</v>
      </c>
      <c r="H2576" s="1">
        <v>8.0</v>
      </c>
      <c r="I2576" s="1" t="s">
        <v>23</v>
      </c>
      <c r="J2576" s="1" t="s">
        <v>24</v>
      </c>
      <c r="K2576" s="1">
        <f t="shared" si="1"/>
        <v>2023</v>
      </c>
      <c r="L2576" s="1" t="str">
        <f t="shared" si="2"/>
        <v>Feb</v>
      </c>
      <c r="M2576" s="1" t="str">
        <f t="shared" si="3"/>
        <v>Loss</v>
      </c>
    </row>
    <row r="2577" ht="14.25" customHeight="1">
      <c r="A2577" s="1" t="s">
        <v>2611</v>
      </c>
      <c r="B2577" s="2">
        <v>44688.0</v>
      </c>
      <c r="C2577" s="1" t="s">
        <v>26</v>
      </c>
      <c r="D2577" s="1" t="s">
        <v>21</v>
      </c>
      <c r="E2577" s="1" t="s">
        <v>37</v>
      </c>
      <c r="F2577" s="1">
        <v>948.33</v>
      </c>
      <c r="G2577" s="1">
        <v>254.61</v>
      </c>
      <c r="H2577" s="1">
        <v>7.0</v>
      </c>
      <c r="I2577" s="1" t="s">
        <v>23</v>
      </c>
      <c r="J2577" s="1" t="s">
        <v>18</v>
      </c>
      <c r="K2577" s="1">
        <f t="shared" si="1"/>
        <v>2022</v>
      </c>
      <c r="L2577" s="1" t="str">
        <f t="shared" si="2"/>
        <v>May</v>
      </c>
      <c r="M2577" s="1" t="str">
        <f t="shared" si="3"/>
        <v>Profit</v>
      </c>
    </row>
    <row r="2578" ht="14.25" customHeight="1">
      <c r="A2578" s="1" t="s">
        <v>2612</v>
      </c>
      <c r="B2578" s="2">
        <v>45127.0</v>
      </c>
      <c r="C2578" s="1" t="s">
        <v>14</v>
      </c>
      <c r="D2578" s="1" t="s">
        <v>15</v>
      </c>
      <c r="E2578" s="1" t="s">
        <v>54</v>
      </c>
      <c r="F2578" s="1">
        <v>389.97</v>
      </c>
      <c r="G2578" s="1">
        <v>7.65</v>
      </c>
      <c r="H2578" s="1">
        <v>9.0</v>
      </c>
      <c r="I2578" s="1" t="s">
        <v>17</v>
      </c>
      <c r="J2578" s="1" t="s">
        <v>24</v>
      </c>
      <c r="K2578" s="1">
        <f t="shared" si="1"/>
        <v>2023</v>
      </c>
      <c r="L2578" s="1" t="str">
        <f t="shared" si="2"/>
        <v>Jul</v>
      </c>
      <c r="M2578" s="1" t="str">
        <f t="shared" si="3"/>
        <v>Profit</v>
      </c>
    </row>
    <row r="2579" ht="14.25" customHeight="1">
      <c r="A2579" s="1" t="s">
        <v>2613</v>
      </c>
      <c r="B2579" s="2">
        <v>44709.0</v>
      </c>
      <c r="C2579" s="1" t="s">
        <v>30</v>
      </c>
      <c r="D2579" s="1" t="s">
        <v>27</v>
      </c>
      <c r="E2579" s="1" t="s">
        <v>40</v>
      </c>
      <c r="F2579" s="1">
        <v>865.31</v>
      </c>
      <c r="G2579" s="1">
        <v>-84.2</v>
      </c>
      <c r="H2579" s="1">
        <v>5.0</v>
      </c>
      <c r="I2579" s="1" t="s">
        <v>34</v>
      </c>
      <c r="J2579" s="1" t="s">
        <v>24</v>
      </c>
      <c r="K2579" s="1">
        <f t="shared" si="1"/>
        <v>2022</v>
      </c>
      <c r="L2579" s="1" t="str">
        <f t="shared" si="2"/>
        <v>May</v>
      </c>
      <c r="M2579" s="1" t="str">
        <f t="shared" si="3"/>
        <v>Loss</v>
      </c>
    </row>
    <row r="2580" ht="14.25" customHeight="1">
      <c r="A2580" s="1" t="s">
        <v>2614</v>
      </c>
      <c r="B2580" s="2">
        <v>45148.0</v>
      </c>
      <c r="C2580" s="1" t="s">
        <v>26</v>
      </c>
      <c r="D2580" s="1" t="s">
        <v>21</v>
      </c>
      <c r="E2580" s="1" t="s">
        <v>22</v>
      </c>
      <c r="F2580" s="1">
        <v>266.14</v>
      </c>
      <c r="G2580" s="1">
        <v>122.11</v>
      </c>
      <c r="H2580" s="1">
        <v>9.0</v>
      </c>
      <c r="I2580" s="1" t="s">
        <v>17</v>
      </c>
      <c r="J2580" s="1" t="s">
        <v>24</v>
      </c>
      <c r="K2580" s="1">
        <f t="shared" si="1"/>
        <v>2023</v>
      </c>
      <c r="L2580" s="1" t="str">
        <f t="shared" si="2"/>
        <v>Aug</v>
      </c>
      <c r="M2580" s="1" t="str">
        <f t="shared" si="3"/>
        <v>Profit</v>
      </c>
    </row>
    <row r="2581" ht="14.25" customHeight="1">
      <c r="A2581" s="1" t="s">
        <v>2615</v>
      </c>
      <c r="B2581" s="2">
        <v>44611.0</v>
      </c>
      <c r="C2581" s="1" t="s">
        <v>30</v>
      </c>
      <c r="D2581" s="1" t="s">
        <v>21</v>
      </c>
      <c r="E2581" s="1" t="s">
        <v>22</v>
      </c>
      <c r="F2581" s="1">
        <v>514.69</v>
      </c>
      <c r="G2581" s="1">
        <v>260.44</v>
      </c>
      <c r="H2581" s="1">
        <v>8.0</v>
      </c>
      <c r="I2581" s="1" t="s">
        <v>34</v>
      </c>
      <c r="J2581" s="1" t="s">
        <v>24</v>
      </c>
      <c r="K2581" s="1">
        <f t="shared" si="1"/>
        <v>2022</v>
      </c>
      <c r="L2581" s="1" t="str">
        <f t="shared" si="2"/>
        <v>Feb</v>
      </c>
      <c r="M2581" s="1" t="str">
        <f t="shared" si="3"/>
        <v>Profit</v>
      </c>
    </row>
    <row r="2582" ht="14.25" customHeight="1">
      <c r="A2582" s="1" t="s">
        <v>2616</v>
      </c>
      <c r="B2582" s="2">
        <v>44499.0</v>
      </c>
      <c r="C2582" s="1" t="s">
        <v>26</v>
      </c>
      <c r="D2582" s="1" t="s">
        <v>21</v>
      </c>
      <c r="E2582" s="1" t="s">
        <v>37</v>
      </c>
      <c r="F2582" s="1">
        <v>753.95</v>
      </c>
      <c r="G2582" s="1">
        <v>-166.74</v>
      </c>
      <c r="H2582" s="1">
        <v>5.0</v>
      </c>
      <c r="I2582" s="1" t="s">
        <v>17</v>
      </c>
      <c r="J2582" s="1" t="s">
        <v>18</v>
      </c>
      <c r="K2582" s="1">
        <f t="shared" si="1"/>
        <v>2021</v>
      </c>
      <c r="L2582" s="1" t="str">
        <f t="shared" si="2"/>
        <v>Oct</v>
      </c>
      <c r="M2582" s="1" t="str">
        <f t="shared" si="3"/>
        <v>Loss</v>
      </c>
    </row>
    <row r="2583" ht="14.25" customHeight="1">
      <c r="A2583" s="1" t="s">
        <v>2617</v>
      </c>
      <c r="B2583" s="2">
        <v>44335.0</v>
      </c>
      <c r="C2583" s="1" t="s">
        <v>20</v>
      </c>
      <c r="D2583" s="1" t="s">
        <v>15</v>
      </c>
      <c r="E2583" s="1" t="s">
        <v>16</v>
      </c>
      <c r="F2583" s="1">
        <v>49.56</v>
      </c>
      <c r="G2583" s="1">
        <v>-59.97</v>
      </c>
      <c r="H2583" s="1">
        <v>4.0</v>
      </c>
      <c r="I2583" s="1" t="s">
        <v>23</v>
      </c>
      <c r="J2583" s="1" t="s">
        <v>18</v>
      </c>
      <c r="K2583" s="1">
        <f t="shared" si="1"/>
        <v>2021</v>
      </c>
      <c r="L2583" s="1" t="str">
        <f t="shared" si="2"/>
        <v>May</v>
      </c>
      <c r="M2583" s="1" t="str">
        <f t="shared" si="3"/>
        <v>Loss</v>
      </c>
    </row>
    <row r="2584" ht="14.25" customHeight="1">
      <c r="A2584" s="1" t="s">
        <v>2618</v>
      </c>
      <c r="B2584" s="2">
        <v>45059.0</v>
      </c>
      <c r="C2584" s="1" t="s">
        <v>26</v>
      </c>
      <c r="D2584" s="1" t="s">
        <v>15</v>
      </c>
      <c r="E2584" s="1" t="s">
        <v>54</v>
      </c>
      <c r="F2584" s="1">
        <v>712.57</v>
      </c>
      <c r="G2584" s="1">
        <v>190.66</v>
      </c>
      <c r="H2584" s="1">
        <v>2.0</v>
      </c>
      <c r="I2584" s="1" t="s">
        <v>34</v>
      </c>
      <c r="J2584" s="1" t="s">
        <v>18</v>
      </c>
      <c r="K2584" s="1">
        <f t="shared" si="1"/>
        <v>2023</v>
      </c>
      <c r="L2584" s="1" t="str">
        <f t="shared" si="2"/>
        <v>May</v>
      </c>
      <c r="M2584" s="1" t="str">
        <f t="shared" si="3"/>
        <v>Profit</v>
      </c>
    </row>
    <row r="2585" ht="14.25" customHeight="1">
      <c r="A2585" s="1" t="s">
        <v>2619</v>
      </c>
      <c r="B2585" s="2">
        <v>44562.0</v>
      </c>
      <c r="C2585" s="1" t="s">
        <v>20</v>
      </c>
      <c r="D2585" s="1" t="s">
        <v>27</v>
      </c>
      <c r="E2585" s="1" t="s">
        <v>33</v>
      </c>
      <c r="F2585" s="1">
        <v>535.78</v>
      </c>
      <c r="G2585" s="1">
        <v>-166.08</v>
      </c>
      <c r="H2585" s="1">
        <v>2.0</v>
      </c>
      <c r="I2585" s="1" t="s">
        <v>23</v>
      </c>
      <c r="J2585" s="1" t="s">
        <v>18</v>
      </c>
      <c r="K2585" s="1">
        <f t="shared" si="1"/>
        <v>2022</v>
      </c>
      <c r="L2585" s="1" t="str">
        <f t="shared" si="2"/>
        <v>Jan</v>
      </c>
      <c r="M2585" s="1" t="str">
        <f t="shared" si="3"/>
        <v>Loss</v>
      </c>
    </row>
    <row r="2586" ht="14.25" customHeight="1">
      <c r="A2586" s="1" t="s">
        <v>2620</v>
      </c>
      <c r="B2586" s="2">
        <v>44956.0</v>
      </c>
      <c r="C2586" s="1" t="s">
        <v>20</v>
      </c>
      <c r="D2586" s="1" t="s">
        <v>27</v>
      </c>
      <c r="E2586" s="1" t="s">
        <v>28</v>
      </c>
      <c r="F2586" s="1">
        <v>890.24</v>
      </c>
      <c r="G2586" s="1">
        <v>-75.86</v>
      </c>
      <c r="H2586" s="1">
        <v>9.0</v>
      </c>
      <c r="I2586" s="1" t="s">
        <v>34</v>
      </c>
      <c r="J2586" s="1" t="s">
        <v>18</v>
      </c>
      <c r="K2586" s="1">
        <f t="shared" si="1"/>
        <v>2023</v>
      </c>
      <c r="L2586" s="1" t="str">
        <f t="shared" si="2"/>
        <v>Jan</v>
      </c>
      <c r="M2586" s="1" t="str">
        <f t="shared" si="3"/>
        <v>Loss</v>
      </c>
    </row>
    <row r="2587" ht="14.25" customHeight="1">
      <c r="A2587" s="1" t="s">
        <v>2621</v>
      </c>
      <c r="B2587" s="2">
        <v>44254.0</v>
      </c>
      <c r="C2587" s="1" t="s">
        <v>14</v>
      </c>
      <c r="D2587" s="1" t="s">
        <v>15</v>
      </c>
      <c r="E2587" s="1" t="s">
        <v>16</v>
      </c>
      <c r="F2587" s="1">
        <v>26.12</v>
      </c>
      <c r="G2587" s="1">
        <v>-145.6</v>
      </c>
      <c r="H2587" s="1">
        <v>8.0</v>
      </c>
      <c r="I2587" s="1" t="s">
        <v>17</v>
      </c>
      <c r="J2587" s="1" t="s">
        <v>38</v>
      </c>
      <c r="K2587" s="1">
        <f t="shared" si="1"/>
        <v>2021</v>
      </c>
      <c r="L2587" s="1" t="str">
        <f t="shared" si="2"/>
        <v>Feb</v>
      </c>
      <c r="M2587" s="1" t="str">
        <f t="shared" si="3"/>
        <v>Loss</v>
      </c>
    </row>
    <row r="2588" ht="14.25" customHeight="1">
      <c r="A2588" s="1" t="s">
        <v>2622</v>
      </c>
      <c r="B2588" s="2">
        <v>44557.0</v>
      </c>
      <c r="C2588" s="1" t="s">
        <v>14</v>
      </c>
      <c r="D2588" s="1" t="s">
        <v>15</v>
      </c>
      <c r="E2588" s="1" t="s">
        <v>54</v>
      </c>
      <c r="F2588" s="1">
        <v>732.32</v>
      </c>
      <c r="G2588" s="1">
        <v>-167.8</v>
      </c>
      <c r="H2588" s="1">
        <v>1.0</v>
      </c>
      <c r="I2588" s="1" t="s">
        <v>34</v>
      </c>
      <c r="J2588" s="1" t="s">
        <v>38</v>
      </c>
      <c r="K2588" s="1">
        <f t="shared" si="1"/>
        <v>2021</v>
      </c>
      <c r="L2588" s="1" t="str">
        <f t="shared" si="2"/>
        <v>Dec</v>
      </c>
      <c r="M2588" s="1" t="str">
        <f t="shared" si="3"/>
        <v>Loss</v>
      </c>
    </row>
    <row r="2589" ht="14.25" customHeight="1">
      <c r="A2589" s="1" t="s">
        <v>2623</v>
      </c>
      <c r="B2589" s="2">
        <v>44321.0</v>
      </c>
      <c r="C2589" s="1" t="s">
        <v>14</v>
      </c>
      <c r="D2589" s="1" t="s">
        <v>15</v>
      </c>
      <c r="E2589" s="1" t="s">
        <v>31</v>
      </c>
      <c r="F2589" s="1">
        <v>867.32</v>
      </c>
      <c r="G2589" s="1">
        <v>274.32</v>
      </c>
      <c r="H2589" s="1">
        <v>2.0</v>
      </c>
      <c r="I2589" s="1" t="s">
        <v>17</v>
      </c>
      <c r="J2589" s="1" t="s">
        <v>24</v>
      </c>
      <c r="K2589" s="1">
        <f t="shared" si="1"/>
        <v>2021</v>
      </c>
      <c r="L2589" s="1" t="str">
        <f t="shared" si="2"/>
        <v>May</v>
      </c>
      <c r="M2589" s="1" t="str">
        <f t="shared" si="3"/>
        <v>Profit</v>
      </c>
    </row>
    <row r="2590" ht="14.25" customHeight="1">
      <c r="A2590" s="1" t="s">
        <v>2624</v>
      </c>
      <c r="B2590" s="2">
        <v>45209.0</v>
      </c>
      <c r="C2590" s="1" t="s">
        <v>30</v>
      </c>
      <c r="D2590" s="1" t="s">
        <v>21</v>
      </c>
      <c r="E2590" s="1" t="s">
        <v>76</v>
      </c>
      <c r="F2590" s="1">
        <v>765.61</v>
      </c>
      <c r="G2590" s="1">
        <v>-156.17</v>
      </c>
      <c r="H2590" s="1">
        <v>5.0</v>
      </c>
      <c r="I2590" s="1" t="s">
        <v>23</v>
      </c>
      <c r="J2590" s="1" t="s">
        <v>38</v>
      </c>
      <c r="K2590" s="1">
        <f t="shared" si="1"/>
        <v>2023</v>
      </c>
      <c r="L2590" s="1" t="str">
        <f t="shared" si="2"/>
        <v>Oct</v>
      </c>
      <c r="M2590" s="1" t="str">
        <f t="shared" si="3"/>
        <v>Loss</v>
      </c>
    </row>
    <row r="2591" ht="14.25" customHeight="1">
      <c r="A2591" s="1" t="s">
        <v>2625</v>
      </c>
      <c r="B2591" s="2">
        <v>44478.0</v>
      </c>
      <c r="C2591" s="1" t="s">
        <v>20</v>
      </c>
      <c r="D2591" s="1" t="s">
        <v>21</v>
      </c>
      <c r="E2591" s="1" t="s">
        <v>76</v>
      </c>
      <c r="F2591" s="1">
        <v>398.15</v>
      </c>
      <c r="G2591" s="1">
        <v>168.13</v>
      </c>
      <c r="H2591" s="1">
        <v>9.0</v>
      </c>
      <c r="I2591" s="1" t="s">
        <v>17</v>
      </c>
      <c r="J2591" s="1" t="s">
        <v>18</v>
      </c>
      <c r="K2591" s="1">
        <f t="shared" si="1"/>
        <v>2021</v>
      </c>
      <c r="L2591" s="1" t="str">
        <f t="shared" si="2"/>
        <v>Oct</v>
      </c>
      <c r="M2591" s="1" t="str">
        <f t="shared" si="3"/>
        <v>Profit</v>
      </c>
    </row>
    <row r="2592" ht="14.25" customHeight="1">
      <c r="A2592" s="1" t="s">
        <v>2626</v>
      </c>
      <c r="B2592" s="2">
        <v>44662.0</v>
      </c>
      <c r="C2592" s="1" t="s">
        <v>20</v>
      </c>
      <c r="D2592" s="1" t="s">
        <v>27</v>
      </c>
      <c r="E2592" s="1" t="s">
        <v>40</v>
      </c>
      <c r="F2592" s="1">
        <v>924.0</v>
      </c>
      <c r="G2592" s="1">
        <v>252.85</v>
      </c>
      <c r="H2592" s="1">
        <v>2.0</v>
      </c>
      <c r="I2592" s="1" t="s">
        <v>17</v>
      </c>
      <c r="J2592" s="1" t="s">
        <v>35</v>
      </c>
      <c r="K2592" s="1">
        <f t="shared" si="1"/>
        <v>2022</v>
      </c>
      <c r="L2592" s="1" t="str">
        <f t="shared" si="2"/>
        <v>Apr</v>
      </c>
      <c r="M2592" s="1" t="str">
        <f t="shared" si="3"/>
        <v>Profit</v>
      </c>
    </row>
    <row r="2593" ht="14.25" customHeight="1">
      <c r="A2593" s="1" t="s">
        <v>2627</v>
      </c>
      <c r="B2593" s="2">
        <v>44746.0</v>
      </c>
      <c r="C2593" s="1" t="s">
        <v>14</v>
      </c>
      <c r="D2593" s="1" t="s">
        <v>15</v>
      </c>
      <c r="E2593" s="1" t="s">
        <v>16</v>
      </c>
      <c r="F2593" s="1">
        <v>565.17</v>
      </c>
      <c r="G2593" s="1">
        <v>95.36</v>
      </c>
      <c r="H2593" s="1">
        <v>2.0</v>
      </c>
      <c r="I2593" s="1" t="s">
        <v>34</v>
      </c>
      <c r="J2593" s="1" t="s">
        <v>38</v>
      </c>
      <c r="K2593" s="1">
        <f t="shared" si="1"/>
        <v>2022</v>
      </c>
      <c r="L2593" s="1" t="str">
        <f t="shared" si="2"/>
        <v>Jul</v>
      </c>
      <c r="M2593" s="1" t="str">
        <f t="shared" si="3"/>
        <v>Profit</v>
      </c>
    </row>
    <row r="2594" ht="14.25" customHeight="1">
      <c r="A2594" s="1" t="s">
        <v>2628</v>
      </c>
      <c r="B2594" s="2">
        <v>45243.0</v>
      </c>
      <c r="C2594" s="1" t="s">
        <v>30</v>
      </c>
      <c r="D2594" s="1" t="s">
        <v>21</v>
      </c>
      <c r="E2594" s="1" t="s">
        <v>22</v>
      </c>
      <c r="F2594" s="1">
        <v>659.25</v>
      </c>
      <c r="G2594" s="1">
        <v>43.92</v>
      </c>
      <c r="H2594" s="1">
        <v>3.0</v>
      </c>
      <c r="I2594" s="1" t="s">
        <v>34</v>
      </c>
      <c r="J2594" s="1" t="s">
        <v>35</v>
      </c>
      <c r="K2594" s="1">
        <f t="shared" si="1"/>
        <v>2023</v>
      </c>
      <c r="L2594" s="1" t="str">
        <f t="shared" si="2"/>
        <v>Nov</v>
      </c>
      <c r="M2594" s="1" t="str">
        <f t="shared" si="3"/>
        <v>Profit</v>
      </c>
    </row>
    <row r="2595" ht="14.25" customHeight="1">
      <c r="A2595" s="1" t="s">
        <v>2629</v>
      </c>
      <c r="B2595" s="2">
        <v>44832.0</v>
      </c>
      <c r="C2595" s="1" t="s">
        <v>14</v>
      </c>
      <c r="D2595" s="1" t="s">
        <v>21</v>
      </c>
      <c r="E2595" s="1" t="s">
        <v>76</v>
      </c>
      <c r="F2595" s="1">
        <v>541.66</v>
      </c>
      <c r="G2595" s="1">
        <v>267.42</v>
      </c>
      <c r="H2595" s="1">
        <v>7.0</v>
      </c>
      <c r="I2595" s="1" t="s">
        <v>17</v>
      </c>
      <c r="J2595" s="1" t="s">
        <v>38</v>
      </c>
      <c r="K2595" s="1">
        <f t="shared" si="1"/>
        <v>2022</v>
      </c>
      <c r="L2595" s="1" t="str">
        <f t="shared" si="2"/>
        <v>Sep</v>
      </c>
      <c r="M2595" s="1" t="str">
        <f t="shared" si="3"/>
        <v>Profit</v>
      </c>
    </row>
    <row r="2596" ht="14.25" customHeight="1">
      <c r="A2596" s="1" t="s">
        <v>2630</v>
      </c>
      <c r="B2596" s="2">
        <v>44217.0</v>
      </c>
      <c r="C2596" s="1" t="s">
        <v>20</v>
      </c>
      <c r="D2596" s="1" t="s">
        <v>15</v>
      </c>
      <c r="E2596" s="1" t="s">
        <v>16</v>
      </c>
      <c r="F2596" s="1">
        <v>968.53</v>
      </c>
      <c r="G2596" s="1">
        <v>264.31</v>
      </c>
      <c r="H2596" s="1">
        <v>10.0</v>
      </c>
      <c r="I2596" s="1" t="s">
        <v>34</v>
      </c>
      <c r="J2596" s="1" t="s">
        <v>35</v>
      </c>
      <c r="K2596" s="1">
        <f t="shared" si="1"/>
        <v>2021</v>
      </c>
      <c r="L2596" s="1" t="str">
        <f t="shared" si="2"/>
        <v>Jan</v>
      </c>
      <c r="M2596" s="1" t="str">
        <f t="shared" si="3"/>
        <v>Profit</v>
      </c>
    </row>
    <row r="2597" ht="14.25" customHeight="1">
      <c r="A2597" s="1" t="s">
        <v>2631</v>
      </c>
      <c r="B2597" s="2">
        <v>44855.0</v>
      </c>
      <c r="C2597" s="1" t="s">
        <v>14</v>
      </c>
      <c r="D2597" s="1" t="s">
        <v>21</v>
      </c>
      <c r="E2597" s="1" t="s">
        <v>76</v>
      </c>
      <c r="F2597" s="1">
        <v>937.07</v>
      </c>
      <c r="G2597" s="1">
        <v>39.85</v>
      </c>
      <c r="H2597" s="1">
        <v>8.0</v>
      </c>
      <c r="I2597" s="1" t="s">
        <v>17</v>
      </c>
      <c r="J2597" s="1" t="s">
        <v>24</v>
      </c>
      <c r="K2597" s="1">
        <f t="shared" si="1"/>
        <v>2022</v>
      </c>
      <c r="L2597" s="1" t="str">
        <f t="shared" si="2"/>
        <v>Oct</v>
      </c>
      <c r="M2597" s="1" t="str">
        <f t="shared" si="3"/>
        <v>Profit</v>
      </c>
    </row>
    <row r="2598" ht="14.25" customHeight="1">
      <c r="A2598" s="1" t="s">
        <v>2632</v>
      </c>
      <c r="B2598" s="2">
        <v>45157.0</v>
      </c>
      <c r="C2598" s="1" t="s">
        <v>14</v>
      </c>
      <c r="D2598" s="1" t="s">
        <v>27</v>
      </c>
      <c r="E2598" s="1" t="s">
        <v>28</v>
      </c>
      <c r="F2598" s="1">
        <v>716.37</v>
      </c>
      <c r="G2598" s="1">
        <v>211.6</v>
      </c>
      <c r="H2598" s="1">
        <v>5.0</v>
      </c>
      <c r="I2598" s="1" t="s">
        <v>23</v>
      </c>
      <c r="J2598" s="1" t="s">
        <v>38</v>
      </c>
      <c r="K2598" s="1">
        <f t="shared" si="1"/>
        <v>2023</v>
      </c>
      <c r="L2598" s="1" t="str">
        <f t="shared" si="2"/>
        <v>Aug</v>
      </c>
      <c r="M2598" s="1" t="str">
        <f t="shared" si="3"/>
        <v>Profit</v>
      </c>
    </row>
    <row r="2599" ht="14.25" customHeight="1">
      <c r="A2599" s="1" t="s">
        <v>2633</v>
      </c>
      <c r="B2599" s="2">
        <v>45132.0</v>
      </c>
      <c r="C2599" s="1" t="s">
        <v>14</v>
      </c>
      <c r="D2599" s="1" t="s">
        <v>15</v>
      </c>
      <c r="E2599" s="1" t="s">
        <v>31</v>
      </c>
      <c r="F2599" s="1">
        <v>655.86</v>
      </c>
      <c r="G2599" s="1">
        <v>-93.32</v>
      </c>
      <c r="H2599" s="1">
        <v>1.0</v>
      </c>
      <c r="I2599" s="1" t="s">
        <v>23</v>
      </c>
      <c r="J2599" s="1" t="s">
        <v>35</v>
      </c>
      <c r="K2599" s="1">
        <f t="shared" si="1"/>
        <v>2023</v>
      </c>
      <c r="L2599" s="1" t="str">
        <f t="shared" si="2"/>
        <v>Jul</v>
      </c>
      <c r="M2599" s="1" t="str">
        <f t="shared" si="3"/>
        <v>Loss</v>
      </c>
    </row>
    <row r="2600" ht="14.25" customHeight="1">
      <c r="A2600" s="1" t="s">
        <v>2634</v>
      </c>
      <c r="B2600" s="2">
        <v>44984.0</v>
      </c>
      <c r="C2600" s="1" t="s">
        <v>30</v>
      </c>
      <c r="D2600" s="1" t="s">
        <v>15</v>
      </c>
      <c r="E2600" s="1" t="s">
        <v>16</v>
      </c>
      <c r="F2600" s="1">
        <v>508.5</v>
      </c>
      <c r="G2600" s="1">
        <v>277.75</v>
      </c>
      <c r="H2600" s="1">
        <v>3.0</v>
      </c>
      <c r="I2600" s="1" t="s">
        <v>17</v>
      </c>
      <c r="J2600" s="1" t="s">
        <v>38</v>
      </c>
      <c r="K2600" s="1">
        <f t="shared" si="1"/>
        <v>2023</v>
      </c>
      <c r="L2600" s="1" t="str">
        <f t="shared" si="2"/>
        <v>Feb</v>
      </c>
      <c r="M2600" s="1" t="str">
        <f t="shared" si="3"/>
        <v>Profit</v>
      </c>
    </row>
    <row r="2601" ht="14.25" customHeight="1">
      <c r="A2601" s="1" t="s">
        <v>2635</v>
      </c>
      <c r="B2601" s="2">
        <v>44467.0</v>
      </c>
      <c r="C2601" s="1" t="s">
        <v>20</v>
      </c>
      <c r="D2601" s="1" t="s">
        <v>27</v>
      </c>
      <c r="E2601" s="1" t="s">
        <v>40</v>
      </c>
      <c r="F2601" s="1">
        <v>217.46</v>
      </c>
      <c r="G2601" s="1">
        <v>230.76</v>
      </c>
      <c r="H2601" s="1">
        <v>7.0</v>
      </c>
      <c r="I2601" s="1" t="s">
        <v>23</v>
      </c>
      <c r="J2601" s="1" t="s">
        <v>35</v>
      </c>
      <c r="K2601" s="1">
        <f t="shared" si="1"/>
        <v>2021</v>
      </c>
      <c r="L2601" s="1" t="str">
        <f t="shared" si="2"/>
        <v>Sep</v>
      </c>
      <c r="M2601" s="1" t="str">
        <f t="shared" si="3"/>
        <v>Profit</v>
      </c>
    </row>
    <row r="2602" ht="14.25" customHeight="1">
      <c r="A2602" s="1" t="s">
        <v>2636</v>
      </c>
      <c r="B2602" s="2">
        <v>44583.0</v>
      </c>
      <c r="C2602" s="1" t="s">
        <v>14</v>
      </c>
      <c r="D2602" s="1" t="s">
        <v>15</v>
      </c>
      <c r="E2602" s="1" t="s">
        <v>54</v>
      </c>
      <c r="F2602" s="1">
        <v>990.53</v>
      </c>
      <c r="G2602" s="1">
        <v>88.21</v>
      </c>
      <c r="H2602" s="1">
        <v>7.0</v>
      </c>
      <c r="I2602" s="1" t="s">
        <v>34</v>
      </c>
      <c r="J2602" s="1" t="s">
        <v>35</v>
      </c>
      <c r="K2602" s="1">
        <f t="shared" si="1"/>
        <v>2022</v>
      </c>
      <c r="L2602" s="1" t="str">
        <f t="shared" si="2"/>
        <v>Jan</v>
      </c>
      <c r="M2602" s="1" t="str">
        <f t="shared" si="3"/>
        <v>Profit</v>
      </c>
    </row>
    <row r="2603" ht="14.25" customHeight="1">
      <c r="A2603" s="1" t="s">
        <v>2637</v>
      </c>
      <c r="B2603" s="2">
        <v>44760.0</v>
      </c>
      <c r="C2603" s="1" t="s">
        <v>14</v>
      </c>
      <c r="D2603" s="1" t="s">
        <v>27</v>
      </c>
      <c r="E2603" s="1" t="s">
        <v>28</v>
      </c>
      <c r="F2603" s="1">
        <v>859.06</v>
      </c>
      <c r="G2603" s="1">
        <v>-105.42</v>
      </c>
      <c r="H2603" s="1">
        <v>6.0</v>
      </c>
      <c r="I2603" s="1" t="s">
        <v>17</v>
      </c>
      <c r="J2603" s="1" t="s">
        <v>38</v>
      </c>
      <c r="K2603" s="1">
        <f t="shared" si="1"/>
        <v>2022</v>
      </c>
      <c r="L2603" s="1" t="str">
        <f t="shared" si="2"/>
        <v>Jul</v>
      </c>
      <c r="M2603" s="1" t="str">
        <f t="shared" si="3"/>
        <v>Loss</v>
      </c>
    </row>
    <row r="2604" ht="14.25" customHeight="1">
      <c r="A2604" s="1" t="s">
        <v>2638</v>
      </c>
      <c r="B2604" s="2">
        <v>45109.0</v>
      </c>
      <c r="C2604" s="1" t="s">
        <v>30</v>
      </c>
      <c r="D2604" s="1" t="s">
        <v>27</v>
      </c>
      <c r="E2604" s="1" t="s">
        <v>28</v>
      </c>
      <c r="F2604" s="1">
        <v>406.33</v>
      </c>
      <c r="G2604" s="1">
        <v>86.39</v>
      </c>
      <c r="H2604" s="1">
        <v>8.0</v>
      </c>
      <c r="I2604" s="1" t="s">
        <v>23</v>
      </c>
      <c r="J2604" s="1" t="s">
        <v>18</v>
      </c>
      <c r="K2604" s="1">
        <f t="shared" si="1"/>
        <v>2023</v>
      </c>
      <c r="L2604" s="1" t="str">
        <f t="shared" si="2"/>
        <v>Jul</v>
      </c>
      <c r="M2604" s="1" t="str">
        <f t="shared" si="3"/>
        <v>Profit</v>
      </c>
    </row>
    <row r="2605" ht="14.25" customHeight="1">
      <c r="A2605" s="1" t="s">
        <v>2639</v>
      </c>
      <c r="B2605" s="2">
        <v>44250.0</v>
      </c>
      <c r="C2605" s="1" t="s">
        <v>20</v>
      </c>
      <c r="D2605" s="1" t="s">
        <v>21</v>
      </c>
      <c r="E2605" s="1" t="s">
        <v>22</v>
      </c>
      <c r="F2605" s="1">
        <v>842.6</v>
      </c>
      <c r="G2605" s="1">
        <v>-192.17</v>
      </c>
      <c r="H2605" s="1">
        <v>9.0</v>
      </c>
      <c r="I2605" s="1" t="s">
        <v>23</v>
      </c>
      <c r="J2605" s="1" t="s">
        <v>18</v>
      </c>
      <c r="K2605" s="1">
        <f t="shared" si="1"/>
        <v>2021</v>
      </c>
      <c r="L2605" s="1" t="str">
        <f t="shared" si="2"/>
        <v>Feb</v>
      </c>
      <c r="M2605" s="1" t="str">
        <f t="shared" si="3"/>
        <v>Loss</v>
      </c>
    </row>
    <row r="2606" ht="14.25" customHeight="1">
      <c r="A2606" s="1" t="s">
        <v>2640</v>
      </c>
      <c r="B2606" s="2">
        <v>44257.0</v>
      </c>
      <c r="C2606" s="1" t="s">
        <v>20</v>
      </c>
      <c r="D2606" s="1" t="s">
        <v>15</v>
      </c>
      <c r="E2606" s="1" t="s">
        <v>31</v>
      </c>
      <c r="F2606" s="1">
        <v>989.78</v>
      </c>
      <c r="G2606" s="1">
        <v>66.75</v>
      </c>
      <c r="H2606" s="1">
        <v>10.0</v>
      </c>
      <c r="I2606" s="1" t="s">
        <v>17</v>
      </c>
      <c r="J2606" s="1" t="s">
        <v>24</v>
      </c>
      <c r="K2606" s="1">
        <f t="shared" si="1"/>
        <v>2021</v>
      </c>
      <c r="L2606" s="1" t="str">
        <f t="shared" si="2"/>
        <v>Mar</v>
      </c>
      <c r="M2606" s="1" t="str">
        <f t="shared" si="3"/>
        <v>Profit</v>
      </c>
    </row>
    <row r="2607" ht="14.25" customHeight="1">
      <c r="A2607" s="1" t="s">
        <v>2641</v>
      </c>
      <c r="B2607" s="2">
        <v>44799.0</v>
      </c>
      <c r="C2607" s="1" t="s">
        <v>26</v>
      </c>
      <c r="D2607" s="1" t="s">
        <v>27</v>
      </c>
      <c r="E2607" s="1" t="s">
        <v>33</v>
      </c>
      <c r="F2607" s="1">
        <v>352.27</v>
      </c>
      <c r="G2607" s="1">
        <v>194.32</v>
      </c>
      <c r="H2607" s="1">
        <v>5.0</v>
      </c>
      <c r="I2607" s="1" t="s">
        <v>34</v>
      </c>
      <c r="J2607" s="1" t="s">
        <v>38</v>
      </c>
      <c r="K2607" s="1">
        <f t="shared" si="1"/>
        <v>2022</v>
      </c>
      <c r="L2607" s="1" t="str">
        <f t="shared" si="2"/>
        <v>Aug</v>
      </c>
      <c r="M2607" s="1" t="str">
        <f t="shared" si="3"/>
        <v>Profit</v>
      </c>
    </row>
    <row r="2608" ht="14.25" customHeight="1">
      <c r="A2608" s="1" t="s">
        <v>2642</v>
      </c>
      <c r="B2608" s="2">
        <v>44894.0</v>
      </c>
      <c r="C2608" s="1" t="s">
        <v>30</v>
      </c>
      <c r="D2608" s="1" t="s">
        <v>21</v>
      </c>
      <c r="E2608" s="1" t="s">
        <v>76</v>
      </c>
      <c r="F2608" s="1">
        <v>378.51</v>
      </c>
      <c r="G2608" s="1">
        <v>-30.47</v>
      </c>
      <c r="H2608" s="1">
        <v>5.0</v>
      </c>
      <c r="I2608" s="1" t="s">
        <v>17</v>
      </c>
      <c r="J2608" s="1" t="s">
        <v>18</v>
      </c>
      <c r="K2608" s="1">
        <f t="shared" si="1"/>
        <v>2022</v>
      </c>
      <c r="L2608" s="1" t="str">
        <f t="shared" si="2"/>
        <v>Nov</v>
      </c>
      <c r="M2608" s="1" t="str">
        <f t="shared" si="3"/>
        <v>Loss</v>
      </c>
    </row>
    <row r="2609" ht="14.25" customHeight="1">
      <c r="A2609" s="1" t="s">
        <v>2643</v>
      </c>
      <c r="B2609" s="2">
        <v>44692.0</v>
      </c>
      <c r="C2609" s="1" t="s">
        <v>14</v>
      </c>
      <c r="D2609" s="1" t="s">
        <v>15</v>
      </c>
      <c r="E2609" s="1" t="s">
        <v>54</v>
      </c>
      <c r="F2609" s="1">
        <v>533.42</v>
      </c>
      <c r="G2609" s="1">
        <v>-71.91</v>
      </c>
      <c r="H2609" s="1">
        <v>8.0</v>
      </c>
      <c r="I2609" s="1" t="s">
        <v>23</v>
      </c>
      <c r="J2609" s="1" t="s">
        <v>35</v>
      </c>
      <c r="K2609" s="1">
        <f t="shared" si="1"/>
        <v>2022</v>
      </c>
      <c r="L2609" s="1" t="str">
        <f t="shared" si="2"/>
        <v>May</v>
      </c>
      <c r="M2609" s="1" t="str">
        <f t="shared" si="3"/>
        <v>Loss</v>
      </c>
    </row>
    <row r="2610" ht="14.25" customHeight="1">
      <c r="A2610" s="1" t="s">
        <v>2644</v>
      </c>
      <c r="B2610" s="2">
        <v>44522.0</v>
      </c>
      <c r="C2610" s="1" t="s">
        <v>30</v>
      </c>
      <c r="D2610" s="1" t="s">
        <v>21</v>
      </c>
      <c r="E2610" s="1" t="s">
        <v>37</v>
      </c>
      <c r="F2610" s="1">
        <v>955.62</v>
      </c>
      <c r="G2610" s="1">
        <v>-131.54</v>
      </c>
      <c r="H2610" s="1">
        <v>4.0</v>
      </c>
      <c r="I2610" s="1" t="s">
        <v>34</v>
      </c>
      <c r="J2610" s="1" t="s">
        <v>38</v>
      </c>
      <c r="K2610" s="1">
        <f t="shared" si="1"/>
        <v>2021</v>
      </c>
      <c r="L2610" s="1" t="str">
        <f t="shared" si="2"/>
        <v>Nov</v>
      </c>
      <c r="M2610" s="1" t="str">
        <f t="shared" si="3"/>
        <v>Loss</v>
      </c>
    </row>
    <row r="2611" ht="14.25" customHeight="1">
      <c r="A2611" s="1" t="s">
        <v>2645</v>
      </c>
      <c r="B2611" s="2">
        <v>45200.0</v>
      </c>
      <c r="C2611" s="1" t="s">
        <v>26</v>
      </c>
      <c r="D2611" s="1" t="s">
        <v>27</v>
      </c>
      <c r="E2611" s="1" t="s">
        <v>33</v>
      </c>
      <c r="F2611" s="1">
        <v>832.38</v>
      </c>
      <c r="G2611" s="1">
        <v>275.11</v>
      </c>
      <c r="H2611" s="1">
        <v>6.0</v>
      </c>
      <c r="I2611" s="1" t="s">
        <v>34</v>
      </c>
      <c r="J2611" s="1" t="s">
        <v>18</v>
      </c>
      <c r="K2611" s="1">
        <f t="shared" si="1"/>
        <v>2023</v>
      </c>
      <c r="L2611" s="1" t="str">
        <f t="shared" si="2"/>
        <v>Oct</v>
      </c>
      <c r="M2611" s="1" t="str">
        <f t="shared" si="3"/>
        <v>Profit</v>
      </c>
    </row>
    <row r="2612" ht="14.25" customHeight="1">
      <c r="A2612" s="1" t="s">
        <v>2646</v>
      </c>
      <c r="B2612" s="2">
        <v>44853.0</v>
      </c>
      <c r="C2612" s="1" t="s">
        <v>30</v>
      </c>
      <c r="D2612" s="1" t="s">
        <v>27</v>
      </c>
      <c r="E2612" s="1" t="s">
        <v>33</v>
      </c>
      <c r="F2612" s="1">
        <v>737.89</v>
      </c>
      <c r="G2612" s="1">
        <v>153.45</v>
      </c>
      <c r="H2612" s="1">
        <v>1.0</v>
      </c>
      <c r="I2612" s="1" t="s">
        <v>23</v>
      </c>
      <c r="J2612" s="1" t="s">
        <v>35</v>
      </c>
      <c r="K2612" s="1">
        <f t="shared" si="1"/>
        <v>2022</v>
      </c>
      <c r="L2612" s="1" t="str">
        <f t="shared" si="2"/>
        <v>Oct</v>
      </c>
      <c r="M2612" s="1" t="str">
        <f t="shared" si="3"/>
        <v>Profit</v>
      </c>
    </row>
    <row r="2613" ht="14.25" customHeight="1">
      <c r="A2613" s="1" t="s">
        <v>2647</v>
      </c>
      <c r="B2613" s="2">
        <v>44374.0</v>
      </c>
      <c r="C2613" s="1" t="s">
        <v>30</v>
      </c>
      <c r="D2613" s="1" t="s">
        <v>15</v>
      </c>
      <c r="E2613" s="1" t="s">
        <v>54</v>
      </c>
      <c r="F2613" s="1">
        <v>364.49</v>
      </c>
      <c r="G2613" s="1">
        <v>-118.38</v>
      </c>
      <c r="H2613" s="1">
        <v>2.0</v>
      </c>
      <c r="I2613" s="1" t="s">
        <v>23</v>
      </c>
      <c r="J2613" s="1" t="s">
        <v>24</v>
      </c>
      <c r="K2613" s="1">
        <f t="shared" si="1"/>
        <v>2021</v>
      </c>
      <c r="L2613" s="1" t="str">
        <f t="shared" si="2"/>
        <v>Jun</v>
      </c>
      <c r="M2613" s="1" t="str">
        <f t="shared" si="3"/>
        <v>Loss</v>
      </c>
    </row>
    <row r="2614" ht="14.25" customHeight="1">
      <c r="A2614" s="1" t="s">
        <v>2648</v>
      </c>
      <c r="B2614" s="2">
        <v>44390.0</v>
      </c>
      <c r="C2614" s="1" t="s">
        <v>14</v>
      </c>
      <c r="D2614" s="1" t="s">
        <v>15</v>
      </c>
      <c r="E2614" s="1" t="s">
        <v>31</v>
      </c>
      <c r="F2614" s="1">
        <v>800.3</v>
      </c>
      <c r="G2614" s="1">
        <v>123.22</v>
      </c>
      <c r="H2614" s="1">
        <v>9.0</v>
      </c>
      <c r="I2614" s="1" t="s">
        <v>34</v>
      </c>
      <c r="J2614" s="1" t="s">
        <v>18</v>
      </c>
      <c r="K2614" s="1">
        <f t="shared" si="1"/>
        <v>2021</v>
      </c>
      <c r="L2614" s="1" t="str">
        <f t="shared" si="2"/>
        <v>Jul</v>
      </c>
      <c r="M2614" s="1" t="str">
        <f t="shared" si="3"/>
        <v>Profit</v>
      </c>
    </row>
    <row r="2615" ht="14.25" customHeight="1">
      <c r="A2615" s="1" t="s">
        <v>2649</v>
      </c>
      <c r="B2615" s="2">
        <v>45249.0</v>
      </c>
      <c r="C2615" s="1" t="s">
        <v>14</v>
      </c>
      <c r="D2615" s="1" t="s">
        <v>15</v>
      </c>
      <c r="E2615" s="1" t="s">
        <v>31</v>
      </c>
      <c r="F2615" s="1">
        <v>699.43</v>
      </c>
      <c r="G2615" s="1">
        <v>286.13</v>
      </c>
      <c r="H2615" s="1">
        <v>6.0</v>
      </c>
      <c r="I2615" s="1" t="s">
        <v>34</v>
      </c>
      <c r="J2615" s="1" t="s">
        <v>38</v>
      </c>
      <c r="K2615" s="1">
        <f t="shared" si="1"/>
        <v>2023</v>
      </c>
      <c r="L2615" s="1" t="str">
        <f t="shared" si="2"/>
        <v>Nov</v>
      </c>
      <c r="M2615" s="1" t="str">
        <f t="shared" si="3"/>
        <v>Profit</v>
      </c>
    </row>
    <row r="2616" ht="14.25" customHeight="1">
      <c r="A2616" s="1" t="s">
        <v>2650</v>
      </c>
      <c r="B2616" s="2">
        <v>44740.0</v>
      </c>
      <c r="C2616" s="1" t="s">
        <v>20</v>
      </c>
      <c r="D2616" s="1" t="s">
        <v>21</v>
      </c>
      <c r="E2616" s="1" t="s">
        <v>22</v>
      </c>
      <c r="F2616" s="1">
        <v>919.32</v>
      </c>
      <c r="G2616" s="1">
        <v>47.42</v>
      </c>
      <c r="H2616" s="1">
        <v>10.0</v>
      </c>
      <c r="I2616" s="1" t="s">
        <v>34</v>
      </c>
      <c r="J2616" s="1" t="s">
        <v>35</v>
      </c>
      <c r="K2616" s="1">
        <f t="shared" si="1"/>
        <v>2022</v>
      </c>
      <c r="L2616" s="1" t="str">
        <f t="shared" si="2"/>
        <v>Jun</v>
      </c>
      <c r="M2616" s="1" t="str">
        <f t="shared" si="3"/>
        <v>Profit</v>
      </c>
    </row>
    <row r="2617" ht="14.25" customHeight="1">
      <c r="A2617" s="1" t="s">
        <v>2651</v>
      </c>
      <c r="B2617" s="2">
        <v>45279.0</v>
      </c>
      <c r="C2617" s="1" t="s">
        <v>30</v>
      </c>
      <c r="D2617" s="1" t="s">
        <v>21</v>
      </c>
      <c r="E2617" s="1" t="s">
        <v>22</v>
      </c>
      <c r="F2617" s="1">
        <v>82.95</v>
      </c>
      <c r="G2617" s="1">
        <v>23.44</v>
      </c>
      <c r="H2617" s="1">
        <v>9.0</v>
      </c>
      <c r="I2617" s="1" t="s">
        <v>23</v>
      </c>
      <c r="J2617" s="1" t="s">
        <v>24</v>
      </c>
      <c r="K2617" s="1">
        <f t="shared" si="1"/>
        <v>2023</v>
      </c>
      <c r="L2617" s="1" t="str">
        <f t="shared" si="2"/>
        <v>Dec</v>
      </c>
      <c r="M2617" s="1" t="str">
        <f t="shared" si="3"/>
        <v>Profit</v>
      </c>
    </row>
    <row r="2618" ht="14.25" customHeight="1">
      <c r="A2618" s="1" t="s">
        <v>2652</v>
      </c>
      <c r="B2618" s="2">
        <v>44864.0</v>
      </c>
      <c r="C2618" s="1" t="s">
        <v>30</v>
      </c>
      <c r="D2618" s="1" t="s">
        <v>15</v>
      </c>
      <c r="E2618" s="1" t="s">
        <v>16</v>
      </c>
      <c r="F2618" s="1">
        <v>659.48</v>
      </c>
      <c r="G2618" s="1">
        <v>273.88</v>
      </c>
      <c r="H2618" s="1">
        <v>4.0</v>
      </c>
      <c r="I2618" s="1" t="s">
        <v>17</v>
      </c>
      <c r="J2618" s="1" t="s">
        <v>35</v>
      </c>
      <c r="K2618" s="1">
        <f t="shared" si="1"/>
        <v>2022</v>
      </c>
      <c r="L2618" s="1" t="str">
        <f t="shared" si="2"/>
        <v>Oct</v>
      </c>
      <c r="M2618" s="1" t="str">
        <f t="shared" si="3"/>
        <v>Profit</v>
      </c>
    </row>
    <row r="2619" ht="14.25" customHeight="1">
      <c r="A2619" s="1" t="s">
        <v>2653</v>
      </c>
      <c r="B2619" s="2">
        <v>44895.0</v>
      </c>
      <c r="C2619" s="1" t="s">
        <v>30</v>
      </c>
      <c r="D2619" s="1" t="s">
        <v>15</v>
      </c>
      <c r="E2619" s="1" t="s">
        <v>54</v>
      </c>
      <c r="F2619" s="1">
        <v>990.04</v>
      </c>
      <c r="G2619" s="1">
        <v>-117.03</v>
      </c>
      <c r="H2619" s="1">
        <v>5.0</v>
      </c>
      <c r="I2619" s="1" t="s">
        <v>17</v>
      </c>
      <c r="J2619" s="1" t="s">
        <v>38</v>
      </c>
      <c r="K2619" s="1">
        <f t="shared" si="1"/>
        <v>2022</v>
      </c>
      <c r="L2619" s="1" t="str">
        <f t="shared" si="2"/>
        <v>Nov</v>
      </c>
      <c r="M2619" s="1" t="str">
        <f t="shared" si="3"/>
        <v>Loss</v>
      </c>
    </row>
    <row r="2620" ht="14.25" customHeight="1">
      <c r="A2620" s="1" t="s">
        <v>2654</v>
      </c>
      <c r="B2620" s="2">
        <v>44417.0</v>
      </c>
      <c r="C2620" s="1" t="s">
        <v>14</v>
      </c>
      <c r="D2620" s="1" t="s">
        <v>21</v>
      </c>
      <c r="E2620" s="1" t="s">
        <v>22</v>
      </c>
      <c r="F2620" s="1">
        <v>525.16</v>
      </c>
      <c r="G2620" s="1">
        <v>60.4</v>
      </c>
      <c r="H2620" s="1">
        <v>10.0</v>
      </c>
      <c r="I2620" s="1" t="s">
        <v>23</v>
      </c>
      <c r="J2620" s="1" t="s">
        <v>38</v>
      </c>
      <c r="K2620" s="1">
        <f t="shared" si="1"/>
        <v>2021</v>
      </c>
      <c r="L2620" s="1" t="str">
        <f t="shared" si="2"/>
        <v>Aug</v>
      </c>
      <c r="M2620" s="1" t="str">
        <f t="shared" si="3"/>
        <v>Profit</v>
      </c>
    </row>
    <row r="2621" ht="14.25" customHeight="1">
      <c r="A2621" s="1" t="s">
        <v>2655</v>
      </c>
      <c r="B2621" s="2">
        <v>45110.0</v>
      </c>
      <c r="C2621" s="1" t="s">
        <v>26</v>
      </c>
      <c r="D2621" s="1" t="s">
        <v>15</v>
      </c>
      <c r="E2621" s="1" t="s">
        <v>31</v>
      </c>
      <c r="F2621" s="1">
        <v>245.14</v>
      </c>
      <c r="G2621" s="1">
        <v>-185.74</v>
      </c>
      <c r="H2621" s="1">
        <v>7.0</v>
      </c>
      <c r="I2621" s="1" t="s">
        <v>17</v>
      </c>
      <c r="J2621" s="1" t="s">
        <v>24</v>
      </c>
      <c r="K2621" s="1">
        <f t="shared" si="1"/>
        <v>2023</v>
      </c>
      <c r="L2621" s="1" t="str">
        <f t="shared" si="2"/>
        <v>Jul</v>
      </c>
      <c r="M2621" s="1" t="str">
        <f t="shared" si="3"/>
        <v>Loss</v>
      </c>
    </row>
    <row r="2622" ht="14.25" customHeight="1">
      <c r="A2622" s="1" t="s">
        <v>2656</v>
      </c>
      <c r="B2622" s="2">
        <v>44873.0</v>
      </c>
      <c r="C2622" s="1" t="s">
        <v>30</v>
      </c>
      <c r="D2622" s="1" t="s">
        <v>27</v>
      </c>
      <c r="E2622" s="1" t="s">
        <v>40</v>
      </c>
      <c r="F2622" s="1">
        <v>686.41</v>
      </c>
      <c r="G2622" s="1">
        <v>-98.43</v>
      </c>
      <c r="H2622" s="1">
        <v>9.0</v>
      </c>
      <c r="I2622" s="1" t="s">
        <v>17</v>
      </c>
      <c r="J2622" s="1" t="s">
        <v>24</v>
      </c>
      <c r="K2622" s="1">
        <f t="shared" si="1"/>
        <v>2022</v>
      </c>
      <c r="L2622" s="1" t="str">
        <f t="shared" si="2"/>
        <v>Nov</v>
      </c>
      <c r="M2622" s="1" t="str">
        <f t="shared" si="3"/>
        <v>Loss</v>
      </c>
    </row>
    <row r="2623" ht="14.25" customHeight="1">
      <c r="A2623" s="1" t="s">
        <v>2657</v>
      </c>
      <c r="B2623" s="2">
        <v>44947.0</v>
      </c>
      <c r="C2623" s="1" t="s">
        <v>20</v>
      </c>
      <c r="D2623" s="1" t="s">
        <v>21</v>
      </c>
      <c r="E2623" s="1" t="s">
        <v>22</v>
      </c>
      <c r="F2623" s="1">
        <v>695.59</v>
      </c>
      <c r="G2623" s="1">
        <v>50.74</v>
      </c>
      <c r="H2623" s="1">
        <v>6.0</v>
      </c>
      <c r="I2623" s="1" t="s">
        <v>34</v>
      </c>
      <c r="J2623" s="1" t="s">
        <v>24</v>
      </c>
      <c r="K2623" s="1">
        <f t="shared" si="1"/>
        <v>2023</v>
      </c>
      <c r="L2623" s="1" t="str">
        <f t="shared" si="2"/>
        <v>Jan</v>
      </c>
      <c r="M2623" s="1" t="str">
        <f t="shared" si="3"/>
        <v>Profit</v>
      </c>
    </row>
    <row r="2624" ht="14.25" customHeight="1">
      <c r="A2624" s="1" t="s">
        <v>2658</v>
      </c>
      <c r="B2624" s="2">
        <v>44235.0</v>
      </c>
      <c r="C2624" s="1" t="s">
        <v>30</v>
      </c>
      <c r="D2624" s="1" t="s">
        <v>21</v>
      </c>
      <c r="E2624" s="1" t="s">
        <v>76</v>
      </c>
      <c r="F2624" s="1">
        <v>325.29</v>
      </c>
      <c r="G2624" s="1">
        <v>-187.88</v>
      </c>
      <c r="H2624" s="1">
        <v>6.0</v>
      </c>
      <c r="I2624" s="1" t="s">
        <v>34</v>
      </c>
      <c r="J2624" s="1" t="s">
        <v>35</v>
      </c>
      <c r="K2624" s="1">
        <f t="shared" si="1"/>
        <v>2021</v>
      </c>
      <c r="L2624" s="1" t="str">
        <f t="shared" si="2"/>
        <v>Feb</v>
      </c>
      <c r="M2624" s="1" t="str">
        <f t="shared" si="3"/>
        <v>Loss</v>
      </c>
    </row>
    <row r="2625" ht="14.25" customHeight="1">
      <c r="A2625" s="1" t="s">
        <v>2659</v>
      </c>
      <c r="B2625" s="2">
        <v>44408.0</v>
      </c>
      <c r="C2625" s="1" t="s">
        <v>20</v>
      </c>
      <c r="D2625" s="1" t="s">
        <v>27</v>
      </c>
      <c r="E2625" s="1" t="s">
        <v>40</v>
      </c>
      <c r="F2625" s="1">
        <v>811.62</v>
      </c>
      <c r="G2625" s="1">
        <v>187.34</v>
      </c>
      <c r="H2625" s="1">
        <v>9.0</v>
      </c>
      <c r="I2625" s="1" t="s">
        <v>34</v>
      </c>
      <c r="J2625" s="1" t="s">
        <v>18</v>
      </c>
      <c r="K2625" s="1">
        <f t="shared" si="1"/>
        <v>2021</v>
      </c>
      <c r="L2625" s="1" t="str">
        <f t="shared" si="2"/>
        <v>Jul</v>
      </c>
      <c r="M2625" s="1" t="str">
        <f t="shared" si="3"/>
        <v>Profit</v>
      </c>
    </row>
    <row r="2626" ht="14.25" customHeight="1">
      <c r="A2626" s="1" t="s">
        <v>2660</v>
      </c>
      <c r="B2626" s="2">
        <v>45022.0</v>
      </c>
      <c r="C2626" s="1" t="s">
        <v>26</v>
      </c>
      <c r="D2626" s="1" t="s">
        <v>27</v>
      </c>
      <c r="E2626" s="1" t="s">
        <v>28</v>
      </c>
      <c r="F2626" s="1">
        <v>640.53</v>
      </c>
      <c r="G2626" s="1">
        <v>-129.99</v>
      </c>
      <c r="H2626" s="1">
        <v>1.0</v>
      </c>
      <c r="I2626" s="1" t="s">
        <v>34</v>
      </c>
      <c r="J2626" s="1" t="s">
        <v>35</v>
      </c>
      <c r="K2626" s="1">
        <f t="shared" si="1"/>
        <v>2023</v>
      </c>
      <c r="L2626" s="1" t="str">
        <f t="shared" si="2"/>
        <v>Apr</v>
      </c>
      <c r="M2626" s="1" t="str">
        <f t="shared" si="3"/>
        <v>Loss</v>
      </c>
    </row>
    <row r="2627" ht="14.25" customHeight="1">
      <c r="A2627" s="1" t="s">
        <v>2661</v>
      </c>
      <c r="B2627" s="2">
        <v>44914.0</v>
      </c>
      <c r="C2627" s="1" t="s">
        <v>26</v>
      </c>
      <c r="D2627" s="1" t="s">
        <v>15</v>
      </c>
      <c r="E2627" s="1" t="s">
        <v>54</v>
      </c>
      <c r="F2627" s="1">
        <v>465.18</v>
      </c>
      <c r="G2627" s="1">
        <v>299.25</v>
      </c>
      <c r="H2627" s="1">
        <v>9.0</v>
      </c>
      <c r="I2627" s="1" t="s">
        <v>23</v>
      </c>
      <c r="J2627" s="1" t="s">
        <v>24</v>
      </c>
      <c r="K2627" s="1">
        <f t="shared" si="1"/>
        <v>2022</v>
      </c>
      <c r="L2627" s="1" t="str">
        <f t="shared" si="2"/>
        <v>Dec</v>
      </c>
      <c r="M2627" s="1" t="str">
        <f t="shared" si="3"/>
        <v>Profit</v>
      </c>
    </row>
    <row r="2628" ht="14.25" customHeight="1">
      <c r="A2628" s="1" t="s">
        <v>2662</v>
      </c>
      <c r="B2628" s="2">
        <v>44257.0</v>
      </c>
      <c r="C2628" s="1" t="s">
        <v>26</v>
      </c>
      <c r="D2628" s="1" t="s">
        <v>15</v>
      </c>
      <c r="E2628" s="1" t="s">
        <v>54</v>
      </c>
      <c r="F2628" s="1">
        <v>779.47</v>
      </c>
      <c r="G2628" s="1">
        <v>-39.27</v>
      </c>
      <c r="H2628" s="1">
        <v>8.0</v>
      </c>
      <c r="I2628" s="1" t="s">
        <v>34</v>
      </c>
      <c r="J2628" s="1" t="s">
        <v>24</v>
      </c>
      <c r="K2628" s="1">
        <f t="shared" si="1"/>
        <v>2021</v>
      </c>
      <c r="L2628" s="1" t="str">
        <f t="shared" si="2"/>
        <v>Mar</v>
      </c>
      <c r="M2628" s="1" t="str">
        <f t="shared" si="3"/>
        <v>Loss</v>
      </c>
    </row>
    <row r="2629" ht="14.25" customHeight="1">
      <c r="A2629" s="1" t="s">
        <v>2663</v>
      </c>
      <c r="B2629" s="2">
        <v>44717.0</v>
      </c>
      <c r="C2629" s="1" t="s">
        <v>30</v>
      </c>
      <c r="D2629" s="1" t="s">
        <v>15</v>
      </c>
      <c r="E2629" s="1" t="s">
        <v>31</v>
      </c>
      <c r="F2629" s="1">
        <v>949.19</v>
      </c>
      <c r="G2629" s="1">
        <v>57.36</v>
      </c>
      <c r="H2629" s="1">
        <v>8.0</v>
      </c>
      <c r="I2629" s="1" t="s">
        <v>17</v>
      </c>
      <c r="J2629" s="1" t="s">
        <v>35</v>
      </c>
      <c r="K2629" s="1">
        <f t="shared" si="1"/>
        <v>2022</v>
      </c>
      <c r="L2629" s="1" t="str">
        <f t="shared" si="2"/>
        <v>Jun</v>
      </c>
      <c r="M2629" s="1" t="str">
        <f t="shared" si="3"/>
        <v>Profit</v>
      </c>
    </row>
    <row r="2630" ht="14.25" customHeight="1">
      <c r="A2630" s="1" t="s">
        <v>2664</v>
      </c>
      <c r="B2630" s="2">
        <v>45271.0</v>
      </c>
      <c r="C2630" s="1" t="s">
        <v>14</v>
      </c>
      <c r="D2630" s="1" t="s">
        <v>15</v>
      </c>
      <c r="E2630" s="1" t="s">
        <v>31</v>
      </c>
      <c r="F2630" s="1">
        <v>477.74</v>
      </c>
      <c r="G2630" s="1">
        <v>-21.98</v>
      </c>
      <c r="H2630" s="1">
        <v>2.0</v>
      </c>
      <c r="I2630" s="1" t="s">
        <v>34</v>
      </c>
      <c r="J2630" s="1" t="s">
        <v>38</v>
      </c>
      <c r="K2630" s="1">
        <f t="shared" si="1"/>
        <v>2023</v>
      </c>
      <c r="L2630" s="1" t="str">
        <f t="shared" si="2"/>
        <v>Dec</v>
      </c>
      <c r="M2630" s="1" t="str">
        <f t="shared" si="3"/>
        <v>Loss</v>
      </c>
    </row>
    <row r="2631" ht="14.25" customHeight="1">
      <c r="A2631" s="1" t="s">
        <v>2665</v>
      </c>
      <c r="B2631" s="2">
        <v>44574.0</v>
      </c>
      <c r="C2631" s="1" t="s">
        <v>20</v>
      </c>
      <c r="D2631" s="1" t="s">
        <v>15</v>
      </c>
      <c r="E2631" s="1" t="s">
        <v>31</v>
      </c>
      <c r="F2631" s="1">
        <v>329.92</v>
      </c>
      <c r="G2631" s="1">
        <v>134.76</v>
      </c>
      <c r="H2631" s="1">
        <v>9.0</v>
      </c>
      <c r="I2631" s="1" t="s">
        <v>34</v>
      </c>
      <c r="J2631" s="1" t="s">
        <v>38</v>
      </c>
      <c r="K2631" s="1">
        <f t="shared" si="1"/>
        <v>2022</v>
      </c>
      <c r="L2631" s="1" t="str">
        <f t="shared" si="2"/>
        <v>Jan</v>
      </c>
      <c r="M2631" s="1" t="str">
        <f t="shared" si="3"/>
        <v>Profit</v>
      </c>
    </row>
    <row r="2632" ht="14.25" customHeight="1">
      <c r="A2632" s="1" t="s">
        <v>2666</v>
      </c>
      <c r="B2632" s="2">
        <v>44441.0</v>
      </c>
      <c r="C2632" s="1" t="s">
        <v>14</v>
      </c>
      <c r="D2632" s="1" t="s">
        <v>27</v>
      </c>
      <c r="E2632" s="1" t="s">
        <v>28</v>
      </c>
      <c r="F2632" s="1">
        <v>322.66</v>
      </c>
      <c r="G2632" s="1">
        <v>14.09</v>
      </c>
      <c r="H2632" s="1">
        <v>3.0</v>
      </c>
      <c r="I2632" s="1" t="s">
        <v>23</v>
      </c>
      <c r="J2632" s="1" t="s">
        <v>24</v>
      </c>
      <c r="K2632" s="1">
        <f t="shared" si="1"/>
        <v>2021</v>
      </c>
      <c r="L2632" s="1" t="str">
        <f t="shared" si="2"/>
        <v>Sep</v>
      </c>
      <c r="M2632" s="1" t="str">
        <f t="shared" si="3"/>
        <v>Profit</v>
      </c>
    </row>
    <row r="2633" ht="14.25" customHeight="1">
      <c r="A2633" s="1" t="s">
        <v>2667</v>
      </c>
      <c r="B2633" s="2">
        <v>44876.0</v>
      </c>
      <c r="C2633" s="1" t="s">
        <v>26</v>
      </c>
      <c r="D2633" s="1" t="s">
        <v>15</v>
      </c>
      <c r="E2633" s="1" t="s">
        <v>54</v>
      </c>
      <c r="F2633" s="1">
        <v>364.79</v>
      </c>
      <c r="G2633" s="1">
        <v>-92.42</v>
      </c>
      <c r="H2633" s="1">
        <v>7.0</v>
      </c>
      <c r="I2633" s="1" t="s">
        <v>34</v>
      </c>
      <c r="J2633" s="1" t="s">
        <v>24</v>
      </c>
      <c r="K2633" s="1">
        <f t="shared" si="1"/>
        <v>2022</v>
      </c>
      <c r="L2633" s="1" t="str">
        <f t="shared" si="2"/>
        <v>Nov</v>
      </c>
      <c r="M2633" s="1" t="str">
        <f t="shared" si="3"/>
        <v>Loss</v>
      </c>
    </row>
    <row r="2634" ht="14.25" customHeight="1">
      <c r="A2634" s="1" t="s">
        <v>2668</v>
      </c>
      <c r="B2634" s="2">
        <v>44393.0</v>
      </c>
      <c r="C2634" s="1" t="s">
        <v>14</v>
      </c>
      <c r="D2634" s="1" t="s">
        <v>21</v>
      </c>
      <c r="E2634" s="1" t="s">
        <v>22</v>
      </c>
      <c r="F2634" s="1">
        <v>904.53</v>
      </c>
      <c r="G2634" s="1">
        <v>22.09</v>
      </c>
      <c r="H2634" s="1">
        <v>5.0</v>
      </c>
      <c r="I2634" s="1" t="s">
        <v>23</v>
      </c>
      <c r="J2634" s="1" t="s">
        <v>38</v>
      </c>
      <c r="K2634" s="1">
        <f t="shared" si="1"/>
        <v>2021</v>
      </c>
      <c r="L2634" s="1" t="str">
        <f t="shared" si="2"/>
        <v>Jul</v>
      </c>
      <c r="M2634" s="1" t="str">
        <f t="shared" si="3"/>
        <v>Profit</v>
      </c>
    </row>
    <row r="2635" ht="14.25" customHeight="1">
      <c r="A2635" s="1" t="s">
        <v>2669</v>
      </c>
      <c r="B2635" s="2">
        <v>44229.0</v>
      </c>
      <c r="C2635" s="1" t="s">
        <v>30</v>
      </c>
      <c r="D2635" s="1" t="s">
        <v>15</v>
      </c>
      <c r="E2635" s="1" t="s">
        <v>16</v>
      </c>
      <c r="F2635" s="1">
        <v>267.75</v>
      </c>
      <c r="G2635" s="1">
        <v>155.8</v>
      </c>
      <c r="H2635" s="1">
        <v>2.0</v>
      </c>
      <c r="I2635" s="1" t="s">
        <v>34</v>
      </c>
      <c r="J2635" s="1" t="s">
        <v>35</v>
      </c>
      <c r="K2635" s="1">
        <f t="shared" si="1"/>
        <v>2021</v>
      </c>
      <c r="L2635" s="1" t="str">
        <f t="shared" si="2"/>
        <v>Feb</v>
      </c>
      <c r="M2635" s="1" t="str">
        <f t="shared" si="3"/>
        <v>Profit</v>
      </c>
    </row>
    <row r="2636" ht="14.25" customHeight="1">
      <c r="A2636" s="1" t="s">
        <v>2670</v>
      </c>
      <c r="B2636" s="2">
        <v>45157.0</v>
      </c>
      <c r="C2636" s="1" t="s">
        <v>30</v>
      </c>
      <c r="D2636" s="1" t="s">
        <v>21</v>
      </c>
      <c r="E2636" s="1" t="s">
        <v>22</v>
      </c>
      <c r="F2636" s="1">
        <v>987.99</v>
      </c>
      <c r="G2636" s="1">
        <v>-135.38</v>
      </c>
      <c r="H2636" s="1">
        <v>9.0</v>
      </c>
      <c r="I2636" s="1" t="s">
        <v>34</v>
      </c>
      <c r="J2636" s="1" t="s">
        <v>24</v>
      </c>
      <c r="K2636" s="1">
        <f t="shared" si="1"/>
        <v>2023</v>
      </c>
      <c r="L2636" s="1" t="str">
        <f t="shared" si="2"/>
        <v>Aug</v>
      </c>
      <c r="M2636" s="1" t="str">
        <f t="shared" si="3"/>
        <v>Loss</v>
      </c>
    </row>
    <row r="2637" ht="14.25" customHeight="1">
      <c r="A2637" s="1" t="s">
        <v>2671</v>
      </c>
      <c r="B2637" s="2">
        <v>44535.0</v>
      </c>
      <c r="C2637" s="1" t="s">
        <v>30</v>
      </c>
      <c r="D2637" s="1" t="s">
        <v>27</v>
      </c>
      <c r="E2637" s="1" t="s">
        <v>28</v>
      </c>
      <c r="F2637" s="1">
        <v>389.55</v>
      </c>
      <c r="G2637" s="1">
        <v>36.71</v>
      </c>
      <c r="H2637" s="1">
        <v>6.0</v>
      </c>
      <c r="I2637" s="1" t="s">
        <v>23</v>
      </c>
      <c r="J2637" s="1" t="s">
        <v>18</v>
      </c>
      <c r="K2637" s="1">
        <f t="shared" si="1"/>
        <v>2021</v>
      </c>
      <c r="L2637" s="1" t="str">
        <f t="shared" si="2"/>
        <v>Dec</v>
      </c>
      <c r="M2637" s="1" t="str">
        <f t="shared" si="3"/>
        <v>Profit</v>
      </c>
    </row>
    <row r="2638" ht="14.25" customHeight="1">
      <c r="A2638" s="1" t="s">
        <v>2672</v>
      </c>
      <c r="B2638" s="2">
        <v>44317.0</v>
      </c>
      <c r="C2638" s="1" t="s">
        <v>30</v>
      </c>
      <c r="D2638" s="1" t="s">
        <v>27</v>
      </c>
      <c r="E2638" s="1" t="s">
        <v>40</v>
      </c>
      <c r="F2638" s="1">
        <v>290.8</v>
      </c>
      <c r="G2638" s="1">
        <v>228.34</v>
      </c>
      <c r="H2638" s="1">
        <v>4.0</v>
      </c>
      <c r="I2638" s="1" t="s">
        <v>17</v>
      </c>
      <c r="J2638" s="1" t="s">
        <v>35</v>
      </c>
      <c r="K2638" s="1">
        <f t="shared" si="1"/>
        <v>2021</v>
      </c>
      <c r="L2638" s="1" t="str">
        <f t="shared" si="2"/>
        <v>May</v>
      </c>
      <c r="M2638" s="1" t="str">
        <f t="shared" si="3"/>
        <v>Profit</v>
      </c>
    </row>
    <row r="2639" ht="14.25" customHeight="1">
      <c r="A2639" s="1" t="s">
        <v>2673</v>
      </c>
      <c r="B2639" s="2">
        <v>45113.0</v>
      </c>
      <c r="C2639" s="1" t="s">
        <v>26</v>
      </c>
      <c r="D2639" s="1" t="s">
        <v>27</v>
      </c>
      <c r="E2639" s="1" t="s">
        <v>33</v>
      </c>
      <c r="F2639" s="1">
        <v>308.48</v>
      </c>
      <c r="G2639" s="1">
        <v>-140.79</v>
      </c>
      <c r="H2639" s="1">
        <v>10.0</v>
      </c>
      <c r="I2639" s="1" t="s">
        <v>34</v>
      </c>
      <c r="J2639" s="1" t="s">
        <v>24</v>
      </c>
      <c r="K2639" s="1">
        <f t="shared" si="1"/>
        <v>2023</v>
      </c>
      <c r="L2639" s="1" t="str">
        <f t="shared" si="2"/>
        <v>Jul</v>
      </c>
      <c r="M2639" s="1" t="str">
        <f t="shared" si="3"/>
        <v>Loss</v>
      </c>
    </row>
    <row r="2640" ht="14.25" customHeight="1">
      <c r="A2640" s="1" t="s">
        <v>2674</v>
      </c>
      <c r="B2640" s="2">
        <v>44610.0</v>
      </c>
      <c r="C2640" s="1" t="s">
        <v>30</v>
      </c>
      <c r="D2640" s="1" t="s">
        <v>21</v>
      </c>
      <c r="E2640" s="1" t="s">
        <v>37</v>
      </c>
      <c r="F2640" s="1">
        <v>671.8</v>
      </c>
      <c r="G2640" s="1">
        <v>101.46</v>
      </c>
      <c r="H2640" s="1">
        <v>8.0</v>
      </c>
      <c r="I2640" s="1" t="s">
        <v>17</v>
      </c>
      <c r="J2640" s="1" t="s">
        <v>38</v>
      </c>
      <c r="K2640" s="1">
        <f t="shared" si="1"/>
        <v>2022</v>
      </c>
      <c r="L2640" s="1" t="str">
        <f t="shared" si="2"/>
        <v>Feb</v>
      </c>
      <c r="M2640" s="1" t="str">
        <f t="shared" si="3"/>
        <v>Profit</v>
      </c>
    </row>
    <row r="2641" ht="14.25" customHeight="1">
      <c r="A2641" s="1" t="s">
        <v>2675</v>
      </c>
      <c r="B2641" s="2">
        <v>44593.0</v>
      </c>
      <c r="C2641" s="1" t="s">
        <v>14</v>
      </c>
      <c r="D2641" s="1" t="s">
        <v>27</v>
      </c>
      <c r="E2641" s="1" t="s">
        <v>40</v>
      </c>
      <c r="F2641" s="1">
        <v>553.93</v>
      </c>
      <c r="G2641" s="1">
        <v>-189.17</v>
      </c>
      <c r="H2641" s="1">
        <v>8.0</v>
      </c>
      <c r="I2641" s="1" t="s">
        <v>34</v>
      </c>
      <c r="J2641" s="1" t="s">
        <v>24</v>
      </c>
      <c r="K2641" s="1">
        <f t="shared" si="1"/>
        <v>2022</v>
      </c>
      <c r="L2641" s="1" t="str">
        <f t="shared" si="2"/>
        <v>Feb</v>
      </c>
      <c r="M2641" s="1" t="str">
        <f t="shared" si="3"/>
        <v>Loss</v>
      </c>
    </row>
    <row r="2642" ht="14.25" customHeight="1">
      <c r="A2642" s="1" t="s">
        <v>2676</v>
      </c>
      <c r="B2642" s="2">
        <v>45281.0</v>
      </c>
      <c r="C2642" s="1" t="s">
        <v>30</v>
      </c>
      <c r="D2642" s="1" t="s">
        <v>21</v>
      </c>
      <c r="E2642" s="1" t="s">
        <v>37</v>
      </c>
      <c r="F2642" s="1">
        <v>822.75</v>
      </c>
      <c r="G2642" s="1">
        <v>-131.66</v>
      </c>
      <c r="H2642" s="1">
        <v>5.0</v>
      </c>
      <c r="I2642" s="1" t="s">
        <v>17</v>
      </c>
      <c r="J2642" s="1" t="s">
        <v>35</v>
      </c>
      <c r="K2642" s="1">
        <f t="shared" si="1"/>
        <v>2023</v>
      </c>
      <c r="L2642" s="1" t="str">
        <f t="shared" si="2"/>
        <v>Dec</v>
      </c>
      <c r="M2642" s="1" t="str">
        <f t="shared" si="3"/>
        <v>Loss</v>
      </c>
    </row>
    <row r="2643" ht="14.25" customHeight="1">
      <c r="A2643" s="1" t="s">
        <v>2677</v>
      </c>
      <c r="B2643" s="2">
        <v>44345.0</v>
      </c>
      <c r="C2643" s="1" t="s">
        <v>20</v>
      </c>
      <c r="D2643" s="1" t="s">
        <v>27</v>
      </c>
      <c r="E2643" s="1" t="s">
        <v>33</v>
      </c>
      <c r="F2643" s="1">
        <v>190.73</v>
      </c>
      <c r="G2643" s="1">
        <v>94.82</v>
      </c>
      <c r="H2643" s="1">
        <v>7.0</v>
      </c>
      <c r="I2643" s="1" t="s">
        <v>34</v>
      </c>
      <c r="J2643" s="1" t="s">
        <v>38</v>
      </c>
      <c r="K2643" s="1">
        <f t="shared" si="1"/>
        <v>2021</v>
      </c>
      <c r="L2643" s="1" t="str">
        <f t="shared" si="2"/>
        <v>May</v>
      </c>
      <c r="M2643" s="1" t="str">
        <f t="shared" si="3"/>
        <v>Profit</v>
      </c>
    </row>
    <row r="2644" ht="14.25" customHeight="1">
      <c r="A2644" s="1" t="s">
        <v>2678</v>
      </c>
      <c r="B2644" s="2">
        <v>44480.0</v>
      </c>
      <c r="C2644" s="1" t="s">
        <v>26</v>
      </c>
      <c r="D2644" s="1" t="s">
        <v>27</v>
      </c>
      <c r="E2644" s="1" t="s">
        <v>28</v>
      </c>
      <c r="F2644" s="1">
        <v>354.94</v>
      </c>
      <c r="G2644" s="1">
        <v>-12.88</v>
      </c>
      <c r="H2644" s="1">
        <v>3.0</v>
      </c>
      <c r="I2644" s="1" t="s">
        <v>17</v>
      </c>
      <c r="J2644" s="1" t="s">
        <v>24</v>
      </c>
      <c r="K2644" s="1">
        <f t="shared" si="1"/>
        <v>2021</v>
      </c>
      <c r="L2644" s="1" t="str">
        <f t="shared" si="2"/>
        <v>Oct</v>
      </c>
      <c r="M2644" s="1" t="str">
        <f t="shared" si="3"/>
        <v>Loss</v>
      </c>
    </row>
    <row r="2645" ht="14.25" customHeight="1">
      <c r="A2645" s="1" t="s">
        <v>2679</v>
      </c>
      <c r="B2645" s="2">
        <v>45167.0</v>
      </c>
      <c r="C2645" s="1" t="s">
        <v>26</v>
      </c>
      <c r="D2645" s="1" t="s">
        <v>21</v>
      </c>
      <c r="E2645" s="1" t="s">
        <v>22</v>
      </c>
      <c r="F2645" s="1">
        <v>31.89</v>
      </c>
      <c r="G2645" s="1">
        <v>-28.52</v>
      </c>
      <c r="H2645" s="1">
        <v>8.0</v>
      </c>
      <c r="I2645" s="1" t="s">
        <v>34</v>
      </c>
      <c r="J2645" s="1" t="s">
        <v>18</v>
      </c>
      <c r="K2645" s="1">
        <f t="shared" si="1"/>
        <v>2023</v>
      </c>
      <c r="L2645" s="1" t="str">
        <f t="shared" si="2"/>
        <v>Aug</v>
      </c>
      <c r="M2645" s="1" t="str">
        <f t="shared" si="3"/>
        <v>Loss</v>
      </c>
    </row>
    <row r="2646" ht="14.25" customHeight="1">
      <c r="A2646" s="1" t="s">
        <v>2680</v>
      </c>
      <c r="B2646" s="2">
        <v>44787.0</v>
      </c>
      <c r="C2646" s="1" t="s">
        <v>20</v>
      </c>
      <c r="D2646" s="1" t="s">
        <v>21</v>
      </c>
      <c r="E2646" s="1" t="s">
        <v>22</v>
      </c>
      <c r="F2646" s="1">
        <v>518.83</v>
      </c>
      <c r="G2646" s="1">
        <v>144.18</v>
      </c>
      <c r="H2646" s="1">
        <v>10.0</v>
      </c>
      <c r="I2646" s="1" t="s">
        <v>34</v>
      </c>
      <c r="J2646" s="1" t="s">
        <v>24</v>
      </c>
      <c r="K2646" s="1">
        <f t="shared" si="1"/>
        <v>2022</v>
      </c>
      <c r="L2646" s="1" t="str">
        <f t="shared" si="2"/>
        <v>Aug</v>
      </c>
      <c r="M2646" s="1" t="str">
        <f t="shared" si="3"/>
        <v>Profit</v>
      </c>
    </row>
    <row r="2647" ht="14.25" customHeight="1">
      <c r="A2647" s="1" t="s">
        <v>2681</v>
      </c>
      <c r="B2647" s="2">
        <v>44510.0</v>
      </c>
      <c r="C2647" s="1" t="s">
        <v>26</v>
      </c>
      <c r="D2647" s="1" t="s">
        <v>27</v>
      </c>
      <c r="E2647" s="1" t="s">
        <v>33</v>
      </c>
      <c r="F2647" s="1">
        <v>510.83</v>
      </c>
      <c r="G2647" s="1">
        <v>115.01</v>
      </c>
      <c r="H2647" s="1">
        <v>8.0</v>
      </c>
      <c r="I2647" s="1" t="s">
        <v>34</v>
      </c>
      <c r="J2647" s="1" t="s">
        <v>24</v>
      </c>
      <c r="K2647" s="1">
        <f t="shared" si="1"/>
        <v>2021</v>
      </c>
      <c r="L2647" s="1" t="str">
        <f t="shared" si="2"/>
        <v>Nov</v>
      </c>
      <c r="M2647" s="1" t="str">
        <f t="shared" si="3"/>
        <v>Profit</v>
      </c>
    </row>
    <row r="2648" ht="14.25" customHeight="1">
      <c r="A2648" s="1" t="s">
        <v>2682</v>
      </c>
      <c r="B2648" s="2">
        <v>44986.0</v>
      </c>
      <c r="C2648" s="1" t="s">
        <v>14</v>
      </c>
      <c r="D2648" s="1" t="s">
        <v>27</v>
      </c>
      <c r="E2648" s="1" t="s">
        <v>40</v>
      </c>
      <c r="F2648" s="1">
        <v>180.29</v>
      </c>
      <c r="G2648" s="1">
        <v>-104.4</v>
      </c>
      <c r="H2648" s="1">
        <v>6.0</v>
      </c>
      <c r="I2648" s="1" t="s">
        <v>17</v>
      </c>
      <c r="J2648" s="1" t="s">
        <v>35</v>
      </c>
      <c r="K2648" s="1">
        <f t="shared" si="1"/>
        <v>2023</v>
      </c>
      <c r="L2648" s="1" t="str">
        <f t="shared" si="2"/>
        <v>Mar</v>
      </c>
      <c r="M2648" s="1" t="str">
        <f t="shared" si="3"/>
        <v>Loss</v>
      </c>
    </row>
    <row r="2649" ht="14.25" customHeight="1">
      <c r="A2649" s="1" t="s">
        <v>2683</v>
      </c>
      <c r="B2649" s="2">
        <v>45105.0</v>
      </c>
      <c r="C2649" s="1" t="s">
        <v>14</v>
      </c>
      <c r="D2649" s="1" t="s">
        <v>27</v>
      </c>
      <c r="E2649" s="1" t="s">
        <v>40</v>
      </c>
      <c r="F2649" s="1">
        <v>858.38</v>
      </c>
      <c r="G2649" s="1">
        <v>-66.34</v>
      </c>
      <c r="H2649" s="1">
        <v>4.0</v>
      </c>
      <c r="I2649" s="1" t="s">
        <v>23</v>
      </c>
      <c r="J2649" s="1" t="s">
        <v>18</v>
      </c>
      <c r="K2649" s="1">
        <f t="shared" si="1"/>
        <v>2023</v>
      </c>
      <c r="L2649" s="1" t="str">
        <f t="shared" si="2"/>
        <v>Jun</v>
      </c>
      <c r="M2649" s="1" t="str">
        <f t="shared" si="3"/>
        <v>Loss</v>
      </c>
    </row>
    <row r="2650" ht="14.25" customHeight="1">
      <c r="A2650" s="1" t="s">
        <v>2684</v>
      </c>
      <c r="B2650" s="2">
        <v>44199.0</v>
      </c>
      <c r="C2650" s="1" t="s">
        <v>20</v>
      </c>
      <c r="D2650" s="1" t="s">
        <v>15</v>
      </c>
      <c r="E2650" s="1" t="s">
        <v>16</v>
      </c>
      <c r="F2650" s="1">
        <v>292.79</v>
      </c>
      <c r="G2650" s="1">
        <v>-176.24</v>
      </c>
      <c r="H2650" s="1">
        <v>2.0</v>
      </c>
      <c r="I2650" s="1" t="s">
        <v>23</v>
      </c>
      <c r="J2650" s="1" t="s">
        <v>38</v>
      </c>
      <c r="K2650" s="1">
        <f t="shared" si="1"/>
        <v>2021</v>
      </c>
      <c r="L2650" s="1" t="str">
        <f t="shared" si="2"/>
        <v>Jan</v>
      </c>
      <c r="M2650" s="1" t="str">
        <f t="shared" si="3"/>
        <v>Loss</v>
      </c>
    </row>
    <row r="2651" ht="14.25" customHeight="1">
      <c r="A2651" s="1" t="s">
        <v>2685</v>
      </c>
      <c r="B2651" s="2">
        <v>44915.0</v>
      </c>
      <c r="C2651" s="1" t="s">
        <v>20</v>
      </c>
      <c r="D2651" s="1" t="s">
        <v>15</v>
      </c>
      <c r="E2651" s="1" t="s">
        <v>54</v>
      </c>
      <c r="F2651" s="1">
        <v>286.46</v>
      </c>
      <c r="G2651" s="1">
        <v>-164.91</v>
      </c>
      <c r="H2651" s="1">
        <v>6.0</v>
      </c>
      <c r="I2651" s="1" t="s">
        <v>23</v>
      </c>
      <c r="J2651" s="1" t="s">
        <v>38</v>
      </c>
      <c r="K2651" s="1">
        <f t="shared" si="1"/>
        <v>2022</v>
      </c>
      <c r="L2651" s="1" t="str">
        <f t="shared" si="2"/>
        <v>Dec</v>
      </c>
      <c r="M2651" s="1" t="str">
        <f t="shared" si="3"/>
        <v>Loss</v>
      </c>
    </row>
    <row r="2652" ht="14.25" customHeight="1">
      <c r="A2652" s="1" t="s">
        <v>2686</v>
      </c>
      <c r="B2652" s="2">
        <v>44243.0</v>
      </c>
      <c r="C2652" s="1" t="s">
        <v>20</v>
      </c>
      <c r="D2652" s="1" t="s">
        <v>21</v>
      </c>
      <c r="E2652" s="1" t="s">
        <v>76</v>
      </c>
      <c r="F2652" s="1">
        <v>510.94</v>
      </c>
      <c r="G2652" s="1">
        <v>35.16</v>
      </c>
      <c r="H2652" s="1">
        <v>8.0</v>
      </c>
      <c r="I2652" s="1" t="s">
        <v>17</v>
      </c>
      <c r="J2652" s="1" t="s">
        <v>24</v>
      </c>
      <c r="K2652" s="1">
        <f t="shared" si="1"/>
        <v>2021</v>
      </c>
      <c r="L2652" s="1" t="str">
        <f t="shared" si="2"/>
        <v>Feb</v>
      </c>
      <c r="M2652" s="1" t="str">
        <f t="shared" si="3"/>
        <v>Profit</v>
      </c>
    </row>
    <row r="2653" ht="14.25" customHeight="1">
      <c r="A2653" s="1" t="s">
        <v>2687</v>
      </c>
      <c r="B2653" s="2">
        <v>44542.0</v>
      </c>
      <c r="C2653" s="1" t="s">
        <v>26</v>
      </c>
      <c r="D2653" s="1" t="s">
        <v>15</v>
      </c>
      <c r="E2653" s="1" t="s">
        <v>16</v>
      </c>
      <c r="F2653" s="1">
        <v>550.28</v>
      </c>
      <c r="G2653" s="1">
        <v>246.73</v>
      </c>
      <c r="H2653" s="1">
        <v>10.0</v>
      </c>
      <c r="I2653" s="1" t="s">
        <v>34</v>
      </c>
      <c r="J2653" s="1" t="s">
        <v>38</v>
      </c>
      <c r="K2653" s="1">
        <f t="shared" si="1"/>
        <v>2021</v>
      </c>
      <c r="L2653" s="1" t="str">
        <f t="shared" si="2"/>
        <v>Dec</v>
      </c>
      <c r="M2653" s="1" t="str">
        <f t="shared" si="3"/>
        <v>Profit</v>
      </c>
    </row>
    <row r="2654" ht="14.25" customHeight="1">
      <c r="A2654" s="1" t="s">
        <v>2688</v>
      </c>
      <c r="B2654" s="2">
        <v>44604.0</v>
      </c>
      <c r="C2654" s="1" t="s">
        <v>30</v>
      </c>
      <c r="D2654" s="1" t="s">
        <v>15</v>
      </c>
      <c r="E2654" s="1" t="s">
        <v>54</v>
      </c>
      <c r="F2654" s="1">
        <v>445.17</v>
      </c>
      <c r="G2654" s="1">
        <v>133.28</v>
      </c>
      <c r="H2654" s="1">
        <v>5.0</v>
      </c>
      <c r="I2654" s="1" t="s">
        <v>23</v>
      </c>
      <c r="J2654" s="1" t="s">
        <v>38</v>
      </c>
      <c r="K2654" s="1">
        <f t="shared" si="1"/>
        <v>2022</v>
      </c>
      <c r="L2654" s="1" t="str">
        <f t="shared" si="2"/>
        <v>Feb</v>
      </c>
      <c r="M2654" s="1" t="str">
        <f t="shared" si="3"/>
        <v>Profit</v>
      </c>
    </row>
    <row r="2655" ht="14.25" customHeight="1">
      <c r="A2655" s="1" t="s">
        <v>2689</v>
      </c>
      <c r="B2655" s="2">
        <v>44661.0</v>
      </c>
      <c r="C2655" s="1" t="s">
        <v>14</v>
      </c>
      <c r="D2655" s="1" t="s">
        <v>27</v>
      </c>
      <c r="E2655" s="1" t="s">
        <v>28</v>
      </c>
      <c r="F2655" s="1">
        <v>343.9</v>
      </c>
      <c r="G2655" s="1">
        <v>-14.0</v>
      </c>
      <c r="H2655" s="1">
        <v>6.0</v>
      </c>
      <c r="I2655" s="1" t="s">
        <v>34</v>
      </c>
      <c r="J2655" s="1" t="s">
        <v>35</v>
      </c>
      <c r="K2655" s="1">
        <f t="shared" si="1"/>
        <v>2022</v>
      </c>
      <c r="L2655" s="1" t="str">
        <f t="shared" si="2"/>
        <v>Apr</v>
      </c>
      <c r="M2655" s="1" t="str">
        <f t="shared" si="3"/>
        <v>Loss</v>
      </c>
    </row>
    <row r="2656" ht="14.25" customHeight="1">
      <c r="A2656" s="1" t="s">
        <v>2690</v>
      </c>
      <c r="B2656" s="2">
        <v>45052.0</v>
      </c>
      <c r="C2656" s="1" t="s">
        <v>26</v>
      </c>
      <c r="D2656" s="1" t="s">
        <v>21</v>
      </c>
      <c r="E2656" s="1" t="s">
        <v>76</v>
      </c>
      <c r="F2656" s="1">
        <v>499.81</v>
      </c>
      <c r="G2656" s="1">
        <v>54.0</v>
      </c>
      <c r="H2656" s="1">
        <v>4.0</v>
      </c>
      <c r="I2656" s="1" t="s">
        <v>23</v>
      </c>
      <c r="J2656" s="1" t="s">
        <v>35</v>
      </c>
      <c r="K2656" s="1">
        <f t="shared" si="1"/>
        <v>2023</v>
      </c>
      <c r="L2656" s="1" t="str">
        <f t="shared" si="2"/>
        <v>May</v>
      </c>
      <c r="M2656" s="1" t="str">
        <f t="shared" si="3"/>
        <v>Profit</v>
      </c>
    </row>
    <row r="2657" ht="14.25" customHeight="1">
      <c r="A2657" s="1" t="s">
        <v>2691</v>
      </c>
      <c r="B2657" s="2">
        <v>44351.0</v>
      </c>
      <c r="C2657" s="1" t="s">
        <v>14</v>
      </c>
      <c r="D2657" s="1" t="s">
        <v>15</v>
      </c>
      <c r="E2657" s="1" t="s">
        <v>16</v>
      </c>
      <c r="F2657" s="1">
        <v>366.95</v>
      </c>
      <c r="G2657" s="1">
        <v>131.11</v>
      </c>
      <c r="H2657" s="1">
        <v>4.0</v>
      </c>
      <c r="I2657" s="1" t="s">
        <v>34</v>
      </c>
      <c r="J2657" s="1" t="s">
        <v>35</v>
      </c>
      <c r="K2657" s="1">
        <f t="shared" si="1"/>
        <v>2021</v>
      </c>
      <c r="L2657" s="1" t="str">
        <f t="shared" si="2"/>
        <v>Jun</v>
      </c>
      <c r="M2657" s="1" t="str">
        <f t="shared" si="3"/>
        <v>Profit</v>
      </c>
    </row>
    <row r="2658" ht="14.25" customHeight="1">
      <c r="A2658" s="1" t="s">
        <v>2692</v>
      </c>
      <c r="B2658" s="2">
        <v>45268.0</v>
      </c>
      <c r="C2658" s="1" t="s">
        <v>30</v>
      </c>
      <c r="D2658" s="1" t="s">
        <v>21</v>
      </c>
      <c r="E2658" s="1" t="s">
        <v>22</v>
      </c>
      <c r="F2658" s="1">
        <v>175.72</v>
      </c>
      <c r="G2658" s="1">
        <v>196.13</v>
      </c>
      <c r="H2658" s="1">
        <v>10.0</v>
      </c>
      <c r="I2658" s="1" t="s">
        <v>23</v>
      </c>
      <c r="J2658" s="1" t="s">
        <v>24</v>
      </c>
      <c r="K2658" s="1">
        <f t="shared" si="1"/>
        <v>2023</v>
      </c>
      <c r="L2658" s="1" t="str">
        <f t="shared" si="2"/>
        <v>Dec</v>
      </c>
      <c r="M2658" s="1" t="str">
        <f t="shared" si="3"/>
        <v>Profit</v>
      </c>
    </row>
    <row r="2659" ht="14.25" customHeight="1">
      <c r="A2659" s="1" t="s">
        <v>2693</v>
      </c>
      <c r="B2659" s="2">
        <v>44441.0</v>
      </c>
      <c r="C2659" s="1" t="s">
        <v>26</v>
      </c>
      <c r="D2659" s="1" t="s">
        <v>21</v>
      </c>
      <c r="E2659" s="1" t="s">
        <v>37</v>
      </c>
      <c r="F2659" s="1">
        <v>59.24</v>
      </c>
      <c r="G2659" s="1">
        <v>201.57</v>
      </c>
      <c r="H2659" s="1">
        <v>10.0</v>
      </c>
      <c r="I2659" s="1" t="s">
        <v>17</v>
      </c>
      <c r="J2659" s="1" t="s">
        <v>24</v>
      </c>
      <c r="K2659" s="1">
        <f t="shared" si="1"/>
        <v>2021</v>
      </c>
      <c r="L2659" s="1" t="str">
        <f t="shared" si="2"/>
        <v>Sep</v>
      </c>
      <c r="M2659" s="1" t="str">
        <f t="shared" si="3"/>
        <v>Profit</v>
      </c>
    </row>
    <row r="2660" ht="14.25" customHeight="1">
      <c r="A2660" s="1" t="s">
        <v>2694</v>
      </c>
      <c r="B2660" s="2">
        <v>44980.0</v>
      </c>
      <c r="C2660" s="1" t="s">
        <v>26</v>
      </c>
      <c r="D2660" s="1" t="s">
        <v>27</v>
      </c>
      <c r="E2660" s="1" t="s">
        <v>40</v>
      </c>
      <c r="F2660" s="1">
        <v>69.04</v>
      </c>
      <c r="G2660" s="1">
        <v>142.55</v>
      </c>
      <c r="H2660" s="1">
        <v>9.0</v>
      </c>
      <c r="I2660" s="1" t="s">
        <v>23</v>
      </c>
      <c r="J2660" s="1" t="s">
        <v>38</v>
      </c>
      <c r="K2660" s="1">
        <f t="shared" si="1"/>
        <v>2023</v>
      </c>
      <c r="L2660" s="1" t="str">
        <f t="shared" si="2"/>
        <v>Feb</v>
      </c>
      <c r="M2660" s="1" t="str">
        <f t="shared" si="3"/>
        <v>Profit</v>
      </c>
    </row>
    <row r="2661" ht="14.25" customHeight="1">
      <c r="A2661" s="1" t="s">
        <v>2695</v>
      </c>
      <c r="B2661" s="2">
        <v>45025.0</v>
      </c>
      <c r="C2661" s="1" t="s">
        <v>20</v>
      </c>
      <c r="D2661" s="1" t="s">
        <v>21</v>
      </c>
      <c r="E2661" s="1" t="s">
        <v>76</v>
      </c>
      <c r="F2661" s="1">
        <v>157.72</v>
      </c>
      <c r="G2661" s="1">
        <v>148.68</v>
      </c>
      <c r="H2661" s="1">
        <v>8.0</v>
      </c>
      <c r="I2661" s="1" t="s">
        <v>34</v>
      </c>
      <c r="J2661" s="1" t="s">
        <v>18</v>
      </c>
      <c r="K2661" s="1">
        <f t="shared" si="1"/>
        <v>2023</v>
      </c>
      <c r="L2661" s="1" t="str">
        <f t="shared" si="2"/>
        <v>Apr</v>
      </c>
      <c r="M2661" s="1" t="str">
        <f t="shared" si="3"/>
        <v>Profit</v>
      </c>
    </row>
    <row r="2662" ht="14.25" customHeight="1">
      <c r="A2662" s="1" t="s">
        <v>2696</v>
      </c>
      <c r="B2662" s="2">
        <v>44562.0</v>
      </c>
      <c r="C2662" s="1" t="s">
        <v>30</v>
      </c>
      <c r="D2662" s="1" t="s">
        <v>27</v>
      </c>
      <c r="E2662" s="1" t="s">
        <v>28</v>
      </c>
      <c r="F2662" s="1">
        <v>884.14</v>
      </c>
      <c r="G2662" s="1">
        <v>-195.78</v>
      </c>
      <c r="H2662" s="1">
        <v>4.0</v>
      </c>
      <c r="I2662" s="1" t="s">
        <v>34</v>
      </c>
      <c r="J2662" s="1" t="s">
        <v>18</v>
      </c>
      <c r="K2662" s="1">
        <f t="shared" si="1"/>
        <v>2022</v>
      </c>
      <c r="L2662" s="1" t="str">
        <f t="shared" si="2"/>
        <v>Jan</v>
      </c>
      <c r="M2662" s="1" t="str">
        <f t="shared" si="3"/>
        <v>Loss</v>
      </c>
    </row>
    <row r="2663" ht="14.25" customHeight="1">
      <c r="A2663" s="1" t="s">
        <v>2697</v>
      </c>
      <c r="B2663" s="2">
        <v>44693.0</v>
      </c>
      <c r="C2663" s="1" t="s">
        <v>30</v>
      </c>
      <c r="D2663" s="1" t="s">
        <v>27</v>
      </c>
      <c r="E2663" s="1" t="s">
        <v>40</v>
      </c>
      <c r="F2663" s="1">
        <v>380.6</v>
      </c>
      <c r="G2663" s="1">
        <v>69.96</v>
      </c>
      <c r="H2663" s="1">
        <v>2.0</v>
      </c>
      <c r="I2663" s="1" t="s">
        <v>34</v>
      </c>
      <c r="J2663" s="1" t="s">
        <v>35</v>
      </c>
      <c r="K2663" s="1">
        <f t="shared" si="1"/>
        <v>2022</v>
      </c>
      <c r="L2663" s="1" t="str">
        <f t="shared" si="2"/>
        <v>May</v>
      </c>
      <c r="M2663" s="1" t="str">
        <f t="shared" si="3"/>
        <v>Profit</v>
      </c>
    </row>
    <row r="2664" ht="14.25" customHeight="1">
      <c r="A2664" s="1" t="s">
        <v>2698</v>
      </c>
      <c r="B2664" s="2">
        <v>44315.0</v>
      </c>
      <c r="C2664" s="1" t="s">
        <v>30</v>
      </c>
      <c r="D2664" s="1" t="s">
        <v>21</v>
      </c>
      <c r="E2664" s="1" t="s">
        <v>37</v>
      </c>
      <c r="F2664" s="1">
        <v>724.05</v>
      </c>
      <c r="G2664" s="1">
        <v>56.86</v>
      </c>
      <c r="H2664" s="1">
        <v>7.0</v>
      </c>
      <c r="I2664" s="1" t="s">
        <v>23</v>
      </c>
      <c r="J2664" s="1" t="s">
        <v>18</v>
      </c>
      <c r="K2664" s="1">
        <f t="shared" si="1"/>
        <v>2021</v>
      </c>
      <c r="L2664" s="1" t="str">
        <f t="shared" si="2"/>
        <v>Apr</v>
      </c>
      <c r="M2664" s="1" t="str">
        <f t="shared" si="3"/>
        <v>Profit</v>
      </c>
    </row>
    <row r="2665" ht="14.25" customHeight="1">
      <c r="A2665" s="1" t="s">
        <v>2699</v>
      </c>
      <c r="B2665" s="2">
        <v>44328.0</v>
      </c>
      <c r="C2665" s="1" t="s">
        <v>20</v>
      </c>
      <c r="D2665" s="1" t="s">
        <v>27</v>
      </c>
      <c r="E2665" s="1" t="s">
        <v>40</v>
      </c>
      <c r="F2665" s="1">
        <v>118.11</v>
      </c>
      <c r="G2665" s="1">
        <v>-144.73</v>
      </c>
      <c r="H2665" s="1">
        <v>4.0</v>
      </c>
      <c r="I2665" s="1" t="s">
        <v>23</v>
      </c>
      <c r="J2665" s="1" t="s">
        <v>24</v>
      </c>
      <c r="K2665" s="1">
        <f t="shared" si="1"/>
        <v>2021</v>
      </c>
      <c r="L2665" s="1" t="str">
        <f t="shared" si="2"/>
        <v>May</v>
      </c>
      <c r="M2665" s="1" t="str">
        <f t="shared" si="3"/>
        <v>Loss</v>
      </c>
    </row>
    <row r="2666" ht="14.25" customHeight="1">
      <c r="A2666" s="1" t="s">
        <v>2700</v>
      </c>
      <c r="B2666" s="2">
        <v>44315.0</v>
      </c>
      <c r="C2666" s="1" t="s">
        <v>26</v>
      </c>
      <c r="D2666" s="1" t="s">
        <v>21</v>
      </c>
      <c r="E2666" s="1" t="s">
        <v>22</v>
      </c>
      <c r="F2666" s="1">
        <v>966.45</v>
      </c>
      <c r="G2666" s="1">
        <v>147.24</v>
      </c>
      <c r="H2666" s="1">
        <v>7.0</v>
      </c>
      <c r="I2666" s="1" t="s">
        <v>34</v>
      </c>
      <c r="J2666" s="1" t="s">
        <v>24</v>
      </c>
      <c r="K2666" s="1">
        <f t="shared" si="1"/>
        <v>2021</v>
      </c>
      <c r="L2666" s="1" t="str">
        <f t="shared" si="2"/>
        <v>Apr</v>
      </c>
      <c r="M2666" s="1" t="str">
        <f t="shared" si="3"/>
        <v>Profit</v>
      </c>
    </row>
    <row r="2667" ht="14.25" customHeight="1">
      <c r="A2667" s="1" t="s">
        <v>2701</v>
      </c>
      <c r="B2667" s="2">
        <v>44979.0</v>
      </c>
      <c r="C2667" s="1" t="s">
        <v>30</v>
      </c>
      <c r="D2667" s="1" t="s">
        <v>21</v>
      </c>
      <c r="E2667" s="1" t="s">
        <v>22</v>
      </c>
      <c r="F2667" s="1">
        <v>704.34</v>
      </c>
      <c r="G2667" s="1">
        <v>-140.38</v>
      </c>
      <c r="H2667" s="1">
        <v>4.0</v>
      </c>
      <c r="I2667" s="1" t="s">
        <v>17</v>
      </c>
      <c r="J2667" s="1" t="s">
        <v>24</v>
      </c>
      <c r="K2667" s="1">
        <f t="shared" si="1"/>
        <v>2023</v>
      </c>
      <c r="L2667" s="1" t="str">
        <f t="shared" si="2"/>
        <v>Feb</v>
      </c>
      <c r="M2667" s="1" t="str">
        <f t="shared" si="3"/>
        <v>Loss</v>
      </c>
    </row>
    <row r="2668" ht="14.25" customHeight="1">
      <c r="A2668" s="1" t="s">
        <v>2702</v>
      </c>
      <c r="B2668" s="2">
        <v>44971.0</v>
      </c>
      <c r="C2668" s="1" t="s">
        <v>20</v>
      </c>
      <c r="D2668" s="1" t="s">
        <v>15</v>
      </c>
      <c r="E2668" s="1" t="s">
        <v>31</v>
      </c>
      <c r="F2668" s="1">
        <v>930.33</v>
      </c>
      <c r="G2668" s="1">
        <v>220.54</v>
      </c>
      <c r="H2668" s="1">
        <v>2.0</v>
      </c>
      <c r="I2668" s="1" t="s">
        <v>23</v>
      </c>
      <c r="J2668" s="1" t="s">
        <v>24</v>
      </c>
      <c r="K2668" s="1">
        <f t="shared" si="1"/>
        <v>2023</v>
      </c>
      <c r="L2668" s="1" t="str">
        <f t="shared" si="2"/>
        <v>Feb</v>
      </c>
      <c r="M2668" s="1" t="str">
        <f t="shared" si="3"/>
        <v>Profit</v>
      </c>
    </row>
    <row r="2669" ht="14.25" customHeight="1">
      <c r="A2669" s="1" t="s">
        <v>2703</v>
      </c>
      <c r="B2669" s="2">
        <v>44463.0</v>
      </c>
      <c r="C2669" s="1" t="s">
        <v>26</v>
      </c>
      <c r="D2669" s="1" t="s">
        <v>27</v>
      </c>
      <c r="E2669" s="1" t="s">
        <v>28</v>
      </c>
      <c r="F2669" s="1">
        <v>121.68</v>
      </c>
      <c r="G2669" s="1">
        <v>187.29</v>
      </c>
      <c r="H2669" s="1">
        <v>6.0</v>
      </c>
      <c r="I2669" s="1" t="s">
        <v>17</v>
      </c>
      <c r="J2669" s="1" t="s">
        <v>38</v>
      </c>
      <c r="K2669" s="1">
        <f t="shared" si="1"/>
        <v>2021</v>
      </c>
      <c r="L2669" s="1" t="str">
        <f t="shared" si="2"/>
        <v>Sep</v>
      </c>
      <c r="M2669" s="1" t="str">
        <f t="shared" si="3"/>
        <v>Profit</v>
      </c>
    </row>
    <row r="2670" ht="14.25" customHeight="1">
      <c r="A2670" s="1" t="s">
        <v>2704</v>
      </c>
      <c r="B2670" s="2">
        <v>45025.0</v>
      </c>
      <c r="C2670" s="1" t="s">
        <v>20</v>
      </c>
      <c r="D2670" s="1" t="s">
        <v>15</v>
      </c>
      <c r="E2670" s="1" t="s">
        <v>16</v>
      </c>
      <c r="F2670" s="1">
        <v>862.02</v>
      </c>
      <c r="G2670" s="1">
        <v>151.03</v>
      </c>
      <c r="H2670" s="1">
        <v>6.0</v>
      </c>
      <c r="I2670" s="1" t="s">
        <v>23</v>
      </c>
      <c r="J2670" s="1" t="s">
        <v>24</v>
      </c>
      <c r="K2670" s="1">
        <f t="shared" si="1"/>
        <v>2023</v>
      </c>
      <c r="L2670" s="1" t="str">
        <f t="shared" si="2"/>
        <v>Apr</v>
      </c>
      <c r="M2670" s="1" t="str">
        <f t="shared" si="3"/>
        <v>Profit</v>
      </c>
    </row>
    <row r="2671" ht="14.25" customHeight="1">
      <c r="A2671" s="1" t="s">
        <v>2705</v>
      </c>
      <c r="B2671" s="2">
        <v>44457.0</v>
      </c>
      <c r="C2671" s="1" t="s">
        <v>30</v>
      </c>
      <c r="D2671" s="1" t="s">
        <v>15</v>
      </c>
      <c r="E2671" s="1" t="s">
        <v>31</v>
      </c>
      <c r="F2671" s="1">
        <v>160.37</v>
      </c>
      <c r="G2671" s="1">
        <v>180.64</v>
      </c>
      <c r="H2671" s="1">
        <v>9.0</v>
      </c>
      <c r="I2671" s="1" t="s">
        <v>23</v>
      </c>
      <c r="J2671" s="1" t="s">
        <v>35</v>
      </c>
      <c r="K2671" s="1">
        <f t="shared" si="1"/>
        <v>2021</v>
      </c>
      <c r="L2671" s="1" t="str">
        <f t="shared" si="2"/>
        <v>Sep</v>
      </c>
      <c r="M2671" s="1" t="str">
        <f t="shared" si="3"/>
        <v>Profit</v>
      </c>
    </row>
    <row r="2672" ht="14.25" customHeight="1">
      <c r="A2672" s="1" t="s">
        <v>2706</v>
      </c>
      <c r="B2672" s="2">
        <v>44638.0</v>
      </c>
      <c r="C2672" s="1" t="s">
        <v>20</v>
      </c>
      <c r="D2672" s="1" t="s">
        <v>21</v>
      </c>
      <c r="E2672" s="1" t="s">
        <v>22</v>
      </c>
      <c r="F2672" s="1">
        <v>60.04</v>
      </c>
      <c r="G2672" s="1">
        <v>-39.98</v>
      </c>
      <c r="H2672" s="1">
        <v>4.0</v>
      </c>
      <c r="I2672" s="1" t="s">
        <v>23</v>
      </c>
      <c r="J2672" s="1" t="s">
        <v>38</v>
      </c>
      <c r="K2672" s="1">
        <f t="shared" si="1"/>
        <v>2022</v>
      </c>
      <c r="L2672" s="1" t="str">
        <f t="shared" si="2"/>
        <v>Mar</v>
      </c>
      <c r="M2672" s="1" t="str">
        <f t="shared" si="3"/>
        <v>Loss</v>
      </c>
    </row>
    <row r="2673" ht="14.25" customHeight="1">
      <c r="A2673" s="1" t="s">
        <v>2707</v>
      </c>
      <c r="B2673" s="2">
        <v>45180.0</v>
      </c>
      <c r="C2673" s="1" t="s">
        <v>20</v>
      </c>
      <c r="D2673" s="1" t="s">
        <v>21</v>
      </c>
      <c r="E2673" s="1" t="s">
        <v>37</v>
      </c>
      <c r="F2673" s="1">
        <v>497.71</v>
      </c>
      <c r="G2673" s="1">
        <v>8.54</v>
      </c>
      <c r="H2673" s="1">
        <v>7.0</v>
      </c>
      <c r="I2673" s="1" t="s">
        <v>34</v>
      </c>
      <c r="J2673" s="1" t="s">
        <v>24</v>
      </c>
      <c r="K2673" s="1">
        <f t="shared" si="1"/>
        <v>2023</v>
      </c>
      <c r="L2673" s="1" t="str">
        <f t="shared" si="2"/>
        <v>Sep</v>
      </c>
      <c r="M2673" s="1" t="str">
        <f t="shared" si="3"/>
        <v>Profit</v>
      </c>
    </row>
    <row r="2674" ht="14.25" customHeight="1">
      <c r="A2674" s="1" t="s">
        <v>2708</v>
      </c>
      <c r="B2674" s="2">
        <v>44794.0</v>
      </c>
      <c r="C2674" s="1" t="s">
        <v>14</v>
      </c>
      <c r="D2674" s="1" t="s">
        <v>21</v>
      </c>
      <c r="E2674" s="1" t="s">
        <v>76</v>
      </c>
      <c r="F2674" s="1">
        <v>762.32</v>
      </c>
      <c r="G2674" s="1">
        <v>284.16</v>
      </c>
      <c r="H2674" s="1">
        <v>4.0</v>
      </c>
      <c r="I2674" s="1" t="s">
        <v>17</v>
      </c>
      <c r="J2674" s="1" t="s">
        <v>35</v>
      </c>
      <c r="K2674" s="1">
        <f t="shared" si="1"/>
        <v>2022</v>
      </c>
      <c r="L2674" s="1" t="str">
        <f t="shared" si="2"/>
        <v>Aug</v>
      </c>
      <c r="M2674" s="1" t="str">
        <f t="shared" si="3"/>
        <v>Profit</v>
      </c>
    </row>
    <row r="2675" ht="14.25" customHeight="1">
      <c r="A2675" s="1" t="s">
        <v>2709</v>
      </c>
      <c r="B2675" s="2">
        <v>44311.0</v>
      </c>
      <c r="C2675" s="1" t="s">
        <v>14</v>
      </c>
      <c r="D2675" s="1" t="s">
        <v>27</v>
      </c>
      <c r="E2675" s="1" t="s">
        <v>33</v>
      </c>
      <c r="F2675" s="1">
        <v>851.24</v>
      </c>
      <c r="G2675" s="1">
        <v>104.7</v>
      </c>
      <c r="H2675" s="1">
        <v>3.0</v>
      </c>
      <c r="I2675" s="1" t="s">
        <v>34</v>
      </c>
      <c r="J2675" s="1" t="s">
        <v>24</v>
      </c>
      <c r="K2675" s="1">
        <f t="shared" si="1"/>
        <v>2021</v>
      </c>
      <c r="L2675" s="1" t="str">
        <f t="shared" si="2"/>
        <v>Apr</v>
      </c>
      <c r="M2675" s="1" t="str">
        <f t="shared" si="3"/>
        <v>Profit</v>
      </c>
    </row>
    <row r="2676" ht="14.25" customHeight="1">
      <c r="A2676" s="1" t="s">
        <v>2710</v>
      </c>
      <c r="B2676" s="2">
        <v>44811.0</v>
      </c>
      <c r="C2676" s="1" t="s">
        <v>30</v>
      </c>
      <c r="D2676" s="1" t="s">
        <v>21</v>
      </c>
      <c r="E2676" s="1" t="s">
        <v>37</v>
      </c>
      <c r="F2676" s="1">
        <v>582.8</v>
      </c>
      <c r="G2676" s="1">
        <v>276.7</v>
      </c>
      <c r="H2676" s="1">
        <v>10.0</v>
      </c>
      <c r="I2676" s="1" t="s">
        <v>17</v>
      </c>
      <c r="J2676" s="1" t="s">
        <v>24</v>
      </c>
      <c r="K2676" s="1">
        <f t="shared" si="1"/>
        <v>2022</v>
      </c>
      <c r="L2676" s="1" t="str">
        <f t="shared" si="2"/>
        <v>Sep</v>
      </c>
      <c r="M2676" s="1" t="str">
        <f t="shared" si="3"/>
        <v>Profit</v>
      </c>
    </row>
    <row r="2677" ht="14.25" customHeight="1">
      <c r="A2677" s="1" t="s">
        <v>2711</v>
      </c>
      <c r="B2677" s="2">
        <v>44762.0</v>
      </c>
      <c r="C2677" s="1" t="s">
        <v>30</v>
      </c>
      <c r="D2677" s="1" t="s">
        <v>21</v>
      </c>
      <c r="E2677" s="1" t="s">
        <v>22</v>
      </c>
      <c r="F2677" s="1">
        <v>869.22</v>
      </c>
      <c r="G2677" s="1">
        <v>-173.78</v>
      </c>
      <c r="H2677" s="1">
        <v>9.0</v>
      </c>
      <c r="I2677" s="1" t="s">
        <v>23</v>
      </c>
      <c r="J2677" s="1" t="s">
        <v>38</v>
      </c>
      <c r="K2677" s="1">
        <f t="shared" si="1"/>
        <v>2022</v>
      </c>
      <c r="L2677" s="1" t="str">
        <f t="shared" si="2"/>
        <v>Jul</v>
      </c>
      <c r="M2677" s="1" t="str">
        <f t="shared" si="3"/>
        <v>Loss</v>
      </c>
    </row>
    <row r="2678" ht="14.25" customHeight="1">
      <c r="A2678" s="1" t="s">
        <v>2712</v>
      </c>
      <c r="B2678" s="2">
        <v>44334.0</v>
      </c>
      <c r="C2678" s="1" t="s">
        <v>14</v>
      </c>
      <c r="D2678" s="1" t="s">
        <v>15</v>
      </c>
      <c r="E2678" s="1" t="s">
        <v>31</v>
      </c>
      <c r="F2678" s="1">
        <v>67.53</v>
      </c>
      <c r="G2678" s="1">
        <v>-182.08</v>
      </c>
      <c r="H2678" s="1">
        <v>10.0</v>
      </c>
      <c r="I2678" s="1" t="s">
        <v>34</v>
      </c>
      <c r="J2678" s="1" t="s">
        <v>24</v>
      </c>
      <c r="K2678" s="1">
        <f t="shared" si="1"/>
        <v>2021</v>
      </c>
      <c r="L2678" s="1" t="str">
        <f t="shared" si="2"/>
        <v>May</v>
      </c>
      <c r="M2678" s="1" t="str">
        <f t="shared" si="3"/>
        <v>Loss</v>
      </c>
    </row>
    <row r="2679" ht="14.25" customHeight="1">
      <c r="A2679" s="1" t="s">
        <v>2713</v>
      </c>
      <c r="B2679" s="2">
        <v>44386.0</v>
      </c>
      <c r="C2679" s="1" t="s">
        <v>30</v>
      </c>
      <c r="D2679" s="1" t="s">
        <v>15</v>
      </c>
      <c r="E2679" s="1" t="s">
        <v>54</v>
      </c>
      <c r="F2679" s="1">
        <v>781.0</v>
      </c>
      <c r="G2679" s="1">
        <v>-163.18</v>
      </c>
      <c r="H2679" s="1">
        <v>3.0</v>
      </c>
      <c r="I2679" s="1" t="s">
        <v>17</v>
      </c>
      <c r="J2679" s="1" t="s">
        <v>24</v>
      </c>
      <c r="K2679" s="1">
        <f t="shared" si="1"/>
        <v>2021</v>
      </c>
      <c r="L2679" s="1" t="str">
        <f t="shared" si="2"/>
        <v>Jul</v>
      </c>
      <c r="M2679" s="1" t="str">
        <f t="shared" si="3"/>
        <v>Loss</v>
      </c>
    </row>
    <row r="2680" ht="14.25" customHeight="1">
      <c r="A2680" s="1" t="s">
        <v>2714</v>
      </c>
      <c r="B2680" s="2">
        <v>44373.0</v>
      </c>
      <c r="C2680" s="1" t="s">
        <v>30</v>
      </c>
      <c r="D2680" s="1" t="s">
        <v>21</v>
      </c>
      <c r="E2680" s="1" t="s">
        <v>37</v>
      </c>
      <c r="F2680" s="1">
        <v>128.75</v>
      </c>
      <c r="G2680" s="1">
        <v>-163.26</v>
      </c>
      <c r="H2680" s="1">
        <v>2.0</v>
      </c>
      <c r="I2680" s="1" t="s">
        <v>23</v>
      </c>
      <c r="J2680" s="1" t="s">
        <v>18</v>
      </c>
      <c r="K2680" s="1">
        <f t="shared" si="1"/>
        <v>2021</v>
      </c>
      <c r="L2680" s="1" t="str">
        <f t="shared" si="2"/>
        <v>Jun</v>
      </c>
      <c r="M2680" s="1" t="str">
        <f t="shared" si="3"/>
        <v>Loss</v>
      </c>
    </row>
    <row r="2681" ht="14.25" customHeight="1">
      <c r="A2681" s="1" t="s">
        <v>2715</v>
      </c>
      <c r="B2681" s="2">
        <v>44543.0</v>
      </c>
      <c r="C2681" s="1" t="s">
        <v>14</v>
      </c>
      <c r="D2681" s="1" t="s">
        <v>15</v>
      </c>
      <c r="E2681" s="1" t="s">
        <v>54</v>
      </c>
      <c r="F2681" s="1">
        <v>45.72</v>
      </c>
      <c r="G2681" s="1">
        <v>142.03</v>
      </c>
      <c r="H2681" s="1">
        <v>8.0</v>
      </c>
      <c r="I2681" s="1" t="s">
        <v>17</v>
      </c>
      <c r="J2681" s="1" t="s">
        <v>38</v>
      </c>
      <c r="K2681" s="1">
        <f t="shared" si="1"/>
        <v>2021</v>
      </c>
      <c r="L2681" s="1" t="str">
        <f t="shared" si="2"/>
        <v>Dec</v>
      </c>
      <c r="M2681" s="1" t="str">
        <f t="shared" si="3"/>
        <v>Profit</v>
      </c>
    </row>
    <row r="2682" ht="14.25" customHeight="1">
      <c r="A2682" s="1" t="s">
        <v>2716</v>
      </c>
      <c r="B2682" s="2">
        <v>44841.0</v>
      </c>
      <c r="C2682" s="1" t="s">
        <v>26</v>
      </c>
      <c r="D2682" s="1" t="s">
        <v>27</v>
      </c>
      <c r="E2682" s="1" t="s">
        <v>28</v>
      </c>
      <c r="F2682" s="1">
        <v>454.83</v>
      </c>
      <c r="G2682" s="1">
        <v>-80.49</v>
      </c>
      <c r="H2682" s="1">
        <v>3.0</v>
      </c>
      <c r="I2682" s="1" t="s">
        <v>17</v>
      </c>
      <c r="J2682" s="1" t="s">
        <v>35</v>
      </c>
      <c r="K2682" s="1">
        <f t="shared" si="1"/>
        <v>2022</v>
      </c>
      <c r="L2682" s="1" t="str">
        <f t="shared" si="2"/>
        <v>Oct</v>
      </c>
      <c r="M2682" s="1" t="str">
        <f t="shared" si="3"/>
        <v>Loss</v>
      </c>
    </row>
    <row r="2683" ht="14.25" customHeight="1">
      <c r="A2683" s="1" t="s">
        <v>2717</v>
      </c>
      <c r="B2683" s="2">
        <v>44246.0</v>
      </c>
      <c r="C2683" s="1" t="s">
        <v>14</v>
      </c>
      <c r="D2683" s="1" t="s">
        <v>15</v>
      </c>
      <c r="E2683" s="1" t="s">
        <v>16</v>
      </c>
      <c r="F2683" s="1">
        <v>765.42</v>
      </c>
      <c r="G2683" s="1">
        <v>-10.85</v>
      </c>
      <c r="H2683" s="1">
        <v>1.0</v>
      </c>
      <c r="I2683" s="1" t="s">
        <v>34</v>
      </c>
      <c r="J2683" s="1" t="s">
        <v>18</v>
      </c>
      <c r="K2683" s="1">
        <f t="shared" si="1"/>
        <v>2021</v>
      </c>
      <c r="L2683" s="1" t="str">
        <f t="shared" si="2"/>
        <v>Feb</v>
      </c>
      <c r="M2683" s="1" t="str">
        <f t="shared" si="3"/>
        <v>Loss</v>
      </c>
    </row>
    <row r="2684" ht="14.25" customHeight="1">
      <c r="A2684" s="1" t="s">
        <v>2718</v>
      </c>
      <c r="B2684" s="2">
        <v>45265.0</v>
      </c>
      <c r="C2684" s="1" t="s">
        <v>20</v>
      </c>
      <c r="D2684" s="1" t="s">
        <v>21</v>
      </c>
      <c r="E2684" s="1" t="s">
        <v>37</v>
      </c>
      <c r="F2684" s="1">
        <v>885.98</v>
      </c>
      <c r="G2684" s="1">
        <v>-110.95</v>
      </c>
      <c r="H2684" s="1">
        <v>3.0</v>
      </c>
      <c r="I2684" s="1" t="s">
        <v>23</v>
      </c>
      <c r="J2684" s="1" t="s">
        <v>35</v>
      </c>
      <c r="K2684" s="1">
        <f t="shared" si="1"/>
        <v>2023</v>
      </c>
      <c r="L2684" s="1" t="str">
        <f t="shared" si="2"/>
        <v>Dec</v>
      </c>
      <c r="M2684" s="1" t="str">
        <f t="shared" si="3"/>
        <v>Loss</v>
      </c>
    </row>
    <row r="2685" ht="14.25" customHeight="1">
      <c r="A2685" s="1" t="s">
        <v>2719</v>
      </c>
      <c r="B2685" s="2">
        <v>44975.0</v>
      </c>
      <c r="C2685" s="1" t="s">
        <v>26</v>
      </c>
      <c r="D2685" s="1" t="s">
        <v>15</v>
      </c>
      <c r="E2685" s="1" t="s">
        <v>54</v>
      </c>
      <c r="F2685" s="1">
        <v>99.54</v>
      </c>
      <c r="G2685" s="1">
        <v>200.35</v>
      </c>
      <c r="H2685" s="1">
        <v>6.0</v>
      </c>
      <c r="I2685" s="1" t="s">
        <v>17</v>
      </c>
      <c r="J2685" s="1" t="s">
        <v>24</v>
      </c>
      <c r="K2685" s="1">
        <f t="shared" si="1"/>
        <v>2023</v>
      </c>
      <c r="L2685" s="1" t="str">
        <f t="shared" si="2"/>
        <v>Feb</v>
      </c>
      <c r="M2685" s="1" t="str">
        <f t="shared" si="3"/>
        <v>Profit</v>
      </c>
    </row>
    <row r="2686" ht="14.25" customHeight="1">
      <c r="A2686" s="1" t="s">
        <v>2720</v>
      </c>
      <c r="B2686" s="2">
        <v>44669.0</v>
      </c>
      <c r="C2686" s="1" t="s">
        <v>14</v>
      </c>
      <c r="D2686" s="1" t="s">
        <v>15</v>
      </c>
      <c r="E2686" s="1" t="s">
        <v>31</v>
      </c>
      <c r="F2686" s="1">
        <v>291.41</v>
      </c>
      <c r="G2686" s="1">
        <v>192.91</v>
      </c>
      <c r="H2686" s="1">
        <v>6.0</v>
      </c>
      <c r="I2686" s="1" t="s">
        <v>34</v>
      </c>
      <c r="J2686" s="1" t="s">
        <v>38</v>
      </c>
      <c r="K2686" s="1">
        <f t="shared" si="1"/>
        <v>2022</v>
      </c>
      <c r="L2686" s="1" t="str">
        <f t="shared" si="2"/>
        <v>Apr</v>
      </c>
      <c r="M2686" s="1" t="str">
        <f t="shared" si="3"/>
        <v>Profit</v>
      </c>
    </row>
    <row r="2687" ht="14.25" customHeight="1">
      <c r="A2687" s="1" t="s">
        <v>2721</v>
      </c>
      <c r="B2687" s="2">
        <v>45087.0</v>
      </c>
      <c r="C2687" s="1" t="s">
        <v>30</v>
      </c>
      <c r="D2687" s="1" t="s">
        <v>21</v>
      </c>
      <c r="E2687" s="1" t="s">
        <v>22</v>
      </c>
      <c r="F2687" s="1">
        <v>690.23</v>
      </c>
      <c r="G2687" s="1">
        <v>97.24</v>
      </c>
      <c r="H2687" s="1">
        <v>10.0</v>
      </c>
      <c r="I2687" s="1" t="s">
        <v>34</v>
      </c>
      <c r="J2687" s="1" t="s">
        <v>38</v>
      </c>
      <c r="K2687" s="1">
        <f t="shared" si="1"/>
        <v>2023</v>
      </c>
      <c r="L2687" s="1" t="str">
        <f t="shared" si="2"/>
        <v>Jun</v>
      </c>
      <c r="M2687" s="1" t="str">
        <f t="shared" si="3"/>
        <v>Profit</v>
      </c>
    </row>
    <row r="2688" ht="14.25" customHeight="1">
      <c r="A2688" s="1" t="s">
        <v>2722</v>
      </c>
      <c r="B2688" s="2">
        <v>45231.0</v>
      </c>
      <c r="C2688" s="1" t="s">
        <v>20</v>
      </c>
      <c r="D2688" s="1" t="s">
        <v>15</v>
      </c>
      <c r="E2688" s="1" t="s">
        <v>31</v>
      </c>
      <c r="F2688" s="1">
        <v>711.67</v>
      </c>
      <c r="G2688" s="1">
        <v>245.69</v>
      </c>
      <c r="H2688" s="1">
        <v>9.0</v>
      </c>
      <c r="I2688" s="1" t="s">
        <v>17</v>
      </c>
      <c r="J2688" s="1" t="s">
        <v>38</v>
      </c>
      <c r="K2688" s="1">
        <f t="shared" si="1"/>
        <v>2023</v>
      </c>
      <c r="L2688" s="1" t="str">
        <f t="shared" si="2"/>
        <v>Nov</v>
      </c>
      <c r="M2688" s="1" t="str">
        <f t="shared" si="3"/>
        <v>Profit</v>
      </c>
    </row>
    <row r="2689" ht="14.25" customHeight="1">
      <c r="A2689" s="1" t="s">
        <v>2723</v>
      </c>
      <c r="B2689" s="2">
        <v>44402.0</v>
      </c>
      <c r="C2689" s="1" t="s">
        <v>14</v>
      </c>
      <c r="D2689" s="1" t="s">
        <v>21</v>
      </c>
      <c r="E2689" s="1" t="s">
        <v>22</v>
      </c>
      <c r="F2689" s="1">
        <v>460.23</v>
      </c>
      <c r="G2689" s="1">
        <v>182.88</v>
      </c>
      <c r="H2689" s="1">
        <v>6.0</v>
      </c>
      <c r="I2689" s="1" t="s">
        <v>17</v>
      </c>
      <c r="J2689" s="1" t="s">
        <v>24</v>
      </c>
      <c r="K2689" s="1">
        <f t="shared" si="1"/>
        <v>2021</v>
      </c>
      <c r="L2689" s="1" t="str">
        <f t="shared" si="2"/>
        <v>Jul</v>
      </c>
      <c r="M2689" s="1" t="str">
        <f t="shared" si="3"/>
        <v>Profit</v>
      </c>
    </row>
    <row r="2690" ht="14.25" customHeight="1">
      <c r="A2690" s="1" t="s">
        <v>2724</v>
      </c>
      <c r="B2690" s="2">
        <v>44755.0</v>
      </c>
      <c r="C2690" s="1" t="s">
        <v>20</v>
      </c>
      <c r="D2690" s="1" t="s">
        <v>15</v>
      </c>
      <c r="E2690" s="1" t="s">
        <v>31</v>
      </c>
      <c r="F2690" s="1">
        <v>330.47</v>
      </c>
      <c r="G2690" s="1">
        <v>234.43</v>
      </c>
      <c r="H2690" s="1">
        <v>5.0</v>
      </c>
      <c r="I2690" s="1" t="s">
        <v>23</v>
      </c>
      <c r="J2690" s="1" t="s">
        <v>24</v>
      </c>
      <c r="K2690" s="1">
        <f t="shared" si="1"/>
        <v>2022</v>
      </c>
      <c r="L2690" s="1" t="str">
        <f t="shared" si="2"/>
        <v>Jul</v>
      </c>
      <c r="M2690" s="1" t="str">
        <f t="shared" si="3"/>
        <v>Profit</v>
      </c>
    </row>
    <row r="2691" ht="14.25" customHeight="1">
      <c r="A2691" s="1" t="s">
        <v>2725</v>
      </c>
      <c r="B2691" s="2">
        <v>44792.0</v>
      </c>
      <c r="C2691" s="1" t="s">
        <v>14</v>
      </c>
      <c r="D2691" s="1" t="s">
        <v>21</v>
      </c>
      <c r="E2691" s="1" t="s">
        <v>76</v>
      </c>
      <c r="F2691" s="1">
        <v>652.61</v>
      </c>
      <c r="G2691" s="1">
        <v>160.33</v>
      </c>
      <c r="H2691" s="1">
        <v>8.0</v>
      </c>
      <c r="I2691" s="1" t="s">
        <v>34</v>
      </c>
      <c r="J2691" s="1" t="s">
        <v>35</v>
      </c>
      <c r="K2691" s="1">
        <f t="shared" si="1"/>
        <v>2022</v>
      </c>
      <c r="L2691" s="1" t="str">
        <f t="shared" si="2"/>
        <v>Aug</v>
      </c>
      <c r="M2691" s="1" t="str">
        <f t="shared" si="3"/>
        <v>Profit</v>
      </c>
    </row>
    <row r="2692" ht="14.25" customHeight="1">
      <c r="A2692" s="1" t="s">
        <v>2726</v>
      </c>
      <c r="B2692" s="2">
        <v>44549.0</v>
      </c>
      <c r="C2692" s="1" t="s">
        <v>30</v>
      </c>
      <c r="D2692" s="1" t="s">
        <v>21</v>
      </c>
      <c r="E2692" s="1" t="s">
        <v>37</v>
      </c>
      <c r="F2692" s="1">
        <v>169.83</v>
      </c>
      <c r="G2692" s="1">
        <v>237.62</v>
      </c>
      <c r="H2692" s="1">
        <v>5.0</v>
      </c>
      <c r="I2692" s="1" t="s">
        <v>17</v>
      </c>
      <c r="J2692" s="1" t="s">
        <v>18</v>
      </c>
      <c r="K2692" s="1">
        <f t="shared" si="1"/>
        <v>2021</v>
      </c>
      <c r="L2692" s="1" t="str">
        <f t="shared" si="2"/>
        <v>Dec</v>
      </c>
      <c r="M2692" s="1" t="str">
        <f t="shared" si="3"/>
        <v>Profit</v>
      </c>
    </row>
    <row r="2693" ht="14.25" customHeight="1">
      <c r="A2693" s="1" t="s">
        <v>2727</v>
      </c>
      <c r="B2693" s="2">
        <v>44389.0</v>
      </c>
      <c r="C2693" s="1" t="s">
        <v>20</v>
      </c>
      <c r="D2693" s="1" t="s">
        <v>21</v>
      </c>
      <c r="E2693" s="1" t="s">
        <v>37</v>
      </c>
      <c r="F2693" s="1">
        <v>788.25</v>
      </c>
      <c r="G2693" s="1">
        <v>30.72</v>
      </c>
      <c r="H2693" s="1">
        <v>9.0</v>
      </c>
      <c r="I2693" s="1" t="s">
        <v>34</v>
      </c>
      <c r="J2693" s="1" t="s">
        <v>38</v>
      </c>
      <c r="K2693" s="1">
        <f t="shared" si="1"/>
        <v>2021</v>
      </c>
      <c r="L2693" s="1" t="str">
        <f t="shared" si="2"/>
        <v>Jul</v>
      </c>
      <c r="M2693" s="1" t="str">
        <f t="shared" si="3"/>
        <v>Profit</v>
      </c>
    </row>
    <row r="2694" ht="14.25" customHeight="1">
      <c r="A2694" s="1" t="s">
        <v>2728</v>
      </c>
      <c r="B2694" s="2">
        <v>44804.0</v>
      </c>
      <c r="C2694" s="1" t="s">
        <v>30</v>
      </c>
      <c r="D2694" s="1" t="s">
        <v>21</v>
      </c>
      <c r="E2694" s="1" t="s">
        <v>76</v>
      </c>
      <c r="F2694" s="1">
        <v>774.2</v>
      </c>
      <c r="G2694" s="1">
        <v>-78.42</v>
      </c>
      <c r="H2694" s="1">
        <v>9.0</v>
      </c>
      <c r="I2694" s="1" t="s">
        <v>23</v>
      </c>
      <c r="J2694" s="1" t="s">
        <v>18</v>
      </c>
      <c r="K2694" s="1">
        <f t="shared" si="1"/>
        <v>2022</v>
      </c>
      <c r="L2694" s="1" t="str">
        <f t="shared" si="2"/>
        <v>Aug</v>
      </c>
      <c r="M2694" s="1" t="str">
        <f t="shared" si="3"/>
        <v>Loss</v>
      </c>
    </row>
    <row r="2695" ht="14.25" customHeight="1">
      <c r="A2695" s="1" t="s">
        <v>2729</v>
      </c>
      <c r="B2695" s="2">
        <v>44803.0</v>
      </c>
      <c r="C2695" s="1" t="s">
        <v>20</v>
      </c>
      <c r="D2695" s="1" t="s">
        <v>21</v>
      </c>
      <c r="E2695" s="1" t="s">
        <v>76</v>
      </c>
      <c r="F2695" s="1">
        <v>555.7</v>
      </c>
      <c r="G2695" s="1">
        <v>28.24</v>
      </c>
      <c r="H2695" s="1">
        <v>6.0</v>
      </c>
      <c r="I2695" s="1" t="s">
        <v>23</v>
      </c>
      <c r="J2695" s="1" t="s">
        <v>35</v>
      </c>
      <c r="K2695" s="1">
        <f t="shared" si="1"/>
        <v>2022</v>
      </c>
      <c r="L2695" s="1" t="str">
        <f t="shared" si="2"/>
        <v>Aug</v>
      </c>
      <c r="M2695" s="1" t="str">
        <f t="shared" si="3"/>
        <v>Profit</v>
      </c>
    </row>
    <row r="2696" ht="14.25" customHeight="1">
      <c r="A2696" s="1" t="s">
        <v>2730</v>
      </c>
      <c r="B2696" s="2">
        <v>44380.0</v>
      </c>
      <c r="C2696" s="1" t="s">
        <v>30</v>
      </c>
      <c r="D2696" s="1" t="s">
        <v>21</v>
      </c>
      <c r="E2696" s="1" t="s">
        <v>76</v>
      </c>
      <c r="F2696" s="1">
        <v>904.84</v>
      </c>
      <c r="G2696" s="1">
        <v>293.77</v>
      </c>
      <c r="H2696" s="1">
        <v>8.0</v>
      </c>
      <c r="I2696" s="1" t="s">
        <v>17</v>
      </c>
      <c r="J2696" s="1" t="s">
        <v>35</v>
      </c>
      <c r="K2696" s="1">
        <f t="shared" si="1"/>
        <v>2021</v>
      </c>
      <c r="L2696" s="1" t="str">
        <f t="shared" si="2"/>
        <v>Jul</v>
      </c>
      <c r="M2696" s="1" t="str">
        <f t="shared" si="3"/>
        <v>Profit</v>
      </c>
    </row>
    <row r="2697" ht="14.25" customHeight="1">
      <c r="A2697" s="1" t="s">
        <v>2731</v>
      </c>
      <c r="B2697" s="2">
        <v>44870.0</v>
      </c>
      <c r="C2697" s="1" t="s">
        <v>14</v>
      </c>
      <c r="D2697" s="1" t="s">
        <v>21</v>
      </c>
      <c r="E2697" s="1" t="s">
        <v>22</v>
      </c>
      <c r="F2697" s="1">
        <v>120.14</v>
      </c>
      <c r="G2697" s="1">
        <v>-70.41</v>
      </c>
      <c r="H2697" s="1">
        <v>2.0</v>
      </c>
      <c r="I2697" s="1" t="s">
        <v>23</v>
      </c>
      <c r="J2697" s="1" t="s">
        <v>38</v>
      </c>
      <c r="K2697" s="1">
        <f t="shared" si="1"/>
        <v>2022</v>
      </c>
      <c r="L2697" s="1" t="str">
        <f t="shared" si="2"/>
        <v>Nov</v>
      </c>
      <c r="M2697" s="1" t="str">
        <f t="shared" si="3"/>
        <v>Loss</v>
      </c>
    </row>
    <row r="2698" ht="14.25" customHeight="1">
      <c r="A2698" s="1" t="s">
        <v>2732</v>
      </c>
      <c r="B2698" s="2">
        <v>44511.0</v>
      </c>
      <c r="C2698" s="1" t="s">
        <v>30</v>
      </c>
      <c r="D2698" s="1" t="s">
        <v>27</v>
      </c>
      <c r="E2698" s="1" t="s">
        <v>28</v>
      </c>
      <c r="F2698" s="1">
        <v>335.87</v>
      </c>
      <c r="G2698" s="1">
        <v>252.58</v>
      </c>
      <c r="H2698" s="1">
        <v>3.0</v>
      </c>
      <c r="I2698" s="1" t="s">
        <v>17</v>
      </c>
      <c r="J2698" s="1" t="s">
        <v>38</v>
      </c>
      <c r="K2698" s="1">
        <f t="shared" si="1"/>
        <v>2021</v>
      </c>
      <c r="L2698" s="1" t="str">
        <f t="shared" si="2"/>
        <v>Nov</v>
      </c>
      <c r="M2698" s="1" t="str">
        <f t="shared" si="3"/>
        <v>Profit</v>
      </c>
    </row>
    <row r="2699" ht="14.25" customHeight="1">
      <c r="A2699" s="1" t="s">
        <v>2733</v>
      </c>
      <c r="B2699" s="2">
        <v>44272.0</v>
      </c>
      <c r="C2699" s="1" t="s">
        <v>30</v>
      </c>
      <c r="D2699" s="1" t="s">
        <v>27</v>
      </c>
      <c r="E2699" s="1" t="s">
        <v>28</v>
      </c>
      <c r="F2699" s="1">
        <v>860.0</v>
      </c>
      <c r="G2699" s="1">
        <v>176.75</v>
      </c>
      <c r="H2699" s="1">
        <v>1.0</v>
      </c>
      <c r="I2699" s="1" t="s">
        <v>23</v>
      </c>
      <c r="J2699" s="1" t="s">
        <v>38</v>
      </c>
      <c r="K2699" s="1">
        <f t="shared" si="1"/>
        <v>2021</v>
      </c>
      <c r="L2699" s="1" t="str">
        <f t="shared" si="2"/>
        <v>Mar</v>
      </c>
      <c r="M2699" s="1" t="str">
        <f t="shared" si="3"/>
        <v>Profit</v>
      </c>
    </row>
    <row r="2700" ht="14.25" customHeight="1">
      <c r="A2700" s="1" t="s">
        <v>2734</v>
      </c>
      <c r="B2700" s="2">
        <v>44548.0</v>
      </c>
      <c r="C2700" s="1" t="s">
        <v>30</v>
      </c>
      <c r="D2700" s="1" t="s">
        <v>27</v>
      </c>
      <c r="E2700" s="1" t="s">
        <v>28</v>
      </c>
      <c r="F2700" s="1">
        <v>571.79</v>
      </c>
      <c r="G2700" s="1">
        <v>-50.8</v>
      </c>
      <c r="H2700" s="1">
        <v>10.0</v>
      </c>
      <c r="I2700" s="1" t="s">
        <v>34</v>
      </c>
      <c r="J2700" s="1" t="s">
        <v>18</v>
      </c>
      <c r="K2700" s="1">
        <f t="shared" si="1"/>
        <v>2021</v>
      </c>
      <c r="L2700" s="1" t="str">
        <f t="shared" si="2"/>
        <v>Dec</v>
      </c>
      <c r="M2700" s="1" t="str">
        <f t="shared" si="3"/>
        <v>Loss</v>
      </c>
    </row>
    <row r="2701" ht="14.25" customHeight="1">
      <c r="A2701" s="1" t="s">
        <v>2735</v>
      </c>
      <c r="B2701" s="2">
        <v>45045.0</v>
      </c>
      <c r="C2701" s="1" t="s">
        <v>26</v>
      </c>
      <c r="D2701" s="1" t="s">
        <v>15</v>
      </c>
      <c r="E2701" s="1" t="s">
        <v>31</v>
      </c>
      <c r="F2701" s="1">
        <v>965.6</v>
      </c>
      <c r="G2701" s="1">
        <v>-60.91</v>
      </c>
      <c r="H2701" s="1">
        <v>9.0</v>
      </c>
      <c r="I2701" s="1" t="s">
        <v>17</v>
      </c>
      <c r="J2701" s="1" t="s">
        <v>18</v>
      </c>
      <c r="K2701" s="1">
        <f t="shared" si="1"/>
        <v>2023</v>
      </c>
      <c r="L2701" s="1" t="str">
        <f t="shared" si="2"/>
        <v>Apr</v>
      </c>
      <c r="M2701" s="1" t="str">
        <f t="shared" si="3"/>
        <v>Loss</v>
      </c>
    </row>
    <row r="2702" ht="14.25" customHeight="1">
      <c r="A2702" s="1" t="s">
        <v>2736</v>
      </c>
      <c r="B2702" s="2">
        <v>44396.0</v>
      </c>
      <c r="C2702" s="1" t="s">
        <v>20</v>
      </c>
      <c r="D2702" s="1" t="s">
        <v>21</v>
      </c>
      <c r="E2702" s="1" t="s">
        <v>37</v>
      </c>
      <c r="F2702" s="1">
        <v>576.8</v>
      </c>
      <c r="G2702" s="1">
        <v>104.18</v>
      </c>
      <c r="H2702" s="1">
        <v>6.0</v>
      </c>
      <c r="I2702" s="1" t="s">
        <v>34</v>
      </c>
      <c r="J2702" s="1" t="s">
        <v>38</v>
      </c>
      <c r="K2702" s="1">
        <f t="shared" si="1"/>
        <v>2021</v>
      </c>
      <c r="L2702" s="1" t="str">
        <f t="shared" si="2"/>
        <v>Jul</v>
      </c>
      <c r="M2702" s="1" t="str">
        <f t="shared" si="3"/>
        <v>Profit</v>
      </c>
    </row>
    <row r="2703" ht="14.25" customHeight="1">
      <c r="A2703" s="1" t="s">
        <v>2737</v>
      </c>
      <c r="B2703" s="2">
        <v>45179.0</v>
      </c>
      <c r="C2703" s="1" t="s">
        <v>26</v>
      </c>
      <c r="D2703" s="1" t="s">
        <v>15</v>
      </c>
      <c r="E2703" s="1" t="s">
        <v>31</v>
      </c>
      <c r="F2703" s="1">
        <v>137.17</v>
      </c>
      <c r="G2703" s="1">
        <v>296.55</v>
      </c>
      <c r="H2703" s="1">
        <v>6.0</v>
      </c>
      <c r="I2703" s="1" t="s">
        <v>23</v>
      </c>
      <c r="J2703" s="1" t="s">
        <v>24</v>
      </c>
      <c r="K2703" s="1">
        <f t="shared" si="1"/>
        <v>2023</v>
      </c>
      <c r="L2703" s="1" t="str">
        <f t="shared" si="2"/>
        <v>Sep</v>
      </c>
      <c r="M2703" s="1" t="str">
        <f t="shared" si="3"/>
        <v>Profit</v>
      </c>
    </row>
    <row r="2704" ht="14.25" customHeight="1">
      <c r="A2704" s="1" t="s">
        <v>2738</v>
      </c>
      <c r="B2704" s="2">
        <v>44588.0</v>
      </c>
      <c r="C2704" s="1" t="s">
        <v>14</v>
      </c>
      <c r="D2704" s="1" t="s">
        <v>27</v>
      </c>
      <c r="E2704" s="1" t="s">
        <v>33</v>
      </c>
      <c r="F2704" s="1">
        <v>794.99</v>
      </c>
      <c r="G2704" s="1">
        <v>176.83</v>
      </c>
      <c r="H2704" s="1">
        <v>10.0</v>
      </c>
      <c r="I2704" s="1" t="s">
        <v>34</v>
      </c>
      <c r="J2704" s="1" t="s">
        <v>24</v>
      </c>
      <c r="K2704" s="1">
        <f t="shared" si="1"/>
        <v>2022</v>
      </c>
      <c r="L2704" s="1" t="str">
        <f t="shared" si="2"/>
        <v>Jan</v>
      </c>
      <c r="M2704" s="1" t="str">
        <f t="shared" si="3"/>
        <v>Profit</v>
      </c>
    </row>
    <row r="2705" ht="14.25" customHeight="1">
      <c r="A2705" s="1" t="s">
        <v>2739</v>
      </c>
      <c r="B2705" s="2">
        <v>44443.0</v>
      </c>
      <c r="C2705" s="1" t="s">
        <v>14</v>
      </c>
      <c r="D2705" s="1" t="s">
        <v>27</v>
      </c>
      <c r="E2705" s="1" t="s">
        <v>28</v>
      </c>
      <c r="F2705" s="1">
        <v>99.13</v>
      </c>
      <c r="G2705" s="1">
        <v>-73.74</v>
      </c>
      <c r="H2705" s="1">
        <v>7.0</v>
      </c>
      <c r="I2705" s="1" t="s">
        <v>23</v>
      </c>
      <c r="J2705" s="1" t="s">
        <v>38</v>
      </c>
      <c r="K2705" s="1">
        <f t="shared" si="1"/>
        <v>2021</v>
      </c>
      <c r="L2705" s="1" t="str">
        <f t="shared" si="2"/>
        <v>Sep</v>
      </c>
      <c r="M2705" s="1" t="str">
        <f t="shared" si="3"/>
        <v>Loss</v>
      </c>
    </row>
    <row r="2706" ht="14.25" customHeight="1">
      <c r="A2706" s="1" t="s">
        <v>2740</v>
      </c>
      <c r="B2706" s="2">
        <v>44231.0</v>
      </c>
      <c r="C2706" s="1" t="s">
        <v>26</v>
      </c>
      <c r="D2706" s="1" t="s">
        <v>27</v>
      </c>
      <c r="E2706" s="1" t="s">
        <v>40</v>
      </c>
      <c r="F2706" s="1">
        <v>401.3</v>
      </c>
      <c r="G2706" s="1">
        <v>-165.56</v>
      </c>
      <c r="H2706" s="1">
        <v>5.0</v>
      </c>
      <c r="I2706" s="1" t="s">
        <v>23</v>
      </c>
      <c r="J2706" s="1" t="s">
        <v>38</v>
      </c>
      <c r="K2706" s="1">
        <f t="shared" si="1"/>
        <v>2021</v>
      </c>
      <c r="L2706" s="1" t="str">
        <f t="shared" si="2"/>
        <v>Feb</v>
      </c>
      <c r="M2706" s="1" t="str">
        <f t="shared" si="3"/>
        <v>Loss</v>
      </c>
    </row>
    <row r="2707" ht="14.25" customHeight="1">
      <c r="A2707" s="1" t="s">
        <v>2741</v>
      </c>
      <c r="B2707" s="2">
        <v>44955.0</v>
      </c>
      <c r="C2707" s="1" t="s">
        <v>20</v>
      </c>
      <c r="D2707" s="1" t="s">
        <v>15</v>
      </c>
      <c r="E2707" s="1" t="s">
        <v>31</v>
      </c>
      <c r="F2707" s="1">
        <v>900.55</v>
      </c>
      <c r="G2707" s="1">
        <v>182.22</v>
      </c>
      <c r="H2707" s="1">
        <v>9.0</v>
      </c>
      <c r="I2707" s="1" t="s">
        <v>23</v>
      </c>
      <c r="J2707" s="1" t="s">
        <v>35</v>
      </c>
      <c r="K2707" s="1">
        <f t="shared" si="1"/>
        <v>2023</v>
      </c>
      <c r="L2707" s="1" t="str">
        <f t="shared" si="2"/>
        <v>Jan</v>
      </c>
      <c r="M2707" s="1" t="str">
        <f t="shared" si="3"/>
        <v>Profit</v>
      </c>
    </row>
    <row r="2708" ht="14.25" customHeight="1">
      <c r="A2708" s="1" t="s">
        <v>2742</v>
      </c>
      <c r="B2708" s="2">
        <v>45087.0</v>
      </c>
      <c r="C2708" s="1" t="s">
        <v>30</v>
      </c>
      <c r="D2708" s="1" t="s">
        <v>15</v>
      </c>
      <c r="E2708" s="1" t="s">
        <v>54</v>
      </c>
      <c r="F2708" s="1">
        <v>91.13</v>
      </c>
      <c r="G2708" s="1">
        <v>233.65</v>
      </c>
      <c r="H2708" s="1">
        <v>5.0</v>
      </c>
      <c r="I2708" s="1" t="s">
        <v>23</v>
      </c>
      <c r="J2708" s="1" t="s">
        <v>18</v>
      </c>
      <c r="K2708" s="1">
        <f t="shared" si="1"/>
        <v>2023</v>
      </c>
      <c r="L2708" s="1" t="str">
        <f t="shared" si="2"/>
        <v>Jun</v>
      </c>
      <c r="M2708" s="1" t="str">
        <f t="shared" si="3"/>
        <v>Profit</v>
      </c>
    </row>
    <row r="2709" ht="14.25" customHeight="1">
      <c r="A2709" s="1" t="s">
        <v>2743</v>
      </c>
      <c r="B2709" s="2">
        <v>45092.0</v>
      </c>
      <c r="C2709" s="1" t="s">
        <v>14</v>
      </c>
      <c r="D2709" s="1" t="s">
        <v>21</v>
      </c>
      <c r="E2709" s="1" t="s">
        <v>76</v>
      </c>
      <c r="F2709" s="1">
        <v>673.6</v>
      </c>
      <c r="G2709" s="1">
        <v>4.95</v>
      </c>
      <c r="H2709" s="1">
        <v>3.0</v>
      </c>
      <c r="I2709" s="1" t="s">
        <v>23</v>
      </c>
      <c r="J2709" s="1" t="s">
        <v>18</v>
      </c>
      <c r="K2709" s="1">
        <f t="shared" si="1"/>
        <v>2023</v>
      </c>
      <c r="L2709" s="1" t="str">
        <f t="shared" si="2"/>
        <v>Jun</v>
      </c>
      <c r="M2709" s="1" t="str">
        <f t="shared" si="3"/>
        <v>Profit</v>
      </c>
    </row>
    <row r="2710" ht="14.25" customHeight="1">
      <c r="A2710" s="1" t="s">
        <v>2744</v>
      </c>
      <c r="B2710" s="2">
        <v>44244.0</v>
      </c>
      <c r="C2710" s="1" t="s">
        <v>20</v>
      </c>
      <c r="D2710" s="1" t="s">
        <v>15</v>
      </c>
      <c r="E2710" s="1" t="s">
        <v>31</v>
      </c>
      <c r="F2710" s="1">
        <v>845.29</v>
      </c>
      <c r="G2710" s="1">
        <v>-48.72</v>
      </c>
      <c r="H2710" s="1">
        <v>10.0</v>
      </c>
      <c r="I2710" s="1" t="s">
        <v>23</v>
      </c>
      <c r="J2710" s="1" t="s">
        <v>18</v>
      </c>
      <c r="K2710" s="1">
        <f t="shared" si="1"/>
        <v>2021</v>
      </c>
      <c r="L2710" s="1" t="str">
        <f t="shared" si="2"/>
        <v>Feb</v>
      </c>
      <c r="M2710" s="1" t="str">
        <f t="shared" si="3"/>
        <v>Loss</v>
      </c>
    </row>
    <row r="2711" ht="14.25" customHeight="1">
      <c r="A2711" s="1" t="s">
        <v>2745</v>
      </c>
      <c r="B2711" s="2">
        <v>44892.0</v>
      </c>
      <c r="C2711" s="1" t="s">
        <v>14</v>
      </c>
      <c r="D2711" s="1" t="s">
        <v>21</v>
      </c>
      <c r="E2711" s="1" t="s">
        <v>37</v>
      </c>
      <c r="F2711" s="1">
        <v>328.1</v>
      </c>
      <c r="G2711" s="1">
        <v>-24.16</v>
      </c>
      <c r="H2711" s="1">
        <v>9.0</v>
      </c>
      <c r="I2711" s="1" t="s">
        <v>17</v>
      </c>
      <c r="J2711" s="1" t="s">
        <v>38</v>
      </c>
      <c r="K2711" s="1">
        <f t="shared" si="1"/>
        <v>2022</v>
      </c>
      <c r="L2711" s="1" t="str">
        <f t="shared" si="2"/>
        <v>Nov</v>
      </c>
      <c r="M2711" s="1" t="str">
        <f t="shared" si="3"/>
        <v>Loss</v>
      </c>
    </row>
    <row r="2712" ht="14.25" customHeight="1">
      <c r="A2712" s="1" t="s">
        <v>2746</v>
      </c>
      <c r="B2712" s="2">
        <v>44871.0</v>
      </c>
      <c r="C2712" s="1" t="s">
        <v>30</v>
      </c>
      <c r="D2712" s="1" t="s">
        <v>21</v>
      </c>
      <c r="E2712" s="1" t="s">
        <v>76</v>
      </c>
      <c r="F2712" s="1">
        <v>618.23</v>
      </c>
      <c r="G2712" s="1">
        <v>59.76</v>
      </c>
      <c r="H2712" s="1">
        <v>2.0</v>
      </c>
      <c r="I2712" s="1" t="s">
        <v>17</v>
      </c>
      <c r="J2712" s="1" t="s">
        <v>24</v>
      </c>
      <c r="K2712" s="1">
        <f t="shared" si="1"/>
        <v>2022</v>
      </c>
      <c r="L2712" s="1" t="str">
        <f t="shared" si="2"/>
        <v>Nov</v>
      </c>
      <c r="M2712" s="1" t="str">
        <f t="shared" si="3"/>
        <v>Profit</v>
      </c>
    </row>
    <row r="2713" ht="14.25" customHeight="1">
      <c r="A2713" s="1" t="s">
        <v>2747</v>
      </c>
      <c r="B2713" s="2">
        <v>44961.0</v>
      </c>
      <c r="C2713" s="1" t="s">
        <v>20</v>
      </c>
      <c r="D2713" s="1" t="s">
        <v>27</v>
      </c>
      <c r="E2713" s="1" t="s">
        <v>28</v>
      </c>
      <c r="F2713" s="1">
        <v>545.69</v>
      </c>
      <c r="G2713" s="1">
        <v>-95.3</v>
      </c>
      <c r="H2713" s="1">
        <v>2.0</v>
      </c>
      <c r="I2713" s="1" t="s">
        <v>34</v>
      </c>
      <c r="J2713" s="1" t="s">
        <v>35</v>
      </c>
      <c r="K2713" s="1">
        <f t="shared" si="1"/>
        <v>2023</v>
      </c>
      <c r="L2713" s="1" t="str">
        <f t="shared" si="2"/>
        <v>Feb</v>
      </c>
      <c r="M2713" s="1" t="str">
        <f t="shared" si="3"/>
        <v>Loss</v>
      </c>
    </row>
    <row r="2714" ht="14.25" customHeight="1">
      <c r="A2714" s="1" t="s">
        <v>2748</v>
      </c>
      <c r="B2714" s="2">
        <v>44496.0</v>
      </c>
      <c r="C2714" s="1" t="s">
        <v>20</v>
      </c>
      <c r="D2714" s="1" t="s">
        <v>15</v>
      </c>
      <c r="E2714" s="1" t="s">
        <v>16</v>
      </c>
      <c r="F2714" s="1">
        <v>99.66</v>
      </c>
      <c r="G2714" s="1">
        <v>125.69</v>
      </c>
      <c r="H2714" s="1">
        <v>9.0</v>
      </c>
      <c r="I2714" s="1" t="s">
        <v>23</v>
      </c>
      <c r="J2714" s="1" t="s">
        <v>18</v>
      </c>
      <c r="K2714" s="1">
        <f t="shared" si="1"/>
        <v>2021</v>
      </c>
      <c r="L2714" s="1" t="str">
        <f t="shared" si="2"/>
        <v>Oct</v>
      </c>
      <c r="M2714" s="1" t="str">
        <f t="shared" si="3"/>
        <v>Profit</v>
      </c>
    </row>
    <row r="2715" ht="14.25" customHeight="1">
      <c r="A2715" s="1" t="s">
        <v>2749</v>
      </c>
      <c r="B2715" s="2">
        <v>45139.0</v>
      </c>
      <c r="C2715" s="1" t="s">
        <v>26</v>
      </c>
      <c r="D2715" s="1" t="s">
        <v>21</v>
      </c>
      <c r="E2715" s="1" t="s">
        <v>37</v>
      </c>
      <c r="F2715" s="1">
        <v>775.3</v>
      </c>
      <c r="G2715" s="1">
        <v>218.63</v>
      </c>
      <c r="H2715" s="1">
        <v>6.0</v>
      </c>
      <c r="I2715" s="1" t="s">
        <v>23</v>
      </c>
      <c r="J2715" s="1" t="s">
        <v>35</v>
      </c>
      <c r="K2715" s="1">
        <f t="shared" si="1"/>
        <v>2023</v>
      </c>
      <c r="L2715" s="1" t="str">
        <f t="shared" si="2"/>
        <v>Aug</v>
      </c>
      <c r="M2715" s="1" t="str">
        <f t="shared" si="3"/>
        <v>Profit</v>
      </c>
    </row>
    <row r="2716" ht="14.25" customHeight="1">
      <c r="A2716" s="1" t="s">
        <v>2750</v>
      </c>
      <c r="B2716" s="2">
        <v>45219.0</v>
      </c>
      <c r="C2716" s="1" t="s">
        <v>26</v>
      </c>
      <c r="D2716" s="1" t="s">
        <v>21</v>
      </c>
      <c r="E2716" s="1" t="s">
        <v>76</v>
      </c>
      <c r="F2716" s="1">
        <v>370.5</v>
      </c>
      <c r="G2716" s="1">
        <v>-64.55</v>
      </c>
      <c r="H2716" s="1">
        <v>2.0</v>
      </c>
      <c r="I2716" s="1" t="s">
        <v>23</v>
      </c>
      <c r="J2716" s="1" t="s">
        <v>24</v>
      </c>
      <c r="K2716" s="1">
        <f t="shared" si="1"/>
        <v>2023</v>
      </c>
      <c r="L2716" s="1" t="str">
        <f t="shared" si="2"/>
        <v>Oct</v>
      </c>
      <c r="M2716" s="1" t="str">
        <f t="shared" si="3"/>
        <v>Loss</v>
      </c>
    </row>
    <row r="2717" ht="14.25" customHeight="1">
      <c r="A2717" s="1" t="s">
        <v>2751</v>
      </c>
      <c r="B2717" s="2">
        <v>45094.0</v>
      </c>
      <c r="C2717" s="1" t="s">
        <v>20</v>
      </c>
      <c r="D2717" s="1" t="s">
        <v>15</v>
      </c>
      <c r="E2717" s="1" t="s">
        <v>54</v>
      </c>
      <c r="F2717" s="1">
        <v>65.19</v>
      </c>
      <c r="G2717" s="1">
        <v>206.83</v>
      </c>
      <c r="H2717" s="1">
        <v>4.0</v>
      </c>
      <c r="I2717" s="1" t="s">
        <v>23</v>
      </c>
      <c r="J2717" s="1" t="s">
        <v>38</v>
      </c>
      <c r="K2717" s="1">
        <f t="shared" si="1"/>
        <v>2023</v>
      </c>
      <c r="L2717" s="1" t="str">
        <f t="shared" si="2"/>
        <v>Jun</v>
      </c>
      <c r="M2717" s="1" t="str">
        <f t="shared" si="3"/>
        <v>Profit</v>
      </c>
    </row>
    <row r="2718" ht="14.25" customHeight="1">
      <c r="A2718" s="1" t="s">
        <v>2752</v>
      </c>
      <c r="B2718" s="2">
        <v>44756.0</v>
      </c>
      <c r="C2718" s="1" t="s">
        <v>20</v>
      </c>
      <c r="D2718" s="1" t="s">
        <v>27</v>
      </c>
      <c r="E2718" s="1" t="s">
        <v>28</v>
      </c>
      <c r="F2718" s="1">
        <v>762.48</v>
      </c>
      <c r="G2718" s="1">
        <v>81.47</v>
      </c>
      <c r="H2718" s="1">
        <v>2.0</v>
      </c>
      <c r="I2718" s="1" t="s">
        <v>23</v>
      </c>
      <c r="J2718" s="1" t="s">
        <v>35</v>
      </c>
      <c r="K2718" s="1">
        <f t="shared" si="1"/>
        <v>2022</v>
      </c>
      <c r="L2718" s="1" t="str">
        <f t="shared" si="2"/>
        <v>Jul</v>
      </c>
      <c r="M2718" s="1" t="str">
        <f t="shared" si="3"/>
        <v>Profit</v>
      </c>
    </row>
    <row r="2719" ht="14.25" customHeight="1">
      <c r="A2719" s="1" t="s">
        <v>2753</v>
      </c>
      <c r="B2719" s="2">
        <v>44429.0</v>
      </c>
      <c r="C2719" s="1" t="s">
        <v>26</v>
      </c>
      <c r="D2719" s="1" t="s">
        <v>21</v>
      </c>
      <c r="E2719" s="1" t="s">
        <v>22</v>
      </c>
      <c r="F2719" s="1">
        <v>767.51</v>
      </c>
      <c r="G2719" s="1">
        <v>281.19</v>
      </c>
      <c r="H2719" s="1">
        <v>4.0</v>
      </c>
      <c r="I2719" s="1" t="s">
        <v>34</v>
      </c>
      <c r="J2719" s="1" t="s">
        <v>35</v>
      </c>
      <c r="K2719" s="1">
        <f t="shared" si="1"/>
        <v>2021</v>
      </c>
      <c r="L2719" s="1" t="str">
        <f t="shared" si="2"/>
        <v>Aug</v>
      </c>
      <c r="M2719" s="1" t="str">
        <f t="shared" si="3"/>
        <v>Profit</v>
      </c>
    </row>
    <row r="2720" ht="14.25" customHeight="1">
      <c r="A2720" s="1" t="s">
        <v>2754</v>
      </c>
      <c r="B2720" s="2">
        <v>45218.0</v>
      </c>
      <c r="C2720" s="1" t="s">
        <v>20</v>
      </c>
      <c r="D2720" s="1" t="s">
        <v>21</v>
      </c>
      <c r="E2720" s="1" t="s">
        <v>37</v>
      </c>
      <c r="F2720" s="1">
        <v>374.58</v>
      </c>
      <c r="G2720" s="1">
        <v>132.4</v>
      </c>
      <c r="H2720" s="1">
        <v>8.0</v>
      </c>
      <c r="I2720" s="1" t="s">
        <v>23</v>
      </c>
      <c r="J2720" s="1" t="s">
        <v>24</v>
      </c>
      <c r="K2720" s="1">
        <f t="shared" si="1"/>
        <v>2023</v>
      </c>
      <c r="L2720" s="1" t="str">
        <f t="shared" si="2"/>
        <v>Oct</v>
      </c>
      <c r="M2720" s="1" t="str">
        <f t="shared" si="3"/>
        <v>Profit</v>
      </c>
    </row>
    <row r="2721" ht="14.25" customHeight="1">
      <c r="A2721" s="1" t="s">
        <v>2755</v>
      </c>
      <c r="B2721" s="2">
        <v>45283.0</v>
      </c>
      <c r="C2721" s="1" t="s">
        <v>20</v>
      </c>
      <c r="D2721" s="1" t="s">
        <v>27</v>
      </c>
      <c r="E2721" s="1" t="s">
        <v>28</v>
      </c>
      <c r="F2721" s="1">
        <v>301.62</v>
      </c>
      <c r="G2721" s="1">
        <v>-18.32</v>
      </c>
      <c r="H2721" s="1">
        <v>2.0</v>
      </c>
      <c r="I2721" s="1" t="s">
        <v>17</v>
      </c>
      <c r="J2721" s="1" t="s">
        <v>24</v>
      </c>
      <c r="K2721" s="1">
        <f t="shared" si="1"/>
        <v>2023</v>
      </c>
      <c r="L2721" s="1" t="str">
        <f t="shared" si="2"/>
        <v>Dec</v>
      </c>
      <c r="M2721" s="1" t="str">
        <f t="shared" si="3"/>
        <v>Loss</v>
      </c>
    </row>
    <row r="2722" ht="14.25" customHeight="1">
      <c r="A2722" s="1" t="s">
        <v>2756</v>
      </c>
      <c r="B2722" s="2">
        <v>44644.0</v>
      </c>
      <c r="C2722" s="1" t="s">
        <v>20</v>
      </c>
      <c r="D2722" s="1" t="s">
        <v>27</v>
      </c>
      <c r="E2722" s="1" t="s">
        <v>33</v>
      </c>
      <c r="F2722" s="1">
        <v>606.52</v>
      </c>
      <c r="G2722" s="1">
        <v>107.73</v>
      </c>
      <c r="H2722" s="1">
        <v>4.0</v>
      </c>
      <c r="I2722" s="1" t="s">
        <v>17</v>
      </c>
      <c r="J2722" s="1" t="s">
        <v>38</v>
      </c>
      <c r="K2722" s="1">
        <f t="shared" si="1"/>
        <v>2022</v>
      </c>
      <c r="L2722" s="1" t="str">
        <f t="shared" si="2"/>
        <v>Mar</v>
      </c>
      <c r="M2722" s="1" t="str">
        <f t="shared" si="3"/>
        <v>Profit</v>
      </c>
    </row>
    <row r="2723" ht="14.25" customHeight="1">
      <c r="A2723" s="1" t="s">
        <v>2757</v>
      </c>
      <c r="B2723" s="2">
        <v>44618.0</v>
      </c>
      <c r="C2723" s="1" t="s">
        <v>20</v>
      </c>
      <c r="D2723" s="1" t="s">
        <v>15</v>
      </c>
      <c r="E2723" s="1" t="s">
        <v>54</v>
      </c>
      <c r="F2723" s="1">
        <v>368.31</v>
      </c>
      <c r="G2723" s="1">
        <v>-100.31</v>
      </c>
      <c r="H2723" s="1">
        <v>10.0</v>
      </c>
      <c r="I2723" s="1" t="s">
        <v>34</v>
      </c>
      <c r="J2723" s="1" t="s">
        <v>24</v>
      </c>
      <c r="K2723" s="1">
        <f t="shared" si="1"/>
        <v>2022</v>
      </c>
      <c r="L2723" s="1" t="str">
        <f t="shared" si="2"/>
        <v>Feb</v>
      </c>
      <c r="M2723" s="1" t="str">
        <f t="shared" si="3"/>
        <v>Loss</v>
      </c>
    </row>
    <row r="2724" ht="14.25" customHeight="1">
      <c r="A2724" s="1" t="s">
        <v>2758</v>
      </c>
      <c r="B2724" s="2">
        <v>44614.0</v>
      </c>
      <c r="C2724" s="1" t="s">
        <v>14</v>
      </c>
      <c r="D2724" s="1" t="s">
        <v>21</v>
      </c>
      <c r="E2724" s="1" t="s">
        <v>37</v>
      </c>
      <c r="F2724" s="1">
        <v>606.43</v>
      </c>
      <c r="G2724" s="1">
        <v>56.97</v>
      </c>
      <c r="H2724" s="1">
        <v>3.0</v>
      </c>
      <c r="I2724" s="1" t="s">
        <v>17</v>
      </c>
      <c r="J2724" s="1" t="s">
        <v>38</v>
      </c>
      <c r="K2724" s="1">
        <f t="shared" si="1"/>
        <v>2022</v>
      </c>
      <c r="L2724" s="1" t="str">
        <f t="shared" si="2"/>
        <v>Feb</v>
      </c>
      <c r="M2724" s="1" t="str">
        <f t="shared" si="3"/>
        <v>Profit</v>
      </c>
    </row>
    <row r="2725" ht="14.25" customHeight="1">
      <c r="A2725" s="1" t="s">
        <v>2759</v>
      </c>
      <c r="B2725" s="2">
        <v>44645.0</v>
      </c>
      <c r="C2725" s="1" t="s">
        <v>26</v>
      </c>
      <c r="D2725" s="1" t="s">
        <v>21</v>
      </c>
      <c r="E2725" s="1" t="s">
        <v>37</v>
      </c>
      <c r="F2725" s="1">
        <v>863.91</v>
      </c>
      <c r="G2725" s="1">
        <v>159.47</v>
      </c>
      <c r="H2725" s="1">
        <v>3.0</v>
      </c>
      <c r="I2725" s="1" t="s">
        <v>17</v>
      </c>
      <c r="J2725" s="1" t="s">
        <v>35</v>
      </c>
      <c r="K2725" s="1">
        <f t="shared" si="1"/>
        <v>2022</v>
      </c>
      <c r="L2725" s="1" t="str">
        <f t="shared" si="2"/>
        <v>Mar</v>
      </c>
      <c r="M2725" s="1" t="str">
        <f t="shared" si="3"/>
        <v>Profit</v>
      </c>
    </row>
    <row r="2726" ht="14.25" customHeight="1">
      <c r="A2726" s="1" t="s">
        <v>2760</v>
      </c>
      <c r="B2726" s="2">
        <v>44664.0</v>
      </c>
      <c r="C2726" s="1" t="s">
        <v>30</v>
      </c>
      <c r="D2726" s="1" t="s">
        <v>27</v>
      </c>
      <c r="E2726" s="1" t="s">
        <v>33</v>
      </c>
      <c r="F2726" s="1">
        <v>763.13</v>
      </c>
      <c r="G2726" s="1">
        <v>203.41</v>
      </c>
      <c r="H2726" s="1">
        <v>10.0</v>
      </c>
      <c r="I2726" s="1" t="s">
        <v>34</v>
      </c>
      <c r="J2726" s="1" t="s">
        <v>18</v>
      </c>
      <c r="K2726" s="1">
        <f t="shared" si="1"/>
        <v>2022</v>
      </c>
      <c r="L2726" s="1" t="str">
        <f t="shared" si="2"/>
        <v>Apr</v>
      </c>
      <c r="M2726" s="1" t="str">
        <f t="shared" si="3"/>
        <v>Profit</v>
      </c>
    </row>
    <row r="2727" ht="14.25" customHeight="1">
      <c r="A2727" s="1" t="s">
        <v>2761</v>
      </c>
      <c r="B2727" s="2">
        <v>44546.0</v>
      </c>
      <c r="C2727" s="1" t="s">
        <v>20</v>
      </c>
      <c r="D2727" s="1" t="s">
        <v>27</v>
      </c>
      <c r="E2727" s="1" t="s">
        <v>40</v>
      </c>
      <c r="F2727" s="1">
        <v>901.75</v>
      </c>
      <c r="G2727" s="1">
        <v>168.02</v>
      </c>
      <c r="H2727" s="1">
        <v>3.0</v>
      </c>
      <c r="I2727" s="1" t="s">
        <v>34</v>
      </c>
      <c r="J2727" s="1" t="s">
        <v>18</v>
      </c>
      <c r="K2727" s="1">
        <f t="shared" si="1"/>
        <v>2021</v>
      </c>
      <c r="L2727" s="1" t="str">
        <f t="shared" si="2"/>
        <v>Dec</v>
      </c>
      <c r="M2727" s="1" t="str">
        <f t="shared" si="3"/>
        <v>Profit</v>
      </c>
    </row>
    <row r="2728" ht="14.25" customHeight="1">
      <c r="A2728" s="1" t="s">
        <v>2762</v>
      </c>
      <c r="B2728" s="2">
        <v>44871.0</v>
      </c>
      <c r="C2728" s="1" t="s">
        <v>26</v>
      </c>
      <c r="D2728" s="1" t="s">
        <v>15</v>
      </c>
      <c r="E2728" s="1" t="s">
        <v>54</v>
      </c>
      <c r="F2728" s="1">
        <v>356.41</v>
      </c>
      <c r="G2728" s="1">
        <v>-50.56</v>
      </c>
      <c r="H2728" s="1">
        <v>4.0</v>
      </c>
      <c r="I2728" s="1" t="s">
        <v>34</v>
      </c>
      <c r="J2728" s="1" t="s">
        <v>38</v>
      </c>
      <c r="K2728" s="1">
        <f t="shared" si="1"/>
        <v>2022</v>
      </c>
      <c r="L2728" s="1" t="str">
        <f t="shared" si="2"/>
        <v>Nov</v>
      </c>
      <c r="M2728" s="1" t="str">
        <f t="shared" si="3"/>
        <v>Loss</v>
      </c>
    </row>
    <row r="2729" ht="14.25" customHeight="1">
      <c r="A2729" s="1" t="s">
        <v>2763</v>
      </c>
      <c r="B2729" s="2">
        <v>44631.0</v>
      </c>
      <c r="C2729" s="1" t="s">
        <v>30</v>
      </c>
      <c r="D2729" s="1" t="s">
        <v>21</v>
      </c>
      <c r="E2729" s="1" t="s">
        <v>37</v>
      </c>
      <c r="F2729" s="1">
        <v>938.53</v>
      </c>
      <c r="G2729" s="1">
        <v>254.02</v>
      </c>
      <c r="H2729" s="1">
        <v>8.0</v>
      </c>
      <c r="I2729" s="1" t="s">
        <v>34</v>
      </c>
      <c r="J2729" s="1" t="s">
        <v>18</v>
      </c>
      <c r="K2729" s="1">
        <f t="shared" si="1"/>
        <v>2022</v>
      </c>
      <c r="L2729" s="1" t="str">
        <f t="shared" si="2"/>
        <v>Mar</v>
      </c>
      <c r="M2729" s="1" t="str">
        <f t="shared" si="3"/>
        <v>Profit</v>
      </c>
    </row>
    <row r="2730" ht="14.25" customHeight="1">
      <c r="A2730" s="1" t="s">
        <v>2764</v>
      </c>
      <c r="B2730" s="2">
        <v>45270.0</v>
      </c>
      <c r="C2730" s="1" t="s">
        <v>26</v>
      </c>
      <c r="D2730" s="1" t="s">
        <v>21</v>
      </c>
      <c r="E2730" s="1" t="s">
        <v>37</v>
      </c>
      <c r="F2730" s="1">
        <v>560.91</v>
      </c>
      <c r="G2730" s="1">
        <v>129.13</v>
      </c>
      <c r="H2730" s="1">
        <v>5.0</v>
      </c>
      <c r="I2730" s="1" t="s">
        <v>17</v>
      </c>
      <c r="J2730" s="1" t="s">
        <v>18</v>
      </c>
      <c r="K2730" s="1">
        <f t="shared" si="1"/>
        <v>2023</v>
      </c>
      <c r="L2730" s="1" t="str">
        <f t="shared" si="2"/>
        <v>Dec</v>
      </c>
      <c r="M2730" s="1" t="str">
        <f t="shared" si="3"/>
        <v>Profit</v>
      </c>
    </row>
    <row r="2731" ht="14.25" customHeight="1">
      <c r="A2731" s="1" t="s">
        <v>2765</v>
      </c>
      <c r="B2731" s="2">
        <v>45149.0</v>
      </c>
      <c r="C2731" s="1" t="s">
        <v>26</v>
      </c>
      <c r="D2731" s="1" t="s">
        <v>15</v>
      </c>
      <c r="E2731" s="1" t="s">
        <v>16</v>
      </c>
      <c r="F2731" s="1">
        <v>172.88</v>
      </c>
      <c r="G2731" s="1">
        <v>194.5</v>
      </c>
      <c r="H2731" s="1">
        <v>1.0</v>
      </c>
      <c r="I2731" s="1" t="s">
        <v>23</v>
      </c>
      <c r="J2731" s="1" t="s">
        <v>35</v>
      </c>
      <c r="K2731" s="1">
        <f t="shared" si="1"/>
        <v>2023</v>
      </c>
      <c r="L2731" s="1" t="str">
        <f t="shared" si="2"/>
        <v>Aug</v>
      </c>
      <c r="M2731" s="1" t="str">
        <f t="shared" si="3"/>
        <v>Profit</v>
      </c>
    </row>
    <row r="2732" ht="14.25" customHeight="1">
      <c r="A2732" s="1" t="s">
        <v>2766</v>
      </c>
      <c r="B2732" s="2">
        <v>44616.0</v>
      </c>
      <c r="C2732" s="1" t="s">
        <v>26</v>
      </c>
      <c r="D2732" s="1" t="s">
        <v>15</v>
      </c>
      <c r="E2732" s="1" t="s">
        <v>16</v>
      </c>
      <c r="F2732" s="1">
        <v>513.75</v>
      </c>
      <c r="G2732" s="1">
        <v>-10.54</v>
      </c>
      <c r="H2732" s="1">
        <v>3.0</v>
      </c>
      <c r="I2732" s="1" t="s">
        <v>34</v>
      </c>
      <c r="J2732" s="1" t="s">
        <v>24</v>
      </c>
      <c r="K2732" s="1">
        <f t="shared" si="1"/>
        <v>2022</v>
      </c>
      <c r="L2732" s="1" t="str">
        <f t="shared" si="2"/>
        <v>Feb</v>
      </c>
      <c r="M2732" s="1" t="str">
        <f t="shared" si="3"/>
        <v>Loss</v>
      </c>
    </row>
    <row r="2733" ht="14.25" customHeight="1">
      <c r="A2733" s="1" t="s">
        <v>2767</v>
      </c>
      <c r="B2733" s="2">
        <v>44395.0</v>
      </c>
      <c r="C2733" s="1" t="s">
        <v>14</v>
      </c>
      <c r="D2733" s="1" t="s">
        <v>15</v>
      </c>
      <c r="E2733" s="1" t="s">
        <v>16</v>
      </c>
      <c r="F2733" s="1">
        <v>519.77</v>
      </c>
      <c r="G2733" s="1">
        <v>-151.91</v>
      </c>
      <c r="H2733" s="1">
        <v>4.0</v>
      </c>
      <c r="I2733" s="1" t="s">
        <v>34</v>
      </c>
      <c r="J2733" s="1" t="s">
        <v>18</v>
      </c>
      <c r="K2733" s="1">
        <f t="shared" si="1"/>
        <v>2021</v>
      </c>
      <c r="L2733" s="1" t="str">
        <f t="shared" si="2"/>
        <v>Jul</v>
      </c>
      <c r="M2733" s="1" t="str">
        <f t="shared" si="3"/>
        <v>Loss</v>
      </c>
    </row>
    <row r="2734" ht="14.25" customHeight="1">
      <c r="A2734" s="1" t="s">
        <v>2768</v>
      </c>
      <c r="B2734" s="2">
        <v>44436.0</v>
      </c>
      <c r="C2734" s="1" t="s">
        <v>20</v>
      </c>
      <c r="D2734" s="1" t="s">
        <v>21</v>
      </c>
      <c r="E2734" s="1" t="s">
        <v>37</v>
      </c>
      <c r="F2734" s="1">
        <v>237.78</v>
      </c>
      <c r="G2734" s="1">
        <v>72.9</v>
      </c>
      <c r="H2734" s="1">
        <v>1.0</v>
      </c>
      <c r="I2734" s="1" t="s">
        <v>34</v>
      </c>
      <c r="J2734" s="1" t="s">
        <v>18</v>
      </c>
      <c r="K2734" s="1">
        <f t="shared" si="1"/>
        <v>2021</v>
      </c>
      <c r="L2734" s="1" t="str">
        <f t="shared" si="2"/>
        <v>Aug</v>
      </c>
      <c r="M2734" s="1" t="str">
        <f t="shared" si="3"/>
        <v>Profit</v>
      </c>
    </row>
    <row r="2735" ht="14.25" customHeight="1">
      <c r="A2735" s="1" t="s">
        <v>2769</v>
      </c>
      <c r="B2735" s="2">
        <v>45237.0</v>
      </c>
      <c r="C2735" s="1" t="s">
        <v>14</v>
      </c>
      <c r="D2735" s="1" t="s">
        <v>15</v>
      </c>
      <c r="E2735" s="1" t="s">
        <v>54</v>
      </c>
      <c r="F2735" s="1">
        <v>162.51</v>
      </c>
      <c r="G2735" s="1">
        <v>-12.52</v>
      </c>
      <c r="H2735" s="1">
        <v>4.0</v>
      </c>
      <c r="I2735" s="1" t="s">
        <v>17</v>
      </c>
      <c r="J2735" s="1" t="s">
        <v>35</v>
      </c>
      <c r="K2735" s="1">
        <f t="shared" si="1"/>
        <v>2023</v>
      </c>
      <c r="L2735" s="1" t="str">
        <f t="shared" si="2"/>
        <v>Nov</v>
      </c>
      <c r="M2735" s="1" t="str">
        <f t="shared" si="3"/>
        <v>Loss</v>
      </c>
    </row>
    <row r="2736" ht="14.25" customHeight="1">
      <c r="A2736" s="1" t="s">
        <v>2770</v>
      </c>
      <c r="B2736" s="2">
        <v>44902.0</v>
      </c>
      <c r="C2736" s="1" t="s">
        <v>14</v>
      </c>
      <c r="D2736" s="1" t="s">
        <v>15</v>
      </c>
      <c r="E2736" s="1" t="s">
        <v>31</v>
      </c>
      <c r="F2736" s="1">
        <v>583.78</v>
      </c>
      <c r="G2736" s="1">
        <v>-110.27</v>
      </c>
      <c r="H2736" s="1">
        <v>5.0</v>
      </c>
      <c r="I2736" s="1" t="s">
        <v>23</v>
      </c>
      <c r="J2736" s="1" t="s">
        <v>35</v>
      </c>
      <c r="K2736" s="1">
        <f t="shared" si="1"/>
        <v>2022</v>
      </c>
      <c r="L2736" s="1" t="str">
        <f t="shared" si="2"/>
        <v>Dec</v>
      </c>
      <c r="M2736" s="1" t="str">
        <f t="shared" si="3"/>
        <v>Loss</v>
      </c>
    </row>
    <row r="2737" ht="14.25" customHeight="1">
      <c r="A2737" s="1" t="s">
        <v>2771</v>
      </c>
      <c r="B2737" s="2">
        <v>44637.0</v>
      </c>
      <c r="C2737" s="1" t="s">
        <v>26</v>
      </c>
      <c r="D2737" s="1" t="s">
        <v>15</v>
      </c>
      <c r="E2737" s="1" t="s">
        <v>54</v>
      </c>
      <c r="F2737" s="1">
        <v>305.94</v>
      </c>
      <c r="G2737" s="1">
        <v>-61.1</v>
      </c>
      <c r="H2737" s="1">
        <v>8.0</v>
      </c>
      <c r="I2737" s="1" t="s">
        <v>17</v>
      </c>
      <c r="J2737" s="1" t="s">
        <v>38</v>
      </c>
      <c r="K2737" s="1">
        <f t="shared" si="1"/>
        <v>2022</v>
      </c>
      <c r="L2737" s="1" t="str">
        <f t="shared" si="2"/>
        <v>Mar</v>
      </c>
      <c r="M2737" s="1" t="str">
        <f t="shared" si="3"/>
        <v>Loss</v>
      </c>
    </row>
    <row r="2738" ht="14.25" customHeight="1">
      <c r="A2738" s="1" t="s">
        <v>2772</v>
      </c>
      <c r="B2738" s="2">
        <v>45249.0</v>
      </c>
      <c r="C2738" s="1" t="s">
        <v>26</v>
      </c>
      <c r="D2738" s="1" t="s">
        <v>21</v>
      </c>
      <c r="E2738" s="1" t="s">
        <v>22</v>
      </c>
      <c r="F2738" s="1">
        <v>513.53</v>
      </c>
      <c r="G2738" s="1">
        <v>-139.6</v>
      </c>
      <c r="H2738" s="1">
        <v>9.0</v>
      </c>
      <c r="I2738" s="1" t="s">
        <v>23</v>
      </c>
      <c r="J2738" s="1" t="s">
        <v>35</v>
      </c>
      <c r="K2738" s="1">
        <f t="shared" si="1"/>
        <v>2023</v>
      </c>
      <c r="L2738" s="1" t="str">
        <f t="shared" si="2"/>
        <v>Nov</v>
      </c>
      <c r="M2738" s="1" t="str">
        <f t="shared" si="3"/>
        <v>Loss</v>
      </c>
    </row>
    <row r="2739" ht="14.25" customHeight="1">
      <c r="A2739" s="1" t="s">
        <v>2773</v>
      </c>
      <c r="B2739" s="2">
        <v>45123.0</v>
      </c>
      <c r="C2739" s="1" t="s">
        <v>26</v>
      </c>
      <c r="D2739" s="1" t="s">
        <v>21</v>
      </c>
      <c r="E2739" s="1" t="s">
        <v>37</v>
      </c>
      <c r="F2739" s="1">
        <v>253.03</v>
      </c>
      <c r="G2739" s="1">
        <v>-184.77</v>
      </c>
      <c r="H2739" s="1">
        <v>1.0</v>
      </c>
      <c r="I2739" s="1" t="s">
        <v>17</v>
      </c>
      <c r="J2739" s="1" t="s">
        <v>18</v>
      </c>
      <c r="K2739" s="1">
        <f t="shared" si="1"/>
        <v>2023</v>
      </c>
      <c r="L2739" s="1" t="str">
        <f t="shared" si="2"/>
        <v>Jul</v>
      </c>
      <c r="M2739" s="1" t="str">
        <f t="shared" si="3"/>
        <v>Loss</v>
      </c>
    </row>
    <row r="2740" ht="14.25" customHeight="1">
      <c r="A2740" s="1" t="s">
        <v>2774</v>
      </c>
      <c r="B2740" s="2">
        <v>45275.0</v>
      </c>
      <c r="C2740" s="1" t="s">
        <v>26</v>
      </c>
      <c r="D2740" s="1" t="s">
        <v>15</v>
      </c>
      <c r="E2740" s="1" t="s">
        <v>16</v>
      </c>
      <c r="F2740" s="1">
        <v>468.78</v>
      </c>
      <c r="G2740" s="1">
        <v>29.24</v>
      </c>
      <c r="H2740" s="1">
        <v>1.0</v>
      </c>
      <c r="I2740" s="1" t="s">
        <v>34</v>
      </c>
      <c r="J2740" s="1" t="s">
        <v>38</v>
      </c>
      <c r="K2740" s="1">
        <f t="shared" si="1"/>
        <v>2023</v>
      </c>
      <c r="L2740" s="1" t="str">
        <f t="shared" si="2"/>
        <v>Dec</v>
      </c>
      <c r="M2740" s="1" t="str">
        <f t="shared" si="3"/>
        <v>Profit</v>
      </c>
    </row>
    <row r="2741" ht="14.25" customHeight="1">
      <c r="A2741" s="1" t="s">
        <v>2775</v>
      </c>
      <c r="B2741" s="2">
        <v>45045.0</v>
      </c>
      <c r="C2741" s="1" t="s">
        <v>26</v>
      </c>
      <c r="D2741" s="1" t="s">
        <v>27</v>
      </c>
      <c r="E2741" s="1" t="s">
        <v>33</v>
      </c>
      <c r="F2741" s="1">
        <v>614.9</v>
      </c>
      <c r="G2741" s="1">
        <v>-166.25</v>
      </c>
      <c r="H2741" s="1">
        <v>5.0</v>
      </c>
      <c r="I2741" s="1" t="s">
        <v>34</v>
      </c>
      <c r="J2741" s="1" t="s">
        <v>35</v>
      </c>
      <c r="K2741" s="1">
        <f t="shared" si="1"/>
        <v>2023</v>
      </c>
      <c r="L2741" s="1" t="str">
        <f t="shared" si="2"/>
        <v>Apr</v>
      </c>
      <c r="M2741" s="1" t="str">
        <f t="shared" si="3"/>
        <v>Loss</v>
      </c>
    </row>
    <row r="2742" ht="14.25" customHeight="1">
      <c r="A2742" s="1" t="s">
        <v>2776</v>
      </c>
      <c r="B2742" s="2">
        <v>44589.0</v>
      </c>
      <c r="C2742" s="1" t="s">
        <v>30</v>
      </c>
      <c r="D2742" s="1" t="s">
        <v>27</v>
      </c>
      <c r="E2742" s="1" t="s">
        <v>33</v>
      </c>
      <c r="F2742" s="1">
        <v>488.93</v>
      </c>
      <c r="G2742" s="1">
        <v>-89.36</v>
      </c>
      <c r="H2742" s="1">
        <v>1.0</v>
      </c>
      <c r="I2742" s="1" t="s">
        <v>17</v>
      </c>
      <c r="J2742" s="1" t="s">
        <v>38</v>
      </c>
      <c r="K2742" s="1">
        <f t="shared" si="1"/>
        <v>2022</v>
      </c>
      <c r="L2742" s="1" t="str">
        <f t="shared" si="2"/>
        <v>Jan</v>
      </c>
      <c r="M2742" s="1" t="str">
        <f t="shared" si="3"/>
        <v>Loss</v>
      </c>
    </row>
    <row r="2743" ht="14.25" customHeight="1">
      <c r="A2743" s="1" t="s">
        <v>2777</v>
      </c>
      <c r="B2743" s="2">
        <v>45090.0</v>
      </c>
      <c r="C2743" s="1" t="s">
        <v>30</v>
      </c>
      <c r="D2743" s="1" t="s">
        <v>21</v>
      </c>
      <c r="E2743" s="1" t="s">
        <v>22</v>
      </c>
      <c r="F2743" s="1">
        <v>416.4</v>
      </c>
      <c r="G2743" s="1">
        <v>34.26</v>
      </c>
      <c r="H2743" s="1">
        <v>7.0</v>
      </c>
      <c r="I2743" s="1" t="s">
        <v>17</v>
      </c>
      <c r="J2743" s="1" t="s">
        <v>18</v>
      </c>
      <c r="K2743" s="1">
        <f t="shared" si="1"/>
        <v>2023</v>
      </c>
      <c r="L2743" s="1" t="str">
        <f t="shared" si="2"/>
        <v>Jun</v>
      </c>
      <c r="M2743" s="1" t="str">
        <f t="shared" si="3"/>
        <v>Profit</v>
      </c>
    </row>
    <row r="2744" ht="14.25" customHeight="1">
      <c r="A2744" s="1" t="s">
        <v>2778</v>
      </c>
      <c r="B2744" s="2">
        <v>44647.0</v>
      </c>
      <c r="C2744" s="1" t="s">
        <v>30</v>
      </c>
      <c r="D2744" s="1" t="s">
        <v>15</v>
      </c>
      <c r="E2744" s="1" t="s">
        <v>54</v>
      </c>
      <c r="F2744" s="1">
        <v>944.35</v>
      </c>
      <c r="G2744" s="1">
        <v>95.44</v>
      </c>
      <c r="H2744" s="1">
        <v>3.0</v>
      </c>
      <c r="I2744" s="1" t="s">
        <v>17</v>
      </c>
      <c r="J2744" s="1" t="s">
        <v>38</v>
      </c>
      <c r="K2744" s="1">
        <f t="shared" si="1"/>
        <v>2022</v>
      </c>
      <c r="L2744" s="1" t="str">
        <f t="shared" si="2"/>
        <v>Mar</v>
      </c>
      <c r="M2744" s="1" t="str">
        <f t="shared" si="3"/>
        <v>Profit</v>
      </c>
    </row>
    <row r="2745" ht="14.25" customHeight="1">
      <c r="A2745" s="1" t="s">
        <v>2779</v>
      </c>
      <c r="B2745" s="2">
        <v>44220.0</v>
      </c>
      <c r="C2745" s="1" t="s">
        <v>30</v>
      </c>
      <c r="D2745" s="1" t="s">
        <v>15</v>
      </c>
      <c r="E2745" s="1" t="s">
        <v>16</v>
      </c>
      <c r="F2745" s="1">
        <v>835.57</v>
      </c>
      <c r="G2745" s="1">
        <v>-17.39</v>
      </c>
      <c r="H2745" s="1">
        <v>2.0</v>
      </c>
      <c r="I2745" s="1" t="s">
        <v>23</v>
      </c>
      <c r="J2745" s="1" t="s">
        <v>35</v>
      </c>
      <c r="K2745" s="1">
        <f t="shared" si="1"/>
        <v>2021</v>
      </c>
      <c r="L2745" s="1" t="str">
        <f t="shared" si="2"/>
        <v>Jan</v>
      </c>
      <c r="M2745" s="1" t="str">
        <f t="shared" si="3"/>
        <v>Loss</v>
      </c>
    </row>
    <row r="2746" ht="14.25" customHeight="1">
      <c r="A2746" s="1" t="s">
        <v>2780</v>
      </c>
      <c r="B2746" s="2">
        <v>44713.0</v>
      </c>
      <c r="C2746" s="1" t="s">
        <v>30</v>
      </c>
      <c r="D2746" s="1" t="s">
        <v>15</v>
      </c>
      <c r="E2746" s="1" t="s">
        <v>16</v>
      </c>
      <c r="F2746" s="1">
        <v>570.4</v>
      </c>
      <c r="G2746" s="1">
        <v>-113.07</v>
      </c>
      <c r="H2746" s="1">
        <v>9.0</v>
      </c>
      <c r="I2746" s="1" t="s">
        <v>23</v>
      </c>
      <c r="J2746" s="1" t="s">
        <v>35</v>
      </c>
      <c r="K2746" s="1">
        <f t="shared" si="1"/>
        <v>2022</v>
      </c>
      <c r="L2746" s="1" t="str">
        <f t="shared" si="2"/>
        <v>Jun</v>
      </c>
      <c r="M2746" s="1" t="str">
        <f t="shared" si="3"/>
        <v>Loss</v>
      </c>
    </row>
    <row r="2747" ht="14.25" customHeight="1">
      <c r="A2747" s="1" t="s">
        <v>2781</v>
      </c>
      <c r="B2747" s="2">
        <v>44371.0</v>
      </c>
      <c r="C2747" s="1" t="s">
        <v>26</v>
      </c>
      <c r="D2747" s="1" t="s">
        <v>15</v>
      </c>
      <c r="E2747" s="1" t="s">
        <v>54</v>
      </c>
      <c r="F2747" s="1">
        <v>862.74</v>
      </c>
      <c r="G2747" s="1">
        <v>-42.5</v>
      </c>
      <c r="H2747" s="1">
        <v>3.0</v>
      </c>
      <c r="I2747" s="1" t="s">
        <v>23</v>
      </c>
      <c r="J2747" s="1" t="s">
        <v>18</v>
      </c>
      <c r="K2747" s="1">
        <f t="shared" si="1"/>
        <v>2021</v>
      </c>
      <c r="L2747" s="1" t="str">
        <f t="shared" si="2"/>
        <v>Jun</v>
      </c>
      <c r="M2747" s="1" t="str">
        <f t="shared" si="3"/>
        <v>Loss</v>
      </c>
    </row>
    <row r="2748" ht="14.25" customHeight="1">
      <c r="A2748" s="1" t="s">
        <v>2782</v>
      </c>
      <c r="B2748" s="2">
        <v>45198.0</v>
      </c>
      <c r="C2748" s="1" t="s">
        <v>30</v>
      </c>
      <c r="D2748" s="1" t="s">
        <v>15</v>
      </c>
      <c r="E2748" s="1" t="s">
        <v>31</v>
      </c>
      <c r="F2748" s="1">
        <v>851.3</v>
      </c>
      <c r="G2748" s="1">
        <v>-22.1</v>
      </c>
      <c r="H2748" s="1">
        <v>3.0</v>
      </c>
      <c r="I2748" s="1" t="s">
        <v>23</v>
      </c>
      <c r="J2748" s="1" t="s">
        <v>24</v>
      </c>
      <c r="K2748" s="1">
        <f t="shared" si="1"/>
        <v>2023</v>
      </c>
      <c r="L2748" s="1" t="str">
        <f t="shared" si="2"/>
        <v>Sep</v>
      </c>
      <c r="M2748" s="1" t="str">
        <f t="shared" si="3"/>
        <v>Loss</v>
      </c>
    </row>
    <row r="2749" ht="14.25" customHeight="1">
      <c r="A2749" s="1" t="s">
        <v>2783</v>
      </c>
      <c r="B2749" s="2">
        <v>45086.0</v>
      </c>
      <c r="C2749" s="1" t="s">
        <v>30</v>
      </c>
      <c r="D2749" s="1" t="s">
        <v>21</v>
      </c>
      <c r="E2749" s="1" t="s">
        <v>22</v>
      </c>
      <c r="F2749" s="1">
        <v>604.17</v>
      </c>
      <c r="G2749" s="1">
        <v>-31.18</v>
      </c>
      <c r="H2749" s="1">
        <v>4.0</v>
      </c>
      <c r="I2749" s="1" t="s">
        <v>23</v>
      </c>
      <c r="J2749" s="1" t="s">
        <v>35</v>
      </c>
      <c r="K2749" s="1">
        <f t="shared" si="1"/>
        <v>2023</v>
      </c>
      <c r="L2749" s="1" t="str">
        <f t="shared" si="2"/>
        <v>Jun</v>
      </c>
      <c r="M2749" s="1" t="str">
        <f t="shared" si="3"/>
        <v>Loss</v>
      </c>
    </row>
    <row r="2750" ht="14.25" customHeight="1">
      <c r="A2750" s="1" t="s">
        <v>2784</v>
      </c>
      <c r="B2750" s="2">
        <v>44570.0</v>
      </c>
      <c r="C2750" s="1" t="s">
        <v>20</v>
      </c>
      <c r="D2750" s="1" t="s">
        <v>15</v>
      </c>
      <c r="E2750" s="1" t="s">
        <v>54</v>
      </c>
      <c r="F2750" s="1">
        <v>616.82</v>
      </c>
      <c r="G2750" s="1">
        <v>75.34</v>
      </c>
      <c r="H2750" s="1">
        <v>9.0</v>
      </c>
      <c r="I2750" s="1" t="s">
        <v>17</v>
      </c>
      <c r="J2750" s="1" t="s">
        <v>38</v>
      </c>
      <c r="K2750" s="1">
        <f t="shared" si="1"/>
        <v>2022</v>
      </c>
      <c r="L2750" s="1" t="str">
        <f t="shared" si="2"/>
        <v>Jan</v>
      </c>
      <c r="M2750" s="1" t="str">
        <f t="shared" si="3"/>
        <v>Profit</v>
      </c>
    </row>
    <row r="2751" ht="14.25" customHeight="1">
      <c r="A2751" s="1" t="s">
        <v>2785</v>
      </c>
      <c r="B2751" s="2">
        <v>44354.0</v>
      </c>
      <c r="C2751" s="1" t="s">
        <v>14</v>
      </c>
      <c r="D2751" s="1" t="s">
        <v>15</v>
      </c>
      <c r="E2751" s="1" t="s">
        <v>54</v>
      </c>
      <c r="F2751" s="1">
        <v>317.43</v>
      </c>
      <c r="G2751" s="1">
        <v>-171.95</v>
      </c>
      <c r="H2751" s="1">
        <v>3.0</v>
      </c>
      <c r="I2751" s="1" t="s">
        <v>17</v>
      </c>
      <c r="J2751" s="1" t="s">
        <v>18</v>
      </c>
      <c r="K2751" s="1">
        <f t="shared" si="1"/>
        <v>2021</v>
      </c>
      <c r="L2751" s="1" t="str">
        <f t="shared" si="2"/>
        <v>Jun</v>
      </c>
      <c r="M2751" s="1" t="str">
        <f t="shared" si="3"/>
        <v>Loss</v>
      </c>
    </row>
    <row r="2752" ht="14.25" customHeight="1">
      <c r="A2752" s="1" t="s">
        <v>2786</v>
      </c>
      <c r="B2752" s="2">
        <v>44596.0</v>
      </c>
      <c r="C2752" s="1" t="s">
        <v>20</v>
      </c>
      <c r="D2752" s="1" t="s">
        <v>27</v>
      </c>
      <c r="E2752" s="1" t="s">
        <v>40</v>
      </c>
      <c r="F2752" s="1">
        <v>453.71</v>
      </c>
      <c r="G2752" s="1">
        <v>292.57</v>
      </c>
      <c r="H2752" s="1">
        <v>10.0</v>
      </c>
      <c r="I2752" s="1" t="s">
        <v>17</v>
      </c>
      <c r="J2752" s="1" t="s">
        <v>18</v>
      </c>
      <c r="K2752" s="1">
        <f t="shared" si="1"/>
        <v>2022</v>
      </c>
      <c r="L2752" s="1" t="str">
        <f t="shared" si="2"/>
        <v>Feb</v>
      </c>
      <c r="M2752" s="1" t="str">
        <f t="shared" si="3"/>
        <v>Profit</v>
      </c>
    </row>
    <row r="2753" ht="14.25" customHeight="1">
      <c r="A2753" s="1" t="s">
        <v>2787</v>
      </c>
      <c r="B2753" s="2">
        <v>44919.0</v>
      </c>
      <c r="C2753" s="1" t="s">
        <v>26</v>
      </c>
      <c r="D2753" s="1" t="s">
        <v>15</v>
      </c>
      <c r="E2753" s="1" t="s">
        <v>54</v>
      </c>
      <c r="F2753" s="1">
        <v>24.06</v>
      </c>
      <c r="G2753" s="1">
        <v>-188.76</v>
      </c>
      <c r="H2753" s="1">
        <v>7.0</v>
      </c>
      <c r="I2753" s="1" t="s">
        <v>23</v>
      </c>
      <c r="J2753" s="1" t="s">
        <v>18</v>
      </c>
      <c r="K2753" s="1">
        <f t="shared" si="1"/>
        <v>2022</v>
      </c>
      <c r="L2753" s="1" t="str">
        <f t="shared" si="2"/>
        <v>Dec</v>
      </c>
      <c r="M2753" s="1" t="str">
        <f t="shared" si="3"/>
        <v>Loss</v>
      </c>
    </row>
    <row r="2754" ht="14.25" customHeight="1">
      <c r="A2754" s="1" t="s">
        <v>2788</v>
      </c>
      <c r="B2754" s="2">
        <v>44599.0</v>
      </c>
      <c r="C2754" s="1" t="s">
        <v>14</v>
      </c>
      <c r="D2754" s="1" t="s">
        <v>21</v>
      </c>
      <c r="E2754" s="1" t="s">
        <v>37</v>
      </c>
      <c r="F2754" s="1">
        <v>509.54</v>
      </c>
      <c r="G2754" s="1">
        <v>-23.13</v>
      </c>
      <c r="H2754" s="1">
        <v>8.0</v>
      </c>
      <c r="I2754" s="1" t="s">
        <v>23</v>
      </c>
      <c r="J2754" s="1" t="s">
        <v>35</v>
      </c>
      <c r="K2754" s="1">
        <f t="shared" si="1"/>
        <v>2022</v>
      </c>
      <c r="L2754" s="1" t="str">
        <f t="shared" si="2"/>
        <v>Feb</v>
      </c>
      <c r="M2754" s="1" t="str">
        <f t="shared" si="3"/>
        <v>Loss</v>
      </c>
    </row>
    <row r="2755" ht="14.25" customHeight="1">
      <c r="A2755" s="1" t="s">
        <v>2789</v>
      </c>
      <c r="B2755" s="2">
        <v>44467.0</v>
      </c>
      <c r="C2755" s="1" t="s">
        <v>26</v>
      </c>
      <c r="D2755" s="1" t="s">
        <v>27</v>
      </c>
      <c r="E2755" s="1" t="s">
        <v>40</v>
      </c>
      <c r="F2755" s="1">
        <v>230.53</v>
      </c>
      <c r="G2755" s="1">
        <v>224.32</v>
      </c>
      <c r="H2755" s="1">
        <v>8.0</v>
      </c>
      <c r="I2755" s="1" t="s">
        <v>34</v>
      </c>
      <c r="J2755" s="1" t="s">
        <v>38</v>
      </c>
      <c r="K2755" s="1">
        <f t="shared" si="1"/>
        <v>2021</v>
      </c>
      <c r="L2755" s="1" t="str">
        <f t="shared" si="2"/>
        <v>Sep</v>
      </c>
      <c r="M2755" s="1" t="str">
        <f t="shared" si="3"/>
        <v>Profit</v>
      </c>
    </row>
    <row r="2756" ht="14.25" customHeight="1">
      <c r="A2756" s="1" t="s">
        <v>2790</v>
      </c>
      <c r="B2756" s="2">
        <v>44405.0</v>
      </c>
      <c r="C2756" s="1" t="s">
        <v>26</v>
      </c>
      <c r="D2756" s="1" t="s">
        <v>27</v>
      </c>
      <c r="E2756" s="1" t="s">
        <v>28</v>
      </c>
      <c r="F2756" s="1">
        <v>662.24</v>
      </c>
      <c r="G2756" s="1">
        <v>289.99</v>
      </c>
      <c r="H2756" s="1">
        <v>7.0</v>
      </c>
      <c r="I2756" s="1" t="s">
        <v>34</v>
      </c>
      <c r="J2756" s="1" t="s">
        <v>24</v>
      </c>
      <c r="K2756" s="1">
        <f t="shared" si="1"/>
        <v>2021</v>
      </c>
      <c r="L2756" s="1" t="str">
        <f t="shared" si="2"/>
        <v>Jul</v>
      </c>
      <c r="M2756" s="1" t="str">
        <f t="shared" si="3"/>
        <v>Profit</v>
      </c>
    </row>
    <row r="2757" ht="14.25" customHeight="1">
      <c r="A2757" s="1" t="s">
        <v>2791</v>
      </c>
      <c r="B2757" s="2">
        <v>44929.0</v>
      </c>
      <c r="C2757" s="1" t="s">
        <v>20</v>
      </c>
      <c r="D2757" s="1" t="s">
        <v>21</v>
      </c>
      <c r="E2757" s="1" t="s">
        <v>22</v>
      </c>
      <c r="F2757" s="1">
        <v>797.72</v>
      </c>
      <c r="G2757" s="1">
        <v>293.04</v>
      </c>
      <c r="H2757" s="1">
        <v>2.0</v>
      </c>
      <c r="I2757" s="1" t="s">
        <v>23</v>
      </c>
      <c r="J2757" s="1" t="s">
        <v>35</v>
      </c>
      <c r="K2757" s="1">
        <f t="shared" si="1"/>
        <v>2023</v>
      </c>
      <c r="L2757" s="1" t="str">
        <f t="shared" si="2"/>
        <v>Jan</v>
      </c>
      <c r="M2757" s="1" t="str">
        <f t="shared" si="3"/>
        <v>Profit</v>
      </c>
    </row>
    <row r="2758" ht="14.25" customHeight="1">
      <c r="A2758" s="1" t="s">
        <v>2792</v>
      </c>
      <c r="B2758" s="2">
        <v>44371.0</v>
      </c>
      <c r="C2758" s="1" t="s">
        <v>30</v>
      </c>
      <c r="D2758" s="1" t="s">
        <v>15</v>
      </c>
      <c r="E2758" s="1" t="s">
        <v>54</v>
      </c>
      <c r="F2758" s="1">
        <v>627.5</v>
      </c>
      <c r="G2758" s="1">
        <v>-171.47</v>
      </c>
      <c r="H2758" s="1">
        <v>3.0</v>
      </c>
      <c r="I2758" s="1" t="s">
        <v>34</v>
      </c>
      <c r="J2758" s="1" t="s">
        <v>38</v>
      </c>
      <c r="K2758" s="1">
        <f t="shared" si="1"/>
        <v>2021</v>
      </c>
      <c r="L2758" s="1" t="str">
        <f t="shared" si="2"/>
        <v>Jun</v>
      </c>
      <c r="M2758" s="1" t="str">
        <f t="shared" si="3"/>
        <v>Loss</v>
      </c>
    </row>
    <row r="2759" ht="14.25" customHeight="1">
      <c r="A2759" s="1" t="s">
        <v>2793</v>
      </c>
      <c r="B2759" s="2">
        <v>44807.0</v>
      </c>
      <c r="C2759" s="1" t="s">
        <v>30</v>
      </c>
      <c r="D2759" s="1" t="s">
        <v>21</v>
      </c>
      <c r="E2759" s="1" t="s">
        <v>76</v>
      </c>
      <c r="F2759" s="1">
        <v>512.88</v>
      </c>
      <c r="G2759" s="1">
        <v>253.13</v>
      </c>
      <c r="H2759" s="1">
        <v>2.0</v>
      </c>
      <c r="I2759" s="1" t="s">
        <v>17</v>
      </c>
      <c r="J2759" s="1" t="s">
        <v>24</v>
      </c>
      <c r="K2759" s="1">
        <f t="shared" si="1"/>
        <v>2022</v>
      </c>
      <c r="L2759" s="1" t="str">
        <f t="shared" si="2"/>
        <v>Sep</v>
      </c>
      <c r="M2759" s="1" t="str">
        <f t="shared" si="3"/>
        <v>Profit</v>
      </c>
    </row>
    <row r="2760" ht="14.25" customHeight="1">
      <c r="A2760" s="1" t="s">
        <v>2794</v>
      </c>
      <c r="B2760" s="2">
        <v>44362.0</v>
      </c>
      <c r="C2760" s="1" t="s">
        <v>30</v>
      </c>
      <c r="D2760" s="1" t="s">
        <v>27</v>
      </c>
      <c r="E2760" s="1" t="s">
        <v>33</v>
      </c>
      <c r="F2760" s="1">
        <v>725.6</v>
      </c>
      <c r="G2760" s="1">
        <v>-62.67</v>
      </c>
      <c r="H2760" s="1">
        <v>5.0</v>
      </c>
      <c r="I2760" s="1" t="s">
        <v>17</v>
      </c>
      <c r="J2760" s="1" t="s">
        <v>35</v>
      </c>
      <c r="K2760" s="1">
        <f t="shared" si="1"/>
        <v>2021</v>
      </c>
      <c r="L2760" s="1" t="str">
        <f t="shared" si="2"/>
        <v>Jun</v>
      </c>
      <c r="M2760" s="1" t="str">
        <f t="shared" si="3"/>
        <v>Loss</v>
      </c>
    </row>
    <row r="2761" ht="14.25" customHeight="1">
      <c r="A2761" s="1" t="s">
        <v>2795</v>
      </c>
      <c r="B2761" s="2">
        <v>44614.0</v>
      </c>
      <c r="C2761" s="1" t="s">
        <v>20</v>
      </c>
      <c r="D2761" s="1" t="s">
        <v>15</v>
      </c>
      <c r="E2761" s="1" t="s">
        <v>16</v>
      </c>
      <c r="F2761" s="1">
        <v>833.38</v>
      </c>
      <c r="G2761" s="1">
        <v>-156.7</v>
      </c>
      <c r="H2761" s="1">
        <v>1.0</v>
      </c>
      <c r="I2761" s="1" t="s">
        <v>23</v>
      </c>
      <c r="J2761" s="1" t="s">
        <v>35</v>
      </c>
      <c r="K2761" s="1">
        <f t="shared" si="1"/>
        <v>2022</v>
      </c>
      <c r="L2761" s="1" t="str">
        <f t="shared" si="2"/>
        <v>Feb</v>
      </c>
      <c r="M2761" s="1" t="str">
        <f t="shared" si="3"/>
        <v>Loss</v>
      </c>
    </row>
    <row r="2762" ht="14.25" customHeight="1">
      <c r="A2762" s="1" t="s">
        <v>2796</v>
      </c>
      <c r="B2762" s="2">
        <v>45092.0</v>
      </c>
      <c r="C2762" s="1" t="s">
        <v>20</v>
      </c>
      <c r="D2762" s="1" t="s">
        <v>27</v>
      </c>
      <c r="E2762" s="1" t="s">
        <v>33</v>
      </c>
      <c r="F2762" s="1">
        <v>711.7</v>
      </c>
      <c r="G2762" s="1">
        <v>211.46</v>
      </c>
      <c r="H2762" s="1">
        <v>4.0</v>
      </c>
      <c r="I2762" s="1" t="s">
        <v>34</v>
      </c>
      <c r="J2762" s="1" t="s">
        <v>38</v>
      </c>
      <c r="K2762" s="1">
        <f t="shared" si="1"/>
        <v>2023</v>
      </c>
      <c r="L2762" s="1" t="str">
        <f t="shared" si="2"/>
        <v>Jun</v>
      </c>
      <c r="M2762" s="1" t="str">
        <f t="shared" si="3"/>
        <v>Profit</v>
      </c>
    </row>
    <row r="2763" ht="14.25" customHeight="1">
      <c r="A2763" s="1" t="s">
        <v>2797</v>
      </c>
      <c r="B2763" s="2">
        <v>44987.0</v>
      </c>
      <c r="C2763" s="1" t="s">
        <v>20</v>
      </c>
      <c r="D2763" s="1" t="s">
        <v>21</v>
      </c>
      <c r="E2763" s="1" t="s">
        <v>76</v>
      </c>
      <c r="F2763" s="1">
        <v>457.82</v>
      </c>
      <c r="G2763" s="1">
        <v>-60.8</v>
      </c>
      <c r="H2763" s="1">
        <v>2.0</v>
      </c>
      <c r="I2763" s="1" t="s">
        <v>17</v>
      </c>
      <c r="J2763" s="1" t="s">
        <v>18</v>
      </c>
      <c r="K2763" s="1">
        <f t="shared" si="1"/>
        <v>2023</v>
      </c>
      <c r="L2763" s="1" t="str">
        <f t="shared" si="2"/>
        <v>Mar</v>
      </c>
      <c r="M2763" s="1" t="str">
        <f t="shared" si="3"/>
        <v>Loss</v>
      </c>
    </row>
    <row r="2764" ht="14.25" customHeight="1">
      <c r="A2764" s="1" t="s">
        <v>2798</v>
      </c>
      <c r="B2764" s="2">
        <v>45185.0</v>
      </c>
      <c r="C2764" s="1" t="s">
        <v>26</v>
      </c>
      <c r="D2764" s="1" t="s">
        <v>27</v>
      </c>
      <c r="E2764" s="1" t="s">
        <v>33</v>
      </c>
      <c r="F2764" s="1">
        <v>700.91</v>
      </c>
      <c r="G2764" s="1">
        <v>36.58</v>
      </c>
      <c r="H2764" s="1">
        <v>2.0</v>
      </c>
      <c r="I2764" s="1" t="s">
        <v>34</v>
      </c>
      <c r="J2764" s="1" t="s">
        <v>18</v>
      </c>
      <c r="K2764" s="1">
        <f t="shared" si="1"/>
        <v>2023</v>
      </c>
      <c r="L2764" s="1" t="str">
        <f t="shared" si="2"/>
        <v>Sep</v>
      </c>
      <c r="M2764" s="1" t="str">
        <f t="shared" si="3"/>
        <v>Profit</v>
      </c>
    </row>
    <row r="2765" ht="14.25" customHeight="1">
      <c r="A2765" s="1" t="s">
        <v>2799</v>
      </c>
      <c r="B2765" s="2">
        <v>44867.0</v>
      </c>
      <c r="C2765" s="1" t="s">
        <v>20</v>
      </c>
      <c r="D2765" s="1" t="s">
        <v>27</v>
      </c>
      <c r="E2765" s="1" t="s">
        <v>28</v>
      </c>
      <c r="F2765" s="1">
        <v>265.1</v>
      </c>
      <c r="G2765" s="1">
        <v>-152.99</v>
      </c>
      <c r="H2765" s="1">
        <v>2.0</v>
      </c>
      <c r="I2765" s="1" t="s">
        <v>23</v>
      </c>
      <c r="J2765" s="1" t="s">
        <v>35</v>
      </c>
      <c r="K2765" s="1">
        <f t="shared" si="1"/>
        <v>2022</v>
      </c>
      <c r="L2765" s="1" t="str">
        <f t="shared" si="2"/>
        <v>Nov</v>
      </c>
      <c r="M2765" s="1" t="str">
        <f t="shared" si="3"/>
        <v>Loss</v>
      </c>
    </row>
    <row r="2766" ht="14.25" customHeight="1">
      <c r="A2766" s="1" t="s">
        <v>2800</v>
      </c>
      <c r="B2766" s="2">
        <v>44441.0</v>
      </c>
      <c r="C2766" s="1" t="s">
        <v>14</v>
      </c>
      <c r="D2766" s="1" t="s">
        <v>15</v>
      </c>
      <c r="E2766" s="1" t="s">
        <v>31</v>
      </c>
      <c r="F2766" s="1">
        <v>862.19</v>
      </c>
      <c r="G2766" s="1">
        <v>185.77</v>
      </c>
      <c r="H2766" s="1">
        <v>2.0</v>
      </c>
      <c r="I2766" s="1" t="s">
        <v>23</v>
      </c>
      <c r="J2766" s="1" t="s">
        <v>35</v>
      </c>
      <c r="K2766" s="1">
        <f t="shared" si="1"/>
        <v>2021</v>
      </c>
      <c r="L2766" s="1" t="str">
        <f t="shared" si="2"/>
        <v>Sep</v>
      </c>
      <c r="M2766" s="1" t="str">
        <f t="shared" si="3"/>
        <v>Profit</v>
      </c>
    </row>
    <row r="2767" ht="14.25" customHeight="1">
      <c r="A2767" s="1" t="s">
        <v>2801</v>
      </c>
      <c r="B2767" s="2">
        <v>44857.0</v>
      </c>
      <c r="C2767" s="1" t="s">
        <v>30</v>
      </c>
      <c r="D2767" s="1" t="s">
        <v>15</v>
      </c>
      <c r="E2767" s="1" t="s">
        <v>31</v>
      </c>
      <c r="F2767" s="1">
        <v>776.8</v>
      </c>
      <c r="G2767" s="1">
        <v>51.52</v>
      </c>
      <c r="H2767" s="1">
        <v>3.0</v>
      </c>
      <c r="I2767" s="1" t="s">
        <v>23</v>
      </c>
      <c r="J2767" s="1" t="s">
        <v>24</v>
      </c>
      <c r="K2767" s="1">
        <f t="shared" si="1"/>
        <v>2022</v>
      </c>
      <c r="L2767" s="1" t="str">
        <f t="shared" si="2"/>
        <v>Oct</v>
      </c>
      <c r="M2767" s="1" t="str">
        <f t="shared" si="3"/>
        <v>Profit</v>
      </c>
    </row>
    <row r="2768" ht="14.25" customHeight="1">
      <c r="A2768" s="1" t="s">
        <v>2802</v>
      </c>
      <c r="B2768" s="2">
        <v>45222.0</v>
      </c>
      <c r="C2768" s="1" t="s">
        <v>14</v>
      </c>
      <c r="D2768" s="1" t="s">
        <v>15</v>
      </c>
      <c r="E2768" s="1" t="s">
        <v>16</v>
      </c>
      <c r="F2768" s="1">
        <v>606.98</v>
      </c>
      <c r="G2768" s="1">
        <v>-0.52</v>
      </c>
      <c r="H2768" s="1">
        <v>9.0</v>
      </c>
      <c r="I2768" s="1" t="s">
        <v>17</v>
      </c>
      <c r="J2768" s="1" t="s">
        <v>35</v>
      </c>
      <c r="K2768" s="1">
        <f t="shared" si="1"/>
        <v>2023</v>
      </c>
      <c r="L2768" s="1" t="str">
        <f t="shared" si="2"/>
        <v>Oct</v>
      </c>
      <c r="M2768" s="1" t="str">
        <f t="shared" si="3"/>
        <v>Loss</v>
      </c>
    </row>
    <row r="2769" ht="14.25" customHeight="1">
      <c r="A2769" s="1" t="s">
        <v>2803</v>
      </c>
      <c r="B2769" s="2">
        <v>45147.0</v>
      </c>
      <c r="C2769" s="1" t="s">
        <v>14</v>
      </c>
      <c r="D2769" s="1" t="s">
        <v>27</v>
      </c>
      <c r="E2769" s="1" t="s">
        <v>33</v>
      </c>
      <c r="F2769" s="1">
        <v>217.39</v>
      </c>
      <c r="G2769" s="1">
        <v>226.89</v>
      </c>
      <c r="H2769" s="1">
        <v>6.0</v>
      </c>
      <c r="I2769" s="1" t="s">
        <v>34</v>
      </c>
      <c r="J2769" s="1" t="s">
        <v>18</v>
      </c>
      <c r="K2769" s="1">
        <f t="shared" si="1"/>
        <v>2023</v>
      </c>
      <c r="L2769" s="1" t="str">
        <f t="shared" si="2"/>
        <v>Aug</v>
      </c>
      <c r="M2769" s="1" t="str">
        <f t="shared" si="3"/>
        <v>Profit</v>
      </c>
    </row>
    <row r="2770" ht="14.25" customHeight="1">
      <c r="A2770" s="1" t="s">
        <v>2804</v>
      </c>
      <c r="B2770" s="2">
        <v>45135.0</v>
      </c>
      <c r="C2770" s="1" t="s">
        <v>26</v>
      </c>
      <c r="D2770" s="1" t="s">
        <v>21</v>
      </c>
      <c r="E2770" s="1" t="s">
        <v>22</v>
      </c>
      <c r="F2770" s="1">
        <v>426.64</v>
      </c>
      <c r="G2770" s="1">
        <v>48.05</v>
      </c>
      <c r="H2770" s="1">
        <v>8.0</v>
      </c>
      <c r="I2770" s="1" t="s">
        <v>17</v>
      </c>
      <c r="J2770" s="1" t="s">
        <v>18</v>
      </c>
      <c r="K2770" s="1">
        <f t="shared" si="1"/>
        <v>2023</v>
      </c>
      <c r="L2770" s="1" t="str">
        <f t="shared" si="2"/>
        <v>Jul</v>
      </c>
      <c r="M2770" s="1" t="str">
        <f t="shared" si="3"/>
        <v>Profit</v>
      </c>
    </row>
    <row r="2771" ht="14.25" customHeight="1">
      <c r="A2771" s="1" t="s">
        <v>2805</v>
      </c>
      <c r="B2771" s="2">
        <v>44809.0</v>
      </c>
      <c r="C2771" s="1" t="s">
        <v>20</v>
      </c>
      <c r="D2771" s="1" t="s">
        <v>27</v>
      </c>
      <c r="E2771" s="1" t="s">
        <v>28</v>
      </c>
      <c r="F2771" s="1">
        <v>583.96</v>
      </c>
      <c r="G2771" s="1">
        <v>205.0</v>
      </c>
      <c r="H2771" s="1">
        <v>2.0</v>
      </c>
      <c r="I2771" s="1" t="s">
        <v>23</v>
      </c>
      <c r="J2771" s="1" t="s">
        <v>35</v>
      </c>
      <c r="K2771" s="1">
        <f t="shared" si="1"/>
        <v>2022</v>
      </c>
      <c r="L2771" s="1" t="str">
        <f t="shared" si="2"/>
        <v>Sep</v>
      </c>
      <c r="M2771" s="1" t="str">
        <f t="shared" si="3"/>
        <v>Profit</v>
      </c>
    </row>
    <row r="2772" ht="14.25" customHeight="1">
      <c r="A2772" s="1" t="s">
        <v>2806</v>
      </c>
      <c r="B2772" s="2">
        <v>44639.0</v>
      </c>
      <c r="C2772" s="1" t="s">
        <v>20</v>
      </c>
      <c r="D2772" s="1" t="s">
        <v>27</v>
      </c>
      <c r="E2772" s="1" t="s">
        <v>28</v>
      </c>
      <c r="F2772" s="1">
        <v>29.01</v>
      </c>
      <c r="G2772" s="1">
        <v>-105.15</v>
      </c>
      <c r="H2772" s="1">
        <v>6.0</v>
      </c>
      <c r="I2772" s="1" t="s">
        <v>17</v>
      </c>
      <c r="J2772" s="1" t="s">
        <v>35</v>
      </c>
      <c r="K2772" s="1">
        <f t="shared" si="1"/>
        <v>2022</v>
      </c>
      <c r="L2772" s="1" t="str">
        <f t="shared" si="2"/>
        <v>Mar</v>
      </c>
      <c r="M2772" s="1" t="str">
        <f t="shared" si="3"/>
        <v>Loss</v>
      </c>
    </row>
    <row r="2773" ht="14.25" customHeight="1">
      <c r="A2773" s="1" t="s">
        <v>2807</v>
      </c>
      <c r="B2773" s="2">
        <v>44601.0</v>
      </c>
      <c r="C2773" s="1" t="s">
        <v>26</v>
      </c>
      <c r="D2773" s="1" t="s">
        <v>21</v>
      </c>
      <c r="E2773" s="1" t="s">
        <v>37</v>
      </c>
      <c r="F2773" s="1">
        <v>47.75</v>
      </c>
      <c r="G2773" s="1">
        <v>-146.48</v>
      </c>
      <c r="H2773" s="1">
        <v>5.0</v>
      </c>
      <c r="I2773" s="1" t="s">
        <v>23</v>
      </c>
      <c r="J2773" s="1" t="s">
        <v>24</v>
      </c>
      <c r="K2773" s="1">
        <f t="shared" si="1"/>
        <v>2022</v>
      </c>
      <c r="L2773" s="1" t="str">
        <f t="shared" si="2"/>
        <v>Feb</v>
      </c>
      <c r="M2773" s="1" t="str">
        <f t="shared" si="3"/>
        <v>Loss</v>
      </c>
    </row>
    <row r="2774" ht="14.25" customHeight="1">
      <c r="A2774" s="1" t="s">
        <v>2808</v>
      </c>
      <c r="B2774" s="2">
        <v>44506.0</v>
      </c>
      <c r="C2774" s="1" t="s">
        <v>30</v>
      </c>
      <c r="D2774" s="1" t="s">
        <v>15</v>
      </c>
      <c r="E2774" s="1" t="s">
        <v>31</v>
      </c>
      <c r="F2774" s="1">
        <v>221.16</v>
      </c>
      <c r="G2774" s="1">
        <v>294.1</v>
      </c>
      <c r="H2774" s="1">
        <v>1.0</v>
      </c>
      <c r="I2774" s="1" t="s">
        <v>17</v>
      </c>
      <c r="J2774" s="1" t="s">
        <v>35</v>
      </c>
      <c r="K2774" s="1">
        <f t="shared" si="1"/>
        <v>2021</v>
      </c>
      <c r="L2774" s="1" t="str">
        <f t="shared" si="2"/>
        <v>Nov</v>
      </c>
      <c r="M2774" s="1" t="str">
        <f t="shared" si="3"/>
        <v>Profit</v>
      </c>
    </row>
    <row r="2775" ht="14.25" customHeight="1">
      <c r="A2775" s="1" t="s">
        <v>2809</v>
      </c>
      <c r="B2775" s="2">
        <v>45247.0</v>
      </c>
      <c r="C2775" s="1" t="s">
        <v>20</v>
      </c>
      <c r="D2775" s="1" t="s">
        <v>21</v>
      </c>
      <c r="E2775" s="1" t="s">
        <v>76</v>
      </c>
      <c r="F2775" s="1">
        <v>687.54</v>
      </c>
      <c r="G2775" s="1">
        <v>-37.29</v>
      </c>
      <c r="H2775" s="1">
        <v>1.0</v>
      </c>
      <c r="I2775" s="1" t="s">
        <v>17</v>
      </c>
      <c r="J2775" s="1" t="s">
        <v>18</v>
      </c>
      <c r="K2775" s="1">
        <f t="shared" si="1"/>
        <v>2023</v>
      </c>
      <c r="L2775" s="1" t="str">
        <f t="shared" si="2"/>
        <v>Nov</v>
      </c>
      <c r="M2775" s="1" t="str">
        <f t="shared" si="3"/>
        <v>Loss</v>
      </c>
    </row>
    <row r="2776" ht="14.25" customHeight="1">
      <c r="A2776" s="1" t="s">
        <v>2810</v>
      </c>
      <c r="B2776" s="2">
        <v>45280.0</v>
      </c>
      <c r="C2776" s="1" t="s">
        <v>14</v>
      </c>
      <c r="D2776" s="1" t="s">
        <v>15</v>
      </c>
      <c r="E2776" s="1" t="s">
        <v>16</v>
      </c>
      <c r="F2776" s="1">
        <v>151.6</v>
      </c>
      <c r="G2776" s="1">
        <v>-101.68</v>
      </c>
      <c r="H2776" s="1">
        <v>10.0</v>
      </c>
      <c r="I2776" s="1" t="s">
        <v>34</v>
      </c>
      <c r="J2776" s="1" t="s">
        <v>38</v>
      </c>
      <c r="K2776" s="1">
        <f t="shared" si="1"/>
        <v>2023</v>
      </c>
      <c r="L2776" s="1" t="str">
        <f t="shared" si="2"/>
        <v>Dec</v>
      </c>
      <c r="M2776" s="1" t="str">
        <f t="shared" si="3"/>
        <v>Loss</v>
      </c>
    </row>
    <row r="2777" ht="14.25" customHeight="1">
      <c r="A2777" s="1" t="s">
        <v>2811</v>
      </c>
      <c r="B2777" s="2">
        <v>45002.0</v>
      </c>
      <c r="C2777" s="1" t="s">
        <v>30</v>
      </c>
      <c r="D2777" s="1" t="s">
        <v>21</v>
      </c>
      <c r="E2777" s="1" t="s">
        <v>37</v>
      </c>
      <c r="F2777" s="1">
        <v>316.92</v>
      </c>
      <c r="G2777" s="1">
        <v>52.39</v>
      </c>
      <c r="H2777" s="1">
        <v>5.0</v>
      </c>
      <c r="I2777" s="1" t="s">
        <v>23</v>
      </c>
      <c r="J2777" s="1" t="s">
        <v>38</v>
      </c>
      <c r="K2777" s="1">
        <f t="shared" si="1"/>
        <v>2023</v>
      </c>
      <c r="L2777" s="1" t="str">
        <f t="shared" si="2"/>
        <v>Mar</v>
      </c>
      <c r="M2777" s="1" t="str">
        <f t="shared" si="3"/>
        <v>Profit</v>
      </c>
    </row>
    <row r="2778" ht="14.25" customHeight="1">
      <c r="A2778" s="1" t="s">
        <v>2812</v>
      </c>
      <c r="B2778" s="2">
        <v>45092.0</v>
      </c>
      <c r="C2778" s="1" t="s">
        <v>30</v>
      </c>
      <c r="D2778" s="1" t="s">
        <v>27</v>
      </c>
      <c r="E2778" s="1" t="s">
        <v>33</v>
      </c>
      <c r="F2778" s="1">
        <v>406.9</v>
      </c>
      <c r="G2778" s="1">
        <v>273.62</v>
      </c>
      <c r="H2778" s="1">
        <v>1.0</v>
      </c>
      <c r="I2778" s="1" t="s">
        <v>23</v>
      </c>
      <c r="J2778" s="1" t="s">
        <v>35</v>
      </c>
      <c r="K2778" s="1">
        <f t="shared" si="1"/>
        <v>2023</v>
      </c>
      <c r="L2778" s="1" t="str">
        <f t="shared" si="2"/>
        <v>Jun</v>
      </c>
      <c r="M2778" s="1" t="str">
        <f t="shared" si="3"/>
        <v>Profit</v>
      </c>
    </row>
    <row r="2779" ht="14.25" customHeight="1">
      <c r="A2779" s="1" t="s">
        <v>2813</v>
      </c>
      <c r="B2779" s="2">
        <v>44996.0</v>
      </c>
      <c r="C2779" s="1" t="s">
        <v>20</v>
      </c>
      <c r="D2779" s="1" t="s">
        <v>21</v>
      </c>
      <c r="E2779" s="1" t="s">
        <v>22</v>
      </c>
      <c r="F2779" s="1">
        <v>257.3</v>
      </c>
      <c r="G2779" s="1">
        <v>86.74</v>
      </c>
      <c r="H2779" s="1">
        <v>3.0</v>
      </c>
      <c r="I2779" s="1" t="s">
        <v>17</v>
      </c>
      <c r="J2779" s="1" t="s">
        <v>35</v>
      </c>
      <c r="K2779" s="1">
        <f t="shared" si="1"/>
        <v>2023</v>
      </c>
      <c r="L2779" s="1" t="str">
        <f t="shared" si="2"/>
        <v>Mar</v>
      </c>
      <c r="M2779" s="1" t="str">
        <f t="shared" si="3"/>
        <v>Profit</v>
      </c>
    </row>
    <row r="2780" ht="14.25" customHeight="1">
      <c r="A2780" s="1" t="s">
        <v>2814</v>
      </c>
      <c r="B2780" s="2">
        <v>45197.0</v>
      </c>
      <c r="C2780" s="1" t="s">
        <v>26</v>
      </c>
      <c r="D2780" s="1" t="s">
        <v>15</v>
      </c>
      <c r="E2780" s="1" t="s">
        <v>31</v>
      </c>
      <c r="F2780" s="1">
        <v>777.45</v>
      </c>
      <c r="G2780" s="1">
        <v>184.9</v>
      </c>
      <c r="H2780" s="1">
        <v>2.0</v>
      </c>
      <c r="I2780" s="1" t="s">
        <v>17</v>
      </c>
      <c r="J2780" s="1" t="s">
        <v>35</v>
      </c>
      <c r="K2780" s="1">
        <f t="shared" si="1"/>
        <v>2023</v>
      </c>
      <c r="L2780" s="1" t="str">
        <f t="shared" si="2"/>
        <v>Sep</v>
      </c>
      <c r="M2780" s="1" t="str">
        <f t="shared" si="3"/>
        <v>Profit</v>
      </c>
    </row>
    <row r="2781" ht="14.25" customHeight="1">
      <c r="A2781" s="1" t="s">
        <v>2815</v>
      </c>
      <c r="B2781" s="2">
        <v>44218.0</v>
      </c>
      <c r="C2781" s="1" t="s">
        <v>26</v>
      </c>
      <c r="D2781" s="1" t="s">
        <v>27</v>
      </c>
      <c r="E2781" s="1" t="s">
        <v>40</v>
      </c>
      <c r="F2781" s="1">
        <v>878.26</v>
      </c>
      <c r="G2781" s="1">
        <v>-60.7</v>
      </c>
      <c r="H2781" s="1">
        <v>9.0</v>
      </c>
      <c r="I2781" s="1" t="s">
        <v>34</v>
      </c>
      <c r="J2781" s="1" t="s">
        <v>38</v>
      </c>
      <c r="K2781" s="1">
        <f t="shared" si="1"/>
        <v>2021</v>
      </c>
      <c r="L2781" s="1" t="str">
        <f t="shared" si="2"/>
        <v>Jan</v>
      </c>
      <c r="M2781" s="1" t="str">
        <f t="shared" si="3"/>
        <v>Loss</v>
      </c>
    </row>
    <row r="2782" ht="14.25" customHeight="1">
      <c r="A2782" s="1" t="s">
        <v>2816</v>
      </c>
      <c r="B2782" s="2">
        <v>44837.0</v>
      </c>
      <c r="C2782" s="1" t="s">
        <v>20</v>
      </c>
      <c r="D2782" s="1" t="s">
        <v>15</v>
      </c>
      <c r="E2782" s="1" t="s">
        <v>54</v>
      </c>
      <c r="F2782" s="1">
        <v>234.18</v>
      </c>
      <c r="G2782" s="1">
        <v>152.08</v>
      </c>
      <c r="H2782" s="1">
        <v>7.0</v>
      </c>
      <c r="I2782" s="1" t="s">
        <v>34</v>
      </c>
      <c r="J2782" s="1" t="s">
        <v>35</v>
      </c>
      <c r="K2782" s="1">
        <f t="shared" si="1"/>
        <v>2022</v>
      </c>
      <c r="L2782" s="1" t="str">
        <f t="shared" si="2"/>
        <v>Oct</v>
      </c>
      <c r="M2782" s="1" t="str">
        <f t="shared" si="3"/>
        <v>Profit</v>
      </c>
    </row>
    <row r="2783" ht="14.25" customHeight="1">
      <c r="A2783" s="1" t="s">
        <v>2817</v>
      </c>
      <c r="B2783" s="2">
        <v>44577.0</v>
      </c>
      <c r="C2783" s="1" t="s">
        <v>26</v>
      </c>
      <c r="D2783" s="1" t="s">
        <v>21</v>
      </c>
      <c r="E2783" s="1" t="s">
        <v>37</v>
      </c>
      <c r="F2783" s="1">
        <v>579.92</v>
      </c>
      <c r="G2783" s="1">
        <v>152.08</v>
      </c>
      <c r="H2783" s="1">
        <v>2.0</v>
      </c>
      <c r="I2783" s="1" t="s">
        <v>17</v>
      </c>
      <c r="J2783" s="1" t="s">
        <v>38</v>
      </c>
      <c r="K2783" s="1">
        <f t="shared" si="1"/>
        <v>2022</v>
      </c>
      <c r="L2783" s="1" t="str">
        <f t="shared" si="2"/>
        <v>Jan</v>
      </c>
      <c r="M2783" s="1" t="str">
        <f t="shared" si="3"/>
        <v>Profit</v>
      </c>
    </row>
    <row r="2784" ht="14.25" customHeight="1">
      <c r="A2784" s="1" t="s">
        <v>2818</v>
      </c>
      <c r="B2784" s="2">
        <v>44935.0</v>
      </c>
      <c r="C2784" s="1" t="s">
        <v>20</v>
      </c>
      <c r="D2784" s="1" t="s">
        <v>27</v>
      </c>
      <c r="E2784" s="1" t="s">
        <v>33</v>
      </c>
      <c r="F2784" s="1">
        <v>21.82</v>
      </c>
      <c r="G2784" s="1">
        <v>107.06</v>
      </c>
      <c r="H2784" s="1">
        <v>7.0</v>
      </c>
      <c r="I2784" s="1" t="s">
        <v>23</v>
      </c>
      <c r="J2784" s="1" t="s">
        <v>18</v>
      </c>
      <c r="K2784" s="1">
        <f t="shared" si="1"/>
        <v>2023</v>
      </c>
      <c r="L2784" s="1" t="str">
        <f t="shared" si="2"/>
        <v>Jan</v>
      </c>
      <c r="M2784" s="1" t="str">
        <f t="shared" si="3"/>
        <v>Profit</v>
      </c>
    </row>
    <row r="2785" ht="14.25" customHeight="1">
      <c r="A2785" s="1" t="s">
        <v>2819</v>
      </c>
      <c r="B2785" s="2">
        <v>44707.0</v>
      </c>
      <c r="C2785" s="1" t="s">
        <v>14</v>
      </c>
      <c r="D2785" s="1" t="s">
        <v>15</v>
      </c>
      <c r="E2785" s="1" t="s">
        <v>31</v>
      </c>
      <c r="F2785" s="1">
        <v>210.41</v>
      </c>
      <c r="G2785" s="1">
        <v>239.38</v>
      </c>
      <c r="H2785" s="1">
        <v>10.0</v>
      </c>
      <c r="I2785" s="1" t="s">
        <v>17</v>
      </c>
      <c r="J2785" s="1" t="s">
        <v>24</v>
      </c>
      <c r="K2785" s="1">
        <f t="shared" si="1"/>
        <v>2022</v>
      </c>
      <c r="L2785" s="1" t="str">
        <f t="shared" si="2"/>
        <v>May</v>
      </c>
      <c r="M2785" s="1" t="str">
        <f t="shared" si="3"/>
        <v>Profit</v>
      </c>
    </row>
    <row r="2786" ht="14.25" customHeight="1">
      <c r="A2786" s="1" t="s">
        <v>2820</v>
      </c>
      <c r="B2786" s="2">
        <v>44361.0</v>
      </c>
      <c r="C2786" s="1" t="s">
        <v>26</v>
      </c>
      <c r="D2786" s="1" t="s">
        <v>21</v>
      </c>
      <c r="E2786" s="1" t="s">
        <v>37</v>
      </c>
      <c r="F2786" s="1">
        <v>542.53</v>
      </c>
      <c r="G2786" s="1">
        <v>-37.77</v>
      </c>
      <c r="H2786" s="1">
        <v>7.0</v>
      </c>
      <c r="I2786" s="1" t="s">
        <v>34</v>
      </c>
      <c r="J2786" s="1" t="s">
        <v>18</v>
      </c>
      <c r="K2786" s="1">
        <f t="shared" si="1"/>
        <v>2021</v>
      </c>
      <c r="L2786" s="1" t="str">
        <f t="shared" si="2"/>
        <v>Jun</v>
      </c>
      <c r="M2786" s="1" t="str">
        <f t="shared" si="3"/>
        <v>Loss</v>
      </c>
    </row>
    <row r="2787" ht="14.25" customHeight="1">
      <c r="A2787" s="1" t="s">
        <v>2821</v>
      </c>
      <c r="B2787" s="2">
        <v>44764.0</v>
      </c>
      <c r="C2787" s="1" t="s">
        <v>20</v>
      </c>
      <c r="D2787" s="1" t="s">
        <v>27</v>
      </c>
      <c r="E2787" s="1" t="s">
        <v>28</v>
      </c>
      <c r="F2787" s="1">
        <v>215.82</v>
      </c>
      <c r="G2787" s="1">
        <v>128.89</v>
      </c>
      <c r="H2787" s="1">
        <v>7.0</v>
      </c>
      <c r="I2787" s="1" t="s">
        <v>23</v>
      </c>
      <c r="J2787" s="1" t="s">
        <v>35</v>
      </c>
      <c r="K2787" s="1">
        <f t="shared" si="1"/>
        <v>2022</v>
      </c>
      <c r="L2787" s="1" t="str">
        <f t="shared" si="2"/>
        <v>Jul</v>
      </c>
      <c r="M2787" s="1" t="str">
        <f t="shared" si="3"/>
        <v>Profit</v>
      </c>
    </row>
    <row r="2788" ht="14.25" customHeight="1">
      <c r="A2788" s="1" t="s">
        <v>2822</v>
      </c>
      <c r="B2788" s="2">
        <v>45094.0</v>
      </c>
      <c r="C2788" s="1" t="s">
        <v>20</v>
      </c>
      <c r="D2788" s="1" t="s">
        <v>21</v>
      </c>
      <c r="E2788" s="1" t="s">
        <v>76</v>
      </c>
      <c r="F2788" s="1">
        <v>766.48</v>
      </c>
      <c r="G2788" s="1">
        <v>-59.29</v>
      </c>
      <c r="H2788" s="1">
        <v>3.0</v>
      </c>
      <c r="I2788" s="1" t="s">
        <v>34</v>
      </c>
      <c r="J2788" s="1" t="s">
        <v>38</v>
      </c>
      <c r="K2788" s="1">
        <f t="shared" si="1"/>
        <v>2023</v>
      </c>
      <c r="L2788" s="1" t="str">
        <f t="shared" si="2"/>
        <v>Jun</v>
      </c>
      <c r="M2788" s="1" t="str">
        <f t="shared" si="3"/>
        <v>Loss</v>
      </c>
    </row>
    <row r="2789" ht="14.25" customHeight="1">
      <c r="A2789" s="1" t="s">
        <v>2823</v>
      </c>
      <c r="B2789" s="2">
        <v>44515.0</v>
      </c>
      <c r="C2789" s="1" t="s">
        <v>20</v>
      </c>
      <c r="D2789" s="1" t="s">
        <v>27</v>
      </c>
      <c r="E2789" s="1" t="s">
        <v>28</v>
      </c>
      <c r="F2789" s="1">
        <v>732.64</v>
      </c>
      <c r="G2789" s="1">
        <v>4.13</v>
      </c>
      <c r="H2789" s="1">
        <v>10.0</v>
      </c>
      <c r="I2789" s="1" t="s">
        <v>23</v>
      </c>
      <c r="J2789" s="1" t="s">
        <v>18</v>
      </c>
      <c r="K2789" s="1">
        <f t="shared" si="1"/>
        <v>2021</v>
      </c>
      <c r="L2789" s="1" t="str">
        <f t="shared" si="2"/>
        <v>Nov</v>
      </c>
      <c r="M2789" s="1" t="str">
        <f t="shared" si="3"/>
        <v>Profit</v>
      </c>
    </row>
    <row r="2790" ht="14.25" customHeight="1">
      <c r="A2790" s="1" t="s">
        <v>2824</v>
      </c>
      <c r="B2790" s="2">
        <v>44646.0</v>
      </c>
      <c r="C2790" s="1" t="s">
        <v>14</v>
      </c>
      <c r="D2790" s="1" t="s">
        <v>15</v>
      </c>
      <c r="E2790" s="1" t="s">
        <v>31</v>
      </c>
      <c r="F2790" s="1">
        <v>481.64</v>
      </c>
      <c r="G2790" s="1">
        <v>-21.29</v>
      </c>
      <c r="H2790" s="1">
        <v>4.0</v>
      </c>
      <c r="I2790" s="1" t="s">
        <v>17</v>
      </c>
      <c r="J2790" s="1" t="s">
        <v>24</v>
      </c>
      <c r="K2790" s="1">
        <f t="shared" si="1"/>
        <v>2022</v>
      </c>
      <c r="L2790" s="1" t="str">
        <f t="shared" si="2"/>
        <v>Mar</v>
      </c>
      <c r="M2790" s="1" t="str">
        <f t="shared" si="3"/>
        <v>Loss</v>
      </c>
    </row>
    <row r="2791" ht="14.25" customHeight="1">
      <c r="A2791" s="1" t="s">
        <v>2825</v>
      </c>
      <c r="B2791" s="2">
        <v>44593.0</v>
      </c>
      <c r="C2791" s="1" t="s">
        <v>20</v>
      </c>
      <c r="D2791" s="1" t="s">
        <v>27</v>
      </c>
      <c r="E2791" s="1" t="s">
        <v>28</v>
      </c>
      <c r="F2791" s="1">
        <v>102.43</v>
      </c>
      <c r="G2791" s="1">
        <v>-74.95</v>
      </c>
      <c r="H2791" s="1">
        <v>7.0</v>
      </c>
      <c r="I2791" s="1" t="s">
        <v>23</v>
      </c>
      <c r="J2791" s="1" t="s">
        <v>18</v>
      </c>
      <c r="K2791" s="1">
        <f t="shared" si="1"/>
        <v>2022</v>
      </c>
      <c r="L2791" s="1" t="str">
        <f t="shared" si="2"/>
        <v>Feb</v>
      </c>
      <c r="M2791" s="1" t="str">
        <f t="shared" si="3"/>
        <v>Loss</v>
      </c>
    </row>
    <row r="2792" ht="14.25" customHeight="1">
      <c r="A2792" s="1" t="s">
        <v>2826</v>
      </c>
      <c r="B2792" s="2">
        <v>45231.0</v>
      </c>
      <c r="C2792" s="1" t="s">
        <v>14</v>
      </c>
      <c r="D2792" s="1" t="s">
        <v>27</v>
      </c>
      <c r="E2792" s="1" t="s">
        <v>40</v>
      </c>
      <c r="F2792" s="1">
        <v>760.32</v>
      </c>
      <c r="G2792" s="1">
        <v>67.3</v>
      </c>
      <c r="H2792" s="1">
        <v>6.0</v>
      </c>
      <c r="I2792" s="1" t="s">
        <v>34</v>
      </c>
      <c r="J2792" s="1" t="s">
        <v>24</v>
      </c>
      <c r="K2792" s="1">
        <f t="shared" si="1"/>
        <v>2023</v>
      </c>
      <c r="L2792" s="1" t="str">
        <f t="shared" si="2"/>
        <v>Nov</v>
      </c>
      <c r="M2792" s="1" t="str">
        <f t="shared" si="3"/>
        <v>Profit</v>
      </c>
    </row>
    <row r="2793" ht="14.25" customHeight="1">
      <c r="A2793" s="1" t="s">
        <v>2827</v>
      </c>
      <c r="B2793" s="2">
        <v>44474.0</v>
      </c>
      <c r="C2793" s="1" t="s">
        <v>20</v>
      </c>
      <c r="D2793" s="1" t="s">
        <v>27</v>
      </c>
      <c r="E2793" s="1" t="s">
        <v>28</v>
      </c>
      <c r="F2793" s="1">
        <v>296.26</v>
      </c>
      <c r="G2793" s="1">
        <v>-94.76</v>
      </c>
      <c r="H2793" s="1">
        <v>3.0</v>
      </c>
      <c r="I2793" s="1" t="s">
        <v>23</v>
      </c>
      <c r="J2793" s="1" t="s">
        <v>35</v>
      </c>
      <c r="K2793" s="1">
        <f t="shared" si="1"/>
        <v>2021</v>
      </c>
      <c r="L2793" s="1" t="str">
        <f t="shared" si="2"/>
        <v>Oct</v>
      </c>
      <c r="M2793" s="1" t="str">
        <f t="shared" si="3"/>
        <v>Loss</v>
      </c>
    </row>
    <row r="2794" ht="14.25" customHeight="1">
      <c r="A2794" s="1" t="s">
        <v>2828</v>
      </c>
      <c r="B2794" s="2">
        <v>44204.0</v>
      </c>
      <c r="C2794" s="1" t="s">
        <v>20</v>
      </c>
      <c r="D2794" s="1" t="s">
        <v>27</v>
      </c>
      <c r="E2794" s="1" t="s">
        <v>33</v>
      </c>
      <c r="F2794" s="1">
        <v>711.75</v>
      </c>
      <c r="G2794" s="1">
        <v>211.38</v>
      </c>
      <c r="H2794" s="1">
        <v>2.0</v>
      </c>
      <c r="I2794" s="1" t="s">
        <v>17</v>
      </c>
      <c r="J2794" s="1" t="s">
        <v>35</v>
      </c>
      <c r="K2794" s="1">
        <f t="shared" si="1"/>
        <v>2021</v>
      </c>
      <c r="L2794" s="1" t="str">
        <f t="shared" si="2"/>
        <v>Jan</v>
      </c>
      <c r="M2794" s="1" t="str">
        <f t="shared" si="3"/>
        <v>Profit</v>
      </c>
    </row>
    <row r="2795" ht="14.25" customHeight="1">
      <c r="A2795" s="1" t="s">
        <v>2829</v>
      </c>
      <c r="B2795" s="2">
        <v>44545.0</v>
      </c>
      <c r="C2795" s="1" t="s">
        <v>26</v>
      </c>
      <c r="D2795" s="1" t="s">
        <v>27</v>
      </c>
      <c r="E2795" s="1" t="s">
        <v>33</v>
      </c>
      <c r="F2795" s="1">
        <v>25.51</v>
      </c>
      <c r="G2795" s="1">
        <v>-169.31</v>
      </c>
      <c r="H2795" s="1">
        <v>9.0</v>
      </c>
      <c r="I2795" s="1" t="s">
        <v>23</v>
      </c>
      <c r="J2795" s="1" t="s">
        <v>35</v>
      </c>
      <c r="K2795" s="1">
        <f t="shared" si="1"/>
        <v>2021</v>
      </c>
      <c r="L2795" s="1" t="str">
        <f t="shared" si="2"/>
        <v>Dec</v>
      </c>
      <c r="M2795" s="1" t="str">
        <f t="shared" si="3"/>
        <v>Loss</v>
      </c>
    </row>
    <row r="2796" ht="14.25" customHeight="1">
      <c r="A2796" s="1" t="s">
        <v>2830</v>
      </c>
      <c r="B2796" s="2">
        <v>44391.0</v>
      </c>
      <c r="C2796" s="1" t="s">
        <v>30</v>
      </c>
      <c r="D2796" s="1" t="s">
        <v>21</v>
      </c>
      <c r="E2796" s="1" t="s">
        <v>76</v>
      </c>
      <c r="F2796" s="1">
        <v>69.25</v>
      </c>
      <c r="G2796" s="1">
        <v>173.77</v>
      </c>
      <c r="H2796" s="1">
        <v>5.0</v>
      </c>
      <c r="I2796" s="1" t="s">
        <v>17</v>
      </c>
      <c r="J2796" s="1" t="s">
        <v>18</v>
      </c>
      <c r="K2796" s="1">
        <f t="shared" si="1"/>
        <v>2021</v>
      </c>
      <c r="L2796" s="1" t="str">
        <f t="shared" si="2"/>
        <v>Jul</v>
      </c>
      <c r="M2796" s="1" t="str">
        <f t="shared" si="3"/>
        <v>Profit</v>
      </c>
    </row>
    <row r="2797" ht="14.25" customHeight="1">
      <c r="A2797" s="1" t="s">
        <v>2831</v>
      </c>
      <c r="B2797" s="2">
        <v>44836.0</v>
      </c>
      <c r="C2797" s="1" t="s">
        <v>14</v>
      </c>
      <c r="D2797" s="1" t="s">
        <v>21</v>
      </c>
      <c r="E2797" s="1" t="s">
        <v>22</v>
      </c>
      <c r="F2797" s="1">
        <v>115.3</v>
      </c>
      <c r="G2797" s="1">
        <v>45.87</v>
      </c>
      <c r="H2797" s="1">
        <v>3.0</v>
      </c>
      <c r="I2797" s="1" t="s">
        <v>17</v>
      </c>
      <c r="J2797" s="1" t="s">
        <v>24</v>
      </c>
      <c r="K2797" s="1">
        <f t="shared" si="1"/>
        <v>2022</v>
      </c>
      <c r="L2797" s="1" t="str">
        <f t="shared" si="2"/>
        <v>Oct</v>
      </c>
      <c r="M2797" s="1" t="str">
        <f t="shared" si="3"/>
        <v>Profit</v>
      </c>
    </row>
    <row r="2798" ht="14.25" customHeight="1">
      <c r="A2798" s="1" t="s">
        <v>2832</v>
      </c>
      <c r="B2798" s="2">
        <v>44243.0</v>
      </c>
      <c r="C2798" s="1" t="s">
        <v>20</v>
      </c>
      <c r="D2798" s="1" t="s">
        <v>15</v>
      </c>
      <c r="E2798" s="1" t="s">
        <v>31</v>
      </c>
      <c r="F2798" s="1">
        <v>560.54</v>
      </c>
      <c r="G2798" s="1">
        <v>-89.97</v>
      </c>
      <c r="H2798" s="1">
        <v>10.0</v>
      </c>
      <c r="I2798" s="1" t="s">
        <v>34</v>
      </c>
      <c r="J2798" s="1" t="s">
        <v>18</v>
      </c>
      <c r="K2798" s="1">
        <f t="shared" si="1"/>
        <v>2021</v>
      </c>
      <c r="L2798" s="1" t="str">
        <f t="shared" si="2"/>
        <v>Feb</v>
      </c>
      <c r="M2798" s="1" t="str">
        <f t="shared" si="3"/>
        <v>Loss</v>
      </c>
    </row>
    <row r="2799" ht="14.25" customHeight="1">
      <c r="A2799" s="1" t="s">
        <v>2833</v>
      </c>
      <c r="B2799" s="2">
        <v>44468.0</v>
      </c>
      <c r="C2799" s="1" t="s">
        <v>20</v>
      </c>
      <c r="D2799" s="1" t="s">
        <v>27</v>
      </c>
      <c r="E2799" s="1" t="s">
        <v>28</v>
      </c>
      <c r="F2799" s="1">
        <v>327.48</v>
      </c>
      <c r="G2799" s="1">
        <v>-6.56</v>
      </c>
      <c r="H2799" s="1">
        <v>5.0</v>
      </c>
      <c r="I2799" s="1" t="s">
        <v>34</v>
      </c>
      <c r="J2799" s="1" t="s">
        <v>35</v>
      </c>
      <c r="K2799" s="1">
        <f t="shared" si="1"/>
        <v>2021</v>
      </c>
      <c r="L2799" s="1" t="str">
        <f t="shared" si="2"/>
        <v>Sep</v>
      </c>
      <c r="M2799" s="1" t="str">
        <f t="shared" si="3"/>
        <v>Loss</v>
      </c>
    </row>
    <row r="2800" ht="14.25" customHeight="1">
      <c r="A2800" s="1" t="s">
        <v>2834</v>
      </c>
      <c r="B2800" s="2">
        <v>45243.0</v>
      </c>
      <c r="C2800" s="1" t="s">
        <v>20</v>
      </c>
      <c r="D2800" s="1" t="s">
        <v>15</v>
      </c>
      <c r="E2800" s="1" t="s">
        <v>54</v>
      </c>
      <c r="F2800" s="1">
        <v>830.25</v>
      </c>
      <c r="G2800" s="1">
        <v>252.98</v>
      </c>
      <c r="H2800" s="1">
        <v>2.0</v>
      </c>
      <c r="I2800" s="1" t="s">
        <v>23</v>
      </c>
      <c r="J2800" s="1" t="s">
        <v>18</v>
      </c>
      <c r="K2800" s="1">
        <f t="shared" si="1"/>
        <v>2023</v>
      </c>
      <c r="L2800" s="1" t="str">
        <f t="shared" si="2"/>
        <v>Nov</v>
      </c>
      <c r="M2800" s="1" t="str">
        <f t="shared" si="3"/>
        <v>Profit</v>
      </c>
    </row>
    <row r="2801" ht="14.25" customHeight="1">
      <c r="A2801" s="1" t="s">
        <v>2835</v>
      </c>
      <c r="B2801" s="2">
        <v>45234.0</v>
      </c>
      <c r="C2801" s="1" t="s">
        <v>26</v>
      </c>
      <c r="D2801" s="1" t="s">
        <v>21</v>
      </c>
      <c r="E2801" s="1" t="s">
        <v>22</v>
      </c>
      <c r="F2801" s="1">
        <v>313.62</v>
      </c>
      <c r="G2801" s="1">
        <v>254.61</v>
      </c>
      <c r="H2801" s="1">
        <v>2.0</v>
      </c>
      <c r="I2801" s="1" t="s">
        <v>34</v>
      </c>
      <c r="J2801" s="1" t="s">
        <v>18</v>
      </c>
      <c r="K2801" s="1">
        <f t="shared" si="1"/>
        <v>2023</v>
      </c>
      <c r="L2801" s="1" t="str">
        <f t="shared" si="2"/>
        <v>Nov</v>
      </c>
      <c r="M2801" s="1" t="str">
        <f t="shared" si="3"/>
        <v>Profit</v>
      </c>
    </row>
    <row r="2802" ht="14.25" customHeight="1">
      <c r="A2802" s="1" t="s">
        <v>2836</v>
      </c>
      <c r="B2802" s="2">
        <v>44273.0</v>
      </c>
      <c r="C2802" s="1" t="s">
        <v>20</v>
      </c>
      <c r="D2802" s="1" t="s">
        <v>21</v>
      </c>
      <c r="E2802" s="1" t="s">
        <v>22</v>
      </c>
      <c r="F2802" s="1">
        <v>742.34</v>
      </c>
      <c r="G2802" s="1">
        <v>-151.34</v>
      </c>
      <c r="H2802" s="1">
        <v>3.0</v>
      </c>
      <c r="I2802" s="1" t="s">
        <v>34</v>
      </c>
      <c r="J2802" s="1" t="s">
        <v>24</v>
      </c>
      <c r="K2802" s="1">
        <f t="shared" si="1"/>
        <v>2021</v>
      </c>
      <c r="L2802" s="1" t="str">
        <f t="shared" si="2"/>
        <v>Mar</v>
      </c>
      <c r="M2802" s="1" t="str">
        <f t="shared" si="3"/>
        <v>Loss</v>
      </c>
    </row>
    <row r="2803" ht="14.25" customHeight="1">
      <c r="A2803" s="1" t="s">
        <v>2837</v>
      </c>
      <c r="B2803" s="2">
        <v>44470.0</v>
      </c>
      <c r="C2803" s="1" t="s">
        <v>20</v>
      </c>
      <c r="D2803" s="1" t="s">
        <v>21</v>
      </c>
      <c r="E2803" s="1" t="s">
        <v>37</v>
      </c>
      <c r="F2803" s="1">
        <v>723.6</v>
      </c>
      <c r="G2803" s="1">
        <v>209.0</v>
      </c>
      <c r="H2803" s="1">
        <v>2.0</v>
      </c>
      <c r="I2803" s="1" t="s">
        <v>34</v>
      </c>
      <c r="J2803" s="1" t="s">
        <v>38</v>
      </c>
      <c r="K2803" s="1">
        <f t="shared" si="1"/>
        <v>2021</v>
      </c>
      <c r="L2803" s="1" t="str">
        <f t="shared" si="2"/>
        <v>Oct</v>
      </c>
      <c r="M2803" s="1" t="str">
        <f t="shared" si="3"/>
        <v>Profit</v>
      </c>
    </row>
    <row r="2804" ht="14.25" customHeight="1">
      <c r="A2804" s="1" t="s">
        <v>2838</v>
      </c>
      <c r="B2804" s="2">
        <v>44438.0</v>
      </c>
      <c r="C2804" s="1" t="s">
        <v>14</v>
      </c>
      <c r="D2804" s="1" t="s">
        <v>27</v>
      </c>
      <c r="E2804" s="1" t="s">
        <v>28</v>
      </c>
      <c r="F2804" s="1">
        <v>596.43</v>
      </c>
      <c r="G2804" s="1">
        <v>170.42</v>
      </c>
      <c r="H2804" s="1">
        <v>1.0</v>
      </c>
      <c r="I2804" s="1" t="s">
        <v>23</v>
      </c>
      <c r="J2804" s="1" t="s">
        <v>24</v>
      </c>
      <c r="K2804" s="1">
        <f t="shared" si="1"/>
        <v>2021</v>
      </c>
      <c r="L2804" s="1" t="str">
        <f t="shared" si="2"/>
        <v>Aug</v>
      </c>
      <c r="M2804" s="1" t="str">
        <f t="shared" si="3"/>
        <v>Profit</v>
      </c>
    </row>
    <row r="2805" ht="14.25" customHeight="1">
      <c r="A2805" s="1" t="s">
        <v>2839</v>
      </c>
      <c r="B2805" s="2">
        <v>44473.0</v>
      </c>
      <c r="C2805" s="1" t="s">
        <v>20</v>
      </c>
      <c r="D2805" s="1" t="s">
        <v>15</v>
      </c>
      <c r="E2805" s="1" t="s">
        <v>54</v>
      </c>
      <c r="F2805" s="1">
        <v>29.94</v>
      </c>
      <c r="G2805" s="1">
        <v>-65.68</v>
      </c>
      <c r="H2805" s="1">
        <v>10.0</v>
      </c>
      <c r="I2805" s="1" t="s">
        <v>17</v>
      </c>
      <c r="J2805" s="1" t="s">
        <v>35</v>
      </c>
      <c r="K2805" s="1">
        <f t="shared" si="1"/>
        <v>2021</v>
      </c>
      <c r="L2805" s="1" t="str">
        <f t="shared" si="2"/>
        <v>Oct</v>
      </c>
      <c r="M2805" s="1" t="str">
        <f t="shared" si="3"/>
        <v>Loss</v>
      </c>
    </row>
    <row r="2806" ht="14.25" customHeight="1">
      <c r="A2806" s="1" t="s">
        <v>2840</v>
      </c>
      <c r="B2806" s="2">
        <v>45107.0</v>
      </c>
      <c r="C2806" s="1" t="s">
        <v>20</v>
      </c>
      <c r="D2806" s="1" t="s">
        <v>27</v>
      </c>
      <c r="E2806" s="1" t="s">
        <v>40</v>
      </c>
      <c r="F2806" s="1">
        <v>528.63</v>
      </c>
      <c r="G2806" s="1">
        <v>42.1</v>
      </c>
      <c r="H2806" s="1">
        <v>1.0</v>
      </c>
      <c r="I2806" s="1" t="s">
        <v>34</v>
      </c>
      <c r="J2806" s="1" t="s">
        <v>35</v>
      </c>
      <c r="K2806" s="1">
        <f t="shared" si="1"/>
        <v>2023</v>
      </c>
      <c r="L2806" s="1" t="str">
        <f t="shared" si="2"/>
        <v>Jun</v>
      </c>
      <c r="M2806" s="1" t="str">
        <f t="shared" si="3"/>
        <v>Profit</v>
      </c>
    </row>
    <row r="2807" ht="14.25" customHeight="1">
      <c r="A2807" s="1" t="s">
        <v>2841</v>
      </c>
      <c r="B2807" s="2">
        <v>44797.0</v>
      </c>
      <c r="C2807" s="1" t="s">
        <v>14</v>
      </c>
      <c r="D2807" s="1" t="s">
        <v>21</v>
      </c>
      <c r="E2807" s="1" t="s">
        <v>22</v>
      </c>
      <c r="F2807" s="1">
        <v>646.56</v>
      </c>
      <c r="G2807" s="1">
        <v>259.15</v>
      </c>
      <c r="H2807" s="1">
        <v>1.0</v>
      </c>
      <c r="I2807" s="1" t="s">
        <v>23</v>
      </c>
      <c r="J2807" s="1" t="s">
        <v>35</v>
      </c>
      <c r="K2807" s="1">
        <f t="shared" si="1"/>
        <v>2022</v>
      </c>
      <c r="L2807" s="1" t="str">
        <f t="shared" si="2"/>
        <v>Aug</v>
      </c>
      <c r="M2807" s="1" t="str">
        <f t="shared" si="3"/>
        <v>Profit</v>
      </c>
    </row>
    <row r="2808" ht="14.25" customHeight="1">
      <c r="A2808" s="1" t="s">
        <v>2842</v>
      </c>
      <c r="B2808" s="2">
        <v>44827.0</v>
      </c>
      <c r="C2808" s="1" t="s">
        <v>20</v>
      </c>
      <c r="D2808" s="1" t="s">
        <v>15</v>
      </c>
      <c r="E2808" s="1" t="s">
        <v>54</v>
      </c>
      <c r="F2808" s="1">
        <v>397.24</v>
      </c>
      <c r="G2808" s="1">
        <v>32.84</v>
      </c>
      <c r="H2808" s="1">
        <v>6.0</v>
      </c>
      <c r="I2808" s="1" t="s">
        <v>34</v>
      </c>
      <c r="J2808" s="1" t="s">
        <v>38</v>
      </c>
      <c r="K2808" s="1">
        <f t="shared" si="1"/>
        <v>2022</v>
      </c>
      <c r="L2808" s="1" t="str">
        <f t="shared" si="2"/>
        <v>Sep</v>
      </c>
      <c r="M2808" s="1" t="str">
        <f t="shared" si="3"/>
        <v>Profit</v>
      </c>
    </row>
    <row r="2809" ht="14.25" customHeight="1">
      <c r="A2809" s="1" t="s">
        <v>2843</v>
      </c>
      <c r="B2809" s="2">
        <v>45183.0</v>
      </c>
      <c r="C2809" s="1" t="s">
        <v>30</v>
      </c>
      <c r="D2809" s="1" t="s">
        <v>15</v>
      </c>
      <c r="E2809" s="1" t="s">
        <v>16</v>
      </c>
      <c r="F2809" s="1">
        <v>60.95</v>
      </c>
      <c r="G2809" s="1">
        <v>-171.13</v>
      </c>
      <c r="H2809" s="1">
        <v>9.0</v>
      </c>
      <c r="I2809" s="1" t="s">
        <v>17</v>
      </c>
      <c r="J2809" s="1" t="s">
        <v>35</v>
      </c>
      <c r="K2809" s="1">
        <f t="shared" si="1"/>
        <v>2023</v>
      </c>
      <c r="L2809" s="1" t="str">
        <f t="shared" si="2"/>
        <v>Sep</v>
      </c>
      <c r="M2809" s="1" t="str">
        <f t="shared" si="3"/>
        <v>Loss</v>
      </c>
    </row>
    <row r="2810" ht="14.25" customHeight="1">
      <c r="A2810" s="1" t="s">
        <v>2844</v>
      </c>
      <c r="B2810" s="2">
        <v>44328.0</v>
      </c>
      <c r="C2810" s="1" t="s">
        <v>30</v>
      </c>
      <c r="D2810" s="1" t="s">
        <v>21</v>
      </c>
      <c r="E2810" s="1" t="s">
        <v>37</v>
      </c>
      <c r="F2810" s="1">
        <v>246.89</v>
      </c>
      <c r="G2810" s="1">
        <v>65.0</v>
      </c>
      <c r="H2810" s="1">
        <v>2.0</v>
      </c>
      <c r="I2810" s="1" t="s">
        <v>34</v>
      </c>
      <c r="J2810" s="1" t="s">
        <v>18</v>
      </c>
      <c r="K2810" s="1">
        <f t="shared" si="1"/>
        <v>2021</v>
      </c>
      <c r="L2810" s="1" t="str">
        <f t="shared" si="2"/>
        <v>May</v>
      </c>
      <c r="M2810" s="1" t="str">
        <f t="shared" si="3"/>
        <v>Profit</v>
      </c>
    </row>
    <row r="2811" ht="14.25" customHeight="1">
      <c r="A2811" s="1" t="s">
        <v>2845</v>
      </c>
      <c r="B2811" s="2">
        <v>45194.0</v>
      </c>
      <c r="C2811" s="1" t="s">
        <v>30</v>
      </c>
      <c r="D2811" s="1" t="s">
        <v>21</v>
      </c>
      <c r="E2811" s="1" t="s">
        <v>22</v>
      </c>
      <c r="F2811" s="1">
        <v>815.48</v>
      </c>
      <c r="G2811" s="1">
        <v>-45.06</v>
      </c>
      <c r="H2811" s="1">
        <v>3.0</v>
      </c>
      <c r="I2811" s="1" t="s">
        <v>34</v>
      </c>
      <c r="J2811" s="1" t="s">
        <v>18</v>
      </c>
      <c r="K2811" s="1">
        <f t="shared" si="1"/>
        <v>2023</v>
      </c>
      <c r="L2811" s="1" t="str">
        <f t="shared" si="2"/>
        <v>Sep</v>
      </c>
      <c r="M2811" s="1" t="str">
        <f t="shared" si="3"/>
        <v>Loss</v>
      </c>
    </row>
    <row r="2812" ht="14.25" customHeight="1">
      <c r="A2812" s="1" t="s">
        <v>2846</v>
      </c>
      <c r="B2812" s="2">
        <v>44885.0</v>
      </c>
      <c r="C2812" s="1" t="s">
        <v>30</v>
      </c>
      <c r="D2812" s="1" t="s">
        <v>15</v>
      </c>
      <c r="E2812" s="1" t="s">
        <v>31</v>
      </c>
      <c r="F2812" s="1">
        <v>320.87</v>
      </c>
      <c r="G2812" s="1">
        <v>-149.21</v>
      </c>
      <c r="H2812" s="1">
        <v>10.0</v>
      </c>
      <c r="I2812" s="1" t="s">
        <v>23</v>
      </c>
      <c r="J2812" s="1" t="s">
        <v>35</v>
      </c>
      <c r="K2812" s="1">
        <f t="shared" si="1"/>
        <v>2022</v>
      </c>
      <c r="L2812" s="1" t="str">
        <f t="shared" si="2"/>
        <v>Nov</v>
      </c>
      <c r="M2812" s="1" t="str">
        <f t="shared" si="3"/>
        <v>Loss</v>
      </c>
    </row>
    <row r="2813" ht="14.25" customHeight="1">
      <c r="A2813" s="1" t="s">
        <v>2847</v>
      </c>
      <c r="B2813" s="2">
        <v>45124.0</v>
      </c>
      <c r="C2813" s="1" t="s">
        <v>14</v>
      </c>
      <c r="D2813" s="1" t="s">
        <v>21</v>
      </c>
      <c r="E2813" s="1" t="s">
        <v>22</v>
      </c>
      <c r="F2813" s="1">
        <v>138.02</v>
      </c>
      <c r="G2813" s="1">
        <v>-185.93</v>
      </c>
      <c r="H2813" s="1">
        <v>2.0</v>
      </c>
      <c r="I2813" s="1" t="s">
        <v>34</v>
      </c>
      <c r="J2813" s="1" t="s">
        <v>18</v>
      </c>
      <c r="K2813" s="1">
        <f t="shared" si="1"/>
        <v>2023</v>
      </c>
      <c r="L2813" s="1" t="str">
        <f t="shared" si="2"/>
        <v>Jul</v>
      </c>
      <c r="M2813" s="1" t="str">
        <f t="shared" si="3"/>
        <v>Loss</v>
      </c>
    </row>
    <row r="2814" ht="14.25" customHeight="1">
      <c r="A2814" s="1" t="s">
        <v>2848</v>
      </c>
      <c r="B2814" s="2">
        <v>45257.0</v>
      </c>
      <c r="C2814" s="1" t="s">
        <v>30</v>
      </c>
      <c r="D2814" s="1" t="s">
        <v>27</v>
      </c>
      <c r="E2814" s="1" t="s">
        <v>28</v>
      </c>
      <c r="F2814" s="1">
        <v>34.47</v>
      </c>
      <c r="G2814" s="1">
        <v>-113.85</v>
      </c>
      <c r="H2814" s="1">
        <v>7.0</v>
      </c>
      <c r="I2814" s="1" t="s">
        <v>34</v>
      </c>
      <c r="J2814" s="1" t="s">
        <v>18</v>
      </c>
      <c r="K2814" s="1">
        <f t="shared" si="1"/>
        <v>2023</v>
      </c>
      <c r="L2814" s="1" t="str">
        <f t="shared" si="2"/>
        <v>Nov</v>
      </c>
      <c r="M2814" s="1" t="str">
        <f t="shared" si="3"/>
        <v>Loss</v>
      </c>
    </row>
    <row r="2815" ht="14.25" customHeight="1">
      <c r="A2815" s="1" t="s">
        <v>2849</v>
      </c>
      <c r="B2815" s="2">
        <v>45037.0</v>
      </c>
      <c r="C2815" s="1" t="s">
        <v>20</v>
      </c>
      <c r="D2815" s="1" t="s">
        <v>27</v>
      </c>
      <c r="E2815" s="1" t="s">
        <v>40</v>
      </c>
      <c r="F2815" s="1">
        <v>332.28</v>
      </c>
      <c r="G2815" s="1">
        <v>-17.46</v>
      </c>
      <c r="H2815" s="1">
        <v>6.0</v>
      </c>
      <c r="I2815" s="1" t="s">
        <v>23</v>
      </c>
      <c r="J2815" s="1" t="s">
        <v>35</v>
      </c>
      <c r="K2815" s="1">
        <f t="shared" si="1"/>
        <v>2023</v>
      </c>
      <c r="L2815" s="1" t="str">
        <f t="shared" si="2"/>
        <v>Apr</v>
      </c>
      <c r="M2815" s="1" t="str">
        <f t="shared" si="3"/>
        <v>Loss</v>
      </c>
    </row>
    <row r="2816" ht="14.25" customHeight="1">
      <c r="A2816" s="1" t="s">
        <v>2850</v>
      </c>
      <c r="B2816" s="2">
        <v>45181.0</v>
      </c>
      <c r="C2816" s="1" t="s">
        <v>26</v>
      </c>
      <c r="D2816" s="1" t="s">
        <v>21</v>
      </c>
      <c r="E2816" s="1" t="s">
        <v>37</v>
      </c>
      <c r="F2816" s="1">
        <v>487.05</v>
      </c>
      <c r="G2816" s="1">
        <v>-64.54</v>
      </c>
      <c r="H2816" s="1">
        <v>7.0</v>
      </c>
      <c r="I2816" s="1" t="s">
        <v>34</v>
      </c>
      <c r="J2816" s="1" t="s">
        <v>38</v>
      </c>
      <c r="K2816" s="1">
        <f t="shared" si="1"/>
        <v>2023</v>
      </c>
      <c r="L2816" s="1" t="str">
        <f t="shared" si="2"/>
        <v>Sep</v>
      </c>
      <c r="M2816" s="1" t="str">
        <f t="shared" si="3"/>
        <v>Loss</v>
      </c>
    </row>
    <row r="2817" ht="14.25" customHeight="1">
      <c r="A2817" s="1" t="s">
        <v>2851</v>
      </c>
      <c r="B2817" s="2">
        <v>44697.0</v>
      </c>
      <c r="C2817" s="1" t="s">
        <v>30</v>
      </c>
      <c r="D2817" s="1" t="s">
        <v>27</v>
      </c>
      <c r="E2817" s="1" t="s">
        <v>40</v>
      </c>
      <c r="F2817" s="1">
        <v>867.91</v>
      </c>
      <c r="G2817" s="1">
        <v>285.23</v>
      </c>
      <c r="H2817" s="1">
        <v>3.0</v>
      </c>
      <c r="I2817" s="1" t="s">
        <v>23</v>
      </c>
      <c r="J2817" s="1" t="s">
        <v>24</v>
      </c>
      <c r="K2817" s="1">
        <f t="shared" si="1"/>
        <v>2022</v>
      </c>
      <c r="L2817" s="1" t="str">
        <f t="shared" si="2"/>
        <v>May</v>
      </c>
      <c r="M2817" s="1" t="str">
        <f t="shared" si="3"/>
        <v>Profit</v>
      </c>
    </row>
    <row r="2818" ht="14.25" customHeight="1">
      <c r="A2818" s="1" t="s">
        <v>2852</v>
      </c>
      <c r="B2818" s="2">
        <v>45096.0</v>
      </c>
      <c r="C2818" s="1" t="s">
        <v>20</v>
      </c>
      <c r="D2818" s="1" t="s">
        <v>21</v>
      </c>
      <c r="E2818" s="1" t="s">
        <v>22</v>
      </c>
      <c r="F2818" s="1">
        <v>481.9</v>
      </c>
      <c r="G2818" s="1">
        <v>62.16</v>
      </c>
      <c r="H2818" s="1">
        <v>6.0</v>
      </c>
      <c r="I2818" s="1" t="s">
        <v>17</v>
      </c>
      <c r="J2818" s="1" t="s">
        <v>24</v>
      </c>
      <c r="K2818" s="1">
        <f t="shared" si="1"/>
        <v>2023</v>
      </c>
      <c r="L2818" s="1" t="str">
        <f t="shared" si="2"/>
        <v>Jun</v>
      </c>
      <c r="M2818" s="1" t="str">
        <f t="shared" si="3"/>
        <v>Profit</v>
      </c>
    </row>
    <row r="2819" ht="14.25" customHeight="1">
      <c r="A2819" s="1" t="s">
        <v>2853</v>
      </c>
      <c r="B2819" s="2">
        <v>44463.0</v>
      </c>
      <c r="C2819" s="1" t="s">
        <v>30</v>
      </c>
      <c r="D2819" s="1" t="s">
        <v>27</v>
      </c>
      <c r="E2819" s="1" t="s">
        <v>28</v>
      </c>
      <c r="F2819" s="1">
        <v>31.96</v>
      </c>
      <c r="G2819" s="1">
        <v>98.87</v>
      </c>
      <c r="H2819" s="1">
        <v>3.0</v>
      </c>
      <c r="I2819" s="1" t="s">
        <v>23</v>
      </c>
      <c r="J2819" s="1" t="s">
        <v>24</v>
      </c>
      <c r="K2819" s="1">
        <f t="shared" si="1"/>
        <v>2021</v>
      </c>
      <c r="L2819" s="1" t="str">
        <f t="shared" si="2"/>
        <v>Sep</v>
      </c>
      <c r="M2819" s="1" t="str">
        <f t="shared" si="3"/>
        <v>Profit</v>
      </c>
    </row>
    <row r="2820" ht="14.25" customHeight="1">
      <c r="A2820" s="1" t="s">
        <v>2854</v>
      </c>
      <c r="B2820" s="2">
        <v>45057.0</v>
      </c>
      <c r="C2820" s="1" t="s">
        <v>30</v>
      </c>
      <c r="D2820" s="1" t="s">
        <v>27</v>
      </c>
      <c r="E2820" s="1" t="s">
        <v>28</v>
      </c>
      <c r="F2820" s="1">
        <v>179.57</v>
      </c>
      <c r="G2820" s="1">
        <v>-188.08</v>
      </c>
      <c r="H2820" s="1">
        <v>3.0</v>
      </c>
      <c r="I2820" s="1" t="s">
        <v>23</v>
      </c>
      <c r="J2820" s="1" t="s">
        <v>18</v>
      </c>
      <c r="K2820" s="1">
        <f t="shared" si="1"/>
        <v>2023</v>
      </c>
      <c r="L2820" s="1" t="str">
        <f t="shared" si="2"/>
        <v>May</v>
      </c>
      <c r="M2820" s="1" t="str">
        <f t="shared" si="3"/>
        <v>Loss</v>
      </c>
    </row>
    <row r="2821" ht="14.25" customHeight="1">
      <c r="A2821" s="1" t="s">
        <v>2855</v>
      </c>
      <c r="B2821" s="2">
        <v>44223.0</v>
      </c>
      <c r="C2821" s="1" t="s">
        <v>26</v>
      </c>
      <c r="D2821" s="1" t="s">
        <v>27</v>
      </c>
      <c r="E2821" s="1" t="s">
        <v>33</v>
      </c>
      <c r="F2821" s="1">
        <v>589.44</v>
      </c>
      <c r="G2821" s="1">
        <v>231.49</v>
      </c>
      <c r="H2821" s="1">
        <v>1.0</v>
      </c>
      <c r="I2821" s="1" t="s">
        <v>34</v>
      </c>
      <c r="J2821" s="1" t="s">
        <v>24</v>
      </c>
      <c r="K2821" s="1">
        <f t="shared" si="1"/>
        <v>2021</v>
      </c>
      <c r="L2821" s="1" t="str">
        <f t="shared" si="2"/>
        <v>Jan</v>
      </c>
      <c r="M2821" s="1" t="str">
        <f t="shared" si="3"/>
        <v>Profit</v>
      </c>
    </row>
    <row r="2822" ht="14.25" customHeight="1">
      <c r="A2822" s="1" t="s">
        <v>2856</v>
      </c>
      <c r="B2822" s="2">
        <v>45076.0</v>
      </c>
      <c r="C2822" s="1" t="s">
        <v>20</v>
      </c>
      <c r="D2822" s="1" t="s">
        <v>27</v>
      </c>
      <c r="E2822" s="1" t="s">
        <v>28</v>
      </c>
      <c r="F2822" s="1">
        <v>78.7</v>
      </c>
      <c r="G2822" s="1">
        <v>284.39</v>
      </c>
      <c r="H2822" s="1">
        <v>5.0</v>
      </c>
      <c r="I2822" s="1" t="s">
        <v>34</v>
      </c>
      <c r="J2822" s="1" t="s">
        <v>24</v>
      </c>
      <c r="K2822" s="1">
        <f t="shared" si="1"/>
        <v>2023</v>
      </c>
      <c r="L2822" s="1" t="str">
        <f t="shared" si="2"/>
        <v>May</v>
      </c>
      <c r="M2822" s="1" t="str">
        <f t="shared" si="3"/>
        <v>Profit</v>
      </c>
    </row>
    <row r="2823" ht="14.25" customHeight="1">
      <c r="A2823" s="1" t="s">
        <v>2857</v>
      </c>
      <c r="B2823" s="2">
        <v>44512.0</v>
      </c>
      <c r="C2823" s="1" t="s">
        <v>20</v>
      </c>
      <c r="D2823" s="1" t="s">
        <v>27</v>
      </c>
      <c r="E2823" s="1" t="s">
        <v>40</v>
      </c>
      <c r="F2823" s="1">
        <v>487.69</v>
      </c>
      <c r="G2823" s="1">
        <v>-93.85</v>
      </c>
      <c r="H2823" s="1">
        <v>3.0</v>
      </c>
      <c r="I2823" s="1" t="s">
        <v>34</v>
      </c>
      <c r="J2823" s="1" t="s">
        <v>18</v>
      </c>
      <c r="K2823" s="1">
        <f t="shared" si="1"/>
        <v>2021</v>
      </c>
      <c r="L2823" s="1" t="str">
        <f t="shared" si="2"/>
        <v>Nov</v>
      </c>
      <c r="M2823" s="1" t="str">
        <f t="shared" si="3"/>
        <v>Loss</v>
      </c>
    </row>
    <row r="2824" ht="14.25" customHeight="1">
      <c r="A2824" s="1" t="s">
        <v>2858</v>
      </c>
      <c r="B2824" s="2">
        <v>44251.0</v>
      </c>
      <c r="C2824" s="1" t="s">
        <v>30</v>
      </c>
      <c r="D2824" s="1" t="s">
        <v>27</v>
      </c>
      <c r="E2824" s="1" t="s">
        <v>28</v>
      </c>
      <c r="F2824" s="1">
        <v>319.61</v>
      </c>
      <c r="G2824" s="1">
        <v>-27.35</v>
      </c>
      <c r="H2824" s="1">
        <v>9.0</v>
      </c>
      <c r="I2824" s="1" t="s">
        <v>34</v>
      </c>
      <c r="J2824" s="1" t="s">
        <v>38</v>
      </c>
      <c r="K2824" s="1">
        <f t="shared" si="1"/>
        <v>2021</v>
      </c>
      <c r="L2824" s="1" t="str">
        <f t="shared" si="2"/>
        <v>Feb</v>
      </c>
      <c r="M2824" s="1" t="str">
        <f t="shared" si="3"/>
        <v>Loss</v>
      </c>
    </row>
    <row r="2825" ht="14.25" customHeight="1">
      <c r="A2825" s="1" t="s">
        <v>2859</v>
      </c>
      <c r="B2825" s="2">
        <v>44413.0</v>
      </c>
      <c r="C2825" s="1" t="s">
        <v>20</v>
      </c>
      <c r="D2825" s="1" t="s">
        <v>21</v>
      </c>
      <c r="E2825" s="1" t="s">
        <v>76</v>
      </c>
      <c r="F2825" s="1">
        <v>407.13</v>
      </c>
      <c r="G2825" s="1">
        <v>-198.21</v>
      </c>
      <c r="H2825" s="1">
        <v>9.0</v>
      </c>
      <c r="I2825" s="1" t="s">
        <v>34</v>
      </c>
      <c r="J2825" s="1" t="s">
        <v>38</v>
      </c>
      <c r="K2825" s="1">
        <f t="shared" si="1"/>
        <v>2021</v>
      </c>
      <c r="L2825" s="1" t="str">
        <f t="shared" si="2"/>
        <v>Aug</v>
      </c>
      <c r="M2825" s="1" t="str">
        <f t="shared" si="3"/>
        <v>Loss</v>
      </c>
    </row>
    <row r="2826" ht="14.25" customHeight="1">
      <c r="A2826" s="1" t="s">
        <v>2860</v>
      </c>
      <c r="B2826" s="2">
        <v>45069.0</v>
      </c>
      <c r="C2826" s="1" t="s">
        <v>20</v>
      </c>
      <c r="D2826" s="1" t="s">
        <v>15</v>
      </c>
      <c r="E2826" s="1" t="s">
        <v>54</v>
      </c>
      <c r="F2826" s="1">
        <v>300.98</v>
      </c>
      <c r="G2826" s="1">
        <v>-78.91</v>
      </c>
      <c r="H2826" s="1">
        <v>4.0</v>
      </c>
      <c r="I2826" s="1" t="s">
        <v>23</v>
      </c>
      <c r="J2826" s="1" t="s">
        <v>18</v>
      </c>
      <c r="K2826" s="1">
        <f t="shared" si="1"/>
        <v>2023</v>
      </c>
      <c r="L2826" s="1" t="str">
        <f t="shared" si="2"/>
        <v>May</v>
      </c>
      <c r="M2826" s="1" t="str">
        <f t="shared" si="3"/>
        <v>Loss</v>
      </c>
    </row>
    <row r="2827" ht="14.25" customHeight="1">
      <c r="A2827" s="1" t="s">
        <v>2861</v>
      </c>
      <c r="B2827" s="2">
        <v>44772.0</v>
      </c>
      <c r="C2827" s="1" t="s">
        <v>20</v>
      </c>
      <c r="D2827" s="1" t="s">
        <v>27</v>
      </c>
      <c r="E2827" s="1" t="s">
        <v>40</v>
      </c>
      <c r="F2827" s="1">
        <v>153.97</v>
      </c>
      <c r="G2827" s="1">
        <v>-145.25</v>
      </c>
      <c r="H2827" s="1">
        <v>10.0</v>
      </c>
      <c r="I2827" s="1" t="s">
        <v>34</v>
      </c>
      <c r="J2827" s="1" t="s">
        <v>35</v>
      </c>
      <c r="K2827" s="1">
        <f t="shared" si="1"/>
        <v>2022</v>
      </c>
      <c r="L2827" s="1" t="str">
        <f t="shared" si="2"/>
        <v>Jul</v>
      </c>
      <c r="M2827" s="1" t="str">
        <f t="shared" si="3"/>
        <v>Loss</v>
      </c>
    </row>
    <row r="2828" ht="14.25" customHeight="1">
      <c r="A2828" s="1" t="s">
        <v>2862</v>
      </c>
      <c r="B2828" s="2">
        <v>44901.0</v>
      </c>
      <c r="C2828" s="1" t="s">
        <v>26</v>
      </c>
      <c r="D2828" s="1" t="s">
        <v>21</v>
      </c>
      <c r="E2828" s="1" t="s">
        <v>22</v>
      </c>
      <c r="F2828" s="1">
        <v>54.06</v>
      </c>
      <c r="G2828" s="1">
        <v>164.17</v>
      </c>
      <c r="H2828" s="1">
        <v>2.0</v>
      </c>
      <c r="I2828" s="1" t="s">
        <v>23</v>
      </c>
      <c r="J2828" s="1" t="s">
        <v>24</v>
      </c>
      <c r="K2828" s="1">
        <f t="shared" si="1"/>
        <v>2022</v>
      </c>
      <c r="L2828" s="1" t="str">
        <f t="shared" si="2"/>
        <v>Dec</v>
      </c>
      <c r="M2828" s="1" t="str">
        <f t="shared" si="3"/>
        <v>Profit</v>
      </c>
    </row>
    <row r="2829" ht="14.25" customHeight="1">
      <c r="A2829" s="1" t="s">
        <v>2863</v>
      </c>
      <c r="B2829" s="2">
        <v>44499.0</v>
      </c>
      <c r="C2829" s="1" t="s">
        <v>30</v>
      </c>
      <c r="D2829" s="1" t="s">
        <v>21</v>
      </c>
      <c r="E2829" s="1" t="s">
        <v>37</v>
      </c>
      <c r="F2829" s="1">
        <v>413.97</v>
      </c>
      <c r="G2829" s="1">
        <v>47.77</v>
      </c>
      <c r="H2829" s="1">
        <v>2.0</v>
      </c>
      <c r="I2829" s="1" t="s">
        <v>23</v>
      </c>
      <c r="J2829" s="1" t="s">
        <v>38</v>
      </c>
      <c r="K2829" s="1">
        <f t="shared" si="1"/>
        <v>2021</v>
      </c>
      <c r="L2829" s="1" t="str">
        <f t="shared" si="2"/>
        <v>Oct</v>
      </c>
      <c r="M2829" s="1" t="str">
        <f t="shared" si="3"/>
        <v>Profit</v>
      </c>
    </row>
    <row r="2830" ht="14.25" customHeight="1">
      <c r="A2830" s="1" t="s">
        <v>2864</v>
      </c>
      <c r="B2830" s="2">
        <v>45172.0</v>
      </c>
      <c r="C2830" s="1" t="s">
        <v>14</v>
      </c>
      <c r="D2830" s="1" t="s">
        <v>15</v>
      </c>
      <c r="E2830" s="1" t="s">
        <v>54</v>
      </c>
      <c r="F2830" s="1">
        <v>385.11</v>
      </c>
      <c r="G2830" s="1">
        <v>145.34</v>
      </c>
      <c r="H2830" s="1">
        <v>9.0</v>
      </c>
      <c r="I2830" s="1" t="s">
        <v>17</v>
      </c>
      <c r="J2830" s="1" t="s">
        <v>35</v>
      </c>
      <c r="K2830" s="1">
        <f t="shared" si="1"/>
        <v>2023</v>
      </c>
      <c r="L2830" s="1" t="str">
        <f t="shared" si="2"/>
        <v>Sep</v>
      </c>
      <c r="M2830" s="1" t="str">
        <f t="shared" si="3"/>
        <v>Profit</v>
      </c>
    </row>
    <row r="2831" ht="14.25" customHeight="1">
      <c r="A2831" s="1" t="s">
        <v>2865</v>
      </c>
      <c r="B2831" s="2">
        <v>45259.0</v>
      </c>
      <c r="C2831" s="1" t="s">
        <v>26</v>
      </c>
      <c r="D2831" s="1" t="s">
        <v>15</v>
      </c>
      <c r="E2831" s="1" t="s">
        <v>16</v>
      </c>
      <c r="F2831" s="1">
        <v>89.38</v>
      </c>
      <c r="G2831" s="1">
        <v>-158.87</v>
      </c>
      <c r="H2831" s="1">
        <v>6.0</v>
      </c>
      <c r="I2831" s="1" t="s">
        <v>23</v>
      </c>
      <c r="J2831" s="1" t="s">
        <v>18</v>
      </c>
      <c r="K2831" s="1">
        <f t="shared" si="1"/>
        <v>2023</v>
      </c>
      <c r="L2831" s="1" t="str">
        <f t="shared" si="2"/>
        <v>Nov</v>
      </c>
      <c r="M2831" s="1" t="str">
        <f t="shared" si="3"/>
        <v>Loss</v>
      </c>
    </row>
    <row r="2832" ht="14.25" customHeight="1">
      <c r="A2832" s="1" t="s">
        <v>2866</v>
      </c>
      <c r="B2832" s="2">
        <v>44384.0</v>
      </c>
      <c r="C2832" s="1" t="s">
        <v>20</v>
      </c>
      <c r="D2832" s="1" t="s">
        <v>15</v>
      </c>
      <c r="E2832" s="1" t="s">
        <v>31</v>
      </c>
      <c r="F2832" s="1">
        <v>689.22</v>
      </c>
      <c r="G2832" s="1">
        <v>146.83</v>
      </c>
      <c r="H2832" s="1">
        <v>1.0</v>
      </c>
      <c r="I2832" s="1" t="s">
        <v>23</v>
      </c>
      <c r="J2832" s="1" t="s">
        <v>24</v>
      </c>
      <c r="K2832" s="1">
        <f t="shared" si="1"/>
        <v>2021</v>
      </c>
      <c r="L2832" s="1" t="str">
        <f t="shared" si="2"/>
        <v>Jul</v>
      </c>
      <c r="M2832" s="1" t="str">
        <f t="shared" si="3"/>
        <v>Profit</v>
      </c>
    </row>
    <row r="2833" ht="14.25" customHeight="1">
      <c r="A2833" s="1" t="s">
        <v>2867</v>
      </c>
      <c r="B2833" s="2">
        <v>44201.0</v>
      </c>
      <c r="C2833" s="1" t="s">
        <v>20</v>
      </c>
      <c r="D2833" s="1" t="s">
        <v>27</v>
      </c>
      <c r="E2833" s="1" t="s">
        <v>33</v>
      </c>
      <c r="F2833" s="1">
        <v>65.13</v>
      </c>
      <c r="G2833" s="1">
        <v>37.88</v>
      </c>
      <c r="H2833" s="1">
        <v>7.0</v>
      </c>
      <c r="I2833" s="1" t="s">
        <v>17</v>
      </c>
      <c r="J2833" s="1" t="s">
        <v>18</v>
      </c>
      <c r="K2833" s="1">
        <f t="shared" si="1"/>
        <v>2021</v>
      </c>
      <c r="L2833" s="1" t="str">
        <f t="shared" si="2"/>
        <v>Jan</v>
      </c>
      <c r="M2833" s="1" t="str">
        <f t="shared" si="3"/>
        <v>Profit</v>
      </c>
    </row>
    <row r="2834" ht="14.25" customHeight="1">
      <c r="A2834" s="1" t="s">
        <v>2868</v>
      </c>
      <c r="B2834" s="2">
        <v>44848.0</v>
      </c>
      <c r="C2834" s="1" t="s">
        <v>26</v>
      </c>
      <c r="D2834" s="1" t="s">
        <v>21</v>
      </c>
      <c r="E2834" s="1" t="s">
        <v>37</v>
      </c>
      <c r="F2834" s="1">
        <v>459.35</v>
      </c>
      <c r="G2834" s="1">
        <v>274.53</v>
      </c>
      <c r="H2834" s="1">
        <v>9.0</v>
      </c>
      <c r="I2834" s="1" t="s">
        <v>17</v>
      </c>
      <c r="J2834" s="1" t="s">
        <v>24</v>
      </c>
      <c r="K2834" s="1">
        <f t="shared" si="1"/>
        <v>2022</v>
      </c>
      <c r="L2834" s="1" t="str">
        <f t="shared" si="2"/>
        <v>Oct</v>
      </c>
      <c r="M2834" s="1" t="str">
        <f t="shared" si="3"/>
        <v>Profit</v>
      </c>
    </row>
    <row r="2835" ht="14.25" customHeight="1">
      <c r="A2835" s="1" t="s">
        <v>2869</v>
      </c>
      <c r="B2835" s="2">
        <v>44519.0</v>
      </c>
      <c r="C2835" s="1" t="s">
        <v>30</v>
      </c>
      <c r="D2835" s="1" t="s">
        <v>27</v>
      </c>
      <c r="E2835" s="1" t="s">
        <v>33</v>
      </c>
      <c r="F2835" s="1">
        <v>802.58</v>
      </c>
      <c r="G2835" s="1">
        <v>-120.63</v>
      </c>
      <c r="H2835" s="1">
        <v>1.0</v>
      </c>
      <c r="I2835" s="1" t="s">
        <v>23</v>
      </c>
      <c r="J2835" s="1" t="s">
        <v>38</v>
      </c>
      <c r="K2835" s="1">
        <f t="shared" si="1"/>
        <v>2021</v>
      </c>
      <c r="L2835" s="1" t="str">
        <f t="shared" si="2"/>
        <v>Nov</v>
      </c>
      <c r="M2835" s="1" t="str">
        <f t="shared" si="3"/>
        <v>Loss</v>
      </c>
    </row>
    <row r="2836" ht="14.25" customHeight="1">
      <c r="A2836" s="1" t="s">
        <v>2870</v>
      </c>
      <c r="B2836" s="2">
        <v>45062.0</v>
      </c>
      <c r="C2836" s="1" t="s">
        <v>26</v>
      </c>
      <c r="D2836" s="1" t="s">
        <v>21</v>
      </c>
      <c r="E2836" s="1" t="s">
        <v>22</v>
      </c>
      <c r="F2836" s="1">
        <v>93.16</v>
      </c>
      <c r="G2836" s="1">
        <v>72.87</v>
      </c>
      <c r="H2836" s="1">
        <v>6.0</v>
      </c>
      <c r="I2836" s="1" t="s">
        <v>23</v>
      </c>
      <c r="J2836" s="1" t="s">
        <v>18</v>
      </c>
      <c r="K2836" s="1">
        <f t="shared" si="1"/>
        <v>2023</v>
      </c>
      <c r="L2836" s="1" t="str">
        <f t="shared" si="2"/>
        <v>May</v>
      </c>
      <c r="M2836" s="1" t="str">
        <f t="shared" si="3"/>
        <v>Profit</v>
      </c>
    </row>
    <row r="2837" ht="14.25" customHeight="1">
      <c r="A2837" s="1" t="s">
        <v>2871</v>
      </c>
      <c r="B2837" s="2">
        <v>45070.0</v>
      </c>
      <c r="C2837" s="1" t="s">
        <v>26</v>
      </c>
      <c r="D2837" s="1" t="s">
        <v>27</v>
      </c>
      <c r="E2837" s="1" t="s">
        <v>40</v>
      </c>
      <c r="F2837" s="1">
        <v>92.75</v>
      </c>
      <c r="G2837" s="1">
        <v>53.66</v>
      </c>
      <c r="H2837" s="1">
        <v>1.0</v>
      </c>
      <c r="I2837" s="1" t="s">
        <v>34</v>
      </c>
      <c r="J2837" s="1" t="s">
        <v>18</v>
      </c>
      <c r="K2837" s="1">
        <f t="shared" si="1"/>
        <v>2023</v>
      </c>
      <c r="L2837" s="1" t="str">
        <f t="shared" si="2"/>
        <v>May</v>
      </c>
      <c r="M2837" s="1" t="str">
        <f t="shared" si="3"/>
        <v>Profit</v>
      </c>
    </row>
    <row r="2838" ht="14.25" customHeight="1">
      <c r="A2838" s="1" t="s">
        <v>2872</v>
      </c>
      <c r="B2838" s="2">
        <v>44359.0</v>
      </c>
      <c r="C2838" s="1" t="s">
        <v>26</v>
      </c>
      <c r="D2838" s="1" t="s">
        <v>15</v>
      </c>
      <c r="E2838" s="1" t="s">
        <v>31</v>
      </c>
      <c r="F2838" s="1">
        <v>645.04</v>
      </c>
      <c r="G2838" s="1">
        <v>175.07</v>
      </c>
      <c r="H2838" s="1">
        <v>5.0</v>
      </c>
      <c r="I2838" s="1" t="s">
        <v>34</v>
      </c>
      <c r="J2838" s="1" t="s">
        <v>24</v>
      </c>
      <c r="K2838" s="1">
        <f t="shared" si="1"/>
        <v>2021</v>
      </c>
      <c r="L2838" s="1" t="str">
        <f t="shared" si="2"/>
        <v>Jun</v>
      </c>
      <c r="M2838" s="1" t="str">
        <f t="shared" si="3"/>
        <v>Profit</v>
      </c>
    </row>
    <row r="2839" ht="14.25" customHeight="1">
      <c r="A2839" s="1" t="s">
        <v>2873</v>
      </c>
      <c r="B2839" s="2">
        <v>44636.0</v>
      </c>
      <c r="C2839" s="1" t="s">
        <v>26</v>
      </c>
      <c r="D2839" s="1" t="s">
        <v>27</v>
      </c>
      <c r="E2839" s="1" t="s">
        <v>33</v>
      </c>
      <c r="F2839" s="1">
        <v>214.4</v>
      </c>
      <c r="G2839" s="1">
        <v>289.26</v>
      </c>
      <c r="H2839" s="1">
        <v>6.0</v>
      </c>
      <c r="I2839" s="1" t="s">
        <v>34</v>
      </c>
      <c r="J2839" s="1" t="s">
        <v>38</v>
      </c>
      <c r="K2839" s="1">
        <f t="shared" si="1"/>
        <v>2022</v>
      </c>
      <c r="L2839" s="1" t="str">
        <f t="shared" si="2"/>
        <v>Mar</v>
      </c>
      <c r="M2839" s="1" t="str">
        <f t="shared" si="3"/>
        <v>Profit</v>
      </c>
    </row>
    <row r="2840" ht="14.25" customHeight="1">
      <c r="A2840" s="1" t="s">
        <v>2874</v>
      </c>
      <c r="B2840" s="2">
        <v>44477.0</v>
      </c>
      <c r="C2840" s="1" t="s">
        <v>14</v>
      </c>
      <c r="D2840" s="1" t="s">
        <v>27</v>
      </c>
      <c r="E2840" s="1" t="s">
        <v>40</v>
      </c>
      <c r="F2840" s="1">
        <v>40.49</v>
      </c>
      <c r="G2840" s="1">
        <v>113.81</v>
      </c>
      <c r="H2840" s="1">
        <v>3.0</v>
      </c>
      <c r="I2840" s="1" t="s">
        <v>34</v>
      </c>
      <c r="J2840" s="1" t="s">
        <v>38</v>
      </c>
      <c r="K2840" s="1">
        <f t="shared" si="1"/>
        <v>2021</v>
      </c>
      <c r="L2840" s="1" t="str">
        <f t="shared" si="2"/>
        <v>Oct</v>
      </c>
      <c r="M2840" s="1" t="str">
        <f t="shared" si="3"/>
        <v>Profit</v>
      </c>
    </row>
    <row r="2841" ht="14.25" customHeight="1">
      <c r="A2841" s="1" t="s">
        <v>2875</v>
      </c>
      <c r="B2841" s="2">
        <v>44779.0</v>
      </c>
      <c r="C2841" s="1" t="s">
        <v>26</v>
      </c>
      <c r="D2841" s="1" t="s">
        <v>21</v>
      </c>
      <c r="E2841" s="1" t="s">
        <v>22</v>
      </c>
      <c r="F2841" s="1">
        <v>882.24</v>
      </c>
      <c r="G2841" s="1">
        <v>260.33</v>
      </c>
      <c r="H2841" s="1">
        <v>3.0</v>
      </c>
      <c r="I2841" s="1" t="s">
        <v>23</v>
      </c>
      <c r="J2841" s="1" t="s">
        <v>24</v>
      </c>
      <c r="K2841" s="1">
        <f t="shared" si="1"/>
        <v>2022</v>
      </c>
      <c r="L2841" s="1" t="str">
        <f t="shared" si="2"/>
        <v>Aug</v>
      </c>
      <c r="M2841" s="1" t="str">
        <f t="shared" si="3"/>
        <v>Profit</v>
      </c>
    </row>
    <row r="2842" ht="14.25" customHeight="1">
      <c r="A2842" s="1" t="s">
        <v>2876</v>
      </c>
      <c r="B2842" s="2">
        <v>45261.0</v>
      </c>
      <c r="C2842" s="1" t="s">
        <v>26</v>
      </c>
      <c r="D2842" s="1" t="s">
        <v>15</v>
      </c>
      <c r="E2842" s="1" t="s">
        <v>54</v>
      </c>
      <c r="F2842" s="1">
        <v>892.64</v>
      </c>
      <c r="G2842" s="1">
        <v>-0.42</v>
      </c>
      <c r="H2842" s="1">
        <v>8.0</v>
      </c>
      <c r="I2842" s="1" t="s">
        <v>17</v>
      </c>
      <c r="J2842" s="1" t="s">
        <v>38</v>
      </c>
      <c r="K2842" s="1">
        <f t="shared" si="1"/>
        <v>2023</v>
      </c>
      <c r="L2842" s="1" t="str">
        <f t="shared" si="2"/>
        <v>Dec</v>
      </c>
      <c r="M2842" s="1" t="str">
        <f t="shared" si="3"/>
        <v>Loss</v>
      </c>
    </row>
    <row r="2843" ht="14.25" customHeight="1">
      <c r="A2843" s="1" t="s">
        <v>2877</v>
      </c>
      <c r="B2843" s="2">
        <v>45211.0</v>
      </c>
      <c r="C2843" s="1" t="s">
        <v>20</v>
      </c>
      <c r="D2843" s="1" t="s">
        <v>27</v>
      </c>
      <c r="E2843" s="1" t="s">
        <v>40</v>
      </c>
      <c r="F2843" s="1">
        <v>124.84</v>
      </c>
      <c r="G2843" s="1">
        <v>126.86</v>
      </c>
      <c r="H2843" s="1">
        <v>1.0</v>
      </c>
      <c r="I2843" s="1" t="s">
        <v>17</v>
      </c>
      <c r="J2843" s="1" t="s">
        <v>24</v>
      </c>
      <c r="K2843" s="1">
        <f t="shared" si="1"/>
        <v>2023</v>
      </c>
      <c r="L2843" s="1" t="str">
        <f t="shared" si="2"/>
        <v>Oct</v>
      </c>
      <c r="M2843" s="1" t="str">
        <f t="shared" si="3"/>
        <v>Profit</v>
      </c>
    </row>
    <row r="2844" ht="14.25" customHeight="1">
      <c r="A2844" s="1" t="s">
        <v>2878</v>
      </c>
      <c r="B2844" s="2">
        <v>44497.0</v>
      </c>
      <c r="C2844" s="1" t="s">
        <v>20</v>
      </c>
      <c r="D2844" s="1" t="s">
        <v>15</v>
      </c>
      <c r="E2844" s="1" t="s">
        <v>31</v>
      </c>
      <c r="F2844" s="1">
        <v>320.38</v>
      </c>
      <c r="G2844" s="1">
        <v>-30.27</v>
      </c>
      <c r="H2844" s="1">
        <v>6.0</v>
      </c>
      <c r="I2844" s="1" t="s">
        <v>23</v>
      </c>
      <c r="J2844" s="1" t="s">
        <v>18</v>
      </c>
      <c r="K2844" s="1">
        <f t="shared" si="1"/>
        <v>2021</v>
      </c>
      <c r="L2844" s="1" t="str">
        <f t="shared" si="2"/>
        <v>Oct</v>
      </c>
      <c r="M2844" s="1" t="str">
        <f t="shared" si="3"/>
        <v>Loss</v>
      </c>
    </row>
    <row r="2845" ht="14.25" customHeight="1">
      <c r="A2845" s="1" t="s">
        <v>2879</v>
      </c>
      <c r="B2845" s="2">
        <v>44515.0</v>
      </c>
      <c r="C2845" s="1" t="s">
        <v>30</v>
      </c>
      <c r="D2845" s="1" t="s">
        <v>27</v>
      </c>
      <c r="E2845" s="1" t="s">
        <v>28</v>
      </c>
      <c r="F2845" s="1">
        <v>141.47</v>
      </c>
      <c r="G2845" s="1">
        <v>-152.44</v>
      </c>
      <c r="H2845" s="1">
        <v>4.0</v>
      </c>
      <c r="I2845" s="1" t="s">
        <v>17</v>
      </c>
      <c r="J2845" s="1" t="s">
        <v>24</v>
      </c>
      <c r="K2845" s="1">
        <f t="shared" si="1"/>
        <v>2021</v>
      </c>
      <c r="L2845" s="1" t="str">
        <f t="shared" si="2"/>
        <v>Nov</v>
      </c>
      <c r="M2845" s="1" t="str">
        <f t="shared" si="3"/>
        <v>Loss</v>
      </c>
    </row>
    <row r="2846" ht="14.25" customHeight="1">
      <c r="A2846" s="1" t="s">
        <v>2880</v>
      </c>
      <c r="B2846" s="2">
        <v>45127.0</v>
      </c>
      <c r="C2846" s="1" t="s">
        <v>30</v>
      </c>
      <c r="D2846" s="1" t="s">
        <v>27</v>
      </c>
      <c r="E2846" s="1" t="s">
        <v>28</v>
      </c>
      <c r="F2846" s="1">
        <v>114.89</v>
      </c>
      <c r="G2846" s="1">
        <v>-60.24</v>
      </c>
      <c r="H2846" s="1">
        <v>10.0</v>
      </c>
      <c r="I2846" s="1" t="s">
        <v>23</v>
      </c>
      <c r="J2846" s="1" t="s">
        <v>38</v>
      </c>
      <c r="K2846" s="1">
        <f t="shared" si="1"/>
        <v>2023</v>
      </c>
      <c r="L2846" s="1" t="str">
        <f t="shared" si="2"/>
        <v>Jul</v>
      </c>
      <c r="M2846" s="1" t="str">
        <f t="shared" si="3"/>
        <v>Loss</v>
      </c>
    </row>
    <row r="2847" ht="14.25" customHeight="1">
      <c r="A2847" s="1" t="s">
        <v>2881</v>
      </c>
      <c r="B2847" s="2">
        <v>44866.0</v>
      </c>
      <c r="C2847" s="1" t="s">
        <v>20</v>
      </c>
      <c r="D2847" s="1" t="s">
        <v>15</v>
      </c>
      <c r="E2847" s="1" t="s">
        <v>16</v>
      </c>
      <c r="F2847" s="1">
        <v>441.07</v>
      </c>
      <c r="G2847" s="1">
        <v>187.67</v>
      </c>
      <c r="H2847" s="1">
        <v>5.0</v>
      </c>
      <c r="I2847" s="1" t="s">
        <v>34</v>
      </c>
      <c r="J2847" s="1" t="s">
        <v>35</v>
      </c>
      <c r="K2847" s="1">
        <f t="shared" si="1"/>
        <v>2022</v>
      </c>
      <c r="L2847" s="1" t="str">
        <f t="shared" si="2"/>
        <v>Nov</v>
      </c>
      <c r="M2847" s="1" t="str">
        <f t="shared" si="3"/>
        <v>Profit</v>
      </c>
    </row>
    <row r="2848" ht="14.25" customHeight="1">
      <c r="A2848" s="1" t="s">
        <v>2882</v>
      </c>
      <c r="B2848" s="2">
        <v>44408.0</v>
      </c>
      <c r="C2848" s="1" t="s">
        <v>20</v>
      </c>
      <c r="D2848" s="1" t="s">
        <v>21</v>
      </c>
      <c r="E2848" s="1" t="s">
        <v>37</v>
      </c>
      <c r="F2848" s="1">
        <v>574.78</v>
      </c>
      <c r="G2848" s="1">
        <v>128.23</v>
      </c>
      <c r="H2848" s="1">
        <v>7.0</v>
      </c>
      <c r="I2848" s="1" t="s">
        <v>17</v>
      </c>
      <c r="J2848" s="1" t="s">
        <v>18</v>
      </c>
      <c r="K2848" s="1">
        <f t="shared" si="1"/>
        <v>2021</v>
      </c>
      <c r="L2848" s="1" t="str">
        <f t="shared" si="2"/>
        <v>Jul</v>
      </c>
      <c r="M2848" s="1" t="str">
        <f t="shared" si="3"/>
        <v>Profit</v>
      </c>
    </row>
    <row r="2849" ht="14.25" customHeight="1">
      <c r="A2849" s="1" t="s">
        <v>2883</v>
      </c>
      <c r="B2849" s="2">
        <v>44566.0</v>
      </c>
      <c r="C2849" s="1" t="s">
        <v>20</v>
      </c>
      <c r="D2849" s="1" t="s">
        <v>15</v>
      </c>
      <c r="E2849" s="1" t="s">
        <v>31</v>
      </c>
      <c r="F2849" s="1">
        <v>42.59</v>
      </c>
      <c r="G2849" s="1">
        <v>219.12</v>
      </c>
      <c r="H2849" s="1">
        <v>10.0</v>
      </c>
      <c r="I2849" s="1" t="s">
        <v>34</v>
      </c>
      <c r="J2849" s="1" t="s">
        <v>18</v>
      </c>
      <c r="K2849" s="1">
        <f t="shared" si="1"/>
        <v>2022</v>
      </c>
      <c r="L2849" s="1" t="str">
        <f t="shared" si="2"/>
        <v>Jan</v>
      </c>
      <c r="M2849" s="1" t="str">
        <f t="shared" si="3"/>
        <v>Profit</v>
      </c>
    </row>
    <row r="2850" ht="14.25" customHeight="1">
      <c r="A2850" s="1" t="s">
        <v>2884</v>
      </c>
      <c r="B2850" s="2">
        <v>44684.0</v>
      </c>
      <c r="C2850" s="1" t="s">
        <v>14</v>
      </c>
      <c r="D2850" s="1" t="s">
        <v>27</v>
      </c>
      <c r="E2850" s="1" t="s">
        <v>28</v>
      </c>
      <c r="F2850" s="1">
        <v>909.07</v>
      </c>
      <c r="G2850" s="1">
        <v>-75.78</v>
      </c>
      <c r="H2850" s="1">
        <v>2.0</v>
      </c>
      <c r="I2850" s="1" t="s">
        <v>17</v>
      </c>
      <c r="J2850" s="1" t="s">
        <v>24</v>
      </c>
      <c r="K2850" s="1">
        <f t="shared" si="1"/>
        <v>2022</v>
      </c>
      <c r="L2850" s="1" t="str">
        <f t="shared" si="2"/>
        <v>May</v>
      </c>
      <c r="M2850" s="1" t="str">
        <f t="shared" si="3"/>
        <v>Loss</v>
      </c>
    </row>
    <row r="2851" ht="14.25" customHeight="1">
      <c r="A2851" s="1" t="s">
        <v>2885</v>
      </c>
      <c r="B2851" s="2">
        <v>44357.0</v>
      </c>
      <c r="C2851" s="1" t="s">
        <v>14</v>
      </c>
      <c r="D2851" s="1" t="s">
        <v>15</v>
      </c>
      <c r="E2851" s="1" t="s">
        <v>31</v>
      </c>
      <c r="F2851" s="1">
        <v>785.32</v>
      </c>
      <c r="G2851" s="1">
        <v>-89.74</v>
      </c>
      <c r="H2851" s="1">
        <v>1.0</v>
      </c>
      <c r="I2851" s="1" t="s">
        <v>23</v>
      </c>
      <c r="J2851" s="1" t="s">
        <v>24</v>
      </c>
      <c r="K2851" s="1">
        <f t="shared" si="1"/>
        <v>2021</v>
      </c>
      <c r="L2851" s="1" t="str">
        <f t="shared" si="2"/>
        <v>Jun</v>
      </c>
      <c r="M2851" s="1" t="str">
        <f t="shared" si="3"/>
        <v>Loss</v>
      </c>
    </row>
    <row r="2852" ht="14.25" customHeight="1">
      <c r="A2852" s="1" t="s">
        <v>2886</v>
      </c>
      <c r="B2852" s="2">
        <v>45035.0</v>
      </c>
      <c r="C2852" s="1" t="s">
        <v>30</v>
      </c>
      <c r="D2852" s="1" t="s">
        <v>15</v>
      </c>
      <c r="E2852" s="1" t="s">
        <v>54</v>
      </c>
      <c r="F2852" s="1">
        <v>899.51</v>
      </c>
      <c r="G2852" s="1">
        <v>129.25</v>
      </c>
      <c r="H2852" s="1">
        <v>4.0</v>
      </c>
      <c r="I2852" s="1" t="s">
        <v>23</v>
      </c>
      <c r="J2852" s="1" t="s">
        <v>35</v>
      </c>
      <c r="K2852" s="1">
        <f t="shared" si="1"/>
        <v>2023</v>
      </c>
      <c r="L2852" s="1" t="str">
        <f t="shared" si="2"/>
        <v>Apr</v>
      </c>
      <c r="M2852" s="1" t="str">
        <f t="shared" si="3"/>
        <v>Profit</v>
      </c>
    </row>
    <row r="2853" ht="14.25" customHeight="1">
      <c r="A2853" s="1" t="s">
        <v>2887</v>
      </c>
      <c r="B2853" s="2">
        <v>44921.0</v>
      </c>
      <c r="C2853" s="1" t="s">
        <v>14</v>
      </c>
      <c r="D2853" s="1" t="s">
        <v>15</v>
      </c>
      <c r="E2853" s="1" t="s">
        <v>31</v>
      </c>
      <c r="F2853" s="1">
        <v>317.71</v>
      </c>
      <c r="G2853" s="1">
        <v>117.06</v>
      </c>
      <c r="H2853" s="1">
        <v>10.0</v>
      </c>
      <c r="I2853" s="1" t="s">
        <v>17</v>
      </c>
      <c r="J2853" s="1" t="s">
        <v>24</v>
      </c>
      <c r="K2853" s="1">
        <f t="shared" si="1"/>
        <v>2022</v>
      </c>
      <c r="L2853" s="1" t="str">
        <f t="shared" si="2"/>
        <v>Dec</v>
      </c>
      <c r="M2853" s="1" t="str">
        <f t="shared" si="3"/>
        <v>Profit</v>
      </c>
    </row>
    <row r="2854" ht="14.25" customHeight="1">
      <c r="A2854" s="1" t="s">
        <v>2888</v>
      </c>
      <c r="B2854" s="2">
        <v>44825.0</v>
      </c>
      <c r="C2854" s="1" t="s">
        <v>30</v>
      </c>
      <c r="D2854" s="1" t="s">
        <v>15</v>
      </c>
      <c r="E2854" s="1" t="s">
        <v>16</v>
      </c>
      <c r="F2854" s="1">
        <v>590.0</v>
      </c>
      <c r="G2854" s="1">
        <v>-66.18</v>
      </c>
      <c r="H2854" s="1">
        <v>10.0</v>
      </c>
      <c r="I2854" s="1" t="s">
        <v>17</v>
      </c>
      <c r="J2854" s="1" t="s">
        <v>38</v>
      </c>
      <c r="K2854" s="1">
        <f t="shared" si="1"/>
        <v>2022</v>
      </c>
      <c r="L2854" s="1" t="str">
        <f t="shared" si="2"/>
        <v>Sep</v>
      </c>
      <c r="M2854" s="1" t="str">
        <f t="shared" si="3"/>
        <v>Loss</v>
      </c>
    </row>
    <row r="2855" ht="14.25" customHeight="1">
      <c r="A2855" s="1" t="s">
        <v>2889</v>
      </c>
      <c r="B2855" s="2">
        <v>45292.0</v>
      </c>
      <c r="C2855" s="1" t="s">
        <v>20</v>
      </c>
      <c r="D2855" s="1" t="s">
        <v>15</v>
      </c>
      <c r="E2855" s="1" t="s">
        <v>31</v>
      </c>
      <c r="F2855" s="1">
        <v>751.03</v>
      </c>
      <c r="G2855" s="1">
        <v>54.1</v>
      </c>
      <c r="H2855" s="1">
        <v>8.0</v>
      </c>
      <c r="I2855" s="1" t="s">
        <v>17</v>
      </c>
      <c r="J2855" s="1" t="s">
        <v>24</v>
      </c>
      <c r="K2855" s="1">
        <f t="shared" si="1"/>
        <v>2024</v>
      </c>
      <c r="L2855" s="1" t="str">
        <f t="shared" si="2"/>
        <v>Jan</v>
      </c>
      <c r="M2855" s="1" t="str">
        <f t="shared" si="3"/>
        <v>Profit</v>
      </c>
    </row>
    <row r="2856" ht="14.25" customHeight="1">
      <c r="A2856" s="1" t="s">
        <v>2890</v>
      </c>
      <c r="B2856" s="2">
        <v>44340.0</v>
      </c>
      <c r="C2856" s="1" t="s">
        <v>20</v>
      </c>
      <c r="D2856" s="1" t="s">
        <v>27</v>
      </c>
      <c r="E2856" s="1" t="s">
        <v>28</v>
      </c>
      <c r="F2856" s="1">
        <v>28.33</v>
      </c>
      <c r="G2856" s="1">
        <v>248.39</v>
      </c>
      <c r="H2856" s="1">
        <v>2.0</v>
      </c>
      <c r="I2856" s="1" t="s">
        <v>23</v>
      </c>
      <c r="J2856" s="1" t="s">
        <v>24</v>
      </c>
      <c r="K2856" s="1">
        <f t="shared" si="1"/>
        <v>2021</v>
      </c>
      <c r="L2856" s="1" t="str">
        <f t="shared" si="2"/>
        <v>May</v>
      </c>
      <c r="M2856" s="1" t="str">
        <f t="shared" si="3"/>
        <v>Profit</v>
      </c>
    </row>
    <row r="2857" ht="14.25" customHeight="1">
      <c r="A2857" s="1" t="s">
        <v>2891</v>
      </c>
      <c r="B2857" s="2">
        <v>44339.0</v>
      </c>
      <c r="C2857" s="1" t="s">
        <v>20</v>
      </c>
      <c r="D2857" s="1" t="s">
        <v>15</v>
      </c>
      <c r="E2857" s="1" t="s">
        <v>54</v>
      </c>
      <c r="F2857" s="1">
        <v>459.59</v>
      </c>
      <c r="G2857" s="1">
        <v>-68.28</v>
      </c>
      <c r="H2857" s="1">
        <v>6.0</v>
      </c>
      <c r="I2857" s="1" t="s">
        <v>34</v>
      </c>
      <c r="J2857" s="1" t="s">
        <v>35</v>
      </c>
      <c r="K2857" s="1">
        <f t="shared" si="1"/>
        <v>2021</v>
      </c>
      <c r="L2857" s="1" t="str">
        <f t="shared" si="2"/>
        <v>May</v>
      </c>
      <c r="M2857" s="1" t="str">
        <f t="shared" si="3"/>
        <v>Loss</v>
      </c>
    </row>
    <row r="2858" ht="14.25" customHeight="1">
      <c r="A2858" s="1" t="s">
        <v>2892</v>
      </c>
      <c r="B2858" s="2">
        <v>45252.0</v>
      </c>
      <c r="C2858" s="1" t="s">
        <v>14</v>
      </c>
      <c r="D2858" s="1" t="s">
        <v>21</v>
      </c>
      <c r="E2858" s="1" t="s">
        <v>22</v>
      </c>
      <c r="F2858" s="1">
        <v>303.01</v>
      </c>
      <c r="G2858" s="1">
        <v>293.48</v>
      </c>
      <c r="H2858" s="1">
        <v>4.0</v>
      </c>
      <c r="I2858" s="1" t="s">
        <v>23</v>
      </c>
      <c r="J2858" s="1" t="s">
        <v>38</v>
      </c>
      <c r="K2858" s="1">
        <f t="shared" si="1"/>
        <v>2023</v>
      </c>
      <c r="L2858" s="1" t="str">
        <f t="shared" si="2"/>
        <v>Nov</v>
      </c>
      <c r="M2858" s="1" t="str">
        <f t="shared" si="3"/>
        <v>Profit</v>
      </c>
    </row>
    <row r="2859" ht="14.25" customHeight="1">
      <c r="A2859" s="1" t="s">
        <v>2893</v>
      </c>
      <c r="B2859" s="2">
        <v>44449.0</v>
      </c>
      <c r="C2859" s="1" t="s">
        <v>20</v>
      </c>
      <c r="D2859" s="1" t="s">
        <v>21</v>
      </c>
      <c r="E2859" s="1" t="s">
        <v>76</v>
      </c>
      <c r="F2859" s="1">
        <v>419.59</v>
      </c>
      <c r="G2859" s="1">
        <v>-122.76</v>
      </c>
      <c r="H2859" s="1">
        <v>10.0</v>
      </c>
      <c r="I2859" s="1" t="s">
        <v>23</v>
      </c>
      <c r="J2859" s="1" t="s">
        <v>35</v>
      </c>
      <c r="K2859" s="1">
        <f t="shared" si="1"/>
        <v>2021</v>
      </c>
      <c r="L2859" s="1" t="str">
        <f t="shared" si="2"/>
        <v>Sep</v>
      </c>
      <c r="M2859" s="1" t="str">
        <f t="shared" si="3"/>
        <v>Loss</v>
      </c>
    </row>
    <row r="2860" ht="14.25" customHeight="1">
      <c r="A2860" s="1" t="s">
        <v>2894</v>
      </c>
      <c r="B2860" s="2">
        <v>44416.0</v>
      </c>
      <c r="C2860" s="1" t="s">
        <v>14</v>
      </c>
      <c r="D2860" s="1" t="s">
        <v>15</v>
      </c>
      <c r="E2860" s="1" t="s">
        <v>16</v>
      </c>
      <c r="F2860" s="1">
        <v>645.01</v>
      </c>
      <c r="G2860" s="1">
        <v>57.0</v>
      </c>
      <c r="H2860" s="1">
        <v>10.0</v>
      </c>
      <c r="I2860" s="1" t="s">
        <v>17</v>
      </c>
      <c r="J2860" s="1" t="s">
        <v>18</v>
      </c>
      <c r="K2860" s="1">
        <f t="shared" si="1"/>
        <v>2021</v>
      </c>
      <c r="L2860" s="1" t="str">
        <f t="shared" si="2"/>
        <v>Aug</v>
      </c>
      <c r="M2860" s="1" t="str">
        <f t="shared" si="3"/>
        <v>Profit</v>
      </c>
    </row>
    <row r="2861" ht="14.25" customHeight="1">
      <c r="A2861" s="1" t="s">
        <v>2895</v>
      </c>
      <c r="B2861" s="2">
        <v>44373.0</v>
      </c>
      <c r="C2861" s="1" t="s">
        <v>30</v>
      </c>
      <c r="D2861" s="1" t="s">
        <v>15</v>
      </c>
      <c r="E2861" s="1" t="s">
        <v>54</v>
      </c>
      <c r="F2861" s="1">
        <v>87.27</v>
      </c>
      <c r="G2861" s="1">
        <v>227.04</v>
      </c>
      <c r="H2861" s="1">
        <v>4.0</v>
      </c>
      <c r="I2861" s="1" t="s">
        <v>34</v>
      </c>
      <c r="J2861" s="1" t="s">
        <v>24</v>
      </c>
      <c r="K2861" s="1">
        <f t="shared" si="1"/>
        <v>2021</v>
      </c>
      <c r="L2861" s="1" t="str">
        <f t="shared" si="2"/>
        <v>Jun</v>
      </c>
      <c r="M2861" s="1" t="str">
        <f t="shared" si="3"/>
        <v>Profit</v>
      </c>
    </row>
    <row r="2862" ht="14.25" customHeight="1">
      <c r="A2862" s="1" t="s">
        <v>2896</v>
      </c>
      <c r="B2862" s="2">
        <v>44302.0</v>
      </c>
      <c r="C2862" s="1" t="s">
        <v>20</v>
      </c>
      <c r="D2862" s="1" t="s">
        <v>15</v>
      </c>
      <c r="E2862" s="1" t="s">
        <v>54</v>
      </c>
      <c r="F2862" s="1">
        <v>835.85</v>
      </c>
      <c r="G2862" s="1">
        <v>260.51</v>
      </c>
      <c r="H2862" s="1">
        <v>10.0</v>
      </c>
      <c r="I2862" s="1" t="s">
        <v>17</v>
      </c>
      <c r="J2862" s="1" t="s">
        <v>24</v>
      </c>
      <c r="K2862" s="1">
        <f t="shared" si="1"/>
        <v>2021</v>
      </c>
      <c r="L2862" s="1" t="str">
        <f t="shared" si="2"/>
        <v>Apr</v>
      </c>
      <c r="M2862" s="1" t="str">
        <f t="shared" si="3"/>
        <v>Profit</v>
      </c>
    </row>
    <row r="2863" ht="14.25" customHeight="1">
      <c r="A2863" s="1" t="s">
        <v>2897</v>
      </c>
      <c r="B2863" s="2">
        <v>44200.0</v>
      </c>
      <c r="C2863" s="1" t="s">
        <v>30</v>
      </c>
      <c r="D2863" s="1" t="s">
        <v>21</v>
      </c>
      <c r="E2863" s="1" t="s">
        <v>37</v>
      </c>
      <c r="F2863" s="1">
        <v>225.72</v>
      </c>
      <c r="G2863" s="1">
        <v>-13.73</v>
      </c>
      <c r="H2863" s="1">
        <v>2.0</v>
      </c>
      <c r="I2863" s="1" t="s">
        <v>34</v>
      </c>
      <c r="J2863" s="1" t="s">
        <v>18</v>
      </c>
      <c r="K2863" s="1">
        <f t="shared" si="1"/>
        <v>2021</v>
      </c>
      <c r="L2863" s="1" t="str">
        <f t="shared" si="2"/>
        <v>Jan</v>
      </c>
      <c r="M2863" s="1" t="str">
        <f t="shared" si="3"/>
        <v>Loss</v>
      </c>
    </row>
    <row r="2864" ht="14.25" customHeight="1">
      <c r="A2864" s="1" t="s">
        <v>2898</v>
      </c>
      <c r="B2864" s="2">
        <v>44946.0</v>
      </c>
      <c r="C2864" s="1" t="s">
        <v>20</v>
      </c>
      <c r="D2864" s="1" t="s">
        <v>27</v>
      </c>
      <c r="E2864" s="1" t="s">
        <v>33</v>
      </c>
      <c r="F2864" s="1">
        <v>990.8</v>
      </c>
      <c r="G2864" s="1">
        <v>241.42</v>
      </c>
      <c r="H2864" s="1">
        <v>1.0</v>
      </c>
      <c r="I2864" s="1" t="s">
        <v>34</v>
      </c>
      <c r="J2864" s="1" t="s">
        <v>38</v>
      </c>
      <c r="K2864" s="1">
        <f t="shared" si="1"/>
        <v>2023</v>
      </c>
      <c r="L2864" s="1" t="str">
        <f t="shared" si="2"/>
        <v>Jan</v>
      </c>
      <c r="M2864" s="1" t="str">
        <f t="shared" si="3"/>
        <v>Profit</v>
      </c>
    </row>
    <row r="2865" ht="14.25" customHeight="1">
      <c r="A2865" s="1" t="s">
        <v>2899</v>
      </c>
      <c r="B2865" s="2">
        <v>44590.0</v>
      </c>
      <c r="C2865" s="1" t="s">
        <v>14</v>
      </c>
      <c r="D2865" s="1" t="s">
        <v>21</v>
      </c>
      <c r="E2865" s="1" t="s">
        <v>76</v>
      </c>
      <c r="F2865" s="1">
        <v>971.42</v>
      </c>
      <c r="G2865" s="1">
        <v>148.16</v>
      </c>
      <c r="H2865" s="1">
        <v>3.0</v>
      </c>
      <c r="I2865" s="1" t="s">
        <v>17</v>
      </c>
      <c r="J2865" s="1" t="s">
        <v>38</v>
      </c>
      <c r="K2865" s="1">
        <f t="shared" si="1"/>
        <v>2022</v>
      </c>
      <c r="L2865" s="1" t="str">
        <f t="shared" si="2"/>
        <v>Jan</v>
      </c>
      <c r="M2865" s="1" t="str">
        <f t="shared" si="3"/>
        <v>Profit</v>
      </c>
    </row>
    <row r="2866" ht="14.25" customHeight="1">
      <c r="A2866" s="1" t="s">
        <v>2900</v>
      </c>
      <c r="B2866" s="2">
        <v>44641.0</v>
      </c>
      <c r="C2866" s="1" t="s">
        <v>30</v>
      </c>
      <c r="D2866" s="1" t="s">
        <v>21</v>
      </c>
      <c r="E2866" s="1" t="s">
        <v>37</v>
      </c>
      <c r="F2866" s="1">
        <v>457.31</v>
      </c>
      <c r="G2866" s="1">
        <v>-191.81</v>
      </c>
      <c r="H2866" s="1">
        <v>3.0</v>
      </c>
      <c r="I2866" s="1" t="s">
        <v>17</v>
      </c>
      <c r="J2866" s="1" t="s">
        <v>18</v>
      </c>
      <c r="K2866" s="1">
        <f t="shared" si="1"/>
        <v>2022</v>
      </c>
      <c r="L2866" s="1" t="str">
        <f t="shared" si="2"/>
        <v>Mar</v>
      </c>
      <c r="M2866" s="1" t="str">
        <f t="shared" si="3"/>
        <v>Loss</v>
      </c>
    </row>
    <row r="2867" ht="14.25" customHeight="1">
      <c r="A2867" s="1" t="s">
        <v>2901</v>
      </c>
      <c r="B2867" s="2">
        <v>45199.0</v>
      </c>
      <c r="C2867" s="1" t="s">
        <v>20</v>
      </c>
      <c r="D2867" s="1" t="s">
        <v>21</v>
      </c>
      <c r="E2867" s="1" t="s">
        <v>76</v>
      </c>
      <c r="F2867" s="1">
        <v>276.11</v>
      </c>
      <c r="G2867" s="1">
        <v>208.55</v>
      </c>
      <c r="H2867" s="1">
        <v>6.0</v>
      </c>
      <c r="I2867" s="1" t="s">
        <v>23</v>
      </c>
      <c r="J2867" s="1" t="s">
        <v>18</v>
      </c>
      <c r="K2867" s="1">
        <f t="shared" si="1"/>
        <v>2023</v>
      </c>
      <c r="L2867" s="1" t="str">
        <f t="shared" si="2"/>
        <v>Sep</v>
      </c>
      <c r="M2867" s="1" t="str">
        <f t="shared" si="3"/>
        <v>Profit</v>
      </c>
    </row>
    <row r="2868" ht="14.25" customHeight="1">
      <c r="A2868" s="1" t="s">
        <v>2902</v>
      </c>
      <c r="B2868" s="2">
        <v>44716.0</v>
      </c>
      <c r="C2868" s="1" t="s">
        <v>20</v>
      </c>
      <c r="D2868" s="1" t="s">
        <v>27</v>
      </c>
      <c r="E2868" s="1" t="s">
        <v>28</v>
      </c>
      <c r="F2868" s="1">
        <v>508.66</v>
      </c>
      <c r="G2868" s="1">
        <v>245.77</v>
      </c>
      <c r="H2868" s="1">
        <v>6.0</v>
      </c>
      <c r="I2868" s="1" t="s">
        <v>23</v>
      </c>
      <c r="J2868" s="1" t="s">
        <v>38</v>
      </c>
      <c r="K2868" s="1">
        <f t="shared" si="1"/>
        <v>2022</v>
      </c>
      <c r="L2868" s="1" t="str">
        <f t="shared" si="2"/>
        <v>Jun</v>
      </c>
      <c r="M2868" s="1" t="str">
        <f t="shared" si="3"/>
        <v>Profit</v>
      </c>
    </row>
    <row r="2869" ht="14.25" customHeight="1">
      <c r="A2869" s="1" t="s">
        <v>2903</v>
      </c>
      <c r="B2869" s="2">
        <v>44327.0</v>
      </c>
      <c r="C2869" s="1" t="s">
        <v>26</v>
      </c>
      <c r="D2869" s="1" t="s">
        <v>27</v>
      </c>
      <c r="E2869" s="1" t="s">
        <v>33</v>
      </c>
      <c r="F2869" s="1">
        <v>943.18</v>
      </c>
      <c r="G2869" s="1">
        <v>130.22</v>
      </c>
      <c r="H2869" s="1">
        <v>3.0</v>
      </c>
      <c r="I2869" s="1" t="s">
        <v>17</v>
      </c>
      <c r="J2869" s="1" t="s">
        <v>24</v>
      </c>
      <c r="K2869" s="1">
        <f t="shared" si="1"/>
        <v>2021</v>
      </c>
      <c r="L2869" s="1" t="str">
        <f t="shared" si="2"/>
        <v>May</v>
      </c>
      <c r="M2869" s="1" t="str">
        <f t="shared" si="3"/>
        <v>Profit</v>
      </c>
    </row>
    <row r="2870" ht="14.25" customHeight="1">
      <c r="A2870" s="1" t="s">
        <v>2904</v>
      </c>
      <c r="B2870" s="2">
        <v>45063.0</v>
      </c>
      <c r="C2870" s="1" t="s">
        <v>14</v>
      </c>
      <c r="D2870" s="1" t="s">
        <v>27</v>
      </c>
      <c r="E2870" s="1" t="s">
        <v>40</v>
      </c>
      <c r="F2870" s="1">
        <v>273.2</v>
      </c>
      <c r="G2870" s="1">
        <v>22.23</v>
      </c>
      <c r="H2870" s="1">
        <v>2.0</v>
      </c>
      <c r="I2870" s="1" t="s">
        <v>34</v>
      </c>
      <c r="J2870" s="1" t="s">
        <v>35</v>
      </c>
      <c r="K2870" s="1">
        <f t="shared" si="1"/>
        <v>2023</v>
      </c>
      <c r="L2870" s="1" t="str">
        <f t="shared" si="2"/>
        <v>May</v>
      </c>
      <c r="M2870" s="1" t="str">
        <f t="shared" si="3"/>
        <v>Profit</v>
      </c>
    </row>
    <row r="2871" ht="14.25" customHeight="1">
      <c r="A2871" s="1" t="s">
        <v>2905</v>
      </c>
      <c r="B2871" s="2">
        <v>44368.0</v>
      </c>
      <c r="C2871" s="1" t="s">
        <v>20</v>
      </c>
      <c r="D2871" s="1" t="s">
        <v>27</v>
      </c>
      <c r="E2871" s="1" t="s">
        <v>33</v>
      </c>
      <c r="F2871" s="1">
        <v>581.89</v>
      </c>
      <c r="G2871" s="1">
        <v>252.24</v>
      </c>
      <c r="H2871" s="1">
        <v>10.0</v>
      </c>
      <c r="I2871" s="1" t="s">
        <v>34</v>
      </c>
      <c r="J2871" s="1" t="s">
        <v>35</v>
      </c>
      <c r="K2871" s="1">
        <f t="shared" si="1"/>
        <v>2021</v>
      </c>
      <c r="L2871" s="1" t="str">
        <f t="shared" si="2"/>
        <v>Jun</v>
      </c>
      <c r="M2871" s="1" t="str">
        <f t="shared" si="3"/>
        <v>Profit</v>
      </c>
    </row>
    <row r="2872" ht="14.25" customHeight="1">
      <c r="A2872" s="1" t="s">
        <v>2906</v>
      </c>
      <c r="B2872" s="2">
        <v>44677.0</v>
      </c>
      <c r="C2872" s="1" t="s">
        <v>20</v>
      </c>
      <c r="D2872" s="1" t="s">
        <v>15</v>
      </c>
      <c r="E2872" s="1" t="s">
        <v>16</v>
      </c>
      <c r="F2872" s="1">
        <v>763.24</v>
      </c>
      <c r="G2872" s="1">
        <v>47.26</v>
      </c>
      <c r="H2872" s="1">
        <v>2.0</v>
      </c>
      <c r="I2872" s="1" t="s">
        <v>17</v>
      </c>
      <c r="J2872" s="1" t="s">
        <v>38</v>
      </c>
      <c r="K2872" s="1">
        <f t="shared" si="1"/>
        <v>2022</v>
      </c>
      <c r="L2872" s="1" t="str">
        <f t="shared" si="2"/>
        <v>Apr</v>
      </c>
      <c r="M2872" s="1" t="str">
        <f t="shared" si="3"/>
        <v>Profit</v>
      </c>
    </row>
    <row r="2873" ht="14.25" customHeight="1">
      <c r="A2873" s="1" t="s">
        <v>2907</v>
      </c>
      <c r="B2873" s="2">
        <v>44502.0</v>
      </c>
      <c r="C2873" s="1" t="s">
        <v>20</v>
      </c>
      <c r="D2873" s="1" t="s">
        <v>27</v>
      </c>
      <c r="E2873" s="1" t="s">
        <v>40</v>
      </c>
      <c r="F2873" s="1">
        <v>109.55</v>
      </c>
      <c r="G2873" s="1">
        <v>-137.21</v>
      </c>
      <c r="H2873" s="1">
        <v>2.0</v>
      </c>
      <c r="I2873" s="1" t="s">
        <v>23</v>
      </c>
      <c r="J2873" s="1" t="s">
        <v>18</v>
      </c>
      <c r="K2873" s="1">
        <f t="shared" si="1"/>
        <v>2021</v>
      </c>
      <c r="L2873" s="1" t="str">
        <f t="shared" si="2"/>
        <v>Nov</v>
      </c>
      <c r="M2873" s="1" t="str">
        <f t="shared" si="3"/>
        <v>Loss</v>
      </c>
    </row>
    <row r="2874" ht="14.25" customHeight="1">
      <c r="A2874" s="1" t="s">
        <v>2908</v>
      </c>
      <c r="B2874" s="2">
        <v>44805.0</v>
      </c>
      <c r="C2874" s="1" t="s">
        <v>14</v>
      </c>
      <c r="D2874" s="1" t="s">
        <v>27</v>
      </c>
      <c r="E2874" s="1" t="s">
        <v>33</v>
      </c>
      <c r="F2874" s="1">
        <v>70.64</v>
      </c>
      <c r="G2874" s="1">
        <v>155.36</v>
      </c>
      <c r="H2874" s="1">
        <v>6.0</v>
      </c>
      <c r="I2874" s="1" t="s">
        <v>17</v>
      </c>
      <c r="J2874" s="1" t="s">
        <v>18</v>
      </c>
      <c r="K2874" s="1">
        <f t="shared" si="1"/>
        <v>2022</v>
      </c>
      <c r="L2874" s="1" t="str">
        <f t="shared" si="2"/>
        <v>Sep</v>
      </c>
      <c r="M2874" s="1" t="str">
        <f t="shared" si="3"/>
        <v>Profit</v>
      </c>
    </row>
    <row r="2875" ht="14.25" customHeight="1">
      <c r="A2875" s="1" t="s">
        <v>2909</v>
      </c>
      <c r="B2875" s="2">
        <v>44995.0</v>
      </c>
      <c r="C2875" s="1" t="s">
        <v>30</v>
      </c>
      <c r="D2875" s="1" t="s">
        <v>21</v>
      </c>
      <c r="E2875" s="1" t="s">
        <v>76</v>
      </c>
      <c r="F2875" s="1">
        <v>568.76</v>
      </c>
      <c r="G2875" s="1">
        <v>195.1</v>
      </c>
      <c r="H2875" s="1">
        <v>5.0</v>
      </c>
      <c r="I2875" s="1" t="s">
        <v>34</v>
      </c>
      <c r="J2875" s="1" t="s">
        <v>38</v>
      </c>
      <c r="K2875" s="1">
        <f t="shared" si="1"/>
        <v>2023</v>
      </c>
      <c r="L2875" s="1" t="str">
        <f t="shared" si="2"/>
        <v>Mar</v>
      </c>
      <c r="M2875" s="1" t="str">
        <f t="shared" si="3"/>
        <v>Profit</v>
      </c>
    </row>
    <row r="2876" ht="14.25" customHeight="1">
      <c r="A2876" s="1" t="s">
        <v>2910</v>
      </c>
      <c r="B2876" s="2">
        <v>44581.0</v>
      </c>
      <c r="C2876" s="1" t="s">
        <v>26</v>
      </c>
      <c r="D2876" s="1" t="s">
        <v>27</v>
      </c>
      <c r="E2876" s="1" t="s">
        <v>28</v>
      </c>
      <c r="F2876" s="1">
        <v>563.56</v>
      </c>
      <c r="G2876" s="1">
        <v>160.32</v>
      </c>
      <c r="H2876" s="1">
        <v>10.0</v>
      </c>
      <c r="I2876" s="1" t="s">
        <v>23</v>
      </c>
      <c r="J2876" s="1" t="s">
        <v>35</v>
      </c>
      <c r="K2876" s="1">
        <f t="shared" si="1"/>
        <v>2022</v>
      </c>
      <c r="L2876" s="1" t="str">
        <f t="shared" si="2"/>
        <v>Jan</v>
      </c>
      <c r="M2876" s="1" t="str">
        <f t="shared" si="3"/>
        <v>Profit</v>
      </c>
    </row>
    <row r="2877" ht="14.25" customHeight="1">
      <c r="A2877" s="1" t="s">
        <v>2911</v>
      </c>
      <c r="B2877" s="2">
        <v>45264.0</v>
      </c>
      <c r="C2877" s="1" t="s">
        <v>14</v>
      </c>
      <c r="D2877" s="1" t="s">
        <v>27</v>
      </c>
      <c r="E2877" s="1" t="s">
        <v>28</v>
      </c>
      <c r="F2877" s="1">
        <v>754.45</v>
      </c>
      <c r="G2877" s="1">
        <v>184.24</v>
      </c>
      <c r="H2877" s="1">
        <v>9.0</v>
      </c>
      <c r="I2877" s="1" t="s">
        <v>17</v>
      </c>
      <c r="J2877" s="1" t="s">
        <v>24</v>
      </c>
      <c r="K2877" s="1">
        <f t="shared" si="1"/>
        <v>2023</v>
      </c>
      <c r="L2877" s="1" t="str">
        <f t="shared" si="2"/>
        <v>Dec</v>
      </c>
      <c r="M2877" s="1" t="str">
        <f t="shared" si="3"/>
        <v>Profit</v>
      </c>
    </row>
    <row r="2878" ht="14.25" customHeight="1">
      <c r="A2878" s="1" t="s">
        <v>2912</v>
      </c>
      <c r="B2878" s="2">
        <v>45019.0</v>
      </c>
      <c r="C2878" s="1" t="s">
        <v>26</v>
      </c>
      <c r="D2878" s="1" t="s">
        <v>15</v>
      </c>
      <c r="E2878" s="1" t="s">
        <v>54</v>
      </c>
      <c r="F2878" s="1">
        <v>122.45</v>
      </c>
      <c r="G2878" s="1">
        <v>107.07</v>
      </c>
      <c r="H2878" s="1">
        <v>4.0</v>
      </c>
      <c r="I2878" s="1" t="s">
        <v>17</v>
      </c>
      <c r="J2878" s="1" t="s">
        <v>38</v>
      </c>
      <c r="K2878" s="1">
        <f t="shared" si="1"/>
        <v>2023</v>
      </c>
      <c r="L2878" s="1" t="str">
        <f t="shared" si="2"/>
        <v>Apr</v>
      </c>
      <c r="M2878" s="1" t="str">
        <f t="shared" si="3"/>
        <v>Profit</v>
      </c>
    </row>
    <row r="2879" ht="14.25" customHeight="1">
      <c r="A2879" s="1" t="s">
        <v>2913</v>
      </c>
      <c r="B2879" s="2">
        <v>44299.0</v>
      </c>
      <c r="C2879" s="1" t="s">
        <v>20</v>
      </c>
      <c r="D2879" s="1" t="s">
        <v>27</v>
      </c>
      <c r="E2879" s="1" t="s">
        <v>40</v>
      </c>
      <c r="F2879" s="1">
        <v>874.53</v>
      </c>
      <c r="G2879" s="1">
        <v>-120.64</v>
      </c>
      <c r="H2879" s="1">
        <v>3.0</v>
      </c>
      <c r="I2879" s="1" t="s">
        <v>17</v>
      </c>
      <c r="J2879" s="1" t="s">
        <v>24</v>
      </c>
      <c r="K2879" s="1">
        <f t="shared" si="1"/>
        <v>2021</v>
      </c>
      <c r="L2879" s="1" t="str">
        <f t="shared" si="2"/>
        <v>Apr</v>
      </c>
      <c r="M2879" s="1" t="str">
        <f t="shared" si="3"/>
        <v>Loss</v>
      </c>
    </row>
    <row r="2880" ht="14.25" customHeight="1">
      <c r="A2880" s="1" t="s">
        <v>2914</v>
      </c>
      <c r="B2880" s="2">
        <v>44632.0</v>
      </c>
      <c r="C2880" s="1" t="s">
        <v>14</v>
      </c>
      <c r="D2880" s="1" t="s">
        <v>21</v>
      </c>
      <c r="E2880" s="1" t="s">
        <v>76</v>
      </c>
      <c r="F2880" s="1">
        <v>783.86</v>
      </c>
      <c r="G2880" s="1">
        <v>-152.32</v>
      </c>
      <c r="H2880" s="1">
        <v>1.0</v>
      </c>
      <c r="I2880" s="1" t="s">
        <v>17</v>
      </c>
      <c r="J2880" s="1" t="s">
        <v>24</v>
      </c>
      <c r="K2880" s="1">
        <f t="shared" si="1"/>
        <v>2022</v>
      </c>
      <c r="L2880" s="1" t="str">
        <f t="shared" si="2"/>
        <v>Mar</v>
      </c>
      <c r="M2880" s="1" t="str">
        <f t="shared" si="3"/>
        <v>Loss</v>
      </c>
    </row>
    <row r="2881" ht="14.25" customHeight="1">
      <c r="A2881" s="1" t="s">
        <v>2915</v>
      </c>
      <c r="B2881" s="2">
        <v>45281.0</v>
      </c>
      <c r="C2881" s="1" t="s">
        <v>14</v>
      </c>
      <c r="D2881" s="1" t="s">
        <v>21</v>
      </c>
      <c r="E2881" s="1" t="s">
        <v>22</v>
      </c>
      <c r="F2881" s="1">
        <v>598.99</v>
      </c>
      <c r="G2881" s="1">
        <v>159.35</v>
      </c>
      <c r="H2881" s="1">
        <v>6.0</v>
      </c>
      <c r="I2881" s="1" t="s">
        <v>17</v>
      </c>
      <c r="J2881" s="1" t="s">
        <v>18</v>
      </c>
      <c r="K2881" s="1">
        <f t="shared" si="1"/>
        <v>2023</v>
      </c>
      <c r="L2881" s="1" t="str">
        <f t="shared" si="2"/>
        <v>Dec</v>
      </c>
      <c r="M2881" s="1" t="str">
        <f t="shared" si="3"/>
        <v>Profit</v>
      </c>
    </row>
    <row r="2882" ht="14.25" customHeight="1">
      <c r="A2882" s="1" t="s">
        <v>2916</v>
      </c>
      <c r="B2882" s="2">
        <v>44719.0</v>
      </c>
      <c r="C2882" s="1" t="s">
        <v>30</v>
      </c>
      <c r="D2882" s="1" t="s">
        <v>21</v>
      </c>
      <c r="E2882" s="1" t="s">
        <v>37</v>
      </c>
      <c r="F2882" s="1">
        <v>668.94</v>
      </c>
      <c r="G2882" s="1">
        <v>-172.13</v>
      </c>
      <c r="H2882" s="1">
        <v>9.0</v>
      </c>
      <c r="I2882" s="1" t="s">
        <v>23</v>
      </c>
      <c r="J2882" s="1" t="s">
        <v>38</v>
      </c>
      <c r="K2882" s="1">
        <f t="shared" si="1"/>
        <v>2022</v>
      </c>
      <c r="L2882" s="1" t="str">
        <f t="shared" si="2"/>
        <v>Jun</v>
      </c>
      <c r="M2882" s="1" t="str">
        <f t="shared" si="3"/>
        <v>Loss</v>
      </c>
    </row>
    <row r="2883" ht="14.25" customHeight="1">
      <c r="A2883" s="1" t="s">
        <v>2917</v>
      </c>
      <c r="B2883" s="2">
        <v>45273.0</v>
      </c>
      <c r="C2883" s="1" t="s">
        <v>30</v>
      </c>
      <c r="D2883" s="1" t="s">
        <v>21</v>
      </c>
      <c r="E2883" s="1" t="s">
        <v>76</v>
      </c>
      <c r="F2883" s="1">
        <v>830.16</v>
      </c>
      <c r="G2883" s="1">
        <v>-146.05</v>
      </c>
      <c r="H2883" s="1">
        <v>1.0</v>
      </c>
      <c r="I2883" s="1" t="s">
        <v>17</v>
      </c>
      <c r="J2883" s="1" t="s">
        <v>24</v>
      </c>
      <c r="K2883" s="1">
        <f t="shared" si="1"/>
        <v>2023</v>
      </c>
      <c r="L2883" s="1" t="str">
        <f t="shared" si="2"/>
        <v>Dec</v>
      </c>
      <c r="M2883" s="1" t="str">
        <f t="shared" si="3"/>
        <v>Loss</v>
      </c>
    </row>
    <row r="2884" ht="14.25" customHeight="1">
      <c r="A2884" s="1" t="s">
        <v>2918</v>
      </c>
      <c r="B2884" s="2">
        <v>44532.0</v>
      </c>
      <c r="C2884" s="1" t="s">
        <v>30</v>
      </c>
      <c r="D2884" s="1" t="s">
        <v>15</v>
      </c>
      <c r="E2884" s="1" t="s">
        <v>54</v>
      </c>
      <c r="F2884" s="1">
        <v>782.97</v>
      </c>
      <c r="G2884" s="1">
        <v>-172.78</v>
      </c>
      <c r="H2884" s="1">
        <v>5.0</v>
      </c>
      <c r="I2884" s="1" t="s">
        <v>23</v>
      </c>
      <c r="J2884" s="1" t="s">
        <v>18</v>
      </c>
      <c r="K2884" s="1">
        <f t="shared" si="1"/>
        <v>2021</v>
      </c>
      <c r="L2884" s="1" t="str">
        <f t="shared" si="2"/>
        <v>Dec</v>
      </c>
      <c r="M2884" s="1" t="str">
        <f t="shared" si="3"/>
        <v>Loss</v>
      </c>
    </row>
    <row r="2885" ht="14.25" customHeight="1">
      <c r="A2885" s="1" t="s">
        <v>2919</v>
      </c>
      <c r="B2885" s="2">
        <v>44517.0</v>
      </c>
      <c r="C2885" s="1" t="s">
        <v>20</v>
      </c>
      <c r="D2885" s="1" t="s">
        <v>15</v>
      </c>
      <c r="E2885" s="1" t="s">
        <v>16</v>
      </c>
      <c r="F2885" s="1">
        <v>555.6</v>
      </c>
      <c r="G2885" s="1">
        <v>-68.0</v>
      </c>
      <c r="H2885" s="1">
        <v>2.0</v>
      </c>
      <c r="I2885" s="1" t="s">
        <v>17</v>
      </c>
      <c r="J2885" s="1" t="s">
        <v>35</v>
      </c>
      <c r="K2885" s="1">
        <f t="shared" si="1"/>
        <v>2021</v>
      </c>
      <c r="L2885" s="1" t="str">
        <f t="shared" si="2"/>
        <v>Nov</v>
      </c>
      <c r="M2885" s="1" t="str">
        <f t="shared" si="3"/>
        <v>Loss</v>
      </c>
    </row>
    <row r="2886" ht="14.25" customHeight="1">
      <c r="A2886" s="1" t="s">
        <v>2920</v>
      </c>
      <c r="B2886" s="2">
        <v>44260.0</v>
      </c>
      <c r="C2886" s="1" t="s">
        <v>26</v>
      </c>
      <c r="D2886" s="1" t="s">
        <v>21</v>
      </c>
      <c r="E2886" s="1" t="s">
        <v>37</v>
      </c>
      <c r="F2886" s="1">
        <v>984.19</v>
      </c>
      <c r="G2886" s="1">
        <v>233.77</v>
      </c>
      <c r="H2886" s="1">
        <v>5.0</v>
      </c>
      <c r="I2886" s="1" t="s">
        <v>17</v>
      </c>
      <c r="J2886" s="1" t="s">
        <v>35</v>
      </c>
      <c r="K2886" s="1">
        <f t="shared" si="1"/>
        <v>2021</v>
      </c>
      <c r="L2886" s="1" t="str">
        <f t="shared" si="2"/>
        <v>Mar</v>
      </c>
      <c r="M2886" s="1" t="str">
        <f t="shared" si="3"/>
        <v>Profit</v>
      </c>
    </row>
    <row r="2887" ht="14.25" customHeight="1">
      <c r="A2887" s="1" t="s">
        <v>2921</v>
      </c>
      <c r="B2887" s="2">
        <v>45100.0</v>
      </c>
      <c r="C2887" s="1" t="s">
        <v>14</v>
      </c>
      <c r="D2887" s="1" t="s">
        <v>27</v>
      </c>
      <c r="E2887" s="1" t="s">
        <v>28</v>
      </c>
      <c r="F2887" s="1">
        <v>321.95</v>
      </c>
      <c r="G2887" s="1">
        <v>263.5</v>
      </c>
      <c r="H2887" s="1">
        <v>3.0</v>
      </c>
      <c r="I2887" s="1" t="s">
        <v>34</v>
      </c>
      <c r="J2887" s="1" t="s">
        <v>18</v>
      </c>
      <c r="K2887" s="1">
        <f t="shared" si="1"/>
        <v>2023</v>
      </c>
      <c r="L2887" s="1" t="str">
        <f t="shared" si="2"/>
        <v>Jun</v>
      </c>
      <c r="M2887" s="1" t="str">
        <f t="shared" si="3"/>
        <v>Profit</v>
      </c>
    </row>
    <row r="2888" ht="14.25" customHeight="1">
      <c r="A2888" s="1" t="s">
        <v>2922</v>
      </c>
      <c r="B2888" s="2">
        <v>44868.0</v>
      </c>
      <c r="C2888" s="1" t="s">
        <v>26</v>
      </c>
      <c r="D2888" s="1" t="s">
        <v>21</v>
      </c>
      <c r="E2888" s="1" t="s">
        <v>22</v>
      </c>
      <c r="F2888" s="1">
        <v>676.08</v>
      </c>
      <c r="G2888" s="1">
        <v>-137.89</v>
      </c>
      <c r="H2888" s="1">
        <v>8.0</v>
      </c>
      <c r="I2888" s="1" t="s">
        <v>17</v>
      </c>
      <c r="J2888" s="1" t="s">
        <v>18</v>
      </c>
      <c r="K2888" s="1">
        <f t="shared" si="1"/>
        <v>2022</v>
      </c>
      <c r="L2888" s="1" t="str">
        <f t="shared" si="2"/>
        <v>Nov</v>
      </c>
      <c r="M2888" s="1" t="str">
        <f t="shared" si="3"/>
        <v>Loss</v>
      </c>
    </row>
    <row r="2889" ht="14.25" customHeight="1">
      <c r="A2889" s="1" t="s">
        <v>2923</v>
      </c>
      <c r="B2889" s="2">
        <v>45133.0</v>
      </c>
      <c r="C2889" s="1" t="s">
        <v>26</v>
      </c>
      <c r="D2889" s="1" t="s">
        <v>21</v>
      </c>
      <c r="E2889" s="1" t="s">
        <v>37</v>
      </c>
      <c r="F2889" s="1">
        <v>97.01</v>
      </c>
      <c r="G2889" s="1">
        <v>-81.99</v>
      </c>
      <c r="H2889" s="1">
        <v>7.0</v>
      </c>
      <c r="I2889" s="1" t="s">
        <v>23</v>
      </c>
      <c r="J2889" s="1" t="s">
        <v>35</v>
      </c>
      <c r="K2889" s="1">
        <f t="shared" si="1"/>
        <v>2023</v>
      </c>
      <c r="L2889" s="1" t="str">
        <f t="shared" si="2"/>
        <v>Jul</v>
      </c>
      <c r="M2889" s="1" t="str">
        <f t="shared" si="3"/>
        <v>Loss</v>
      </c>
    </row>
    <row r="2890" ht="14.25" customHeight="1">
      <c r="A2890" s="1" t="s">
        <v>2924</v>
      </c>
      <c r="B2890" s="2">
        <v>44687.0</v>
      </c>
      <c r="C2890" s="1" t="s">
        <v>26</v>
      </c>
      <c r="D2890" s="1" t="s">
        <v>15</v>
      </c>
      <c r="E2890" s="1" t="s">
        <v>54</v>
      </c>
      <c r="F2890" s="1">
        <v>861.53</v>
      </c>
      <c r="G2890" s="1">
        <v>166.76</v>
      </c>
      <c r="H2890" s="1">
        <v>10.0</v>
      </c>
      <c r="I2890" s="1" t="s">
        <v>23</v>
      </c>
      <c r="J2890" s="1" t="s">
        <v>18</v>
      </c>
      <c r="K2890" s="1">
        <f t="shared" si="1"/>
        <v>2022</v>
      </c>
      <c r="L2890" s="1" t="str">
        <f t="shared" si="2"/>
        <v>May</v>
      </c>
      <c r="M2890" s="1" t="str">
        <f t="shared" si="3"/>
        <v>Profit</v>
      </c>
    </row>
    <row r="2891" ht="14.25" customHeight="1">
      <c r="A2891" s="1" t="s">
        <v>2925</v>
      </c>
      <c r="B2891" s="2">
        <v>44699.0</v>
      </c>
      <c r="C2891" s="1" t="s">
        <v>14</v>
      </c>
      <c r="D2891" s="1" t="s">
        <v>21</v>
      </c>
      <c r="E2891" s="1" t="s">
        <v>76</v>
      </c>
      <c r="F2891" s="1">
        <v>643.78</v>
      </c>
      <c r="G2891" s="1">
        <v>67.5</v>
      </c>
      <c r="H2891" s="1">
        <v>8.0</v>
      </c>
      <c r="I2891" s="1" t="s">
        <v>17</v>
      </c>
      <c r="J2891" s="1" t="s">
        <v>35</v>
      </c>
      <c r="K2891" s="1">
        <f t="shared" si="1"/>
        <v>2022</v>
      </c>
      <c r="L2891" s="1" t="str">
        <f t="shared" si="2"/>
        <v>May</v>
      </c>
      <c r="M2891" s="1" t="str">
        <f t="shared" si="3"/>
        <v>Profit</v>
      </c>
    </row>
    <row r="2892" ht="14.25" customHeight="1">
      <c r="A2892" s="1" t="s">
        <v>2926</v>
      </c>
      <c r="B2892" s="2">
        <v>44618.0</v>
      </c>
      <c r="C2892" s="1" t="s">
        <v>20</v>
      </c>
      <c r="D2892" s="1" t="s">
        <v>15</v>
      </c>
      <c r="E2892" s="1" t="s">
        <v>31</v>
      </c>
      <c r="F2892" s="1">
        <v>162.68</v>
      </c>
      <c r="G2892" s="1">
        <v>20.42</v>
      </c>
      <c r="H2892" s="1">
        <v>6.0</v>
      </c>
      <c r="I2892" s="1" t="s">
        <v>23</v>
      </c>
      <c r="J2892" s="1" t="s">
        <v>35</v>
      </c>
      <c r="K2892" s="1">
        <f t="shared" si="1"/>
        <v>2022</v>
      </c>
      <c r="L2892" s="1" t="str">
        <f t="shared" si="2"/>
        <v>Feb</v>
      </c>
      <c r="M2892" s="1" t="str">
        <f t="shared" si="3"/>
        <v>Profit</v>
      </c>
    </row>
    <row r="2893" ht="14.25" customHeight="1">
      <c r="A2893" s="1" t="s">
        <v>2927</v>
      </c>
      <c r="B2893" s="2">
        <v>44503.0</v>
      </c>
      <c r="C2893" s="1" t="s">
        <v>14</v>
      </c>
      <c r="D2893" s="1" t="s">
        <v>21</v>
      </c>
      <c r="E2893" s="1" t="s">
        <v>76</v>
      </c>
      <c r="F2893" s="1">
        <v>354.72</v>
      </c>
      <c r="G2893" s="1">
        <v>-95.01</v>
      </c>
      <c r="H2893" s="1">
        <v>5.0</v>
      </c>
      <c r="I2893" s="1" t="s">
        <v>23</v>
      </c>
      <c r="J2893" s="1" t="s">
        <v>18</v>
      </c>
      <c r="K2893" s="1">
        <f t="shared" si="1"/>
        <v>2021</v>
      </c>
      <c r="L2893" s="1" t="str">
        <f t="shared" si="2"/>
        <v>Nov</v>
      </c>
      <c r="M2893" s="1" t="str">
        <f t="shared" si="3"/>
        <v>Loss</v>
      </c>
    </row>
    <row r="2894" ht="14.25" customHeight="1">
      <c r="A2894" s="1" t="s">
        <v>2928</v>
      </c>
      <c r="B2894" s="2">
        <v>45000.0</v>
      </c>
      <c r="C2894" s="1" t="s">
        <v>20</v>
      </c>
      <c r="D2894" s="1" t="s">
        <v>27</v>
      </c>
      <c r="E2894" s="1" t="s">
        <v>33</v>
      </c>
      <c r="F2894" s="1">
        <v>60.15</v>
      </c>
      <c r="G2894" s="1">
        <v>53.26</v>
      </c>
      <c r="H2894" s="1">
        <v>8.0</v>
      </c>
      <c r="I2894" s="1" t="s">
        <v>17</v>
      </c>
      <c r="J2894" s="1" t="s">
        <v>38</v>
      </c>
      <c r="K2894" s="1">
        <f t="shared" si="1"/>
        <v>2023</v>
      </c>
      <c r="L2894" s="1" t="str">
        <f t="shared" si="2"/>
        <v>Mar</v>
      </c>
      <c r="M2894" s="1" t="str">
        <f t="shared" si="3"/>
        <v>Profit</v>
      </c>
    </row>
    <row r="2895" ht="14.25" customHeight="1">
      <c r="A2895" s="1" t="s">
        <v>2929</v>
      </c>
      <c r="B2895" s="2">
        <v>44974.0</v>
      </c>
      <c r="C2895" s="1" t="s">
        <v>20</v>
      </c>
      <c r="D2895" s="1" t="s">
        <v>27</v>
      </c>
      <c r="E2895" s="1" t="s">
        <v>40</v>
      </c>
      <c r="F2895" s="1">
        <v>568.2</v>
      </c>
      <c r="G2895" s="1">
        <v>-5.45</v>
      </c>
      <c r="H2895" s="1">
        <v>10.0</v>
      </c>
      <c r="I2895" s="1" t="s">
        <v>34</v>
      </c>
      <c r="J2895" s="1" t="s">
        <v>24</v>
      </c>
      <c r="K2895" s="1">
        <f t="shared" si="1"/>
        <v>2023</v>
      </c>
      <c r="L2895" s="1" t="str">
        <f t="shared" si="2"/>
        <v>Feb</v>
      </c>
      <c r="M2895" s="1" t="str">
        <f t="shared" si="3"/>
        <v>Loss</v>
      </c>
    </row>
    <row r="2896" ht="14.25" customHeight="1">
      <c r="A2896" s="1" t="s">
        <v>2930</v>
      </c>
      <c r="B2896" s="2">
        <v>44225.0</v>
      </c>
      <c r="C2896" s="1" t="s">
        <v>20</v>
      </c>
      <c r="D2896" s="1" t="s">
        <v>27</v>
      </c>
      <c r="E2896" s="1" t="s">
        <v>33</v>
      </c>
      <c r="F2896" s="1">
        <v>240.98</v>
      </c>
      <c r="G2896" s="1">
        <v>-30.23</v>
      </c>
      <c r="H2896" s="1">
        <v>1.0</v>
      </c>
      <c r="I2896" s="1" t="s">
        <v>34</v>
      </c>
      <c r="J2896" s="1" t="s">
        <v>38</v>
      </c>
      <c r="K2896" s="1">
        <f t="shared" si="1"/>
        <v>2021</v>
      </c>
      <c r="L2896" s="1" t="str">
        <f t="shared" si="2"/>
        <v>Jan</v>
      </c>
      <c r="M2896" s="1" t="str">
        <f t="shared" si="3"/>
        <v>Loss</v>
      </c>
    </row>
    <row r="2897" ht="14.25" customHeight="1">
      <c r="A2897" s="1" t="s">
        <v>2931</v>
      </c>
      <c r="B2897" s="2">
        <v>44839.0</v>
      </c>
      <c r="C2897" s="1" t="s">
        <v>30</v>
      </c>
      <c r="D2897" s="1" t="s">
        <v>15</v>
      </c>
      <c r="E2897" s="1" t="s">
        <v>16</v>
      </c>
      <c r="F2897" s="1">
        <v>401.98</v>
      </c>
      <c r="G2897" s="1">
        <v>-172.31</v>
      </c>
      <c r="H2897" s="1">
        <v>10.0</v>
      </c>
      <c r="I2897" s="1" t="s">
        <v>17</v>
      </c>
      <c r="J2897" s="1" t="s">
        <v>38</v>
      </c>
      <c r="K2897" s="1">
        <f t="shared" si="1"/>
        <v>2022</v>
      </c>
      <c r="L2897" s="1" t="str">
        <f t="shared" si="2"/>
        <v>Oct</v>
      </c>
      <c r="M2897" s="1" t="str">
        <f t="shared" si="3"/>
        <v>Loss</v>
      </c>
    </row>
    <row r="2898" ht="14.25" customHeight="1">
      <c r="A2898" s="1" t="s">
        <v>2932</v>
      </c>
      <c r="B2898" s="2">
        <v>45075.0</v>
      </c>
      <c r="C2898" s="1" t="s">
        <v>14</v>
      </c>
      <c r="D2898" s="1" t="s">
        <v>21</v>
      </c>
      <c r="E2898" s="1" t="s">
        <v>22</v>
      </c>
      <c r="F2898" s="1">
        <v>114.44</v>
      </c>
      <c r="G2898" s="1">
        <v>68.16</v>
      </c>
      <c r="H2898" s="1">
        <v>10.0</v>
      </c>
      <c r="I2898" s="1" t="s">
        <v>34</v>
      </c>
      <c r="J2898" s="1" t="s">
        <v>35</v>
      </c>
      <c r="K2898" s="1">
        <f t="shared" si="1"/>
        <v>2023</v>
      </c>
      <c r="L2898" s="1" t="str">
        <f t="shared" si="2"/>
        <v>May</v>
      </c>
      <c r="M2898" s="1" t="str">
        <f t="shared" si="3"/>
        <v>Profit</v>
      </c>
    </row>
    <row r="2899" ht="14.25" customHeight="1">
      <c r="A2899" s="1" t="s">
        <v>2933</v>
      </c>
      <c r="B2899" s="2">
        <v>44560.0</v>
      </c>
      <c r="C2899" s="1" t="s">
        <v>26</v>
      </c>
      <c r="D2899" s="1" t="s">
        <v>15</v>
      </c>
      <c r="E2899" s="1" t="s">
        <v>31</v>
      </c>
      <c r="F2899" s="1">
        <v>622.33</v>
      </c>
      <c r="G2899" s="1">
        <v>10.11</v>
      </c>
      <c r="H2899" s="1">
        <v>4.0</v>
      </c>
      <c r="I2899" s="1" t="s">
        <v>34</v>
      </c>
      <c r="J2899" s="1" t="s">
        <v>35</v>
      </c>
      <c r="K2899" s="1">
        <f t="shared" si="1"/>
        <v>2021</v>
      </c>
      <c r="L2899" s="1" t="str">
        <f t="shared" si="2"/>
        <v>Dec</v>
      </c>
      <c r="M2899" s="1" t="str">
        <f t="shared" si="3"/>
        <v>Profit</v>
      </c>
    </row>
    <row r="2900" ht="14.25" customHeight="1">
      <c r="A2900" s="1" t="s">
        <v>2934</v>
      </c>
      <c r="B2900" s="2">
        <v>44856.0</v>
      </c>
      <c r="C2900" s="1" t="s">
        <v>26</v>
      </c>
      <c r="D2900" s="1" t="s">
        <v>15</v>
      </c>
      <c r="E2900" s="1" t="s">
        <v>31</v>
      </c>
      <c r="F2900" s="1">
        <v>356.94</v>
      </c>
      <c r="G2900" s="1">
        <v>-88.99</v>
      </c>
      <c r="H2900" s="1">
        <v>5.0</v>
      </c>
      <c r="I2900" s="1" t="s">
        <v>17</v>
      </c>
      <c r="J2900" s="1" t="s">
        <v>35</v>
      </c>
      <c r="K2900" s="1">
        <f t="shared" si="1"/>
        <v>2022</v>
      </c>
      <c r="L2900" s="1" t="str">
        <f t="shared" si="2"/>
        <v>Oct</v>
      </c>
      <c r="M2900" s="1" t="str">
        <f t="shared" si="3"/>
        <v>Loss</v>
      </c>
    </row>
    <row r="2901" ht="14.25" customHeight="1">
      <c r="A2901" s="1" t="s">
        <v>2935</v>
      </c>
      <c r="B2901" s="2">
        <v>45291.0</v>
      </c>
      <c r="C2901" s="1" t="s">
        <v>26</v>
      </c>
      <c r="D2901" s="1" t="s">
        <v>21</v>
      </c>
      <c r="E2901" s="1" t="s">
        <v>76</v>
      </c>
      <c r="F2901" s="1">
        <v>883.72</v>
      </c>
      <c r="G2901" s="1">
        <v>291.38</v>
      </c>
      <c r="H2901" s="1">
        <v>6.0</v>
      </c>
      <c r="I2901" s="1" t="s">
        <v>34</v>
      </c>
      <c r="J2901" s="1" t="s">
        <v>24</v>
      </c>
      <c r="K2901" s="1">
        <f t="shared" si="1"/>
        <v>2023</v>
      </c>
      <c r="L2901" s="1" t="str">
        <f t="shared" si="2"/>
        <v>Dec</v>
      </c>
      <c r="M2901" s="1" t="str">
        <f t="shared" si="3"/>
        <v>Profit</v>
      </c>
    </row>
    <row r="2902" ht="14.25" customHeight="1">
      <c r="A2902" s="1" t="s">
        <v>2936</v>
      </c>
      <c r="B2902" s="2">
        <v>45124.0</v>
      </c>
      <c r="C2902" s="1" t="s">
        <v>20</v>
      </c>
      <c r="D2902" s="1" t="s">
        <v>27</v>
      </c>
      <c r="E2902" s="1" t="s">
        <v>40</v>
      </c>
      <c r="F2902" s="1">
        <v>705.91</v>
      </c>
      <c r="G2902" s="1">
        <v>178.18</v>
      </c>
      <c r="H2902" s="1">
        <v>4.0</v>
      </c>
      <c r="I2902" s="1" t="s">
        <v>17</v>
      </c>
      <c r="J2902" s="1" t="s">
        <v>38</v>
      </c>
      <c r="K2902" s="1">
        <f t="shared" si="1"/>
        <v>2023</v>
      </c>
      <c r="L2902" s="1" t="str">
        <f t="shared" si="2"/>
        <v>Jul</v>
      </c>
      <c r="M2902" s="1" t="str">
        <f t="shared" si="3"/>
        <v>Profit</v>
      </c>
    </row>
    <row r="2903" ht="14.25" customHeight="1">
      <c r="A2903" s="1" t="s">
        <v>2937</v>
      </c>
      <c r="B2903" s="2">
        <v>44773.0</v>
      </c>
      <c r="C2903" s="1" t="s">
        <v>26</v>
      </c>
      <c r="D2903" s="1" t="s">
        <v>21</v>
      </c>
      <c r="E2903" s="1" t="s">
        <v>37</v>
      </c>
      <c r="F2903" s="1">
        <v>465.17</v>
      </c>
      <c r="G2903" s="1">
        <v>92.37</v>
      </c>
      <c r="H2903" s="1">
        <v>6.0</v>
      </c>
      <c r="I2903" s="1" t="s">
        <v>23</v>
      </c>
      <c r="J2903" s="1" t="s">
        <v>38</v>
      </c>
      <c r="K2903" s="1">
        <f t="shared" si="1"/>
        <v>2022</v>
      </c>
      <c r="L2903" s="1" t="str">
        <f t="shared" si="2"/>
        <v>Jul</v>
      </c>
      <c r="M2903" s="1" t="str">
        <f t="shared" si="3"/>
        <v>Profit</v>
      </c>
    </row>
    <row r="2904" ht="14.25" customHeight="1">
      <c r="A2904" s="1" t="s">
        <v>2938</v>
      </c>
      <c r="B2904" s="2">
        <v>44257.0</v>
      </c>
      <c r="C2904" s="1" t="s">
        <v>14</v>
      </c>
      <c r="D2904" s="1" t="s">
        <v>15</v>
      </c>
      <c r="E2904" s="1" t="s">
        <v>31</v>
      </c>
      <c r="F2904" s="1">
        <v>545.48</v>
      </c>
      <c r="G2904" s="1">
        <v>35.97</v>
      </c>
      <c r="H2904" s="1">
        <v>10.0</v>
      </c>
      <c r="I2904" s="1" t="s">
        <v>17</v>
      </c>
      <c r="J2904" s="1" t="s">
        <v>38</v>
      </c>
      <c r="K2904" s="1">
        <f t="shared" si="1"/>
        <v>2021</v>
      </c>
      <c r="L2904" s="1" t="str">
        <f t="shared" si="2"/>
        <v>Mar</v>
      </c>
      <c r="M2904" s="1" t="str">
        <f t="shared" si="3"/>
        <v>Profit</v>
      </c>
    </row>
    <row r="2905" ht="14.25" customHeight="1">
      <c r="A2905" s="1" t="s">
        <v>2939</v>
      </c>
      <c r="B2905" s="2">
        <v>44562.0</v>
      </c>
      <c r="C2905" s="1" t="s">
        <v>20</v>
      </c>
      <c r="D2905" s="1" t="s">
        <v>27</v>
      </c>
      <c r="E2905" s="1" t="s">
        <v>40</v>
      </c>
      <c r="F2905" s="1">
        <v>816.41</v>
      </c>
      <c r="G2905" s="1">
        <v>-92.63</v>
      </c>
      <c r="H2905" s="1">
        <v>4.0</v>
      </c>
      <c r="I2905" s="1" t="s">
        <v>34</v>
      </c>
      <c r="J2905" s="1" t="s">
        <v>24</v>
      </c>
      <c r="K2905" s="1">
        <f t="shared" si="1"/>
        <v>2022</v>
      </c>
      <c r="L2905" s="1" t="str">
        <f t="shared" si="2"/>
        <v>Jan</v>
      </c>
      <c r="M2905" s="1" t="str">
        <f t="shared" si="3"/>
        <v>Loss</v>
      </c>
    </row>
    <row r="2906" ht="14.25" customHeight="1">
      <c r="A2906" s="1" t="s">
        <v>2940</v>
      </c>
      <c r="B2906" s="2">
        <v>44805.0</v>
      </c>
      <c r="C2906" s="1" t="s">
        <v>26</v>
      </c>
      <c r="D2906" s="1" t="s">
        <v>27</v>
      </c>
      <c r="E2906" s="1" t="s">
        <v>33</v>
      </c>
      <c r="F2906" s="1">
        <v>530.0</v>
      </c>
      <c r="G2906" s="1">
        <v>-133.97</v>
      </c>
      <c r="H2906" s="1">
        <v>7.0</v>
      </c>
      <c r="I2906" s="1" t="s">
        <v>17</v>
      </c>
      <c r="J2906" s="1" t="s">
        <v>18</v>
      </c>
      <c r="K2906" s="1">
        <f t="shared" si="1"/>
        <v>2022</v>
      </c>
      <c r="L2906" s="1" t="str">
        <f t="shared" si="2"/>
        <v>Sep</v>
      </c>
      <c r="M2906" s="1" t="str">
        <f t="shared" si="3"/>
        <v>Loss</v>
      </c>
    </row>
    <row r="2907" ht="14.25" customHeight="1">
      <c r="A2907" s="1" t="s">
        <v>2941</v>
      </c>
      <c r="B2907" s="2">
        <v>44469.0</v>
      </c>
      <c r="C2907" s="1" t="s">
        <v>30</v>
      </c>
      <c r="D2907" s="1" t="s">
        <v>27</v>
      </c>
      <c r="E2907" s="1" t="s">
        <v>33</v>
      </c>
      <c r="F2907" s="1">
        <v>321.89</v>
      </c>
      <c r="G2907" s="1">
        <v>30.42</v>
      </c>
      <c r="H2907" s="1">
        <v>8.0</v>
      </c>
      <c r="I2907" s="1" t="s">
        <v>17</v>
      </c>
      <c r="J2907" s="1" t="s">
        <v>18</v>
      </c>
      <c r="K2907" s="1">
        <f t="shared" si="1"/>
        <v>2021</v>
      </c>
      <c r="L2907" s="1" t="str">
        <f t="shared" si="2"/>
        <v>Sep</v>
      </c>
      <c r="M2907" s="1" t="str">
        <f t="shared" si="3"/>
        <v>Profit</v>
      </c>
    </row>
    <row r="2908" ht="14.25" customHeight="1">
      <c r="A2908" s="1" t="s">
        <v>2942</v>
      </c>
      <c r="B2908" s="2">
        <v>45129.0</v>
      </c>
      <c r="C2908" s="1" t="s">
        <v>26</v>
      </c>
      <c r="D2908" s="1" t="s">
        <v>27</v>
      </c>
      <c r="E2908" s="1" t="s">
        <v>33</v>
      </c>
      <c r="F2908" s="1">
        <v>645.42</v>
      </c>
      <c r="G2908" s="1">
        <v>-90.97</v>
      </c>
      <c r="H2908" s="1">
        <v>3.0</v>
      </c>
      <c r="I2908" s="1" t="s">
        <v>23</v>
      </c>
      <c r="J2908" s="1" t="s">
        <v>35</v>
      </c>
      <c r="K2908" s="1">
        <f t="shared" si="1"/>
        <v>2023</v>
      </c>
      <c r="L2908" s="1" t="str">
        <f t="shared" si="2"/>
        <v>Jul</v>
      </c>
      <c r="M2908" s="1" t="str">
        <f t="shared" si="3"/>
        <v>Loss</v>
      </c>
    </row>
    <row r="2909" ht="14.25" customHeight="1">
      <c r="A2909" s="1" t="s">
        <v>2943</v>
      </c>
      <c r="B2909" s="2">
        <v>45235.0</v>
      </c>
      <c r="C2909" s="1" t="s">
        <v>20</v>
      </c>
      <c r="D2909" s="1" t="s">
        <v>27</v>
      </c>
      <c r="E2909" s="1" t="s">
        <v>28</v>
      </c>
      <c r="F2909" s="1">
        <v>110.83</v>
      </c>
      <c r="G2909" s="1">
        <v>297.07</v>
      </c>
      <c r="H2909" s="1">
        <v>9.0</v>
      </c>
      <c r="I2909" s="1" t="s">
        <v>34</v>
      </c>
      <c r="J2909" s="1" t="s">
        <v>24</v>
      </c>
      <c r="K2909" s="1">
        <f t="shared" si="1"/>
        <v>2023</v>
      </c>
      <c r="L2909" s="1" t="str">
        <f t="shared" si="2"/>
        <v>Nov</v>
      </c>
      <c r="M2909" s="1" t="str">
        <f t="shared" si="3"/>
        <v>Profit</v>
      </c>
    </row>
    <row r="2910" ht="14.25" customHeight="1">
      <c r="A2910" s="1" t="s">
        <v>2944</v>
      </c>
      <c r="B2910" s="2">
        <v>45255.0</v>
      </c>
      <c r="C2910" s="1" t="s">
        <v>20</v>
      </c>
      <c r="D2910" s="1" t="s">
        <v>15</v>
      </c>
      <c r="E2910" s="1" t="s">
        <v>54</v>
      </c>
      <c r="F2910" s="1">
        <v>747.63</v>
      </c>
      <c r="G2910" s="1">
        <v>-71.62</v>
      </c>
      <c r="H2910" s="1">
        <v>10.0</v>
      </c>
      <c r="I2910" s="1" t="s">
        <v>34</v>
      </c>
      <c r="J2910" s="1" t="s">
        <v>18</v>
      </c>
      <c r="K2910" s="1">
        <f t="shared" si="1"/>
        <v>2023</v>
      </c>
      <c r="L2910" s="1" t="str">
        <f t="shared" si="2"/>
        <v>Nov</v>
      </c>
      <c r="M2910" s="1" t="str">
        <f t="shared" si="3"/>
        <v>Loss</v>
      </c>
    </row>
    <row r="2911" ht="14.25" customHeight="1">
      <c r="A2911" s="1" t="s">
        <v>2945</v>
      </c>
      <c r="B2911" s="2">
        <v>44969.0</v>
      </c>
      <c r="C2911" s="1" t="s">
        <v>30</v>
      </c>
      <c r="D2911" s="1" t="s">
        <v>15</v>
      </c>
      <c r="E2911" s="1" t="s">
        <v>54</v>
      </c>
      <c r="F2911" s="1">
        <v>247.79</v>
      </c>
      <c r="G2911" s="1">
        <v>269.62</v>
      </c>
      <c r="H2911" s="1">
        <v>4.0</v>
      </c>
      <c r="I2911" s="1" t="s">
        <v>17</v>
      </c>
      <c r="J2911" s="1" t="s">
        <v>35</v>
      </c>
      <c r="K2911" s="1">
        <f t="shared" si="1"/>
        <v>2023</v>
      </c>
      <c r="L2911" s="1" t="str">
        <f t="shared" si="2"/>
        <v>Feb</v>
      </c>
      <c r="M2911" s="1" t="str">
        <f t="shared" si="3"/>
        <v>Profit</v>
      </c>
    </row>
    <row r="2912" ht="14.25" customHeight="1">
      <c r="A2912" s="1" t="s">
        <v>2946</v>
      </c>
      <c r="B2912" s="2">
        <v>44305.0</v>
      </c>
      <c r="C2912" s="1" t="s">
        <v>14</v>
      </c>
      <c r="D2912" s="1" t="s">
        <v>21</v>
      </c>
      <c r="E2912" s="1" t="s">
        <v>37</v>
      </c>
      <c r="F2912" s="1">
        <v>152.36</v>
      </c>
      <c r="G2912" s="1">
        <v>-191.5</v>
      </c>
      <c r="H2912" s="1">
        <v>9.0</v>
      </c>
      <c r="I2912" s="1" t="s">
        <v>17</v>
      </c>
      <c r="J2912" s="1" t="s">
        <v>35</v>
      </c>
      <c r="K2912" s="1">
        <f t="shared" si="1"/>
        <v>2021</v>
      </c>
      <c r="L2912" s="1" t="str">
        <f t="shared" si="2"/>
        <v>Apr</v>
      </c>
      <c r="M2912" s="1" t="str">
        <f t="shared" si="3"/>
        <v>Loss</v>
      </c>
    </row>
    <row r="2913" ht="14.25" customHeight="1">
      <c r="A2913" s="1" t="s">
        <v>2947</v>
      </c>
      <c r="B2913" s="2">
        <v>44318.0</v>
      </c>
      <c r="C2913" s="1" t="s">
        <v>14</v>
      </c>
      <c r="D2913" s="1" t="s">
        <v>27</v>
      </c>
      <c r="E2913" s="1" t="s">
        <v>33</v>
      </c>
      <c r="F2913" s="1">
        <v>900.88</v>
      </c>
      <c r="G2913" s="1">
        <v>-2.96</v>
      </c>
      <c r="H2913" s="1">
        <v>6.0</v>
      </c>
      <c r="I2913" s="1" t="s">
        <v>34</v>
      </c>
      <c r="J2913" s="1" t="s">
        <v>18</v>
      </c>
      <c r="K2913" s="1">
        <f t="shared" si="1"/>
        <v>2021</v>
      </c>
      <c r="L2913" s="1" t="str">
        <f t="shared" si="2"/>
        <v>May</v>
      </c>
      <c r="M2913" s="1" t="str">
        <f t="shared" si="3"/>
        <v>Loss</v>
      </c>
    </row>
    <row r="2914" ht="14.25" customHeight="1">
      <c r="A2914" s="1" t="s">
        <v>2948</v>
      </c>
      <c r="B2914" s="2">
        <v>44429.0</v>
      </c>
      <c r="C2914" s="1" t="s">
        <v>14</v>
      </c>
      <c r="D2914" s="1" t="s">
        <v>27</v>
      </c>
      <c r="E2914" s="1" t="s">
        <v>40</v>
      </c>
      <c r="F2914" s="1">
        <v>781.58</v>
      </c>
      <c r="G2914" s="1">
        <v>291.11</v>
      </c>
      <c r="H2914" s="1">
        <v>4.0</v>
      </c>
      <c r="I2914" s="1" t="s">
        <v>23</v>
      </c>
      <c r="J2914" s="1" t="s">
        <v>38</v>
      </c>
      <c r="K2914" s="1">
        <f t="shared" si="1"/>
        <v>2021</v>
      </c>
      <c r="L2914" s="1" t="str">
        <f t="shared" si="2"/>
        <v>Aug</v>
      </c>
      <c r="M2914" s="1" t="str">
        <f t="shared" si="3"/>
        <v>Profit</v>
      </c>
    </row>
    <row r="2915" ht="14.25" customHeight="1">
      <c r="A2915" s="1" t="s">
        <v>2949</v>
      </c>
      <c r="B2915" s="2">
        <v>44574.0</v>
      </c>
      <c r="C2915" s="1" t="s">
        <v>14</v>
      </c>
      <c r="D2915" s="1" t="s">
        <v>27</v>
      </c>
      <c r="E2915" s="1" t="s">
        <v>33</v>
      </c>
      <c r="F2915" s="1">
        <v>546.82</v>
      </c>
      <c r="G2915" s="1">
        <v>194.88</v>
      </c>
      <c r="H2915" s="1">
        <v>4.0</v>
      </c>
      <c r="I2915" s="1" t="s">
        <v>23</v>
      </c>
      <c r="J2915" s="1" t="s">
        <v>38</v>
      </c>
      <c r="K2915" s="1">
        <f t="shared" si="1"/>
        <v>2022</v>
      </c>
      <c r="L2915" s="1" t="str">
        <f t="shared" si="2"/>
        <v>Jan</v>
      </c>
      <c r="M2915" s="1" t="str">
        <f t="shared" si="3"/>
        <v>Profit</v>
      </c>
    </row>
    <row r="2916" ht="14.25" customHeight="1">
      <c r="A2916" s="1" t="s">
        <v>2950</v>
      </c>
      <c r="B2916" s="2">
        <v>44811.0</v>
      </c>
      <c r="C2916" s="1" t="s">
        <v>30</v>
      </c>
      <c r="D2916" s="1" t="s">
        <v>27</v>
      </c>
      <c r="E2916" s="1" t="s">
        <v>28</v>
      </c>
      <c r="F2916" s="1">
        <v>243.5</v>
      </c>
      <c r="G2916" s="1">
        <v>-164.17</v>
      </c>
      <c r="H2916" s="1">
        <v>3.0</v>
      </c>
      <c r="I2916" s="1" t="s">
        <v>23</v>
      </c>
      <c r="J2916" s="1" t="s">
        <v>35</v>
      </c>
      <c r="K2916" s="1">
        <f t="shared" si="1"/>
        <v>2022</v>
      </c>
      <c r="L2916" s="1" t="str">
        <f t="shared" si="2"/>
        <v>Sep</v>
      </c>
      <c r="M2916" s="1" t="str">
        <f t="shared" si="3"/>
        <v>Loss</v>
      </c>
    </row>
    <row r="2917" ht="14.25" customHeight="1">
      <c r="A2917" s="1" t="s">
        <v>2951</v>
      </c>
      <c r="B2917" s="2">
        <v>44577.0</v>
      </c>
      <c r="C2917" s="1" t="s">
        <v>26</v>
      </c>
      <c r="D2917" s="1" t="s">
        <v>15</v>
      </c>
      <c r="E2917" s="1" t="s">
        <v>16</v>
      </c>
      <c r="F2917" s="1">
        <v>837.92</v>
      </c>
      <c r="G2917" s="1">
        <v>-11.76</v>
      </c>
      <c r="H2917" s="1">
        <v>4.0</v>
      </c>
      <c r="I2917" s="1" t="s">
        <v>34</v>
      </c>
      <c r="J2917" s="1" t="s">
        <v>35</v>
      </c>
      <c r="K2917" s="1">
        <f t="shared" si="1"/>
        <v>2022</v>
      </c>
      <c r="L2917" s="1" t="str">
        <f t="shared" si="2"/>
        <v>Jan</v>
      </c>
      <c r="M2917" s="1" t="str">
        <f t="shared" si="3"/>
        <v>Loss</v>
      </c>
    </row>
    <row r="2918" ht="14.25" customHeight="1">
      <c r="A2918" s="1" t="s">
        <v>2952</v>
      </c>
      <c r="B2918" s="2">
        <v>45160.0</v>
      </c>
      <c r="C2918" s="1" t="s">
        <v>26</v>
      </c>
      <c r="D2918" s="1" t="s">
        <v>27</v>
      </c>
      <c r="E2918" s="1" t="s">
        <v>40</v>
      </c>
      <c r="F2918" s="1">
        <v>453.23</v>
      </c>
      <c r="G2918" s="1">
        <v>-67.16</v>
      </c>
      <c r="H2918" s="1">
        <v>2.0</v>
      </c>
      <c r="I2918" s="1" t="s">
        <v>23</v>
      </c>
      <c r="J2918" s="1" t="s">
        <v>35</v>
      </c>
      <c r="K2918" s="1">
        <f t="shared" si="1"/>
        <v>2023</v>
      </c>
      <c r="L2918" s="1" t="str">
        <f t="shared" si="2"/>
        <v>Aug</v>
      </c>
      <c r="M2918" s="1" t="str">
        <f t="shared" si="3"/>
        <v>Loss</v>
      </c>
    </row>
    <row r="2919" ht="14.25" customHeight="1">
      <c r="A2919" s="1" t="s">
        <v>2953</v>
      </c>
      <c r="B2919" s="2">
        <v>45171.0</v>
      </c>
      <c r="C2919" s="1" t="s">
        <v>26</v>
      </c>
      <c r="D2919" s="1" t="s">
        <v>15</v>
      </c>
      <c r="E2919" s="1" t="s">
        <v>31</v>
      </c>
      <c r="F2919" s="1">
        <v>114.25</v>
      </c>
      <c r="G2919" s="1">
        <v>-57.55</v>
      </c>
      <c r="H2919" s="1">
        <v>2.0</v>
      </c>
      <c r="I2919" s="1" t="s">
        <v>17</v>
      </c>
      <c r="J2919" s="1" t="s">
        <v>38</v>
      </c>
      <c r="K2919" s="1">
        <f t="shared" si="1"/>
        <v>2023</v>
      </c>
      <c r="L2919" s="1" t="str">
        <f t="shared" si="2"/>
        <v>Sep</v>
      </c>
      <c r="M2919" s="1" t="str">
        <f t="shared" si="3"/>
        <v>Loss</v>
      </c>
    </row>
    <row r="2920" ht="14.25" customHeight="1">
      <c r="A2920" s="1" t="s">
        <v>2954</v>
      </c>
      <c r="B2920" s="2">
        <v>44494.0</v>
      </c>
      <c r="C2920" s="1" t="s">
        <v>14</v>
      </c>
      <c r="D2920" s="1" t="s">
        <v>21</v>
      </c>
      <c r="E2920" s="1" t="s">
        <v>22</v>
      </c>
      <c r="F2920" s="1">
        <v>708.74</v>
      </c>
      <c r="G2920" s="1">
        <v>-30.52</v>
      </c>
      <c r="H2920" s="1">
        <v>10.0</v>
      </c>
      <c r="I2920" s="1" t="s">
        <v>34</v>
      </c>
      <c r="J2920" s="1" t="s">
        <v>35</v>
      </c>
      <c r="K2920" s="1">
        <f t="shared" si="1"/>
        <v>2021</v>
      </c>
      <c r="L2920" s="1" t="str">
        <f t="shared" si="2"/>
        <v>Oct</v>
      </c>
      <c r="M2920" s="1" t="str">
        <f t="shared" si="3"/>
        <v>Loss</v>
      </c>
    </row>
    <row r="2921" ht="14.25" customHeight="1">
      <c r="A2921" s="1" t="s">
        <v>2955</v>
      </c>
      <c r="B2921" s="2">
        <v>44811.0</v>
      </c>
      <c r="C2921" s="1" t="s">
        <v>14</v>
      </c>
      <c r="D2921" s="1" t="s">
        <v>15</v>
      </c>
      <c r="E2921" s="1" t="s">
        <v>16</v>
      </c>
      <c r="F2921" s="1">
        <v>834.44</v>
      </c>
      <c r="G2921" s="1">
        <v>-13.81</v>
      </c>
      <c r="H2921" s="1">
        <v>3.0</v>
      </c>
      <c r="I2921" s="1" t="s">
        <v>34</v>
      </c>
      <c r="J2921" s="1" t="s">
        <v>24</v>
      </c>
      <c r="K2921" s="1">
        <f t="shared" si="1"/>
        <v>2022</v>
      </c>
      <c r="L2921" s="1" t="str">
        <f t="shared" si="2"/>
        <v>Sep</v>
      </c>
      <c r="M2921" s="1" t="str">
        <f t="shared" si="3"/>
        <v>Loss</v>
      </c>
    </row>
    <row r="2922" ht="14.25" customHeight="1">
      <c r="A2922" s="1" t="s">
        <v>2956</v>
      </c>
      <c r="B2922" s="2">
        <v>44358.0</v>
      </c>
      <c r="C2922" s="1" t="s">
        <v>20</v>
      </c>
      <c r="D2922" s="1" t="s">
        <v>15</v>
      </c>
      <c r="E2922" s="1" t="s">
        <v>31</v>
      </c>
      <c r="F2922" s="1">
        <v>288.11</v>
      </c>
      <c r="G2922" s="1">
        <v>-45.29</v>
      </c>
      <c r="H2922" s="1">
        <v>8.0</v>
      </c>
      <c r="I2922" s="1" t="s">
        <v>23</v>
      </c>
      <c r="J2922" s="1" t="s">
        <v>35</v>
      </c>
      <c r="K2922" s="1">
        <f t="shared" si="1"/>
        <v>2021</v>
      </c>
      <c r="L2922" s="1" t="str">
        <f t="shared" si="2"/>
        <v>Jun</v>
      </c>
      <c r="M2922" s="1" t="str">
        <f t="shared" si="3"/>
        <v>Loss</v>
      </c>
    </row>
    <row r="2923" ht="14.25" customHeight="1">
      <c r="A2923" s="1" t="s">
        <v>2957</v>
      </c>
      <c r="B2923" s="2">
        <v>45185.0</v>
      </c>
      <c r="C2923" s="1" t="s">
        <v>30</v>
      </c>
      <c r="D2923" s="1" t="s">
        <v>27</v>
      </c>
      <c r="E2923" s="1" t="s">
        <v>40</v>
      </c>
      <c r="F2923" s="1">
        <v>689.65</v>
      </c>
      <c r="G2923" s="1">
        <v>191.78</v>
      </c>
      <c r="H2923" s="1">
        <v>4.0</v>
      </c>
      <c r="I2923" s="1" t="s">
        <v>17</v>
      </c>
      <c r="J2923" s="1" t="s">
        <v>38</v>
      </c>
      <c r="K2923" s="1">
        <f t="shared" si="1"/>
        <v>2023</v>
      </c>
      <c r="L2923" s="1" t="str">
        <f t="shared" si="2"/>
        <v>Sep</v>
      </c>
      <c r="M2923" s="1" t="str">
        <f t="shared" si="3"/>
        <v>Profit</v>
      </c>
    </row>
    <row r="2924" ht="14.25" customHeight="1">
      <c r="A2924" s="1" t="s">
        <v>2958</v>
      </c>
      <c r="B2924" s="2">
        <v>44539.0</v>
      </c>
      <c r="C2924" s="1" t="s">
        <v>14</v>
      </c>
      <c r="D2924" s="1" t="s">
        <v>21</v>
      </c>
      <c r="E2924" s="1" t="s">
        <v>37</v>
      </c>
      <c r="F2924" s="1">
        <v>34.73</v>
      </c>
      <c r="G2924" s="1">
        <v>247.0</v>
      </c>
      <c r="H2924" s="1">
        <v>9.0</v>
      </c>
      <c r="I2924" s="1" t="s">
        <v>34</v>
      </c>
      <c r="J2924" s="1" t="s">
        <v>18</v>
      </c>
      <c r="K2924" s="1">
        <f t="shared" si="1"/>
        <v>2021</v>
      </c>
      <c r="L2924" s="1" t="str">
        <f t="shared" si="2"/>
        <v>Dec</v>
      </c>
      <c r="M2924" s="1" t="str">
        <f t="shared" si="3"/>
        <v>Profit</v>
      </c>
    </row>
    <row r="2925" ht="14.25" customHeight="1">
      <c r="A2925" s="1" t="s">
        <v>2959</v>
      </c>
      <c r="B2925" s="2">
        <v>44755.0</v>
      </c>
      <c r="C2925" s="1" t="s">
        <v>26</v>
      </c>
      <c r="D2925" s="1" t="s">
        <v>15</v>
      </c>
      <c r="E2925" s="1" t="s">
        <v>16</v>
      </c>
      <c r="F2925" s="1">
        <v>666.39</v>
      </c>
      <c r="G2925" s="1">
        <v>-184.3</v>
      </c>
      <c r="H2925" s="1">
        <v>9.0</v>
      </c>
      <c r="I2925" s="1" t="s">
        <v>17</v>
      </c>
      <c r="J2925" s="1" t="s">
        <v>38</v>
      </c>
      <c r="K2925" s="1">
        <f t="shared" si="1"/>
        <v>2022</v>
      </c>
      <c r="L2925" s="1" t="str">
        <f t="shared" si="2"/>
        <v>Jul</v>
      </c>
      <c r="M2925" s="1" t="str">
        <f t="shared" si="3"/>
        <v>Loss</v>
      </c>
    </row>
    <row r="2926" ht="14.25" customHeight="1">
      <c r="A2926" s="1" t="s">
        <v>2960</v>
      </c>
      <c r="B2926" s="2">
        <v>45082.0</v>
      </c>
      <c r="C2926" s="1" t="s">
        <v>26</v>
      </c>
      <c r="D2926" s="1" t="s">
        <v>21</v>
      </c>
      <c r="E2926" s="1" t="s">
        <v>76</v>
      </c>
      <c r="F2926" s="1">
        <v>257.39</v>
      </c>
      <c r="G2926" s="1">
        <v>-116.73</v>
      </c>
      <c r="H2926" s="1">
        <v>5.0</v>
      </c>
      <c r="I2926" s="1" t="s">
        <v>23</v>
      </c>
      <c r="J2926" s="1" t="s">
        <v>35</v>
      </c>
      <c r="K2926" s="1">
        <f t="shared" si="1"/>
        <v>2023</v>
      </c>
      <c r="L2926" s="1" t="str">
        <f t="shared" si="2"/>
        <v>Jun</v>
      </c>
      <c r="M2926" s="1" t="str">
        <f t="shared" si="3"/>
        <v>Loss</v>
      </c>
    </row>
    <row r="2927" ht="14.25" customHeight="1">
      <c r="A2927" s="1" t="s">
        <v>2961</v>
      </c>
      <c r="B2927" s="2">
        <v>44252.0</v>
      </c>
      <c r="C2927" s="1" t="s">
        <v>20</v>
      </c>
      <c r="D2927" s="1" t="s">
        <v>15</v>
      </c>
      <c r="E2927" s="1" t="s">
        <v>31</v>
      </c>
      <c r="F2927" s="1">
        <v>720.95</v>
      </c>
      <c r="G2927" s="1">
        <v>83.38</v>
      </c>
      <c r="H2927" s="1">
        <v>8.0</v>
      </c>
      <c r="I2927" s="1" t="s">
        <v>17</v>
      </c>
      <c r="J2927" s="1" t="s">
        <v>18</v>
      </c>
      <c r="K2927" s="1">
        <f t="shared" si="1"/>
        <v>2021</v>
      </c>
      <c r="L2927" s="1" t="str">
        <f t="shared" si="2"/>
        <v>Feb</v>
      </c>
      <c r="M2927" s="1" t="str">
        <f t="shared" si="3"/>
        <v>Profit</v>
      </c>
    </row>
    <row r="2928" ht="14.25" customHeight="1">
      <c r="A2928" s="1" t="s">
        <v>2962</v>
      </c>
      <c r="B2928" s="2">
        <v>44432.0</v>
      </c>
      <c r="C2928" s="1" t="s">
        <v>30</v>
      </c>
      <c r="D2928" s="1" t="s">
        <v>21</v>
      </c>
      <c r="E2928" s="1" t="s">
        <v>37</v>
      </c>
      <c r="F2928" s="1">
        <v>806.79</v>
      </c>
      <c r="G2928" s="1">
        <v>216.24</v>
      </c>
      <c r="H2928" s="1">
        <v>6.0</v>
      </c>
      <c r="I2928" s="1" t="s">
        <v>17</v>
      </c>
      <c r="J2928" s="1" t="s">
        <v>18</v>
      </c>
      <c r="K2928" s="1">
        <f t="shared" si="1"/>
        <v>2021</v>
      </c>
      <c r="L2928" s="1" t="str">
        <f t="shared" si="2"/>
        <v>Aug</v>
      </c>
      <c r="M2928" s="1" t="str">
        <f t="shared" si="3"/>
        <v>Profit</v>
      </c>
    </row>
    <row r="2929" ht="14.25" customHeight="1">
      <c r="A2929" s="1" t="s">
        <v>2963</v>
      </c>
      <c r="B2929" s="2">
        <v>44916.0</v>
      </c>
      <c r="C2929" s="1" t="s">
        <v>30</v>
      </c>
      <c r="D2929" s="1" t="s">
        <v>15</v>
      </c>
      <c r="E2929" s="1" t="s">
        <v>54</v>
      </c>
      <c r="F2929" s="1">
        <v>885.39</v>
      </c>
      <c r="G2929" s="1">
        <v>126.22</v>
      </c>
      <c r="H2929" s="1">
        <v>5.0</v>
      </c>
      <c r="I2929" s="1" t="s">
        <v>34</v>
      </c>
      <c r="J2929" s="1" t="s">
        <v>18</v>
      </c>
      <c r="K2929" s="1">
        <f t="shared" si="1"/>
        <v>2022</v>
      </c>
      <c r="L2929" s="1" t="str">
        <f t="shared" si="2"/>
        <v>Dec</v>
      </c>
      <c r="M2929" s="1" t="str">
        <f t="shared" si="3"/>
        <v>Profit</v>
      </c>
    </row>
    <row r="2930" ht="14.25" customHeight="1">
      <c r="A2930" s="1" t="s">
        <v>2964</v>
      </c>
      <c r="B2930" s="2">
        <v>44338.0</v>
      </c>
      <c r="C2930" s="1" t="s">
        <v>30</v>
      </c>
      <c r="D2930" s="1" t="s">
        <v>15</v>
      </c>
      <c r="E2930" s="1" t="s">
        <v>16</v>
      </c>
      <c r="F2930" s="1">
        <v>505.71</v>
      </c>
      <c r="G2930" s="1">
        <v>105.86</v>
      </c>
      <c r="H2930" s="1">
        <v>2.0</v>
      </c>
      <c r="I2930" s="1" t="s">
        <v>23</v>
      </c>
      <c r="J2930" s="1" t="s">
        <v>18</v>
      </c>
      <c r="K2930" s="1">
        <f t="shared" si="1"/>
        <v>2021</v>
      </c>
      <c r="L2930" s="1" t="str">
        <f t="shared" si="2"/>
        <v>May</v>
      </c>
      <c r="M2930" s="1" t="str">
        <f t="shared" si="3"/>
        <v>Profit</v>
      </c>
    </row>
    <row r="2931" ht="14.25" customHeight="1">
      <c r="A2931" s="1" t="s">
        <v>2965</v>
      </c>
      <c r="B2931" s="2">
        <v>44292.0</v>
      </c>
      <c r="C2931" s="1" t="s">
        <v>30</v>
      </c>
      <c r="D2931" s="1" t="s">
        <v>27</v>
      </c>
      <c r="E2931" s="1" t="s">
        <v>28</v>
      </c>
      <c r="F2931" s="1">
        <v>531.25</v>
      </c>
      <c r="G2931" s="1">
        <v>94.08</v>
      </c>
      <c r="H2931" s="1">
        <v>6.0</v>
      </c>
      <c r="I2931" s="1" t="s">
        <v>17</v>
      </c>
      <c r="J2931" s="1" t="s">
        <v>35</v>
      </c>
      <c r="K2931" s="1">
        <f t="shared" si="1"/>
        <v>2021</v>
      </c>
      <c r="L2931" s="1" t="str">
        <f t="shared" si="2"/>
        <v>Apr</v>
      </c>
      <c r="M2931" s="1" t="str">
        <f t="shared" si="3"/>
        <v>Profit</v>
      </c>
    </row>
    <row r="2932" ht="14.25" customHeight="1">
      <c r="A2932" s="1" t="s">
        <v>2966</v>
      </c>
      <c r="B2932" s="2">
        <v>45021.0</v>
      </c>
      <c r="C2932" s="1" t="s">
        <v>14</v>
      </c>
      <c r="D2932" s="1" t="s">
        <v>15</v>
      </c>
      <c r="E2932" s="1" t="s">
        <v>31</v>
      </c>
      <c r="F2932" s="1">
        <v>823.37</v>
      </c>
      <c r="G2932" s="1">
        <v>148.03</v>
      </c>
      <c r="H2932" s="1">
        <v>7.0</v>
      </c>
      <c r="I2932" s="1" t="s">
        <v>34</v>
      </c>
      <c r="J2932" s="1" t="s">
        <v>24</v>
      </c>
      <c r="K2932" s="1">
        <f t="shared" si="1"/>
        <v>2023</v>
      </c>
      <c r="L2932" s="1" t="str">
        <f t="shared" si="2"/>
        <v>Apr</v>
      </c>
      <c r="M2932" s="1" t="str">
        <f t="shared" si="3"/>
        <v>Profit</v>
      </c>
    </row>
    <row r="2933" ht="14.25" customHeight="1">
      <c r="A2933" s="1" t="s">
        <v>2967</v>
      </c>
      <c r="B2933" s="2">
        <v>45226.0</v>
      </c>
      <c r="C2933" s="1" t="s">
        <v>14</v>
      </c>
      <c r="D2933" s="1" t="s">
        <v>27</v>
      </c>
      <c r="E2933" s="1" t="s">
        <v>33</v>
      </c>
      <c r="F2933" s="1">
        <v>110.55</v>
      </c>
      <c r="G2933" s="1">
        <v>71.05</v>
      </c>
      <c r="H2933" s="1">
        <v>3.0</v>
      </c>
      <c r="I2933" s="1" t="s">
        <v>17</v>
      </c>
      <c r="J2933" s="1" t="s">
        <v>24</v>
      </c>
      <c r="K2933" s="1">
        <f t="shared" si="1"/>
        <v>2023</v>
      </c>
      <c r="L2933" s="1" t="str">
        <f t="shared" si="2"/>
        <v>Oct</v>
      </c>
      <c r="M2933" s="1" t="str">
        <f t="shared" si="3"/>
        <v>Profit</v>
      </c>
    </row>
    <row r="2934" ht="14.25" customHeight="1">
      <c r="A2934" s="1" t="s">
        <v>2968</v>
      </c>
      <c r="B2934" s="2">
        <v>45121.0</v>
      </c>
      <c r="C2934" s="1" t="s">
        <v>30</v>
      </c>
      <c r="D2934" s="1" t="s">
        <v>21</v>
      </c>
      <c r="E2934" s="1" t="s">
        <v>22</v>
      </c>
      <c r="F2934" s="1">
        <v>195.41</v>
      </c>
      <c r="G2934" s="1">
        <v>242.38</v>
      </c>
      <c r="H2934" s="1">
        <v>2.0</v>
      </c>
      <c r="I2934" s="1" t="s">
        <v>23</v>
      </c>
      <c r="J2934" s="1" t="s">
        <v>18</v>
      </c>
      <c r="K2934" s="1">
        <f t="shared" si="1"/>
        <v>2023</v>
      </c>
      <c r="L2934" s="1" t="str">
        <f t="shared" si="2"/>
        <v>Jul</v>
      </c>
      <c r="M2934" s="1" t="str">
        <f t="shared" si="3"/>
        <v>Profit</v>
      </c>
    </row>
    <row r="2935" ht="14.25" customHeight="1">
      <c r="A2935" s="1" t="s">
        <v>2969</v>
      </c>
      <c r="B2935" s="2">
        <v>44399.0</v>
      </c>
      <c r="C2935" s="1" t="s">
        <v>26</v>
      </c>
      <c r="D2935" s="1" t="s">
        <v>15</v>
      </c>
      <c r="E2935" s="1" t="s">
        <v>54</v>
      </c>
      <c r="F2935" s="1">
        <v>218.76</v>
      </c>
      <c r="G2935" s="1">
        <v>92.9</v>
      </c>
      <c r="H2935" s="1">
        <v>2.0</v>
      </c>
      <c r="I2935" s="1" t="s">
        <v>34</v>
      </c>
      <c r="J2935" s="1" t="s">
        <v>38</v>
      </c>
      <c r="K2935" s="1">
        <f t="shared" si="1"/>
        <v>2021</v>
      </c>
      <c r="L2935" s="1" t="str">
        <f t="shared" si="2"/>
        <v>Jul</v>
      </c>
      <c r="M2935" s="1" t="str">
        <f t="shared" si="3"/>
        <v>Profit</v>
      </c>
    </row>
    <row r="2936" ht="14.25" customHeight="1">
      <c r="A2936" s="1" t="s">
        <v>2970</v>
      </c>
      <c r="B2936" s="2">
        <v>44955.0</v>
      </c>
      <c r="C2936" s="1" t="s">
        <v>26</v>
      </c>
      <c r="D2936" s="1" t="s">
        <v>21</v>
      </c>
      <c r="E2936" s="1" t="s">
        <v>22</v>
      </c>
      <c r="F2936" s="1">
        <v>588.25</v>
      </c>
      <c r="G2936" s="1">
        <v>81.52</v>
      </c>
      <c r="H2936" s="1">
        <v>6.0</v>
      </c>
      <c r="I2936" s="1" t="s">
        <v>23</v>
      </c>
      <c r="J2936" s="1" t="s">
        <v>24</v>
      </c>
      <c r="K2936" s="1">
        <f t="shared" si="1"/>
        <v>2023</v>
      </c>
      <c r="L2936" s="1" t="str">
        <f t="shared" si="2"/>
        <v>Jan</v>
      </c>
      <c r="M2936" s="1" t="str">
        <f t="shared" si="3"/>
        <v>Profit</v>
      </c>
    </row>
    <row r="2937" ht="14.25" customHeight="1">
      <c r="A2937" s="1" t="s">
        <v>2971</v>
      </c>
      <c r="B2937" s="2">
        <v>44467.0</v>
      </c>
      <c r="C2937" s="1" t="s">
        <v>26</v>
      </c>
      <c r="D2937" s="1" t="s">
        <v>15</v>
      </c>
      <c r="E2937" s="1" t="s">
        <v>16</v>
      </c>
      <c r="F2937" s="1">
        <v>745.8</v>
      </c>
      <c r="G2937" s="1">
        <v>38.39</v>
      </c>
      <c r="H2937" s="1">
        <v>3.0</v>
      </c>
      <c r="I2937" s="1" t="s">
        <v>23</v>
      </c>
      <c r="J2937" s="1" t="s">
        <v>38</v>
      </c>
      <c r="K2937" s="1">
        <f t="shared" si="1"/>
        <v>2021</v>
      </c>
      <c r="L2937" s="1" t="str">
        <f t="shared" si="2"/>
        <v>Sep</v>
      </c>
      <c r="M2937" s="1" t="str">
        <f t="shared" si="3"/>
        <v>Profit</v>
      </c>
    </row>
    <row r="2938" ht="14.25" customHeight="1">
      <c r="A2938" s="1" t="s">
        <v>2972</v>
      </c>
      <c r="B2938" s="2">
        <v>44269.0</v>
      </c>
      <c r="C2938" s="1" t="s">
        <v>20</v>
      </c>
      <c r="D2938" s="1" t="s">
        <v>27</v>
      </c>
      <c r="E2938" s="1" t="s">
        <v>33</v>
      </c>
      <c r="F2938" s="1">
        <v>424.01</v>
      </c>
      <c r="G2938" s="1">
        <v>113.17</v>
      </c>
      <c r="H2938" s="1">
        <v>3.0</v>
      </c>
      <c r="I2938" s="1" t="s">
        <v>17</v>
      </c>
      <c r="J2938" s="1" t="s">
        <v>18</v>
      </c>
      <c r="K2938" s="1">
        <f t="shared" si="1"/>
        <v>2021</v>
      </c>
      <c r="L2938" s="1" t="str">
        <f t="shared" si="2"/>
        <v>Mar</v>
      </c>
      <c r="M2938" s="1" t="str">
        <f t="shared" si="3"/>
        <v>Profit</v>
      </c>
    </row>
    <row r="2939" ht="14.25" customHeight="1">
      <c r="A2939" s="1" t="s">
        <v>2973</v>
      </c>
      <c r="B2939" s="2">
        <v>44827.0</v>
      </c>
      <c r="C2939" s="1" t="s">
        <v>30</v>
      </c>
      <c r="D2939" s="1" t="s">
        <v>27</v>
      </c>
      <c r="E2939" s="1" t="s">
        <v>40</v>
      </c>
      <c r="F2939" s="1">
        <v>842.69</v>
      </c>
      <c r="G2939" s="1">
        <v>-157.35</v>
      </c>
      <c r="H2939" s="1">
        <v>7.0</v>
      </c>
      <c r="I2939" s="1" t="s">
        <v>23</v>
      </c>
      <c r="J2939" s="1" t="s">
        <v>24</v>
      </c>
      <c r="K2939" s="1">
        <f t="shared" si="1"/>
        <v>2022</v>
      </c>
      <c r="L2939" s="1" t="str">
        <f t="shared" si="2"/>
        <v>Sep</v>
      </c>
      <c r="M2939" s="1" t="str">
        <f t="shared" si="3"/>
        <v>Loss</v>
      </c>
    </row>
    <row r="2940" ht="14.25" customHeight="1">
      <c r="A2940" s="1" t="s">
        <v>2974</v>
      </c>
      <c r="B2940" s="2">
        <v>45069.0</v>
      </c>
      <c r="C2940" s="1" t="s">
        <v>30</v>
      </c>
      <c r="D2940" s="1" t="s">
        <v>21</v>
      </c>
      <c r="E2940" s="1" t="s">
        <v>37</v>
      </c>
      <c r="F2940" s="1">
        <v>264.83</v>
      </c>
      <c r="G2940" s="1">
        <v>85.09</v>
      </c>
      <c r="H2940" s="1">
        <v>2.0</v>
      </c>
      <c r="I2940" s="1" t="s">
        <v>34</v>
      </c>
      <c r="J2940" s="1" t="s">
        <v>18</v>
      </c>
      <c r="K2940" s="1">
        <f t="shared" si="1"/>
        <v>2023</v>
      </c>
      <c r="L2940" s="1" t="str">
        <f t="shared" si="2"/>
        <v>May</v>
      </c>
      <c r="M2940" s="1" t="str">
        <f t="shared" si="3"/>
        <v>Profit</v>
      </c>
    </row>
    <row r="2941" ht="14.25" customHeight="1">
      <c r="A2941" s="1" t="s">
        <v>2975</v>
      </c>
      <c r="B2941" s="2">
        <v>44980.0</v>
      </c>
      <c r="C2941" s="1" t="s">
        <v>30</v>
      </c>
      <c r="D2941" s="1" t="s">
        <v>15</v>
      </c>
      <c r="E2941" s="1" t="s">
        <v>16</v>
      </c>
      <c r="F2941" s="1">
        <v>447.0</v>
      </c>
      <c r="G2941" s="1">
        <v>291.09</v>
      </c>
      <c r="H2941" s="1">
        <v>5.0</v>
      </c>
      <c r="I2941" s="1" t="s">
        <v>23</v>
      </c>
      <c r="J2941" s="1" t="s">
        <v>24</v>
      </c>
      <c r="K2941" s="1">
        <f t="shared" si="1"/>
        <v>2023</v>
      </c>
      <c r="L2941" s="1" t="str">
        <f t="shared" si="2"/>
        <v>Feb</v>
      </c>
      <c r="M2941" s="1" t="str">
        <f t="shared" si="3"/>
        <v>Profit</v>
      </c>
    </row>
    <row r="2942" ht="14.25" customHeight="1">
      <c r="A2942" s="1" t="s">
        <v>2976</v>
      </c>
      <c r="B2942" s="2">
        <v>44580.0</v>
      </c>
      <c r="C2942" s="1" t="s">
        <v>30</v>
      </c>
      <c r="D2942" s="1" t="s">
        <v>15</v>
      </c>
      <c r="E2942" s="1" t="s">
        <v>54</v>
      </c>
      <c r="F2942" s="1">
        <v>798.2</v>
      </c>
      <c r="G2942" s="1">
        <v>73.39</v>
      </c>
      <c r="H2942" s="1">
        <v>10.0</v>
      </c>
      <c r="I2942" s="1" t="s">
        <v>23</v>
      </c>
      <c r="J2942" s="1" t="s">
        <v>38</v>
      </c>
      <c r="K2942" s="1">
        <f t="shared" si="1"/>
        <v>2022</v>
      </c>
      <c r="L2942" s="1" t="str">
        <f t="shared" si="2"/>
        <v>Jan</v>
      </c>
      <c r="M2942" s="1" t="str">
        <f t="shared" si="3"/>
        <v>Profit</v>
      </c>
    </row>
    <row r="2943" ht="14.25" customHeight="1">
      <c r="A2943" s="1" t="s">
        <v>2977</v>
      </c>
      <c r="B2943" s="2">
        <v>44542.0</v>
      </c>
      <c r="C2943" s="1" t="s">
        <v>30</v>
      </c>
      <c r="D2943" s="1" t="s">
        <v>15</v>
      </c>
      <c r="E2943" s="1" t="s">
        <v>16</v>
      </c>
      <c r="F2943" s="1">
        <v>475.23</v>
      </c>
      <c r="G2943" s="1">
        <v>138.0</v>
      </c>
      <c r="H2943" s="1">
        <v>8.0</v>
      </c>
      <c r="I2943" s="1" t="s">
        <v>17</v>
      </c>
      <c r="J2943" s="1" t="s">
        <v>24</v>
      </c>
      <c r="K2943" s="1">
        <f t="shared" si="1"/>
        <v>2021</v>
      </c>
      <c r="L2943" s="1" t="str">
        <f t="shared" si="2"/>
        <v>Dec</v>
      </c>
      <c r="M2943" s="1" t="str">
        <f t="shared" si="3"/>
        <v>Profit</v>
      </c>
    </row>
    <row r="2944" ht="14.25" customHeight="1">
      <c r="A2944" s="1" t="s">
        <v>2978</v>
      </c>
      <c r="B2944" s="2">
        <v>44228.0</v>
      </c>
      <c r="C2944" s="1" t="s">
        <v>14</v>
      </c>
      <c r="D2944" s="1" t="s">
        <v>21</v>
      </c>
      <c r="E2944" s="1" t="s">
        <v>76</v>
      </c>
      <c r="F2944" s="1">
        <v>719.11</v>
      </c>
      <c r="G2944" s="1">
        <v>24.93</v>
      </c>
      <c r="H2944" s="1">
        <v>7.0</v>
      </c>
      <c r="I2944" s="1" t="s">
        <v>23</v>
      </c>
      <c r="J2944" s="1" t="s">
        <v>38</v>
      </c>
      <c r="K2944" s="1">
        <f t="shared" si="1"/>
        <v>2021</v>
      </c>
      <c r="L2944" s="1" t="str">
        <f t="shared" si="2"/>
        <v>Feb</v>
      </c>
      <c r="M2944" s="1" t="str">
        <f t="shared" si="3"/>
        <v>Profit</v>
      </c>
    </row>
    <row r="2945" ht="14.25" customHeight="1">
      <c r="A2945" s="1" t="s">
        <v>2979</v>
      </c>
      <c r="B2945" s="2">
        <v>44903.0</v>
      </c>
      <c r="C2945" s="1" t="s">
        <v>20</v>
      </c>
      <c r="D2945" s="1" t="s">
        <v>15</v>
      </c>
      <c r="E2945" s="1" t="s">
        <v>31</v>
      </c>
      <c r="F2945" s="1">
        <v>600.74</v>
      </c>
      <c r="G2945" s="1">
        <v>88.35</v>
      </c>
      <c r="H2945" s="1">
        <v>6.0</v>
      </c>
      <c r="I2945" s="1" t="s">
        <v>17</v>
      </c>
      <c r="J2945" s="1" t="s">
        <v>38</v>
      </c>
      <c r="K2945" s="1">
        <f t="shared" si="1"/>
        <v>2022</v>
      </c>
      <c r="L2945" s="1" t="str">
        <f t="shared" si="2"/>
        <v>Dec</v>
      </c>
      <c r="M2945" s="1" t="str">
        <f t="shared" si="3"/>
        <v>Profit</v>
      </c>
    </row>
    <row r="2946" ht="14.25" customHeight="1">
      <c r="A2946" s="1" t="s">
        <v>2980</v>
      </c>
      <c r="B2946" s="2">
        <v>44303.0</v>
      </c>
      <c r="C2946" s="1" t="s">
        <v>20</v>
      </c>
      <c r="D2946" s="1" t="s">
        <v>27</v>
      </c>
      <c r="E2946" s="1" t="s">
        <v>33</v>
      </c>
      <c r="F2946" s="1">
        <v>618.7</v>
      </c>
      <c r="G2946" s="1">
        <v>163.19</v>
      </c>
      <c r="H2946" s="1">
        <v>8.0</v>
      </c>
      <c r="I2946" s="1" t="s">
        <v>17</v>
      </c>
      <c r="J2946" s="1" t="s">
        <v>38</v>
      </c>
      <c r="K2946" s="1">
        <f t="shared" si="1"/>
        <v>2021</v>
      </c>
      <c r="L2946" s="1" t="str">
        <f t="shared" si="2"/>
        <v>Apr</v>
      </c>
      <c r="M2946" s="1" t="str">
        <f t="shared" si="3"/>
        <v>Profit</v>
      </c>
    </row>
    <row r="2947" ht="14.25" customHeight="1">
      <c r="A2947" s="1" t="s">
        <v>2981</v>
      </c>
      <c r="B2947" s="2">
        <v>45095.0</v>
      </c>
      <c r="C2947" s="1" t="s">
        <v>26</v>
      </c>
      <c r="D2947" s="1" t="s">
        <v>27</v>
      </c>
      <c r="E2947" s="1" t="s">
        <v>28</v>
      </c>
      <c r="F2947" s="1">
        <v>147.11</v>
      </c>
      <c r="G2947" s="1">
        <v>8.22</v>
      </c>
      <c r="H2947" s="1">
        <v>9.0</v>
      </c>
      <c r="I2947" s="1" t="s">
        <v>17</v>
      </c>
      <c r="J2947" s="1" t="s">
        <v>35</v>
      </c>
      <c r="K2947" s="1">
        <f t="shared" si="1"/>
        <v>2023</v>
      </c>
      <c r="L2947" s="1" t="str">
        <f t="shared" si="2"/>
        <v>Jun</v>
      </c>
      <c r="M2947" s="1" t="str">
        <f t="shared" si="3"/>
        <v>Profit</v>
      </c>
    </row>
    <row r="2948" ht="14.25" customHeight="1">
      <c r="A2948" s="1" t="s">
        <v>2982</v>
      </c>
      <c r="B2948" s="2">
        <v>44382.0</v>
      </c>
      <c r="C2948" s="1" t="s">
        <v>26</v>
      </c>
      <c r="D2948" s="1" t="s">
        <v>15</v>
      </c>
      <c r="E2948" s="1" t="s">
        <v>16</v>
      </c>
      <c r="F2948" s="1">
        <v>896.12</v>
      </c>
      <c r="G2948" s="1">
        <v>248.69</v>
      </c>
      <c r="H2948" s="1">
        <v>4.0</v>
      </c>
      <c r="I2948" s="1" t="s">
        <v>17</v>
      </c>
      <c r="J2948" s="1" t="s">
        <v>38</v>
      </c>
      <c r="K2948" s="1">
        <f t="shared" si="1"/>
        <v>2021</v>
      </c>
      <c r="L2948" s="1" t="str">
        <f t="shared" si="2"/>
        <v>Jul</v>
      </c>
      <c r="M2948" s="1" t="str">
        <f t="shared" si="3"/>
        <v>Profit</v>
      </c>
    </row>
    <row r="2949" ht="14.25" customHeight="1">
      <c r="A2949" s="1" t="s">
        <v>2983</v>
      </c>
      <c r="B2949" s="2">
        <v>44651.0</v>
      </c>
      <c r="C2949" s="1" t="s">
        <v>26</v>
      </c>
      <c r="D2949" s="1" t="s">
        <v>21</v>
      </c>
      <c r="E2949" s="1" t="s">
        <v>76</v>
      </c>
      <c r="F2949" s="1">
        <v>801.07</v>
      </c>
      <c r="G2949" s="1">
        <v>165.82</v>
      </c>
      <c r="H2949" s="1">
        <v>6.0</v>
      </c>
      <c r="I2949" s="1" t="s">
        <v>23</v>
      </c>
      <c r="J2949" s="1" t="s">
        <v>35</v>
      </c>
      <c r="K2949" s="1">
        <f t="shared" si="1"/>
        <v>2022</v>
      </c>
      <c r="L2949" s="1" t="str">
        <f t="shared" si="2"/>
        <v>Mar</v>
      </c>
      <c r="M2949" s="1" t="str">
        <f t="shared" si="3"/>
        <v>Profit</v>
      </c>
    </row>
    <row r="2950" ht="14.25" customHeight="1">
      <c r="A2950" s="1" t="s">
        <v>2984</v>
      </c>
      <c r="B2950" s="2">
        <v>44903.0</v>
      </c>
      <c r="C2950" s="1" t="s">
        <v>26</v>
      </c>
      <c r="D2950" s="1" t="s">
        <v>27</v>
      </c>
      <c r="E2950" s="1" t="s">
        <v>33</v>
      </c>
      <c r="F2950" s="1">
        <v>400.14</v>
      </c>
      <c r="G2950" s="1">
        <v>28.96</v>
      </c>
      <c r="H2950" s="1">
        <v>1.0</v>
      </c>
      <c r="I2950" s="1" t="s">
        <v>34</v>
      </c>
      <c r="J2950" s="1" t="s">
        <v>24</v>
      </c>
      <c r="K2950" s="1">
        <f t="shared" si="1"/>
        <v>2022</v>
      </c>
      <c r="L2950" s="1" t="str">
        <f t="shared" si="2"/>
        <v>Dec</v>
      </c>
      <c r="M2950" s="1" t="str">
        <f t="shared" si="3"/>
        <v>Profit</v>
      </c>
    </row>
    <row r="2951" ht="14.25" customHeight="1">
      <c r="A2951" s="1" t="s">
        <v>2985</v>
      </c>
      <c r="B2951" s="2">
        <v>44525.0</v>
      </c>
      <c r="C2951" s="1" t="s">
        <v>20</v>
      </c>
      <c r="D2951" s="1" t="s">
        <v>21</v>
      </c>
      <c r="E2951" s="1" t="s">
        <v>22</v>
      </c>
      <c r="F2951" s="1">
        <v>997.89</v>
      </c>
      <c r="G2951" s="1">
        <v>91.3</v>
      </c>
      <c r="H2951" s="1">
        <v>9.0</v>
      </c>
      <c r="I2951" s="1" t="s">
        <v>34</v>
      </c>
      <c r="J2951" s="1" t="s">
        <v>18</v>
      </c>
      <c r="K2951" s="1">
        <f t="shared" si="1"/>
        <v>2021</v>
      </c>
      <c r="L2951" s="1" t="str">
        <f t="shared" si="2"/>
        <v>Nov</v>
      </c>
      <c r="M2951" s="1" t="str">
        <f t="shared" si="3"/>
        <v>Profit</v>
      </c>
    </row>
    <row r="2952" ht="14.25" customHeight="1">
      <c r="A2952" s="1" t="s">
        <v>2986</v>
      </c>
      <c r="B2952" s="2">
        <v>44836.0</v>
      </c>
      <c r="C2952" s="1" t="s">
        <v>20</v>
      </c>
      <c r="D2952" s="1" t="s">
        <v>15</v>
      </c>
      <c r="E2952" s="1" t="s">
        <v>31</v>
      </c>
      <c r="F2952" s="1">
        <v>298.41</v>
      </c>
      <c r="G2952" s="1">
        <v>207.57</v>
      </c>
      <c r="H2952" s="1">
        <v>6.0</v>
      </c>
      <c r="I2952" s="1" t="s">
        <v>17</v>
      </c>
      <c r="J2952" s="1" t="s">
        <v>35</v>
      </c>
      <c r="K2952" s="1">
        <f t="shared" si="1"/>
        <v>2022</v>
      </c>
      <c r="L2952" s="1" t="str">
        <f t="shared" si="2"/>
        <v>Oct</v>
      </c>
      <c r="M2952" s="1" t="str">
        <f t="shared" si="3"/>
        <v>Profit</v>
      </c>
    </row>
    <row r="2953" ht="14.25" customHeight="1">
      <c r="A2953" s="1" t="s">
        <v>2987</v>
      </c>
      <c r="B2953" s="2">
        <v>44961.0</v>
      </c>
      <c r="C2953" s="1" t="s">
        <v>14</v>
      </c>
      <c r="D2953" s="1" t="s">
        <v>21</v>
      </c>
      <c r="E2953" s="1" t="s">
        <v>76</v>
      </c>
      <c r="F2953" s="1">
        <v>260.77</v>
      </c>
      <c r="G2953" s="1">
        <v>55.62</v>
      </c>
      <c r="H2953" s="1">
        <v>10.0</v>
      </c>
      <c r="I2953" s="1" t="s">
        <v>23</v>
      </c>
      <c r="J2953" s="1" t="s">
        <v>24</v>
      </c>
      <c r="K2953" s="1">
        <f t="shared" si="1"/>
        <v>2023</v>
      </c>
      <c r="L2953" s="1" t="str">
        <f t="shared" si="2"/>
        <v>Feb</v>
      </c>
      <c r="M2953" s="1" t="str">
        <f t="shared" si="3"/>
        <v>Profit</v>
      </c>
    </row>
    <row r="2954" ht="14.25" customHeight="1">
      <c r="A2954" s="1" t="s">
        <v>2988</v>
      </c>
      <c r="B2954" s="2">
        <v>45120.0</v>
      </c>
      <c r="C2954" s="1" t="s">
        <v>20</v>
      </c>
      <c r="D2954" s="1" t="s">
        <v>21</v>
      </c>
      <c r="E2954" s="1" t="s">
        <v>37</v>
      </c>
      <c r="F2954" s="1">
        <v>491.51</v>
      </c>
      <c r="G2954" s="1">
        <v>135.38</v>
      </c>
      <c r="H2954" s="1">
        <v>9.0</v>
      </c>
      <c r="I2954" s="1" t="s">
        <v>23</v>
      </c>
      <c r="J2954" s="1" t="s">
        <v>18</v>
      </c>
      <c r="K2954" s="1">
        <f t="shared" si="1"/>
        <v>2023</v>
      </c>
      <c r="L2954" s="1" t="str">
        <f t="shared" si="2"/>
        <v>Jul</v>
      </c>
      <c r="M2954" s="1" t="str">
        <f t="shared" si="3"/>
        <v>Profit</v>
      </c>
    </row>
    <row r="2955" ht="14.25" customHeight="1">
      <c r="A2955" s="1" t="s">
        <v>2989</v>
      </c>
      <c r="B2955" s="2">
        <v>44691.0</v>
      </c>
      <c r="C2955" s="1" t="s">
        <v>30</v>
      </c>
      <c r="D2955" s="1" t="s">
        <v>15</v>
      </c>
      <c r="E2955" s="1" t="s">
        <v>54</v>
      </c>
      <c r="F2955" s="1">
        <v>391.87</v>
      </c>
      <c r="G2955" s="1">
        <v>188.12</v>
      </c>
      <c r="H2955" s="1">
        <v>8.0</v>
      </c>
      <c r="I2955" s="1" t="s">
        <v>34</v>
      </c>
      <c r="J2955" s="1" t="s">
        <v>24</v>
      </c>
      <c r="K2955" s="1">
        <f t="shared" si="1"/>
        <v>2022</v>
      </c>
      <c r="L2955" s="1" t="str">
        <f t="shared" si="2"/>
        <v>May</v>
      </c>
      <c r="M2955" s="1" t="str">
        <f t="shared" si="3"/>
        <v>Profit</v>
      </c>
    </row>
    <row r="2956" ht="14.25" customHeight="1">
      <c r="A2956" s="1" t="s">
        <v>2990</v>
      </c>
      <c r="B2956" s="2">
        <v>44521.0</v>
      </c>
      <c r="C2956" s="1" t="s">
        <v>14</v>
      </c>
      <c r="D2956" s="1" t="s">
        <v>27</v>
      </c>
      <c r="E2956" s="1" t="s">
        <v>33</v>
      </c>
      <c r="F2956" s="1">
        <v>32.95</v>
      </c>
      <c r="G2956" s="1">
        <v>206.22</v>
      </c>
      <c r="H2956" s="1">
        <v>9.0</v>
      </c>
      <c r="I2956" s="1" t="s">
        <v>17</v>
      </c>
      <c r="J2956" s="1" t="s">
        <v>35</v>
      </c>
      <c r="K2956" s="1">
        <f t="shared" si="1"/>
        <v>2021</v>
      </c>
      <c r="L2956" s="1" t="str">
        <f t="shared" si="2"/>
        <v>Nov</v>
      </c>
      <c r="M2956" s="1" t="str">
        <f t="shared" si="3"/>
        <v>Profit</v>
      </c>
    </row>
    <row r="2957" ht="14.25" customHeight="1">
      <c r="A2957" s="1" t="s">
        <v>2991</v>
      </c>
      <c r="B2957" s="2">
        <v>44482.0</v>
      </c>
      <c r="C2957" s="1" t="s">
        <v>14</v>
      </c>
      <c r="D2957" s="1" t="s">
        <v>21</v>
      </c>
      <c r="E2957" s="1" t="s">
        <v>22</v>
      </c>
      <c r="F2957" s="1">
        <v>270.27</v>
      </c>
      <c r="G2957" s="1">
        <v>250.87</v>
      </c>
      <c r="H2957" s="1">
        <v>2.0</v>
      </c>
      <c r="I2957" s="1" t="s">
        <v>34</v>
      </c>
      <c r="J2957" s="1" t="s">
        <v>35</v>
      </c>
      <c r="K2957" s="1">
        <f t="shared" si="1"/>
        <v>2021</v>
      </c>
      <c r="L2957" s="1" t="str">
        <f t="shared" si="2"/>
        <v>Oct</v>
      </c>
      <c r="M2957" s="1" t="str">
        <f t="shared" si="3"/>
        <v>Profit</v>
      </c>
    </row>
    <row r="2958" ht="14.25" customHeight="1">
      <c r="A2958" s="1" t="s">
        <v>2992</v>
      </c>
      <c r="B2958" s="2">
        <v>44402.0</v>
      </c>
      <c r="C2958" s="1" t="s">
        <v>14</v>
      </c>
      <c r="D2958" s="1" t="s">
        <v>27</v>
      </c>
      <c r="E2958" s="1" t="s">
        <v>28</v>
      </c>
      <c r="F2958" s="1">
        <v>274.97</v>
      </c>
      <c r="G2958" s="1">
        <v>-1.73</v>
      </c>
      <c r="H2958" s="1">
        <v>9.0</v>
      </c>
      <c r="I2958" s="1" t="s">
        <v>34</v>
      </c>
      <c r="J2958" s="1" t="s">
        <v>24</v>
      </c>
      <c r="K2958" s="1">
        <f t="shared" si="1"/>
        <v>2021</v>
      </c>
      <c r="L2958" s="1" t="str">
        <f t="shared" si="2"/>
        <v>Jul</v>
      </c>
      <c r="M2958" s="1" t="str">
        <f t="shared" si="3"/>
        <v>Loss</v>
      </c>
    </row>
    <row r="2959" ht="14.25" customHeight="1">
      <c r="A2959" s="1" t="s">
        <v>2993</v>
      </c>
      <c r="B2959" s="2">
        <v>44424.0</v>
      </c>
      <c r="C2959" s="1" t="s">
        <v>20</v>
      </c>
      <c r="D2959" s="1" t="s">
        <v>15</v>
      </c>
      <c r="E2959" s="1" t="s">
        <v>54</v>
      </c>
      <c r="F2959" s="1">
        <v>596.31</v>
      </c>
      <c r="G2959" s="1">
        <v>-79.65</v>
      </c>
      <c r="H2959" s="1">
        <v>2.0</v>
      </c>
      <c r="I2959" s="1" t="s">
        <v>17</v>
      </c>
      <c r="J2959" s="1" t="s">
        <v>18</v>
      </c>
      <c r="K2959" s="1">
        <f t="shared" si="1"/>
        <v>2021</v>
      </c>
      <c r="L2959" s="1" t="str">
        <f t="shared" si="2"/>
        <v>Aug</v>
      </c>
      <c r="M2959" s="1" t="str">
        <f t="shared" si="3"/>
        <v>Loss</v>
      </c>
    </row>
    <row r="2960" ht="14.25" customHeight="1">
      <c r="A2960" s="1" t="s">
        <v>2994</v>
      </c>
      <c r="B2960" s="2">
        <v>44525.0</v>
      </c>
      <c r="C2960" s="1" t="s">
        <v>14</v>
      </c>
      <c r="D2960" s="1" t="s">
        <v>21</v>
      </c>
      <c r="E2960" s="1" t="s">
        <v>76</v>
      </c>
      <c r="F2960" s="1">
        <v>858.96</v>
      </c>
      <c r="G2960" s="1">
        <v>-77.2</v>
      </c>
      <c r="H2960" s="1">
        <v>5.0</v>
      </c>
      <c r="I2960" s="1" t="s">
        <v>23</v>
      </c>
      <c r="J2960" s="1" t="s">
        <v>35</v>
      </c>
      <c r="K2960" s="1">
        <f t="shared" si="1"/>
        <v>2021</v>
      </c>
      <c r="L2960" s="1" t="str">
        <f t="shared" si="2"/>
        <v>Nov</v>
      </c>
      <c r="M2960" s="1" t="str">
        <f t="shared" si="3"/>
        <v>Loss</v>
      </c>
    </row>
    <row r="2961" ht="14.25" customHeight="1">
      <c r="A2961" s="1" t="s">
        <v>2995</v>
      </c>
      <c r="B2961" s="2">
        <v>44342.0</v>
      </c>
      <c r="C2961" s="1" t="s">
        <v>14</v>
      </c>
      <c r="D2961" s="1" t="s">
        <v>21</v>
      </c>
      <c r="E2961" s="1" t="s">
        <v>76</v>
      </c>
      <c r="F2961" s="1">
        <v>545.85</v>
      </c>
      <c r="G2961" s="1">
        <v>191.42</v>
      </c>
      <c r="H2961" s="1">
        <v>7.0</v>
      </c>
      <c r="I2961" s="1" t="s">
        <v>17</v>
      </c>
      <c r="J2961" s="1" t="s">
        <v>35</v>
      </c>
      <c r="K2961" s="1">
        <f t="shared" si="1"/>
        <v>2021</v>
      </c>
      <c r="L2961" s="1" t="str">
        <f t="shared" si="2"/>
        <v>May</v>
      </c>
      <c r="M2961" s="1" t="str">
        <f t="shared" si="3"/>
        <v>Profit</v>
      </c>
    </row>
    <row r="2962" ht="14.25" customHeight="1">
      <c r="A2962" s="1" t="s">
        <v>2996</v>
      </c>
      <c r="B2962" s="2">
        <v>44861.0</v>
      </c>
      <c r="C2962" s="1" t="s">
        <v>26</v>
      </c>
      <c r="D2962" s="1" t="s">
        <v>27</v>
      </c>
      <c r="E2962" s="1" t="s">
        <v>28</v>
      </c>
      <c r="F2962" s="1">
        <v>748.51</v>
      </c>
      <c r="G2962" s="1">
        <v>192.78</v>
      </c>
      <c r="H2962" s="1">
        <v>2.0</v>
      </c>
      <c r="I2962" s="1" t="s">
        <v>17</v>
      </c>
      <c r="J2962" s="1" t="s">
        <v>38</v>
      </c>
      <c r="K2962" s="1">
        <f t="shared" si="1"/>
        <v>2022</v>
      </c>
      <c r="L2962" s="1" t="str">
        <f t="shared" si="2"/>
        <v>Oct</v>
      </c>
      <c r="M2962" s="1" t="str">
        <f t="shared" si="3"/>
        <v>Profit</v>
      </c>
    </row>
    <row r="2963" ht="14.25" customHeight="1">
      <c r="A2963" s="1" t="s">
        <v>2997</v>
      </c>
      <c r="B2963" s="2">
        <v>44846.0</v>
      </c>
      <c r="C2963" s="1" t="s">
        <v>20</v>
      </c>
      <c r="D2963" s="1" t="s">
        <v>21</v>
      </c>
      <c r="E2963" s="1" t="s">
        <v>76</v>
      </c>
      <c r="F2963" s="1">
        <v>53.82</v>
      </c>
      <c r="G2963" s="1">
        <v>-157.65</v>
      </c>
      <c r="H2963" s="1">
        <v>2.0</v>
      </c>
      <c r="I2963" s="1" t="s">
        <v>34</v>
      </c>
      <c r="J2963" s="1" t="s">
        <v>38</v>
      </c>
      <c r="K2963" s="1">
        <f t="shared" si="1"/>
        <v>2022</v>
      </c>
      <c r="L2963" s="1" t="str">
        <f t="shared" si="2"/>
        <v>Oct</v>
      </c>
      <c r="M2963" s="1" t="str">
        <f t="shared" si="3"/>
        <v>Loss</v>
      </c>
    </row>
    <row r="2964" ht="14.25" customHeight="1">
      <c r="A2964" s="1" t="s">
        <v>2998</v>
      </c>
      <c r="B2964" s="2">
        <v>44963.0</v>
      </c>
      <c r="C2964" s="1" t="s">
        <v>26</v>
      </c>
      <c r="D2964" s="1" t="s">
        <v>27</v>
      </c>
      <c r="E2964" s="1" t="s">
        <v>33</v>
      </c>
      <c r="F2964" s="1">
        <v>160.8</v>
      </c>
      <c r="G2964" s="1">
        <v>58.64</v>
      </c>
      <c r="H2964" s="1">
        <v>4.0</v>
      </c>
      <c r="I2964" s="1" t="s">
        <v>23</v>
      </c>
      <c r="J2964" s="1" t="s">
        <v>35</v>
      </c>
      <c r="K2964" s="1">
        <f t="shared" si="1"/>
        <v>2023</v>
      </c>
      <c r="L2964" s="1" t="str">
        <f t="shared" si="2"/>
        <v>Feb</v>
      </c>
      <c r="M2964" s="1" t="str">
        <f t="shared" si="3"/>
        <v>Profit</v>
      </c>
    </row>
    <row r="2965" ht="14.25" customHeight="1">
      <c r="A2965" s="1" t="s">
        <v>2999</v>
      </c>
      <c r="B2965" s="2">
        <v>44722.0</v>
      </c>
      <c r="C2965" s="1" t="s">
        <v>20</v>
      </c>
      <c r="D2965" s="1" t="s">
        <v>27</v>
      </c>
      <c r="E2965" s="1" t="s">
        <v>28</v>
      </c>
      <c r="F2965" s="1">
        <v>219.58</v>
      </c>
      <c r="G2965" s="1">
        <v>138.71</v>
      </c>
      <c r="H2965" s="1">
        <v>7.0</v>
      </c>
      <c r="I2965" s="1" t="s">
        <v>23</v>
      </c>
      <c r="J2965" s="1" t="s">
        <v>35</v>
      </c>
      <c r="K2965" s="1">
        <f t="shared" si="1"/>
        <v>2022</v>
      </c>
      <c r="L2965" s="1" t="str">
        <f t="shared" si="2"/>
        <v>Jun</v>
      </c>
      <c r="M2965" s="1" t="str">
        <f t="shared" si="3"/>
        <v>Profit</v>
      </c>
    </row>
    <row r="2966" ht="14.25" customHeight="1">
      <c r="A2966" s="1" t="s">
        <v>3000</v>
      </c>
      <c r="B2966" s="2">
        <v>44668.0</v>
      </c>
      <c r="C2966" s="1" t="s">
        <v>26</v>
      </c>
      <c r="D2966" s="1" t="s">
        <v>21</v>
      </c>
      <c r="E2966" s="1" t="s">
        <v>37</v>
      </c>
      <c r="F2966" s="1">
        <v>61.86</v>
      </c>
      <c r="G2966" s="1">
        <v>-63.25</v>
      </c>
      <c r="H2966" s="1">
        <v>6.0</v>
      </c>
      <c r="I2966" s="1" t="s">
        <v>34</v>
      </c>
      <c r="J2966" s="1" t="s">
        <v>24</v>
      </c>
      <c r="K2966" s="1">
        <f t="shared" si="1"/>
        <v>2022</v>
      </c>
      <c r="L2966" s="1" t="str">
        <f t="shared" si="2"/>
        <v>Apr</v>
      </c>
      <c r="M2966" s="1" t="str">
        <f t="shared" si="3"/>
        <v>Loss</v>
      </c>
    </row>
    <row r="2967" ht="14.25" customHeight="1">
      <c r="A2967" s="1" t="s">
        <v>3001</v>
      </c>
      <c r="B2967" s="2">
        <v>44247.0</v>
      </c>
      <c r="C2967" s="1" t="s">
        <v>26</v>
      </c>
      <c r="D2967" s="1" t="s">
        <v>15</v>
      </c>
      <c r="E2967" s="1" t="s">
        <v>54</v>
      </c>
      <c r="F2967" s="1">
        <v>617.0</v>
      </c>
      <c r="G2967" s="1">
        <v>192.04</v>
      </c>
      <c r="H2967" s="1">
        <v>9.0</v>
      </c>
      <c r="I2967" s="1" t="s">
        <v>17</v>
      </c>
      <c r="J2967" s="1" t="s">
        <v>18</v>
      </c>
      <c r="K2967" s="1">
        <f t="shared" si="1"/>
        <v>2021</v>
      </c>
      <c r="L2967" s="1" t="str">
        <f t="shared" si="2"/>
        <v>Feb</v>
      </c>
      <c r="M2967" s="1" t="str">
        <f t="shared" si="3"/>
        <v>Profit</v>
      </c>
    </row>
    <row r="2968" ht="14.25" customHeight="1">
      <c r="A2968" s="1" t="s">
        <v>3002</v>
      </c>
      <c r="B2968" s="2">
        <v>44767.0</v>
      </c>
      <c r="C2968" s="1" t="s">
        <v>14</v>
      </c>
      <c r="D2968" s="1" t="s">
        <v>21</v>
      </c>
      <c r="E2968" s="1" t="s">
        <v>37</v>
      </c>
      <c r="F2968" s="1">
        <v>630.16</v>
      </c>
      <c r="G2968" s="1">
        <v>270.44</v>
      </c>
      <c r="H2968" s="1">
        <v>1.0</v>
      </c>
      <c r="I2968" s="1" t="s">
        <v>17</v>
      </c>
      <c r="J2968" s="1" t="s">
        <v>38</v>
      </c>
      <c r="K2968" s="1">
        <f t="shared" si="1"/>
        <v>2022</v>
      </c>
      <c r="L2968" s="1" t="str">
        <f t="shared" si="2"/>
        <v>Jul</v>
      </c>
      <c r="M2968" s="1" t="str">
        <f t="shared" si="3"/>
        <v>Profit</v>
      </c>
    </row>
    <row r="2969" ht="14.25" customHeight="1">
      <c r="A2969" s="1" t="s">
        <v>3003</v>
      </c>
      <c r="B2969" s="2">
        <v>44225.0</v>
      </c>
      <c r="C2969" s="1" t="s">
        <v>30</v>
      </c>
      <c r="D2969" s="1" t="s">
        <v>15</v>
      </c>
      <c r="E2969" s="1" t="s">
        <v>16</v>
      </c>
      <c r="F2969" s="1">
        <v>427.46</v>
      </c>
      <c r="G2969" s="1">
        <v>-1.13</v>
      </c>
      <c r="H2969" s="1">
        <v>1.0</v>
      </c>
      <c r="I2969" s="1" t="s">
        <v>34</v>
      </c>
      <c r="J2969" s="1" t="s">
        <v>18</v>
      </c>
      <c r="K2969" s="1">
        <f t="shared" si="1"/>
        <v>2021</v>
      </c>
      <c r="L2969" s="1" t="str">
        <f t="shared" si="2"/>
        <v>Jan</v>
      </c>
      <c r="M2969" s="1" t="str">
        <f t="shared" si="3"/>
        <v>Loss</v>
      </c>
    </row>
    <row r="2970" ht="14.25" customHeight="1">
      <c r="A2970" s="1" t="s">
        <v>3004</v>
      </c>
      <c r="B2970" s="2">
        <v>44338.0</v>
      </c>
      <c r="C2970" s="1" t="s">
        <v>20</v>
      </c>
      <c r="D2970" s="1" t="s">
        <v>15</v>
      </c>
      <c r="E2970" s="1" t="s">
        <v>31</v>
      </c>
      <c r="F2970" s="1">
        <v>118.42</v>
      </c>
      <c r="G2970" s="1">
        <v>-39.41</v>
      </c>
      <c r="H2970" s="1">
        <v>9.0</v>
      </c>
      <c r="I2970" s="1" t="s">
        <v>23</v>
      </c>
      <c r="J2970" s="1" t="s">
        <v>18</v>
      </c>
      <c r="K2970" s="1">
        <f t="shared" si="1"/>
        <v>2021</v>
      </c>
      <c r="L2970" s="1" t="str">
        <f t="shared" si="2"/>
        <v>May</v>
      </c>
      <c r="M2970" s="1" t="str">
        <f t="shared" si="3"/>
        <v>Loss</v>
      </c>
    </row>
    <row r="2971" ht="14.25" customHeight="1">
      <c r="A2971" s="1" t="s">
        <v>3005</v>
      </c>
      <c r="B2971" s="2">
        <v>44274.0</v>
      </c>
      <c r="C2971" s="1" t="s">
        <v>20</v>
      </c>
      <c r="D2971" s="1" t="s">
        <v>21</v>
      </c>
      <c r="E2971" s="1" t="s">
        <v>76</v>
      </c>
      <c r="F2971" s="1">
        <v>792.48</v>
      </c>
      <c r="G2971" s="1">
        <v>152.82</v>
      </c>
      <c r="H2971" s="1">
        <v>2.0</v>
      </c>
      <c r="I2971" s="1" t="s">
        <v>17</v>
      </c>
      <c r="J2971" s="1" t="s">
        <v>35</v>
      </c>
      <c r="K2971" s="1">
        <f t="shared" si="1"/>
        <v>2021</v>
      </c>
      <c r="L2971" s="1" t="str">
        <f t="shared" si="2"/>
        <v>Mar</v>
      </c>
      <c r="M2971" s="1" t="str">
        <f t="shared" si="3"/>
        <v>Profit</v>
      </c>
    </row>
    <row r="2972" ht="14.25" customHeight="1">
      <c r="A2972" s="1" t="s">
        <v>3006</v>
      </c>
      <c r="B2972" s="2">
        <v>44991.0</v>
      </c>
      <c r="C2972" s="1" t="s">
        <v>20</v>
      </c>
      <c r="D2972" s="1" t="s">
        <v>27</v>
      </c>
      <c r="E2972" s="1" t="s">
        <v>40</v>
      </c>
      <c r="F2972" s="1">
        <v>691.94</v>
      </c>
      <c r="G2972" s="1">
        <v>255.23</v>
      </c>
      <c r="H2972" s="1">
        <v>5.0</v>
      </c>
      <c r="I2972" s="1" t="s">
        <v>34</v>
      </c>
      <c r="J2972" s="1" t="s">
        <v>24</v>
      </c>
      <c r="K2972" s="1">
        <f t="shared" si="1"/>
        <v>2023</v>
      </c>
      <c r="L2972" s="1" t="str">
        <f t="shared" si="2"/>
        <v>Mar</v>
      </c>
      <c r="M2972" s="1" t="str">
        <f t="shared" si="3"/>
        <v>Profit</v>
      </c>
    </row>
    <row r="2973" ht="14.25" customHeight="1">
      <c r="A2973" s="1" t="s">
        <v>3007</v>
      </c>
      <c r="B2973" s="2">
        <v>45230.0</v>
      </c>
      <c r="C2973" s="1" t="s">
        <v>26</v>
      </c>
      <c r="D2973" s="1" t="s">
        <v>21</v>
      </c>
      <c r="E2973" s="1" t="s">
        <v>76</v>
      </c>
      <c r="F2973" s="1">
        <v>511.39</v>
      </c>
      <c r="G2973" s="1">
        <v>-70.03</v>
      </c>
      <c r="H2973" s="1">
        <v>8.0</v>
      </c>
      <c r="I2973" s="1" t="s">
        <v>34</v>
      </c>
      <c r="J2973" s="1" t="s">
        <v>18</v>
      </c>
      <c r="K2973" s="1">
        <f t="shared" si="1"/>
        <v>2023</v>
      </c>
      <c r="L2973" s="1" t="str">
        <f t="shared" si="2"/>
        <v>Oct</v>
      </c>
      <c r="M2973" s="1" t="str">
        <f t="shared" si="3"/>
        <v>Loss</v>
      </c>
    </row>
    <row r="2974" ht="14.25" customHeight="1">
      <c r="A2974" s="1" t="s">
        <v>3008</v>
      </c>
      <c r="B2974" s="2">
        <v>44377.0</v>
      </c>
      <c r="C2974" s="1" t="s">
        <v>20</v>
      </c>
      <c r="D2974" s="1" t="s">
        <v>21</v>
      </c>
      <c r="E2974" s="1" t="s">
        <v>37</v>
      </c>
      <c r="F2974" s="1">
        <v>666.94</v>
      </c>
      <c r="G2974" s="1">
        <v>282.03</v>
      </c>
      <c r="H2974" s="1">
        <v>2.0</v>
      </c>
      <c r="I2974" s="1" t="s">
        <v>17</v>
      </c>
      <c r="J2974" s="1" t="s">
        <v>38</v>
      </c>
      <c r="K2974" s="1">
        <f t="shared" si="1"/>
        <v>2021</v>
      </c>
      <c r="L2974" s="1" t="str">
        <f t="shared" si="2"/>
        <v>Jun</v>
      </c>
      <c r="M2974" s="1" t="str">
        <f t="shared" si="3"/>
        <v>Profit</v>
      </c>
    </row>
    <row r="2975" ht="14.25" customHeight="1">
      <c r="A2975" s="1" t="s">
        <v>3009</v>
      </c>
      <c r="B2975" s="2">
        <v>44810.0</v>
      </c>
      <c r="C2975" s="1" t="s">
        <v>30</v>
      </c>
      <c r="D2975" s="1" t="s">
        <v>27</v>
      </c>
      <c r="E2975" s="1" t="s">
        <v>28</v>
      </c>
      <c r="F2975" s="1">
        <v>772.12</v>
      </c>
      <c r="G2975" s="1">
        <v>235.59</v>
      </c>
      <c r="H2975" s="1">
        <v>9.0</v>
      </c>
      <c r="I2975" s="1" t="s">
        <v>17</v>
      </c>
      <c r="J2975" s="1" t="s">
        <v>18</v>
      </c>
      <c r="K2975" s="1">
        <f t="shared" si="1"/>
        <v>2022</v>
      </c>
      <c r="L2975" s="1" t="str">
        <f t="shared" si="2"/>
        <v>Sep</v>
      </c>
      <c r="M2975" s="1" t="str">
        <f t="shared" si="3"/>
        <v>Profit</v>
      </c>
    </row>
    <row r="2976" ht="14.25" customHeight="1">
      <c r="A2976" s="1" t="s">
        <v>3010</v>
      </c>
      <c r="B2976" s="2">
        <v>44511.0</v>
      </c>
      <c r="C2976" s="1" t="s">
        <v>30</v>
      </c>
      <c r="D2976" s="1" t="s">
        <v>21</v>
      </c>
      <c r="E2976" s="1" t="s">
        <v>37</v>
      </c>
      <c r="F2976" s="1">
        <v>669.81</v>
      </c>
      <c r="G2976" s="1">
        <v>-52.97</v>
      </c>
      <c r="H2976" s="1">
        <v>9.0</v>
      </c>
      <c r="I2976" s="1" t="s">
        <v>34</v>
      </c>
      <c r="J2976" s="1" t="s">
        <v>24</v>
      </c>
      <c r="K2976" s="1">
        <f t="shared" si="1"/>
        <v>2021</v>
      </c>
      <c r="L2976" s="1" t="str">
        <f t="shared" si="2"/>
        <v>Nov</v>
      </c>
      <c r="M2976" s="1" t="str">
        <f t="shared" si="3"/>
        <v>Loss</v>
      </c>
    </row>
    <row r="2977" ht="14.25" customHeight="1">
      <c r="A2977" s="1" t="s">
        <v>3011</v>
      </c>
      <c r="B2977" s="2">
        <v>44312.0</v>
      </c>
      <c r="C2977" s="1" t="s">
        <v>30</v>
      </c>
      <c r="D2977" s="1" t="s">
        <v>21</v>
      </c>
      <c r="E2977" s="1" t="s">
        <v>22</v>
      </c>
      <c r="F2977" s="1">
        <v>268.04</v>
      </c>
      <c r="G2977" s="1">
        <v>-49.97</v>
      </c>
      <c r="H2977" s="1">
        <v>8.0</v>
      </c>
      <c r="I2977" s="1" t="s">
        <v>34</v>
      </c>
      <c r="J2977" s="1" t="s">
        <v>24</v>
      </c>
      <c r="K2977" s="1">
        <f t="shared" si="1"/>
        <v>2021</v>
      </c>
      <c r="L2977" s="1" t="str">
        <f t="shared" si="2"/>
        <v>Apr</v>
      </c>
      <c r="M2977" s="1" t="str">
        <f t="shared" si="3"/>
        <v>Loss</v>
      </c>
    </row>
    <row r="2978" ht="14.25" customHeight="1">
      <c r="A2978" s="1" t="s">
        <v>3012</v>
      </c>
      <c r="B2978" s="2">
        <v>45066.0</v>
      </c>
      <c r="C2978" s="1" t="s">
        <v>14</v>
      </c>
      <c r="D2978" s="1" t="s">
        <v>27</v>
      </c>
      <c r="E2978" s="1" t="s">
        <v>40</v>
      </c>
      <c r="F2978" s="1">
        <v>114.79</v>
      </c>
      <c r="G2978" s="1">
        <v>-150.79</v>
      </c>
      <c r="H2978" s="1">
        <v>7.0</v>
      </c>
      <c r="I2978" s="1" t="s">
        <v>34</v>
      </c>
      <c r="J2978" s="1" t="s">
        <v>18</v>
      </c>
      <c r="K2978" s="1">
        <f t="shared" si="1"/>
        <v>2023</v>
      </c>
      <c r="L2978" s="1" t="str">
        <f t="shared" si="2"/>
        <v>May</v>
      </c>
      <c r="M2978" s="1" t="str">
        <f t="shared" si="3"/>
        <v>Loss</v>
      </c>
    </row>
    <row r="2979" ht="14.25" customHeight="1">
      <c r="A2979" s="1" t="s">
        <v>3013</v>
      </c>
      <c r="B2979" s="2">
        <v>45009.0</v>
      </c>
      <c r="C2979" s="1" t="s">
        <v>14</v>
      </c>
      <c r="D2979" s="1" t="s">
        <v>27</v>
      </c>
      <c r="E2979" s="1" t="s">
        <v>28</v>
      </c>
      <c r="F2979" s="1">
        <v>395.7</v>
      </c>
      <c r="G2979" s="1">
        <v>23.43</v>
      </c>
      <c r="H2979" s="1">
        <v>9.0</v>
      </c>
      <c r="I2979" s="1" t="s">
        <v>34</v>
      </c>
      <c r="J2979" s="1" t="s">
        <v>18</v>
      </c>
      <c r="K2979" s="1">
        <f t="shared" si="1"/>
        <v>2023</v>
      </c>
      <c r="L2979" s="1" t="str">
        <f t="shared" si="2"/>
        <v>Mar</v>
      </c>
      <c r="M2979" s="1" t="str">
        <f t="shared" si="3"/>
        <v>Profit</v>
      </c>
    </row>
    <row r="2980" ht="14.25" customHeight="1">
      <c r="A2980" s="1" t="s">
        <v>3014</v>
      </c>
      <c r="B2980" s="2">
        <v>44357.0</v>
      </c>
      <c r="C2980" s="1" t="s">
        <v>26</v>
      </c>
      <c r="D2980" s="1" t="s">
        <v>21</v>
      </c>
      <c r="E2980" s="1" t="s">
        <v>76</v>
      </c>
      <c r="F2980" s="1">
        <v>169.28</v>
      </c>
      <c r="G2980" s="1">
        <v>-108.44</v>
      </c>
      <c r="H2980" s="1">
        <v>1.0</v>
      </c>
      <c r="I2980" s="1" t="s">
        <v>23</v>
      </c>
      <c r="J2980" s="1" t="s">
        <v>24</v>
      </c>
      <c r="K2980" s="1">
        <f t="shared" si="1"/>
        <v>2021</v>
      </c>
      <c r="L2980" s="1" t="str">
        <f t="shared" si="2"/>
        <v>Jun</v>
      </c>
      <c r="M2980" s="1" t="str">
        <f t="shared" si="3"/>
        <v>Loss</v>
      </c>
    </row>
    <row r="2981" ht="14.25" customHeight="1">
      <c r="A2981" s="1" t="s">
        <v>3015</v>
      </c>
      <c r="B2981" s="2">
        <v>44554.0</v>
      </c>
      <c r="C2981" s="1" t="s">
        <v>30</v>
      </c>
      <c r="D2981" s="1" t="s">
        <v>15</v>
      </c>
      <c r="E2981" s="1" t="s">
        <v>16</v>
      </c>
      <c r="F2981" s="1">
        <v>764.59</v>
      </c>
      <c r="G2981" s="1">
        <v>196.92</v>
      </c>
      <c r="H2981" s="1">
        <v>7.0</v>
      </c>
      <c r="I2981" s="1" t="s">
        <v>23</v>
      </c>
      <c r="J2981" s="1" t="s">
        <v>24</v>
      </c>
      <c r="K2981" s="1">
        <f t="shared" si="1"/>
        <v>2021</v>
      </c>
      <c r="L2981" s="1" t="str">
        <f t="shared" si="2"/>
        <v>Dec</v>
      </c>
      <c r="M2981" s="1" t="str">
        <f t="shared" si="3"/>
        <v>Profit</v>
      </c>
    </row>
    <row r="2982" ht="14.25" customHeight="1">
      <c r="A2982" s="1" t="s">
        <v>3016</v>
      </c>
      <c r="B2982" s="2">
        <v>44705.0</v>
      </c>
      <c r="C2982" s="1" t="s">
        <v>30</v>
      </c>
      <c r="D2982" s="1" t="s">
        <v>21</v>
      </c>
      <c r="E2982" s="1" t="s">
        <v>76</v>
      </c>
      <c r="F2982" s="1">
        <v>290.75</v>
      </c>
      <c r="G2982" s="1">
        <v>295.85</v>
      </c>
      <c r="H2982" s="1">
        <v>5.0</v>
      </c>
      <c r="I2982" s="1" t="s">
        <v>23</v>
      </c>
      <c r="J2982" s="1" t="s">
        <v>38</v>
      </c>
      <c r="K2982" s="1">
        <f t="shared" si="1"/>
        <v>2022</v>
      </c>
      <c r="L2982" s="1" t="str">
        <f t="shared" si="2"/>
        <v>May</v>
      </c>
      <c r="M2982" s="1" t="str">
        <f t="shared" si="3"/>
        <v>Profit</v>
      </c>
    </row>
    <row r="2983" ht="14.25" customHeight="1">
      <c r="A2983" s="1" t="s">
        <v>3017</v>
      </c>
      <c r="B2983" s="2">
        <v>44525.0</v>
      </c>
      <c r="C2983" s="1" t="s">
        <v>14</v>
      </c>
      <c r="D2983" s="1" t="s">
        <v>15</v>
      </c>
      <c r="E2983" s="1" t="s">
        <v>54</v>
      </c>
      <c r="F2983" s="1">
        <v>212.87</v>
      </c>
      <c r="G2983" s="1">
        <v>41.47</v>
      </c>
      <c r="H2983" s="1">
        <v>9.0</v>
      </c>
      <c r="I2983" s="1" t="s">
        <v>34</v>
      </c>
      <c r="J2983" s="1" t="s">
        <v>38</v>
      </c>
      <c r="K2983" s="1">
        <f t="shared" si="1"/>
        <v>2021</v>
      </c>
      <c r="L2983" s="1" t="str">
        <f t="shared" si="2"/>
        <v>Nov</v>
      </c>
      <c r="M2983" s="1" t="str">
        <f t="shared" si="3"/>
        <v>Profit</v>
      </c>
    </row>
    <row r="2984" ht="14.25" customHeight="1">
      <c r="A2984" s="1" t="s">
        <v>3018</v>
      </c>
      <c r="B2984" s="2">
        <v>44685.0</v>
      </c>
      <c r="C2984" s="1" t="s">
        <v>30</v>
      </c>
      <c r="D2984" s="1" t="s">
        <v>21</v>
      </c>
      <c r="E2984" s="1" t="s">
        <v>37</v>
      </c>
      <c r="F2984" s="1">
        <v>931.95</v>
      </c>
      <c r="G2984" s="1">
        <v>228.77</v>
      </c>
      <c r="H2984" s="1">
        <v>8.0</v>
      </c>
      <c r="I2984" s="1" t="s">
        <v>17</v>
      </c>
      <c r="J2984" s="1" t="s">
        <v>24</v>
      </c>
      <c r="K2984" s="1">
        <f t="shared" si="1"/>
        <v>2022</v>
      </c>
      <c r="L2984" s="1" t="str">
        <f t="shared" si="2"/>
        <v>May</v>
      </c>
      <c r="M2984" s="1" t="str">
        <f t="shared" si="3"/>
        <v>Profit</v>
      </c>
    </row>
    <row r="2985" ht="14.25" customHeight="1">
      <c r="A2985" s="1" t="s">
        <v>3019</v>
      </c>
      <c r="B2985" s="2">
        <v>44250.0</v>
      </c>
      <c r="C2985" s="1" t="s">
        <v>30</v>
      </c>
      <c r="D2985" s="1" t="s">
        <v>21</v>
      </c>
      <c r="E2985" s="1" t="s">
        <v>22</v>
      </c>
      <c r="F2985" s="1">
        <v>900.6</v>
      </c>
      <c r="G2985" s="1">
        <v>146.44</v>
      </c>
      <c r="H2985" s="1">
        <v>2.0</v>
      </c>
      <c r="I2985" s="1" t="s">
        <v>17</v>
      </c>
      <c r="J2985" s="1" t="s">
        <v>38</v>
      </c>
      <c r="K2985" s="1">
        <f t="shared" si="1"/>
        <v>2021</v>
      </c>
      <c r="L2985" s="1" t="str">
        <f t="shared" si="2"/>
        <v>Feb</v>
      </c>
      <c r="M2985" s="1" t="str">
        <f t="shared" si="3"/>
        <v>Profit</v>
      </c>
    </row>
    <row r="2986" ht="14.25" customHeight="1">
      <c r="A2986" s="1" t="s">
        <v>3020</v>
      </c>
      <c r="B2986" s="2">
        <v>44305.0</v>
      </c>
      <c r="C2986" s="1" t="s">
        <v>30</v>
      </c>
      <c r="D2986" s="1" t="s">
        <v>27</v>
      </c>
      <c r="E2986" s="1" t="s">
        <v>40</v>
      </c>
      <c r="F2986" s="1">
        <v>308.56</v>
      </c>
      <c r="G2986" s="1">
        <v>265.7</v>
      </c>
      <c r="H2986" s="1">
        <v>10.0</v>
      </c>
      <c r="I2986" s="1" t="s">
        <v>34</v>
      </c>
      <c r="J2986" s="1" t="s">
        <v>24</v>
      </c>
      <c r="K2986" s="1">
        <f t="shared" si="1"/>
        <v>2021</v>
      </c>
      <c r="L2986" s="1" t="str">
        <f t="shared" si="2"/>
        <v>Apr</v>
      </c>
      <c r="M2986" s="1" t="str">
        <f t="shared" si="3"/>
        <v>Profit</v>
      </c>
    </row>
    <row r="2987" ht="14.25" customHeight="1">
      <c r="A2987" s="1" t="s">
        <v>3021</v>
      </c>
      <c r="B2987" s="2">
        <v>44368.0</v>
      </c>
      <c r="C2987" s="1" t="s">
        <v>14</v>
      </c>
      <c r="D2987" s="1" t="s">
        <v>15</v>
      </c>
      <c r="E2987" s="1" t="s">
        <v>54</v>
      </c>
      <c r="F2987" s="1">
        <v>887.01</v>
      </c>
      <c r="G2987" s="1">
        <v>295.74</v>
      </c>
      <c r="H2987" s="1">
        <v>8.0</v>
      </c>
      <c r="I2987" s="1" t="s">
        <v>17</v>
      </c>
      <c r="J2987" s="1" t="s">
        <v>18</v>
      </c>
      <c r="K2987" s="1">
        <f t="shared" si="1"/>
        <v>2021</v>
      </c>
      <c r="L2987" s="1" t="str">
        <f t="shared" si="2"/>
        <v>Jun</v>
      </c>
      <c r="M2987" s="1" t="str">
        <f t="shared" si="3"/>
        <v>Profit</v>
      </c>
    </row>
    <row r="2988" ht="14.25" customHeight="1">
      <c r="A2988" s="1" t="s">
        <v>3022</v>
      </c>
      <c r="B2988" s="2">
        <v>44486.0</v>
      </c>
      <c r="C2988" s="1" t="s">
        <v>26</v>
      </c>
      <c r="D2988" s="1" t="s">
        <v>15</v>
      </c>
      <c r="E2988" s="1" t="s">
        <v>31</v>
      </c>
      <c r="F2988" s="1">
        <v>391.12</v>
      </c>
      <c r="G2988" s="1">
        <v>-140.25</v>
      </c>
      <c r="H2988" s="1">
        <v>1.0</v>
      </c>
      <c r="I2988" s="1" t="s">
        <v>23</v>
      </c>
      <c r="J2988" s="1" t="s">
        <v>35</v>
      </c>
      <c r="K2988" s="1">
        <f t="shared" si="1"/>
        <v>2021</v>
      </c>
      <c r="L2988" s="1" t="str">
        <f t="shared" si="2"/>
        <v>Oct</v>
      </c>
      <c r="M2988" s="1" t="str">
        <f t="shared" si="3"/>
        <v>Loss</v>
      </c>
    </row>
    <row r="2989" ht="14.25" customHeight="1">
      <c r="A2989" s="1" t="s">
        <v>3023</v>
      </c>
      <c r="B2989" s="2">
        <v>44470.0</v>
      </c>
      <c r="C2989" s="1" t="s">
        <v>30</v>
      </c>
      <c r="D2989" s="1" t="s">
        <v>27</v>
      </c>
      <c r="E2989" s="1" t="s">
        <v>40</v>
      </c>
      <c r="F2989" s="1">
        <v>376.6</v>
      </c>
      <c r="G2989" s="1">
        <v>276.48</v>
      </c>
      <c r="H2989" s="1">
        <v>2.0</v>
      </c>
      <c r="I2989" s="1" t="s">
        <v>34</v>
      </c>
      <c r="J2989" s="1" t="s">
        <v>35</v>
      </c>
      <c r="K2989" s="1">
        <f t="shared" si="1"/>
        <v>2021</v>
      </c>
      <c r="L2989" s="1" t="str">
        <f t="shared" si="2"/>
        <v>Oct</v>
      </c>
      <c r="M2989" s="1" t="str">
        <f t="shared" si="3"/>
        <v>Profit</v>
      </c>
    </row>
    <row r="2990" ht="14.25" customHeight="1">
      <c r="A2990" s="1" t="s">
        <v>3024</v>
      </c>
      <c r="B2990" s="2">
        <v>44272.0</v>
      </c>
      <c r="C2990" s="1" t="s">
        <v>30</v>
      </c>
      <c r="D2990" s="1" t="s">
        <v>21</v>
      </c>
      <c r="E2990" s="1" t="s">
        <v>76</v>
      </c>
      <c r="F2990" s="1">
        <v>697.53</v>
      </c>
      <c r="G2990" s="1">
        <v>279.28</v>
      </c>
      <c r="H2990" s="1">
        <v>1.0</v>
      </c>
      <c r="I2990" s="1" t="s">
        <v>34</v>
      </c>
      <c r="J2990" s="1" t="s">
        <v>18</v>
      </c>
      <c r="K2990" s="1">
        <f t="shared" si="1"/>
        <v>2021</v>
      </c>
      <c r="L2990" s="1" t="str">
        <f t="shared" si="2"/>
        <v>Mar</v>
      </c>
      <c r="M2990" s="1" t="str">
        <f t="shared" si="3"/>
        <v>Profit</v>
      </c>
    </row>
    <row r="2991" ht="14.25" customHeight="1">
      <c r="A2991" s="1" t="s">
        <v>3025</v>
      </c>
      <c r="B2991" s="2">
        <v>45148.0</v>
      </c>
      <c r="C2991" s="1" t="s">
        <v>30</v>
      </c>
      <c r="D2991" s="1" t="s">
        <v>21</v>
      </c>
      <c r="E2991" s="1" t="s">
        <v>37</v>
      </c>
      <c r="F2991" s="1">
        <v>858.03</v>
      </c>
      <c r="G2991" s="1">
        <v>-194.98</v>
      </c>
      <c r="H2991" s="1">
        <v>6.0</v>
      </c>
      <c r="I2991" s="1" t="s">
        <v>17</v>
      </c>
      <c r="J2991" s="1" t="s">
        <v>38</v>
      </c>
      <c r="K2991" s="1">
        <f t="shared" si="1"/>
        <v>2023</v>
      </c>
      <c r="L2991" s="1" t="str">
        <f t="shared" si="2"/>
        <v>Aug</v>
      </c>
      <c r="M2991" s="1" t="str">
        <f t="shared" si="3"/>
        <v>Loss</v>
      </c>
    </row>
    <row r="2992" ht="14.25" customHeight="1">
      <c r="A2992" s="1" t="s">
        <v>3026</v>
      </c>
      <c r="B2992" s="2">
        <v>45189.0</v>
      </c>
      <c r="C2992" s="1" t="s">
        <v>26</v>
      </c>
      <c r="D2992" s="1" t="s">
        <v>27</v>
      </c>
      <c r="E2992" s="1" t="s">
        <v>33</v>
      </c>
      <c r="F2992" s="1">
        <v>84.56</v>
      </c>
      <c r="G2992" s="1">
        <v>-160.83</v>
      </c>
      <c r="H2992" s="1">
        <v>7.0</v>
      </c>
      <c r="I2992" s="1" t="s">
        <v>34</v>
      </c>
      <c r="J2992" s="1" t="s">
        <v>24</v>
      </c>
      <c r="K2992" s="1">
        <f t="shared" si="1"/>
        <v>2023</v>
      </c>
      <c r="L2992" s="1" t="str">
        <f t="shared" si="2"/>
        <v>Sep</v>
      </c>
      <c r="M2992" s="1" t="str">
        <f t="shared" si="3"/>
        <v>Loss</v>
      </c>
    </row>
    <row r="2993" ht="14.25" customHeight="1">
      <c r="A2993" s="1" t="s">
        <v>3027</v>
      </c>
      <c r="B2993" s="2">
        <v>44638.0</v>
      </c>
      <c r="C2993" s="1" t="s">
        <v>14</v>
      </c>
      <c r="D2993" s="1" t="s">
        <v>15</v>
      </c>
      <c r="E2993" s="1" t="s">
        <v>16</v>
      </c>
      <c r="F2993" s="1">
        <v>87.52</v>
      </c>
      <c r="G2993" s="1">
        <v>76.29</v>
      </c>
      <c r="H2993" s="1">
        <v>1.0</v>
      </c>
      <c r="I2993" s="1" t="s">
        <v>17</v>
      </c>
      <c r="J2993" s="1" t="s">
        <v>24</v>
      </c>
      <c r="K2993" s="1">
        <f t="shared" si="1"/>
        <v>2022</v>
      </c>
      <c r="L2993" s="1" t="str">
        <f t="shared" si="2"/>
        <v>Mar</v>
      </c>
      <c r="M2993" s="1" t="str">
        <f t="shared" si="3"/>
        <v>Profit</v>
      </c>
    </row>
    <row r="2994" ht="14.25" customHeight="1">
      <c r="A2994" s="1" t="s">
        <v>3028</v>
      </c>
      <c r="B2994" s="2">
        <v>44257.0</v>
      </c>
      <c r="C2994" s="1" t="s">
        <v>26</v>
      </c>
      <c r="D2994" s="1" t="s">
        <v>27</v>
      </c>
      <c r="E2994" s="1" t="s">
        <v>40</v>
      </c>
      <c r="F2994" s="1">
        <v>556.73</v>
      </c>
      <c r="G2994" s="1">
        <v>12.67</v>
      </c>
      <c r="H2994" s="1">
        <v>5.0</v>
      </c>
      <c r="I2994" s="1" t="s">
        <v>34</v>
      </c>
      <c r="J2994" s="1" t="s">
        <v>24</v>
      </c>
      <c r="K2994" s="1">
        <f t="shared" si="1"/>
        <v>2021</v>
      </c>
      <c r="L2994" s="1" t="str">
        <f t="shared" si="2"/>
        <v>Mar</v>
      </c>
      <c r="M2994" s="1" t="str">
        <f t="shared" si="3"/>
        <v>Profit</v>
      </c>
    </row>
    <row r="2995" ht="14.25" customHeight="1">
      <c r="A2995" s="1" t="s">
        <v>3029</v>
      </c>
      <c r="B2995" s="2">
        <v>44846.0</v>
      </c>
      <c r="C2995" s="1" t="s">
        <v>26</v>
      </c>
      <c r="D2995" s="1" t="s">
        <v>15</v>
      </c>
      <c r="E2995" s="1" t="s">
        <v>31</v>
      </c>
      <c r="F2995" s="1">
        <v>868.71</v>
      </c>
      <c r="G2995" s="1">
        <v>-122.12</v>
      </c>
      <c r="H2995" s="1">
        <v>2.0</v>
      </c>
      <c r="I2995" s="1" t="s">
        <v>34</v>
      </c>
      <c r="J2995" s="1" t="s">
        <v>35</v>
      </c>
      <c r="K2995" s="1">
        <f t="shared" si="1"/>
        <v>2022</v>
      </c>
      <c r="L2995" s="1" t="str">
        <f t="shared" si="2"/>
        <v>Oct</v>
      </c>
      <c r="M2995" s="1" t="str">
        <f t="shared" si="3"/>
        <v>Loss</v>
      </c>
    </row>
    <row r="2996" ht="14.25" customHeight="1">
      <c r="A2996" s="1" t="s">
        <v>3030</v>
      </c>
      <c r="B2996" s="2">
        <v>44219.0</v>
      </c>
      <c r="C2996" s="1" t="s">
        <v>26</v>
      </c>
      <c r="D2996" s="1" t="s">
        <v>15</v>
      </c>
      <c r="E2996" s="1" t="s">
        <v>31</v>
      </c>
      <c r="F2996" s="1">
        <v>116.26</v>
      </c>
      <c r="G2996" s="1">
        <v>259.73</v>
      </c>
      <c r="H2996" s="1">
        <v>8.0</v>
      </c>
      <c r="I2996" s="1" t="s">
        <v>34</v>
      </c>
      <c r="J2996" s="1" t="s">
        <v>18</v>
      </c>
      <c r="K2996" s="1">
        <f t="shared" si="1"/>
        <v>2021</v>
      </c>
      <c r="L2996" s="1" t="str">
        <f t="shared" si="2"/>
        <v>Jan</v>
      </c>
      <c r="M2996" s="1" t="str">
        <f t="shared" si="3"/>
        <v>Profit</v>
      </c>
    </row>
    <row r="2997" ht="14.25" customHeight="1">
      <c r="A2997" s="1" t="s">
        <v>3031</v>
      </c>
      <c r="B2997" s="2">
        <v>44983.0</v>
      </c>
      <c r="C2997" s="1" t="s">
        <v>26</v>
      </c>
      <c r="D2997" s="1" t="s">
        <v>15</v>
      </c>
      <c r="E2997" s="1" t="s">
        <v>54</v>
      </c>
      <c r="F2997" s="1">
        <v>99.8</v>
      </c>
      <c r="G2997" s="1">
        <v>242.03</v>
      </c>
      <c r="H2997" s="1">
        <v>3.0</v>
      </c>
      <c r="I2997" s="1" t="s">
        <v>34</v>
      </c>
      <c r="J2997" s="1" t="s">
        <v>24</v>
      </c>
      <c r="K2997" s="1">
        <f t="shared" si="1"/>
        <v>2023</v>
      </c>
      <c r="L2997" s="1" t="str">
        <f t="shared" si="2"/>
        <v>Feb</v>
      </c>
      <c r="M2997" s="1" t="str">
        <f t="shared" si="3"/>
        <v>Profit</v>
      </c>
    </row>
    <row r="2998" ht="14.25" customHeight="1">
      <c r="A2998" s="1" t="s">
        <v>3032</v>
      </c>
      <c r="B2998" s="2">
        <v>44422.0</v>
      </c>
      <c r="C2998" s="1" t="s">
        <v>26</v>
      </c>
      <c r="D2998" s="1" t="s">
        <v>15</v>
      </c>
      <c r="E2998" s="1" t="s">
        <v>54</v>
      </c>
      <c r="F2998" s="1">
        <v>239.67</v>
      </c>
      <c r="G2998" s="1">
        <v>-160.38</v>
      </c>
      <c r="H2998" s="1">
        <v>10.0</v>
      </c>
      <c r="I2998" s="1" t="s">
        <v>23</v>
      </c>
      <c r="J2998" s="1" t="s">
        <v>24</v>
      </c>
      <c r="K2998" s="1">
        <f t="shared" si="1"/>
        <v>2021</v>
      </c>
      <c r="L2998" s="1" t="str">
        <f t="shared" si="2"/>
        <v>Aug</v>
      </c>
      <c r="M2998" s="1" t="str">
        <f t="shared" si="3"/>
        <v>Loss</v>
      </c>
    </row>
    <row r="2999" ht="14.25" customHeight="1">
      <c r="A2999" s="1" t="s">
        <v>3033</v>
      </c>
      <c r="B2999" s="2">
        <v>44759.0</v>
      </c>
      <c r="C2999" s="1" t="s">
        <v>30</v>
      </c>
      <c r="D2999" s="1" t="s">
        <v>27</v>
      </c>
      <c r="E2999" s="1" t="s">
        <v>40</v>
      </c>
      <c r="F2999" s="1">
        <v>268.71</v>
      </c>
      <c r="G2999" s="1">
        <v>-186.97</v>
      </c>
      <c r="H2999" s="1">
        <v>7.0</v>
      </c>
      <c r="I2999" s="1" t="s">
        <v>23</v>
      </c>
      <c r="J2999" s="1" t="s">
        <v>38</v>
      </c>
      <c r="K2999" s="1">
        <f t="shared" si="1"/>
        <v>2022</v>
      </c>
      <c r="L2999" s="1" t="str">
        <f t="shared" si="2"/>
        <v>Jul</v>
      </c>
      <c r="M2999" s="1" t="str">
        <f t="shared" si="3"/>
        <v>Loss</v>
      </c>
    </row>
    <row r="3000" ht="14.25" customHeight="1">
      <c r="A3000" s="1" t="s">
        <v>3034</v>
      </c>
      <c r="B3000" s="2">
        <v>44593.0</v>
      </c>
      <c r="C3000" s="1" t="s">
        <v>30</v>
      </c>
      <c r="D3000" s="1" t="s">
        <v>15</v>
      </c>
      <c r="E3000" s="1" t="s">
        <v>54</v>
      </c>
      <c r="F3000" s="1">
        <v>940.01</v>
      </c>
      <c r="G3000" s="1">
        <v>-75.9</v>
      </c>
      <c r="H3000" s="1">
        <v>6.0</v>
      </c>
      <c r="I3000" s="1" t="s">
        <v>34</v>
      </c>
      <c r="J3000" s="1" t="s">
        <v>24</v>
      </c>
      <c r="K3000" s="1">
        <f t="shared" si="1"/>
        <v>2022</v>
      </c>
      <c r="L3000" s="1" t="str">
        <f t="shared" si="2"/>
        <v>Feb</v>
      </c>
      <c r="M3000" s="1" t="str">
        <f t="shared" si="3"/>
        <v>Loss</v>
      </c>
    </row>
    <row r="3001" ht="14.25" customHeight="1">
      <c r="A3001" s="1" t="s">
        <v>3035</v>
      </c>
      <c r="B3001" s="2">
        <v>44447.0</v>
      </c>
      <c r="C3001" s="1" t="s">
        <v>14</v>
      </c>
      <c r="D3001" s="1" t="s">
        <v>21</v>
      </c>
      <c r="E3001" s="1" t="s">
        <v>37</v>
      </c>
      <c r="F3001" s="1">
        <v>377.15</v>
      </c>
      <c r="G3001" s="1">
        <v>156.86</v>
      </c>
      <c r="H3001" s="1">
        <v>5.0</v>
      </c>
      <c r="I3001" s="1" t="s">
        <v>34</v>
      </c>
      <c r="J3001" s="1" t="s">
        <v>35</v>
      </c>
      <c r="K3001" s="1">
        <f t="shared" si="1"/>
        <v>2021</v>
      </c>
      <c r="L3001" s="1" t="str">
        <f t="shared" si="2"/>
        <v>Sep</v>
      </c>
      <c r="M3001" s="1" t="str">
        <f t="shared" si="3"/>
        <v>Profit</v>
      </c>
    </row>
    <row r="3002" ht="14.25" customHeight="1">
      <c r="A3002" s="1" t="s">
        <v>3036</v>
      </c>
      <c r="B3002" s="2">
        <v>44236.0</v>
      </c>
      <c r="C3002" s="1" t="s">
        <v>20</v>
      </c>
      <c r="D3002" s="1" t="s">
        <v>27</v>
      </c>
      <c r="E3002" s="1" t="s">
        <v>33</v>
      </c>
      <c r="F3002" s="1">
        <v>332.8</v>
      </c>
      <c r="G3002" s="1">
        <v>-79.17</v>
      </c>
      <c r="H3002" s="1">
        <v>5.0</v>
      </c>
      <c r="I3002" s="1" t="s">
        <v>17</v>
      </c>
      <c r="J3002" s="1" t="s">
        <v>35</v>
      </c>
      <c r="K3002" s="1">
        <f t="shared" si="1"/>
        <v>2021</v>
      </c>
      <c r="L3002" s="1" t="str">
        <f t="shared" si="2"/>
        <v>Feb</v>
      </c>
      <c r="M3002" s="1" t="str">
        <f t="shared" si="3"/>
        <v>Loss</v>
      </c>
    </row>
    <row r="3003" ht="14.25" customHeight="1">
      <c r="A3003" s="1" t="s">
        <v>3037</v>
      </c>
      <c r="B3003" s="2">
        <v>44683.0</v>
      </c>
      <c r="C3003" s="1" t="s">
        <v>30</v>
      </c>
      <c r="D3003" s="1" t="s">
        <v>27</v>
      </c>
      <c r="E3003" s="1" t="s">
        <v>33</v>
      </c>
      <c r="F3003" s="1">
        <v>340.0</v>
      </c>
      <c r="G3003" s="1">
        <v>223.11</v>
      </c>
      <c r="H3003" s="1">
        <v>2.0</v>
      </c>
      <c r="I3003" s="1" t="s">
        <v>34</v>
      </c>
      <c r="J3003" s="1" t="s">
        <v>18</v>
      </c>
      <c r="K3003" s="1">
        <f t="shared" si="1"/>
        <v>2022</v>
      </c>
      <c r="L3003" s="1" t="str">
        <f t="shared" si="2"/>
        <v>May</v>
      </c>
      <c r="M3003" s="1" t="str">
        <f t="shared" si="3"/>
        <v>Profit</v>
      </c>
    </row>
    <row r="3004" ht="14.25" customHeight="1">
      <c r="A3004" s="1" t="s">
        <v>3038</v>
      </c>
      <c r="B3004" s="2">
        <v>44264.0</v>
      </c>
      <c r="C3004" s="1" t="s">
        <v>26</v>
      </c>
      <c r="D3004" s="1" t="s">
        <v>15</v>
      </c>
      <c r="E3004" s="1" t="s">
        <v>16</v>
      </c>
      <c r="F3004" s="1">
        <v>737.39</v>
      </c>
      <c r="G3004" s="1">
        <v>281.58</v>
      </c>
      <c r="H3004" s="1">
        <v>1.0</v>
      </c>
      <c r="I3004" s="1" t="s">
        <v>23</v>
      </c>
      <c r="J3004" s="1" t="s">
        <v>35</v>
      </c>
      <c r="K3004" s="1">
        <f t="shared" si="1"/>
        <v>2021</v>
      </c>
      <c r="L3004" s="1" t="str">
        <f t="shared" si="2"/>
        <v>Mar</v>
      </c>
      <c r="M3004" s="1" t="str">
        <f t="shared" si="3"/>
        <v>Profit</v>
      </c>
    </row>
    <row r="3005" ht="14.25" customHeight="1">
      <c r="A3005" s="1" t="s">
        <v>3039</v>
      </c>
      <c r="B3005" s="2">
        <v>44906.0</v>
      </c>
      <c r="C3005" s="1" t="s">
        <v>26</v>
      </c>
      <c r="D3005" s="1" t="s">
        <v>21</v>
      </c>
      <c r="E3005" s="1" t="s">
        <v>22</v>
      </c>
      <c r="F3005" s="1">
        <v>751.05</v>
      </c>
      <c r="G3005" s="1">
        <v>-87.41</v>
      </c>
      <c r="H3005" s="1">
        <v>2.0</v>
      </c>
      <c r="I3005" s="1" t="s">
        <v>17</v>
      </c>
      <c r="J3005" s="1" t="s">
        <v>18</v>
      </c>
      <c r="K3005" s="1">
        <f t="shared" si="1"/>
        <v>2022</v>
      </c>
      <c r="L3005" s="1" t="str">
        <f t="shared" si="2"/>
        <v>Dec</v>
      </c>
      <c r="M3005" s="1" t="str">
        <f t="shared" si="3"/>
        <v>Loss</v>
      </c>
    </row>
    <row r="3006" ht="14.25" customHeight="1">
      <c r="A3006" s="1" t="s">
        <v>3040</v>
      </c>
      <c r="B3006" s="2">
        <v>44892.0</v>
      </c>
      <c r="C3006" s="1" t="s">
        <v>20</v>
      </c>
      <c r="D3006" s="1" t="s">
        <v>27</v>
      </c>
      <c r="E3006" s="1" t="s">
        <v>40</v>
      </c>
      <c r="F3006" s="1">
        <v>821.01</v>
      </c>
      <c r="G3006" s="1">
        <v>24.57</v>
      </c>
      <c r="H3006" s="1">
        <v>1.0</v>
      </c>
      <c r="I3006" s="1" t="s">
        <v>17</v>
      </c>
      <c r="J3006" s="1" t="s">
        <v>24</v>
      </c>
      <c r="K3006" s="1">
        <f t="shared" si="1"/>
        <v>2022</v>
      </c>
      <c r="L3006" s="1" t="str">
        <f t="shared" si="2"/>
        <v>Nov</v>
      </c>
      <c r="M3006" s="1" t="str">
        <f t="shared" si="3"/>
        <v>Profit</v>
      </c>
    </row>
    <row r="3007" ht="14.25" customHeight="1">
      <c r="A3007" s="1" t="s">
        <v>3041</v>
      </c>
      <c r="B3007" s="2">
        <v>44541.0</v>
      </c>
      <c r="C3007" s="1" t="s">
        <v>30</v>
      </c>
      <c r="D3007" s="1" t="s">
        <v>27</v>
      </c>
      <c r="E3007" s="1" t="s">
        <v>33</v>
      </c>
      <c r="F3007" s="1">
        <v>494.21</v>
      </c>
      <c r="G3007" s="1">
        <v>199.32</v>
      </c>
      <c r="H3007" s="1">
        <v>2.0</v>
      </c>
      <c r="I3007" s="1" t="s">
        <v>23</v>
      </c>
      <c r="J3007" s="1" t="s">
        <v>38</v>
      </c>
      <c r="K3007" s="1">
        <f t="shared" si="1"/>
        <v>2021</v>
      </c>
      <c r="L3007" s="1" t="str">
        <f t="shared" si="2"/>
        <v>Dec</v>
      </c>
      <c r="M3007" s="1" t="str">
        <f t="shared" si="3"/>
        <v>Profit</v>
      </c>
    </row>
    <row r="3008" ht="14.25" customHeight="1">
      <c r="A3008" s="1" t="s">
        <v>3042</v>
      </c>
      <c r="B3008" s="2">
        <v>45072.0</v>
      </c>
      <c r="C3008" s="1" t="s">
        <v>30</v>
      </c>
      <c r="D3008" s="1" t="s">
        <v>15</v>
      </c>
      <c r="E3008" s="1" t="s">
        <v>16</v>
      </c>
      <c r="F3008" s="1">
        <v>430.37</v>
      </c>
      <c r="G3008" s="1">
        <v>185.47</v>
      </c>
      <c r="H3008" s="1">
        <v>5.0</v>
      </c>
      <c r="I3008" s="1" t="s">
        <v>17</v>
      </c>
      <c r="J3008" s="1" t="s">
        <v>35</v>
      </c>
      <c r="K3008" s="1">
        <f t="shared" si="1"/>
        <v>2023</v>
      </c>
      <c r="L3008" s="1" t="str">
        <f t="shared" si="2"/>
        <v>May</v>
      </c>
      <c r="M3008" s="1" t="str">
        <f t="shared" si="3"/>
        <v>Profit</v>
      </c>
    </row>
    <row r="3009" ht="14.25" customHeight="1">
      <c r="A3009" s="1" t="s">
        <v>3043</v>
      </c>
      <c r="B3009" s="2">
        <v>44949.0</v>
      </c>
      <c r="C3009" s="1" t="s">
        <v>20</v>
      </c>
      <c r="D3009" s="1" t="s">
        <v>15</v>
      </c>
      <c r="E3009" s="1" t="s">
        <v>16</v>
      </c>
      <c r="F3009" s="1">
        <v>153.84</v>
      </c>
      <c r="G3009" s="1">
        <v>249.16</v>
      </c>
      <c r="H3009" s="1">
        <v>9.0</v>
      </c>
      <c r="I3009" s="1" t="s">
        <v>23</v>
      </c>
      <c r="J3009" s="1" t="s">
        <v>18</v>
      </c>
      <c r="K3009" s="1">
        <f t="shared" si="1"/>
        <v>2023</v>
      </c>
      <c r="L3009" s="1" t="str">
        <f t="shared" si="2"/>
        <v>Jan</v>
      </c>
      <c r="M3009" s="1" t="str">
        <f t="shared" si="3"/>
        <v>Profit</v>
      </c>
    </row>
    <row r="3010" ht="14.25" customHeight="1">
      <c r="A3010" s="1" t="s">
        <v>3044</v>
      </c>
      <c r="B3010" s="2">
        <v>44385.0</v>
      </c>
      <c r="C3010" s="1" t="s">
        <v>14</v>
      </c>
      <c r="D3010" s="1" t="s">
        <v>27</v>
      </c>
      <c r="E3010" s="1" t="s">
        <v>28</v>
      </c>
      <c r="F3010" s="1">
        <v>356.77</v>
      </c>
      <c r="G3010" s="1">
        <v>-157.34</v>
      </c>
      <c r="H3010" s="1">
        <v>6.0</v>
      </c>
      <c r="I3010" s="1" t="s">
        <v>17</v>
      </c>
      <c r="J3010" s="1" t="s">
        <v>38</v>
      </c>
      <c r="K3010" s="1">
        <f t="shared" si="1"/>
        <v>2021</v>
      </c>
      <c r="L3010" s="1" t="str">
        <f t="shared" si="2"/>
        <v>Jul</v>
      </c>
      <c r="M3010" s="1" t="str">
        <f t="shared" si="3"/>
        <v>Loss</v>
      </c>
    </row>
    <row r="3011" ht="14.25" customHeight="1">
      <c r="A3011" s="1" t="s">
        <v>3045</v>
      </c>
      <c r="B3011" s="2">
        <v>45254.0</v>
      </c>
      <c r="C3011" s="1" t="s">
        <v>14</v>
      </c>
      <c r="D3011" s="1" t="s">
        <v>15</v>
      </c>
      <c r="E3011" s="1" t="s">
        <v>16</v>
      </c>
      <c r="F3011" s="1">
        <v>465.81</v>
      </c>
      <c r="G3011" s="1">
        <v>270.96</v>
      </c>
      <c r="H3011" s="1">
        <v>10.0</v>
      </c>
      <c r="I3011" s="1" t="s">
        <v>17</v>
      </c>
      <c r="J3011" s="1" t="s">
        <v>18</v>
      </c>
      <c r="K3011" s="1">
        <f t="shared" si="1"/>
        <v>2023</v>
      </c>
      <c r="L3011" s="1" t="str">
        <f t="shared" si="2"/>
        <v>Nov</v>
      </c>
      <c r="M3011" s="1" t="str">
        <f t="shared" si="3"/>
        <v>Profit</v>
      </c>
    </row>
    <row r="3012" ht="14.25" customHeight="1">
      <c r="A3012" s="1" t="s">
        <v>3046</v>
      </c>
      <c r="B3012" s="2">
        <v>44363.0</v>
      </c>
      <c r="C3012" s="1" t="s">
        <v>20</v>
      </c>
      <c r="D3012" s="1" t="s">
        <v>21</v>
      </c>
      <c r="E3012" s="1" t="s">
        <v>22</v>
      </c>
      <c r="F3012" s="1">
        <v>821.86</v>
      </c>
      <c r="G3012" s="1">
        <v>290.03</v>
      </c>
      <c r="H3012" s="1">
        <v>4.0</v>
      </c>
      <c r="I3012" s="1" t="s">
        <v>17</v>
      </c>
      <c r="J3012" s="1" t="s">
        <v>24</v>
      </c>
      <c r="K3012" s="1">
        <f t="shared" si="1"/>
        <v>2021</v>
      </c>
      <c r="L3012" s="1" t="str">
        <f t="shared" si="2"/>
        <v>Jun</v>
      </c>
      <c r="M3012" s="1" t="str">
        <f t="shared" si="3"/>
        <v>Profit</v>
      </c>
    </row>
    <row r="3013" ht="14.25" customHeight="1">
      <c r="A3013" s="1" t="s">
        <v>3047</v>
      </c>
      <c r="B3013" s="2">
        <v>44868.0</v>
      </c>
      <c r="C3013" s="1" t="s">
        <v>20</v>
      </c>
      <c r="D3013" s="1" t="s">
        <v>15</v>
      </c>
      <c r="E3013" s="1" t="s">
        <v>31</v>
      </c>
      <c r="F3013" s="1">
        <v>292.94</v>
      </c>
      <c r="G3013" s="1">
        <v>-148.0</v>
      </c>
      <c r="H3013" s="1">
        <v>4.0</v>
      </c>
      <c r="I3013" s="1" t="s">
        <v>17</v>
      </c>
      <c r="J3013" s="1" t="s">
        <v>38</v>
      </c>
      <c r="K3013" s="1">
        <f t="shared" si="1"/>
        <v>2022</v>
      </c>
      <c r="L3013" s="1" t="str">
        <f t="shared" si="2"/>
        <v>Nov</v>
      </c>
      <c r="M3013" s="1" t="str">
        <f t="shared" si="3"/>
        <v>Loss</v>
      </c>
    </row>
    <row r="3014" ht="14.25" customHeight="1">
      <c r="A3014" s="1" t="s">
        <v>3048</v>
      </c>
      <c r="B3014" s="2">
        <v>44913.0</v>
      </c>
      <c r="C3014" s="1" t="s">
        <v>30</v>
      </c>
      <c r="D3014" s="1" t="s">
        <v>21</v>
      </c>
      <c r="E3014" s="1" t="s">
        <v>76</v>
      </c>
      <c r="F3014" s="1">
        <v>283.97</v>
      </c>
      <c r="G3014" s="1">
        <v>-30.87</v>
      </c>
      <c r="H3014" s="1">
        <v>6.0</v>
      </c>
      <c r="I3014" s="1" t="s">
        <v>17</v>
      </c>
      <c r="J3014" s="1" t="s">
        <v>35</v>
      </c>
      <c r="K3014" s="1">
        <f t="shared" si="1"/>
        <v>2022</v>
      </c>
      <c r="L3014" s="1" t="str">
        <f t="shared" si="2"/>
        <v>Dec</v>
      </c>
      <c r="M3014" s="1" t="str">
        <f t="shared" si="3"/>
        <v>Loss</v>
      </c>
    </row>
    <row r="3015" ht="14.25" customHeight="1">
      <c r="A3015" s="1" t="s">
        <v>3049</v>
      </c>
      <c r="B3015" s="2">
        <v>44416.0</v>
      </c>
      <c r="C3015" s="1" t="s">
        <v>30</v>
      </c>
      <c r="D3015" s="1" t="s">
        <v>15</v>
      </c>
      <c r="E3015" s="1" t="s">
        <v>54</v>
      </c>
      <c r="F3015" s="1">
        <v>674.51</v>
      </c>
      <c r="G3015" s="1">
        <v>171.86</v>
      </c>
      <c r="H3015" s="1">
        <v>5.0</v>
      </c>
      <c r="I3015" s="1" t="s">
        <v>34</v>
      </c>
      <c r="J3015" s="1" t="s">
        <v>18</v>
      </c>
      <c r="K3015" s="1">
        <f t="shared" si="1"/>
        <v>2021</v>
      </c>
      <c r="L3015" s="1" t="str">
        <f t="shared" si="2"/>
        <v>Aug</v>
      </c>
      <c r="M3015" s="1" t="str">
        <f t="shared" si="3"/>
        <v>Profit</v>
      </c>
    </row>
    <row r="3016" ht="14.25" customHeight="1">
      <c r="A3016" s="1" t="s">
        <v>3050</v>
      </c>
      <c r="B3016" s="2">
        <v>44542.0</v>
      </c>
      <c r="C3016" s="1" t="s">
        <v>20</v>
      </c>
      <c r="D3016" s="1" t="s">
        <v>27</v>
      </c>
      <c r="E3016" s="1" t="s">
        <v>40</v>
      </c>
      <c r="F3016" s="1">
        <v>438.35</v>
      </c>
      <c r="G3016" s="1">
        <v>26.27</v>
      </c>
      <c r="H3016" s="1">
        <v>10.0</v>
      </c>
      <c r="I3016" s="1" t="s">
        <v>17</v>
      </c>
      <c r="J3016" s="1" t="s">
        <v>38</v>
      </c>
      <c r="K3016" s="1">
        <f t="shared" si="1"/>
        <v>2021</v>
      </c>
      <c r="L3016" s="1" t="str">
        <f t="shared" si="2"/>
        <v>Dec</v>
      </c>
      <c r="M3016" s="1" t="str">
        <f t="shared" si="3"/>
        <v>Profit</v>
      </c>
    </row>
    <row r="3017" ht="14.25" customHeight="1">
      <c r="A3017" s="1" t="s">
        <v>3051</v>
      </c>
      <c r="B3017" s="2">
        <v>45091.0</v>
      </c>
      <c r="C3017" s="1" t="s">
        <v>30</v>
      </c>
      <c r="D3017" s="1" t="s">
        <v>27</v>
      </c>
      <c r="E3017" s="1" t="s">
        <v>40</v>
      </c>
      <c r="F3017" s="1">
        <v>78.01</v>
      </c>
      <c r="G3017" s="1">
        <v>281.25</v>
      </c>
      <c r="H3017" s="1">
        <v>10.0</v>
      </c>
      <c r="I3017" s="1" t="s">
        <v>34</v>
      </c>
      <c r="J3017" s="1" t="s">
        <v>18</v>
      </c>
      <c r="K3017" s="1">
        <f t="shared" si="1"/>
        <v>2023</v>
      </c>
      <c r="L3017" s="1" t="str">
        <f t="shared" si="2"/>
        <v>Jun</v>
      </c>
      <c r="M3017" s="1" t="str">
        <f t="shared" si="3"/>
        <v>Profit</v>
      </c>
    </row>
    <row r="3018" ht="14.25" customHeight="1">
      <c r="A3018" s="1" t="s">
        <v>3052</v>
      </c>
      <c r="B3018" s="2">
        <v>44353.0</v>
      </c>
      <c r="C3018" s="1" t="s">
        <v>14</v>
      </c>
      <c r="D3018" s="1" t="s">
        <v>21</v>
      </c>
      <c r="E3018" s="1" t="s">
        <v>76</v>
      </c>
      <c r="F3018" s="1">
        <v>645.91</v>
      </c>
      <c r="G3018" s="1">
        <v>120.29</v>
      </c>
      <c r="H3018" s="1">
        <v>6.0</v>
      </c>
      <c r="I3018" s="1" t="s">
        <v>17</v>
      </c>
      <c r="J3018" s="1" t="s">
        <v>35</v>
      </c>
      <c r="K3018" s="1">
        <f t="shared" si="1"/>
        <v>2021</v>
      </c>
      <c r="L3018" s="1" t="str">
        <f t="shared" si="2"/>
        <v>Jun</v>
      </c>
      <c r="M3018" s="1" t="str">
        <f t="shared" si="3"/>
        <v>Profit</v>
      </c>
    </row>
    <row r="3019" ht="14.25" customHeight="1">
      <c r="A3019" s="1" t="s">
        <v>3053</v>
      </c>
      <c r="B3019" s="2">
        <v>44572.0</v>
      </c>
      <c r="C3019" s="1" t="s">
        <v>20</v>
      </c>
      <c r="D3019" s="1" t="s">
        <v>15</v>
      </c>
      <c r="E3019" s="1" t="s">
        <v>31</v>
      </c>
      <c r="F3019" s="1">
        <v>532.73</v>
      </c>
      <c r="G3019" s="1">
        <v>158.09</v>
      </c>
      <c r="H3019" s="1">
        <v>7.0</v>
      </c>
      <c r="I3019" s="1" t="s">
        <v>23</v>
      </c>
      <c r="J3019" s="1" t="s">
        <v>38</v>
      </c>
      <c r="K3019" s="1">
        <f t="shared" si="1"/>
        <v>2022</v>
      </c>
      <c r="L3019" s="1" t="str">
        <f t="shared" si="2"/>
        <v>Jan</v>
      </c>
      <c r="M3019" s="1" t="str">
        <f t="shared" si="3"/>
        <v>Profit</v>
      </c>
    </row>
    <row r="3020" ht="14.25" customHeight="1">
      <c r="A3020" s="1" t="s">
        <v>3054</v>
      </c>
      <c r="B3020" s="2">
        <v>44990.0</v>
      </c>
      <c r="C3020" s="1" t="s">
        <v>26</v>
      </c>
      <c r="D3020" s="1" t="s">
        <v>15</v>
      </c>
      <c r="E3020" s="1" t="s">
        <v>16</v>
      </c>
      <c r="F3020" s="1">
        <v>791.68</v>
      </c>
      <c r="G3020" s="1">
        <v>-65.74</v>
      </c>
      <c r="H3020" s="1">
        <v>5.0</v>
      </c>
      <c r="I3020" s="1" t="s">
        <v>23</v>
      </c>
      <c r="J3020" s="1" t="s">
        <v>38</v>
      </c>
      <c r="K3020" s="1">
        <f t="shared" si="1"/>
        <v>2023</v>
      </c>
      <c r="L3020" s="1" t="str">
        <f t="shared" si="2"/>
        <v>Mar</v>
      </c>
      <c r="M3020" s="1" t="str">
        <f t="shared" si="3"/>
        <v>Loss</v>
      </c>
    </row>
    <row r="3021" ht="14.25" customHeight="1">
      <c r="A3021" s="1" t="s">
        <v>3055</v>
      </c>
      <c r="B3021" s="2">
        <v>45163.0</v>
      </c>
      <c r="C3021" s="1" t="s">
        <v>26</v>
      </c>
      <c r="D3021" s="1" t="s">
        <v>15</v>
      </c>
      <c r="E3021" s="1" t="s">
        <v>31</v>
      </c>
      <c r="F3021" s="1">
        <v>72.44</v>
      </c>
      <c r="G3021" s="1">
        <v>-188.43</v>
      </c>
      <c r="H3021" s="1">
        <v>6.0</v>
      </c>
      <c r="I3021" s="1" t="s">
        <v>34</v>
      </c>
      <c r="J3021" s="1" t="s">
        <v>38</v>
      </c>
      <c r="K3021" s="1">
        <f t="shared" si="1"/>
        <v>2023</v>
      </c>
      <c r="L3021" s="1" t="str">
        <f t="shared" si="2"/>
        <v>Aug</v>
      </c>
      <c r="M3021" s="1" t="str">
        <f t="shared" si="3"/>
        <v>Loss</v>
      </c>
    </row>
    <row r="3022" ht="14.25" customHeight="1">
      <c r="A3022" s="1" t="s">
        <v>3056</v>
      </c>
      <c r="B3022" s="2">
        <v>44617.0</v>
      </c>
      <c r="C3022" s="1" t="s">
        <v>14</v>
      </c>
      <c r="D3022" s="1" t="s">
        <v>21</v>
      </c>
      <c r="E3022" s="1" t="s">
        <v>76</v>
      </c>
      <c r="F3022" s="1">
        <v>181.56</v>
      </c>
      <c r="G3022" s="1">
        <v>-93.65</v>
      </c>
      <c r="H3022" s="1">
        <v>6.0</v>
      </c>
      <c r="I3022" s="1" t="s">
        <v>23</v>
      </c>
      <c r="J3022" s="1" t="s">
        <v>18</v>
      </c>
      <c r="K3022" s="1">
        <f t="shared" si="1"/>
        <v>2022</v>
      </c>
      <c r="L3022" s="1" t="str">
        <f t="shared" si="2"/>
        <v>Feb</v>
      </c>
      <c r="M3022" s="1" t="str">
        <f t="shared" si="3"/>
        <v>Loss</v>
      </c>
    </row>
    <row r="3023" ht="14.25" customHeight="1">
      <c r="A3023" s="1" t="s">
        <v>3057</v>
      </c>
      <c r="B3023" s="2">
        <v>44299.0</v>
      </c>
      <c r="C3023" s="1" t="s">
        <v>26</v>
      </c>
      <c r="D3023" s="1" t="s">
        <v>21</v>
      </c>
      <c r="E3023" s="1" t="s">
        <v>76</v>
      </c>
      <c r="F3023" s="1">
        <v>395.07</v>
      </c>
      <c r="G3023" s="1">
        <v>-198.36</v>
      </c>
      <c r="H3023" s="1">
        <v>10.0</v>
      </c>
      <c r="I3023" s="1" t="s">
        <v>23</v>
      </c>
      <c r="J3023" s="1" t="s">
        <v>35</v>
      </c>
      <c r="K3023" s="1">
        <f t="shared" si="1"/>
        <v>2021</v>
      </c>
      <c r="L3023" s="1" t="str">
        <f t="shared" si="2"/>
        <v>Apr</v>
      </c>
      <c r="M3023" s="1" t="str">
        <f t="shared" si="3"/>
        <v>Loss</v>
      </c>
    </row>
    <row r="3024" ht="14.25" customHeight="1">
      <c r="A3024" s="1" t="s">
        <v>3058</v>
      </c>
      <c r="B3024" s="2">
        <v>44377.0</v>
      </c>
      <c r="C3024" s="1" t="s">
        <v>20</v>
      </c>
      <c r="D3024" s="1" t="s">
        <v>27</v>
      </c>
      <c r="E3024" s="1" t="s">
        <v>40</v>
      </c>
      <c r="F3024" s="1">
        <v>932.95</v>
      </c>
      <c r="G3024" s="1">
        <v>-17.29</v>
      </c>
      <c r="H3024" s="1">
        <v>1.0</v>
      </c>
      <c r="I3024" s="1" t="s">
        <v>23</v>
      </c>
      <c r="J3024" s="1" t="s">
        <v>38</v>
      </c>
      <c r="K3024" s="1">
        <f t="shared" si="1"/>
        <v>2021</v>
      </c>
      <c r="L3024" s="1" t="str">
        <f t="shared" si="2"/>
        <v>Jun</v>
      </c>
      <c r="M3024" s="1" t="str">
        <f t="shared" si="3"/>
        <v>Loss</v>
      </c>
    </row>
    <row r="3025" ht="14.25" customHeight="1">
      <c r="A3025" s="1" t="s">
        <v>3059</v>
      </c>
      <c r="B3025" s="2">
        <v>45057.0</v>
      </c>
      <c r="C3025" s="1" t="s">
        <v>20</v>
      </c>
      <c r="D3025" s="1" t="s">
        <v>21</v>
      </c>
      <c r="E3025" s="1" t="s">
        <v>22</v>
      </c>
      <c r="F3025" s="1">
        <v>52.22</v>
      </c>
      <c r="G3025" s="1">
        <v>288.34</v>
      </c>
      <c r="H3025" s="1">
        <v>5.0</v>
      </c>
      <c r="I3025" s="1" t="s">
        <v>23</v>
      </c>
      <c r="J3025" s="1" t="s">
        <v>18</v>
      </c>
      <c r="K3025" s="1">
        <f t="shared" si="1"/>
        <v>2023</v>
      </c>
      <c r="L3025" s="1" t="str">
        <f t="shared" si="2"/>
        <v>May</v>
      </c>
      <c r="M3025" s="1" t="str">
        <f t="shared" si="3"/>
        <v>Profit</v>
      </c>
    </row>
    <row r="3026" ht="14.25" customHeight="1">
      <c r="A3026" s="1" t="s">
        <v>3060</v>
      </c>
      <c r="B3026" s="2">
        <v>44858.0</v>
      </c>
      <c r="C3026" s="1" t="s">
        <v>30</v>
      </c>
      <c r="D3026" s="1" t="s">
        <v>27</v>
      </c>
      <c r="E3026" s="1" t="s">
        <v>33</v>
      </c>
      <c r="F3026" s="1">
        <v>199.3</v>
      </c>
      <c r="G3026" s="1">
        <v>61.66</v>
      </c>
      <c r="H3026" s="1">
        <v>8.0</v>
      </c>
      <c r="I3026" s="1" t="s">
        <v>17</v>
      </c>
      <c r="J3026" s="1" t="s">
        <v>24</v>
      </c>
      <c r="K3026" s="1">
        <f t="shared" si="1"/>
        <v>2022</v>
      </c>
      <c r="L3026" s="1" t="str">
        <f t="shared" si="2"/>
        <v>Oct</v>
      </c>
      <c r="M3026" s="1" t="str">
        <f t="shared" si="3"/>
        <v>Profit</v>
      </c>
    </row>
    <row r="3027" ht="14.25" customHeight="1">
      <c r="A3027" s="1" t="s">
        <v>3061</v>
      </c>
      <c r="B3027" s="2">
        <v>44567.0</v>
      </c>
      <c r="C3027" s="1" t="s">
        <v>26</v>
      </c>
      <c r="D3027" s="1" t="s">
        <v>21</v>
      </c>
      <c r="E3027" s="1" t="s">
        <v>22</v>
      </c>
      <c r="F3027" s="1">
        <v>86.84</v>
      </c>
      <c r="G3027" s="1">
        <v>62.07</v>
      </c>
      <c r="H3027" s="1">
        <v>5.0</v>
      </c>
      <c r="I3027" s="1" t="s">
        <v>34</v>
      </c>
      <c r="J3027" s="1" t="s">
        <v>35</v>
      </c>
      <c r="K3027" s="1">
        <f t="shared" si="1"/>
        <v>2022</v>
      </c>
      <c r="L3027" s="1" t="str">
        <f t="shared" si="2"/>
        <v>Jan</v>
      </c>
      <c r="M3027" s="1" t="str">
        <f t="shared" si="3"/>
        <v>Profit</v>
      </c>
    </row>
    <row r="3028" ht="14.25" customHeight="1">
      <c r="A3028" s="1" t="s">
        <v>3062</v>
      </c>
      <c r="B3028" s="2">
        <v>44894.0</v>
      </c>
      <c r="C3028" s="1" t="s">
        <v>14</v>
      </c>
      <c r="D3028" s="1" t="s">
        <v>27</v>
      </c>
      <c r="E3028" s="1" t="s">
        <v>33</v>
      </c>
      <c r="F3028" s="1">
        <v>454.93</v>
      </c>
      <c r="G3028" s="1">
        <v>254.99</v>
      </c>
      <c r="H3028" s="1">
        <v>4.0</v>
      </c>
      <c r="I3028" s="1" t="s">
        <v>23</v>
      </c>
      <c r="J3028" s="1" t="s">
        <v>18</v>
      </c>
      <c r="K3028" s="1">
        <f t="shared" si="1"/>
        <v>2022</v>
      </c>
      <c r="L3028" s="1" t="str">
        <f t="shared" si="2"/>
        <v>Nov</v>
      </c>
      <c r="M3028" s="1" t="str">
        <f t="shared" si="3"/>
        <v>Profit</v>
      </c>
    </row>
    <row r="3029" ht="14.25" customHeight="1">
      <c r="A3029" s="1" t="s">
        <v>3063</v>
      </c>
      <c r="B3029" s="2">
        <v>45154.0</v>
      </c>
      <c r="C3029" s="1" t="s">
        <v>20</v>
      </c>
      <c r="D3029" s="1" t="s">
        <v>27</v>
      </c>
      <c r="E3029" s="1" t="s">
        <v>33</v>
      </c>
      <c r="F3029" s="1">
        <v>358.7</v>
      </c>
      <c r="G3029" s="1">
        <v>-160.69</v>
      </c>
      <c r="H3029" s="1">
        <v>7.0</v>
      </c>
      <c r="I3029" s="1" t="s">
        <v>17</v>
      </c>
      <c r="J3029" s="1" t="s">
        <v>38</v>
      </c>
      <c r="K3029" s="1">
        <f t="shared" si="1"/>
        <v>2023</v>
      </c>
      <c r="L3029" s="1" t="str">
        <f t="shared" si="2"/>
        <v>Aug</v>
      </c>
      <c r="M3029" s="1" t="str">
        <f t="shared" si="3"/>
        <v>Loss</v>
      </c>
    </row>
    <row r="3030" ht="14.25" customHeight="1">
      <c r="A3030" s="1" t="s">
        <v>3064</v>
      </c>
      <c r="B3030" s="2">
        <v>45183.0</v>
      </c>
      <c r="C3030" s="1" t="s">
        <v>20</v>
      </c>
      <c r="D3030" s="1" t="s">
        <v>21</v>
      </c>
      <c r="E3030" s="1" t="s">
        <v>22</v>
      </c>
      <c r="F3030" s="1">
        <v>839.97</v>
      </c>
      <c r="G3030" s="1">
        <v>-101.66</v>
      </c>
      <c r="H3030" s="1">
        <v>3.0</v>
      </c>
      <c r="I3030" s="1" t="s">
        <v>17</v>
      </c>
      <c r="J3030" s="1" t="s">
        <v>18</v>
      </c>
      <c r="K3030" s="1">
        <f t="shared" si="1"/>
        <v>2023</v>
      </c>
      <c r="L3030" s="1" t="str">
        <f t="shared" si="2"/>
        <v>Sep</v>
      </c>
      <c r="M3030" s="1" t="str">
        <f t="shared" si="3"/>
        <v>Loss</v>
      </c>
    </row>
    <row r="3031" ht="14.25" customHeight="1">
      <c r="A3031" s="1" t="s">
        <v>3065</v>
      </c>
      <c r="B3031" s="2">
        <v>44538.0</v>
      </c>
      <c r="C3031" s="1" t="s">
        <v>14</v>
      </c>
      <c r="D3031" s="1" t="s">
        <v>21</v>
      </c>
      <c r="E3031" s="1" t="s">
        <v>37</v>
      </c>
      <c r="F3031" s="1">
        <v>311.1</v>
      </c>
      <c r="G3031" s="1">
        <v>270.47</v>
      </c>
      <c r="H3031" s="1">
        <v>5.0</v>
      </c>
      <c r="I3031" s="1" t="s">
        <v>17</v>
      </c>
      <c r="J3031" s="1" t="s">
        <v>35</v>
      </c>
      <c r="K3031" s="1">
        <f t="shared" si="1"/>
        <v>2021</v>
      </c>
      <c r="L3031" s="1" t="str">
        <f t="shared" si="2"/>
        <v>Dec</v>
      </c>
      <c r="M3031" s="1" t="str">
        <f t="shared" si="3"/>
        <v>Profit</v>
      </c>
    </row>
    <row r="3032" ht="14.25" customHeight="1">
      <c r="A3032" s="1" t="s">
        <v>3066</v>
      </c>
      <c r="B3032" s="2">
        <v>44774.0</v>
      </c>
      <c r="C3032" s="1" t="s">
        <v>20</v>
      </c>
      <c r="D3032" s="1" t="s">
        <v>21</v>
      </c>
      <c r="E3032" s="1" t="s">
        <v>76</v>
      </c>
      <c r="F3032" s="1">
        <v>860.19</v>
      </c>
      <c r="G3032" s="1">
        <v>-152.03</v>
      </c>
      <c r="H3032" s="1">
        <v>2.0</v>
      </c>
      <c r="I3032" s="1" t="s">
        <v>34</v>
      </c>
      <c r="J3032" s="1" t="s">
        <v>24</v>
      </c>
      <c r="K3032" s="1">
        <f t="shared" si="1"/>
        <v>2022</v>
      </c>
      <c r="L3032" s="1" t="str">
        <f t="shared" si="2"/>
        <v>Aug</v>
      </c>
      <c r="M3032" s="1" t="str">
        <f t="shared" si="3"/>
        <v>Loss</v>
      </c>
    </row>
    <row r="3033" ht="14.25" customHeight="1">
      <c r="A3033" s="1" t="s">
        <v>3067</v>
      </c>
      <c r="B3033" s="2">
        <v>44504.0</v>
      </c>
      <c r="C3033" s="1" t="s">
        <v>14</v>
      </c>
      <c r="D3033" s="1" t="s">
        <v>15</v>
      </c>
      <c r="E3033" s="1" t="s">
        <v>54</v>
      </c>
      <c r="F3033" s="1">
        <v>186.28</v>
      </c>
      <c r="G3033" s="1">
        <v>183.17</v>
      </c>
      <c r="H3033" s="1">
        <v>10.0</v>
      </c>
      <c r="I3033" s="1" t="s">
        <v>17</v>
      </c>
      <c r="J3033" s="1" t="s">
        <v>35</v>
      </c>
      <c r="K3033" s="1">
        <f t="shared" si="1"/>
        <v>2021</v>
      </c>
      <c r="L3033" s="1" t="str">
        <f t="shared" si="2"/>
        <v>Nov</v>
      </c>
      <c r="M3033" s="1" t="str">
        <f t="shared" si="3"/>
        <v>Profit</v>
      </c>
    </row>
    <row r="3034" ht="14.25" customHeight="1">
      <c r="A3034" s="1" t="s">
        <v>3068</v>
      </c>
      <c r="B3034" s="2">
        <v>44824.0</v>
      </c>
      <c r="C3034" s="1" t="s">
        <v>30</v>
      </c>
      <c r="D3034" s="1" t="s">
        <v>21</v>
      </c>
      <c r="E3034" s="1" t="s">
        <v>22</v>
      </c>
      <c r="F3034" s="1">
        <v>881.77</v>
      </c>
      <c r="G3034" s="1">
        <v>16.9</v>
      </c>
      <c r="H3034" s="1">
        <v>1.0</v>
      </c>
      <c r="I3034" s="1" t="s">
        <v>23</v>
      </c>
      <c r="J3034" s="1" t="s">
        <v>18</v>
      </c>
      <c r="K3034" s="1">
        <f t="shared" si="1"/>
        <v>2022</v>
      </c>
      <c r="L3034" s="1" t="str">
        <f t="shared" si="2"/>
        <v>Sep</v>
      </c>
      <c r="M3034" s="1" t="str">
        <f t="shared" si="3"/>
        <v>Profit</v>
      </c>
    </row>
    <row r="3035" ht="14.25" customHeight="1">
      <c r="A3035" s="1" t="s">
        <v>3069</v>
      </c>
      <c r="B3035" s="2">
        <v>44410.0</v>
      </c>
      <c r="C3035" s="1" t="s">
        <v>30</v>
      </c>
      <c r="D3035" s="1" t="s">
        <v>21</v>
      </c>
      <c r="E3035" s="1" t="s">
        <v>76</v>
      </c>
      <c r="F3035" s="1">
        <v>684.44</v>
      </c>
      <c r="G3035" s="1">
        <v>-159.83</v>
      </c>
      <c r="H3035" s="1">
        <v>3.0</v>
      </c>
      <c r="I3035" s="1" t="s">
        <v>23</v>
      </c>
      <c r="J3035" s="1" t="s">
        <v>24</v>
      </c>
      <c r="K3035" s="1">
        <f t="shared" si="1"/>
        <v>2021</v>
      </c>
      <c r="L3035" s="1" t="str">
        <f t="shared" si="2"/>
        <v>Aug</v>
      </c>
      <c r="M3035" s="1" t="str">
        <f t="shared" si="3"/>
        <v>Loss</v>
      </c>
    </row>
    <row r="3036" ht="14.25" customHeight="1">
      <c r="A3036" s="1" t="s">
        <v>3070</v>
      </c>
      <c r="B3036" s="2">
        <v>45174.0</v>
      </c>
      <c r="C3036" s="1" t="s">
        <v>30</v>
      </c>
      <c r="D3036" s="1" t="s">
        <v>15</v>
      </c>
      <c r="E3036" s="1" t="s">
        <v>54</v>
      </c>
      <c r="F3036" s="1">
        <v>592.23</v>
      </c>
      <c r="G3036" s="1">
        <v>-36.1</v>
      </c>
      <c r="H3036" s="1">
        <v>6.0</v>
      </c>
      <c r="I3036" s="1" t="s">
        <v>17</v>
      </c>
      <c r="J3036" s="1" t="s">
        <v>38</v>
      </c>
      <c r="K3036" s="1">
        <f t="shared" si="1"/>
        <v>2023</v>
      </c>
      <c r="L3036" s="1" t="str">
        <f t="shared" si="2"/>
        <v>Sep</v>
      </c>
      <c r="M3036" s="1" t="str">
        <f t="shared" si="3"/>
        <v>Loss</v>
      </c>
    </row>
    <row r="3037" ht="14.25" customHeight="1">
      <c r="A3037" s="1" t="s">
        <v>3071</v>
      </c>
      <c r="B3037" s="2">
        <v>44661.0</v>
      </c>
      <c r="C3037" s="1" t="s">
        <v>20</v>
      </c>
      <c r="D3037" s="1" t="s">
        <v>27</v>
      </c>
      <c r="E3037" s="1" t="s">
        <v>33</v>
      </c>
      <c r="F3037" s="1">
        <v>961.88</v>
      </c>
      <c r="G3037" s="1">
        <v>272.51</v>
      </c>
      <c r="H3037" s="1">
        <v>6.0</v>
      </c>
      <c r="I3037" s="1" t="s">
        <v>23</v>
      </c>
      <c r="J3037" s="1" t="s">
        <v>38</v>
      </c>
      <c r="K3037" s="1">
        <f t="shared" si="1"/>
        <v>2022</v>
      </c>
      <c r="L3037" s="1" t="str">
        <f t="shared" si="2"/>
        <v>Apr</v>
      </c>
      <c r="M3037" s="1" t="str">
        <f t="shared" si="3"/>
        <v>Profit</v>
      </c>
    </row>
    <row r="3038" ht="14.25" customHeight="1">
      <c r="A3038" s="1" t="s">
        <v>3072</v>
      </c>
      <c r="B3038" s="2">
        <v>44952.0</v>
      </c>
      <c r="C3038" s="1" t="s">
        <v>14</v>
      </c>
      <c r="D3038" s="1" t="s">
        <v>21</v>
      </c>
      <c r="E3038" s="1" t="s">
        <v>37</v>
      </c>
      <c r="F3038" s="1">
        <v>674.72</v>
      </c>
      <c r="G3038" s="1">
        <v>175.66</v>
      </c>
      <c r="H3038" s="1">
        <v>10.0</v>
      </c>
      <c r="I3038" s="1" t="s">
        <v>23</v>
      </c>
      <c r="J3038" s="1" t="s">
        <v>24</v>
      </c>
      <c r="K3038" s="1">
        <f t="shared" si="1"/>
        <v>2023</v>
      </c>
      <c r="L3038" s="1" t="str">
        <f t="shared" si="2"/>
        <v>Jan</v>
      </c>
      <c r="M3038" s="1" t="str">
        <f t="shared" si="3"/>
        <v>Profit</v>
      </c>
    </row>
    <row r="3039" ht="14.25" customHeight="1">
      <c r="A3039" s="1" t="s">
        <v>3073</v>
      </c>
      <c r="B3039" s="2">
        <v>45273.0</v>
      </c>
      <c r="C3039" s="1" t="s">
        <v>14</v>
      </c>
      <c r="D3039" s="1" t="s">
        <v>21</v>
      </c>
      <c r="E3039" s="1" t="s">
        <v>22</v>
      </c>
      <c r="F3039" s="1">
        <v>300.88</v>
      </c>
      <c r="G3039" s="1">
        <v>191.37</v>
      </c>
      <c r="H3039" s="1">
        <v>7.0</v>
      </c>
      <c r="I3039" s="1" t="s">
        <v>34</v>
      </c>
      <c r="J3039" s="1" t="s">
        <v>38</v>
      </c>
      <c r="K3039" s="1">
        <f t="shared" si="1"/>
        <v>2023</v>
      </c>
      <c r="L3039" s="1" t="str">
        <f t="shared" si="2"/>
        <v>Dec</v>
      </c>
      <c r="M3039" s="1" t="str">
        <f t="shared" si="3"/>
        <v>Profit</v>
      </c>
    </row>
    <row r="3040" ht="14.25" customHeight="1">
      <c r="A3040" s="1" t="s">
        <v>3074</v>
      </c>
      <c r="B3040" s="2">
        <v>44959.0</v>
      </c>
      <c r="C3040" s="1" t="s">
        <v>14</v>
      </c>
      <c r="D3040" s="1" t="s">
        <v>21</v>
      </c>
      <c r="E3040" s="1" t="s">
        <v>22</v>
      </c>
      <c r="F3040" s="1">
        <v>390.79</v>
      </c>
      <c r="G3040" s="1">
        <v>-153.64</v>
      </c>
      <c r="H3040" s="1">
        <v>4.0</v>
      </c>
      <c r="I3040" s="1" t="s">
        <v>34</v>
      </c>
      <c r="J3040" s="1" t="s">
        <v>24</v>
      </c>
      <c r="K3040" s="1">
        <f t="shared" si="1"/>
        <v>2023</v>
      </c>
      <c r="L3040" s="1" t="str">
        <f t="shared" si="2"/>
        <v>Feb</v>
      </c>
      <c r="M3040" s="1" t="str">
        <f t="shared" si="3"/>
        <v>Loss</v>
      </c>
    </row>
    <row r="3041" ht="14.25" customHeight="1">
      <c r="A3041" s="1" t="s">
        <v>3075</v>
      </c>
      <c r="B3041" s="2">
        <v>45279.0</v>
      </c>
      <c r="C3041" s="1" t="s">
        <v>26</v>
      </c>
      <c r="D3041" s="1" t="s">
        <v>15</v>
      </c>
      <c r="E3041" s="1" t="s">
        <v>16</v>
      </c>
      <c r="F3041" s="1">
        <v>166.94</v>
      </c>
      <c r="G3041" s="1">
        <v>80.04</v>
      </c>
      <c r="H3041" s="1">
        <v>3.0</v>
      </c>
      <c r="I3041" s="1" t="s">
        <v>17</v>
      </c>
      <c r="J3041" s="1" t="s">
        <v>38</v>
      </c>
      <c r="K3041" s="1">
        <f t="shared" si="1"/>
        <v>2023</v>
      </c>
      <c r="L3041" s="1" t="str">
        <f t="shared" si="2"/>
        <v>Dec</v>
      </c>
      <c r="M3041" s="1" t="str">
        <f t="shared" si="3"/>
        <v>Profit</v>
      </c>
    </row>
    <row r="3042" ht="14.25" customHeight="1">
      <c r="A3042" s="1" t="s">
        <v>3076</v>
      </c>
      <c r="B3042" s="2">
        <v>44513.0</v>
      </c>
      <c r="C3042" s="1" t="s">
        <v>26</v>
      </c>
      <c r="D3042" s="1" t="s">
        <v>15</v>
      </c>
      <c r="E3042" s="1" t="s">
        <v>54</v>
      </c>
      <c r="F3042" s="1">
        <v>791.33</v>
      </c>
      <c r="G3042" s="1">
        <v>160.01</v>
      </c>
      <c r="H3042" s="1">
        <v>2.0</v>
      </c>
      <c r="I3042" s="1" t="s">
        <v>34</v>
      </c>
      <c r="J3042" s="1" t="s">
        <v>35</v>
      </c>
      <c r="K3042" s="1">
        <f t="shared" si="1"/>
        <v>2021</v>
      </c>
      <c r="L3042" s="1" t="str">
        <f t="shared" si="2"/>
        <v>Nov</v>
      </c>
      <c r="M3042" s="1" t="str">
        <f t="shared" si="3"/>
        <v>Profit</v>
      </c>
    </row>
    <row r="3043" ht="14.25" customHeight="1">
      <c r="A3043" s="1" t="s">
        <v>3077</v>
      </c>
      <c r="B3043" s="2">
        <v>45292.0</v>
      </c>
      <c r="C3043" s="1" t="s">
        <v>30</v>
      </c>
      <c r="D3043" s="1" t="s">
        <v>27</v>
      </c>
      <c r="E3043" s="1" t="s">
        <v>40</v>
      </c>
      <c r="F3043" s="1">
        <v>63.11</v>
      </c>
      <c r="G3043" s="1">
        <v>-138.56</v>
      </c>
      <c r="H3043" s="1">
        <v>1.0</v>
      </c>
      <c r="I3043" s="1" t="s">
        <v>17</v>
      </c>
      <c r="J3043" s="1" t="s">
        <v>35</v>
      </c>
      <c r="K3043" s="1">
        <f t="shared" si="1"/>
        <v>2024</v>
      </c>
      <c r="L3043" s="1" t="str">
        <f t="shared" si="2"/>
        <v>Jan</v>
      </c>
      <c r="M3043" s="1" t="str">
        <f t="shared" si="3"/>
        <v>Loss</v>
      </c>
    </row>
    <row r="3044" ht="14.25" customHeight="1">
      <c r="A3044" s="1" t="s">
        <v>3078</v>
      </c>
      <c r="B3044" s="2">
        <v>44720.0</v>
      </c>
      <c r="C3044" s="1" t="s">
        <v>30</v>
      </c>
      <c r="D3044" s="1" t="s">
        <v>15</v>
      </c>
      <c r="E3044" s="1" t="s">
        <v>54</v>
      </c>
      <c r="F3044" s="1">
        <v>69.86</v>
      </c>
      <c r="G3044" s="1">
        <v>-191.37</v>
      </c>
      <c r="H3044" s="1">
        <v>1.0</v>
      </c>
      <c r="I3044" s="1" t="s">
        <v>17</v>
      </c>
      <c r="J3044" s="1" t="s">
        <v>38</v>
      </c>
      <c r="K3044" s="1">
        <f t="shared" si="1"/>
        <v>2022</v>
      </c>
      <c r="L3044" s="1" t="str">
        <f t="shared" si="2"/>
        <v>Jun</v>
      </c>
      <c r="M3044" s="1" t="str">
        <f t="shared" si="3"/>
        <v>Loss</v>
      </c>
    </row>
    <row r="3045" ht="14.25" customHeight="1">
      <c r="A3045" s="1" t="s">
        <v>3079</v>
      </c>
      <c r="B3045" s="2">
        <v>44244.0</v>
      </c>
      <c r="C3045" s="1" t="s">
        <v>26</v>
      </c>
      <c r="D3045" s="1" t="s">
        <v>15</v>
      </c>
      <c r="E3045" s="1" t="s">
        <v>31</v>
      </c>
      <c r="F3045" s="1">
        <v>507.22</v>
      </c>
      <c r="G3045" s="1">
        <v>33.73</v>
      </c>
      <c r="H3045" s="1">
        <v>10.0</v>
      </c>
      <c r="I3045" s="1" t="s">
        <v>34</v>
      </c>
      <c r="J3045" s="1" t="s">
        <v>38</v>
      </c>
      <c r="K3045" s="1">
        <f t="shared" si="1"/>
        <v>2021</v>
      </c>
      <c r="L3045" s="1" t="str">
        <f t="shared" si="2"/>
        <v>Feb</v>
      </c>
      <c r="M3045" s="1" t="str">
        <f t="shared" si="3"/>
        <v>Profit</v>
      </c>
    </row>
    <row r="3046" ht="14.25" customHeight="1">
      <c r="A3046" s="1" t="s">
        <v>3080</v>
      </c>
      <c r="B3046" s="2">
        <v>44906.0</v>
      </c>
      <c r="C3046" s="1" t="s">
        <v>26</v>
      </c>
      <c r="D3046" s="1" t="s">
        <v>27</v>
      </c>
      <c r="E3046" s="1" t="s">
        <v>40</v>
      </c>
      <c r="F3046" s="1">
        <v>126.9</v>
      </c>
      <c r="G3046" s="1">
        <v>-9.79</v>
      </c>
      <c r="H3046" s="1">
        <v>9.0</v>
      </c>
      <c r="I3046" s="1" t="s">
        <v>34</v>
      </c>
      <c r="J3046" s="1" t="s">
        <v>24</v>
      </c>
      <c r="K3046" s="1">
        <f t="shared" si="1"/>
        <v>2022</v>
      </c>
      <c r="L3046" s="1" t="str">
        <f t="shared" si="2"/>
        <v>Dec</v>
      </c>
      <c r="M3046" s="1" t="str">
        <f t="shared" si="3"/>
        <v>Loss</v>
      </c>
    </row>
    <row r="3047" ht="14.25" customHeight="1">
      <c r="A3047" s="1" t="s">
        <v>3081</v>
      </c>
      <c r="B3047" s="2">
        <v>44349.0</v>
      </c>
      <c r="C3047" s="1" t="s">
        <v>26</v>
      </c>
      <c r="D3047" s="1" t="s">
        <v>27</v>
      </c>
      <c r="E3047" s="1" t="s">
        <v>40</v>
      </c>
      <c r="F3047" s="1">
        <v>843.86</v>
      </c>
      <c r="G3047" s="1">
        <v>47.58</v>
      </c>
      <c r="H3047" s="1">
        <v>2.0</v>
      </c>
      <c r="I3047" s="1" t="s">
        <v>17</v>
      </c>
      <c r="J3047" s="1" t="s">
        <v>38</v>
      </c>
      <c r="K3047" s="1">
        <f t="shared" si="1"/>
        <v>2021</v>
      </c>
      <c r="L3047" s="1" t="str">
        <f t="shared" si="2"/>
        <v>Jun</v>
      </c>
      <c r="M3047" s="1" t="str">
        <f t="shared" si="3"/>
        <v>Profit</v>
      </c>
    </row>
    <row r="3048" ht="14.25" customHeight="1">
      <c r="A3048" s="1" t="s">
        <v>3082</v>
      </c>
      <c r="B3048" s="2">
        <v>44277.0</v>
      </c>
      <c r="C3048" s="1" t="s">
        <v>26</v>
      </c>
      <c r="D3048" s="1" t="s">
        <v>15</v>
      </c>
      <c r="E3048" s="1" t="s">
        <v>31</v>
      </c>
      <c r="F3048" s="1">
        <v>148.02</v>
      </c>
      <c r="G3048" s="1">
        <v>-178.15</v>
      </c>
      <c r="H3048" s="1">
        <v>8.0</v>
      </c>
      <c r="I3048" s="1" t="s">
        <v>23</v>
      </c>
      <c r="J3048" s="1" t="s">
        <v>24</v>
      </c>
      <c r="K3048" s="1">
        <f t="shared" si="1"/>
        <v>2021</v>
      </c>
      <c r="L3048" s="1" t="str">
        <f t="shared" si="2"/>
        <v>Mar</v>
      </c>
      <c r="M3048" s="1" t="str">
        <f t="shared" si="3"/>
        <v>Loss</v>
      </c>
    </row>
    <row r="3049" ht="14.25" customHeight="1">
      <c r="A3049" s="1" t="s">
        <v>3083</v>
      </c>
      <c r="B3049" s="2">
        <v>44951.0</v>
      </c>
      <c r="C3049" s="1" t="s">
        <v>26</v>
      </c>
      <c r="D3049" s="1" t="s">
        <v>21</v>
      </c>
      <c r="E3049" s="1" t="s">
        <v>22</v>
      </c>
      <c r="F3049" s="1">
        <v>587.91</v>
      </c>
      <c r="G3049" s="1">
        <v>192.84</v>
      </c>
      <c r="H3049" s="1">
        <v>7.0</v>
      </c>
      <c r="I3049" s="1" t="s">
        <v>23</v>
      </c>
      <c r="J3049" s="1" t="s">
        <v>24</v>
      </c>
      <c r="K3049" s="1">
        <f t="shared" si="1"/>
        <v>2023</v>
      </c>
      <c r="L3049" s="1" t="str">
        <f t="shared" si="2"/>
        <v>Jan</v>
      </c>
      <c r="M3049" s="1" t="str">
        <f t="shared" si="3"/>
        <v>Profit</v>
      </c>
    </row>
    <row r="3050" ht="14.25" customHeight="1">
      <c r="A3050" s="1" t="s">
        <v>3084</v>
      </c>
      <c r="B3050" s="2">
        <v>44767.0</v>
      </c>
      <c r="C3050" s="1" t="s">
        <v>20</v>
      </c>
      <c r="D3050" s="1" t="s">
        <v>15</v>
      </c>
      <c r="E3050" s="1" t="s">
        <v>54</v>
      </c>
      <c r="F3050" s="1">
        <v>185.04</v>
      </c>
      <c r="G3050" s="1">
        <v>-181.12</v>
      </c>
      <c r="H3050" s="1">
        <v>6.0</v>
      </c>
      <c r="I3050" s="1" t="s">
        <v>23</v>
      </c>
      <c r="J3050" s="1" t="s">
        <v>35</v>
      </c>
      <c r="K3050" s="1">
        <f t="shared" si="1"/>
        <v>2022</v>
      </c>
      <c r="L3050" s="1" t="str">
        <f t="shared" si="2"/>
        <v>Jul</v>
      </c>
      <c r="M3050" s="1" t="str">
        <f t="shared" si="3"/>
        <v>Loss</v>
      </c>
    </row>
    <row r="3051" ht="14.25" customHeight="1">
      <c r="A3051" s="1" t="s">
        <v>3085</v>
      </c>
      <c r="B3051" s="2">
        <v>45235.0</v>
      </c>
      <c r="C3051" s="1" t="s">
        <v>14</v>
      </c>
      <c r="D3051" s="1" t="s">
        <v>27</v>
      </c>
      <c r="E3051" s="1" t="s">
        <v>33</v>
      </c>
      <c r="F3051" s="1">
        <v>221.5</v>
      </c>
      <c r="G3051" s="1">
        <v>-199.11</v>
      </c>
      <c r="H3051" s="1">
        <v>3.0</v>
      </c>
      <c r="I3051" s="1" t="s">
        <v>34</v>
      </c>
      <c r="J3051" s="1" t="s">
        <v>35</v>
      </c>
      <c r="K3051" s="1">
        <f t="shared" si="1"/>
        <v>2023</v>
      </c>
      <c r="L3051" s="1" t="str">
        <f t="shared" si="2"/>
        <v>Nov</v>
      </c>
      <c r="M3051" s="1" t="str">
        <f t="shared" si="3"/>
        <v>Loss</v>
      </c>
    </row>
    <row r="3052" ht="14.25" customHeight="1">
      <c r="A3052" s="1" t="s">
        <v>3086</v>
      </c>
      <c r="B3052" s="2">
        <v>44521.0</v>
      </c>
      <c r="C3052" s="1" t="s">
        <v>14</v>
      </c>
      <c r="D3052" s="1" t="s">
        <v>15</v>
      </c>
      <c r="E3052" s="1" t="s">
        <v>31</v>
      </c>
      <c r="F3052" s="1">
        <v>624.98</v>
      </c>
      <c r="G3052" s="1">
        <v>202.95</v>
      </c>
      <c r="H3052" s="1">
        <v>1.0</v>
      </c>
      <c r="I3052" s="1" t="s">
        <v>34</v>
      </c>
      <c r="J3052" s="1" t="s">
        <v>35</v>
      </c>
      <c r="K3052" s="1">
        <f t="shared" si="1"/>
        <v>2021</v>
      </c>
      <c r="L3052" s="1" t="str">
        <f t="shared" si="2"/>
        <v>Nov</v>
      </c>
      <c r="M3052" s="1" t="str">
        <f t="shared" si="3"/>
        <v>Profit</v>
      </c>
    </row>
    <row r="3053" ht="14.25" customHeight="1">
      <c r="A3053" s="1" t="s">
        <v>3087</v>
      </c>
      <c r="B3053" s="2">
        <v>44214.0</v>
      </c>
      <c r="C3053" s="1" t="s">
        <v>20</v>
      </c>
      <c r="D3053" s="1" t="s">
        <v>21</v>
      </c>
      <c r="E3053" s="1" t="s">
        <v>22</v>
      </c>
      <c r="F3053" s="1">
        <v>717.52</v>
      </c>
      <c r="G3053" s="1">
        <v>130.06</v>
      </c>
      <c r="H3053" s="1">
        <v>5.0</v>
      </c>
      <c r="I3053" s="1" t="s">
        <v>34</v>
      </c>
      <c r="J3053" s="1" t="s">
        <v>18</v>
      </c>
      <c r="K3053" s="1">
        <f t="shared" si="1"/>
        <v>2021</v>
      </c>
      <c r="L3053" s="1" t="str">
        <f t="shared" si="2"/>
        <v>Jan</v>
      </c>
      <c r="M3053" s="1" t="str">
        <f t="shared" si="3"/>
        <v>Profit</v>
      </c>
    </row>
    <row r="3054" ht="14.25" customHeight="1">
      <c r="A3054" s="1" t="s">
        <v>3088</v>
      </c>
      <c r="B3054" s="2">
        <v>44281.0</v>
      </c>
      <c r="C3054" s="1" t="s">
        <v>20</v>
      </c>
      <c r="D3054" s="1" t="s">
        <v>27</v>
      </c>
      <c r="E3054" s="1" t="s">
        <v>33</v>
      </c>
      <c r="F3054" s="1">
        <v>544.16</v>
      </c>
      <c r="G3054" s="1">
        <v>-101.61</v>
      </c>
      <c r="H3054" s="1">
        <v>5.0</v>
      </c>
      <c r="I3054" s="1" t="s">
        <v>23</v>
      </c>
      <c r="J3054" s="1" t="s">
        <v>38</v>
      </c>
      <c r="K3054" s="1">
        <f t="shared" si="1"/>
        <v>2021</v>
      </c>
      <c r="L3054" s="1" t="str">
        <f t="shared" si="2"/>
        <v>Mar</v>
      </c>
      <c r="M3054" s="1" t="str">
        <f t="shared" si="3"/>
        <v>Loss</v>
      </c>
    </row>
    <row r="3055" ht="14.25" customHeight="1">
      <c r="A3055" s="1" t="s">
        <v>3089</v>
      </c>
      <c r="B3055" s="2">
        <v>44797.0</v>
      </c>
      <c r="C3055" s="1" t="s">
        <v>20</v>
      </c>
      <c r="D3055" s="1" t="s">
        <v>27</v>
      </c>
      <c r="E3055" s="1" t="s">
        <v>33</v>
      </c>
      <c r="F3055" s="1">
        <v>232.27</v>
      </c>
      <c r="G3055" s="1">
        <v>-120.98</v>
      </c>
      <c r="H3055" s="1">
        <v>4.0</v>
      </c>
      <c r="I3055" s="1" t="s">
        <v>23</v>
      </c>
      <c r="J3055" s="1" t="s">
        <v>24</v>
      </c>
      <c r="K3055" s="1">
        <f t="shared" si="1"/>
        <v>2022</v>
      </c>
      <c r="L3055" s="1" t="str">
        <f t="shared" si="2"/>
        <v>Aug</v>
      </c>
      <c r="M3055" s="1" t="str">
        <f t="shared" si="3"/>
        <v>Loss</v>
      </c>
    </row>
    <row r="3056" ht="14.25" customHeight="1">
      <c r="A3056" s="1" t="s">
        <v>3090</v>
      </c>
      <c r="B3056" s="2">
        <v>45053.0</v>
      </c>
      <c r="C3056" s="1" t="s">
        <v>26</v>
      </c>
      <c r="D3056" s="1" t="s">
        <v>21</v>
      </c>
      <c r="E3056" s="1" t="s">
        <v>22</v>
      </c>
      <c r="F3056" s="1">
        <v>214.77</v>
      </c>
      <c r="G3056" s="1">
        <v>-64.21</v>
      </c>
      <c r="H3056" s="1">
        <v>9.0</v>
      </c>
      <c r="I3056" s="1" t="s">
        <v>17</v>
      </c>
      <c r="J3056" s="1" t="s">
        <v>24</v>
      </c>
      <c r="K3056" s="1">
        <f t="shared" si="1"/>
        <v>2023</v>
      </c>
      <c r="L3056" s="1" t="str">
        <f t="shared" si="2"/>
        <v>May</v>
      </c>
      <c r="M3056" s="1" t="str">
        <f t="shared" si="3"/>
        <v>Loss</v>
      </c>
    </row>
    <row r="3057" ht="14.25" customHeight="1">
      <c r="A3057" s="1" t="s">
        <v>3091</v>
      </c>
      <c r="B3057" s="2">
        <v>44827.0</v>
      </c>
      <c r="C3057" s="1" t="s">
        <v>26</v>
      </c>
      <c r="D3057" s="1" t="s">
        <v>15</v>
      </c>
      <c r="E3057" s="1" t="s">
        <v>31</v>
      </c>
      <c r="F3057" s="1">
        <v>723.87</v>
      </c>
      <c r="G3057" s="1">
        <v>120.61</v>
      </c>
      <c r="H3057" s="1">
        <v>3.0</v>
      </c>
      <c r="I3057" s="1" t="s">
        <v>17</v>
      </c>
      <c r="J3057" s="1" t="s">
        <v>38</v>
      </c>
      <c r="K3057" s="1">
        <f t="shared" si="1"/>
        <v>2022</v>
      </c>
      <c r="L3057" s="1" t="str">
        <f t="shared" si="2"/>
        <v>Sep</v>
      </c>
      <c r="M3057" s="1" t="str">
        <f t="shared" si="3"/>
        <v>Profit</v>
      </c>
    </row>
    <row r="3058" ht="14.25" customHeight="1">
      <c r="A3058" s="1" t="s">
        <v>3092</v>
      </c>
      <c r="B3058" s="2">
        <v>44321.0</v>
      </c>
      <c r="C3058" s="1" t="s">
        <v>30</v>
      </c>
      <c r="D3058" s="1" t="s">
        <v>27</v>
      </c>
      <c r="E3058" s="1" t="s">
        <v>33</v>
      </c>
      <c r="F3058" s="1">
        <v>416.73</v>
      </c>
      <c r="G3058" s="1">
        <v>-111.25</v>
      </c>
      <c r="H3058" s="1">
        <v>4.0</v>
      </c>
      <c r="I3058" s="1" t="s">
        <v>17</v>
      </c>
      <c r="J3058" s="1" t="s">
        <v>18</v>
      </c>
      <c r="K3058" s="1">
        <f t="shared" si="1"/>
        <v>2021</v>
      </c>
      <c r="L3058" s="1" t="str">
        <f t="shared" si="2"/>
        <v>May</v>
      </c>
      <c r="M3058" s="1" t="str">
        <f t="shared" si="3"/>
        <v>Loss</v>
      </c>
    </row>
    <row r="3059" ht="14.25" customHeight="1">
      <c r="A3059" s="1" t="s">
        <v>3093</v>
      </c>
      <c r="B3059" s="2">
        <v>44288.0</v>
      </c>
      <c r="C3059" s="1" t="s">
        <v>20</v>
      </c>
      <c r="D3059" s="1" t="s">
        <v>27</v>
      </c>
      <c r="E3059" s="1" t="s">
        <v>28</v>
      </c>
      <c r="F3059" s="1">
        <v>449.61</v>
      </c>
      <c r="G3059" s="1">
        <v>6.9</v>
      </c>
      <c r="H3059" s="1">
        <v>7.0</v>
      </c>
      <c r="I3059" s="1" t="s">
        <v>34</v>
      </c>
      <c r="J3059" s="1" t="s">
        <v>18</v>
      </c>
      <c r="K3059" s="1">
        <f t="shared" si="1"/>
        <v>2021</v>
      </c>
      <c r="L3059" s="1" t="str">
        <f t="shared" si="2"/>
        <v>Apr</v>
      </c>
      <c r="M3059" s="1" t="str">
        <f t="shared" si="3"/>
        <v>Profit</v>
      </c>
    </row>
    <row r="3060" ht="14.25" customHeight="1">
      <c r="A3060" s="1" t="s">
        <v>3094</v>
      </c>
      <c r="B3060" s="2">
        <v>45159.0</v>
      </c>
      <c r="C3060" s="1" t="s">
        <v>14</v>
      </c>
      <c r="D3060" s="1" t="s">
        <v>27</v>
      </c>
      <c r="E3060" s="1" t="s">
        <v>33</v>
      </c>
      <c r="F3060" s="1">
        <v>534.68</v>
      </c>
      <c r="G3060" s="1">
        <v>-62.99</v>
      </c>
      <c r="H3060" s="1">
        <v>5.0</v>
      </c>
      <c r="I3060" s="1" t="s">
        <v>23</v>
      </c>
      <c r="J3060" s="1" t="s">
        <v>24</v>
      </c>
      <c r="K3060" s="1">
        <f t="shared" si="1"/>
        <v>2023</v>
      </c>
      <c r="L3060" s="1" t="str">
        <f t="shared" si="2"/>
        <v>Aug</v>
      </c>
      <c r="M3060" s="1" t="str">
        <f t="shared" si="3"/>
        <v>Loss</v>
      </c>
    </row>
    <row r="3061" ht="14.25" customHeight="1">
      <c r="A3061" s="1" t="s">
        <v>3095</v>
      </c>
      <c r="B3061" s="2">
        <v>44540.0</v>
      </c>
      <c r="C3061" s="1" t="s">
        <v>30</v>
      </c>
      <c r="D3061" s="1" t="s">
        <v>21</v>
      </c>
      <c r="E3061" s="1" t="s">
        <v>37</v>
      </c>
      <c r="F3061" s="1">
        <v>518.53</v>
      </c>
      <c r="G3061" s="1">
        <v>-78.05</v>
      </c>
      <c r="H3061" s="1">
        <v>6.0</v>
      </c>
      <c r="I3061" s="1" t="s">
        <v>17</v>
      </c>
      <c r="J3061" s="1" t="s">
        <v>38</v>
      </c>
      <c r="K3061" s="1">
        <f t="shared" si="1"/>
        <v>2021</v>
      </c>
      <c r="L3061" s="1" t="str">
        <f t="shared" si="2"/>
        <v>Dec</v>
      </c>
      <c r="M3061" s="1" t="str">
        <f t="shared" si="3"/>
        <v>Loss</v>
      </c>
    </row>
    <row r="3062" ht="14.25" customHeight="1">
      <c r="A3062" s="1" t="s">
        <v>3096</v>
      </c>
      <c r="B3062" s="2">
        <v>44976.0</v>
      </c>
      <c r="C3062" s="1" t="s">
        <v>14</v>
      </c>
      <c r="D3062" s="1" t="s">
        <v>21</v>
      </c>
      <c r="E3062" s="1" t="s">
        <v>37</v>
      </c>
      <c r="F3062" s="1">
        <v>387.39</v>
      </c>
      <c r="G3062" s="1">
        <v>25.42</v>
      </c>
      <c r="H3062" s="1">
        <v>8.0</v>
      </c>
      <c r="I3062" s="1" t="s">
        <v>23</v>
      </c>
      <c r="J3062" s="1" t="s">
        <v>35</v>
      </c>
      <c r="K3062" s="1">
        <f t="shared" si="1"/>
        <v>2023</v>
      </c>
      <c r="L3062" s="1" t="str">
        <f t="shared" si="2"/>
        <v>Feb</v>
      </c>
      <c r="M3062" s="1" t="str">
        <f t="shared" si="3"/>
        <v>Profit</v>
      </c>
    </row>
    <row r="3063" ht="14.25" customHeight="1">
      <c r="A3063" s="1" t="s">
        <v>3097</v>
      </c>
      <c r="B3063" s="2">
        <v>44893.0</v>
      </c>
      <c r="C3063" s="1" t="s">
        <v>26</v>
      </c>
      <c r="D3063" s="1" t="s">
        <v>27</v>
      </c>
      <c r="E3063" s="1" t="s">
        <v>33</v>
      </c>
      <c r="F3063" s="1">
        <v>804.63</v>
      </c>
      <c r="G3063" s="1">
        <v>194.95</v>
      </c>
      <c r="H3063" s="1">
        <v>1.0</v>
      </c>
      <c r="I3063" s="1" t="s">
        <v>34</v>
      </c>
      <c r="J3063" s="1" t="s">
        <v>35</v>
      </c>
      <c r="K3063" s="1">
        <f t="shared" si="1"/>
        <v>2022</v>
      </c>
      <c r="L3063" s="1" t="str">
        <f t="shared" si="2"/>
        <v>Nov</v>
      </c>
      <c r="M3063" s="1" t="str">
        <f t="shared" si="3"/>
        <v>Profit</v>
      </c>
    </row>
    <row r="3064" ht="14.25" customHeight="1">
      <c r="A3064" s="1" t="s">
        <v>3098</v>
      </c>
      <c r="B3064" s="2">
        <v>44958.0</v>
      </c>
      <c r="C3064" s="1" t="s">
        <v>26</v>
      </c>
      <c r="D3064" s="1" t="s">
        <v>15</v>
      </c>
      <c r="E3064" s="1" t="s">
        <v>54</v>
      </c>
      <c r="F3064" s="1">
        <v>166.21</v>
      </c>
      <c r="G3064" s="1">
        <v>195.94</v>
      </c>
      <c r="H3064" s="1">
        <v>1.0</v>
      </c>
      <c r="I3064" s="1" t="s">
        <v>17</v>
      </c>
      <c r="J3064" s="1" t="s">
        <v>35</v>
      </c>
      <c r="K3064" s="1">
        <f t="shared" si="1"/>
        <v>2023</v>
      </c>
      <c r="L3064" s="1" t="str">
        <f t="shared" si="2"/>
        <v>Feb</v>
      </c>
      <c r="M3064" s="1" t="str">
        <f t="shared" si="3"/>
        <v>Profit</v>
      </c>
    </row>
    <row r="3065" ht="14.25" customHeight="1">
      <c r="A3065" s="1" t="s">
        <v>3099</v>
      </c>
      <c r="B3065" s="2">
        <v>44877.0</v>
      </c>
      <c r="C3065" s="1" t="s">
        <v>26</v>
      </c>
      <c r="D3065" s="1" t="s">
        <v>27</v>
      </c>
      <c r="E3065" s="1" t="s">
        <v>40</v>
      </c>
      <c r="F3065" s="1">
        <v>181.54</v>
      </c>
      <c r="G3065" s="1">
        <v>-116.91</v>
      </c>
      <c r="H3065" s="1">
        <v>3.0</v>
      </c>
      <c r="I3065" s="1" t="s">
        <v>17</v>
      </c>
      <c r="J3065" s="1" t="s">
        <v>38</v>
      </c>
      <c r="K3065" s="1">
        <f t="shared" si="1"/>
        <v>2022</v>
      </c>
      <c r="L3065" s="1" t="str">
        <f t="shared" si="2"/>
        <v>Nov</v>
      </c>
      <c r="M3065" s="1" t="str">
        <f t="shared" si="3"/>
        <v>Loss</v>
      </c>
    </row>
    <row r="3066" ht="14.25" customHeight="1">
      <c r="A3066" s="1" t="s">
        <v>3100</v>
      </c>
      <c r="B3066" s="2">
        <v>44714.0</v>
      </c>
      <c r="C3066" s="1" t="s">
        <v>30</v>
      </c>
      <c r="D3066" s="1" t="s">
        <v>27</v>
      </c>
      <c r="E3066" s="1" t="s">
        <v>33</v>
      </c>
      <c r="F3066" s="1">
        <v>115.41</v>
      </c>
      <c r="G3066" s="1">
        <v>97.55</v>
      </c>
      <c r="H3066" s="1">
        <v>5.0</v>
      </c>
      <c r="I3066" s="1" t="s">
        <v>23</v>
      </c>
      <c r="J3066" s="1" t="s">
        <v>35</v>
      </c>
      <c r="K3066" s="1">
        <f t="shared" si="1"/>
        <v>2022</v>
      </c>
      <c r="L3066" s="1" t="str">
        <f t="shared" si="2"/>
        <v>Jun</v>
      </c>
      <c r="M3066" s="1" t="str">
        <f t="shared" si="3"/>
        <v>Profit</v>
      </c>
    </row>
    <row r="3067" ht="14.25" customHeight="1">
      <c r="A3067" s="1" t="s">
        <v>3101</v>
      </c>
      <c r="B3067" s="2">
        <v>45229.0</v>
      </c>
      <c r="C3067" s="1" t="s">
        <v>20</v>
      </c>
      <c r="D3067" s="1" t="s">
        <v>27</v>
      </c>
      <c r="E3067" s="1" t="s">
        <v>28</v>
      </c>
      <c r="F3067" s="1">
        <v>40.56</v>
      </c>
      <c r="G3067" s="1">
        <v>78.1</v>
      </c>
      <c r="H3067" s="1">
        <v>3.0</v>
      </c>
      <c r="I3067" s="1" t="s">
        <v>23</v>
      </c>
      <c r="J3067" s="1" t="s">
        <v>18</v>
      </c>
      <c r="K3067" s="1">
        <f t="shared" si="1"/>
        <v>2023</v>
      </c>
      <c r="L3067" s="1" t="str">
        <f t="shared" si="2"/>
        <v>Oct</v>
      </c>
      <c r="M3067" s="1" t="str">
        <f t="shared" si="3"/>
        <v>Profit</v>
      </c>
    </row>
    <row r="3068" ht="14.25" customHeight="1">
      <c r="A3068" s="1" t="s">
        <v>3102</v>
      </c>
      <c r="B3068" s="2">
        <v>44733.0</v>
      </c>
      <c r="C3068" s="1" t="s">
        <v>14</v>
      </c>
      <c r="D3068" s="1" t="s">
        <v>21</v>
      </c>
      <c r="E3068" s="1" t="s">
        <v>37</v>
      </c>
      <c r="F3068" s="1">
        <v>561.84</v>
      </c>
      <c r="G3068" s="1">
        <v>-83.79</v>
      </c>
      <c r="H3068" s="1">
        <v>5.0</v>
      </c>
      <c r="I3068" s="1" t="s">
        <v>34</v>
      </c>
      <c r="J3068" s="1" t="s">
        <v>24</v>
      </c>
      <c r="K3068" s="1">
        <f t="shared" si="1"/>
        <v>2022</v>
      </c>
      <c r="L3068" s="1" t="str">
        <f t="shared" si="2"/>
        <v>Jun</v>
      </c>
      <c r="M3068" s="1" t="str">
        <f t="shared" si="3"/>
        <v>Loss</v>
      </c>
    </row>
    <row r="3069" ht="14.25" customHeight="1">
      <c r="A3069" s="1" t="s">
        <v>3103</v>
      </c>
      <c r="B3069" s="2">
        <v>44870.0</v>
      </c>
      <c r="C3069" s="1" t="s">
        <v>14</v>
      </c>
      <c r="D3069" s="1" t="s">
        <v>21</v>
      </c>
      <c r="E3069" s="1" t="s">
        <v>76</v>
      </c>
      <c r="F3069" s="1">
        <v>873.22</v>
      </c>
      <c r="G3069" s="1">
        <v>39.65</v>
      </c>
      <c r="H3069" s="1">
        <v>4.0</v>
      </c>
      <c r="I3069" s="1" t="s">
        <v>34</v>
      </c>
      <c r="J3069" s="1" t="s">
        <v>24</v>
      </c>
      <c r="K3069" s="1">
        <f t="shared" si="1"/>
        <v>2022</v>
      </c>
      <c r="L3069" s="1" t="str">
        <f t="shared" si="2"/>
        <v>Nov</v>
      </c>
      <c r="M3069" s="1" t="str">
        <f t="shared" si="3"/>
        <v>Profit</v>
      </c>
    </row>
    <row r="3070" ht="14.25" customHeight="1">
      <c r="A3070" s="1" t="s">
        <v>3104</v>
      </c>
      <c r="B3070" s="2">
        <v>44443.0</v>
      </c>
      <c r="C3070" s="1" t="s">
        <v>26</v>
      </c>
      <c r="D3070" s="1" t="s">
        <v>15</v>
      </c>
      <c r="E3070" s="1" t="s">
        <v>31</v>
      </c>
      <c r="F3070" s="1">
        <v>136.72</v>
      </c>
      <c r="G3070" s="1">
        <v>-169.33</v>
      </c>
      <c r="H3070" s="1">
        <v>3.0</v>
      </c>
      <c r="I3070" s="1" t="s">
        <v>34</v>
      </c>
      <c r="J3070" s="1" t="s">
        <v>18</v>
      </c>
      <c r="K3070" s="1">
        <f t="shared" si="1"/>
        <v>2021</v>
      </c>
      <c r="L3070" s="1" t="str">
        <f t="shared" si="2"/>
        <v>Sep</v>
      </c>
      <c r="M3070" s="1" t="str">
        <f t="shared" si="3"/>
        <v>Loss</v>
      </c>
    </row>
    <row r="3071" ht="14.25" customHeight="1">
      <c r="A3071" s="1" t="s">
        <v>3105</v>
      </c>
      <c r="B3071" s="2">
        <v>44869.0</v>
      </c>
      <c r="C3071" s="1" t="s">
        <v>20</v>
      </c>
      <c r="D3071" s="1" t="s">
        <v>21</v>
      </c>
      <c r="E3071" s="1" t="s">
        <v>37</v>
      </c>
      <c r="F3071" s="1">
        <v>711.31</v>
      </c>
      <c r="G3071" s="1">
        <v>-196.63</v>
      </c>
      <c r="H3071" s="1">
        <v>8.0</v>
      </c>
      <c r="I3071" s="1" t="s">
        <v>34</v>
      </c>
      <c r="J3071" s="1" t="s">
        <v>38</v>
      </c>
      <c r="K3071" s="1">
        <f t="shared" si="1"/>
        <v>2022</v>
      </c>
      <c r="L3071" s="1" t="str">
        <f t="shared" si="2"/>
        <v>Nov</v>
      </c>
      <c r="M3071" s="1" t="str">
        <f t="shared" si="3"/>
        <v>Loss</v>
      </c>
    </row>
    <row r="3072" ht="14.25" customHeight="1">
      <c r="A3072" s="1" t="s">
        <v>3106</v>
      </c>
      <c r="B3072" s="2">
        <v>44446.0</v>
      </c>
      <c r="C3072" s="1" t="s">
        <v>30</v>
      </c>
      <c r="D3072" s="1" t="s">
        <v>21</v>
      </c>
      <c r="E3072" s="1" t="s">
        <v>37</v>
      </c>
      <c r="F3072" s="1">
        <v>415.1</v>
      </c>
      <c r="G3072" s="1">
        <v>-76.5</v>
      </c>
      <c r="H3072" s="1">
        <v>5.0</v>
      </c>
      <c r="I3072" s="1" t="s">
        <v>23</v>
      </c>
      <c r="J3072" s="1" t="s">
        <v>38</v>
      </c>
      <c r="K3072" s="1">
        <f t="shared" si="1"/>
        <v>2021</v>
      </c>
      <c r="L3072" s="1" t="str">
        <f t="shared" si="2"/>
        <v>Sep</v>
      </c>
      <c r="M3072" s="1" t="str">
        <f t="shared" si="3"/>
        <v>Loss</v>
      </c>
    </row>
    <row r="3073" ht="14.25" customHeight="1">
      <c r="A3073" s="1" t="s">
        <v>3107</v>
      </c>
      <c r="B3073" s="2">
        <v>45044.0</v>
      </c>
      <c r="C3073" s="1" t="s">
        <v>30</v>
      </c>
      <c r="D3073" s="1" t="s">
        <v>21</v>
      </c>
      <c r="E3073" s="1" t="s">
        <v>22</v>
      </c>
      <c r="F3073" s="1">
        <v>928.62</v>
      </c>
      <c r="G3073" s="1">
        <v>36.7</v>
      </c>
      <c r="H3073" s="1">
        <v>4.0</v>
      </c>
      <c r="I3073" s="1" t="s">
        <v>17</v>
      </c>
      <c r="J3073" s="1" t="s">
        <v>35</v>
      </c>
      <c r="K3073" s="1">
        <f t="shared" si="1"/>
        <v>2023</v>
      </c>
      <c r="L3073" s="1" t="str">
        <f t="shared" si="2"/>
        <v>Apr</v>
      </c>
      <c r="M3073" s="1" t="str">
        <f t="shared" si="3"/>
        <v>Profit</v>
      </c>
    </row>
    <row r="3074" ht="14.25" customHeight="1">
      <c r="A3074" s="1" t="s">
        <v>3108</v>
      </c>
      <c r="B3074" s="2">
        <v>44508.0</v>
      </c>
      <c r="C3074" s="1" t="s">
        <v>14</v>
      </c>
      <c r="D3074" s="1" t="s">
        <v>21</v>
      </c>
      <c r="E3074" s="1" t="s">
        <v>37</v>
      </c>
      <c r="F3074" s="1">
        <v>23.09</v>
      </c>
      <c r="G3074" s="1">
        <v>-161.19</v>
      </c>
      <c r="H3074" s="1">
        <v>9.0</v>
      </c>
      <c r="I3074" s="1" t="s">
        <v>17</v>
      </c>
      <c r="J3074" s="1" t="s">
        <v>35</v>
      </c>
      <c r="K3074" s="1">
        <f t="shared" si="1"/>
        <v>2021</v>
      </c>
      <c r="L3074" s="1" t="str">
        <f t="shared" si="2"/>
        <v>Nov</v>
      </c>
      <c r="M3074" s="1" t="str">
        <f t="shared" si="3"/>
        <v>Loss</v>
      </c>
    </row>
    <row r="3075" ht="14.25" customHeight="1">
      <c r="A3075" s="1" t="s">
        <v>3109</v>
      </c>
      <c r="B3075" s="2">
        <v>44247.0</v>
      </c>
      <c r="C3075" s="1" t="s">
        <v>26</v>
      </c>
      <c r="D3075" s="1" t="s">
        <v>15</v>
      </c>
      <c r="E3075" s="1" t="s">
        <v>16</v>
      </c>
      <c r="F3075" s="1">
        <v>112.83</v>
      </c>
      <c r="G3075" s="1">
        <v>93.68</v>
      </c>
      <c r="H3075" s="1">
        <v>10.0</v>
      </c>
      <c r="I3075" s="1" t="s">
        <v>23</v>
      </c>
      <c r="J3075" s="1" t="s">
        <v>38</v>
      </c>
      <c r="K3075" s="1">
        <f t="shared" si="1"/>
        <v>2021</v>
      </c>
      <c r="L3075" s="1" t="str">
        <f t="shared" si="2"/>
        <v>Feb</v>
      </c>
      <c r="M3075" s="1" t="str">
        <f t="shared" si="3"/>
        <v>Profit</v>
      </c>
    </row>
    <row r="3076" ht="14.25" customHeight="1">
      <c r="A3076" s="1" t="s">
        <v>3110</v>
      </c>
      <c r="B3076" s="2">
        <v>44837.0</v>
      </c>
      <c r="C3076" s="1" t="s">
        <v>26</v>
      </c>
      <c r="D3076" s="1" t="s">
        <v>15</v>
      </c>
      <c r="E3076" s="1" t="s">
        <v>31</v>
      </c>
      <c r="F3076" s="1">
        <v>594.25</v>
      </c>
      <c r="G3076" s="1">
        <v>-124.8</v>
      </c>
      <c r="H3076" s="1">
        <v>2.0</v>
      </c>
      <c r="I3076" s="1" t="s">
        <v>23</v>
      </c>
      <c r="J3076" s="1" t="s">
        <v>18</v>
      </c>
      <c r="K3076" s="1">
        <f t="shared" si="1"/>
        <v>2022</v>
      </c>
      <c r="L3076" s="1" t="str">
        <f t="shared" si="2"/>
        <v>Oct</v>
      </c>
      <c r="M3076" s="1" t="str">
        <f t="shared" si="3"/>
        <v>Loss</v>
      </c>
    </row>
    <row r="3077" ht="14.25" customHeight="1">
      <c r="A3077" s="1" t="s">
        <v>3111</v>
      </c>
      <c r="B3077" s="2">
        <v>44956.0</v>
      </c>
      <c r="C3077" s="1" t="s">
        <v>20</v>
      </c>
      <c r="D3077" s="1" t="s">
        <v>27</v>
      </c>
      <c r="E3077" s="1" t="s">
        <v>40</v>
      </c>
      <c r="F3077" s="1">
        <v>540.25</v>
      </c>
      <c r="G3077" s="1">
        <v>144.19</v>
      </c>
      <c r="H3077" s="1">
        <v>8.0</v>
      </c>
      <c r="I3077" s="1" t="s">
        <v>34</v>
      </c>
      <c r="J3077" s="1" t="s">
        <v>35</v>
      </c>
      <c r="K3077" s="1">
        <f t="shared" si="1"/>
        <v>2023</v>
      </c>
      <c r="L3077" s="1" t="str">
        <f t="shared" si="2"/>
        <v>Jan</v>
      </c>
      <c r="M3077" s="1" t="str">
        <f t="shared" si="3"/>
        <v>Profit</v>
      </c>
    </row>
    <row r="3078" ht="14.25" customHeight="1">
      <c r="A3078" s="1" t="s">
        <v>3112</v>
      </c>
      <c r="B3078" s="2">
        <v>45102.0</v>
      </c>
      <c r="C3078" s="1" t="s">
        <v>30</v>
      </c>
      <c r="D3078" s="1" t="s">
        <v>21</v>
      </c>
      <c r="E3078" s="1" t="s">
        <v>76</v>
      </c>
      <c r="F3078" s="1">
        <v>719.33</v>
      </c>
      <c r="G3078" s="1">
        <v>35.05</v>
      </c>
      <c r="H3078" s="1">
        <v>4.0</v>
      </c>
      <c r="I3078" s="1" t="s">
        <v>34</v>
      </c>
      <c r="J3078" s="1" t="s">
        <v>38</v>
      </c>
      <c r="K3078" s="1">
        <f t="shared" si="1"/>
        <v>2023</v>
      </c>
      <c r="L3078" s="1" t="str">
        <f t="shared" si="2"/>
        <v>Jun</v>
      </c>
      <c r="M3078" s="1" t="str">
        <f t="shared" si="3"/>
        <v>Profit</v>
      </c>
    </row>
    <row r="3079" ht="14.25" customHeight="1">
      <c r="A3079" s="1" t="s">
        <v>3113</v>
      </c>
      <c r="B3079" s="2">
        <v>45107.0</v>
      </c>
      <c r="C3079" s="1" t="s">
        <v>26</v>
      </c>
      <c r="D3079" s="1" t="s">
        <v>21</v>
      </c>
      <c r="E3079" s="1" t="s">
        <v>22</v>
      </c>
      <c r="F3079" s="1">
        <v>155.73</v>
      </c>
      <c r="G3079" s="1">
        <v>282.02</v>
      </c>
      <c r="H3079" s="1">
        <v>7.0</v>
      </c>
      <c r="I3079" s="1" t="s">
        <v>23</v>
      </c>
      <c r="J3079" s="1" t="s">
        <v>35</v>
      </c>
      <c r="K3079" s="1">
        <f t="shared" si="1"/>
        <v>2023</v>
      </c>
      <c r="L3079" s="1" t="str">
        <f t="shared" si="2"/>
        <v>Jun</v>
      </c>
      <c r="M3079" s="1" t="str">
        <f t="shared" si="3"/>
        <v>Profit</v>
      </c>
    </row>
    <row r="3080" ht="14.25" customHeight="1">
      <c r="A3080" s="1" t="s">
        <v>3114</v>
      </c>
      <c r="B3080" s="2">
        <v>45090.0</v>
      </c>
      <c r="C3080" s="1" t="s">
        <v>20</v>
      </c>
      <c r="D3080" s="1" t="s">
        <v>27</v>
      </c>
      <c r="E3080" s="1" t="s">
        <v>28</v>
      </c>
      <c r="F3080" s="1">
        <v>380.55</v>
      </c>
      <c r="G3080" s="1">
        <v>286.12</v>
      </c>
      <c r="H3080" s="1">
        <v>3.0</v>
      </c>
      <c r="I3080" s="1" t="s">
        <v>34</v>
      </c>
      <c r="J3080" s="1" t="s">
        <v>38</v>
      </c>
      <c r="K3080" s="1">
        <f t="shared" si="1"/>
        <v>2023</v>
      </c>
      <c r="L3080" s="1" t="str">
        <f t="shared" si="2"/>
        <v>Jun</v>
      </c>
      <c r="M3080" s="1" t="str">
        <f t="shared" si="3"/>
        <v>Profit</v>
      </c>
    </row>
    <row r="3081" ht="14.25" customHeight="1">
      <c r="A3081" s="1" t="s">
        <v>3115</v>
      </c>
      <c r="B3081" s="2">
        <v>45120.0</v>
      </c>
      <c r="C3081" s="1" t="s">
        <v>14</v>
      </c>
      <c r="D3081" s="1" t="s">
        <v>15</v>
      </c>
      <c r="E3081" s="1" t="s">
        <v>31</v>
      </c>
      <c r="F3081" s="1">
        <v>706.4</v>
      </c>
      <c r="G3081" s="1">
        <v>108.93</v>
      </c>
      <c r="H3081" s="1">
        <v>3.0</v>
      </c>
      <c r="I3081" s="1" t="s">
        <v>23</v>
      </c>
      <c r="J3081" s="1" t="s">
        <v>38</v>
      </c>
      <c r="K3081" s="1">
        <f t="shared" si="1"/>
        <v>2023</v>
      </c>
      <c r="L3081" s="1" t="str">
        <f t="shared" si="2"/>
        <v>Jul</v>
      </c>
      <c r="M3081" s="1" t="str">
        <f t="shared" si="3"/>
        <v>Profit</v>
      </c>
    </row>
    <row r="3082" ht="14.25" customHeight="1">
      <c r="A3082" s="1" t="s">
        <v>3116</v>
      </c>
      <c r="B3082" s="2">
        <v>44737.0</v>
      </c>
      <c r="C3082" s="1" t="s">
        <v>26</v>
      </c>
      <c r="D3082" s="1" t="s">
        <v>15</v>
      </c>
      <c r="E3082" s="1" t="s">
        <v>54</v>
      </c>
      <c r="F3082" s="1">
        <v>323.28</v>
      </c>
      <c r="G3082" s="1">
        <v>-125.8</v>
      </c>
      <c r="H3082" s="1">
        <v>6.0</v>
      </c>
      <c r="I3082" s="1" t="s">
        <v>17</v>
      </c>
      <c r="J3082" s="1" t="s">
        <v>18</v>
      </c>
      <c r="K3082" s="1">
        <f t="shared" si="1"/>
        <v>2022</v>
      </c>
      <c r="L3082" s="1" t="str">
        <f t="shared" si="2"/>
        <v>Jun</v>
      </c>
      <c r="M3082" s="1" t="str">
        <f t="shared" si="3"/>
        <v>Loss</v>
      </c>
    </row>
    <row r="3083" ht="14.25" customHeight="1">
      <c r="A3083" s="1" t="s">
        <v>3117</v>
      </c>
      <c r="B3083" s="2">
        <v>44780.0</v>
      </c>
      <c r="C3083" s="1" t="s">
        <v>26</v>
      </c>
      <c r="D3083" s="1" t="s">
        <v>15</v>
      </c>
      <c r="E3083" s="1" t="s">
        <v>16</v>
      </c>
      <c r="F3083" s="1">
        <v>733.24</v>
      </c>
      <c r="G3083" s="1">
        <v>196.46</v>
      </c>
      <c r="H3083" s="1">
        <v>4.0</v>
      </c>
      <c r="I3083" s="1" t="s">
        <v>17</v>
      </c>
      <c r="J3083" s="1" t="s">
        <v>24</v>
      </c>
      <c r="K3083" s="1">
        <f t="shared" si="1"/>
        <v>2022</v>
      </c>
      <c r="L3083" s="1" t="str">
        <f t="shared" si="2"/>
        <v>Aug</v>
      </c>
      <c r="M3083" s="1" t="str">
        <f t="shared" si="3"/>
        <v>Profit</v>
      </c>
    </row>
    <row r="3084" ht="14.25" customHeight="1">
      <c r="A3084" s="1" t="s">
        <v>3118</v>
      </c>
      <c r="B3084" s="2">
        <v>44248.0</v>
      </c>
      <c r="C3084" s="1" t="s">
        <v>14</v>
      </c>
      <c r="D3084" s="1" t="s">
        <v>21</v>
      </c>
      <c r="E3084" s="1" t="s">
        <v>22</v>
      </c>
      <c r="F3084" s="1">
        <v>384.65</v>
      </c>
      <c r="G3084" s="1">
        <v>177.47</v>
      </c>
      <c r="H3084" s="1">
        <v>5.0</v>
      </c>
      <c r="I3084" s="1" t="s">
        <v>34</v>
      </c>
      <c r="J3084" s="1" t="s">
        <v>38</v>
      </c>
      <c r="K3084" s="1">
        <f t="shared" si="1"/>
        <v>2021</v>
      </c>
      <c r="L3084" s="1" t="str">
        <f t="shared" si="2"/>
        <v>Feb</v>
      </c>
      <c r="M3084" s="1" t="str">
        <f t="shared" si="3"/>
        <v>Profit</v>
      </c>
    </row>
    <row r="3085" ht="14.25" customHeight="1">
      <c r="A3085" s="1" t="s">
        <v>3119</v>
      </c>
      <c r="B3085" s="2">
        <v>44239.0</v>
      </c>
      <c r="C3085" s="1" t="s">
        <v>30</v>
      </c>
      <c r="D3085" s="1" t="s">
        <v>15</v>
      </c>
      <c r="E3085" s="1" t="s">
        <v>16</v>
      </c>
      <c r="F3085" s="1">
        <v>389.7</v>
      </c>
      <c r="G3085" s="1">
        <v>58.34</v>
      </c>
      <c r="H3085" s="1">
        <v>10.0</v>
      </c>
      <c r="I3085" s="1" t="s">
        <v>17</v>
      </c>
      <c r="J3085" s="1" t="s">
        <v>24</v>
      </c>
      <c r="K3085" s="1">
        <f t="shared" si="1"/>
        <v>2021</v>
      </c>
      <c r="L3085" s="1" t="str">
        <f t="shared" si="2"/>
        <v>Feb</v>
      </c>
      <c r="M3085" s="1" t="str">
        <f t="shared" si="3"/>
        <v>Profit</v>
      </c>
    </row>
    <row r="3086" ht="14.25" customHeight="1">
      <c r="A3086" s="1" t="s">
        <v>3120</v>
      </c>
      <c r="B3086" s="2">
        <v>45218.0</v>
      </c>
      <c r="C3086" s="1" t="s">
        <v>30</v>
      </c>
      <c r="D3086" s="1" t="s">
        <v>15</v>
      </c>
      <c r="E3086" s="1" t="s">
        <v>31</v>
      </c>
      <c r="F3086" s="1">
        <v>41.28</v>
      </c>
      <c r="G3086" s="1">
        <v>247.91</v>
      </c>
      <c r="H3086" s="1">
        <v>7.0</v>
      </c>
      <c r="I3086" s="1" t="s">
        <v>34</v>
      </c>
      <c r="J3086" s="1" t="s">
        <v>38</v>
      </c>
      <c r="K3086" s="1">
        <f t="shared" si="1"/>
        <v>2023</v>
      </c>
      <c r="L3086" s="1" t="str">
        <f t="shared" si="2"/>
        <v>Oct</v>
      </c>
      <c r="M3086" s="1" t="str">
        <f t="shared" si="3"/>
        <v>Profit</v>
      </c>
    </row>
    <row r="3087" ht="14.25" customHeight="1">
      <c r="A3087" s="1" t="s">
        <v>3121</v>
      </c>
      <c r="B3087" s="2">
        <v>44784.0</v>
      </c>
      <c r="C3087" s="1" t="s">
        <v>26</v>
      </c>
      <c r="D3087" s="1" t="s">
        <v>15</v>
      </c>
      <c r="E3087" s="1" t="s">
        <v>31</v>
      </c>
      <c r="F3087" s="1">
        <v>90.23</v>
      </c>
      <c r="G3087" s="1">
        <v>-52.86</v>
      </c>
      <c r="H3087" s="1">
        <v>1.0</v>
      </c>
      <c r="I3087" s="1" t="s">
        <v>34</v>
      </c>
      <c r="J3087" s="1" t="s">
        <v>24</v>
      </c>
      <c r="K3087" s="1">
        <f t="shared" si="1"/>
        <v>2022</v>
      </c>
      <c r="L3087" s="1" t="str">
        <f t="shared" si="2"/>
        <v>Aug</v>
      </c>
      <c r="M3087" s="1" t="str">
        <f t="shared" si="3"/>
        <v>Loss</v>
      </c>
    </row>
    <row r="3088" ht="14.25" customHeight="1">
      <c r="A3088" s="1" t="s">
        <v>3122</v>
      </c>
      <c r="B3088" s="2">
        <v>44631.0</v>
      </c>
      <c r="C3088" s="1" t="s">
        <v>26</v>
      </c>
      <c r="D3088" s="1" t="s">
        <v>15</v>
      </c>
      <c r="E3088" s="1" t="s">
        <v>31</v>
      </c>
      <c r="F3088" s="1">
        <v>502.62</v>
      </c>
      <c r="G3088" s="1">
        <v>214.72</v>
      </c>
      <c r="H3088" s="1">
        <v>4.0</v>
      </c>
      <c r="I3088" s="1" t="s">
        <v>34</v>
      </c>
      <c r="J3088" s="1" t="s">
        <v>18</v>
      </c>
      <c r="K3088" s="1">
        <f t="shared" si="1"/>
        <v>2022</v>
      </c>
      <c r="L3088" s="1" t="str">
        <f t="shared" si="2"/>
        <v>Mar</v>
      </c>
      <c r="M3088" s="1" t="str">
        <f t="shared" si="3"/>
        <v>Profit</v>
      </c>
    </row>
    <row r="3089" ht="14.25" customHeight="1">
      <c r="A3089" s="1" t="s">
        <v>3123</v>
      </c>
      <c r="B3089" s="2">
        <v>44271.0</v>
      </c>
      <c r="C3089" s="1" t="s">
        <v>14</v>
      </c>
      <c r="D3089" s="1" t="s">
        <v>21</v>
      </c>
      <c r="E3089" s="1" t="s">
        <v>22</v>
      </c>
      <c r="F3089" s="1">
        <v>748.73</v>
      </c>
      <c r="G3089" s="1">
        <v>-64.0</v>
      </c>
      <c r="H3089" s="1">
        <v>9.0</v>
      </c>
      <c r="I3089" s="1" t="s">
        <v>34</v>
      </c>
      <c r="J3089" s="1" t="s">
        <v>35</v>
      </c>
      <c r="K3089" s="1">
        <f t="shared" si="1"/>
        <v>2021</v>
      </c>
      <c r="L3089" s="1" t="str">
        <f t="shared" si="2"/>
        <v>Mar</v>
      </c>
      <c r="M3089" s="1" t="str">
        <f t="shared" si="3"/>
        <v>Loss</v>
      </c>
    </row>
    <row r="3090" ht="14.25" customHeight="1">
      <c r="A3090" s="1" t="s">
        <v>3124</v>
      </c>
      <c r="B3090" s="2">
        <v>44814.0</v>
      </c>
      <c r="C3090" s="1" t="s">
        <v>30</v>
      </c>
      <c r="D3090" s="1" t="s">
        <v>27</v>
      </c>
      <c r="E3090" s="1" t="s">
        <v>33</v>
      </c>
      <c r="F3090" s="1">
        <v>658.45</v>
      </c>
      <c r="G3090" s="1">
        <v>171.47</v>
      </c>
      <c r="H3090" s="1">
        <v>9.0</v>
      </c>
      <c r="I3090" s="1" t="s">
        <v>17</v>
      </c>
      <c r="J3090" s="1" t="s">
        <v>35</v>
      </c>
      <c r="K3090" s="1">
        <f t="shared" si="1"/>
        <v>2022</v>
      </c>
      <c r="L3090" s="1" t="str">
        <f t="shared" si="2"/>
        <v>Sep</v>
      </c>
      <c r="M3090" s="1" t="str">
        <f t="shared" si="3"/>
        <v>Profit</v>
      </c>
    </row>
    <row r="3091" ht="14.25" customHeight="1">
      <c r="A3091" s="1" t="s">
        <v>3125</v>
      </c>
      <c r="B3091" s="2">
        <v>44266.0</v>
      </c>
      <c r="C3091" s="1" t="s">
        <v>26</v>
      </c>
      <c r="D3091" s="1" t="s">
        <v>27</v>
      </c>
      <c r="E3091" s="1" t="s">
        <v>40</v>
      </c>
      <c r="F3091" s="1">
        <v>687.27</v>
      </c>
      <c r="G3091" s="1">
        <v>-20.59</v>
      </c>
      <c r="H3091" s="1">
        <v>6.0</v>
      </c>
      <c r="I3091" s="1" t="s">
        <v>34</v>
      </c>
      <c r="J3091" s="1" t="s">
        <v>24</v>
      </c>
      <c r="K3091" s="1">
        <f t="shared" si="1"/>
        <v>2021</v>
      </c>
      <c r="L3091" s="1" t="str">
        <f t="shared" si="2"/>
        <v>Mar</v>
      </c>
      <c r="M3091" s="1" t="str">
        <f t="shared" si="3"/>
        <v>Loss</v>
      </c>
    </row>
    <row r="3092" ht="14.25" customHeight="1">
      <c r="A3092" s="1" t="s">
        <v>3126</v>
      </c>
      <c r="B3092" s="2">
        <v>45030.0</v>
      </c>
      <c r="C3092" s="1" t="s">
        <v>26</v>
      </c>
      <c r="D3092" s="1" t="s">
        <v>15</v>
      </c>
      <c r="E3092" s="1" t="s">
        <v>54</v>
      </c>
      <c r="F3092" s="1">
        <v>883.47</v>
      </c>
      <c r="G3092" s="1">
        <v>40.34</v>
      </c>
      <c r="H3092" s="1">
        <v>2.0</v>
      </c>
      <c r="I3092" s="1" t="s">
        <v>23</v>
      </c>
      <c r="J3092" s="1" t="s">
        <v>24</v>
      </c>
      <c r="K3092" s="1">
        <f t="shared" si="1"/>
        <v>2023</v>
      </c>
      <c r="L3092" s="1" t="str">
        <f t="shared" si="2"/>
        <v>Apr</v>
      </c>
      <c r="M3092" s="1" t="str">
        <f t="shared" si="3"/>
        <v>Profit</v>
      </c>
    </row>
    <row r="3093" ht="14.25" customHeight="1">
      <c r="A3093" s="1" t="s">
        <v>3127</v>
      </c>
      <c r="B3093" s="2">
        <v>45244.0</v>
      </c>
      <c r="C3093" s="1" t="s">
        <v>14</v>
      </c>
      <c r="D3093" s="1" t="s">
        <v>15</v>
      </c>
      <c r="E3093" s="1" t="s">
        <v>16</v>
      </c>
      <c r="F3093" s="1">
        <v>873.16</v>
      </c>
      <c r="G3093" s="1">
        <v>124.12</v>
      </c>
      <c r="H3093" s="1">
        <v>1.0</v>
      </c>
      <c r="I3093" s="1" t="s">
        <v>34</v>
      </c>
      <c r="J3093" s="1" t="s">
        <v>18</v>
      </c>
      <c r="K3093" s="1">
        <f t="shared" si="1"/>
        <v>2023</v>
      </c>
      <c r="L3093" s="1" t="str">
        <f t="shared" si="2"/>
        <v>Nov</v>
      </c>
      <c r="M3093" s="1" t="str">
        <f t="shared" si="3"/>
        <v>Profit</v>
      </c>
    </row>
    <row r="3094" ht="14.25" customHeight="1">
      <c r="A3094" s="1" t="s">
        <v>3128</v>
      </c>
      <c r="B3094" s="2">
        <v>44476.0</v>
      </c>
      <c r="C3094" s="1" t="s">
        <v>26</v>
      </c>
      <c r="D3094" s="1" t="s">
        <v>15</v>
      </c>
      <c r="E3094" s="1" t="s">
        <v>31</v>
      </c>
      <c r="F3094" s="1">
        <v>548.04</v>
      </c>
      <c r="G3094" s="1">
        <v>280.12</v>
      </c>
      <c r="H3094" s="1">
        <v>6.0</v>
      </c>
      <c r="I3094" s="1" t="s">
        <v>23</v>
      </c>
      <c r="J3094" s="1" t="s">
        <v>24</v>
      </c>
      <c r="K3094" s="1">
        <f t="shared" si="1"/>
        <v>2021</v>
      </c>
      <c r="L3094" s="1" t="str">
        <f t="shared" si="2"/>
        <v>Oct</v>
      </c>
      <c r="M3094" s="1" t="str">
        <f t="shared" si="3"/>
        <v>Profit</v>
      </c>
    </row>
    <row r="3095" ht="14.25" customHeight="1">
      <c r="A3095" s="1" t="s">
        <v>3129</v>
      </c>
      <c r="B3095" s="2">
        <v>44856.0</v>
      </c>
      <c r="C3095" s="1" t="s">
        <v>30</v>
      </c>
      <c r="D3095" s="1" t="s">
        <v>21</v>
      </c>
      <c r="E3095" s="1" t="s">
        <v>76</v>
      </c>
      <c r="F3095" s="1">
        <v>565.19</v>
      </c>
      <c r="G3095" s="1">
        <v>-145.36</v>
      </c>
      <c r="H3095" s="1">
        <v>6.0</v>
      </c>
      <c r="I3095" s="1" t="s">
        <v>23</v>
      </c>
      <c r="J3095" s="1" t="s">
        <v>18</v>
      </c>
      <c r="K3095" s="1">
        <f t="shared" si="1"/>
        <v>2022</v>
      </c>
      <c r="L3095" s="1" t="str">
        <f t="shared" si="2"/>
        <v>Oct</v>
      </c>
      <c r="M3095" s="1" t="str">
        <f t="shared" si="3"/>
        <v>Loss</v>
      </c>
    </row>
    <row r="3096" ht="14.25" customHeight="1">
      <c r="A3096" s="1" t="s">
        <v>3130</v>
      </c>
      <c r="B3096" s="2">
        <v>44538.0</v>
      </c>
      <c r="C3096" s="1" t="s">
        <v>14</v>
      </c>
      <c r="D3096" s="1" t="s">
        <v>15</v>
      </c>
      <c r="E3096" s="1" t="s">
        <v>54</v>
      </c>
      <c r="F3096" s="1">
        <v>877.08</v>
      </c>
      <c r="G3096" s="1">
        <v>106.83</v>
      </c>
      <c r="H3096" s="1">
        <v>3.0</v>
      </c>
      <c r="I3096" s="1" t="s">
        <v>17</v>
      </c>
      <c r="J3096" s="1" t="s">
        <v>38</v>
      </c>
      <c r="K3096" s="1">
        <f t="shared" si="1"/>
        <v>2021</v>
      </c>
      <c r="L3096" s="1" t="str">
        <f t="shared" si="2"/>
        <v>Dec</v>
      </c>
      <c r="M3096" s="1" t="str">
        <f t="shared" si="3"/>
        <v>Profit</v>
      </c>
    </row>
    <row r="3097" ht="14.25" customHeight="1">
      <c r="A3097" s="1" t="s">
        <v>3131</v>
      </c>
      <c r="B3097" s="2">
        <v>44257.0</v>
      </c>
      <c r="C3097" s="1" t="s">
        <v>30</v>
      </c>
      <c r="D3097" s="1" t="s">
        <v>15</v>
      </c>
      <c r="E3097" s="1" t="s">
        <v>31</v>
      </c>
      <c r="F3097" s="1">
        <v>669.54</v>
      </c>
      <c r="G3097" s="1">
        <v>4.48</v>
      </c>
      <c r="H3097" s="1">
        <v>9.0</v>
      </c>
      <c r="I3097" s="1" t="s">
        <v>17</v>
      </c>
      <c r="J3097" s="1" t="s">
        <v>38</v>
      </c>
      <c r="K3097" s="1">
        <f t="shared" si="1"/>
        <v>2021</v>
      </c>
      <c r="L3097" s="1" t="str">
        <f t="shared" si="2"/>
        <v>Mar</v>
      </c>
      <c r="M3097" s="1" t="str">
        <f t="shared" si="3"/>
        <v>Profit</v>
      </c>
    </row>
    <row r="3098" ht="14.25" customHeight="1">
      <c r="A3098" s="1" t="s">
        <v>3132</v>
      </c>
      <c r="B3098" s="2">
        <v>44705.0</v>
      </c>
      <c r="C3098" s="1" t="s">
        <v>20</v>
      </c>
      <c r="D3098" s="1" t="s">
        <v>15</v>
      </c>
      <c r="E3098" s="1" t="s">
        <v>31</v>
      </c>
      <c r="F3098" s="1">
        <v>865.64</v>
      </c>
      <c r="G3098" s="1">
        <v>102.58</v>
      </c>
      <c r="H3098" s="1">
        <v>8.0</v>
      </c>
      <c r="I3098" s="1" t="s">
        <v>34</v>
      </c>
      <c r="J3098" s="1" t="s">
        <v>18</v>
      </c>
      <c r="K3098" s="1">
        <f t="shared" si="1"/>
        <v>2022</v>
      </c>
      <c r="L3098" s="1" t="str">
        <f t="shared" si="2"/>
        <v>May</v>
      </c>
      <c r="M3098" s="1" t="str">
        <f t="shared" si="3"/>
        <v>Profit</v>
      </c>
    </row>
    <row r="3099" ht="14.25" customHeight="1">
      <c r="A3099" s="1" t="s">
        <v>3133</v>
      </c>
      <c r="B3099" s="2">
        <v>45097.0</v>
      </c>
      <c r="C3099" s="1" t="s">
        <v>14</v>
      </c>
      <c r="D3099" s="1" t="s">
        <v>21</v>
      </c>
      <c r="E3099" s="1" t="s">
        <v>22</v>
      </c>
      <c r="F3099" s="1">
        <v>93.22</v>
      </c>
      <c r="G3099" s="1">
        <v>-7.78</v>
      </c>
      <c r="H3099" s="1">
        <v>1.0</v>
      </c>
      <c r="I3099" s="1" t="s">
        <v>17</v>
      </c>
      <c r="J3099" s="1" t="s">
        <v>18</v>
      </c>
      <c r="K3099" s="1">
        <f t="shared" si="1"/>
        <v>2023</v>
      </c>
      <c r="L3099" s="1" t="str">
        <f t="shared" si="2"/>
        <v>Jun</v>
      </c>
      <c r="M3099" s="1" t="str">
        <f t="shared" si="3"/>
        <v>Loss</v>
      </c>
    </row>
    <row r="3100" ht="14.25" customHeight="1">
      <c r="A3100" s="1" t="s">
        <v>3134</v>
      </c>
      <c r="B3100" s="2">
        <v>44798.0</v>
      </c>
      <c r="C3100" s="1" t="s">
        <v>26</v>
      </c>
      <c r="D3100" s="1" t="s">
        <v>27</v>
      </c>
      <c r="E3100" s="1" t="s">
        <v>33</v>
      </c>
      <c r="F3100" s="1">
        <v>876.6</v>
      </c>
      <c r="G3100" s="1">
        <v>34.06</v>
      </c>
      <c r="H3100" s="1">
        <v>2.0</v>
      </c>
      <c r="I3100" s="1" t="s">
        <v>23</v>
      </c>
      <c r="J3100" s="1" t="s">
        <v>35</v>
      </c>
      <c r="K3100" s="1">
        <f t="shared" si="1"/>
        <v>2022</v>
      </c>
      <c r="L3100" s="1" t="str">
        <f t="shared" si="2"/>
        <v>Aug</v>
      </c>
      <c r="M3100" s="1" t="str">
        <f t="shared" si="3"/>
        <v>Profit</v>
      </c>
    </row>
    <row r="3101" ht="14.25" customHeight="1">
      <c r="A3101" s="1" t="s">
        <v>3135</v>
      </c>
      <c r="B3101" s="2">
        <v>45274.0</v>
      </c>
      <c r="C3101" s="1" t="s">
        <v>14</v>
      </c>
      <c r="D3101" s="1" t="s">
        <v>21</v>
      </c>
      <c r="E3101" s="1" t="s">
        <v>22</v>
      </c>
      <c r="F3101" s="1">
        <v>511.34</v>
      </c>
      <c r="G3101" s="1">
        <v>-127.5</v>
      </c>
      <c r="H3101" s="1">
        <v>9.0</v>
      </c>
      <c r="I3101" s="1" t="s">
        <v>23</v>
      </c>
      <c r="J3101" s="1" t="s">
        <v>35</v>
      </c>
      <c r="K3101" s="1">
        <f t="shared" si="1"/>
        <v>2023</v>
      </c>
      <c r="L3101" s="1" t="str">
        <f t="shared" si="2"/>
        <v>Dec</v>
      </c>
      <c r="M3101" s="1" t="str">
        <f t="shared" si="3"/>
        <v>Loss</v>
      </c>
    </row>
    <row r="3102" ht="14.25" customHeight="1">
      <c r="A3102" s="1" t="s">
        <v>3136</v>
      </c>
      <c r="B3102" s="2">
        <v>45111.0</v>
      </c>
      <c r="C3102" s="1" t="s">
        <v>30</v>
      </c>
      <c r="D3102" s="1" t="s">
        <v>15</v>
      </c>
      <c r="E3102" s="1" t="s">
        <v>54</v>
      </c>
      <c r="F3102" s="1">
        <v>450.08</v>
      </c>
      <c r="G3102" s="1">
        <v>-139.43</v>
      </c>
      <c r="H3102" s="1">
        <v>5.0</v>
      </c>
      <c r="I3102" s="1" t="s">
        <v>23</v>
      </c>
      <c r="J3102" s="1" t="s">
        <v>38</v>
      </c>
      <c r="K3102" s="1">
        <f t="shared" si="1"/>
        <v>2023</v>
      </c>
      <c r="L3102" s="1" t="str">
        <f t="shared" si="2"/>
        <v>Jul</v>
      </c>
      <c r="M3102" s="1" t="str">
        <f t="shared" si="3"/>
        <v>Loss</v>
      </c>
    </row>
    <row r="3103" ht="14.25" customHeight="1">
      <c r="A3103" s="1" t="s">
        <v>3137</v>
      </c>
      <c r="B3103" s="2">
        <v>44897.0</v>
      </c>
      <c r="C3103" s="1" t="s">
        <v>14</v>
      </c>
      <c r="D3103" s="1" t="s">
        <v>15</v>
      </c>
      <c r="E3103" s="1" t="s">
        <v>16</v>
      </c>
      <c r="F3103" s="1">
        <v>706.5</v>
      </c>
      <c r="G3103" s="1">
        <v>58.78</v>
      </c>
      <c r="H3103" s="1">
        <v>1.0</v>
      </c>
      <c r="I3103" s="1" t="s">
        <v>17</v>
      </c>
      <c r="J3103" s="1" t="s">
        <v>38</v>
      </c>
      <c r="K3103" s="1">
        <f t="shared" si="1"/>
        <v>2022</v>
      </c>
      <c r="L3103" s="1" t="str">
        <f t="shared" si="2"/>
        <v>Dec</v>
      </c>
      <c r="M3103" s="1" t="str">
        <f t="shared" si="3"/>
        <v>Profit</v>
      </c>
    </row>
    <row r="3104" ht="14.25" customHeight="1">
      <c r="A3104" s="1" t="s">
        <v>3138</v>
      </c>
      <c r="B3104" s="2">
        <v>44467.0</v>
      </c>
      <c r="C3104" s="1" t="s">
        <v>20</v>
      </c>
      <c r="D3104" s="1" t="s">
        <v>15</v>
      </c>
      <c r="E3104" s="1" t="s">
        <v>16</v>
      </c>
      <c r="F3104" s="1">
        <v>383.97</v>
      </c>
      <c r="G3104" s="1">
        <v>177.02</v>
      </c>
      <c r="H3104" s="1">
        <v>6.0</v>
      </c>
      <c r="I3104" s="1" t="s">
        <v>34</v>
      </c>
      <c r="J3104" s="1" t="s">
        <v>35</v>
      </c>
      <c r="K3104" s="1">
        <f t="shared" si="1"/>
        <v>2021</v>
      </c>
      <c r="L3104" s="1" t="str">
        <f t="shared" si="2"/>
        <v>Sep</v>
      </c>
      <c r="M3104" s="1" t="str">
        <f t="shared" si="3"/>
        <v>Profit</v>
      </c>
    </row>
    <row r="3105" ht="14.25" customHeight="1">
      <c r="A3105" s="1" t="s">
        <v>3139</v>
      </c>
      <c r="B3105" s="2">
        <v>44474.0</v>
      </c>
      <c r="C3105" s="1" t="s">
        <v>26</v>
      </c>
      <c r="D3105" s="1" t="s">
        <v>27</v>
      </c>
      <c r="E3105" s="1" t="s">
        <v>28</v>
      </c>
      <c r="F3105" s="1">
        <v>838.31</v>
      </c>
      <c r="G3105" s="1">
        <v>-188.58</v>
      </c>
      <c r="H3105" s="1">
        <v>7.0</v>
      </c>
      <c r="I3105" s="1" t="s">
        <v>17</v>
      </c>
      <c r="J3105" s="1" t="s">
        <v>18</v>
      </c>
      <c r="K3105" s="1">
        <f t="shared" si="1"/>
        <v>2021</v>
      </c>
      <c r="L3105" s="1" t="str">
        <f t="shared" si="2"/>
        <v>Oct</v>
      </c>
      <c r="M3105" s="1" t="str">
        <f t="shared" si="3"/>
        <v>Loss</v>
      </c>
    </row>
    <row r="3106" ht="14.25" customHeight="1">
      <c r="A3106" s="1" t="s">
        <v>3140</v>
      </c>
      <c r="B3106" s="2">
        <v>44703.0</v>
      </c>
      <c r="C3106" s="1" t="s">
        <v>26</v>
      </c>
      <c r="D3106" s="1" t="s">
        <v>27</v>
      </c>
      <c r="E3106" s="1" t="s">
        <v>28</v>
      </c>
      <c r="F3106" s="1">
        <v>971.96</v>
      </c>
      <c r="G3106" s="1">
        <v>98.89</v>
      </c>
      <c r="H3106" s="1">
        <v>10.0</v>
      </c>
      <c r="I3106" s="1" t="s">
        <v>34</v>
      </c>
      <c r="J3106" s="1" t="s">
        <v>35</v>
      </c>
      <c r="K3106" s="1">
        <f t="shared" si="1"/>
        <v>2022</v>
      </c>
      <c r="L3106" s="1" t="str">
        <f t="shared" si="2"/>
        <v>May</v>
      </c>
      <c r="M3106" s="1" t="str">
        <f t="shared" si="3"/>
        <v>Profit</v>
      </c>
    </row>
    <row r="3107" ht="14.25" customHeight="1">
      <c r="A3107" s="1" t="s">
        <v>3141</v>
      </c>
      <c r="B3107" s="2">
        <v>44659.0</v>
      </c>
      <c r="C3107" s="1" t="s">
        <v>14</v>
      </c>
      <c r="D3107" s="1" t="s">
        <v>21</v>
      </c>
      <c r="E3107" s="1" t="s">
        <v>76</v>
      </c>
      <c r="F3107" s="1">
        <v>562.08</v>
      </c>
      <c r="G3107" s="1">
        <v>-177.09</v>
      </c>
      <c r="H3107" s="1">
        <v>3.0</v>
      </c>
      <c r="I3107" s="1" t="s">
        <v>34</v>
      </c>
      <c r="J3107" s="1" t="s">
        <v>24</v>
      </c>
      <c r="K3107" s="1">
        <f t="shared" si="1"/>
        <v>2022</v>
      </c>
      <c r="L3107" s="1" t="str">
        <f t="shared" si="2"/>
        <v>Apr</v>
      </c>
      <c r="M3107" s="1" t="str">
        <f t="shared" si="3"/>
        <v>Loss</v>
      </c>
    </row>
    <row r="3108" ht="14.25" customHeight="1">
      <c r="A3108" s="1" t="s">
        <v>3142</v>
      </c>
      <c r="B3108" s="2">
        <v>45084.0</v>
      </c>
      <c r="C3108" s="1" t="s">
        <v>30</v>
      </c>
      <c r="D3108" s="1" t="s">
        <v>21</v>
      </c>
      <c r="E3108" s="1" t="s">
        <v>76</v>
      </c>
      <c r="F3108" s="1">
        <v>321.03</v>
      </c>
      <c r="G3108" s="1">
        <v>-24.7</v>
      </c>
      <c r="H3108" s="1">
        <v>1.0</v>
      </c>
      <c r="I3108" s="1" t="s">
        <v>17</v>
      </c>
      <c r="J3108" s="1" t="s">
        <v>38</v>
      </c>
      <c r="K3108" s="1">
        <f t="shared" si="1"/>
        <v>2023</v>
      </c>
      <c r="L3108" s="1" t="str">
        <f t="shared" si="2"/>
        <v>Jun</v>
      </c>
      <c r="M3108" s="1" t="str">
        <f t="shared" si="3"/>
        <v>Loss</v>
      </c>
    </row>
    <row r="3109" ht="14.25" customHeight="1">
      <c r="A3109" s="1" t="s">
        <v>3143</v>
      </c>
      <c r="B3109" s="2">
        <v>44572.0</v>
      </c>
      <c r="C3109" s="1" t="s">
        <v>20</v>
      </c>
      <c r="D3109" s="1" t="s">
        <v>21</v>
      </c>
      <c r="E3109" s="1" t="s">
        <v>76</v>
      </c>
      <c r="F3109" s="1">
        <v>221.17</v>
      </c>
      <c r="G3109" s="1">
        <v>-110.78</v>
      </c>
      <c r="H3109" s="1">
        <v>8.0</v>
      </c>
      <c r="I3109" s="1" t="s">
        <v>23</v>
      </c>
      <c r="J3109" s="1" t="s">
        <v>24</v>
      </c>
      <c r="K3109" s="1">
        <f t="shared" si="1"/>
        <v>2022</v>
      </c>
      <c r="L3109" s="1" t="str">
        <f t="shared" si="2"/>
        <v>Jan</v>
      </c>
      <c r="M3109" s="1" t="str">
        <f t="shared" si="3"/>
        <v>Loss</v>
      </c>
    </row>
    <row r="3110" ht="14.25" customHeight="1">
      <c r="A3110" s="1" t="s">
        <v>3144</v>
      </c>
      <c r="B3110" s="2">
        <v>44681.0</v>
      </c>
      <c r="C3110" s="1" t="s">
        <v>26</v>
      </c>
      <c r="D3110" s="1" t="s">
        <v>21</v>
      </c>
      <c r="E3110" s="1" t="s">
        <v>22</v>
      </c>
      <c r="F3110" s="1">
        <v>766.48</v>
      </c>
      <c r="G3110" s="1">
        <v>257.85</v>
      </c>
      <c r="H3110" s="1">
        <v>3.0</v>
      </c>
      <c r="I3110" s="1" t="s">
        <v>23</v>
      </c>
      <c r="J3110" s="1" t="s">
        <v>18</v>
      </c>
      <c r="K3110" s="1">
        <f t="shared" si="1"/>
        <v>2022</v>
      </c>
      <c r="L3110" s="1" t="str">
        <f t="shared" si="2"/>
        <v>Apr</v>
      </c>
      <c r="M3110" s="1" t="str">
        <f t="shared" si="3"/>
        <v>Profit</v>
      </c>
    </row>
    <row r="3111" ht="14.25" customHeight="1">
      <c r="A3111" s="1" t="s">
        <v>3145</v>
      </c>
      <c r="B3111" s="2">
        <v>45147.0</v>
      </c>
      <c r="C3111" s="1" t="s">
        <v>20</v>
      </c>
      <c r="D3111" s="1" t="s">
        <v>15</v>
      </c>
      <c r="E3111" s="1" t="s">
        <v>54</v>
      </c>
      <c r="F3111" s="1">
        <v>655.13</v>
      </c>
      <c r="G3111" s="1">
        <v>-43.4</v>
      </c>
      <c r="H3111" s="1">
        <v>9.0</v>
      </c>
      <c r="I3111" s="1" t="s">
        <v>34</v>
      </c>
      <c r="J3111" s="1" t="s">
        <v>24</v>
      </c>
      <c r="K3111" s="1">
        <f t="shared" si="1"/>
        <v>2023</v>
      </c>
      <c r="L3111" s="1" t="str">
        <f t="shared" si="2"/>
        <v>Aug</v>
      </c>
      <c r="M3111" s="1" t="str">
        <f t="shared" si="3"/>
        <v>Loss</v>
      </c>
    </row>
    <row r="3112" ht="14.25" customHeight="1">
      <c r="A3112" s="1" t="s">
        <v>3146</v>
      </c>
      <c r="B3112" s="2">
        <v>44747.0</v>
      </c>
      <c r="C3112" s="1" t="s">
        <v>14</v>
      </c>
      <c r="D3112" s="1" t="s">
        <v>27</v>
      </c>
      <c r="E3112" s="1" t="s">
        <v>40</v>
      </c>
      <c r="F3112" s="1">
        <v>561.27</v>
      </c>
      <c r="G3112" s="1">
        <v>-10.19</v>
      </c>
      <c r="H3112" s="1">
        <v>4.0</v>
      </c>
      <c r="I3112" s="1" t="s">
        <v>23</v>
      </c>
      <c r="J3112" s="1" t="s">
        <v>18</v>
      </c>
      <c r="K3112" s="1">
        <f t="shared" si="1"/>
        <v>2022</v>
      </c>
      <c r="L3112" s="1" t="str">
        <f t="shared" si="2"/>
        <v>Jul</v>
      </c>
      <c r="M3112" s="1" t="str">
        <f t="shared" si="3"/>
        <v>Loss</v>
      </c>
    </row>
    <row r="3113" ht="14.25" customHeight="1">
      <c r="A3113" s="1" t="s">
        <v>3147</v>
      </c>
      <c r="B3113" s="2">
        <v>44675.0</v>
      </c>
      <c r="C3113" s="1" t="s">
        <v>30</v>
      </c>
      <c r="D3113" s="1" t="s">
        <v>15</v>
      </c>
      <c r="E3113" s="1" t="s">
        <v>31</v>
      </c>
      <c r="F3113" s="1">
        <v>472.44</v>
      </c>
      <c r="G3113" s="1">
        <v>62.0</v>
      </c>
      <c r="H3113" s="1">
        <v>6.0</v>
      </c>
      <c r="I3113" s="1" t="s">
        <v>17</v>
      </c>
      <c r="J3113" s="1" t="s">
        <v>18</v>
      </c>
      <c r="K3113" s="1">
        <f t="shared" si="1"/>
        <v>2022</v>
      </c>
      <c r="L3113" s="1" t="str">
        <f t="shared" si="2"/>
        <v>Apr</v>
      </c>
      <c r="M3113" s="1" t="str">
        <f t="shared" si="3"/>
        <v>Profit</v>
      </c>
    </row>
    <row r="3114" ht="14.25" customHeight="1">
      <c r="A3114" s="1" t="s">
        <v>3148</v>
      </c>
      <c r="B3114" s="2">
        <v>45244.0</v>
      </c>
      <c r="C3114" s="1" t="s">
        <v>14</v>
      </c>
      <c r="D3114" s="1" t="s">
        <v>21</v>
      </c>
      <c r="E3114" s="1" t="s">
        <v>37</v>
      </c>
      <c r="F3114" s="1">
        <v>974.04</v>
      </c>
      <c r="G3114" s="1">
        <v>-109.8</v>
      </c>
      <c r="H3114" s="1">
        <v>1.0</v>
      </c>
      <c r="I3114" s="1" t="s">
        <v>17</v>
      </c>
      <c r="J3114" s="1" t="s">
        <v>38</v>
      </c>
      <c r="K3114" s="1">
        <f t="shared" si="1"/>
        <v>2023</v>
      </c>
      <c r="L3114" s="1" t="str">
        <f t="shared" si="2"/>
        <v>Nov</v>
      </c>
      <c r="M3114" s="1" t="str">
        <f t="shared" si="3"/>
        <v>Loss</v>
      </c>
    </row>
    <row r="3115" ht="14.25" customHeight="1">
      <c r="A3115" s="1" t="s">
        <v>3149</v>
      </c>
      <c r="B3115" s="2">
        <v>44926.0</v>
      </c>
      <c r="C3115" s="1" t="s">
        <v>26</v>
      </c>
      <c r="D3115" s="1" t="s">
        <v>15</v>
      </c>
      <c r="E3115" s="1" t="s">
        <v>16</v>
      </c>
      <c r="F3115" s="1">
        <v>236.58</v>
      </c>
      <c r="G3115" s="1">
        <v>155.23</v>
      </c>
      <c r="H3115" s="1">
        <v>1.0</v>
      </c>
      <c r="I3115" s="1" t="s">
        <v>17</v>
      </c>
      <c r="J3115" s="1" t="s">
        <v>24</v>
      </c>
      <c r="K3115" s="1">
        <f t="shared" si="1"/>
        <v>2022</v>
      </c>
      <c r="L3115" s="1" t="str">
        <f t="shared" si="2"/>
        <v>Dec</v>
      </c>
      <c r="M3115" s="1" t="str">
        <f t="shared" si="3"/>
        <v>Profit</v>
      </c>
    </row>
    <row r="3116" ht="14.25" customHeight="1">
      <c r="A3116" s="1" t="s">
        <v>3150</v>
      </c>
      <c r="B3116" s="2">
        <v>45029.0</v>
      </c>
      <c r="C3116" s="1" t="s">
        <v>14</v>
      </c>
      <c r="D3116" s="1" t="s">
        <v>21</v>
      </c>
      <c r="E3116" s="1" t="s">
        <v>22</v>
      </c>
      <c r="F3116" s="1">
        <v>837.15</v>
      </c>
      <c r="G3116" s="1">
        <v>39.09</v>
      </c>
      <c r="H3116" s="1">
        <v>8.0</v>
      </c>
      <c r="I3116" s="1" t="s">
        <v>17</v>
      </c>
      <c r="J3116" s="1" t="s">
        <v>35</v>
      </c>
      <c r="K3116" s="1">
        <f t="shared" si="1"/>
        <v>2023</v>
      </c>
      <c r="L3116" s="1" t="str">
        <f t="shared" si="2"/>
        <v>Apr</v>
      </c>
      <c r="M3116" s="1" t="str">
        <f t="shared" si="3"/>
        <v>Profit</v>
      </c>
    </row>
    <row r="3117" ht="14.25" customHeight="1">
      <c r="A3117" s="1" t="s">
        <v>3151</v>
      </c>
      <c r="B3117" s="2">
        <v>44344.0</v>
      </c>
      <c r="C3117" s="1" t="s">
        <v>26</v>
      </c>
      <c r="D3117" s="1" t="s">
        <v>15</v>
      </c>
      <c r="E3117" s="1" t="s">
        <v>16</v>
      </c>
      <c r="F3117" s="1">
        <v>819.91</v>
      </c>
      <c r="G3117" s="1">
        <v>-159.88</v>
      </c>
      <c r="H3117" s="1">
        <v>3.0</v>
      </c>
      <c r="I3117" s="1" t="s">
        <v>17</v>
      </c>
      <c r="J3117" s="1" t="s">
        <v>18</v>
      </c>
      <c r="K3117" s="1">
        <f t="shared" si="1"/>
        <v>2021</v>
      </c>
      <c r="L3117" s="1" t="str">
        <f t="shared" si="2"/>
        <v>May</v>
      </c>
      <c r="M3117" s="1" t="str">
        <f t="shared" si="3"/>
        <v>Loss</v>
      </c>
    </row>
    <row r="3118" ht="14.25" customHeight="1">
      <c r="A3118" s="1" t="s">
        <v>3152</v>
      </c>
      <c r="B3118" s="2">
        <v>45291.0</v>
      </c>
      <c r="C3118" s="1" t="s">
        <v>14</v>
      </c>
      <c r="D3118" s="1" t="s">
        <v>15</v>
      </c>
      <c r="E3118" s="1" t="s">
        <v>31</v>
      </c>
      <c r="F3118" s="1">
        <v>643.15</v>
      </c>
      <c r="G3118" s="1">
        <v>-44.2</v>
      </c>
      <c r="H3118" s="1">
        <v>10.0</v>
      </c>
      <c r="I3118" s="1" t="s">
        <v>34</v>
      </c>
      <c r="J3118" s="1" t="s">
        <v>18</v>
      </c>
      <c r="K3118" s="1">
        <f t="shared" si="1"/>
        <v>2023</v>
      </c>
      <c r="L3118" s="1" t="str">
        <f t="shared" si="2"/>
        <v>Dec</v>
      </c>
      <c r="M3118" s="1" t="str">
        <f t="shared" si="3"/>
        <v>Loss</v>
      </c>
    </row>
    <row r="3119" ht="14.25" customHeight="1">
      <c r="A3119" s="1" t="s">
        <v>3153</v>
      </c>
      <c r="B3119" s="2">
        <v>44478.0</v>
      </c>
      <c r="C3119" s="1" t="s">
        <v>30</v>
      </c>
      <c r="D3119" s="1" t="s">
        <v>27</v>
      </c>
      <c r="E3119" s="1" t="s">
        <v>28</v>
      </c>
      <c r="F3119" s="1">
        <v>85.35</v>
      </c>
      <c r="G3119" s="1">
        <v>126.51</v>
      </c>
      <c r="H3119" s="1">
        <v>9.0</v>
      </c>
      <c r="I3119" s="1" t="s">
        <v>17</v>
      </c>
      <c r="J3119" s="1" t="s">
        <v>35</v>
      </c>
      <c r="K3119" s="1">
        <f t="shared" si="1"/>
        <v>2021</v>
      </c>
      <c r="L3119" s="1" t="str">
        <f t="shared" si="2"/>
        <v>Oct</v>
      </c>
      <c r="M3119" s="1" t="str">
        <f t="shared" si="3"/>
        <v>Profit</v>
      </c>
    </row>
    <row r="3120" ht="14.25" customHeight="1">
      <c r="A3120" s="1" t="s">
        <v>3154</v>
      </c>
      <c r="B3120" s="2">
        <v>45060.0</v>
      </c>
      <c r="C3120" s="1" t="s">
        <v>14</v>
      </c>
      <c r="D3120" s="1" t="s">
        <v>27</v>
      </c>
      <c r="E3120" s="1" t="s">
        <v>40</v>
      </c>
      <c r="F3120" s="1">
        <v>78.31</v>
      </c>
      <c r="G3120" s="1">
        <v>43.67</v>
      </c>
      <c r="H3120" s="1">
        <v>1.0</v>
      </c>
      <c r="I3120" s="1" t="s">
        <v>34</v>
      </c>
      <c r="J3120" s="1" t="s">
        <v>38</v>
      </c>
      <c r="K3120" s="1">
        <f t="shared" si="1"/>
        <v>2023</v>
      </c>
      <c r="L3120" s="1" t="str">
        <f t="shared" si="2"/>
        <v>May</v>
      </c>
      <c r="M3120" s="1" t="str">
        <f t="shared" si="3"/>
        <v>Profit</v>
      </c>
    </row>
    <row r="3121" ht="14.25" customHeight="1">
      <c r="A3121" s="1" t="s">
        <v>3155</v>
      </c>
      <c r="B3121" s="2">
        <v>44315.0</v>
      </c>
      <c r="C3121" s="1" t="s">
        <v>14</v>
      </c>
      <c r="D3121" s="1" t="s">
        <v>21</v>
      </c>
      <c r="E3121" s="1" t="s">
        <v>22</v>
      </c>
      <c r="F3121" s="1">
        <v>913.87</v>
      </c>
      <c r="G3121" s="1">
        <v>-85.0</v>
      </c>
      <c r="H3121" s="1">
        <v>6.0</v>
      </c>
      <c r="I3121" s="1" t="s">
        <v>23</v>
      </c>
      <c r="J3121" s="1" t="s">
        <v>35</v>
      </c>
      <c r="K3121" s="1">
        <f t="shared" si="1"/>
        <v>2021</v>
      </c>
      <c r="L3121" s="1" t="str">
        <f t="shared" si="2"/>
        <v>Apr</v>
      </c>
      <c r="M3121" s="1" t="str">
        <f t="shared" si="3"/>
        <v>Loss</v>
      </c>
    </row>
    <row r="3122" ht="14.25" customHeight="1">
      <c r="A3122" s="1" t="s">
        <v>3156</v>
      </c>
      <c r="B3122" s="2">
        <v>44279.0</v>
      </c>
      <c r="C3122" s="1" t="s">
        <v>26</v>
      </c>
      <c r="D3122" s="1" t="s">
        <v>27</v>
      </c>
      <c r="E3122" s="1" t="s">
        <v>40</v>
      </c>
      <c r="F3122" s="1">
        <v>202.59</v>
      </c>
      <c r="G3122" s="1">
        <v>170.85</v>
      </c>
      <c r="H3122" s="1">
        <v>6.0</v>
      </c>
      <c r="I3122" s="1" t="s">
        <v>17</v>
      </c>
      <c r="J3122" s="1" t="s">
        <v>24</v>
      </c>
      <c r="K3122" s="1">
        <f t="shared" si="1"/>
        <v>2021</v>
      </c>
      <c r="L3122" s="1" t="str">
        <f t="shared" si="2"/>
        <v>Mar</v>
      </c>
      <c r="M3122" s="1" t="str">
        <f t="shared" si="3"/>
        <v>Profit</v>
      </c>
    </row>
    <row r="3123" ht="14.25" customHeight="1">
      <c r="A3123" s="1" t="s">
        <v>3157</v>
      </c>
      <c r="B3123" s="2">
        <v>44592.0</v>
      </c>
      <c r="C3123" s="1" t="s">
        <v>26</v>
      </c>
      <c r="D3123" s="1" t="s">
        <v>27</v>
      </c>
      <c r="E3123" s="1" t="s">
        <v>28</v>
      </c>
      <c r="F3123" s="1">
        <v>418.65</v>
      </c>
      <c r="G3123" s="1">
        <v>113.47</v>
      </c>
      <c r="H3123" s="1">
        <v>4.0</v>
      </c>
      <c r="I3123" s="1" t="s">
        <v>34</v>
      </c>
      <c r="J3123" s="1" t="s">
        <v>38</v>
      </c>
      <c r="K3123" s="1">
        <f t="shared" si="1"/>
        <v>2022</v>
      </c>
      <c r="L3123" s="1" t="str">
        <f t="shared" si="2"/>
        <v>Jan</v>
      </c>
      <c r="M3123" s="1" t="str">
        <f t="shared" si="3"/>
        <v>Profit</v>
      </c>
    </row>
    <row r="3124" ht="14.25" customHeight="1">
      <c r="A3124" s="1" t="s">
        <v>3158</v>
      </c>
      <c r="B3124" s="2">
        <v>44319.0</v>
      </c>
      <c r="C3124" s="1" t="s">
        <v>20</v>
      </c>
      <c r="D3124" s="1" t="s">
        <v>15</v>
      </c>
      <c r="E3124" s="1" t="s">
        <v>54</v>
      </c>
      <c r="F3124" s="1">
        <v>141.03</v>
      </c>
      <c r="G3124" s="1">
        <v>133.05</v>
      </c>
      <c r="H3124" s="1">
        <v>4.0</v>
      </c>
      <c r="I3124" s="1" t="s">
        <v>23</v>
      </c>
      <c r="J3124" s="1" t="s">
        <v>38</v>
      </c>
      <c r="K3124" s="1">
        <f t="shared" si="1"/>
        <v>2021</v>
      </c>
      <c r="L3124" s="1" t="str">
        <f t="shared" si="2"/>
        <v>May</v>
      </c>
      <c r="M3124" s="1" t="str">
        <f t="shared" si="3"/>
        <v>Profit</v>
      </c>
    </row>
    <row r="3125" ht="14.25" customHeight="1">
      <c r="A3125" s="1" t="s">
        <v>3159</v>
      </c>
      <c r="B3125" s="2">
        <v>44733.0</v>
      </c>
      <c r="C3125" s="1" t="s">
        <v>14</v>
      </c>
      <c r="D3125" s="1" t="s">
        <v>15</v>
      </c>
      <c r="E3125" s="1" t="s">
        <v>54</v>
      </c>
      <c r="F3125" s="1">
        <v>270.16</v>
      </c>
      <c r="G3125" s="1">
        <v>101.61</v>
      </c>
      <c r="H3125" s="1">
        <v>2.0</v>
      </c>
      <c r="I3125" s="1" t="s">
        <v>17</v>
      </c>
      <c r="J3125" s="1" t="s">
        <v>35</v>
      </c>
      <c r="K3125" s="1">
        <f t="shared" si="1"/>
        <v>2022</v>
      </c>
      <c r="L3125" s="1" t="str">
        <f t="shared" si="2"/>
        <v>Jun</v>
      </c>
      <c r="M3125" s="1" t="str">
        <f t="shared" si="3"/>
        <v>Profit</v>
      </c>
    </row>
    <row r="3126" ht="14.25" customHeight="1">
      <c r="A3126" s="1" t="s">
        <v>3160</v>
      </c>
      <c r="B3126" s="2">
        <v>44315.0</v>
      </c>
      <c r="C3126" s="1" t="s">
        <v>20</v>
      </c>
      <c r="D3126" s="1" t="s">
        <v>21</v>
      </c>
      <c r="E3126" s="1" t="s">
        <v>37</v>
      </c>
      <c r="F3126" s="1">
        <v>271.8</v>
      </c>
      <c r="G3126" s="1">
        <v>-114.16</v>
      </c>
      <c r="H3126" s="1">
        <v>8.0</v>
      </c>
      <c r="I3126" s="1" t="s">
        <v>34</v>
      </c>
      <c r="J3126" s="1" t="s">
        <v>18</v>
      </c>
      <c r="K3126" s="1">
        <f t="shared" si="1"/>
        <v>2021</v>
      </c>
      <c r="L3126" s="1" t="str">
        <f t="shared" si="2"/>
        <v>Apr</v>
      </c>
      <c r="M3126" s="1" t="str">
        <f t="shared" si="3"/>
        <v>Loss</v>
      </c>
    </row>
    <row r="3127" ht="14.25" customHeight="1">
      <c r="A3127" s="1" t="s">
        <v>3161</v>
      </c>
      <c r="B3127" s="2">
        <v>44280.0</v>
      </c>
      <c r="C3127" s="1" t="s">
        <v>20</v>
      </c>
      <c r="D3127" s="1" t="s">
        <v>15</v>
      </c>
      <c r="E3127" s="1" t="s">
        <v>31</v>
      </c>
      <c r="F3127" s="1">
        <v>159.17</v>
      </c>
      <c r="G3127" s="1">
        <v>-174.96</v>
      </c>
      <c r="H3127" s="1">
        <v>8.0</v>
      </c>
      <c r="I3127" s="1" t="s">
        <v>17</v>
      </c>
      <c r="J3127" s="1" t="s">
        <v>18</v>
      </c>
      <c r="K3127" s="1">
        <f t="shared" si="1"/>
        <v>2021</v>
      </c>
      <c r="L3127" s="1" t="str">
        <f t="shared" si="2"/>
        <v>Mar</v>
      </c>
      <c r="M3127" s="1" t="str">
        <f t="shared" si="3"/>
        <v>Loss</v>
      </c>
    </row>
    <row r="3128" ht="14.25" customHeight="1">
      <c r="A3128" s="1" t="s">
        <v>3162</v>
      </c>
      <c r="B3128" s="2">
        <v>44958.0</v>
      </c>
      <c r="C3128" s="1" t="s">
        <v>14</v>
      </c>
      <c r="D3128" s="1" t="s">
        <v>27</v>
      </c>
      <c r="E3128" s="1" t="s">
        <v>33</v>
      </c>
      <c r="F3128" s="1">
        <v>497.37</v>
      </c>
      <c r="G3128" s="1">
        <v>259.26</v>
      </c>
      <c r="H3128" s="1">
        <v>6.0</v>
      </c>
      <c r="I3128" s="1" t="s">
        <v>17</v>
      </c>
      <c r="J3128" s="1" t="s">
        <v>24</v>
      </c>
      <c r="K3128" s="1">
        <f t="shared" si="1"/>
        <v>2023</v>
      </c>
      <c r="L3128" s="1" t="str">
        <f t="shared" si="2"/>
        <v>Feb</v>
      </c>
      <c r="M3128" s="1" t="str">
        <f t="shared" si="3"/>
        <v>Profit</v>
      </c>
    </row>
    <row r="3129" ht="14.25" customHeight="1">
      <c r="A3129" s="1" t="s">
        <v>3163</v>
      </c>
      <c r="B3129" s="2">
        <v>44428.0</v>
      </c>
      <c r="C3129" s="1" t="s">
        <v>30</v>
      </c>
      <c r="D3129" s="1" t="s">
        <v>27</v>
      </c>
      <c r="E3129" s="1" t="s">
        <v>28</v>
      </c>
      <c r="F3129" s="1">
        <v>552.99</v>
      </c>
      <c r="G3129" s="1">
        <v>80.57</v>
      </c>
      <c r="H3129" s="1">
        <v>1.0</v>
      </c>
      <c r="I3129" s="1" t="s">
        <v>17</v>
      </c>
      <c r="J3129" s="1" t="s">
        <v>35</v>
      </c>
      <c r="K3129" s="1">
        <f t="shared" si="1"/>
        <v>2021</v>
      </c>
      <c r="L3129" s="1" t="str">
        <f t="shared" si="2"/>
        <v>Aug</v>
      </c>
      <c r="M3129" s="1" t="str">
        <f t="shared" si="3"/>
        <v>Profit</v>
      </c>
    </row>
    <row r="3130" ht="14.25" customHeight="1">
      <c r="A3130" s="1" t="s">
        <v>3164</v>
      </c>
      <c r="B3130" s="2">
        <v>44940.0</v>
      </c>
      <c r="C3130" s="1" t="s">
        <v>26</v>
      </c>
      <c r="D3130" s="1" t="s">
        <v>21</v>
      </c>
      <c r="E3130" s="1" t="s">
        <v>37</v>
      </c>
      <c r="F3130" s="1">
        <v>54.66</v>
      </c>
      <c r="G3130" s="1">
        <v>-84.42</v>
      </c>
      <c r="H3130" s="1">
        <v>4.0</v>
      </c>
      <c r="I3130" s="1" t="s">
        <v>17</v>
      </c>
      <c r="J3130" s="1" t="s">
        <v>38</v>
      </c>
      <c r="K3130" s="1">
        <f t="shared" si="1"/>
        <v>2023</v>
      </c>
      <c r="L3130" s="1" t="str">
        <f t="shared" si="2"/>
        <v>Jan</v>
      </c>
      <c r="M3130" s="1" t="str">
        <f t="shared" si="3"/>
        <v>Loss</v>
      </c>
    </row>
    <row r="3131" ht="14.25" customHeight="1">
      <c r="A3131" s="1" t="s">
        <v>3165</v>
      </c>
      <c r="B3131" s="2">
        <v>45071.0</v>
      </c>
      <c r="C3131" s="1" t="s">
        <v>26</v>
      </c>
      <c r="D3131" s="1" t="s">
        <v>21</v>
      </c>
      <c r="E3131" s="1" t="s">
        <v>22</v>
      </c>
      <c r="F3131" s="1">
        <v>330.93</v>
      </c>
      <c r="G3131" s="1">
        <v>-152.63</v>
      </c>
      <c r="H3131" s="1">
        <v>8.0</v>
      </c>
      <c r="I3131" s="1" t="s">
        <v>34</v>
      </c>
      <c r="J3131" s="1" t="s">
        <v>35</v>
      </c>
      <c r="K3131" s="1">
        <f t="shared" si="1"/>
        <v>2023</v>
      </c>
      <c r="L3131" s="1" t="str">
        <f t="shared" si="2"/>
        <v>May</v>
      </c>
      <c r="M3131" s="1" t="str">
        <f t="shared" si="3"/>
        <v>Loss</v>
      </c>
    </row>
    <row r="3132" ht="14.25" customHeight="1">
      <c r="A3132" s="1" t="s">
        <v>3166</v>
      </c>
      <c r="B3132" s="2">
        <v>44487.0</v>
      </c>
      <c r="C3132" s="1" t="s">
        <v>30</v>
      </c>
      <c r="D3132" s="1" t="s">
        <v>27</v>
      </c>
      <c r="E3132" s="1" t="s">
        <v>33</v>
      </c>
      <c r="F3132" s="1">
        <v>214.66</v>
      </c>
      <c r="G3132" s="1">
        <v>158.15</v>
      </c>
      <c r="H3132" s="1">
        <v>1.0</v>
      </c>
      <c r="I3132" s="1" t="s">
        <v>34</v>
      </c>
      <c r="J3132" s="1" t="s">
        <v>18</v>
      </c>
      <c r="K3132" s="1">
        <f t="shared" si="1"/>
        <v>2021</v>
      </c>
      <c r="L3132" s="1" t="str">
        <f t="shared" si="2"/>
        <v>Oct</v>
      </c>
      <c r="M3132" s="1" t="str">
        <f t="shared" si="3"/>
        <v>Profit</v>
      </c>
    </row>
    <row r="3133" ht="14.25" customHeight="1">
      <c r="A3133" s="1" t="s">
        <v>3167</v>
      </c>
      <c r="B3133" s="2">
        <v>44628.0</v>
      </c>
      <c r="C3133" s="1" t="s">
        <v>20</v>
      </c>
      <c r="D3133" s="1" t="s">
        <v>15</v>
      </c>
      <c r="E3133" s="1" t="s">
        <v>54</v>
      </c>
      <c r="F3133" s="1">
        <v>448.72</v>
      </c>
      <c r="G3133" s="1">
        <v>17.5</v>
      </c>
      <c r="H3133" s="1">
        <v>4.0</v>
      </c>
      <c r="I3133" s="1" t="s">
        <v>17</v>
      </c>
      <c r="J3133" s="1" t="s">
        <v>18</v>
      </c>
      <c r="K3133" s="1">
        <f t="shared" si="1"/>
        <v>2022</v>
      </c>
      <c r="L3133" s="1" t="str">
        <f t="shared" si="2"/>
        <v>Mar</v>
      </c>
      <c r="M3133" s="1" t="str">
        <f t="shared" si="3"/>
        <v>Profit</v>
      </c>
    </row>
    <row r="3134" ht="14.25" customHeight="1">
      <c r="A3134" s="1" t="s">
        <v>3168</v>
      </c>
      <c r="B3134" s="2">
        <v>45098.0</v>
      </c>
      <c r="C3134" s="1" t="s">
        <v>30</v>
      </c>
      <c r="D3134" s="1" t="s">
        <v>15</v>
      </c>
      <c r="E3134" s="1" t="s">
        <v>54</v>
      </c>
      <c r="F3134" s="1">
        <v>298.0</v>
      </c>
      <c r="G3134" s="1">
        <v>-11.22</v>
      </c>
      <c r="H3134" s="1">
        <v>3.0</v>
      </c>
      <c r="I3134" s="1" t="s">
        <v>34</v>
      </c>
      <c r="J3134" s="1" t="s">
        <v>38</v>
      </c>
      <c r="K3134" s="1">
        <f t="shared" si="1"/>
        <v>2023</v>
      </c>
      <c r="L3134" s="1" t="str">
        <f t="shared" si="2"/>
        <v>Jun</v>
      </c>
      <c r="M3134" s="1" t="str">
        <f t="shared" si="3"/>
        <v>Loss</v>
      </c>
    </row>
    <row r="3135" ht="14.25" customHeight="1">
      <c r="A3135" s="1" t="s">
        <v>3169</v>
      </c>
      <c r="B3135" s="2">
        <v>44844.0</v>
      </c>
      <c r="C3135" s="1" t="s">
        <v>30</v>
      </c>
      <c r="D3135" s="1" t="s">
        <v>21</v>
      </c>
      <c r="E3135" s="1" t="s">
        <v>37</v>
      </c>
      <c r="F3135" s="1">
        <v>830.52</v>
      </c>
      <c r="G3135" s="1">
        <v>153.81</v>
      </c>
      <c r="H3135" s="1">
        <v>1.0</v>
      </c>
      <c r="I3135" s="1" t="s">
        <v>17</v>
      </c>
      <c r="J3135" s="1" t="s">
        <v>35</v>
      </c>
      <c r="K3135" s="1">
        <f t="shared" si="1"/>
        <v>2022</v>
      </c>
      <c r="L3135" s="1" t="str">
        <f t="shared" si="2"/>
        <v>Oct</v>
      </c>
      <c r="M3135" s="1" t="str">
        <f t="shared" si="3"/>
        <v>Profit</v>
      </c>
    </row>
    <row r="3136" ht="14.25" customHeight="1">
      <c r="A3136" s="1" t="s">
        <v>3170</v>
      </c>
      <c r="B3136" s="2">
        <v>44679.0</v>
      </c>
      <c r="C3136" s="1" t="s">
        <v>26</v>
      </c>
      <c r="D3136" s="1" t="s">
        <v>27</v>
      </c>
      <c r="E3136" s="1" t="s">
        <v>40</v>
      </c>
      <c r="F3136" s="1">
        <v>169.44</v>
      </c>
      <c r="G3136" s="1">
        <v>-129.08</v>
      </c>
      <c r="H3136" s="1">
        <v>9.0</v>
      </c>
      <c r="I3136" s="1" t="s">
        <v>34</v>
      </c>
      <c r="J3136" s="1" t="s">
        <v>24</v>
      </c>
      <c r="K3136" s="1">
        <f t="shared" si="1"/>
        <v>2022</v>
      </c>
      <c r="L3136" s="1" t="str">
        <f t="shared" si="2"/>
        <v>Apr</v>
      </c>
      <c r="M3136" s="1" t="str">
        <f t="shared" si="3"/>
        <v>Loss</v>
      </c>
    </row>
    <row r="3137" ht="14.25" customHeight="1">
      <c r="A3137" s="1" t="s">
        <v>3171</v>
      </c>
      <c r="B3137" s="2">
        <v>45245.0</v>
      </c>
      <c r="C3137" s="1" t="s">
        <v>20</v>
      </c>
      <c r="D3137" s="1" t="s">
        <v>21</v>
      </c>
      <c r="E3137" s="1" t="s">
        <v>76</v>
      </c>
      <c r="F3137" s="1">
        <v>709.0</v>
      </c>
      <c r="G3137" s="1">
        <v>209.34</v>
      </c>
      <c r="H3137" s="1">
        <v>9.0</v>
      </c>
      <c r="I3137" s="1" t="s">
        <v>17</v>
      </c>
      <c r="J3137" s="1" t="s">
        <v>38</v>
      </c>
      <c r="K3137" s="1">
        <f t="shared" si="1"/>
        <v>2023</v>
      </c>
      <c r="L3137" s="1" t="str">
        <f t="shared" si="2"/>
        <v>Nov</v>
      </c>
      <c r="M3137" s="1" t="str">
        <f t="shared" si="3"/>
        <v>Profit</v>
      </c>
    </row>
    <row r="3138" ht="14.25" customHeight="1">
      <c r="A3138" s="1" t="s">
        <v>3172</v>
      </c>
      <c r="B3138" s="2">
        <v>44551.0</v>
      </c>
      <c r="C3138" s="1" t="s">
        <v>30</v>
      </c>
      <c r="D3138" s="1" t="s">
        <v>15</v>
      </c>
      <c r="E3138" s="1" t="s">
        <v>54</v>
      </c>
      <c r="F3138" s="1">
        <v>626.82</v>
      </c>
      <c r="G3138" s="1">
        <v>191.13</v>
      </c>
      <c r="H3138" s="1">
        <v>3.0</v>
      </c>
      <c r="I3138" s="1" t="s">
        <v>17</v>
      </c>
      <c r="J3138" s="1" t="s">
        <v>35</v>
      </c>
      <c r="K3138" s="1">
        <f t="shared" si="1"/>
        <v>2021</v>
      </c>
      <c r="L3138" s="1" t="str">
        <f t="shared" si="2"/>
        <v>Dec</v>
      </c>
      <c r="M3138" s="1" t="str">
        <f t="shared" si="3"/>
        <v>Profit</v>
      </c>
    </row>
    <row r="3139" ht="14.25" customHeight="1">
      <c r="A3139" s="1" t="s">
        <v>3173</v>
      </c>
      <c r="B3139" s="2">
        <v>45010.0</v>
      </c>
      <c r="C3139" s="1" t="s">
        <v>14</v>
      </c>
      <c r="D3139" s="1" t="s">
        <v>21</v>
      </c>
      <c r="E3139" s="1" t="s">
        <v>76</v>
      </c>
      <c r="F3139" s="1">
        <v>99.52</v>
      </c>
      <c r="G3139" s="1">
        <v>-74.92</v>
      </c>
      <c r="H3139" s="1">
        <v>2.0</v>
      </c>
      <c r="I3139" s="1" t="s">
        <v>23</v>
      </c>
      <c r="J3139" s="1" t="s">
        <v>38</v>
      </c>
      <c r="K3139" s="1">
        <f t="shared" si="1"/>
        <v>2023</v>
      </c>
      <c r="L3139" s="1" t="str">
        <f t="shared" si="2"/>
        <v>Mar</v>
      </c>
      <c r="M3139" s="1" t="str">
        <f t="shared" si="3"/>
        <v>Loss</v>
      </c>
    </row>
    <row r="3140" ht="14.25" customHeight="1">
      <c r="A3140" s="1" t="s">
        <v>3174</v>
      </c>
      <c r="B3140" s="2">
        <v>44963.0</v>
      </c>
      <c r="C3140" s="1" t="s">
        <v>30</v>
      </c>
      <c r="D3140" s="1" t="s">
        <v>21</v>
      </c>
      <c r="E3140" s="1" t="s">
        <v>37</v>
      </c>
      <c r="F3140" s="1">
        <v>918.94</v>
      </c>
      <c r="G3140" s="1">
        <v>125.6</v>
      </c>
      <c r="H3140" s="1">
        <v>3.0</v>
      </c>
      <c r="I3140" s="1" t="s">
        <v>34</v>
      </c>
      <c r="J3140" s="1" t="s">
        <v>38</v>
      </c>
      <c r="K3140" s="1">
        <f t="shared" si="1"/>
        <v>2023</v>
      </c>
      <c r="L3140" s="1" t="str">
        <f t="shared" si="2"/>
        <v>Feb</v>
      </c>
      <c r="M3140" s="1" t="str">
        <f t="shared" si="3"/>
        <v>Profit</v>
      </c>
    </row>
    <row r="3141" ht="14.25" customHeight="1">
      <c r="A3141" s="1" t="s">
        <v>3175</v>
      </c>
      <c r="B3141" s="2">
        <v>45235.0</v>
      </c>
      <c r="C3141" s="1" t="s">
        <v>20</v>
      </c>
      <c r="D3141" s="1" t="s">
        <v>27</v>
      </c>
      <c r="E3141" s="1" t="s">
        <v>28</v>
      </c>
      <c r="F3141" s="1">
        <v>440.83</v>
      </c>
      <c r="G3141" s="1">
        <v>139.89</v>
      </c>
      <c r="H3141" s="1">
        <v>2.0</v>
      </c>
      <c r="I3141" s="1" t="s">
        <v>34</v>
      </c>
      <c r="J3141" s="1" t="s">
        <v>24</v>
      </c>
      <c r="K3141" s="1">
        <f t="shared" si="1"/>
        <v>2023</v>
      </c>
      <c r="L3141" s="1" t="str">
        <f t="shared" si="2"/>
        <v>Nov</v>
      </c>
      <c r="M3141" s="1" t="str">
        <f t="shared" si="3"/>
        <v>Profit</v>
      </c>
    </row>
    <row r="3142" ht="14.25" customHeight="1">
      <c r="A3142" s="1" t="s">
        <v>3176</v>
      </c>
      <c r="B3142" s="2">
        <v>44512.0</v>
      </c>
      <c r="C3142" s="1" t="s">
        <v>20</v>
      </c>
      <c r="D3142" s="1" t="s">
        <v>27</v>
      </c>
      <c r="E3142" s="1" t="s">
        <v>33</v>
      </c>
      <c r="F3142" s="1">
        <v>37.96</v>
      </c>
      <c r="G3142" s="1">
        <v>186.0</v>
      </c>
      <c r="H3142" s="1">
        <v>7.0</v>
      </c>
      <c r="I3142" s="1" t="s">
        <v>34</v>
      </c>
      <c r="J3142" s="1" t="s">
        <v>24</v>
      </c>
      <c r="K3142" s="1">
        <f t="shared" si="1"/>
        <v>2021</v>
      </c>
      <c r="L3142" s="1" t="str">
        <f t="shared" si="2"/>
        <v>Nov</v>
      </c>
      <c r="M3142" s="1" t="str">
        <f t="shared" si="3"/>
        <v>Profit</v>
      </c>
    </row>
    <row r="3143" ht="14.25" customHeight="1">
      <c r="A3143" s="1" t="s">
        <v>3177</v>
      </c>
      <c r="B3143" s="2">
        <v>44443.0</v>
      </c>
      <c r="C3143" s="1" t="s">
        <v>26</v>
      </c>
      <c r="D3143" s="1" t="s">
        <v>21</v>
      </c>
      <c r="E3143" s="1" t="s">
        <v>22</v>
      </c>
      <c r="F3143" s="1">
        <v>361.13</v>
      </c>
      <c r="G3143" s="1">
        <v>-138.25</v>
      </c>
      <c r="H3143" s="1">
        <v>1.0</v>
      </c>
      <c r="I3143" s="1" t="s">
        <v>23</v>
      </c>
      <c r="J3143" s="1" t="s">
        <v>35</v>
      </c>
      <c r="K3143" s="1">
        <f t="shared" si="1"/>
        <v>2021</v>
      </c>
      <c r="L3143" s="1" t="str">
        <f t="shared" si="2"/>
        <v>Sep</v>
      </c>
      <c r="M3143" s="1" t="str">
        <f t="shared" si="3"/>
        <v>Loss</v>
      </c>
    </row>
    <row r="3144" ht="14.25" customHeight="1">
      <c r="A3144" s="1" t="s">
        <v>3178</v>
      </c>
      <c r="B3144" s="2">
        <v>45247.0</v>
      </c>
      <c r="C3144" s="1" t="s">
        <v>30</v>
      </c>
      <c r="D3144" s="1" t="s">
        <v>21</v>
      </c>
      <c r="E3144" s="1" t="s">
        <v>22</v>
      </c>
      <c r="F3144" s="1">
        <v>338.34</v>
      </c>
      <c r="G3144" s="1">
        <v>110.19</v>
      </c>
      <c r="H3144" s="1">
        <v>6.0</v>
      </c>
      <c r="I3144" s="1" t="s">
        <v>34</v>
      </c>
      <c r="J3144" s="1" t="s">
        <v>38</v>
      </c>
      <c r="K3144" s="1">
        <f t="shared" si="1"/>
        <v>2023</v>
      </c>
      <c r="L3144" s="1" t="str">
        <f t="shared" si="2"/>
        <v>Nov</v>
      </c>
      <c r="M3144" s="1" t="str">
        <f t="shared" si="3"/>
        <v>Profit</v>
      </c>
    </row>
    <row r="3145" ht="14.25" customHeight="1">
      <c r="A3145" s="1" t="s">
        <v>3179</v>
      </c>
      <c r="B3145" s="2">
        <v>44337.0</v>
      </c>
      <c r="C3145" s="1" t="s">
        <v>30</v>
      </c>
      <c r="D3145" s="1" t="s">
        <v>15</v>
      </c>
      <c r="E3145" s="1" t="s">
        <v>16</v>
      </c>
      <c r="F3145" s="1">
        <v>690.3</v>
      </c>
      <c r="G3145" s="1">
        <v>10.89</v>
      </c>
      <c r="H3145" s="1">
        <v>4.0</v>
      </c>
      <c r="I3145" s="1" t="s">
        <v>17</v>
      </c>
      <c r="J3145" s="1" t="s">
        <v>24</v>
      </c>
      <c r="K3145" s="1">
        <f t="shared" si="1"/>
        <v>2021</v>
      </c>
      <c r="L3145" s="1" t="str">
        <f t="shared" si="2"/>
        <v>May</v>
      </c>
      <c r="M3145" s="1" t="str">
        <f t="shared" si="3"/>
        <v>Profit</v>
      </c>
    </row>
    <row r="3146" ht="14.25" customHeight="1">
      <c r="A3146" s="1" t="s">
        <v>3180</v>
      </c>
      <c r="B3146" s="2">
        <v>44732.0</v>
      </c>
      <c r="C3146" s="1" t="s">
        <v>20</v>
      </c>
      <c r="D3146" s="1" t="s">
        <v>15</v>
      </c>
      <c r="E3146" s="1" t="s">
        <v>54</v>
      </c>
      <c r="F3146" s="1">
        <v>915.49</v>
      </c>
      <c r="G3146" s="1">
        <v>215.17</v>
      </c>
      <c r="H3146" s="1">
        <v>8.0</v>
      </c>
      <c r="I3146" s="1" t="s">
        <v>34</v>
      </c>
      <c r="J3146" s="1" t="s">
        <v>18</v>
      </c>
      <c r="K3146" s="1">
        <f t="shared" si="1"/>
        <v>2022</v>
      </c>
      <c r="L3146" s="1" t="str">
        <f t="shared" si="2"/>
        <v>Jun</v>
      </c>
      <c r="M3146" s="1" t="str">
        <f t="shared" si="3"/>
        <v>Profit</v>
      </c>
    </row>
    <row r="3147" ht="14.25" customHeight="1">
      <c r="A3147" s="1" t="s">
        <v>3181</v>
      </c>
      <c r="B3147" s="2">
        <v>44263.0</v>
      </c>
      <c r="C3147" s="1" t="s">
        <v>30</v>
      </c>
      <c r="D3147" s="1" t="s">
        <v>21</v>
      </c>
      <c r="E3147" s="1" t="s">
        <v>37</v>
      </c>
      <c r="F3147" s="1">
        <v>260.39</v>
      </c>
      <c r="G3147" s="1">
        <v>-104.94</v>
      </c>
      <c r="H3147" s="1">
        <v>7.0</v>
      </c>
      <c r="I3147" s="1" t="s">
        <v>23</v>
      </c>
      <c r="J3147" s="1" t="s">
        <v>18</v>
      </c>
      <c r="K3147" s="1">
        <f t="shared" si="1"/>
        <v>2021</v>
      </c>
      <c r="L3147" s="1" t="str">
        <f t="shared" si="2"/>
        <v>Mar</v>
      </c>
      <c r="M3147" s="1" t="str">
        <f t="shared" si="3"/>
        <v>Loss</v>
      </c>
    </row>
    <row r="3148" ht="14.25" customHeight="1">
      <c r="A3148" s="1" t="s">
        <v>3182</v>
      </c>
      <c r="B3148" s="2">
        <v>45225.0</v>
      </c>
      <c r="C3148" s="1" t="s">
        <v>30</v>
      </c>
      <c r="D3148" s="1" t="s">
        <v>15</v>
      </c>
      <c r="E3148" s="1" t="s">
        <v>54</v>
      </c>
      <c r="F3148" s="1">
        <v>160.49</v>
      </c>
      <c r="G3148" s="1">
        <v>-111.43</v>
      </c>
      <c r="H3148" s="1">
        <v>7.0</v>
      </c>
      <c r="I3148" s="1" t="s">
        <v>34</v>
      </c>
      <c r="J3148" s="1" t="s">
        <v>35</v>
      </c>
      <c r="K3148" s="1">
        <f t="shared" si="1"/>
        <v>2023</v>
      </c>
      <c r="L3148" s="1" t="str">
        <f t="shared" si="2"/>
        <v>Oct</v>
      </c>
      <c r="M3148" s="1" t="str">
        <f t="shared" si="3"/>
        <v>Loss</v>
      </c>
    </row>
    <row r="3149" ht="14.25" customHeight="1">
      <c r="A3149" s="1" t="s">
        <v>3183</v>
      </c>
      <c r="B3149" s="2">
        <v>45149.0</v>
      </c>
      <c r="C3149" s="1" t="s">
        <v>20</v>
      </c>
      <c r="D3149" s="1" t="s">
        <v>21</v>
      </c>
      <c r="E3149" s="1" t="s">
        <v>22</v>
      </c>
      <c r="F3149" s="1">
        <v>800.0</v>
      </c>
      <c r="G3149" s="1">
        <v>53.76</v>
      </c>
      <c r="H3149" s="1">
        <v>10.0</v>
      </c>
      <c r="I3149" s="1" t="s">
        <v>17</v>
      </c>
      <c r="J3149" s="1" t="s">
        <v>38</v>
      </c>
      <c r="K3149" s="1">
        <f t="shared" si="1"/>
        <v>2023</v>
      </c>
      <c r="L3149" s="1" t="str">
        <f t="shared" si="2"/>
        <v>Aug</v>
      </c>
      <c r="M3149" s="1" t="str">
        <f t="shared" si="3"/>
        <v>Profit</v>
      </c>
    </row>
    <row r="3150" ht="14.25" customHeight="1">
      <c r="A3150" s="1" t="s">
        <v>3184</v>
      </c>
      <c r="B3150" s="2">
        <v>44368.0</v>
      </c>
      <c r="C3150" s="1" t="s">
        <v>14</v>
      </c>
      <c r="D3150" s="1" t="s">
        <v>15</v>
      </c>
      <c r="E3150" s="1" t="s">
        <v>31</v>
      </c>
      <c r="F3150" s="1">
        <v>762.67</v>
      </c>
      <c r="G3150" s="1">
        <v>111.22</v>
      </c>
      <c r="H3150" s="1">
        <v>1.0</v>
      </c>
      <c r="I3150" s="1" t="s">
        <v>23</v>
      </c>
      <c r="J3150" s="1" t="s">
        <v>18</v>
      </c>
      <c r="K3150" s="1">
        <f t="shared" si="1"/>
        <v>2021</v>
      </c>
      <c r="L3150" s="1" t="str">
        <f t="shared" si="2"/>
        <v>Jun</v>
      </c>
      <c r="M3150" s="1" t="str">
        <f t="shared" si="3"/>
        <v>Profit</v>
      </c>
    </row>
    <row r="3151" ht="14.25" customHeight="1">
      <c r="A3151" s="1" t="s">
        <v>3185</v>
      </c>
      <c r="B3151" s="2">
        <v>44249.0</v>
      </c>
      <c r="C3151" s="1" t="s">
        <v>30</v>
      </c>
      <c r="D3151" s="1" t="s">
        <v>15</v>
      </c>
      <c r="E3151" s="1" t="s">
        <v>31</v>
      </c>
      <c r="F3151" s="1">
        <v>956.91</v>
      </c>
      <c r="G3151" s="1">
        <v>124.75</v>
      </c>
      <c r="H3151" s="1">
        <v>1.0</v>
      </c>
      <c r="I3151" s="1" t="s">
        <v>17</v>
      </c>
      <c r="J3151" s="1" t="s">
        <v>24</v>
      </c>
      <c r="K3151" s="1">
        <f t="shared" si="1"/>
        <v>2021</v>
      </c>
      <c r="L3151" s="1" t="str">
        <f t="shared" si="2"/>
        <v>Feb</v>
      </c>
      <c r="M3151" s="1" t="str">
        <f t="shared" si="3"/>
        <v>Profit</v>
      </c>
    </row>
    <row r="3152" ht="14.25" customHeight="1">
      <c r="A3152" s="1" t="s">
        <v>3186</v>
      </c>
      <c r="B3152" s="2">
        <v>44367.0</v>
      </c>
      <c r="C3152" s="1" t="s">
        <v>14</v>
      </c>
      <c r="D3152" s="1" t="s">
        <v>27</v>
      </c>
      <c r="E3152" s="1" t="s">
        <v>33</v>
      </c>
      <c r="F3152" s="1">
        <v>34.8</v>
      </c>
      <c r="G3152" s="1">
        <v>-76.71</v>
      </c>
      <c r="H3152" s="1">
        <v>10.0</v>
      </c>
      <c r="I3152" s="1" t="s">
        <v>23</v>
      </c>
      <c r="J3152" s="1" t="s">
        <v>18</v>
      </c>
      <c r="K3152" s="1">
        <f t="shared" si="1"/>
        <v>2021</v>
      </c>
      <c r="L3152" s="1" t="str">
        <f t="shared" si="2"/>
        <v>Jun</v>
      </c>
      <c r="M3152" s="1" t="str">
        <f t="shared" si="3"/>
        <v>Loss</v>
      </c>
    </row>
    <row r="3153" ht="14.25" customHeight="1">
      <c r="A3153" s="1" t="s">
        <v>3187</v>
      </c>
      <c r="B3153" s="2">
        <v>44763.0</v>
      </c>
      <c r="C3153" s="1" t="s">
        <v>14</v>
      </c>
      <c r="D3153" s="1" t="s">
        <v>27</v>
      </c>
      <c r="E3153" s="1" t="s">
        <v>33</v>
      </c>
      <c r="F3153" s="1">
        <v>259.07</v>
      </c>
      <c r="G3153" s="1">
        <v>46.0</v>
      </c>
      <c r="H3153" s="1">
        <v>1.0</v>
      </c>
      <c r="I3153" s="1" t="s">
        <v>23</v>
      </c>
      <c r="J3153" s="1" t="s">
        <v>18</v>
      </c>
      <c r="K3153" s="1">
        <f t="shared" si="1"/>
        <v>2022</v>
      </c>
      <c r="L3153" s="1" t="str">
        <f t="shared" si="2"/>
        <v>Jul</v>
      </c>
      <c r="M3153" s="1" t="str">
        <f t="shared" si="3"/>
        <v>Profit</v>
      </c>
    </row>
    <row r="3154" ht="14.25" customHeight="1">
      <c r="A3154" s="1" t="s">
        <v>3188</v>
      </c>
      <c r="B3154" s="2">
        <v>44775.0</v>
      </c>
      <c r="C3154" s="1" t="s">
        <v>30</v>
      </c>
      <c r="D3154" s="1" t="s">
        <v>21</v>
      </c>
      <c r="E3154" s="1" t="s">
        <v>37</v>
      </c>
      <c r="F3154" s="1">
        <v>639.61</v>
      </c>
      <c r="G3154" s="1">
        <v>73.65</v>
      </c>
      <c r="H3154" s="1">
        <v>1.0</v>
      </c>
      <c r="I3154" s="1" t="s">
        <v>34</v>
      </c>
      <c r="J3154" s="1" t="s">
        <v>35</v>
      </c>
      <c r="K3154" s="1">
        <f t="shared" si="1"/>
        <v>2022</v>
      </c>
      <c r="L3154" s="1" t="str">
        <f t="shared" si="2"/>
        <v>Aug</v>
      </c>
      <c r="M3154" s="1" t="str">
        <f t="shared" si="3"/>
        <v>Profit</v>
      </c>
    </row>
    <row r="3155" ht="14.25" customHeight="1">
      <c r="A3155" s="1" t="s">
        <v>3189</v>
      </c>
      <c r="B3155" s="2">
        <v>45135.0</v>
      </c>
      <c r="C3155" s="1" t="s">
        <v>26</v>
      </c>
      <c r="D3155" s="1" t="s">
        <v>15</v>
      </c>
      <c r="E3155" s="1" t="s">
        <v>54</v>
      </c>
      <c r="F3155" s="1">
        <v>545.0</v>
      </c>
      <c r="G3155" s="1">
        <v>179.0</v>
      </c>
      <c r="H3155" s="1">
        <v>1.0</v>
      </c>
      <c r="I3155" s="1" t="s">
        <v>17</v>
      </c>
      <c r="J3155" s="1" t="s">
        <v>35</v>
      </c>
      <c r="K3155" s="1">
        <f t="shared" si="1"/>
        <v>2023</v>
      </c>
      <c r="L3155" s="1" t="str">
        <f t="shared" si="2"/>
        <v>Jul</v>
      </c>
      <c r="M3155" s="1" t="str">
        <f t="shared" si="3"/>
        <v>Profit</v>
      </c>
    </row>
    <row r="3156" ht="14.25" customHeight="1">
      <c r="A3156" s="1" t="s">
        <v>3190</v>
      </c>
      <c r="B3156" s="2">
        <v>44412.0</v>
      </c>
      <c r="C3156" s="1" t="s">
        <v>20</v>
      </c>
      <c r="D3156" s="1" t="s">
        <v>27</v>
      </c>
      <c r="E3156" s="1" t="s">
        <v>33</v>
      </c>
      <c r="F3156" s="1">
        <v>904.02</v>
      </c>
      <c r="G3156" s="1">
        <v>-37.42</v>
      </c>
      <c r="H3156" s="1">
        <v>10.0</v>
      </c>
      <c r="I3156" s="1" t="s">
        <v>17</v>
      </c>
      <c r="J3156" s="1" t="s">
        <v>24</v>
      </c>
      <c r="K3156" s="1">
        <f t="shared" si="1"/>
        <v>2021</v>
      </c>
      <c r="L3156" s="1" t="str">
        <f t="shared" si="2"/>
        <v>Aug</v>
      </c>
      <c r="M3156" s="1" t="str">
        <f t="shared" si="3"/>
        <v>Loss</v>
      </c>
    </row>
    <row r="3157" ht="14.25" customHeight="1">
      <c r="A3157" s="1" t="s">
        <v>3191</v>
      </c>
      <c r="B3157" s="2">
        <v>45058.0</v>
      </c>
      <c r="C3157" s="1" t="s">
        <v>30</v>
      </c>
      <c r="D3157" s="1" t="s">
        <v>21</v>
      </c>
      <c r="E3157" s="1" t="s">
        <v>76</v>
      </c>
      <c r="F3157" s="1">
        <v>120.59</v>
      </c>
      <c r="G3157" s="1">
        <v>-48.04</v>
      </c>
      <c r="H3157" s="1">
        <v>1.0</v>
      </c>
      <c r="I3157" s="1" t="s">
        <v>23</v>
      </c>
      <c r="J3157" s="1" t="s">
        <v>24</v>
      </c>
      <c r="K3157" s="1">
        <f t="shared" si="1"/>
        <v>2023</v>
      </c>
      <c r="L3157" s="1" t="str">
        <f t="shared" si="2"/>
        <v>May</v>
      </c>
      <c r="M3157" s="1" t="str">
        <f t="shared" si="3"/>
        <v>Loss</v>
      </c>
    </row>
    <row r="3158" ht="14.25" customHeight="1">
      <c r="A3158" s="1" t="s">
        <v>3192</v>
      </c>
      <c r="B3158" s="2">
        <v>44707.0</v>
      </c>
      <c r="C3158" s="1" t="s">
        <v>30</v>
      </c>
      <c r="D3158" s="1" t="s">
        <v>27</v>
      </c>
      <c r="E3158" s="1" t="s">
        <v>28</v>
      </c>
      <c r="F3158" s="1">
        <v>577.48</v>
      </c>
      <c r="G3158" s="1">
        <v>269.77</v>
      </c>
      <c r="H3158" s="1">
        <v>3.0</v>
      </c>
      <c r="I3158" s="1" t="s">
        <v>17</v>
      </c>
      <c r="J3158" s="1" t="s">
        <v>24</v>
      </c>
      <c r="K3158" s="1">
        <f t="shared" si="1"/>
        <v>2022</v>
      </c>
      <c r="L3158" s="1" t="str">
        <f t="shared" si="2"/>
        <v>May</v>
      </c>
      <c r="M3158" s="1" t="str">
        <f t="shared" si="3"/>
        <v>Profit</v>
      </c>
    </row>
    <row r="3159" ht="14.25" customHeight="1">
      <c r="A3159" s="1" t="s">
        <v>3193</v>
      </c>
      <c r="B3159" s="2">
        <v>44410.0</v>
      </c>
      <c r="C3159" s="1" t="s">
        <v>30</v>
      </c>
      <c r="D3159" s="1" t="s">
        <v>21</v>
      </c>
      <c r="E3159" s="1" t="s">
        <v>22</v>
      </c>
      <c r="F3159" s="1">
        <v>888.42</v>
      </c>
      <c r="G3159" s="1">
        <v>86.7</v>
      </c>
      <c r="H3159" s="1">
        <v>10.0</v>
      </c>
      <c r="I3159" s="1" t="s">
        <v>23</v>
      </c>
      <c r="J3159" s="1" t="s">
        <v>35</v>
      </c>
      <c r="K3159" s="1">
        <f t="shared" si="1"/>
        <v>2021</v>
      </c>
      <c r="L3159" s="1" t="str">
        <f t="shared" si="2"/>
        <v>Aug</v>
      </c>
      <c r="M3159" s="1" t="str">
        <f t="shared" si="3"/>
        <v>Profit</v>
      </c>
    </row>
    <row r="3160" ht="14.25" customHeight="1">
      <c r="A3160" s="1" t="s">
        <v>3194</v>
      </c>
      <c r="B3160" s="2">
        <v>45080.0</v>
      </c>
      <c r="C3160" s="1" t="s">
        <v>30</v>
      </c>
      <c r="D3160" s="1" t="s">
        <v>21</v>
      </c>
      <c r="E3160" s="1" t="s">
        <v>22</v>
      </c>
      <c r="F3160" s="1">
        <v>495.72</v>
      </c>
      <c r="G3160" s="1">
        <v>77.83</v>
      </c>
      <c r="H3160" s="1">
        <v>7.0</v>
      </c>
      <c r="I3160" s="1" t="s">
        <v>34</v>
      </c>
      <c r="J3160" s="1" t="s">
        <v>24</v>
      </c>
      <c r="K3160" s="1">
        <f t="shared" si="1"/>
        <v>2023</v>
      </c>
      <c r="L3160" s="1" t="str">
        <f t="shared" si="2"/>
        <v>Jun</v>
      </c>
      <c r="M3160" s="1" t="str">
        <f t="shared" si="3"/>
        <v>Profit</v>
      </c>
    </row>
    <row r="3161" ht="14.25" customHeight="1">
      <c r="A3161" s="1" t="s">
        <v>3195</v>
      </c>
      <c r="B3161" s="2">
        <v>44453.0</v>
      </c>
      <c r="C3161" s="1" t="s">
        <v>14</v>
      </c>
      <c r="D3161" s="1" t="s">
        <v>15</v>
      </c>
      <c r="E3161" s="1" t="s">
        <v>31</v>
      </c>
      <c r="F3161" s="1">
        <v>704.33</v>
      </c>
      <c r="G3161" s="1">
        <v>71.01</v>
      </c>
      <c r="H3161" s="1">
        <v>10.0</v>
      </c>
      <c r="I3161" s="1" t="s">
        <v>17</v>
      </c>
      <c r="J3161" s="1" t="s">
        <v>35</v>
      </c>
      <c r="K3161" s="1">
        <f t="shared" si="1"/>
        <v>2021</v>
      </c>
      <c r="L3161" s="1" t="str">
        <f t="shared" si="2"/>
        <v>Sep</v>
      </c>
      <c r="M3161" s="1" t="str">
        <f t="shared" si="3"/>
        <v>Profit</v>
      </c>
    </row>
    <row r="3162" ht="14.25" customHeight="1">
      <c r="A3162" s="1" t="s">
        <v>3196</v>
      </c>
      <c r="B3162" s="2">
        <v>44650.0</v>
      </c>
      <c r="C3162" s="1" t="s">
        <v>26</v>
      </c>
      <c r="D3162" s="1" t="s">
        <v>27</v>
      </c>
      <c r="E3162" s="1" t="s">
        <v>33</v>
      </c>
      <c r="F3162" s="1">
        <v>632.55</v>
      </c>
      <c r="G3162" s="1">
        <v>177.01</v>
      </c>
      <c r="H3162" s="1">
        <v>2.0</v>
      </c>
      <c r="I3162" s="1" t="s">
        <v>17</v>
      </c>
      <c r="J3162" s="1" t="s">
        <v>35</v>
      </c>
      <c r="K3162" s="1">
        <f t="shared" si="1"/>
        <v>2022</v>
      </c>
      <c r="L3162" s="1" t="str">
        <f t="shared" si="2"/>
        <v>Mar</v>
      </c>
      <c r="M3162" s="1" t="str">
        <f t="shared" si="3"/>
        <v>Profit</v>
      </c>
    </row>
    <row r="3163" ht="14.25" customHeight="1">
      <c r="A3163" s="1" t="s">
        <v>3197</v>
      </c>
      <c r="B3163" s="2">
        <v>44469.0</v>
      </c>
      <c r="C3163" s="1" t="s">
        <v>26</v>
      </c>
      <c r="D3163" s="1" t="s">
        <v>15</v>
      </c>
      <c r="E3163" s="1" t="s">
        <v>31</v>
      </c>
      <c r="F3163" s="1">
        <v>772.54</v>
      </c>
      <c r="G3163" s="1">
        <v>-13.03</v>
      </c>
      <c r="H3163" s="1">
        <v>6.0</v>
      </c>
      <c r="I3163" s="1" t="s">
        <v>34</v>
      </c>
      <c r="J3163" s="1" t="s">
        <v>38</v>
      </c>
      <c r="K3163" s="1">
        <f t="shared" si="1"/>
        <v>2021</v>
      </c>
      <c r="L3163" s="1" t="str">
        <f t="shared" si="2"/>
        <v>Sep</v>
      </c>
      <c r="M3163" s="1" t="str">
        <f t="shared" si="3"/>
        <v>Loss</v>
      </c>
    </row>
    <row r="3164" ht="14.25" customHeight="1">
      <c r="A3164" s="1" t="s">
        <v>3198</v>
      </c>
      <c r="B3164" s="2">
        <v>45001.0</v>
      </c>
      <c r="C3164" s="1" t="s">
        <v>14</v>
      </c>
      <c r="D3164" s="1" t="s">
        <v>15</v>
      </c>
      <c r="E3164" s="1" t="s">
        <v>31</v>
      </c>
      <c r="F3164" s="1">
        <v>833.04</v>
      </c>
      <c r="G3164" s="1">
        <v>-43.11</v>
      </c>
      <c r="H3164" s="1">
        <v>9.0</v>
      </c>
      <c r="I3164" s="1" t="s">
        <v>23</v>
      </c>
      <c r="J3164" s="1" t="s">
        <v>18</v>
      </c>
      <c r="K3164" s="1">
        <f t="shared" si="1"/>
        <v>2023</v>
      </c>
      <c r="L3164" s="1" t="str">
        <f t="shared" si="2"/>
        <v>Mar</v>
      </c>
      <c r="M3164" s="1" t="str">
        <f t="shared" si="3"/>
        <v>Loss</v>
      </c>
    </row>
    <row r="3165" ht="14.25" customHeight="1">
      <c r="A3165" s="1" t="s">
        <v>3199</v>
      </c>
      <c r="B3165" s="2">
        <v>44757.0</v>
      </c>
      <c r="C3165" s="1" t="s">
        <v>20</v>
      </c>
      <c r="D3165" s="1" t="s">
        <v>27</v>
      </c>
      <c r="E3165" s="1" t="s">
        <v>28</v>
      </c>
      <c r="F3165" s="1">
        <v>754.62</v>
      </c>
      <c r="G3165" s="1">
        <v>-175.53</v>
      </c>
      <c r="H3165" s="1">
        <v>3.0</v>
      </c>
      <c r="I3165" s="1" t="s">
        <v>23</v>
      </c>
      <c r="J3165" s="1" t="s">
        <v>38</v>
      </c>
      <c r="K3165" s="1">
        <f t="shared" si="1"/>
        <v>2022</v>
      </c>
      <c r="L3165" s="1" t="str">
        <f t="shared" si="2"/>
        <v>Jul</v>
      </c>
      <c r="M3165" s="1" t="str">
        <f t="shared" si="3"/>
        <v>Loss</v>
      </c>
    </row>
    <row r="3166" ht="14.25" customHeight="1">
      <c r="A3166" s="1" t="s">
        <v>3200</v>
      </c>
      <c r="B3166" s="2">
        <v>45155.0</v>
      </c>
      <c r="C3166" s="1" t="s">
        <v>26</v>
      </c>
      <c r="D3166" s="1" t="s">
        <v>15</v>
      </c>
      <c r="E3166" s="1" t="s">
        <v>31</v>
      </c>
      <c r="F3166" s="1">
        <v>307.44</v>
      </c>
      <c r="G3166" s="1">
        <v>-174.28</v>
      </c>
      <c r="H3166" s="1">
        <v>1.0</v>
      </c>
      <c r="I3166" s="1" t="s">
        <v>17</v>
      </c>
      <c r="J3166" s="1" t="s">
        <v>38</v>
      </c>
      <c r="K3166" s="1">
        <f t="shared" si="1"/>
        <v>2023</v>
      </c>
      <c r="L3166" s="1" t="str">
        <f t="shared" si="2"/>
        <v>Aug</v>
      </c>
      <c r="M3166" s="1" t="str">
        <f t="shared" si="3"/>
        <v>Loss</v>
      </c>
    </row>
    <row r="3167" ht="14.25" customHeight="1">
      <c r="A3167" s="1" t="s">
        <v>3201</v>
      </c>
      <c r="B3167" s="2">
        <v>44549.0</v>
      </c>
      <c r="C3167" s="1" t="s">
        <v>14</v>
      </c>
      <c r="D3167" s="1" t="s">
        <v>21</v>
      </c>
      <c r="E3167" s="1" t="s">
        <v>22</v>
      </c>
      <c r="F3167" s="1">
        <v>435.75</v>
      </c>
      <c r="G3167" s="1">
        <v>138.21</v>
      </c>
      <c r="H3167" s="1">
        <v>4.0</v>
      </c>
      <c r="I3167" s="1" t="s">
        <v>34</v>
      </c>
      <c r="J3167" s="1" t="s">
        <v>24</v>
      </c>
      <c r="K3167" s="1">
        <f t="shared" si="1"/>
        <v>2021</v>
      </c>
      <c r="L3167" s="1" t="str">
        <f t="shared" si="2"/>
        <v>Dec</v>
      </c>
      <c r="M3167" s="1" t="str">
        <f t="shared" si="3"/>
        <v>Profit</v>
      </c>
    </row>
    <row r="3168" ht="14.25" customHeight="1">
      <c r="A3168" s="1" t="s">
        <v>3202</v>
      </c>
      <c r="B3168" s="2">
        <v>45262.0</v>
      </c>
      <c r="C3168" s="1" t="s">
        <v>26</v>
      </c>
      <c r="D3168" s="1" t="s">
        <v>21</v>
      </c>
      <c r="E3168" s="1" t="s">
        <v>76</v>
      </c>
      <c r="F3168" s="1">
        <v>537.52</v>
      </c>
      <c r="G3168" s="1">
        <v>-57.57</v>
      </c>
      <c r="H3168" s="1">
        <v>2.0</v>
      </c>
      <c r="I3168" s="1" t="s">
        <v>23</v>
      </c>
      <c r="J3168" s="1" t="s">
        <v>35</v>
      </c>
      <c r="K3168" s="1">
        <f t="shared" si="1"/>
        <v>2023</v>
      </c>
      <c r="L3168" s="1" t="str">
        <f t="shared" si="2"/>
        <v>Dec</v>
      </c>
      <c r="M3168" s="1" t="str">
        <f t="shared" si="3"/>
        <v>Loss</v>
      </c>
    </row>
    <row r="3169" ht="14.25" customHeight="1">
      <c r="A3169" s="1" t="s">
        <v>3203</v>
      </c>
      <c r="B3169" s="2">
        <v>44742.0</v>
      </c>
      <c r="C3169" s="1" t="s">
        <v>30</v>
      </c>
      <c r="D3169" s="1" t="s">
        <v>21</v>
      </c>
      <c r="E3169" s="1" t="s">
        <v>37</v>
      </c>
      <c r="F3169" s="1">
        <v>432.35</v>
      </c>
      <c r="G3169" s="1">
        <v>18.63</v>
      </c>
      <c r="H3169" s="1">
        <v>8.0</v>
      </c>
      <c r="I3169" s="1" t="s">
        <v>23</v>
      </c>
      <c r="J3169" s="1" t="s">
        <v>18</v>
      </c>
      <c r="K3169" s="1">
        <f t="shared" si="1"/>
        <v>2022</v>
      </c>
      <c r="L3169" s="1" t="str">
        <f t="shared" si="2"/>
        <v>Jun</v>
      </c>
      <c r="M3169" s="1" t="str">
        <f t="shared" si="3"/>
        <v>Profit</v>
      </c>
    </row>
    <row r="3170" ht="14.25" customHeight="1">
      <c r="A3170" s="1" t="s">
        <v>3204</v>
      </c>
      <c r="B3170" s="2">
        <v>45130.0</v>
      </c>
      <c r="C3170" s="1" t="s">
        <v>20</v>
      </c>
      <c r="D3170" s="1" t="s">
        <v>15</v>
      </c>
      <c r="E3170" s="1" t="s">
        <v>54</v>
      </c>
      <c r="F3170" s="1">
        <v>861.0</v>
      </c>
      <c r="G3170" s="1">
        <v>-146.53</v>
      </c>
      <c r="H3170" s="1">
        <v>1.0</v>
      </c>
      <c r="I3170" s="1" t="s">
        <v>34</v>
      </c>
      <c r="J3170" s="1" t="s">
        <v>18</v>
      </c>
      <c r="K3170" s="1">
        <f t="shared" si="1"/>
        <v>2023</v>
      </c>
      <c r="L3170" s="1" t="str">
        <f t="shared" si="2"/>
        <v>Jul</v>
      </c>
      <c r="M3170" s="1" t="str">
        <f t="shared" si="3"/>
        <v>Loss</v>
      </c>
    </row>
    <row r="3171" ht="14.25" customHeight="1">
      <c r="A3171" s="1" t="s">
        <v>3205</v>
      </c>
      <c r="B3171" s="2">
        <v>44198.0</v>
      </c>
      <c r="C3171" s="1" t="s">
        <v>30</v>
      </c>
      <c r="D3171" s="1" t="s">
        <v>15</v>
      </c>
      <c r="E3171" s="1" t="s">
        <v>16</v>
      </c>
      <c r="F3171" s="1">
        <v>115.55</v>
      </c>
      <c r="G3171" s="1">
        <v>156.9</v>
      </c>
      <c r="H3171" s="1">
        <v>1.0</v>
      </c>
      <c r="I3171" s="1" t="s">
        <v>17</v>
      </c>
      <c r="J3171" s="1" t="s">
        <v>38</v>
      </c>
      <c r="K3171" s="1">
        <f t="shared" si="1"/>
        <v>2021</v>
      </c>
      <c r="L3171" s="1" t="str">
        <f t="shared" si="2"/>
        <v>Jan</v>
      </c>
      <c r="M3171" s="1" t="str">
        <f t="shared" si="3"/>
        <v>Profit</v>
      </c>
    </row>
    <row r="3172" ht="14.25" customHeight="1">
      <c r="A3172" s="1" t="s">
        <v>3206</v>
      </c>
      <c r="B3172" s="2">
        <v>44404.0</v>
      </c>
      <c r="C3172" s="1" t="s">
        <v>30</v>
      </c>
      <c r="D3172" s="1" t="s">
        <v>27</v>
      </c>
      <c r="E3172" s="1" t="s">
        <v>28</v>
      </c>
      <c r="F3172" s="1">
        <v>425.54</v>
      </c>
      <c r="G3172" s="1">
        <v>203.09</v>
      </c>
      <c r="H3172" s="1">
        <v>8.0</v>
      </c>
      <c r="I3172" s="1" t="s">
        <v>23</v>
      </c>
      <c r="J3172" s="1" t="s">
        <v>35</v>
      </c>
      <c r="K3172" s="1">
        <f t="shared" si="1"/>
        <v>2021</v>
      </c>
      <c r="L3172" s="1" t="str">
        <f t="shared" si="2"/>
        <v>Jul</v>
      </c>
      <c r="M3172" s="1" t="str">
        <f t="shared" si="3"/>
        <v>Profit</v>
      </c>
    </row>
    <row r="3173" ht="14.25" customHeight="1">
      <c r="A3173" s="1" t="s">
        <v>3207</v>
      </c>
      <c r="B3173" s="2">
        <v>44696.0</v>
      </c>
      <c r="C3173" s="1" t="s">
        <v>26</v>
      </c>
      <c r="D3173" s="1" t="s">
        <v>15</v>
      </c>
      <c r="E3173" s="1" t="s">
        <v>31</v>
      </c>
      <c r="F3173" s="1">
        <v>424.2</v>
      </c>
      <c r="G3173" s="1">
        <v>86.21</v>
      </c>
      <c r="H3173" s="1">
        <v>5.0</v>
      </c>
      <c r="I3173" s="1" t="s">
        <v>23</v>
      </c>
      <c r="J3173" s="1" t="s">
        <v>24</v>
      </c>
      <c r="K3173" s="1">
        <f t="shared" si="1"/>
        <v>2022</v>
      </c>
      <c r="L3173" s="1" t="str">
        <f t="shared" si="2"/>
        <v>May</v>
      </c>
      <c r="M3173" s="1" t="str">
        <f t="shared" si="3"/>
        <v>Profit</v>
      </c>
    </row>
    <row r="3174" ht="14.25" customHeight="1">
      <c r="A3174" s="1" t="s">
        <v>3208</v>
      </c>
      <c r="B3174" s="2">
        <v>45096.0</v>
      </c>
      <c r="C3174" s="1" t="s">
        <v>30</v>
      </c>
      <c r="D3174" s="1" t="s">
        <v>15</v>
      </c>
      <c r="E3174" s="1" t="s">
        <v>54</v>
      </c>
      <c r="F3174" s="1">
        <v>644.66</v>
      </c>
      <c r="G3174" s="1">
        <v>-114.18</v>
      </c>
      <c r="H3174" s="1">
        <v>9.0</v>
      </c>
      <c r="I3174" s="1" t="s">
        <v>23</v>
      </c>
      <c r="J3174" s="1" t="s">
        <v>38</v>
      </c>
      <c r="K3174" s="1">
        <f t="shared" si="1"/>
        <v>2023</v>
      </c>
      <c r="L3174" s="1" t="str">
        <f t="shared" si="2"/>
        <v>Jun</v>
      </c>
      <c r="M3174" s="1" t="str">
        <f t="shared" si="3"/>
        <v>Loss</v>
      </c>
    </row>
    <row r="3175" ht="14.25" customHeight="1">
      <c r="A3175" s="1" t="s">
        <v>3209</v>
      </c>
      <c r="B3175" s="2">
        <v>44355.0</v>
      </c>
      <c r="C3175" s="1" t="s">
        <v>20</v>
      </c>
      <c r="D3175" s="1" t="s">
        <v>21</v>
      </c>
      <c r="E3175" s="1" t="s">
        <v>22</v>
      </c>
      <c r="F3175" s="1">
        <v>699.85</v>
      </c>
      <c r="G3175" s="1">
        <v>-158.42</v>
      </c>
      <c r="H3175" s="1">
        <v>2.0</v>
      </c>
      <c r="I3175" s="1" t="s">
        <v>17</v>
      </c>
      <c r="J3175" s="1" t="s">
        <v>18</v>
      </c>
      <c r="K3175" s="1">
        <f t="shared" si="1"/>
        <v>2021</v>
      </c>
      <c r="L3175" s="1" t="str">
        <f t="shared" si="2"/>
        <v>Jun</v>
      </c>
      <c r="M3175" s="1" t="str">
        <f t="shared" si="3"/>
        <v>Loss</v>
      </c>
    </row>
    <row r="3176" ht="14.25" customHeight="1">
      <c r="A3176" s="1" t="s">
        <v>3210</v>
      </c>
      <c r="B3176" s="2">
        <v>44277.0</v>
      </c>
      <c r="C3176" s="1" t="s">
        <v>30</v>
      </c>
      <c r="D3176" s="1" t="s">
        <v>21</v>
      </c>
      <c r="E3176" s="1" t="s">
        <v>76</v>
      </c>
      <c r="F3176" s="1">
        <v>726.39</v>
      </c>
      <c r="G3176" s="1">
        <v>10.01</v>
      </c>
      <c r="H3176" s="1">
        <v>1.0</v>
      </c>
      <c r="I3176" s="1" t="s">
        <v>34</v>
      </c>
      <c r="J3176" s="1" t="s">
        <v>24</v>
      </c>
      <c r="K3176" s="1">
        <f t="shared" si="1"/>
        <v>2021</v>
      </c>
      <c r="L3176" s="1" t="str">
        <f t="shared" si="2"/>
        <v>Mar</v>
      </c>
      <c r="M3176" s="1" t="str">
        <f t="shared" si="3"/>
        <v>Profit</v>
      </c>
    </row>
    <row r="3177" ht="14.25" customHeight="1">
      <c r="A3177" s="1" t="s">
        <v>3211</v>
      </c>
      <c r="B3177" s="2">
        <v>44498.0</v>
      </c>
      <c r="C3177" s="1" t="s">
        <v>26</v>
      </c>
      <c r="D3177" s="1" t="s">
        <v>15</v>
      </c>
      <c r="E3177" s="1" t="s">
        <v>54</v>
      </c>
      <c r="F3177" s="1">
        <v>510.97</v>
      </c>
      <c r="G3177" s="1">
        <v>278.64</v>
      </c>
      <c r="H3177" s="1">
        <v>9.0</v>
      </c>
      <c r="I3177" s="1" t="s">
        <v>23</v>
      </c>
      <c r="J3177" s="1" t="s">
        <v>24</v>
      </c>
      <c r="K3177" s="1">
        <f t="shared" si="1"/>
        <v>2021</v>
      </c>
      <c r="L3177" s="1" t="str">
        <f t="shared" si="2"/>
        <v>Oct</v>
      </c>
      <c r="M3177" s="1" t="str">
        <f t="shared" si="3"/>
        <v>Profit</v>
      </c>
    </row>
    <row r="3178" ht="14.25" customHeight="1">
      <c r="A3178" s="1" t="s">
        <v>3212</v>
      </c>
      <c r="B3178" s="2">
        <v>44949.0</v>
      </c>
      <c r="C3178" s="1" t="s">
        <v>20</v>
      </c>
      <c r="D3178" s="1" t="s">
        <v>21</v>
      </c>
      <c r="E3178" s="1" t="s">
        <v>37</v>
      </c>
      <c r="F3178" s="1">
        <v>900.93</v>
      </c>
      <c r="G3178" s="1">
        <v>167.17</v>
      </c>
      <c r="H3178" s="1">
        <v>6.0</v>
      </c>
      <c r="I3178" s="1" t="s">
        <v>23</v>
      </c>
      <c r="J3178" s="1" t="s">
        <v>18</v>
      </c>
      <c r="K3178" s="1">
        <f t="shared" si="1"/>
        <v>2023</v>
      </c>
      <c r="L3178" s="1" t="str">
        <f t="shared" si="2"/>
        <v>Jan</v>
      </c>
      <c r="M3178" s="1" t="str">
        <f t="shared" si="3"/>
        <v>Profit</v>
      </c>
    </row>
    <row r="3179" ht="14.25" customHeight="1">
      <c r="A3179" s="1" t="s">
        <v>3213</v>
      </c>
      <c r="B3179" s="2">
        <v>45118.0</v>
      </c>
      <c r="C3179" s="1" t="s">
        <v>26</v>
      </c>
      <c r="D3179" s="1" t="s">
        <v>21</v>
      </c>
      <c r="E3179" s="1" t="s">
        <v>37</v>
      </c>
      <c r="F3179" s="1">
        <v>499.5</v>
      </c>
      <c r="G3179" s="1">
        <v>9.36</v>
      </c>
      <c r="H3179" s="1">
        <v>9.0</v>
      </c>
      <c r="I3179" s="1" t="s">
        <v>17</v>
      </c>
      <c r="J3179" s="1" t="s">
        <v>18</v>
      </c>
      <c r="K3179" s="1">
        <f t="shared" si="1"/>
        <v>2023</v>
      </c>
      <c r="L3179" s="1" t="str">
        <f t="shared" si="2"/>
        <v>Jul</v>
      </c>
      <c r="M3179" s="1" t="str">
        <f t="shared" si="3"/>
        <v>Profit</v>
      </c>
    </row>
    <row r="3180" ht="14.25" customHeight="1">
      <c r="A3180" s="1" t="s">
        <v>3214</v>
      </c>
      <c r="B3180" s="2">
        <v>44225.0</v>
      </c>
      <c r="C3180" s="1" t="s">
        <v>26</v>
      </c>
      <c r="D3180" s="1" t="s">
        <v>21</v>
      </c>
      <c r="E3180" s="1" t="s">
        <v>22</v>
      </c>
      <c r="F3180" s="1">
        <v>813.13</v>
      </c>
      <c r="G3180" s="1">
        <v>0.98</v>
      </c>
      <c r="H3180" s="1">
        <v>8.0</v>
      </c>
      <c r="I3180" s="1" t="s">
        <v>34</v>
      </c>
      <c r="J3180" s="1" t="s">
        <v>18</v>
      </c>
      <c r="K3180" s="1">
        <f t="shared" si="1"/>
        <v>2021</v>
      </c>
      <c r="L3180" s="1" t="str">
        <f t="shared" si="2"/>
        <v>Jan</v>
      </c>
      <c r="M3180" s="1" t="str">
        <f t="shared" si="3"/>
        <v>Profit</v>
      </c>
    </row>
    <row r="3181" ht="14.25" customHeight="1">
      <c r="A3181" s="1" t="s">
        <v>3215</v>
      </c>
      <c r="B3181" s="2">
        <v>44305.0</v>
      </c>
      <c r="C3181" s="1" t="s">
        <v>26</v>
      </c>
      <c r="D3181" s="1" t="s">
        <v>21</v>
      </c>
      <c r="E3181" s="1" t="s">
        <v>37</v>
      </c>
      <c r="F3181" s="1">
        <v>318.82</v>
      </c>
      <c r="G3181" s="1">
        <v>141.78</v>
      </c>
      <c r="H3181" s="1">
        <v>10.0</v>
      </c>
      <c r="I3181" s="1" t="s">
        <v>34</v>
      </c>
      <c r="J3181" s="1" t="s">
        <v>18</v>
      </c>
      <c r="K3181" s="1">
        <f t="shared" si="1"/>
        <v>2021</v>
      </c>
      <c r="L3181" s="1" t="str">
        <f t="shared" si="2"/>
        <v>Apr</v>
      </c>
      <c r="M3181" s="1" t="str">
        <f t="shared" si="3"/>
        <v>Profit</v>
      </c>
    </row>
    <row r="3182" ht="14.25" customHeight="1">
      <c r="A3182" s="1" t="s">
        <v>3216</v>
      </c>
      <c r="B3182" s="2">
        <v>44813.0</v>
      </c>
      <c r="C3182" s="1" t="s">
        <v>14</v>
      </c>
      <c r="D3182" s="1" t="s">
        <v>27</v>
      </c>
      <c r="E3182" s="1" t="s">
        <v>33</v>
      </c>
      <c r="F3182" s="1">
        <v>751.61</v>
      </c>
      <c r="G3182" s="1">
        <v>123.81</v>
      </c>
      <c r="H3182" s="1">
        <v>7.0</v>
      </c>
      <c r="I3182" s="1" t="s">
        <v>34</v>
      </c>
      <c r="J3182" s="1" t="s">
        <v>35</v>
      </c>
      <c r="K3182" s="1">
        <f t="shared" si="1"/>
        <v>2022</v>
      </c>
      <c r="L3182" s="1" t="str">
        <f t="shared" si="2"/>
        <v>Sep</v>
      </c>
      <c r="M3182" s="1" t="str">
        <f t="shared" si="3"/>
        <v>Profit</v>
      </c>
    </row>
    <row r="3183" ht="14.25" customHeight="1">
      <c r="A3183" s="1" t="s">
        <v>3217</v>
      </c>
      <c r="B3183" s="2">
        <v>44640.0</v>
      </c>
      <c r="C3183" s="1" t="s">
        <v>26</v>
      </c>
      <c r="D3183" s="1" t="s">
        <v>27</v>
      </c>
      <c r="E3183" s="1" t="s">
        <v>28</v>
      </c>
      <c r="F3183" s="1">
        <v>888.76</v>
      </c>
      <c r="G3183" s="1">
        <v>-44.4</v>
      </c>
      <c r="H3183" s="1">
        <v>2.0</v>
      </c>
      <c r="I3183" s="1" t="s">
        <v>23</v>
      </c>
      <c r="J3183" s="1" t="s">
        <v>38</v>
      </c>
      <c r="K3183" s="1">
        <f t="shared" si="1"/>
        <v>2022</v>
      </c>
      <c r="L3183" s="1" t="str">
        <f t="shared" si="2"/>
        <v>Mar</v>
      </c>
      <c r="M3183" s="1" t="str">
        <f t="shared" si="3"/>
        <v>Loss</v>
      </c>
    </row>
    <row r="3184" ht="14.25" customHeight="1">
      <c r="A3184" s="1" t="s">
        <v>3218</v>
      </c>
      <c r="B3184" s="2">
        <v>44539.0</v>
      </c>
      <c r="C3184" s="1" t="s">
        <v>14</v>
      </c>
      <c r="D3184" s="1" t="s">
        <v>21</v>
      </c>
      <c r="E3184" s="1" t="s">
        <v>76</v>
      </c>
      <c r="F3184" s="1">
        <v>48.64</v>
      </c>
      <c r="G3184" s="1">
        <v>130.86</v>
      </c>
      <c r="H3184" s="1">
        <v>6.0</v>
      </c>
      <c r="I3184" s="1" t="s">
        <v>34</v>
      </c>
      <c r="J3184" s="1" t="s">
        <v>18</v>
      </c>
      <c r="K3184" s="1">
        <f t="shared" si="1"/>
        <v>2021</v>
      </c>
      <c r="L3184" s="1" t="str">
        <f t="shared" si="2"/>
        <v>Dec</v>
      </c>
      <c r="M3184" s="1" t="str">
        <f t="shared" si="3"/>
        <v>Profit</v>
      </c>
    </row>
    <row r="3185" ht="14.25" customHeight="1">
      <c r="A3185" s="1" t="s">
        <v>3219</v>
      </c>
      <c r="B3185" s="2">
        <v>44484.0</v>
      </c>
      <c r="C3185" s="1" t="s">
        <v>14</v>
      </c>
      <c r="D3185" s="1" t="s">
        <v>15</v>
      </c>
      <c r="E3185" s="1" t="s">
        <v>16</v>
      </c>
      <c r="F3185" s="1">
        <v>385.32</v>
      </c>
      <c r="G3185" s="1">
        <v>39.82</v>
      </c>
      <c r="H3185" s="1">
        <v>6.0</v>
      </c>
      <c r="I3185" s="1" t="s">
        <v>23</v>
      </c>
      <c r="J3185" s="1" t="s">
        <v>24</v>
      </c>
      <c r="K3185" s="1">
        <f t="shared" si="1"/>
        <v>2021</v>
      </c>
      <c r="L3185" s="1" t="str">
        <f t="shared" si="2"/>
        <v>Oct</v>
      </c>
      <c r="M3185" s="1" t="str">
        <f t="shared" si="3"/>
        <v>Profit</v>
      </c>
    </row>
    <row r="3186" ht="14.25" customHeight="1">
      <c r="A3186" s="1" t="s">
        <v>3220</v>
      </c>
      <c r="B3186" s="2">
        <v>44488.0</v>
      </c>
      <c r="C3186" s="1" t="s">
        <v>14</v>
      </c>
      <c r="D3186" s="1" t="s">
        <v>27</v>
      </c>
      <c r="E3186" s="1" t="s">
        <v>40</v>
      </c>
      <c r="F3186" s="1">
        <v>769.56</v>
      </c>
      <c r="G3186" s="1">
        <v>287.82</v>
      </c>
      <c r="H3186" s="1">
        <v>9.0</v>
      </c>
      <c r="I3186" s="1" t="s">
        <v>17</v>
      </c>
      <c r="J3186" s="1" t="s">
        <v>18</v>
      </c>
      <c r="K3186" s="1">
        <f t="shared" si="1"/>
        <v>2021</v>
      </c>
      <c r="L3186" s="1" t="str">
        <f t="shared" si="2"/>
        <v>Oct</v>
      </c>
      <c r="M3186" s="1" t="str">
        <f t="shared" si="3"/>
        <v>Profit</v>
      </c>
    </row>
    <row r="3187" ht="14.25" customHeight="1">
      <c r="A3187" s="1" t="s">
        <v>3221</v>
      </c>
      <c r="B3187" s="2">
        <v>44973.0</v>
      </c>
      <c r="C3187" s="1" t="s">
        <v>20</v>
      </c>
      <c r="D3187" s="1" t="s">
        <v>21</v>
      </c>
      <c r="E3187" s="1" t="s">
        <v>76</v>
      </c>
      <c r="F3187" s="1">
        <v>189.83</v>
      </c>
      <c r="G3187" s="1">
        <v>187.79</v>
      </c>
      <c r="H3187" s="1">
        <v>3.0</v>
      </c>
      <c r="I3187" s="1" t="s">
        <v>34</v>
      </c>
      <c r="J3187" s="1" t="s">
        <v>35</v>
      </c>
      <c r="K3187" s="1">
        <f t="shared" si="1"/>
        <v>2023</v>
      </c>
      <c r="L3187" s="1" t="str">
        <f t="shared" si="2"/>
        <v>Feb</v>
      </c>
      <c r="M3187" s="1" t="str">
        <f t="shared" si="3"/>
        <v>Profit</v>
      </c>
    </row>
    <row r="3188" ht="14.25" customHeight="1">
      <c r="A3188" s="1" t="s">
        <v>3222</v>
      </c>
      <c r="B3188" s="2">
        <v>44759.0</v>
      </c>
      <c r="C3188" s="1" t="s">
        <v>30</v>
      </c>
      <c r="D3188" s="1" t="s">
        <v>21</v>
      </c>
      <c r="E3188" s="1" t="s">
        <v>37</v>
      </c>
      <c r="F3188" s="1">
        <v>256.22</v>
      </c>
      <c r="G3188" s="1">
        <v>237.94</v>
      </c>
      <c r="H3188" s="1">
        <v>6.0</v>
      </c>
      <c r="I3188" s="1" t="s">
        <v>34</v>
      </c>
      <c r="J3188" s="1" t="s">
        <v>38</v>
      </c>
      <c r="K3188" s="1">
        <f t="shared" si="1"/>
        <v>2022</v>
      </c>
      <c r="L3188" s="1" t="str">
        <f t="shared" si="2"/>
        <v>Jul</v>
      </c>
      <c r="M3188" s="1" t="str">
        <f t="shared" si="3"/>
        <v>Profit</v>
      </c>
    </row>
    <row r="3189" ht="14.25" customHeight="1">
      <c r="A3189" s="1" t="s">
        <v>3223</v>
      </c>
      <c r="B3189" s="2">
        <v>45069.0</v>
      </c>
      <c r="C3189" s="1" t="s">
        <v>30</v>
      </c>
      <c r="D3189" s="1" t="s">
        <v>27</v>
      </c>
      <c r="E3189" s="1" t="s">
        <v>33</v>
      </c>
      <c r="F3189" s="1">
        <v>434.38</v>
      </c>
      <c r="G3189" s="1">
        <v>-100.98</v>
      </c>
      <c r="H3189" s="1">
        <v>4.0</v>
      </c>
      <c r="I3189" s="1" t="s">
        <v>34</v>
      </c>
      <c r="J3189" s="1" t="s">
        <v>18</v>
      </c>
      <c r="K3189" s="1">
        <f t="shared" si="1"/>
        <v>2023</v>
      </c>
      <c r="L3189" s="1" t="str">
        <f t="shared" si="2"/>
        <v>May</v>
      </c>
      <c r="M3189" s="1" t="str">
        <f t="shared" si="3"/>
        <v>Loss</v>
      </c>
    </row>
    <row r="3190" ht="14.25" customHeight="1">
      <c r="A3190" s="1" t="s">
        <v>3224</v>
      </c>
      <c r="B3190" s="2">
        <v>44474.0</v>
      </c>
      <c r="C3190" s="1" t="s">
        <v>30</v>
      </c>
      <c r="D3190" s="1" t="s">
        <v>27</v>
      </c>
      <c r="E3190" s="1" t="s">
        <v>40</v>
      </c>
      <c r="F3190" s="1">
        <v>654.47</v>
      </c>
      <c r="G3190" s="1">
        <v>-155.28</v>
      </c>
      <c r="H3190" s="1">
        <v>4.0</v>
      </c>
      <c r="I3190" s="1" t="s">
        <v>17</v>
      </c>
      <c r="J3190" s="1" t="s">
        <v>24</v>
      </c>
      <c r="K3190" s="1">
        <f t="shared" si="1"/>
        <v>2021</v>
      </c>
      <c r="L3190" s="1" t="str">
        <f t="shared" si="2"/>
        <v>Oct</v>
      </c>
      <c r="M3190" s="1" t="str">
        <f t="shared" si="3"/>
        <v>Loss</v>
      </c>
    </row>
    <row r="3191" ht="14.25" customHeight="1">
      <c r="A3191" s="1" t="s">
        <v>3225</v>
      </c>
      <c r="B3191" s="2">
        <v>44996.0</v>
      </c>
      <c r="C3191" s="1" t="s">
        <v>30</v>
      </c>
      <c r="D3191" s="1" t="s">
        <v>27</v>
      </c>
      <c r="E3191" s="1" t="s">
        <v>40</v>
      </c>
      <c r="F3191" s="1">
        <v>527.18</v>
      </c>
      <c r="G3191" s="1">
        <v>-134.13</v>
      </c>
      <c r="H3191" s="1">
        <v>1.0</v>
      </c>
      <c r="I3191" s="1" t="s">
        <v>17</v>
      </c>
      <c r="J3191" s="1" t="s">
        <v>24</v>
      </c>
      <c r="K3191" s="1">
        <f t="shared" si="1"/>
        <v>2023</v>
      </c>
      <c r="L3191" s="1" t="str">
        <f t="shared" si="2"/>
        <v>Mar</v>
      </c>
      <c r="M3191" s="1" t="str">
        <f t="shared" si="3"/>
        <v>Loss</v>
      </c>
    </row>
    <row r="3192" ht="14.25" customHeight="1">
      <c r="A3192" s="1" t="s">
        <v>3226</v>
      </c>
      <c r="B3192" s="2">
        <v>44392.0</v>
      </c>
      <c r="C3192" s="1" t="s">
        <v>20</v>
      </c>
      <c r="D3192" s="1" t="s">
        <v>27</v>
      </c>
      <c r="E3192" s="1" t="s">
        <v>28</v>
      </c>
      <c r="F3192" s="1">
        <v>787.17</v>
      </c>
      <c r="G3192" s="1">
        <v>27.31</v>
      </c>
      <c r="H3192" s="1">
        <v>9.0</v>
      </c>
      <c r="I3192" s="1" t="s">
        <v>23</v>
      </c>
      <c r="J3192" s="1" t="s">
        <v>24</v>
      </c>
      <c r="K3192" s="1">
        <f t="shared" si="1"/>
        <v>2021</v>
      </c>
      <c r="L3192" s="1" t="str">
        <f t="shared" si="2"/>
        <v>Jul</v>
      </c>
      <c r="M3192" s="1" t="str">
        <f t="shared" si="3"/>
        <v>Profit</v>
      </c>
    </row>
    <row r="3193" ht="14.25" customHeight="1">
      <c r="A3193" s="1" t="s">
        <v>3227</v>
      </c>
      <c r="B3193" s="2">
        <v>44806.0</v>
      </c>
      <c r="C3193" s="1" t="s">
        <v>14</v>
      </c>
      <c r="D3193" s="1" t="s">
        <v>27</v>
      </c>
      <c r="E3193" s="1" t="s">
        <v>33</v>
      </c>
      <c r="F3193" s="1">
        <v>161.19</v>
      </c>
      <c r="G3193" s="1">
        <v>136.7</v>
      </c>
      <c r="H3193" s="1">
        <v>9.0</v>
      </c>
      <c r="I3193" s="1" t="s">
        <v>23</v>
      </c>
      <c r="J3193" s="1" t="s">
        <v>18</v>
      </c>
      <c r="K3193" s="1">
        <f t="shared" si="1"/>
        <v>2022</v>
      </c>
      <c r="L3193" s="1" t="str">
        <f t="shared" si="2"/>
        <v>Sep</v>
      </c>
      <c r="M3193" s="1" t="str">
        <f t="shared" si="3"/>
        <v>Profit</v>
      </c>
    </row>
    <row r="3194" ht="14.25" customHeight="1">
      <c r="A3194" s="1" t="s">
        <v>3228</v>
      </c>
      <c r="B3194" s="2">
        <v>44819.0</v>
      </c>
      <c r="C3194" s="1" t="s">
        <v>26</v>
      </c>
      <c r="D3194" s="1" t="s">
        <v>21</v>
      </c>
      <c r="E3194" s="1" t="s">
        <v>76</v>
      </c>
      <c r="F3194" s="1">
        <v>566.44</v>
      </c>
      <c r="G3194" s="1">
        <v>100.85</v>
      </c>
      <c r="H3194" s="1">
        <v>10.0</v>
      </c>
      <c r="I3194" s="1" t="s">
        <v>23</v>
      </c>
      <c r="J3194" s="1" t="s">
        <v>18</v>
      </c>
      <c r="K3194" s="1">
        <f t="shared" si="1"/>
        <v>2022</v>
      </c>
      <c r="L3194" s="1" t="str">
        <f t="shared" si="2"/>
        <v>Sep</v>
      </c>
      <c r="M3194" s="1" t="str">
        <f t="shared" si="3"/>
        <v>Profit</v>
      </c>
    </row>
    <row r="3195" ht="14.25" customHeight="1">
      <c r="A3195" s="1" t="s">
        <v>3229</v>
      </c>
      <c r="B3195" s="2">
        <v>44880.0</v>
      </c>
      <c r="C3195" s="1" t="s">
        <v>26</v>
      </c>
      <c r="D3195" s="1" t="s">
        <v>21</v>
      </c>
      <c r="E3195" s="1" t="s">
        <v>22</v>
      </c>
      <c r="F3195" s="1">
        <v>278.11</v>
      </c>
      <c r="G3195" s="1">
        <v>-47.38</v>
      </c>
      <c r="H3195" s="1">
        <v>3.0</v>
      </c>
      <c r="I3195" s="1" t="s">
        <v>23</v>
      </c>
      <c r="J3195" s="1" t="s">
        <v>38</v>
      </c>
      <c r="K3195" s="1">
        <f t="shared" si="1"/>
        <v>2022</v>
      </c>
      <c r="L3195" s="1" t="str">
        <f t="shared" si="2"/>
        <v>Nov</v>
      </c>
      <c r="M3195" s="1" t="str">
        <f t="shared" si="3"/>
        <v>Loss</v>
      </c>
    </row>
    <row r="3196" ht="14.25" customHeight="1">
      <c r="A3196" s="1" t="s">
        <v>3230</v>
      </c>
      <c r="B3196" s="2">
        <v>45203.0</v>
      </c>
      <c r="C3196" s="1" t="s">
        <v>26</v>
      </c>
      <c r="D3196" s="1" t="s">
        <v>15</v>
      </c>
      <c r="E3196" s="1" t="s">
        <v>54</v>
      </c>
      <c r="F3196" s="1">
        <v>345.18</v>
      </c>
      <c r="G3196" s="1">
        <v>-29.92</v>
      </c>
      <c r="H3196" s="1">
        <v>1.0</v>
      </c>
      <c r="I3196" s="1" t="s">
        <v>23</v>
      </c>
      <c r="J3196" s="1" t="s">
        <v>24</v>
      </c>
      <c r="K3196" s="1">
        <f t="shared" si="1"/>
        <v>2023</v>
      </c>
      <c r="L3196" s="1" t="str">
        <f t="shared" si="2"/>
        <v>Oct</v>
      </c>
      <c r="M3196" s="1" t="str">
        <f t="shared" si="3"/>
        <v>Loss</v>
      </c>
    </row>
    <row r="3197" ht="14.25" customHeight="1">
      <c r="A3197" s="1" t="s">
        <v>3231</v>
      </c>
      <c r="B3197" s="2">
        <v>45210.0</v>
      </c>
      <c r="C3197" s="1" t="s">
        <v>26</v>
      </c>
      <c r="D3197" s="1" t="s">
        <v>21</v>
      </c>
      <c r="E3197" s="1" t="s">
        <v>22</v>
      </c>
      <c r="F3197" s="1">
        <v>567.9</v>
      </c>
      <c r="G3197" s="1">
        <v>-124.33</v>
      </c>
      <c r="H3197" s="1">
        <v>7.0</v>
      </c>
      <c r="I3197" s="1" t="s">
        <v>17</v>
      </c>
      <c r="J3197" s="1" t="s">
        <v>18</v>
      </c>
      <c r="K3197" s="1">
        <f t="shared" si="1"/>
        <v>2023</v>
      </c>
      <c r="L3197" s="1" t="str">
        <f t="shared" si="2"/>
        <v>Oct</v>
      </c>
      <c r="M3197" s="1" t="str">
        <f t="shared" si="3"/>
        <v>Loss</v>
      </c>
    </row>
    <row r="3198" ht="14.25" customHeight="1">
      <c r="A3198" s="1" t="s">
        <v>3232</v>
      </c>
      <c r="B3198" s="2">
        <v>45288.0</v>
      </c>
      <c r="C3198" s="1" t="s">
        <v>20</v>
      </c>
      <c r="D3198" s="1" t="s">
        <v>15</v>
      </c>
      <c r="E3198" s="1" t="s">
        <v>16</v>
      </c>
      <c r="F3198" s="1">
        <v>425.54</v>
      </c>
      <c r="G3198" s="1">
        <v>-75.91</v>
      </c>
      <c r="H3198" s="1">
        <v>4.0</v>
      </c>
      <c r="I3198" s="1" t="s">
        <v>17</v>
      </c>
      <c r="J3198" s="1" t="s">
        <v>24</v>
      </c>
      <c r="K3198" s="1">
        <f t="shared" si="1"/>
        <v>2023</v>
      </c>
      <c r="L3198" s="1" t="str">
        <f t="shared" si="2"/>
        <v>Dec</v>
      </c>
      <c r="M3198" s="1" t="str">
        <f t="shared" si="3"/>
        <v>Loss</v>
      </c>
    </row>
    <row r="3199" ht="14.25" customHeight="1">
      <c r="A3199" s="1" t="s">
        <v>3233</v>
      </c>
      <c r="B3199" s="2">
        <v>44354.0</v>
      </c>
      <c r="C3199" s="1" t="s">
        <v>20</v>
      </c>
      <c r="D3199" s="1" t="s">
        <v>21</v>
      </c>
      <c r="E3199" s="1" t="s">
        <v>76</v>
      </c>
      <c r="F3199" s="1">
        <v>635.9</v>
      </c>
      <c r="G3199" s="1">
        <v>242.97</v>
      </c>
      <c r="H3199" s="1">
        <v>4.0</v>
      </c>
      <c r="I3199" s="1" t="s">
        <v>23</v>
      </c>
      <c r="J3199" s="1" t="s">
        <v>24</v>
      </c>
      <c r="K3199" s="1">
        <f t="shared" si="1"/>
        <v>2021</v>
      </c>
      <c r="L3199" s="1" t="str">
        <f t="shared" si="2"/>
        <v>Jun</v>
      </c>
      <c r="M3199" s="1" t="str">
        <f t="shared" si="3"/>
        <v>Profit</v>
      </c>
    </row>
    <row r="3200" ht="14.25" customHeight="1">
      <c r="A3200" s="1" t="s">
        <v>3234</v>
      </c>
      <c r="B3200" s="2">
        <v>44449.0</v>
      </c>
      <c r="C3200" s="1" t="s">
        <v>30</v>
      </c>
      <c r="D3200" s="1" t="s">
        <v>27</v>
      </c>
      <c r="E3200" s="1" t="s">
        <v>33</v>
      </c>
      <c r="F3200" s="1">
        <v>832.03</v>
      </c>
      <c r="G3200" s="1">
        <v>260.67</v>
      </c>
      <c r="H3200" s="1">
        <v>5.0</v>
      </c>
      <c r="I3200" s="1" t="s">
        <v>34</v>
      </c>
      <c r="J3200" s="1" t="s">
        <v>18</v>
      </c>
      <c r="K3200" s="1">
        <f t="shared" si="1"/>
        <v>2021</v>
      </c>
      <c r="L3200" s="1" t="str">
        <f t="shared" si="2"/>
        <v>Sep</v>
      </c>
      <c r="M3200" s="1" t="str">
        <f t="shared" si="3"/>
        <v>Profit</v>
      </c>
    </row>
    <row r="3201" ht="14.25" customHeight="1">
      <c r="A3201" s="1" t="s">
        <v>3235</v>
      </c>
      <c r="B3201" s="2">
        <v>45162.0</v>
      </c>
      <c r="C3201" s="1" t="s">
        <v>14</v>
      </c>
      <c r="D3201" s="1" t="s">
        <v>21</v>
      </c>
      <c r="E3201" s="1" t="s">
        <v>76</v>
      </c>
      <c r="F3201" s="1">
        <v>318.5</v>
      </c>
      <c r="G3201" s="1">
        <v>102.01</v>
      </c>
      <c r="H3201" s="1">
        <v>9.0</v>
      </c>
      <c r="I3201" s="1" t="s">
        <v>17</v>
      </c>
      <c r="J3201" s="1" t="s">
        <v>38</v>
      </c>
      <c r="K3201" s="1">
        <f t="shared" si="1"/>
        <v>2023</v>
      </c>
      <c r="L3201" s="1" t="str">
        <f t="shared" si="2"/>
        <v>Aug</v>
      </c>
      <c r="M3201" s="1" t="str">
        <f t="shared" si="3"/>
        <v>Profit</v>
      </c>
    </row>
    <row r="3202" ht="14.25" customHeight="1">
      <c r="A3202" s="1" t="s">
        <v>3236</v>
      </c>
      <c r="B3202" s="2">
        <v>44947.0</v>
      </c>
      <c r="C3202" s="1" t="s">
        <v>26</v>
      </c>
      <c r="D3202" s="1" t="s">
        <v>27</v>
      </c>
      <c r="E3202" s="1" t="s">
        <v>33</v>
      </c>
      <c r="F3202" s="1">
        <v>866.02</v>
      </c>
      <c r="G3202" s="1">
        <v>29.73</v>
      </c>
      <c r="H3202" s="1">
        <v>1.0</v>
      </c>
      <c r="I3202" s="1" t="s">
        <v>34</v>
      </c>
      <c r="J3202" s="1" t="s">
        <v>24</v>
      </c>
      <c r="K3202" s="1">
        <f t="shared" si="1"/>
        <v>2023</v>
      </c>
      <c r="L3202" s="1" t="str">
        <f t="shared" si="2"/>
        <v>Jan</v>
      </c>
      <c r="M3202" s="1" t="str">
        <f t="shared" si="3"/>
        <v>Profit</v>
      </c>
    </row>
    <row r="3203" ht="14.25" customHeight="1">
      <c r="A3203" s="1" t="s">
        <v>3237</v>
      </c>
      <c r="B3203" s="2">
        <v>44793.0</v>
      </c>
      <c r="C3203" s="1" t="s">
        <v>30</v>
      </c>
      <c r="D3203" s="1" t="s">
        <v>15</v>
      </c>
      <c r="E3203" s="1" t="s">
        <v>31</v>
      </c>
      <c r="F3203" s="1">
        <v>553.57</v>
      </c>
      <c r="G3203" s="1">
        <v>276.33</v>
      </c>
      <c r="H3203" s="1">
        <v>7.0</v>
      </c>
      <c r="I3203" s="1" t="s">
        <v>34</v>
      </c>
      <c r="J3203" s="1" t="s">
        <v>38</v>
      </c>
      <c r="K3203" s="1">
        <f t="shared" si="1"/>
        <v>2022</v>
      </c>
      <c r="L3203" s="1" t="str">
        <f t="shared" si="2"/>
        <v>Aug</v>
      </c>
      <c r="M3203" s="1" t="str">
        <f t="shared" si="3"/>
        <v>Profit</v>
      </c>
    </row>
    <row r="3204" ht="14.25" customHeight="1">
      <c r="A3204" s="1" t="s">
        <v>3238</v>
      </c>
      <c r="B3204" s="2">
        <v>44421.0</v>
      </c>
      <c r="C3204" s="1" t="s">
        <v>20</v>
      </c>
      <c r="D3204" s="1" t="s">
        <v>21</v>
      </c>
      <c r="E3204" s="1" t="s">
        <v>76</v>
      </c>
      <c r="F3204" s="1">
        <v>730.45</v>
      </c>
      <c r="G3204" s="1">
        <v>-70.05</v>
      </c>
      <c r="H3204" s="1">
        <v>10.0</v>
      </c>
      <c r="I3204" s="1" t="s">
        <v>17</v>
      </c>
      <c r="J3204" s="1" t="s">
        <v>35</v>
      </c>
      <c r="K3204" s="1">
        <f t="shared" si="1"/>
        <v>2021</v>
      </c>
      <c r="L3204" s="1" t="str">
        <f t="shared" si="2"/>
        <v>Aug</v>
      </c>
      <c r="M3204" s="1" t="str">
        <f t="shared" si="3"/>
        <v>Loss</v>
      </c>
    </row>
    <row r="3205" ht="14.25" customHeight="1">
      <c r="A3205" s="1" t="s">
        <v>3239</v>
      </c>
      <c r="B3205" s="2">
        <v>44649.0</v>
      </c>
      <c r="C3205" s="1" t="s">
        <v>26</v>
      </c>
      <c r="D3205" s="1" t="s">
        <v>15</v>
      </c>
      <c r="E3205" s="1" t="s">
        <v>16</v>
      </c>
      <c r="F3205" s="1">
        <v>400.32</v>
      </c>
      <c r="G3205" s="1">
        <v>189.11</v>
      </c>
      <c r="H3205" s="1">
        <v>5.0</v>
      </c>
      <c r="I3205" s="1" t="s">
        <v>34</v>
      </c>
      <c r="J3205" s="1" t="s">
        <v>18</v>
      </c>
      <c r="K3205" s="1">
        <f t="shared" si="1"/>
        <v>2022</v>
      </c>
      <c r="L3205" s="1" t="str">
        <f t="shared" si="2"/>
        <v>Mar</v>
      </c>
      <c r="M3205" s="1" t="str">
        <f t="shared" si="3"/>
        <v>Profit</v>
      </c>
    </row>
    <row r="3206" ht="14.25" customHeight="1">
      <c r="A3206" s="1" t="s">
        <v>3240</v>
      </c>
      <c r="B3206" s="2">
        <v>44844.0</v>
      </c>
      <c r="C3206" s="1" t="s">
        <v>20</v>
      </c>
      <c r="D3206" s="1" t="s">
        <v>21</v>
      </c>
      <c r="E3206" s="1" t="s">
        <v>37</v>
      </c>
      <c r="F3206" s="1">
        <v>359.22</v>
      </c>
      <c r="G3206" s="1">
        <v>156.61</v>
      </c>
      <c r="H3206" s="1">
        <v>2.0</v>
      </c>
      <c r="I3206" s="1" t="s">
        <v>34</v>
      </c>
      <c r="J3206" s="1" t="s">
        <v>18</v>
      </c>
      <c r="K3206" s="1">
        <f t="shared" si="1"/>
        <v>2022</v>
      </c>
      <c r="L3206" s="1" t="str">
        <f t="shared" si="2"/>
        <v>Oct</v>
      </c>
      <c r="M3206" s="1" t="str">
        <f t="shared" si="3"/>
        <v>Profit</v>
      </c>
    </row>
    <row r="3207" ht="14.25" customHeight="1">
      <c r="A3207" s="1" t="s">
        <v>3241</v>
      </c>
      <c r="B3207" s="2">
        <v>44313.0</v>
      </c>
      <c r="C3207" s="1" t="s">
        <v>30</v>
      </c>
      <c r="D3207" s="1" t="s">
        <v>21</v>
      </c>
      <c r="E3207" s="1" t="s">
        <v>22</v>
      </c>
      <c r="F3207" s="1">
        <v>959.26</v>
      </c>
      <c r="G3207" s="1">
        <v>47.89</v>
      </c>
      <c r="H3207" s="1">
        <v>4.0</v>
      </c>
      <c r="I3207" s="1" t="s">
        <v>17</v>
      </c>
      <c r="J3207" s="1" t="s">
        <v>18</v>
      </c>
      <c r="K3207" s="1">
        <f t="shared" si="1"/>
        <v>2021</v>
      </c>
      <c r="L3207" s="1" t="str">
        <f t="shared" si="2"/>
        <v>Apr</v>
      </c>
      <c r="M3207" s="1" t="str">
        <f t="shared" si="3"/>
        <v>Profit</v>
      </c>
    </row>
    <row r="3208" ht="14.25" customHeight="1">
      <c r="A3208" s="1" t="s">
        <v>3242</v>
      </c>
      <c r="B3208" s="2">
        <v>44559.0</v>
      </c>
      <c r="C3208" s="1" t="s">
        <v>30</v>
      </c>
      <c r="D3208" s="1" t="s">
        <v>21</v>
      </c>
      <c r="E3208" s="1" t="s">
        <v>22</v>
      </c>
      <c r="F3208" s="1">
        <v>961.44</v>
      </c>
      <c r="G3208" s="1">
        <v>-83.65</v>
      </c>
      <c r="H3208" s="1">
        <v>8.0</v>
      </c>
      <c r="I3208" s="1" t="s">
        <v>17</v>
      </c>
      <c r="J3208" s="1" t="s">
        <v>38</v>
      </c>
      <c r="K3208" s="1">
        <f t="shared" si="1"/>
        <v>2021</v>
      </c>
      <c r="L3208" s="1" t="str">
        <f t="shared" si="2"/>
        <v>Dec</v>
      </c>
      <c r="M3208" s="1" t="str">
        <f t="shared" si="3"/>
        <v>Loss</v>
      </c>
    </row>
    <row r="3209" ht="14.25" customHeight="1">
      <c r="A3209" s="1" t="s">
        <v>3243</v>
      </c>
      <c r="B3209" s="2">
        <v>45104.0</v>
      </c>
      <c r="C3209" s="1" t="s">
        <v>30</v>
      </c>
      <c r="D3209" s="1" t="s">
        <v>27</v>
      </c>
      <c r="E3209" s="1" t="s">
        <v>33</v>
      </c>
      <c r="F3209" s="1">
        <v>685.81</v>
      </c>
      <c r="G3209" s="1">
        <v>-120.98</v>
      </c>
      <c r="H3209" s="1">
        <v>4.0</v>
      </c>
      <c r="I3209" s="1" t="s">
        <v>34</v>
      </c>
      <c r="J3209" s="1" t="s">
        <v>38</v>
      </c>
      <c r="K3209" s="1">
        <f t="shared" si="1"/>
        <v>2023</v>
      </c>
      <c r="L3209" s="1" t="str">
        <f t="shared" si="2"/>
        <v>Jun</v>
      </c>
      <c r="M3209" s="1" t="str">
        <f t="shared" si="3"/>
        <v>Loss</v>
      </c>
    </row>
    <row r="3210" ht="14.25" customHeight="1">
      <c r="A3210" s="1" t="s">
        <v>3244</v>
      </c>
      <c r="B3210" s="2">
        <v>44641.0</v>
      </c>
      <c r="C3210" s="1" t="s">
        <v>14</v>
      </c>
      <c r="D3210" s="1" t="s">
        <v>15</v>
      </c>
      <c r="E3210" s="1" t="s">
        <v>16</v>
      </c>
      <c r="F3210" s="1">
        <v>734.69</v>
      </c>
      <c r="G3210" s="1">
        <v>18.27</v>
      </c>
      <c r="H3210" s="1">
        <v>9.0</v>
      </c>
      <c r="I3210" s="1" t="s">
        <v>34</v>
      </c>
      <c r="J3210" s="1" t="s">
        <v>38</v>
      </c>
      <c r="K3210" s="1">
        <f t="shared" si="1"/>
        <v>2022</v>
      </c>
      <c r="L3210" s="1" t="str">
        <f t="shared" si="2"/>
        <v>Mar</v>
      </c>
      <c r="M3210" s="1" t="str">
        <f t="shared" si="3"/>
        <v>Profit</v>
      </c>
    </row>
    <row r="3211" ht="14.25" customHeight="1">
      <c r="A3211" s="1" t="s">
        <v>3245</v>
      </c>
      <c r="B3211" s="2">
        <v>45159.0</v>
      </c>
      <c r="C3211" s="1" t="s">
        <v>30</v>
      </c>
      <c r="D3211" s="1" t="s">
        <v>21</v>
      </c>
      <c r="E3211" s="1" t="s">
        <v>37</v>
      </c>
      <c r="F3211" s="1">
        <v>901.89</v>
      </c>
      <c r="G3211" s="1">
        <v>-27.8</v>
      </c>
      <c r="H3211" s="1">
        <v>1.0</v>
      </c>
      <c r="I3211" s="1" t="s">
        <v>23</v>
      </c>
      <c r="J3211" s="1" t="s">
        <v>18</v>
      </c>
      <c r="K3211" s="1">
        <f t="shared" si="1"/>
        <v>2023</v>
      </c>
      <c r="L3211" s="1" t="str">
        <f t="shared" si="2"/>
        <v>Aug</v>
      </c>
      <c r="M3211" s="1" t="str">
        <f t="shared" si="3"/>
        <v>Loss</v>
      </c>
    </row>
    <row r="3212" ht="14.25" customHeight="1">
      <c r="A3212" s="1" t="s">
        <v>3246</v>
      </c>
      <c r="B3212" s="2">
        <v>44228.0</v>
      </c>
      <c r="C3212" s="1" t="s">
        <v>20</v>
      </c>
      <c r="D3212" s="1" t="s">
        <v>15</v>
      </c>
      <c r="E3212" s="1" t="s">
        <v>16</v>
      </c>
      <c r="F3212" s="1">
        <v>554.96</v>
      </c>
      <c r="G3212" s="1">
        <v>19.65</v>
      </c>
      <c r="H3212" s="1">
        <v>9.0</v>
      </c>
      <c r="I3212" s="1" t="s">
        <v>23</v>
      </c>
      <c r="J3212" s="1" t="s">
        <v>18</v>
      </c>
      <c r="K3212" s="1">
        <f t="shared" si="1"/>
        <v>2021</v>
      </c>
      <c r="L3212" s="1" t="str">
        <f t="shared" si="2"/>
        <v>Feb</v>
      </c>
      <c r="M3212" s="1" t="str">
        <f t="shared" si="3"/>
        <v>Profit</v>
      </c>
    </row>
    <row r="3213" ht="14.25" customHeight="1">
      <c r="A3213" s="1" t="s">
        <v>3247</v>
      </c>
      <c r="B3213" s="2">
        <v>45264.0</v>
      </c>
      <c r="C3213" s="1" t="s">
        <v>14</v>
      </c>
      <c r="D3213" s="1" t="s">
        <v>27</v>
      </c>
      <c r="E3213" s="1" t="s">
        <v>33</v>
      </c>
      <c r="F3213" s="1">
        <v>165.34</v>
      </c>
      <c r="G3213" s="1">
        <v>80.47</v>
      </c>
      <c r="H3213" s="1">
        <v>1.0</v>
      </c>
      <c r="I3213" s="1" t="s">
        <v>34</v>
      </c>
      <c r="J3213" s="1" t="s">
        <v>24</v>
      </c>
      <c r="K3213" s="1">
        <f t="shared" si="1"/>
        <v>2023</v>
      </c>
      <c r="L3213" s="1" t="str">
        <f t="shared" si="2"/>
        <v>Dec</v>
      </c>
      <c r="M3213" s="1" t="str">
        <f t="shared" si="3"/>
        <v>Profit</v>
      </c>
    </row>
    <row r="3214" ht="14.25" customHeight="1">
      <c r="A3214" s="1" t="s">
        <v>3248</v>
      </c>
      <c r="B3214" s="2">
        <v>45237.0</v>
      </c>
      <c r="C3214" s="1" t="s">
        <v>14</v>
      </c>
      <c r="D3214" s="1" t="s">
        <v>21</v>
      </c>
      <c r="E3214" s="1" t="s">
        <v>22</v>
      </c>
      <c r="F3214" s="1">
        <v>266.34</v>
      </c>
      <c r="G3214" s="1">
        <v>-170.94</v>
      </c>
      <c r="H3214" s="1">
        <v>9.0</v>
      </c>
      <c r="I3214" s="1" t="s">
        <v>23</v>
      </c>
      <c r="J3214" s="1" t="s">
        <v>18</v>
      </c>
      <c r="K3214" s="1">
        <f t="shared" si="1"/>
        <v>2023</v>
      </c>
      <c r="L3214" s="1" t="str">
        <f t="shared" si="2"/>
        <v>Nov</v>
      </c>
      <c r="M3214" s="1" t="str">
        <f t="shared" si="3"/>
        <v>Loss</v>
      </c>
    </row>
    <row r="3215" ht="14.25" customHeight="1">
      <c r="A3215" s="1" t="s">
        <v>3249</v>
      </c>
      <c r="B3215" s="2">
        <v>44910.0</v>
      </c>
      <c r="C3215" s="1" t="s">
        <v>14</v>
      </c>
      <c r="D3215" s="1" t="s">
        <v>15</v>
      </c>
      <c r="E3215" s="1" t="s">
        <v>54</v>
      </c>
      <c r="F3215" s="1">
        <v>905.31</v>
      </c>
      <c r="G3215" s="1">
        <v>-124.17</v>
      </c>
      <c r="H3215" s="1">
        <v>9.0</v>
      </c>
      <c r="I3215" s="1" t="s">
        <v>34</v>
      </c>
      <c r="J3215" s="1" t="s">
        <v>18</v>
      </c>
      <c r="K3215" s="1">
        <f t="shared" si="1"/>
        <v>2022</v>
      </c>
      <c r="L3215" s="1" t="str">
        <f t="shared" si="2"/>
        <v>Dec</v>
      </c>
      <c r="M3215" s="1" t="str">
        <f t="shared" si="3"/>
        <v>Loss</v>
      </c>
    </row>
    <row r="3216" ht="14.25" customHeight="1">
      <c r="A3216" s="1" t="s">
        <v>3250</v>
      </c>
      <c r="B3216" s="2">
        <v>44904.0</v>
      </c>
      <c r="C3216" s="1" t="s">
        <v>26</v>
      </c>
      <c r="D3216" s="1" t="s">
        <v>27</v>
      </c>
      <c r="E3216" s="1" t="s">
        <v>33</v>
      </c>
      <c r="F3216" s="1">
        <v>500.51</v>
      </c>
      <c r="G3216" s="1">
        <v>104.9</v>
      </c>
      <c r="H3216" s="1">
        <v>7.0</v>
      </c>
      <c r="I3216" s="1" t="s">
        <v>23</v>
      </c>
      <c r="J3216" s="1" t="s">
        <v>24</v>
      </c>
      <c r="K3216" s="1">
        <f t="shared" si="1"/>
        <v>2022</v>
      </c>
      <c r="L3216" s="1" t="str">
        <f t="shared" si="2"/>
        <v>Dec</v>
      </c>
      <c r="M3216" s="1" t="str">
        <f t="shared" si="3"/>
        <v>Profit</v>
      </c>
    </row>
    <row r="3217" ht="14.25" customHeight="1">
      <c r="A3217" s="1" t="s">
        <v>3251</v>
      </c>
      <c r="B3217" s="2">
        <v>44551.0</v>
      </c>
      <c r="C3217" s="1" t="s">
        <v>14</v>
      </c>
      <c r="D3217" s="1" t="s">
        <v>15</v>
      </c>
      <c r="E3217" s="1" t="s">
        <v>16</v>
      </c>
      <c r="F3217" s="1">
        <v>782.7</v>
      </c>
      <c r="G3217" s="1">
        <v>35.51</v>
      </c>
      <c r="H3217" s="1">
        <v>2.0</v>
      </c>
      <c r="I3217" s="1" t="s">
        <v>17</v>
      </c>
      <c r="J3217" s="1" t="s">
        <v>24</v>
      </c>
      <c r="K3217" s="1">
        <f t="shared" si="1"/>
        <v>2021</v>
      </c>
      <c r="L3217" s="1" t="str">
        <f t="shared" si="2"/>
        <v>Dec</v>
      </c>
      <c r="M3217" s="1" t="str">
        <f t="shared" si="3"/>
        <v>Profit</v>
      </c>
    </row>
    <row r="3218" ht="14.25" customHeight="1">
      <c r="A3218" s="1" t="s">
        <v>3252</v>
      </c>
      <c r="B3218" s="2">
        <v>44916.0</v>
      </c>
      <c r="C3218" s="1" t="s">
        <v>14</v>
      </c>
      <c r="D3218" s="1" t="s">
        <v>27</v>
      </c>
      <c r="E3218" s="1" t="s">
        <v>33</v>
      </c>
      <c r="F3218" s="1">
        <v>832.92</v>
      </c>
      <c r="G3218" s="1">
        <v>-56.68</v>
      </c>
      <c r="H3218" s="1">
        <v>4.0</v>
      </c>
      <c r="I3218" s="1" t="s">
        <v>23</v>
      </c>
      <c r="J3218" s="1" t="s">
        <v>38</v>
      </c>
      <c r="K3218" s="1">
        <f t="shared" si="1"/>
        <v>2022</v>
      </c>
      <c r="L3218" s="1" t="str">
        <f t="shared" si="2"/>
        <v>Dec</v>
      </c>
      <c r="M3218" s="1" t="str">
        <f t="shared" si="3"/>
        <v>Loss</v>
      </c>
    </row>
    <row r="3219" ht="14.25" customHeight="1">
      <c r="A3219" s="1" t="s">
        <v>3253</v>
      </c>
      <c r="B3219" s="2">
        <v>44675.0</v>
      </c>
      <c r="C3219" s="1" t="s">
        <v>20</v>
      </c>
      <c r="D3219" s="1" t="s">
        <v>21</v>
      </c>
      <c r="E3219" s="1" t="s">
        <v>76</v>
      </c>
      <c r="F3219" s="1">
        <v>604.84</v>
      </c>
      <c r="G3219" s="1">
        <v>-87.55</v>
      </c>
      <c r="H3219" s="1">
        <v>6.0</v>
      </c>
      <c r="I3219" s="1" t="s">
        <v>17</v>
      </c>
      <c r="J3219" s="1" t="s">
        <v>35</v>
      </c>
      <c r="K3219" s="1">
        <f t="shared" si="1"/>
        <v>2022</v>
      </c>
      <c r="L3219" s="1" t="str">
        <f t="shared" si="2"/>
        <v>Apr</v>
      </c>
      <c r="M3219" s="1" t="str">
        <f t="shared" si="3"/>
        <v>Loss</v>
      </c>
    </row>
    <row r="3220" ht="14.25" customHeight="1">
      <c r="A3220" s="1" t="s">
        <v>3254</v>
      </c>
      <c r="B3220" s="2">
        <v>45135.0</v>
      </c>
      <c r="C3220" s="1" t="s">
        <v>26</v>
      </c>
      <c r="D3220" s="1" t="s">
        <v>27</v>
      </c>
      <c r="E3220" s="1" t="s">
        <v>33</v>
      </c>
      <c r="F3220" s="1">
        <v>182.78</v>
      </c>
      <c r="G3220" s="1">
        <v>-148.25</v>
      </c>
      <c r="H3220" s="1">
        <v>10.0</v>
      </c>
      <c r="I3220" s="1" t="s">
        <v>23</v>
      </c>
      <c r="J3220" s="1" t="s">
        <v>38</v>
      </c>
      <c r="K3220" s="1">
        <f t="shared" si="1"/>
        <v>2023</v>
      </c>
      <c r="L3220" s="1" t="str">
        <f t="shared" si="2"/>
        <v>Jul</v>
      </c>
      <c r="M3220" s="1" t="str">
        <f t="shared" si="3"/>
        <v>Loss</v>
      </c>
    </row>
    <row r="3221" ht="14.25" customHeight="1">
      <c r="A3221" s="1" t="s">
        <v>3255</v>
      </c>
      <c r="B3221" s="2">
        <v>44564.0</v>
      </c>
      <c r="C3221" s="1" t="s">
        <v>14</v>
      </c>
      <c r="D3221" s="1" t="s">
        <v>21</v>
      </c>
      <c r="E3221" s="1" t="s">
        <v>22</v>
      </c>
      <c r="F3221" s="1">
        <v>457.56</v>
      </c>
      <c r="G3221" s="1">
        <v>-60.3</v>
      </c>
      <c r="H3221" s="1">
        <v>4.0</v>
      </c>
      <c r="I3221" s="1" t="s">
        <v>23</v>
      </c>
      <c r="J3221" s="1" t="s">
        <v>35</v>
      </c>
      <c r="K3221" s="1">
        <f t="shared" si="1"/>
        <v>2022</v>
      </c>
      <c r="L3221" s="1" t="str">
        <f t="shared" si="2"/>
        <v>Jan</v>
      </c>
      <c r="M3221" s="1" t="str">
        <f t="shared" si="3"/>
        <v>Loss</v>
      </c>
    </row>
    <row r="3222" ht="14.25" customHeight="1">
      <c r="A3222" s="1" t="s">
        <v>3256</v>
      </c>
      <c r="B3222" s="2">
        <v>44707.0</v>
      </c>
      <c r="C3222" s="1" t="s">
        <v>14</v>
      </c>
      <c r="D3222" s="1" t="s">
        <v>27</v>
      </c>
      <c r="E3222" s="1" t="s">
        <v>40</v>
      </c>
      <c r="F3222" s="1">
        <v>336.42</v>
      </c>
      <c r="G3222" s="1">
        <v>15.49</v>
      </c>
      <c r="H3222" s="1">
        <v>8.0</v>
      </c>
      <c r="I3222" s="1" t="s">
        <v>23</v>
      </c>
      <c r="J3222" s="1" t="s">
        <v>38</v>
      </c>
      <c r="K3222" s="1">
        <f t="shared" si="1"/>
        <v>2022</v>
      </c>
      <c r="L3222" s="1" t="str">
        <f t="shared" si="2"/>
        <v>May</v>
      </c>
      <c r="M3222" s="1" t="str">
        <f t="shared" si="3"/>
        <v>Profit</v>
      </c>
    </row>
    <row r="3223" ht="14.25" customHeight="1">
      <c r="A3223" s="1" t="s">
        <v>3257</v>
      </c>
      <c r="B3223" s="2">
        <v>45187.0</v>
      </c>
      <c r="C3223" s="1" t="s">
        <v>20</v>
      </c>
      <c r="D3223" s="1" t="s">
        <v>15</v>
      </c>
      <c r="E3223" s="1" t="s">
        <v>16</v>
      </c>
      <c r="F3223" s="1">
        <v>271.6</v>
      </c>
      <c r="G3223" s="1">
        <v>93.19</v>
      </c>
      <c r="H3223" s="1">
        <v>1.0</v>
      </c>
      <c r="I3223" s="1" t="s">
        <v>34</v>
      </c>
      <c r="J3223" s="1" t="s">
        <v>18</v>
      </c>
      <c r="K3223" s="1">
        <f t="shared" si="1"/>
        <v>2023</v>
      </c>
      <c r="L3223" s="1" t="str">
        <f t="shared" si="2"/>
        <v>Sep</v>
      </c>
      <c r="M3223" s="1" t="str">
        <f t="shared" si="3"/>
        <v>Profit</v>
      </c>
    </row>
    <row r="3224" ht="14.25" customHeight="1">
      <c r="A3224" s="1" t="s">
        <v>3258</v>
      </c>
      <c r="B3224" s="2">
        <v>44775.0</v>
      </c>
      <c r="C3224" s="1" t="s">
        <v>14</v>
      </c>
      <c r="D3224" s="1" t="s">
        <v>21</v>
      </c>
      <c r="E3224" s="1" t="s">
        <v>37</v>
      </c>
      <c r="F3224" s="1">
        <v>387.67</v>
      </c>
      <c r="G3224" s="1">
        <v>140.42</v>
      </c>
      <c r="H3224" s="1">
        <v>7.0</v>
      </c>
      <c r="I3224" s="1" t="s">
        <v>17</v>
      </c>
      <c r="J3224" s="1" t="s">
        <v>38</v>
      </c>
      <c r="K3224" s="1">
        <f t="shared" si="1"/>
        <v>2022</v>
      </c>
      <c r="L3224" s="1" t="str">
        <f t="shared" si="2"/>
        <v>Aug</v>
      </c>
      <c r="M3224" s="1" t="str">
        <f t="shared" si="3"/>
        <v>Profit</v>
      </c>
    </row>
    <row r="3225" ht="14.25" customHeight="1">
      <c r="A3225" s="1" t="s">
        <v>3259</v>
      </c>
      <c r="B3225" s="2">
        <v>44590.0</v>
      </c>
      <c r="C3225" s="1" t="s">
        <v>14</v>
      </c>
      <c r="D3225" s="1" t="s">
        <v>21</v>
      </c>
      <c r="E3225" s="1" t="s">
        <v>76</v>
      </c>
      <c r="F3225" s="1">
        <v>858.14</v>
      </c>
      <c r="G3225" s="1">
        <v>-104.63</v>
      </c>
      <c r="H3225" s="1">
        <v>2.0</v>
      </c>
      <c r="I3225" s="1" t="s">
        <v>17</v>
      </c>
      <c r="J3225" s="1" t="s">
        <v>38</v>
      </c>
      <c r="K3225" s="1">
        <f t="shared" si="1"/>
        <v>2022</v>
      </c>
      <c r="L3225" s="1" t="str">
        <f t="shared" si="2"/>
        <v>Jan</v>
      </c>
      <c r="M3225" s="1" t="str">
        <f t="shared" si="3"/>
        <v>Loss</v>
      </c>
    </row>
    <row r="3226" ht="14.25" customHeight="1">
      <c r="A3226" s="1" t="s">
        <v>3260</v>
      </c>
      <c r="B3226" s="2">
        <v>45172.0</v>
      </c>
      <c r="C3226" s="1" t="s">
        <v>14</v>
      </c>
      <c r="D3226" s="1" t="s">
        <v>21</v>
      </c>
      <c r="E3226" s="1" t="s">
        <v>37</v>
      </c>
      <c r="F3226" s="1">
        <v>63.67</v>
      </c>
      <c r="G3226" s="1">
        <v>286.81</v>
      </c>
      <c r="H3226" s="1">
        <v>10.0</v>
      </c>
      <c r="I3226" s="1" t="s">
        <v>17</v>
      </c>
      <c r="J3226" s="1" t="s">
        <v>24</v>
      </c>
      <c r="K3226" s="1">
        <f t="shared" si="1"/>
        <v>2023</v>
      </c>
      <c r="L3226" s="1" t="str">
        <f t="shared" si="2"/>
        <v>Sep</v>
      </c>
      <c r="M3226" s="1" t="str">
        <f t="shared" si="3"/>
        <v>Profit</v>
      </c>
    </row>
    <row r="3227" ht="14.25" customHeight="1">
      <c r="A3227" s="1" t="s">
        <v>3261</v>
      </c>
      <c r="B3227" s="2">
        <v>44563.0</v>
      </c>
      <c r="C3227" s="1" t="s">
        <v>20</v>
      </c>
      <c r="D3227" s="1" t="s">
        <v>27</v>
      </c>
      <c r="E3227" s="1" t="s">
        <v>40</v>
      </c>
      <c r="F3227" s="1">
        <v>819.24</v>
      </c>
      <c r="G3227" s="1">
        <v>-180.56</v>
      </c>
      <c r="H3227" s="1">
        <v>4.0</v>
      </c>
      <c r="I3227" s="1" t="s">
        <v>23</v>
      </c>
      <c r="J3227" s="1" t="s">
        <v>18</v>
      </c>
      <c r="K3227" s="1">
        <f t="shared" si="1"/>
        <v>2022</v>
      </c>
      <c r="L3227" s="1" t="str">
        <f t="shared" si="2"/>
        <v>Jan</v>
      </c>
      <c r="M3227" s="1" t="str">
        <f t="shared" si="3"/>
        <v>Loss</v>
      </c>
    </row>
    <row r="3228" ht="14.25" customHeight="1">
      <c r="A3228" s="1" t="s">
        <v>3262</v>
      </c>
      <c r="B3228" s="2">
        <v>44685.0</v>
      </c>
      <c r="C3228" s="1" t="s">
        <v>20</v>
      </c>
      <c r="D3228" s="1" t="s">
        <v>27</v>
      </c>
      <c r="E3228" s="1" t="s">
        <v>40</v>
      </c>
      <c r="F3228" s="1">
        <v>536.13</v>
      </c>
      <c r="G3228" s="1">
        <v>238.06</v>
      </c>
      <c r="H3228" s="1">
        <v>6.0</v>
      </c>
      <c r="I3228" s="1" t="s">
        <v>17</v>
      </c>
      <c r="J3228" s="1" t="s">
        <v>24</v>
      </c>
      <c r="K3228" s="1">
        <f t="shared" si="1"/>
        <v>2022</v>
      </c>
      <c r="L3228" s="1" t="str">
        <f t="shared" si="2"/>
        <v>May</v>
      </c>
      <c r="M3228" s="1" t="str">
        <f t="shared" si="3"/>
        <v>Profit</v>
      </c>
    </row>
    <row r="3229" ht="14.25" customHeight="1">
      <c r="A3229" s="1" t="s">
        <v>3263</v>
      </c>
      <c r="B3229" s="2">
        <v>44482.0</v>
      </c>
      <c r="C3229" s="1" t="s">
        <v>14</v>
      </c>
      <c r="D3229" s="1" t="s">
        <v>21</v>
      </c>
      <c r="E3229" s="1" t="s">
        <v>22</v>
      </c>
      <c r="F3229" s="1">
        <v>745.47</v>
      </c>
      <c r="G3229" s="1">
        <v>75.94</v>
      </c>
      <c r="H3229" s="1">
        <v>4.0</v>
      </c>
      <c r="I3229" s="1" t="s">
        <v>17</v>
      </c>
      <c r="J3229" s="1" t="s">
        <v>24</v>
      </c>
      <c r="K3229" s="1">
        <f t="shared" si="1"/>
        <v>2021</v>
      </c>
      <c r="L3229" s="1" t="str">
        <f t="shared" si="2"/>
        <v>Oct</v>
      </c>
      <c r="M3229" s="1" t="str">
        <f t="shared" si="3"/>
        <v>Profit</v>
      </c>
    </row>
    <row r="3230" ht="14.25" customHeight="1">
      <c r="A3230" s="1" t="s">
        <v>3264</v>
      </c>
      <c r="B3230" s="2">
        <v>45221.0</v>
      </c>
      <c r="C3230" s="1" t="s">
        <v>14</v>
      </c>
      <c r="D3230" s="1" t="s">
        <v>27</v>
      </c>
      <c r="E3230" s="1" t="s">
        <v>40</v>
      </c>
      <c r="F3230" s="1">
        <v>728.03</v>
      </c>
      <c r="G3230" s="1">
        <v>248.93</v>
      </c>
      <c r="H3230" s="1">
        <v>10.0</v>
      </c>
      <c r="I3230" s="1" t="s">
        <v>17</v>
      </c>
      <c r="J3230" s="1" t="s">
        <v>18</v>
      </c>
      <c r="K3230" s="1">
        <f t="shared" si="1"/>
        <v>2023</v>
      </c>
      <c r="L3230" s="1" t="str">
        <f t="shared" si="2"/>
        <v>Oct</v>
      </c>
      <c r="M3230" s="1" t="str">
        <f t="shared" si="3"/>
        <v>Profit</v>
      </c>
    </row>
    <row r="3231" ht="14.25" customHeight="1">
      <c r="A3231" s="1" t="s">
        <v>3265</v>
      </c>
      <c r="B3231" s="2">
        <v>44729.0</v>
      </c>
      <c r="C3231" s="1" t="s">
        <v>14</v>
      </c>
      <c r="D3231" s="1" t="s">
        <v>15</v>
      </c>
      <c r="E3231" s="1" t="s">
        <v>31</v>
      </c>
      <c r="F3231" s="1">
        <v>886.82</v>
      </c>
      <c r="G3231" s="1">
        <v>203.68</v>
      </c>
      <c r="H3231" s="1">
        <v>8.0</v>
      </c>
      <c r="I3231" s="1" t="s">
        <v>34</v>
      </c>
      <c r="J3231" s="1" t="s">
        <v>38</v>
      </c>
      <c r="K3231" s="1">
        <f t="shared" si="1"/>
        <v>2022</v>
      </c>
      <c r="L3231" s="1" t="str">
        <f t="shared" si="2"/>
        <v>Jun</v>
      </c>
      <c r="M3231" s="1" t="str">
        <f t="shared" si="3"/>
        <v>Profit</v>
      </c>
    </row>
    <row r="3232" ht="14.25" customHeight="1">
      <c r="A3232" s="1" t="s">
        <v>3266</v>
      </c>
      <c r="B3232" s="2">
        <v>45281.0</v>
      </c>
      <c r="C3232" s="1" t="s">
        <v>14</v>
      </c>
      <c r="D3232" s="1" t="s">
        <v>15</v>
      </c>
      <c r="E3232" s="1" t="s">
        <v>31</v>
      </c>
      <c r="F3232" s="1">
        <v>249.35</v>
      </c>
      <c r="G3232" s="1">
        <v>39.59</v>
      </c>
      <c r="H3232" s="1">
        <v>2.0</v>
      </c>
      <c r="I3232" s="1" t="s">
        <v>23</v>
      </c>
      <c r="J3232" s="1" t="s">
        <v>38</v>
      </c>
      <c r="K3232" s="1">
        <f t="shared" si="1"/>
        <v>2023</v>
      </c>
      <c r="L3232" s="1" t="str">
        <f t="shared" si="2"/>
        <v>Dec</v>
      </c>
      <c r="M3232" s="1" t="str">
        <f t="shared" si="3"/>
        <v>Profit</v>
      </c>
    </row>
    <row r="3233" ht="14.25" customHeight="1">
      <c r="A3233" s="1" t="s">
        <v>3267</v>
      </c>
      <c r="B3233" s="2">
        <v>44452.0</v>
      </c>
      <c r="C3233" s="1" t="s">
        <v>20</v>
      </c>
      <c r="D3233" s="1" t="s">
        <v>15</v>
      </c>
      <c r="E3233" s="1" t="s">
        <v>31</v>
      </c>
      <c r="F3233" s="1">
        <v>951.67</v>
      </c>
      <c r="G3233" s="1">
        <v>-163.62</v>
      </c>
      <c r="H3233" s="1">
        <v>5.0</v>
      </c>
      <c r="I3233" s="1" t="s">
        <v>23</v>
      </c>
      <c r="J3233" s="1" t="s">
        <v>38</v>
      </c>
      <c r="K3233" s="1">
        <f t="shared" si="1"/>
        <v>2021</v>
      </c>
      <c r="L3233" s="1" t="str">
        <f t="shared" si="2"/>
        <v>Sep</v>
      </c>
      <c r="M3233" s="1" t="str">
        <f t="shared" si="3"/>
        <v>Loss</v>
      </c>
    </row>
    <row r="3234" ht="14.25" customHeight="1">
      <c r="A3234" s="1" t="s">
        <v>3268</v>
      </c>
      <c r="B3234" s="2">
        <v>45273.0</v>
      </c>
      <c r="C3234" s="1" t="s">
        <v>14</v>
      </c>
      <c r="D3234" s="1" t="s">
        <v>15</v>
      </c>
      <c r="E3234" s="1" t="s">
        <v>54</v>
      </c>
      <c r="F3234" s="1">
        <v>162.78</v>
      </c>
      <c r="G3234" s="1">
        <v>274.12</v>
      </c>
      <c r="H3234" s="1">
        <v>5.0</v>
      </c>
      <c r="I3234" s="1" t="s">
        <v>17</v>
      </c>
      <c r="J3234" s="1" t="s">
        <v>38</v>
      </c>
      <c r="K3234" s="1">
        <f t="shared" si="1"/>
        <v>2023</v>
      </c>
      <c r="L3234" s="1" t="str">
        <f t="shared" si="2"/>
        <v>Dec</v>
      </c>
      <c r="M3234" s="1" t="str">
        <f t="shared" si="3"/>
        <v>Profit</v>
      </c>
    </row>
    <row r="3235" ht="14.25" customHeight="1">
      <c r="A3235" s="1" t="s">
        <v>3269</v>
      </c>
      <c r="B3235" s="2">
        <v>44764.0</v>
      </c>
      <c r="C3235" s="1" t="s">
        <v>26</v>
      </c>
      <c r="D3235" s="1" t="s">
        <v>15</v>
      </c>
      <c r="E3235" s="1" t="s">
        <v>31</v>
      </c>
      <c r="F3235" s="1">
        <v>411.21</v>
      </c>
      <c r="G3235" s="1">
        <v>-132.23</v>
      </c>
      <c r="H3235" s="1">
        <v>3.0</v>
      </c>
      <c r="I3235" s="1" t="s">
        <v>23</v>
      </c>
      <c r="J3235" s="1" t="s">
        <v>18</v>
      </c>
      <c r="K3235" s="1">
        <f t="shared" si="1"/>
        <v>2022</v>
      </c>
      <c r="L3235" s="1" t="str">
        <f t="shared" si="2"/>
        <v>Jul</v>
      </c>
      <c r="M3235" s="1" t="str">
        <f t="shared" si="3"/>
        <v>Loss</v>
      </c>
    </row>
    <row r="3236" ht="14.25" customHeight="1">
      <c r="A3236" s="1" t="s">
        <v>3270</v>
      </c>
      <c r="B3236" s="2">
        <v>44268.0</v>
      </c>
      <c r="C3236" s="1" t="s">
        <v>30</v>
      </c>
      <c r="D3236" s="1" t="s">
        <v>21</v>
      </c>
      <c r="E3236" s="1" t="s">
        <v>37</v>
      </c>
      <c r="F3236" s="1">
        <v>628.12</v>
      </c>
      <c r="G3236" s="1">
        <v>98.06</v>
      </c>
      <c r="H3236" s="1">
        <v>1.0</v>
      </c>
      <c r="I3236" s="1" t="s">
        <v>34</v>
      </c>
      <c r="J3236" s="1" t="s">
        <v>38</v>
      </c>
      <c r="K3236" s="1">
        <f t="shared" si="1"/>
        <v>2021</v>
      </c>
      <c r="L3236" s="1" t="str">
        <f t="shared" si="2"/>
        <v>Mar</v>
      </c>
      <c r="M3236" s="1" t="str">
        <f t="shared" si="3"/>
        <v>Profit</v>
      </c>
    </row>
    <row r="3237" ht="14.25" customHeight="1">
      <c r="A3237" s="1" t="s">
        <v>3271</v>
      </c>
      <c r="B3237" s="2">
        <v>44931.0</v>
      </c>
      <c r="C3237" s="1" t="s">
        <v>26</v>
      </c>
      <c r="D3237" s="1" t="s">
        <v>21</v>
      </c>
      <c r="E3237" s="1" t="s">
        <v>22</v>
      </c>
      <c r="F3237" s="1">
        <v>338.97</v>
      </c>
      <c r="G3237" s="1">
        <v>233.31</v>
      </c>
      <c r="H3237" s="1">
        <v>8.0</v>
      </c>
      <c r="I3237" s="1" t="s">
        <v>23</v>
      </c>
      <c r="J3237" s="1" t="s">
        <v>24</v>
      </c>
      <c r="K3237" s="1">
        <f t="shared" si="1"/>
        <v>2023</v>
      </c>
      <c r="L3237" s="1" t="str">
        <f t="shared" si="2"/>
        <v>Jan</v>
      </c>
      <c r="M3237" s="1" t="str">
        <f t="shared" si="3"/>
        <v>Profit</v>
      </c>
    </row>
    <row r="3238" ht="14.25" customHeight="1">
      <c r="A3238" s="1" t="s">
        <v>3272</v>
      </c>
      <c r="B3238" s="2">
        <v>44226.0</v>
      </c>
      <c r="C3238" s="1" t="s">
        <v>14</v>
      </c>
      <c r="D3238" s="1" t="s">
        <v>15</v>
      </c>
      <c r="E3238" s="1" t="s">
        <v>31</v>
      </c>
      <c r="F3238" s="1">
        <v>535.72</v>
      </c>
      <c r="G3238" s="1">
        <v>158.48</v>
      </c>
      <c r="H3238" s="1">
        <v>4.0</v>
      </c>
      <c r="I3238" s="1" t="s">
        <v>17</v>
      </c>
      <c r="J3238" s="1" t="s">
        <v>18</v>
      </c>
      <c r="K3238" s="1">
        <f t="shared" si="1"/>
        <v>2021</v>
      </c>
      <c r="L3238" s="1" t="str">
        <f t="shared" si="2"/>
        <v>Jan</v>
      </c>
      <c r="M3238" s="1" t="str">
        <f t="shared" si="3"/>
        <v>Profit</v>
      </c>
    </row>
    <row r="3239" ht="14.25" customHeight="1">
      <c r="A3239" s="1" t="s">
        <v>3273</v>
      </c>
      <c r="B3239" s="2">
        <v>44883.0</v>
      </c>
      <c r="C3239" s="1" t="s">
        <v>14</v>
      </c>
      <c r="D3239" s="1" t="s">
        <v>21</v>
      </c>
      <c r="E3239" s="1" t="s">
        <v>37</v>
      </c>
      <c r="F3239" s="1">
        <v>163.27</v>
      </c>
      <c r="G3239" s="1">
        <v>28.02</v>
      </c>
      <c r="H3239" s="1">
        <v>3.0</v>
      </c>
      <c r="I3239" s="1" t="s">
        <v>17</v>
      </c>
      <c r="J3239" s="1" t="s">
        <v>18</v>
      </c>
      <c r="K3239" s="1">
        <f t="shared" si="1"/>
        <v>2022</v>
      </c>
      <c r="L3239" s="1" t="str">
        <f t="shared" si="2"/>
        <v>Nov</v>
      </c>
      <c r="M3239" s="1" t="str">
        <f t="shared" si="3"/>
        <v>Profit</v>
      </c>
    </row>
    <row r="3240" ht="14.25" customHeight="1">
      <c r="A3240" s="1" t="s">
        <v>3274</v>
      </c>
      <c r="B3240" s="2">
        <v>45239.0</v>
      </c>
      <c r="C3240" s="1" t="s">
        <v>14</v>
      </c>
      <c r="D3240" s="1" t="s">
        <v>15</v>
      </c>
      <c r="E3240" s="1" t="s">
        <v>54</v>
      </c>
      <c r="F3240" s="1">
        <v>334.26</v>
      </c>
      <c r="G3240" s="1">
        <v>94.34</v>
      </c>
      <c r="H3240" s="1">
        <v>10.0</v>
      </c>
      <c r="I3240" s="1" t="s">
        <v>17</v>
      </c>
      <c r="J3240" s="1" t="s">
        <v>38</v>
      </c>
      <c r="K3240" s="1">
        <f t="shared" si="1"/>
        <v>2023</v>
      </c>
      <c r="L3240" s="1" t="str">
        <f t="shared" si="2"/>
        <v>Nov</v>
      </c>
      <c r="M3240" s="1" t="str">
        <f t="shared" si="3"/>
        <v>Profit</v>
      </c>
    </row>
    <row r="3241" ht="14.25" customHeight="1">
      <c r="A3241" s="1" t="s">
        <v>3275</v>
      </c>
      <c r="B3241" s="2">
        <v>44799.0</v>
      </c>
      <c r="C3241" s="1" t="s">
        <v>20</v>
      </c>
      <c r="D3241" s="1" t="s">
        <v>15</v>
      </c>
      <c r="E3241" s="1" t="s">
        <v>16</v>
      </c>
      <c r="F3241" s="1">
        <v>385.8</v>
      </c>
      <c r="G3241" s="1">
        <v>-151.41</v>
      </c>
      <c r="H3241" s="1">
        <v>4.0</v>
      </c>
      <c r="I3241" s="1" t="s">
        <v>34</v>
      </c>
      <c r="J3241" s="1" t="s">
        <v>18</v>
      </c>
      <c r="K3241" s="1">
        <f t="shared" si="1"/>
        <v>2022</v>
      </c>
      <c r="L3241" s="1" t="str">
        <f t="shared" si="2"/>
        <v>Aug</v>
      </c>
      <c r="M3241" s="1" t="str">
        <f t="shared" si="3"/>
        <v>Loss</v>
      </c>
    </row>
    <row r="3242" ht="14.25" customHeight="1">
      <c r="A3242" s="1" t="s">
        <v>3276</v>
      </c>
      <c r="B3242" s="2">
        <v>45280.0</v>
      </c>
      <c r="C3242" s="1" t="s">
        <v>26</v>
      </c>
      <c r="D3242" s="1" t="s">
        <v>27</v>
      </c>
      <c r="E3242" s="1" t="s">
        <v>33</v>
      </c>
      <c r="F3242" s="1">
        <v>889.68</v>
      </c>
      <c r="G3242" s="1">
        <v>-151.76</v>
      </c>
      <c r="H3242" s="1">
        <v>1.0</v>
      </c>
      <c r="I3242" s="1" t="s">
        <v>17</v>
      </c>
      <c r="J3242" s="1" t="s">
        <v>35</v>
      </c>
      <c r="K3242" s="1">
        <f t="shared" si="1"/>
        <v>2023</v>
      </c>
      <c r="L3242" s="1" t="str">
        <f t="shared" si="2"/>
        <v>Dec</v>
      </c>
      <c r="M3242" s="1" t="str">
        <f t="shared" si="3"/>
        <v>Loss</v>
      </c>
    </row>
    <row r="3243" ht="14.25" customHeight="1">
      <c r="A3243" s="1" t="s">
        <v>3277</v>
      </c>
      <c r="B3243" s="2">
        <v>45171.0</v>
      </c>
      <c r="C3243" s="1" t="s">
        <v>30</v>
      </c>
      <c r="D3243" s="1" t="s">
        <v>27</v>
      </c>
      <c r="E3243" s="1" t="s">
        <v>33</v>
      </c>
      <c r="F3243" s="1">
        <v>478.63</v>
      </c>
      <c r="G3243" s="1">
        <v>147.06</v>
      </c>
      <c r="H3243" s="1">
        <v>2.0</v>
      </c>
      <c r="I3243" s="1" t="s">
        <v>23</v>
      </c>
      <c r="J3243" s="1" t="s">
        <v>24</v>
      </c>
      <c r="K3243" s="1">
        <f t="shared" si="1"/>
        <v>2023</v>
      </c>
      <c r="L3243" s="1" t="str">
        <f t="shared" si="2"/>
        <v>Sep</v>
      </c>
      <c r="M3243" s="1" t="str">
        <f t="shared" si="3"/>
        <v>Profit</v>
      </c>
    </row>
    <row r="3244" ht="14.25" customHeight="1">
      <c r="A3244" s="1" t="s">
        <v>3278</v>
      </c>
      <c r="B3244" s="2">
        <v>44975.0</v>
      </c>
      <c r="C3244" s="1" t="s">
        <v>26</v>
      </c>
      <c r="D3244" s="1" t="s">
        <v>15</v>
      </c>
      <c r="E3244" s="1" t="s">
        <v>31</v>
      </c>
      <c r="F3244" s="1">
        <v>478.69</v>
      </c>
      <c r="G3244" s="1">
        <v>-161.22</v>
      </c>
      <c r="H3244" s="1">
        <v>5.0</v>
      </c>
      <c r="I3244" s="1" t="s">
        <v>23</v>
      </c>
      <c r="J3244" s="1" t="s">
        <v>18</v>
      </c>
      <c r="K3244" s="1">
        <f t="shared" si="1"/>
        <v>2023</v>
      </c>
      <c r="L3244" s="1" t="str">
        <f t="shared" si="2"/>
        <v>Feb</v>
      </c>
      <c r="M3244" s="1" t="str">
        <f t="shared" si="3"/>
        <v>Loss</v>
      </c>
    </row>
    <row r="3245" ht="14.25" customHeight="1">
      <c r="A3245" s="1" t="s">
        <v>3279</v>
      </c>
      <c r="B3245" s="2">
        <v>44878.0</v>
      </c>
      <c r="C3245" s="1" t="s">
        <v>20</v>
      </c>
      <c r="D3245" s="1" t="s">
        <v>15</v>
      </c>
      <c r="E3245" s="1" t="s">
        <v>54</v>
      </c>
      <c r="F3245" s="1">
        <v>557.62</v>
      </c>
      <c r="G3245" s="1">
        <v>-82.09</v>
      </c>
      <c r="H3245" s="1">
        <v>5.0</v>
      </c>
      <c r="I3245" s="1" t="s">
        <v>23</v>
      </c>
      <c r="J3245" s="1" t="s">
        <v>35</v>
      </c>
      <c r="K3245" s="1">
        <f t="shared" si="1"/>
        <v>2022</v>
      </c>
      <c r="L3245" s="1" t="str">
        <f t="shared" si="2"/>
        <v>Nov</v>
      </c>
      <c r="M3245" s="1" t="str">
        <f t="shared" si="3"/>
        <v>Loss</v>
      </c>
    </row>
    <row r="3246" ht="14.25" customHeight="1">
      <c r="A3246" s="1" t="s">
        <v>3280</v>
      </c>
      <c r="B3246" s="2">
        <v>44662.0</v>
      </c>
      <c r="C3246" s="1" t="s">
        <v>26</v>
      </c>
      <c r="D3246" s="1" t="s">
        <v>15</v>
      </c>
      <c r="E3246" s="1" t="s">
        <v>54</v>
      </c>
      <c r="F3246" s="1">
        <v>76.01</v>
      </c>
      <c r="G3246" s="1">
        <v>64.52</v>
      </c>
      <c r="H3246" s="1">
        <v>8.0</v>
      </c>
      <c r="I3246" s="1" t="s">
        <v>17</v>
      </c>
      <c r="J3246" s="1" t="s">
        <v>18</v>
      </c>
      <c r="K3246" s="1">
        <f t="shared" si="1"/>
        <v>2022</v>
      </c>
      <c r="L3246" s="1" t="str">
        <f t="shared" si="2"/>
        <v>Apr</v>
      </c>
      <c r="M3246" s="1" t="str">
        <f t="shared" si="3"/>
        <v>Profit</v>
      </c>
    </row>
    <row r="3247" ht="14.25" customHeight="1">
      <c r="A3247" s="1" t="s">
        <v>3281</v>
      </c>
      <c r="B3247" s="2">
        <v>44682.0</v>
      </c>
      <c r="C3247" s="1" t="s">
        <v>20</v>
      </c>
      <c r="D3247" s="1" t="s">
        <v>15</v>
      </c>
      <c r="E3247" s="1" t="s">
        <v>54</v>
      </c>
      <c r="F3247" s="1">
        <v>714.45</v>
      </c>
      <c r="G3247" s="1">
        <v>93.59</v>
      </c>
      <c r="H3247" s="1">
        <v>6.0</v>
      </c>
      <c r="I3247" s="1" t="s">
        <v>17</v>
      </c>
      <c r="J3247" s="1" t="s">
        <v>24</v>
      </c>
      <c r="K3247" s="1">
        <f t="shared" si="1"/>
        <v>2022</v>
      </c>
      <c r="L3247" s="1" t="str">
        <f t="shared" si="2"/>
        <v>May</v>
      </c>
      <c r="M3247" s="1" t="str">
        <f t="shared" si="3"/>
        <v>Profit</v>
      </c>
    </row>
    <row r="3248" ht="14.25" customHeight="1">
      <c r="A3248" s="1" t="s">
        <v>3282</v>
      </c>
      <c r="B3248" s="2">
        <v>45272.0</v>
      </c>
      <c r="C3248" s="1" t="s">
        <v>14</v>
      </c>
      <c r="D3248" s="1" t="s">
        <v>27</v>
      </c>
      <c r="E3248" s="1" t="s">
        <v>40</v>
      </c>
      <c r="F3248" s="1">
        <v>947.69</v>
      </c>
      <c r="G3248" s="1">
        <v>123.91</v>
      </c>
      <c r="H3248" s="1">
        <v>5.0</v>
      </c>
      <c r="I3248" s="1" t="s">
        <v>34</v>
      </c>
      <c r="J3248" s="1" t="s">
        <v>18</v>
      </c>
      <c r="K3248" s="1">
        <f t="shared" si="1"/>
        <v>2023</v>
      </c>
      <c r="L3248" s="1" t="str">
        <f t="shared" si="2"/>
        <v>Dec</v>
      </c>
      <c r="M3248" s="1" t="str">
        <f t="shared" si="3"/>
        <v>Profit</v>
      </c>
    </row>
    <row r="3249" ht="14.25" customHeight="1">
      <c r="A3249" s="1" t="s">
        <v>3283</v>
      </c>
      <c r="B3249" s="2">
        <v>44344.0</v>
      </c>
      <c r="C3249" s="1" t="s">
        <v>30</v>
      </c>
      <c r="D3249" s="1" t="s">
        <v>15</v>
      </c>
      <c r="E3249" s="1" t="s">
        <v>54</v>
      </c>
      <c r="F3249" s="1">
        <v>719.77</v>
      </c>
      <c r="G3249" s="1">
        <v>137.41</v>
      </c>
      <c r="H3249" s="1">
        <v>7.0</v>
      </c>
      <c r="I3249" s="1" t="s">
        <v>23</v>
      </c>
      <c r="J3249" s="1" t="s">
        <v>35</v>
      </c>
      <c r="K3249" s="1">
        <f t="shared" si="1"/>
        <v>2021</v>
      </c>
      <c r="L3249" s="1" t="str">
        <f t="shared" si="2"/>
        <v>May</v>
      </c>
      <c r="M3249" s="1" t="str">
        <f t="shared" si="3"/>
        <v>Profit</v>
      </c>
    </row>
    <row r="3250" ht="14.25" customHeight="1">
      <c r="A3250" s="1" t="s">
        <v>3284</v>
      </c>
      <c r="B3250" s="2">
        <v>44255.0</v>
      </c>
      <c r="C3250" s="1" t="s">
        <v>26</v>
      </c>
      <c r="D3250" s="1" t="s">
        <v>21</v>
      </c>
      <c r="E3250" s="1" t="s">
        <v>37</v>
      </c>
      <c r="F3250" s="1">
        <v>750.14</v>
      </c>
      <c r="G3250" s="1">
        <v>100.35</v>
      </c>
      <c r="H3250" s="1">
        <v>1.0</v>
      </c>
      <c r="I3250" s="1" t="s">
        <v>23</v>
      </c>
      <c r="J3250" s="1" t="s">
        <v>18</v>
      </c>
      <c r="K3250" s="1">
        <f t="shared" si="1"/>
        <v>2021</v>
      </c>
      <c r="L3250" s="1" t="str">
        <f t="shared" si="2"/>
        <v>Feb</v>
      </c>
      <c r="M3250" s="1" t="str">
        <f t="shared" si="3"/>
        <v>Profit</v>
      </c>
    </row>
    <row r="3251" ht="14.25" customHeight="1">
      <c r="A3251" s="1" t="s">
        <v>3285</v>
      </c>
      <c r="B3251" s="2">
        <v>44592.0</v>
      </c>
      <c r="C3251" s="1" t="s">
        <v>30</v>
      </c>
      <c r="D3251" s="1" t="s">
        <v>15</v>
      </c>
      <c r="E3251" s="1" t="s">
        <v>54</v>
      </c>
      <c r="F3251" s="1">
        <v>463.75</v>
      </c>
      <c r="G3251" s="1">
        <v>65.45</v>
      </c>
      <c r="H3251" s="1">
        <v>5.0</v>
      </c>
      <c r="I3251" s="1" t="s">
        <v>34</v>
      </c>
      <c r="J3251" s="1" t="s">
        <v>38</v>
      </c>
      <c r="K3251" s="1">
        <f t="shared" si="1"/>
        <v>2022</v>
      </c>
      <c r="L3251" s="1" t="str">
        <f t="shared" si="2"/>
        <v>Jan</v>
      </c>
      <c r="M3251" s="1" t="str">
        <f t="shared" si="3"/>
        <v>Profit</v>
      </c>
    </row>
    <row r="3252" ht="14.25" customHeight="1">
      <c r="A3252" s="1" t="s">
        <v>3286</v>
      </c>
      <c r="B3252" s="2">
        <v>45123.0</v>
      </c>
      <c r="C3252" s="1" t="s">
        <v>30</v>
      </c>
      <c r="D3252" s="1" t="s">
        <v>27</v>
      </c>
      <c r="E3252" s="1" t="s">
        <v>40</v>
      </c>
      <c r="F3252" s="1">
        <v>386.19</v>
      </c>
      <c r="G3252" s="1">
        <v>104.76</v>
      </c>
      <c r="H3252" s="1">
        <v>10.0</v>
      </c>
      <c r="I3252" s="1" t="s">
        <v>23</v>
      </c>
      <c r="J3252" s="1" t="s">
        <v>38</v>
      </c>
      <c r="K3252" s="1">
        <f t="shared" si="1"/>
        <v>2023</v>
      </c>
      <c r="L3252" s="1" t="str">
        <f t="shared" si="2"/>
        <v>Jul</v>
      </c>
      <c r="M3252" s="1" t="str">
        <f t="shared" si="3"/>
        <v>Profit</v>
      </c>
    </row>
    <row r="3253" ht="14.25" customHeight="1">
      <c r="A3253" s="1" t="s">
        <v>3287</v>
      </c>
      <c r="B3253" s="2">
        <v>45259.0</v>
      </c>
      <c r="C3253" s="1" t="s">
        <v>26</v>
      </c>
      <c r="D3253" s="1" t="s">
        <v>27</v>
      </c>
      <c r="E3253" s="1" t="s">
        <v>40</v>
      </c>
      <c r="F3253" s="1">
        <v>286.95</v>
      </c>
      <c r="G3253" s="1">
        <v>131.48</v>
      </c>
      <c r="H3253" s="1">
        <v>3.0</v>
      </c>
      <c r="I3253" s="1" t="s">
        <v>17</v>
      </c>
      <c r="J3253" s="1" t="s">
        <v>24</v>
      </c>
      <c r="K3253" s="1">
        <f t="shared" si="1"/>
        <v>2023</v>
      </c>
      <c r="L3253" s="1" t="str">
        <f t="shared" si="2"/>
        <v>Nov</v>
      </c>
      <c r="M3253" s="1" t="str">
        <f t="shared" si="3"/>
        <v>Profit</v>
      </c>
    </row>
    <row r="3254" ht="14.25" customHeight="1">
      <c r="A3254" s="1" t="s">
        <v>3288</v>
      </c>
      <c r="B3254" s="2">
        <v>44875.0</v>
      </c>
      <c r="C3254" s="1" t="s">
        <v>20</v>
      </c>
      <c r="D3254" s="1" t="s">
        <v>15</v>
      </c>
      <c r="E3254" s="1" t="s">
        <v>31</v>
      </c>
      <c r="F3254" s="1">
        <v>441.79</v>
      </c>
      <c r="G3254" s="1">
        <v>79.34</v>
      </c>
      <c r="H3254" s="1">
        <v>2.0</v>
      </c>
      <c r="I3254" s="1" t="s">
        <v>34</v>
      </c>
      <c r="J3254" s="1" t="s">
        <v>18</v>
      </c>
      <c r="K3254" s="1">
        <f t="shared" si="1"/>
        <v>2022</v>
      </c>
      <c r="L3254" s="1" t="str">
        <f t="shared" si="2"/>
        <v>Nov</v>
      </c>
      <c r="M3254" s="1" t="str">
        <f t="shared" si="3"/>
        <v>Profit</v>
      </c>
    </row>
    <row r="3255" ht="14.25" customHeight="1">
      <c r="A3255" s="1" t="s">
        <v>3289</v>
      </c>
      <c r="B3255" s="2">
        <v>45148.0</v>
      </c>
      <c r="C3255" s="1" t="s">
        <v>20</v>
      </c>
      <c r="D3255" s="1" t="s">
        <v>27</v>
      </c>
      <c r="E3255" s="1" t="s">
        <v>40</v>
      </c>
      <c r="F3255" s="1">
        <v>422.23</v>
      </c>
      <c r="G3255" s="1">
        <v>168.81</v>
      </c>
      <c r="H3255" s="1">
        <v>7.0</v>
      </c>
      <c r="I3255" s="1" t="s">
        <v>23</v>
      </c>
      <c r="J3255" s="1" t="s">
        <v>38</v>
      </c>
      <c r="K3255" s="1">
        <f t="shared" si="1"/>
        <v>2023</v>
      </c>
      <c r="L3255" s="1" t="str">
        <f t="shared" si="2"/>
        <v>Aug</v>
      </c>
      <c r="M3255" s="1" t="str">
        <f t="shared" si="3"/>
        <v>Profit</v>
      </c>
    </row>
    <row r="3256" ht="14.25" customHeight="1">
      <c r="A3256" s="1" t="s">
        <v>3290</v>
      </c>
      <c r="B3256" s="2">
        <v>44723.0</v>
      </c>
      <c r="C3256" s="1" t="s">
        <v>20</v>
      </c>
      <c r="D3256" s="1" t="s">
        <v>27</v>
      </c>
      <c r="E3256" s="1" t="s">
        <v>33</v>
      </c>
      <c r="F3256" s="1">
        <v>728.61</v>
      </c>
      <c r="G3256" s="1">
        <v>23.96</v>
      </c>
      <c r="H3256" s="1">
        <v>6.0</v>
      </c>
      <c r="I3256" s="1" t="s">
        <v>17</v>
      </c>
      <c r="J3256" s="1" t="s">
        <v>24</v>
      </c>
      <c r="K3256" s="1">
        <f t="shared" si="1"/>
        <v>2022</v>
      </c>
      <c r="L3256" s="1" t="str">
        <f t="shared" si="2"/>
        <v>Jun</v>
      </c>
      <c r="M3256" s="1" t="str">
        <f t="shared" si="3"/>
        <v>Profit</v>
      </c>
    </row>
    <row r="3257" ht="14.25" customHeight="1">
      <c r="A3257" s="1" t="s">
        <v>3291</v>
      </c>
      <c r="B3257" s="2">
        <v>44421.0</v>
      </c>
      <c r="C3257" s="1" t="s">
        <v>26</v>
      </c>
      <c r="D3257" s="1" t="s">
        <v>15</v>
      </c>
      <c r="E3257" s="1" t="s">
        <v>31</v>
      </c>
      <c r="F3257" s="1">
        <v>302.25</v>
      </c>
      <c r="G3257" s="1">
        <v>245.54</v>
      </c>
      <c r="H3257" s="1">
        <v>7.0</v>
      </c>
      <c r="I3257" s="1" t="s">
        <v>23</v>
      </c>
      <c r="J3257" s="1" t="s">
        <v>18</v>
      </c>
      <c r="K3257" s="1">
        <f t="shared" si="1"/>
        <v>2021</v>
      </c>
      <c r="L3257" s="1" t="str">
        <f t="shared" si="2"/>
        <v>Aug</v>
      </c>
      <c r="M3257" s="1" t="str">
        <f t="shared" si="3"/>
        <v>Profit</v>
      </c>
    </row>
    <row r="3258" ht="14.25" customHeight="1">
      <c r="A3258" s="1" t="s">
        <v>3292</v>
      </c>
      <c r="B3258" s="2">
        <v>44345.0</v>
      </c>
      <c r="C3258" s="1" t="s">
        <v>14</v>
      </c>
      <c r="D3258" s="1" t="s">
        <v>21</v>
      </c>
      <c r="E3258" s="1" t="s">
        <v>37</v>
      </c>
      <c r="F3258" s="1">
        <v>461.38</v>
      </c>
      <c r="G3258" s="1">
        <v>-113.52</v>
      </c>
      <c r="H3258" s="1">
        <v>5.0</v>
      </c>
      <c r="I3258" s="1" t="s">
        <v>23</v>
      </c>
      <c r="J3258" s="1" t="s">
        <v>18</v>
      </c>
      <c r="K3258" s="1">
        <f t="shared" si="1"/>
        <v>2021</v>
      </c>
      <c r="L3258" s="1" t="str">
        <f t="shared" si="2"/>
        <v>May</v>
      </c>
      <c r="M3258" s="1" t="str">
        <f t="shared" si="3"/>
        <v>Loss</v>
      </c>
    </row>
    <row r="3259" ht="14.25" customHeight="1">
      <c r="A3259" s="1" t="s">
        <v>3293</v>
      </c>
      <c r="B3259" s="2">
        <v>44526.0</v>
      </c>
      <c r="C3259" s="1" t="s">
        <v>20</v>
      </c>
      <c r="D3259" s="1" t="s">
        <v>15</v>
      </c>
      <c r="E3259" s="1" t="s">
        <v>16</v>
      </c>
      <c r="F3259" s="1">
        <v>113.77</v>
      </c>
      <c r="G3259" s="1">
        <v>228.7</v>
      </c>
      <c r="H3259" s="1">
        <v>1.0</v>
      </c>
      <c r="I3259" s="1" t="s">
        <v>23</v>
      </c>
      <c r="J3259" s="1" t="s">
        <v>24</v>
      </c>
      <c r="K3259" s="1">
        <f t="shared" si="1"/>
        <v>2021</v>
      </c>
      <c r="L3259" s="1" t="str">
        <f t="shared" si="2"/>
        <v>Nov</v>
      </c>
      <c r="M3259" s="1" t="str">
        <f t="shared" si="3"/>
        <v>Profit</v>
      </c>
    </row>
    <row r="3260" ht="14.25" customHeight="1">
      <c r="A3260" s="1" t="s">
        <v>3294</v>
      </c>
      <c r="B3260" s="2">
        <v>44917.0</v>
      </c>
      <c r="C3260" s="1" t="s">
        <v>20</v>
      </c>
      <c r="D3260" s="1" t="s">
        <v>21</v>
      </c>
      <c r="E3260" s="1" t="s">
        <v>22</v>
      </c>
      <c r="F3260" s="1">
        <v>761.66</v>
      </c>
      <c r="G3260" s="1">
        <v>274.49</v>
      </c>
      <c r="H3260" s="1">
        <v>1.0</v>
      </c>
      <c r="I3260" s="1" t="s">
        <v>34</v>
      </c>
      <c r="J3260" s="1" t="s">
        <v>24</v>
      </c>
      <c r="K3260" s="1">
        <f t="shared" si="1"/>
        <v>2022</v>
      </c>
      <c r="L3260" s="1" t="str">
        <f t="shared" si="2"/>
        <v>Dec</v>
      </c>
      <c r="M3260" s="1" t="str">
        <f t="shared" si="3"/>
        <v>Profit</v>
      </c>
    </row>
    <row r="3261" ht="14.25" customHeight="1">
      <c r="A3261" s="1" t="s">
        <v>3295</v>
      </c>
      <c r="B3261" s="2">
        <v>45236.0</v>
      </c>
      <c r="C3261" s="1" t="s">
        <v>14</v>
      </c>
      <c r="D3261" s="1" t="s">
        <v>27</v>
      </c>
      <c r="E3261" s="1" t="s">
        <v>40</v>
      </c>
      <c r="F3261" s="1">
        <v>404.17</v>
      </c>
      <c r="G3261" s="1">
        <v>-189.08</v>
      </c>
      <c r="H3261" s="1">
        <v>9.0</v>
      </c>
      <c r="I3261" s="1" t="s">
        <v>23</v>
      </c>
      <c r="J3261" s="1" t="s">
        <v>38</v>
      </c>
      <c r="K3261" s="1">
        <f t="shared" si="1"/>
        <v>2023</v>
      </c>
      <c r="L3261" s="1" t="str">
        <f t="shared" si="2"/>
        <v>Nov</v>
      </c>
      <c r="M3261" s="1" t="str">
        <f t="shared" si="3"/>
        <v>Loss</v>
      </c>
    </row>
    <row r="3262" ht="14.25" customHeight="1">
      <c r="A3262" s="1" t="s">
        <v>3296</v>
      </c>
      <c r="B3262" s="2">
        <v>44305.0</v>
      </c>
      <c r="C3262" s="1" t="s">
        <v>14</v>
      </c>
      <c r="D3262" s="1" t="s">
        <v>27</v>
      </c>
      <c r="E3262" s="1" t="s">
        <v>33</v>
      </c>
      <c r="F3262" s="1">
        <v>223.12</v>
      </c>
      <c r="G3262" s="1">
        <v>-60.18</v>
      </c>
      <c r="H3262" s="1">
        <v>5.0</v>
      </c>
      <c r="I3262" s="1" t="s">
        <v>23</v>
      </c>
      <c r="J3262" s="1" t="s">
        <v>38</v>
      </c>
      <c r="K3262" s="1">
        <f t="shared" si="1"/>
        <v>2021</v>
      </c>
      <c r="L3262" s="1" t="str">
        <f t="shared" si="2"/>
        <v>Apr</v>
      </c>
      <c r="M3262" s="1" t="str">
        <f t="shared" si="3"/>
        <v>Loss</v>
      </c>
    </row>
    <row r="3263" ht="14.25" customHeight="1">
      <c r="A3263" s="1" t="s">
        <v>3297</v>
      </c>
      <c r="B3263" s="2">
        <v>44495.0</v>
      </c>
      <c r="C3263" s="1" t="s">
        <v>30</v>
      </c>
      <c r="D3263" s="1" t="s">
        <v>15</v>
      </c>
      <c r="E3263" s="1" t="s">
        <v>16</v>
      </c>
      <c r="F3263" s="1">
        <v>141.29</v>
      </c>
      <c r="G3263" s="1">
        <v>206.03</v>
      </c>
      <c r="H3263" s="1">
        <v>1.0</v>
      </c>
      <c r="I3263" s="1" t="s">
        <v>17</v>
      </c>
      <c r="J3263" s="1" t="s">
        <v>24</v>
      </c>
      <c r="K3263" s="1">
        <f t="shared" si="1"/>
        <v>2021</v>
      </c>
      <c r="L3263" s="1" t="str">
        <f t="shared" si="2"/>
        <v>Oct</v>
      </c>
      <c r="M3263" s="1" t="str">
        <f t="shared" si="3"/>
        <v>Profit</v>
      </c>
    </row>
    <row r="3264" ht="14.25" customHeight="1">
      <c r="A3264" s="1" t="s">
        <v>3298</v>
      </c>
      <c r="B3264" s="2">
        <v>44952.0</v>
      </c>
      <c r="C3264" s="1" t="s">
        <v>14</v>
      </c>
      <c r="D3264" s="1" t="s">
        <v>21</v>
      </c>
      <c r="E3264" s="1" t="s">
        <v>22</v>
      </c>
      <c r="F3264" s="1">
        <v>256.56</v>
      </c>
      <c r="G3264" s="1">
        <v>129.34</v>
      </c>
      <c r="H3264" s="1">
        <v>9.0</v>
      </c>
      <c r="I3264" s="1" t="s">
        <v>23</v>
      </c>
      <c r="J3264" s="1" t="s">
        <v>24</v>
      </c>
      <c r="K3264" s="1">
        <f t="shared" si="1"/>
        <v>2023</v>
      </c>
      <c r="L3264" s="1" t="str">
        <f t="shared" si="2"/>
        <v>Jan</v>
      </c>
      <c r="M3264" s="1" t="str">
        <f t="shared" si="3"/>
        <v>Profit</v>
      </c>
    </row>
    <row r="3265" ht="14.25" customHeight="1">
      <c r="A3265" s="1" t="s">
        <v>3299</v>
      </c>
      <c r="B3265" s="2">
        <v>45274.0</v>
      </c>
      <c r="C3265" s="1" t="s">
        <v>26</v>
      </c>
      <c r="D3265" s="1" t="s">
        <v>15</v>
      </c>
      <c r="E3265" s="1" t="s">
        <v>31</v>
      </c>
      <c r="F3265" s="1">
        <v>994.28</v>
      </c>
      <c r="G3265" s="1">
        <v>-116.88</v>
      </c>
      <c r="H3265" s="1">
        <v>6.0</v>
      </c>
      <c r="I3265" s="1" t="s">
        <v>17</v>
      </c>
      <c r="J3265" s="1" t="s">
        <v>24</v>
      </c>
      <c r="K3265" s="1">
        <f t="shared" si="1"/>
        <v>2023</v>
      </c>
      <c r="L3265" s="1" t="str">
        <f t="shared" si="2"/>
        <v>Dec</v>
      </c>
      <c r="M3265" s="1" t="str">
        <f t="shared" si="3"/>
        <v>Loss</v>
      </c>
    </row>
    <row r="3266" ht="14.25" customHeight="1">
      <c r="A3266" s="1" t="s">
        <v>3300</v>
      </c>
      <c r="B3266" s="2">
        <v>44418.0</v>
      </c>
      <c r="C3266" s="1" t="s">
        <v>20</v>
      </c>
      <c r="D3266" s="1" t="s">
        <v>15</v>
      </c>
      <c r="E3266" s="1" t="s">
        <v>54</v>
      </c>
      <c r="F3266" s="1">
        <v>249.83</v>
      </c>
      <c r="G3266" s="1">
        <v>-144.47</v>
      </c>
      <c r="H3266" s="1">
        <v>1.0</v>
      </c>
      <c r="I3266" s="1" t="s">
        <v>23</v>
      </c>
      <c r="J3266" s="1" t="s">
        <v>24</v>
      </c>
      <c r="K3266" s="1">
        <f t="shared" si="1"/>
        <v>2021</v>
      </c>
      <c r="L3266" s="1" t="str">
        <f t="shared" si="2"/>
        <v>Aug</v>
      </c>
      <c r="M3266" s="1" t="str">
        <f t="shared" si="3"/>
        <v>Loss</v>
      </c>
    </row>
    <row r="3267" ht="14.25" customHeight="1">
      <c r="A3267" s="1" t="s">
        <v>3301</v>
      </c>
      <c r="B3267" s="2">
        <v>44673.0</v>
      </c>
      <c r="C3267" s="1" t="s">
        <v>14</v>
      </c>
      <c r="D3267" s="1" t="s">
        <v>21</v>
      </c>
      <c r="E3267" s="1" t="s">
        <v>76</v>
      </c>
      <c r="F3267" s="1">
        <v>913.2</v>
      </c>
      <c r="G3267" s="1">
        <v>-65.67</v>
      </c>
      <c r="H3267" s="1">
        <v>6.0</v>
      </c>
      <c r="I3267" s="1" t="s">
        <v>23</v>
      </c>
      <c r="J3267" s="1" t="s">
        <v>38</v>
      </c>
      <c r="K3267" s="1">
        <f t="shared" si="1"/>
        <v>2022</v>
      </c>
      <c r="L3267" s="1" t="str">
        <f t="shared" si="2"/>
        <v>Apr</v>
      </c>
      <c r="M3267" s="1" t="str">
        <f t="shared" si="3"/>
        <v>Loss</v>
      </c>
    </row>
    <row r="3268" ht="14.25" customHeight="1">
      <c r="A3268" s="1" t="s">
        <v>3302</v>
      </c>
      <c r="B3268" s="2">
        <v>44563.0</v>
      </c>
      <c r="C3268" s="1" t="s">
        <v>26</v>
      </c>
      <c r="D3268" s="1" t="s">
        <v>15</v>
      </c>
      <c r="E3268" s="1" t="s">
        <v>16</v>
      </c>
      <c r="F3268" s="1">
        <v>819.3</v>
      </c>
      <c r="G3268" s="1">
        <v>-137.27</v>
      </c>
      <c r="H3268" s="1">
        <v>4.0</v>
      </c>
      <c r="I3268" s="1" t="s">
        <v>34</v>
      </c>
      <c r="J3268" s="1" t="s">
        <v>18</v>
      </c>
      <c r="K3268" s="1">
        <f t="shared" si="1"/>
        <v>2022</v>
      </c>
      <c r="L3268" s="1" t="str">
        <f t="shared" si="2"/>
        <v>Jan</v>
      </c>
      <c r="M3268" s="1" t="str">
        <f t="shared" si="3"/>
        <v>Loss</v>
      </c>
    </row>
    <row r="3269" ht="14.25" customHeight="1">
      <c r="A3269" s="1" t="s">
        <v>3303</v>
      </c>
      <c r="B3269" s="2">
        <v>44685.0</v>
      </c>
      <c r="C3269" s="1" t="s">
        <v>14</v>
      </c>
      <c r="D3269" s="1" t="s">
        <v>21</v>
      </c>
      <c r="E3269" s="1" t="s">
        <v>37</v>
      </c>
      <c r="F3269" s="1">
        <v>719.14</v>
      </c>
      <c r="G3269" s="1">
        <v>48.16</v>
      </c>
      <c r="H3269" s="1">
        <v>3.0</v>
      </c>
      <c r="I3269" s="1" t="s">
        <v>17</v>
      </c>
      <c r="J3269" s="1" t="s">
        <v>24</v>
      </c>
      <c r="K3269" s="1">
        <f t="shared" si="1"/>
        <v>2022</v>
      </c>
      <c r="L3269" s="1" t="str">
        <f t="shared" si="2"/>
        <v>May</v>
      </c>
      <c r="M3269" s="1" t="str">
        <f t="shared" si="3"/>
        <v>Profit</v>
      </c>
    </row>
    <row r="3270" ht="14.25" customHeight="1">
      <c r="A3270" s="1" t="s">
        <v>3304</v>
      </c>
      <c r="B3270" s="2">
        <v>44686.0</v>
      </c>
      <c r="C3270" s="1" t="s">
        <v>26</v>
      </c>
      <c r="D3270" s="1" t="s">
        <v>21</v>
      </c>
      <c r="E3270" s="1" t="s">
        <v>76</v>
      </c>
      <c r="F3270" s="1">
        <v>43.75</v>
      </c>
      <c r="G3270" s="1">
        <v>53.8</v>
      </c>
      <c r="H3270" s="1">
        <v>4.0</v>
      </c>
      <c r="I3270" s="1" t="s">
        <v>17</v>
      </c>
      <c r="J3270" s="1" t="s">
        <v>38</v>
      </c>
      <c r="K3270" s="1">
        <f t="shared" si="1"/>
        <v>2022</v>
      </c>
      <c r="L3270" s="1" t="str">
        <f t="shared" si="2"/>
        <v>May</v>
      </c>
      <c r="M3270" s="1" t="str">
        <f t="shared" si="3"/>
        <v>Profit</v>
      </c>
    </row>
    <row r="3271" ht="14.25" customHeight="1">
      <c r="A3271" s="1" t="s">
        <v>3305</v>
      </c>
      <c r="B3271" s="2">
        <v>44605.0</v>
      </c>
      <c r="C3271" s="1" t="s">
        <v>14</v>
      </c>
      <c r="D3271" s="1" t="s">
        <v>27</v>
      </c>
      <c r="E3271" s="1" t="s">
        <v>40</v>
      </c>
      <c r="F3271" s="1">
        <v>63.95</v>
      </c>
      <c r="G3271" s="1">
        <v>149.54</v>
      </c>
      <c r="H3271" s="1">
        <v>1.0</v>
      </c>
      <c r="I3271" s="1" t="s">
        <v>34</v>
      </c>
      <c r="J3271" s="1" t="s">
        <v>24</v>
      </c>
      <c r="K3271" s="1">
        <f t="shared" si="1"/>
        <v>2022</v>
      </c>
      <c r="L3271" s="1" t="str">
        <f t="shared" si="2"/>
        <v>Feb</v>
      </c>
      <c r="M3271" s="1" t="str">
        <f t="shared" si="3"/>
        <v>Profit</v>
      </c>
    </row>
    <row r="3272" ht="14.25" customHeight="1">
      <c r="A3272" s="1" t="s">
        <v>3306</v>
      </c>
      <c r="B3272" s="2">
        <v>44517.0</v>
      </c>
      <c r="C3272" s="1" t="s">
        <v>26</v>
      </c>
      <c r="D3272" s="1" t="s">
        <v>21</v>
      </c>
      <c r="E3272" s="1" t="s">
        <v>22</v>
      </c>
      <c r="F3272" s="1">
        <v>124.4</v>
      </c>
      <c r="G3272" s="1">
        <v>-134.8</v>
      </c>
      <c r="H3272" s="1">
        <v>4.0</v>
      </c>
      <c r="I3272" s="1" t="s">
        <v>34</v>
      </c>
      <c r="J3272" s="1" t="s">
        <v>24</v>
      </c>
      <c r="K3272" s="1">
        <f t="shared" si="1"/>
        <v>2021</v>
      </c>
      <c r="L3272" s="1" t="str">
        <f t="shared" si="2"/>
        <v>Nov</v>
      </c>
      <c r="M3272" s="1" t="str">
        <f t="shared" si="3"/>
        <v>Loss</v>
      </c>
    </row>
    <row r="3273" ht="14.25" customHeight="1">
      <c r="A3273" s="1" t="s">
        <v>3307</v>
      </c>
      <c r="B3273" s="2">
        <v>44524.0</v>
      </c>
      <c r="C3273" s="1" t="s">
        <v>30</v>
      </c>
      <c r="D3273" s="1" t="s">
        <v>21</v>
      </c>
      <c r="E3273" s="1" t="s">
        <v>76</v>
      </c>
      <c r="F3273" s="1">
        <v>264.45</v>
      </c>
      <c r="G3273" s="1">
        <v>286.77</v>
      </c>
      <c r="H3273" s="1">
        <v>8.0</v>
      </c>
      <c r="I3273" s="1" t="s">
        <v>17</v>
      </c>
      <c r="J3273" s="1" t="s">
        <v>24</v>
      </c>
      <c r="K3273" s="1">
        <f t="shared" si="1"/>
        <v>2021</v>
      </c>
      <c r="L3273" s="1" t="str">
        <f t="shared" si="2"/>
        <v>Nov</v>
      </c>
      <c r="M3273" s="1" t="str">
        <f t="shared" si="3"/>
        <v>Profit</v>
      </c>
    </row>
    <row r="3274" ht="14.25" customHeight="1">
      <c r="A3274" s="1" t="s">
        <v>3308</v>
      </c>
      <c r="B3274" s="2">
        <v>44998.0</v>
      </c>
      <c r="C3274" s="1" t="s">
        <v>20</v>
      </c>
      <c r="D3274" s="1" t="s">
        <v>15</v>
      </c>
      <c r="E3274" s="1" t="s">
        <v>54</v>
      </c>
      <c r="F3274" s="1">
        <v>449.23</v>
      </c>
      <c r="G3274" s="1">
        <v>292.63</v>
      </c>
      <c r="H3274" s="1">
        <v>7.0</v>
      </c>
      <c r="I3274" s="1" t="s">
        <v>17</v>
      </c>
      <c r="J3274" s="1" t="s">
        <v>24</v>
      </c>
      <c r="K3274" s="1">
        <f t="shared" si="1"/>
        <v>2023</v>
      </c>
      <c r="L3274" s="1" t="str">
        <f t="shared" si="2"/>
        <v>Mar</v>
      </c>
      <c r="M3274" s="1" t="str">
        <f t="shared" si="3"/>
        <v>Profit</v>
      </c>
    </row>
    <row r="3275" ht="14.25" customHeight="1">
      <c r="A3275" s="1" t="s">
        <v>3309</v>
      </c>
      <c r="B3275" s="2">
        <v>44261.0</v>
      </c>
      <c r="C3275" s="1" t="s">
        <v>20</v>
      </c>
      <c r="D3275" s="1" t="s">
        <v>21</v>
      </c>
      <c r="E3275" s="1" t="s">
        <v>76</v>
      </c>
      <c r="F3275" s="1">
        <v>969.05</v>
      </c>
      <c r="G3275" s="1">
        <v>-15.69</v>
      </c>
      <c r="H3275" s="1">
        <v>5.0</v>
      </c>
      <c r="I3275" s="1" t="s">
        <v>34</v>
      </c>
      <c r="J3275" s="1" t="s">
        <v>18</v>
      </c>
      <c r="K3275" s="1">
        <f t="shared" si="1"/>
        <v>2021</v>
      </c>
      <c r="L3275" s="1" t="str">
        <f t="shared" si="2"/>
        <v>Mar</v>
      </c>
      <c r="M3275" s="1" t="str">
        <f t="shared" si="3"/>
        <v>Loss</v>
      </c>
    </row>
    <row r="3276" ht="14.25" customHeight="1">
      <c r="A3276" s="1" t="s">
        <v>3310</v>
      </c>
      <c r="B3276" s="2">
        <v>45269.0</v>
      </c>
      <c r="C3276" s="1" t="s">
        <v>30</v>
      </c>
      <c r="D3276" s="1" t="s">
        <v>21</v>
      </c>
      <c r="E3276" s="1" t="s">
        <v>37</v>
      </c>
      <c r="F3276" s="1">
        <v>443.91</v>
      </c>
      <c r="G3276" s="1">
        <v>-195.28</v>
      </c>
      <c r="H3276" s="1">
        <v>7.0</v>
      </c>
      <c r="I3276" s="1" t="s">
        <v>17</v>
      </c>
      <c r="J3276" s="1" t="s">
        <v>18</v>
      </c>
      <c r="K3276" s="1">
        <f t="shared" si="1"/>
        <v>2023</v>
      </c>
      <c r="L3276" s="1" t="str">
        <f t="shared" si="2"/>
        <v>Dec</v>
      </c>
      <c r="M3276" s="1" t="str">
        <f t="shared" si="3"/>
        <v>Loss</v>
      </c>
    </row>
    <row r="3277" ht="14.25" customHeight="1">
      <c r="A3277" s="1" t="s">
        <v>3311</v>
      </c>
      <c r="B3277" s="2">
        <v>44346.0</v>
      </c>
      <c r="C3277" s="1" t="s">
        <v>26</v>
      </c>
      <c r="D3277" s="1" t="s">
        <v>27</v>
      </c>
      <c r="E3277" s="1" t="s">
        <v>28</v>
      </c>
      <c r="F3277" s="1">
        <v>822.57</v>
      </c>
      <c r="G3277" s="1">
        <v>-58.03</v>
      </c>
      <c r="H3277" s="1">
        <v>10.0</v>
      </c>
      <c r="I3277" s="1" t="s">
        <v>17</v>
      </c>
      <c r="J3277" s="1" t="s">
        <v>24</v>
      </c>
      <c r="K3277" s="1">
        <f t="shared" si="1"/>
        <v>2021</v>
      </c>
      <c r="L3277" s="1" t="str">
        <f t="shared" si="2"/>
        <v>May</v>
      </c>
      <c r="M3277" s="1" t="str">
        <f t="shared" si="3"/>
        <v>Loss</v>
      </c>
    </row>
    <row r="3278" ht="14.25" customHeight="1">
      <c r="A3278" s="1" t="s">
        <v>3312</v>
      </c>
      <c r="B3278" s="2">
        <v>44488.0</v>
      </c>
      <c r="C3278" s="1" t="s">
        <v>14</v>
      </c>
      <c r="D3278" s="1" t="s">
        <v>21</v>
      </c>
      <c r="E3278" s="1" t="s">
        <v>22</v>
      </c>
      <c r="F3278" s="1">
        <v>584.99</v>
      </c>
      <c r="G3278" s="1">
        <v>2.83</v>
      </c>
      <c r="H3278" s="1">
        <v>5.0</v>
      </c>
      <c r="I3278" s="1" t="s">
        <v>23</v>
      </c>
      <c r="J3278" s="1" t="s">
        <v>24</v>
      </c>
      <c r="K3278" s="1">
        <f t="shared" si="1"/>
        <v>2021</v>
      </c>
      <c r="L3278" s="1" t="str">
        <f t="shared" si="2"/>
        <v>Oct</v>
      </c>
      <c r="M3278" s="1" t="str">
        <f t="shared" si="3"/>
        <v>Profit</v>
      </c>
    </row>
    <row r="3279" ht="14.25" customHeight="1">
      <c r="A3279" s="1" t="s">
        <v>3313</v>
      </c>
      <c r="B3279" s="2">
        <v>44838.0</v>
      </c>
      <c r="C3279" s="1" t="s">
        <v>30</v>
      </c>
      <c r="D3279" s="1" t="s">
        <v>21</v>
      </c>
      <c r="E3279" s="1" t="s">
        <v>22</v>
      </c>
      <c r="F3279" s="1">
        <v>374.32</v>
      </c>
      <c r="G3279" s="1">
        <v>-137.53</v>
      </c>
      <c r="H3279" s="1">
        <v>8.0</v>
      </c>
      <c r="I3279" s="1" t="s">
        <v>17</v>
      </c>
      <c r="J3279" s="1" t="s">
        <v>24</v>
      </c>
      <c r="K3279" s="1">
        <f t="shared" si="1"/>
        <v>2022</v>
      </c>
      <c r="L3279" s="1" t="str">
        <f t="shared" si="2"/>
        <v>Oct</v>
      </c>
      <c r="M3279" s="1" t="str">
        <f t="shared" si="3"/>
        <v>Loss</v>
      </c>
    </row>
    <row r="3280" ht="14.25" customHeight="1">
      <c r="A3280" s="1" t="s">
        <v>3314</v>
      </c>
      <c r="B3280" s="2">
        <v>44444.0</v>
      </c>
      <c r="C3280" s="1" t="s">
        <v>14</v>
      </c>
      <c r="D3280" s="1" t="s">
        <v>27</v>
      </c>
      <c r="E3280" s="1" t="s">
        <v>28</v>
      </c>
      <c r="F3280" s="1">
        <v>223.83</v>
      </c>
      <c r="G3280" s="1">
        <v>-104.25</v>
      </c>
      <c r="H3280" s="1">
        <v>9.0</v>
      </c>
      <c r="I3280" s="1" t="s">
        <v>23</v>
      </c>
      <c r="J3280" s="1" t="s">
        <v>38</v>
      </c>
      <c r="K3280" s="1">
        <f t="shared" si="1"/>
        <v>2021</v>
      </c>
      <c r="L3280" s="1" t="str">
        <f t="shared" si="2"/>
        <v>Sep</v>
      </c>
      <c r="M3280" s="1" t="str">
        <f t="shared" si="3"/>
        <v>Loss</v>
      </c>
    </row>
    <row r="3281" ht="14.25" customHeight="1">
      <c r="A3281" s="1" t="s">
        <v>3315</v>
      </c>
      <c r="B3281" s="2">
        <v>44439.0</v>
      </c>
      <c r="C3281" s="1" t="s">
        <v>14</v>
      </c>
      <c r="D3281" s="1" t="s">
        <v>15</v>
      </c>
      <c r="E3281" s="1" t="s">
        <v>16</v>
      </c>
      <c r="F3281" s="1">
        <v>660.44</v>
      </c>
      <c r="G3281" s="1">
        <v>249.89</v>
      </c>
      <c r="H3281" s="1">
        <v>9.0</v>
      </c>
      <c r="I3281" s="1" t="s">
        <v>23</v>
      </c>
      <c r="J3281" s="1" t="s">
        <v>24</v>
      </c>
      <c r="K3281" s="1">
        <f t="shared" si="1"/>
        <v>2021</v>
      </c>
      <c r="L3281" s="1" t="str">
        <f t="shared" si="2"/>
        <v>Aug</v>
      </c>
      <c r="M3281" s="1" t="str">
        <f t="shared" si="3"/>
        <v>Profit</v>
      </c>
    </row>
    <row r="3282" ht="14.25" customHeight="1">
      <c r="A3282" s="1" t="s">
        <v>3316</v>
      </c>
      <c r="B3282" s="2">
        <v>45074.0</v>
      </c>
      <c r="C3282" s="1" t="s">
        <v>26</v>
      </c>
      <c r="D3282" s="1" t="s">
        <v>15</v>
      </c>
      <c r="E3282" s="1" t="s">
        <v>54</v>
      </c>
      <c r="F3282" s="1">
        <v>711.3</v>
      </c>
      <c r="G3282" s="1">
        <v>-165.67</v>
      </c>
      <c r="H3282" s="1">
        <v>10.0</v>
      </c>
      <c r="I3282" s="1" t="s">
        <v>34</v>
      </c>
      <c r="J3282" s="1" t="s">
        <v>18</v>
      </c>
      <c r="K3282" s="1">
        <f t="shared" si="1"/>
        <v>2023</v>
      </c>
      <c r="L3282" s="1" t="str">
        <f t="shared" si="2"/>
        <v>May</v>
      </c>
      <c r="M3282" s="1" t="str">
        <f t="shared" si="3"/>
        <v>Loss</v>
      </c>
    </row>
    <row r="3283" ht="14.25" customHeight="1">
      <c r="A3283" s="1" t="s">
        <v>3317</v>
      </c>
      <c r="B3283" s="2">
        <v>44513.0</v>
      </c>
      <c r="C3283" s="1" t="s">
        <v>20</v>
      </c>
      <c r="D3283" s="1" t="s">
        <v>21</v>
      </c>
      <c r="E3283" s="1" t="s">
        <v>22</v>
      </c>
      <c r="F3283" s="1">
        <v>101.44</v>
      </c>
      <c r="G3283" s="1">
        <v>5.14</v>
      </c>
      <c r="H3283" s="1">
        <v>2.0</v>
      </c>
      <c r="I3283" s="1" t="s">
        <v>34</v>
      </c>
      <c r="J3283" s="1" t="s">
        <v>35</v>
      </c>
      <c r="K3283" s="1">
        <f t="shared" si="1"/>
        <v>2021</v>
      </c>
      <c r="L3283" s="1" t="str">
        <f t="shared" si="2"/>
        <v>Nov</v>
      </c>
      <c r="M3283" s="1" t="str">
        <f t="shared" si="3"/>
        <v>Profit</v>
      </c>
    </row>
    <row r="3284" ht="14.25" customHeight="1">
      <c r="A3284" s="1" t="s">
        <v>3318</v>
      </c>
      <c r="B3284" s="2">
        <v>45288.0</v>
      </c>
      <c r="C3284" s="1" t="s">
        <v>20</v>
      </c>
      <c r="D3284" s="1" t="s">
        <v>15</v>
      </c>
      <c r="E3284" s="1" t="s">
        <v>31</v>
      </c>
      <c r="F3284" s="1">
        <v>886.19</v>
      </c>
      <c r="G3284" s="1">
        <v>136.56</v>
      </c>
      <c r="H3284" s="1">
        <v>5.0</v>
      </c>
      <c r="I3284" s="1" t="s">
        <v>17</v>
      </c>
      <c r="J3284" s="1" t="s">
        <v>38</v>
      </c>
      <c r="K3284" s="1">
        <f t="shared" si="1"/>
        <v>2023</v>
      </c>
      <c r="L3284" s="1" t="str">
        <f t="shared" si="2"/>
        <v>Dec</v>
      </c>
      <c r="M3284" s="1" t="str">
        <f t="shared" si="3"/>
        <v>Profit</v>
      </c>
    </row>
    <row r="3285" ht="14.25" customHeight="1">
      <c r="A3285" s="1" t="s">
        <v>3319</v>
      </c>
      <c r="B3285" s="2">
        <v>44904.0</v>
      </c>
      <c r="C3285" s="1" t="s">
        <v>30</v>
      </c>
      <c r="D3285" s="1" t="s">
        <v>21</v>
      </c>
      <c r="E3285" s="1" t="s">
        <v>76</v>
      </c>
      <c r="F3285" s="1">
        <v>89.63</v>
      </c>
      <c r="G3285" s="1">
        <v>89.04</v>
      </c>
      <c r="H3285" s="1">
        <v>2.0</v>
      </c>
      <c r="I3285" s="1" t="s">
        <v>23</v>
      </c>
      <c r="J3285" s="1" t="s">
        <v>24</v>
      </c>
      <c r="K3285" s="1">
        <f t="shared" si="1"/>
        <v>2022</v>
      </c>
      <c r="L3285" s="1" t="str">
        <f t="shared" si="2"/>
        <v>Dec</v>
      </c>
      <c r="M3285" s="1" t="str">
        <f t="shared" si="3"/>
        <v>Profit</v>
      </c>
    </row>
    <row r="3286" ht="14.25" customHeight="1">
      <c r="A3286" s="1" t="s">
        <v>3320</v>
      </c>
      <c r="B3286" s="2">
        <v>44348.0</v>
      </c>
      <c r="C3286" s="1" t="s">
        <v>20</v>
      </c>
      <c r="D3286" s="1" t="s">
        <v>21</v>
      </c>
      <c r="E3286" s="1" t="s">
        <v>22</v>
      </c>
      <c r="F3286" s="1">
        <v>533.93</v>
      </c>
      <c r="G3286" s="1">
        <v>32.34</v>
      </c>
      <c r="H3286" s="1">
        <v>10.0</v>
      </c>
      <c r="I3286" s="1" t="s">
        <v>34</v>
      </c>
      <c r="J3286" s="1" t="s">
        <v>35</v>
      </c>
      <c r="K3286" s="1">
        <f t="shared" si="1"/>
        <v>2021</v>
      </c>
      <c r="L3286" s="1" t="str">
        <f t="shared" si="2"/>
        <v>Jun</v>
      </c>
      <c r="M3286" s="1" t="str">
        <f t="shared" si="3"/>
        <v>Profit</v>
      </c>
    </row>
    <row r="3287" ht="14.25" customHeight="1">
      <c r="A3287" s="1" t="s">
        <v>3321</v>
      </c>
      <c r="B3287" s="2">
        <v>45219.0</v>
      </c>
      <c r="C3287" s="1" t="s">
        <v>14</v>
      </c>
      <c r="D3287" s="1" t="s">
        <v>21</v>
      </c>
      <c r="E3287" s="1" t="s">
        <v>37</v>
      </c>
      <c r="F3287" s="1">
        <v>526.51</v>
      </c>
      <c r="G3287" s="1">
        <v>-180.46</v>
      </c>
      <c r="H3287" s="1">
        <v>4.0</v>
      </c>
      <c r="I3287" s="1" t="s">
        <v>34</v>
      </c>
      <c r="J3287" s="1" t="s">
        <v>35</v>
      </c>
      <c r="K3287" s="1">
        <f t="shared" si="1"/>
        <v>2023</v>
      </c>
      <c r="L3287" s="1" t="str">
        <f t="shared" si="2"/>
        <v>Oct</v>
      </c>
      <c r="M3287" s="1" t="str">
        <f t="shared" si="3"/>
        <v>Loss</v>
      </c>
    </row>
    <row r="3288" ht="14.25" customHeight="1">
      <c r="A3288" s="1" t="s">
        <v>3322</v>
      </c>
      <c r="B3288" s="2">
        <v>44470.0</v>
      </c>
      <c r="C3288" s="1" t="s">
        <v>26</v>
      </c>
      <c r="D3288" s="1" t="s">
        <v>15</v>
      </c>
      <c r="E3288" s="1" t="s">
        <v>31</v>
      </c>
      <c r="F3288" s="1">
        <v>925.42</v>
      </c>
      <c r="G3288" s="1">
        <v>269.87</v>
      </c>
      <c r="H3288" s="1">
        <v>4.0</v>
      </c>
      <c r="I3288" s="1" t="s">
        <v>17</v>
      </c>
      <c r="J3288" s="1" t="s">
        <v>35</v>
      </c>
      <c r="K3288" s="1">
        <f t="shared" si="1"/>
        <v>2021</v>
      </c>
      <c r="L3288" s="1" t="str">
        <f t="shared" si="2"/>
        <v>Oct</v>
      </c>
      <c r="M3288" s="1" t="str">
        <f t="shared" si="3"/>
        <v>Profit</v>
      </c>
    </row>
    <row r="3289" ht="14.25" customHeight="1">
      <c r="A3289" s="1" t="s">
        <v>3323</v>
      </c>
      <c r="B3289" s="2">
        <v>44952.0</v>
      </c>
      <c r="C3289" s="1" t="s">
        <v>20</v>
      </c>
      <c r="D3289" s="1" t="s">
        <v>27</v>
      </c>
      <c r="E3289" s="1" t="s">
        <v>33</v>
      </c>
      <c r="F3289" s="1">
        <v>94.36</v>
      </c>
      <c r="G3289" s="1">
        <v>125.23</v>
      </c>
      <c r="H3289" s="1">
        <v>5.0</v>
      </c>
      <c r="I3289" s="1" t="s">
        <v>23</v>
      </c>
      <c r="J3289" s="1" t="s">
        <v>24</v>
      </c>
      <c r="K3289" s="1">
        <f t="shared" si="1"/>
        <v>2023</v>
      </c>
      <c r="L3289" s="1" t="str">
        <f t="shared" si="2"/>
        <v>Jan</v>
      </c>
      <c r="M3289" s="1" t="str">
        <f t="shared" si="3"/>
        <v>Profit</v>
      </c>
    </row>
    <row r="3290" ht="14.25" customHeight="1">
      <c r="A3290" s="1" t="s">
        <v>3324</v>
      </c>
      <c r="B3290" s="2">
        <v>44266.0</v>
      </c>
      <c r="C3290" s="1" t="s">
        <v>14</v>
      </c>
      <c r="D3290" s="1" t="s">
        <v>15</v>
      </c>
      <c r="E3290" s="1" t="s">
        <v>31</v>
      </c>
      <c r="F3290" s="1">
        <v>661.55</v>
      </c>
      <c r="G3290" s="1">
        <v>290.45</v>
      </c>
      <c r="H3290" s="1">
        <v>4.0</v>
      </c>
      <c r="I3290" s="1" t="s">
        <v>17</v>
      </c>
      <c r="J3290" s="1" t="s">
        <v>35</v>
      </c>
      <c r="K3290" s="1">
        <f t="shared" si="1"/>
        <v>2021</v>
      </c>
      <c r="L3290" s="1" t="str">
        <f t="shared" si="2"/>
        <v>Mar</v>
      </c>
      <c r="M3290" s="1" t="str">
        <f t="shared" si="3"/>
        <v>Profit</v>
      </c>
    </row>
    <row r="3291" ht="14.25" customHeight="1">
      <c r="A3291" s="1" t="s">
        <v>3325</v>
      </c>
      <c r="B3291" s="2">
        <v>44395.0</v>
      </c>
      <c r="C3291" s="1" t="s">
        <v>30</v>
      </c>
      <c r="D3291" s="1" t="s">
        <v>21</v>
      </c>
      <c r="E3291" s="1" t="s">
        <v>22</v>
      </c>
      <c r="F3291" s="1">
        <v>484.31</v>
      </c>
      <c r="G3291" s="1">
        <v>11.51</v>
      </c>
      <c r="H3291" s="1">
        <v>6.0</v>
      </c>
      <c r="I3291" s="1" t="s">
        <v>23</v>
      </c>
      <c r="J3291" s="1" t="s">
        <v>35</v>
      </c>
      <c r="K3291" s="1">
        <f t="shared" si="1"/>
        <v>2021</v>
      </c>
      <c r="L3291" s="1" t="str">
        <f t="shared" si="2"/>
        <v>Jul</v>
      </c>
      <c r="M3291" s="1" t="str">
        <f t="shared" si="3"/>
        <v>Profit</v>
      </c>
    </row>
    <row r="3292" ht="14.25" customHeight="1">
      <c r="A3292" s="1" t="s">
        <v>3326</v>
      </c>
      <c r="B3292" s="2">
        <v>44747.0</v>
      </c>
      <c r="C3292" s="1" t="s">
        <v>20</v>
      </c>
      <c r="D3292" s="1" t="s">
        <v>15</v>
      </c>
      <c r="E3292" s="1" t="s">
        <v>16</v>
      </c>
      <c r="F3292" s="1">
        <v>26.71</v>
      </c>
      <c r="G3292" s="1">
        <v>236.73</v>
      </c>
      <c r="H3292" s="1">
        <v>2.0</v>
      </c>
      <c r="I3292" s="1" t="s">
        <v>34</v>
      </c>
      <c r="J3292" s="1" t="s">
        <v>35</v>
      </c>
      <c r="K3292" s="1">
        <f t="shared" si="1"/>
        <v>2022</v>
      </c>
      <c r="L3292" s="1" t="str">
        <f t="shared" si="2"/>
        <v>Jul</v>
      </c>
      <c r="M3292" s="1" t="str">
        <f t="shared" si="3"/>
        <v>Profit</v>
      </c>
    </row>
    <row r="3293" ht="14.25" customHeight="1">
      <c r="A3293" s="1" t="s">
        <v>3327</v>
      </c>
      <c r="B3293" s="2">
        <v>44817.0</v>
      </c>
      <c r="C3293" s="1" t="s">
        <v>14</v>
      </c>
      <c r="D3293" s="1" t="s">
        <v>15</v>
      </c>
      <c r="E3293" s="1" t="s">
        <v>31</v>
      </c>
      <c r="F3293" s="1">
        <v>419.19</v>
      </c>
      <c r="G3293" s="1">
        <v>157.38</v>
      </c>
      <c r="H3293" s="1">
        <v>4.0</v>
      </c>
      <c r="I3293" s="1" t="s">
        <v>34</v>
      </c>
      <c r="J3293" s="1" t="s">
        <v>18</v>
      </c>
      <c r="K3293" s="1">
        <f t="shared" si="1"/>
        <v>2022</v>
      </c>
      <c r="L3293" s="1" t="str">
        <f t="shared" si="2"/>
        <v>Sep</v>
      </c>
      <c r="M3293" s="1" t="str">
        <f t="shared" si="3"/>
        <v>Profit</v>
      </c>
    </row>
    <row r="3294" ht="14.25" customHeight="1">
      <c r="A3294" s="1" t="s">
        <v>3328</v>
      </c>
      <c r="B3294" s="2">
        <v>44319.0</v>
      </c>
      <c r="C3294" s="1" t="s">
        <v>20</v>
      </c>
      <c r="D3294" s="1" t="s">
        <v>15</v>
      </c>
      <c r="E3294" s="1" t="s">
        <v>31</v>
      </c>
      <c r="F3294" s="1">
        <v>694.5</v>
      </c>
      <c r="G3294" s="1">
        <v>-95.25</v>
      </c>
      <c r="H3294" s="1">
        <v>6.0</v>
      </c>
      <c r="I3294" s="1" t="s">
        <v>17</v>
      </c>
      <c r="J3294" s="1" t="s">
        <v>38</v>
      </c>
      <c r="K3294" s="1">
        <f t="shared" si="1"/>
        <v>2021</v>
      </c>
      <c r="L3294" s="1" t="str">
        <f t="shared" si="2"/>
        <v>May</v>
      </c>
      <c r="M3294" s="1" t="str">
        <f t="shared" si="3"/>
        <v>Loss</v>
      </c>
    </row>
    <row r="3295" ht="14.25" customHeight="1">
      <c r="A3295" s="1" t="s">
        <v>3329</v>
      </c>
      <c r="B3295" s="2">
        <v>44379.0</v>
      </c>
      <c r="C3295" s="1" t="s">
        <v>26</v>
      </c>
      <c r="D3295" s="1" t="s">
        <v>21</v>
      </c>
      <c r="E3295" s="1" t="s">
        <v>76</v>
      </c>
      <c r="F3295" s="1">
        <v>853.5</v>
      </c>
      <c r="G3295" s="1">
        <v>128.01</v>
      </c>
      <c r="H3295" s="1">
        <v>2.0</v>
      </c>
      <c r="I3295" s="1" t="s">
        <v>23</v>
      </c>
      <c r="J3295" s="1" t="s">
        <v>38</v>
      </c>
      <c r="K3295" s="1">
        <f t="shared" si="1"/>
        <v>2021</v>
      </c>
      <c r="L3295" s="1" t="str">
        <f t="shared" si="2"/>
        <v>Jul</v>
      </c>
      <c r="M3295" s="1" t="str">
        <f t="shared" si="3"/>
        <v>Profit</v>
      </c>
    </row>
    <row r="3296" ht="14.25" customHeight="1">
      <c r="A3296" s="1" t="s">
        <v>3330</v>
      </c>
      <c r="B3296" s="2">
        <v>45136.0</v>
      </c>
      <c r="C3296" s="1" t="s">
        <v>30</v>
      </c>
      <c r="D3296" s="1" t="s">
        <v>21</v>
      </c>
      <c r="E3296" s="1" t="s">
        <v>22</v>
      </c>
      <c r="F3296" s="1">
        <v>120.65</v>
      </c>
      <c r="G3296" s="1">
        <v>-100.59</v>
      </c>
      <c r="H3296" s="1">
        <v>3.0</v>
      </c>
      <c r="I3296" s="1" t="s">
        <v>23</v>
      </c>
      <c r="J3296" s="1" t="s">
        <v>18</v>
      </c>
      <c r="K3296" s="1">
        <f t="shared" si="1"/>
        <v>2023</v>
      </c>
      <c r="L3296" s="1" t="str">
        <f t="shared" si="2"/>
        <v>Jul</v>
      </c>
      <c r="M3296" s="1" t="str">
        <f t="shared" si="3"/>
        <v>Loss</v>
      </c>
    </row>
    <row r="3297" ht="14.25" customHeight="1">
      <c r="A3297" s="1" t="s">
        <v>3331</v>
      </c>
      <c r="B3297" s="2">
        <v>44905.0</v>
      </c>
      <c r="C3297" s="1" t="s">
        <v>30</v>
      </c>
      <c r="D3297" s="1" t="s">
        <v>21</v>
      </c>
      <c r="E3297" s="1" t="s">
        <v>37</v>
      </c>
      <c r="F3297" s="1">
        <v>613.0</v>
      </c>
      <c r="G3297" s="1">
        <v>79.05</v>
      </c>
      <c r="H3297" s="1">
        <v>9.0</v>
      </c>
      <c r="I3297" s="1" t="s">
        <v>23</v>
      </c>
      <c r="J3297" s="1" t="s">
        <v>18</v>
      </c>
      <c r="K3297" s="1">
        <f t="shared" si="1"/>
        <v>2022</v>
      </c>
      <c r="L3297" s="1" t="str">
        <f t="shared" si="2"/>
        <v>Dec</v>
      </c>
      <c r="M3297" s="1" t="str">
        <f t="shared" si="3"/>
        <v>Profit</v>
      </c>
    </row>
    <row r="3298" ht="14.25" customHeight="1">
      <c r="A3298" s="1" t="s">
        <v>3332</v>
      </c>
      <c r="B3298" s="2">
        <v>45008.0</v>
      </c>
      <c r="C3298" s="1" t="s">
        <v>14</v>
      </c>
      <c r="D3298" s="1" t="s">
        <v>21</v>
      </c>
      <c r="E3298" s="1" t="s">
        <v>76</v>
      </c>
      <c r="F3298" s="1">
        <v>717.42</v>
      </c>
      <c r="G3298" s="1">
        <v>18.2</v>
      </c>
      <c r="H3298" s="1">
        <v>5.0</v>
      </c>
      <c r="I3298" s="1" t="s">
        <v>23</v>
      </c>
      <c r="J3298" s="1" t="s">
        <v>24</v>
      </c>
      <c r="K3298" s="1">
        <f t="shared" si="1"/>
        <v>2023</v>
      </c>
      <c r="L3298" s="1" t="str">
        <f t="shared" si="2"/>
        <v>Mar</v>
      </c>
      <c r="M3298" s="1" t="str">
        <f t="shared" si="3"/>
        <v>Profit</v>
      </c>
    </row>
    <row r="3299" ht="14.25" customHeight="1">
      <c r="A3299" s="1" t="s">
        <v>3333</v>
      </c>
      <c r="B3299" s="2">
        <v>44764.0</v>
      </c>
      <c r="C3299" s="1" t="s">
        <v>26</v>
      </c>
      <c r="D3299" s="1" t="s">
        <v>21</v>
      </c>
      <c r="E3299" s="1" t="s">
        <v>37</v>
      </c>
      <c r="F3299" s="1">
        <v>176.81</v>
      </c>
      <c r="G3299" s="1">
        <v>289.85</v>
      </c>
      <c r="H3299" s="1">
        <v>1.0</v>
      </c>
      <c r="I3299" s="1" t="s">
        <v>23</v>
      </c>
      <c r="J3299" s="1" t="s">
        <v>35</v>
      </c>
      <c r="K3299" s="1">
        <f t="shared" si="1"/>
        <v>2022</v>
      </c>
      <c r="L3299" s="1" t="str">
        <f t="shared" si="2"/>
        <v>Jul</v>
      </c>
      <c r="M3299" s="1" t="str">
        <f t="shared" si="3"/>
        <v>Profit</v>
      </c>
    </row>
    <row r="3300" ht="14.25" customHeight="1">
      <c r="A3300" s="1" t="s">
        <v>3334</v>
      </c>
      <c r="B3300" s="2">
        <v>45256.0</v>
      </c>
      <c r="C3300" s="1" t="s">
        <v>30</v>
      </c>
      <c r="D3300" s="1" t="s">
        <v>15</v>
      </c>
      <c r="E3300" s="1" t="s">
        <v>16</v>
      </c>
      <c r="F3300" s="1">
        <v>794.0</v>
      </c>
      <c r="G3300" s="1">
        <v>203.03</v>
      </c>
      <c r="H3300" s="1">
        <v>10.0</v>
      </c>
      <c r="I3300" s="1" t="s">
        <v>17</v>
      </c>
      <c r="J3300" s="1" t="s">
        <v>38</v>
      </c>
      <c r="K3300" s="1">
        <f t="shared" si="1"/>
        <v>2023</v>
      </c>
      <c r="L3300" s="1" t="str">
        <f t="shared" si="2"/>
        <v>Nov</v>
      </c>
      <c r="M3300" s="1" t="str">
        <f t="shared" si="3"/>
        <v>Profit</v>
      </c>
    </row>
    <row r="3301" ht="14.25" customHeight="1">
      <c r="A3301" s="1" t="s">
        <v>3335</v>
      </c>
      <c r="B3301" s="2">
        <v>44367.0</v>
      </c>
      <c r="C3301" s="1" t="s">
        <v>30</v>
      </c>
      <c r="D3301" s="1" t="s">
        <v>27</v>
      </c>
      <c r="E3301" s="1" t="s">
        <v>28</v>
      </c>
      <c r="F3301" s="1">
        <v>63.35</v>
      </c>
      <c r="G3301" s="1">
        <v>123.68</v>
      </c>
      <c r="H3301" s="1">
        <v>10.0</v>
      </c>
      <c r="I3301" s="1" t="s">
        <v>34</v>
      </c>
      <c r="J3301" s="1" t="s">
        <v>18</v>
      </c>
      <c r="K3301" s="1">
        <f t="shared" si="1"/>
        <v>2021</v>
      </c>
      <c r="L3301" s="1" t="str">
        <f t="shared" si="2"/>
        <v>Jun</v>
      </c>
      <c r="M3301" s="1" t="str">
        <f t="shared" si="3"/>
        <v>Profit</v>
      </c>
    </row>
    <row r="3302" ht="14.25" customHeight="1">
      <c r="A3302" s="1" t="s">
        <v>3336</v>
      </c>
      <c r="B3302" s="2">
        <v>45053.0</v>
      </c>
      <c r="C3302" s="1" t="s">
        <v>30</v>
      </c>
      <c r="D3302" s="1" t="s">
        <v>27</v>
      </c>
      <c r="E3302" s="1" t="s">
        <v>40</v>
      </c>
      <c r="F3302" s="1">
        <v>815.21</v>
      </c>
      <c r="G3302" s="1">
        <v>-59.82</v>
      </c>
      <c r="H3302" s="1">
        <v>9.0</v>
      </c>
      <c r="I3302" s="1" t="s">
        <v>17</v>
      </c>
      <c r="J3302" s="1" t="s">
        <v>38</v>
      </c>
      <c r="K3302" s="1">
        <f t="shared" si="1"/>
        <v>2023</v>
      </c>
      <c r="L3302" s="1" t="str">
        <f t="shared" si="2"/>
        <v>May</v>
      </c>
      <c r="M3302" s="1" t="str">
        <f t="shared" si="3"/>
        <v>Loss</v>
      </c>
    </row>
    <row r="3303" ht="14.25" customHeight="1">
      <c r="A3303" s="1" t="s">
        <v>3337</v>
      </c>
      <c r="B3303" s="2">
        <v>45267.0</v>
      </c>
      <c r="C3303" s="1" t="s">
        <v>26</v>
      </c>
      <c r="D3303" s="1" t="s">
        <v>27</v>
      </c>
      <c r="E3303" s="1" t="s">
        <v>28</v>
      </c>
      <c r="F3303" s="1">
        <v>169.33</v>
      </c>
      <c r="G3303" s="1">
        <v>-69.75</v>
      </c>
      <c r="H3303" s="1">
        <v>2.0</v>
      </c>
      <c r="I3303" s="1" t="s">
        <v>23</v>
      </c>
      <c r="J3303" s="1" t="s">
        <v>24</v>
      </c>
      <c r="K3303" s="1">
        <f t="shared" si="1"/>
        <v>2023</v>
      </c>
      <c r="L3303" s="1" t="str">
        <f t="shared" si="2"/>
        <v>Dec</v>
      </c>
      <c r="M3303" s="1" t="str">
        <f t="shared" si="3"/>
        <v>Loss</v>
      </c>
    </row>
    <row r="3304" ht="14.25" customHeight="1">
      <c r="A3304" s="1" t="s">
        <v>3338</v>
      </c>
      <c r="B3304" s="2">
        <v>45045.0</v>
      </c>
      <c r="C3304" s="1" t="s">
        <v>30</v>
      </c>
      <c r="D3304" s="1" t="s">
        <v>27</v>
      </c>
      <c r="E3304" s="1" t="s">
        <v>28</v>
      </c>
      <c r="F3304" s="1">
        <v>118.58</v>
      </c>
      <c r="G3304" s="1">
        <v>-65.67</v>
      </c>
      <c r="H3304" s="1">
        <v>5.0</v>
      </c>
      <c r="I3304" s="1" t="s">
        <v>23</v>
      </c>
      <c r="J3304" s="1" t="s">
        <v>18</v>
      </c>
      <c r="K3304" s="1">
        <f t="shared" si="1"/>
        <v>2023</v>
      </c>
      <c r="L3304" s="1" t="str">
        <f t="shared" si="2"/>
        <v>Apr</v>
      </c>
      <c r="M3304" s="1" t="str">
        <f t="shared" si="3"/>
        <v>Loss</v>
      </c>
    </row>
    <row r="3305" ht="14.25" customHeight="1">
      <c r="A3305" s="1" t="s">
        <v>3339</v>
      </c>
      <c r="B3305" s="2">
        <v>45195.0</v>
      </c>
      <c r="C3305" s="1" t="s">
        <v>14</v>
      </c>
      <c r="D3305" s="1" t="s">
        <v>15</v>
      </c>
      <c r="E3305" s="1" t="s">
        <v>16</v>
      </c>
      <c r="F3305" s="1">
        <v>385.38</v>
      </c>
      <c r="G3305" s="1">
        <v>-128.9</v>
      </c>
      <c r="H3305" s="1">
        <v>8.0</v>
      </c>
      <c r="I3305" s="1" t="s">
        <v>17</v>
      </c>
      <c r="J3305" s="1" t="s">
        <v>18</v>
      </c>
      <c r="K3305" s="1">
        <f t="shared" si="1"/>
        <v>2023</v>
      </c>
      <c r="L3305" s="1" t="str">
        <f t="shared" si="2"/>
        <v>Sep</v>
      </c>
      <c r="M3305" s="1" t="str">
        <f t="shared" si="3"/>
        <v>Loss</v>
      </c>
    </row>
    <row r="3306" ht="14.25" customHeight="1">
      <c r="A3306" s="1" t="s">
        <v>3340</v>
      </c>
      <c r="B3306" s="2">
        <v>45019.0</v>
      </c>
      <c r="C3306" s="1" t="s">
        <v>14</v>
      </c>
      <c r="D3306" s="1" t="s">
        <v>21</v>
      </c>
      <c r="E3306" s="1" t="s">
        <v>76</v>
      </c>
      <c r="F3306" s="1">
        <v>122.17</v>
      </c>
      <c r="G3306" s="1">
        <v>-22.04</v>
      </c>
      <c r="H3306" s="1">
        <v>9.0</v>
      </c>
      <c r="I3306" s="1" t="s">
        <v>34</v>
      </c>
      <c r="J3306" s="1" t="s">
        <v>24</v>
      </c>
      <c r="K3306" s="1">
        <f t="shared" si="1"/>
        <v>2023</v>
      </c>
      <c r="L3306" s="1" t="str">
        <f t="shared" si="2"/>
        <v>Apr</v>
      </c>
      <c r="M3306" s="1" t="str">
        <f t="shared" si="3"/>
        <v>Loss</v>
      </c>
    </row>
    <row r="3307" ht="14.25" customHeight="1">
      <c r="A3307" s="1" t="s">
        <v>3341</v>
      </c>
      <c r="B3307" s="2">
        <v>45123.0</v>
      </c>
      <c r="C3307" s="1" t="s">
        <v>26</v>
      </c>
      <c r="D3307" s="1" t="s">
        <v>15</v>
      </c>
      <c r="E3307" s="1" t="s">
        <v>31</v>
      </c>
      <c r="F3307" s="1">
        <v>634.45</v>
      </c>
      <c r="G3307" s="1">
        <v>-50.28</v>
      </c>
      <c r="H3307" s="1">
        <v>6.0</v>
      </c>
      <c r="I3307" s="1" t="s">
        <v>23</v>
      </c>
      <c r="J3307" s="1" t="s">
        <v>38</v>
      </c>
      <c r="K3307" s="1">
        <f t="shared" si="1"/>
        <v>2023</v>
      </c>
      <c r="L3307" s="1" t="str">
        <f t="shared" si="2"/>
        <v>Jul</v>
      </c>
      <c r="M3307" s="1" t="str">
        <f t="shared" si="3"/>
        <v>Loss</v>
      </c>
    </row>
    <row r="3308" ht="14.25" customHeight="1">
      <c r="A3308" s="1" t="s">
        <v>3342</v>
      </c>
      <c r="B3308" s="2">
        <v>44622.0</v>
      </c>
      <c r="C3308" s="1" t="s">
        <v>20</v>
      </c>
      <c r="D3308" s="1" t="s">
        <v>21</v>
      </c>
      <c r="E3308" s="1" t="s">
        <v>22</v>
      </c>
      <c r="F3308" s="1">
        <v>641.37</v>
      </c>
      <c r="G3308" s="1">
        <v>268.51</v>
      </c>
      <c r="H3308" s="1">
        <v>4.0</v>
      </c>
      <c r="I3308" s="1" t="s">
        <v>34</v>
      </c>
      <c r="J3308" s="1" t="s">
        <v>24</v>
      </c>
      <c r="K3308" s="1">
        <f t="shared" si="1"/>
        <v>2022</v>
      </c>
      <c r="L3308" s="1" t="str">
        <f t="shared" si="2"/>
        <v>Mar</v>
      </c>
      <c r="M3308" s="1" t="str">
        <f t="shared" si="3"/>
        <v>Profit</v>
      </c>
    </row>
    <row r="3309" ht="14.25" customHeight="1">
      <c r="A3309" s="1" t="s">
        <v>3343</v>
      </c>
      <c r="B3309" s="2">
        <v>44996.0</v>
      </c>
      <c r="C3309" s="1" t="s">
        <v>30</v>
      </c>
      <c r="D3309" s="1" t="s">
        <v>21</v>
      </c>
      <c r="E3309" s="1" t="s">
        <v>22</v>
      </c>
      <c r="F3309" s="1">
        <v>384.16</v>
      </c>
      <c r="G3309" s="1">
        <v>190.5</v>
      </c>
      <c r="H3309" s="1">
        <v>6.0</v>
      </c>
      <c r="I3309" s="1" t="s">
        <v>34</v>
      </c>
      <c r="J3309" s="1" t="s">
        <v>38</v>
      </c>
      <c r="K3309" s="1">
        <f t="shared" si="1"/>
        <v>2023</v>
      </c>
      <c r="L3309" s="1" t="str">
        <f t="shared" si="2"/>
        <v>Mar</v>
      </c>
      <c r="M3309" s="1" t="str">
        <f t="shared" si="3"/>
        <v>Profit</v>
      </c>
    </row>
    <row r="3310" ht="14.25" customHeight="1">
      <c r="A3310" s="1" t="s">
        <v>3344</v>
      </c>
      <c r="B3310" s="2">
        <v>45155.0</v>
      </c>
      <c r="C3310" s="1" t="s">
        <v>30</v>
      </c>
      <c r="D3310" s="1" t="s">
        <v>27</v>
      </c>
      <c r="E3310" s="1" t="s">
        <v>33</v>
      </c>
      <c r="F3310" s="1">
        <v>317.63</v>
      </c>
      <c r="G3310" s="1">
        <v>-129.31</v>
      </c>
      <c r="H3310" s="1">
        <v>4.0</v>
      </c>
      <c r="I3310" s="1" t="s">
        <v>34</v>
      </c>
      <c r="J3310" s="1" t="s">
        <v>35</v>
      </c>
      <c r="K3310" s="1">
        <f t="shared" si="1"/>
        <v>2023</v>
      </c>
      <c r="L3310" s="1" t="str">
        <f t="shared" si="2"/>
        <v>Aug</v>
      </c>
      <c r="M3310" s="1" t="str">
        <f t="shared" si="3"/>
        <v>Loss</v>
      </c>
    </row>
    <row r="3311" ht="14.25" customHeight="1">
      <c r="A3311" s="1" t="s">
        <v>3345</v>
      </c>
      <c r="B3311" s="2">
        <v>45206.0</v>
      </c>
      <c r="C3311" s="1" t="s">
        <v>20</v>
      </c>
      <c r="D3311" s="1" t="s">
        <v>15</v>
      </c>
      <c r="E3311" s="1" t="s">
        <v>31</v>
      </c>
      <c r="F3311" s="1">
        <v>617.61</v>
      </c>
      <c r="G3311" s="1">
        <v>-137.05</v>
      </c>
      <c r="H3311" s="1">
        <v>10.0</v>
      </c>
      <c r="I3311" s="1" t="s">
        <v>34</v>
      </c>
      <c r="J3311" s="1" t="s">
        <v>38</v>
      </c>
      <c r="K3311" s="1">
        <f t="shared" si="1"/>
        <v>2023</v>
      </c>
      <c r="L3311" s="1" t="str">
        <f t="shared" si="2"/>
        <v>Oct</v>
      </c>
      <c r="M3311" s="1" t="str">
        <f t="shared" si="3"/>
        <v>Loss</v>
      </c>
    </row>
    <row r="3312" ht="14.25" customHeight="1">
      <c r="A3312" s="1" t="s">
        <v>3346</v>
      </c>
      <c r="B3312" s="2">
        <v>44441.0</v>
      </c>
      <c r="C3312" s="1" t="s">
        <v>30</v>
      </c>
      <c r="D3312" s="1" t="s">
        <v>27</v>
      </c>
      <c r="E3312" s="1" t="s">
        <v>33</v>
      </c>
      <c r="F3312" s="1">
        <v>350.04</v>
      </c>
      <c r="G3312" s="1">
        <v>-91.39</v>
      </c>
      <c r="H3312" s="1">
        <v>4.0</v>
      </c>
      <c r="I3312" s="1" t="s">
        <v>23</v>
      </c>
      <c r="J3312" s="1" t="s">
        <v>18</v>
      </c>
      <c r="K3312" s="1">
        <f t="shared" si="1"/>
        <v>2021</v>
      </c>
      <c r="L3312" s="1" t="str">
        <f t="shared" si="2"/>
        <v>Sep</v>
      </c>
      <c r="M3312" s="1" t="str">
        <f t="shared" si="3"/>
        <v>Loss</v>
      </c>
    </row>
    <row r="3313" ht="14.25" customHeight="1">
      <c r="A3313" s="1" t="s">
        <v>3347</v>
      </c>
      <c r="B3313" s="2">
        <v>44213.0</v>
      </c>
      <c r="C3313" s="1" t="s">
        <v>20</v>
      </c>
      <c r="D3313" s="1" t="s">
        <v>27</v>
      </c>
      <c r="E3313" s="1" t="s">
        <v>40</v>
      </c>
      <c r="F3313" s="1">
        <v>824.0</v>
      </c>
      <c r="G3313" s="1">
        <v>173.0</v>
      </c>
      <c r="H3313" s="1">
        <v>6.0</v>
      </c>
      <c r="I3313" s="1" t="s">
        <v>34</v>
      </c>
      <c r="J3313" s="1" t="s">
        <v>38</v>
      </c>
      <c r="K3313" s="1">
        <f t="shared" si="1"/>
        <v>2021</v>
      </c>
      <c r="L3313" s="1" t="str">
        <f t="shared" si="2"/>
        <v>Jan</v>
      </c>
      <c r="M3313" s="1" t="str">
        <f t="shared" si="3"/>
        <v>Profit</v>
      </c>
    </row>
    <row r="3314" ht="14.25" customHeight="1">
      <c r="A3314" s="1" t="s">
        <v>3348</v>
      </c>
      <c r="B3314" s="2">
        <v>44624.0</v>
      </c>
      <c r="C3314" s="1" t="s">
        <v>30</v>
      </c>
      <c r="D3314" s="1" t="s">
        <v>15</v>
      </c>
      <c r="E3314" s="1" t="s">
        <v>16</v>
      </c>
      <c r="F3314" s="1">
        <v>981.04</v>
      </c>
      <c r="G3314" s="1">
        <v>-174.51</v>
      </c>
      <c r="H3314" s="1">
        <v>8.0</v>
      </c>
      <c r="I3314" s="1" t="s">
        <v>34</v>
      </c>
      <c r="J3314" s="1" t="s">
        <v>18</v>
      </c>
      <c r="K3314" s="1">
        <f t="shared" si="1"/>
        <v>2022</v>
      </c>
      <c r="L3314" s="1" t="str">
        <f t="shared" si="2"/>
        <v>Mar</v>
      </c>
      <c r="M3314" s="1" t="str">
        <f t="shared" si="3"/>
        <v>Loss</v>
      </c>
    </row>
    <row r="3315" ht="14.25" customHeight="1">
      <c r="A3315" s="1" t="s">
        <v>3349</v>
      </c>
      <c r="B3315" s="2">
        <v>44691.0</v>
      </c>
      <c r="C3315" s="1" t="s">
        <v>20</v>
      </c>
      <c r="D3315" s="1" t="s">
        <v>21</v>
      </c>
      <c r="E3315" s="1" t="s">
        <v>76</v>
      </c>
      <c r="F3315" s="1">
        <v>788.11</v>
      </c>
      <c r="G3315" s="1">
        <v>80.35</v>
      </c>
      <c r="H3315" s="1">
        <v>9.0</v>
      </c>
      <c r="I3315" s="1" t="s">
        <v>23</v>
      </c>
      <c r="J3315" s="1" t="s">
        <v>38</v>
      </c>
      <c r="K3315" s="1">
        <f t="shared" si="1"/>
        <v>2022</v>
      </c>
      <c r="L3315" s="1" t="str">
        <f t="shared" si="2"/>
        <v>May</v>
      </c>
      <c r="M3315" s="1" t="str">
        <f t="shared" si="3"/>
        <v>Profit</v>
      </c>
    </row>
    <row r="3316" ht="14.25" customHeight="1">
      <c r="A3316" s="1" t="s">
        <v>3350</v>
      </c>
      <c r="B3316" s="2">
        <v>44264.0</v>
      </c>
      <c r="C3316" s="1" t="s">
        <v>30</v>
      </c>
      <c r="D3316" s="1" t="s">
        <v>21</v>
      </c>
      <c r="E3316" s="1" t="s">
        <v>37</v>
      </c>
      <c r="F3316" s="1">
        <v>648.35</v>
      </c>
      <c r="G3316" s="1">
        <v>52.47</v>
      </c>
      <c r="H3316" s="1">
        <v>5.0</v>
      </c>
      <c r="I3316" s="1" t="s">
        <v>17</v>
      </c>
      <c r="J3316" s="1" t="s">
        <v>18</v>
      </c>
      <c r="K3316" s="1">
        <f t="shared" si="1"/>
        <v>2021</v>
      </c>
      <c r="L3316" s="1" t="str">
        <f t="shared" si="2"/>
        <v>Mar</v>
      </c>
      <c r="M3316" s="1" t="str">
        <f t="shared" si="3"/>
        <v>Profit</v>
      </c>
    </row>
    <row r="3317" ht="14.25" customHeight="1">
      <c r="A3317" s="1" t="s">
        <v>3351</v>
      </c>
      <c r="B3317" s="2">
        <v>44908.0</v>
      </c>
      <c r="C3317" s="1" t="s">
        <v>20</v>
      </c>
      <c r="D3317" s="1" t="s">
        <v>21</v>
      </c>
      <c r="E3317" s="1" t="s">
        <v>76</v>
      </c>
      <c r="F3317" s="1">
        <v>794.9</v>
      </c>
      <c r="G3317" s="1">
        <v>3.02</v>
      </c>
      <c r="H3317" s="1">
        <v>1.0</v>
      </c>
      <c r="I3317" s="1" t="s">
        <v>23</v>
      </c>
      <c r="J3317" s="1" t="s">
        <v>35</v>
      </c>
      <c r="K3317" s="1">
        <f t="shared" si="1"/>
        <v>2022</v>
      </c>
      <c r="L3317" s="1" t="str">
        <f t="shared" si="2"/>
        <v>Dec</v>
      </c>
      <c r="M3317" s="1" t="str">
        <f t="shared" si="3"/>
        <v>Profit</v>
      </c>
    </row>
    <row r="3318" ht="14.25" customHeight="1">
      <c r="A3318" s="1" t="s">
        <v>3352</v>
      </c>
      <c r="B3318" s="2">
        <v>44554.0</v>
      </c>
      <c r="C3318" s="1" t="s">
        <v>20</v>
      </c>
      <c r="D3318" s="1" t="s">
        <v>27</v>
      </c>
      <c r="E3318" s="1" t="s">
        <v>33</v>
      </c>
      <c r="F3318" s="1">
        <v>534.96</v>
      </c>
      <c r="G3318" s="1">
        <v>-1.39</v>
      </c>
      <c r="H3318" s="1">
        <v>8.0</v>
      </c>
      <c r="I3318" s="1" t="s">
        <v>23</v>
      </c>
      <c r="J3318" s="1" t="s">
        <v>24</v>
      </c>
      <c r="K3318" s="1">
        <f t="shared" si="1"/>
        <v>2021</v>
      </c>
      <c r="L3318" s="1" t="str">
        <f t="shared" si="2"/>
        <v>Dec</v>
      </c>
      <c r="M3318" s="1" t="str">
        <f t="shared" si="3"/>
        <v>Loss</v>
      </c>
    </row>
    <row r="3319" ht="14.25" customHeight="1">
      <c r="A3319" s="1" t="s">
        <v>3353</v>
      </c>
      <c r="B3319" s="2">
        <v>44537.0</v>
      </c>
      <c r="C3319" s="1" t="s">
        <v>20</v>
      </c>
      <c r="D3319" s="1" t="s">
        <v>21</v>
      </c>
      <c r="E3319" s="1" t="s">
        <v>37</v>
      </c>
      <c r="F3319" s="1">
        <v>356.93</v>
      </c>
      <c r="G3319" s="1">
        <v>173.49</v>
      </c>
      <c r="H3319" s="1">
        <v>5.0</v>
      </c>
      <c r="I3319" s="1" t="s">
        <v>23</v>
      </c>
      <c r="J3319" s="1" t="s">
        <v>24</v>
      </c>
      <c r="K3319" s="1">
        <f t="shared" si="1"/>
        <v>2021</v>
      </c>
      <c r="L3319" s="1" t="str">
        <f t="shared" si="2"/>
        <v>Dec</v>
      </c>
      <c r="M3319" s="1" t="str">
        <f t="shared" si="3"/>
        <v>Profit</v>
      </c>
    </row>
    <row r="3320" ht="14.25" customHeight="1">
      <c r="A3320" s="1" t="s">
        <v>3354</v>
      </c>
      <c r="B3320" s="2">
        <v>44969.0</v>
      </c>
      <c r="C3320" s="1" t="s">
        <v>30</v>
      </c>
      <c r="D3320" s="1" t="s">
        <v>27</v>
      </c>
      <c r="E3320" s="1" t="s">
        <v>28</v>
      </c>
      <c r="F3320" s="1">
        <v>996.43</v>
      </c>
      <c r="G3320" s="1">
        <v>-61.73</v>
      </c>
      <c r="H3320" s="1">
        <v>7.0</v>
      </c>
      <c r="I3320" s="1" t="s">
        <v>34</v>
      </c>
      <c r="J3320" s="1" t="s">
        <v>24</v>
      </c>
      <c r="K3320" s="1">
        <f t="shared" si="1"/>
        <v>2023</v>
      </c>
      <c r="L3320" s="1" t="str">
        <f t="shared" si="2"/>
        <v>Feb</v>
      </c>
      <c r="M3320" s="1" t="str">
        <f t="shared" si="3"/>
        <v>Loss</v>
      </c>
    </row>
    <row r="3321" ht="14.25" customHeight="1">
      <c r="A3321" s="1" t="s">
        <v>3355</v>
      </c>
      <c r="B3321" s="2">
        <v>44683.0</v>
      </c>
      <c r="C3321" s="1" t="s">
        <v>14</v>
      </c>
      <c r="D3321" s="1" t="s">
        <v>27</v>
      </c>
      <c r="E3321" s="1" t="s">
        <v>28</v>
      </c>
      <c r="F3321" s="1">
        <v>822.66</v>
      </c>
      <c r="G3321" s="1">
        <v>-72.99</v>
      </c>
      <c r="H3321" s="1">
        <v>5.0</v>
      </c>
      <c r="I3321" s="1" t="s">
        <v>34</v>
      </c>
      <c r="J3321" s="1" t="s">
        <v>38</v>
      </c>
      <c r="K3321" s="1">
        <f t="shared" si="1"/>
        <v>2022</v>
      </c>
      <c r="L3321" s="1" t="str">
        <f t="shared" si="2"/>
        <v>May</v>
      </c>
      <c r="M3321" s="1" t="str">
        <f t="shared" si="3"/>
        <v>Loss</v>
      </c>
    </row>
    <row r="3322" ht="14.25" customHeight="1">
      <c r="A3322" s="1" t="s">
        <v>3356</v>
      </c>
      <c r="B3322" s="2">
        <v>45063.0</v>
      </c>
      <c r="C3322" s="1" t="s">
        <v>14</v>
      </c>
      <c r="D3322" s="1" t="s">
        <v>15</v>
      </c>
      <c r="E3322" s="1" t="s">
        <v>16</v>
      </c>
      <c r="F3322" s="1">
        <v>261.21</v>
      </c>
      <c r="G3322" s="1">
        <v>268.17</v>
      </c>
      <c r="H3322" s="1">
        <v>6.0</v>
      </c>
      <c r="I3322" s="1" t="s">
        <v>34</v>
      </c>
      <c r="J3322" s="1" t="s">
        <v>38</v>
      </c>
      <c r="K3322" s="1">
        <f t="shared" si="1"/>
        <v>2023</v>
      </c>
      <c r="L3322" s="1" t="str">
        <f t="shared" si="2"/>
        <v>May</v>
      </c>
      <c r="M3322" s="1" t="str">
        <f t="shared" si="3"/>
        <v>Profit</v>
      </c>
    </row>
    <row r="3323" ht="14.25" customHeight="1">
      <c r="A3323" s="1" t="s">
        <v>3357</v>
      </c>
      <c r="B3323" s="2">
        <v>44852.0</v>
      </c>
      <c r="C3323" s="1" t="s">
        <v>30</v>
      </c>
      <c r="D3323" s="1" t="s">
        <v>21</v>
      </c>
      <c r="E3323" s="1" t="s">
        <v>22</v>
      </c>
      <c r="F3323" s="1">
        <v>910.91</v>
      </c>
      <c r="G3323" s="1">
        <v>207.81</v>
      </c>
      <c r="H3323" s="1">
        <v>2.0</v>
      </c>
      <c r="I3323" s="1" t="s">
        <v>23</v>
      </c>
      <c r="J3323" s="1" t="s">
        <v>24</v>
      </c>
      <c r="K3323" s="1">
        <f t="shared" si="1"/>
        <v>2022</v>
      </c>
      <c r="L3323" s="1" t="str">
        <f t="shared" si="2"/>
        <v>Oct</v>
      </c>
      <c r="M3323" s="1" t="str">
        <f t="shared" si="3"/>
        <v>Profit</v>
      </c>
    </row>
    <row r="3324" ht="14.25" customHeight="1">
      <c r="A3324" s="1" t="s">
        <v>3358</v>
      </c>
      <c r="B3324" s="2">
        <v>44369.0</v>
      </c>
      <c r="C3324" s="1" t="s">
        <v>30</v>
      </c>
      <c r="D3324" s="1" t="s">
        <v>21</v>
      </c>
      <c r="E3324" s="1" t="s">
        <v>22</v>
      </c>
      <c r="F3324" s="1">
        <v>732.37</v>
      </c>
      <c r="G3324" s="1">
        <v>133.84</v>
      </c>
      <c r="H3324" s="1">
        <v>6.0</v>
      </c>
      <c r="I3324" s="1" t="s">
        <v>23</v>
      </c>
      <c r="J3324" s="1" t="s">
        <v>35</v>
      </c>
      <c r="K3324" s="1">
        <f t="shared" si="1"/>
        <v>2021</v>
      </c>
      <c r="L3324" s="1" t="str">
        <f t="shared" si="2"/>
        <v>Jun</v>
      </c>
      <c r="M3324" s="1" t="str">
        <f t="shared" si="3"/>
        <v>Profit</v>
      </c>
    </row>
    <row r="3325" ht="14.25" customHeight="1">
      <c r="A3325" s="1" t="s">
        <v>3359</v>
      </c>
      <c r="B3325" s="2">
        <v>44314.0</v>
      </c>
      <c r="C3325" s="1" t="s">
        <v>20</v>
      </c>
      <c r="D3325" s="1" t="s">
        <v>15</v>
      </c>
      <c r="E3325" s="1" t="s">
        <v>54</v>
      </c>
      <c r="F3325" s="1">
        <v>488.69</v>
      </c>
      <c r="G3325" s="1">
        <v>-151.03</v>
      </c>
      <c r="H3325" s="1">
        <v>6.0</v>
      </c>
      <c r="I3325" s="1" t="s">
        <v>34</v>
      </c>
      <c r="J3325" s="1" t="s">
        <v>18</v>
      </c>
      <c r="K3325" s="1">
        <f t="shared" si="1"/>
        <v>2021</v>
      </c>
      <c r="L3325" s="1" t="str">
        <f t="shared" si="2"/>
        <v>Apr</v>
      </c>
      <c r="M3325" s="1" t="str">
        <f t="shared" si="3"/>
        <v>Loss</v>
      </c>
    </row>
    <row r="3326" ht="14.25" customHeight="1">
      <c r="A3326" s="1" t="s">
        <v>3360</v>
      </c>
      <c r="B3326" s="2">
        <v>44363.0</v>
      </c>
      <c r="C3326" s="1" t="s">
        <v>14</v>
      </c>
      <c r="D3326" s="1" t="s">
        <v>15</v>
      </c>
      <c r="E3326" s="1" t="s">
        <v>16</v>
      </c>
      <c r="F3326" s="1">
        <v>356.93</v>
      </c>
      <c r="G3326" s="1">
        <v>-186.17</v>
      </c>
      <c r="H3326" s="1">
        <v>3.0</v>
      </c>
      <c r="I3326" s="1" t="s">
        <v>17</v>
      </c>
      <c r="J3326" s="1" t="s">
        <v>35</v>
      </c>
      <c r="K3326" s="1">
        <f t="shared" si="1"/>
        <v>2021</v>
      </c>
      <c r="L3326" s="1" t="str">
        <f t="shared" si="2"/>
        <v>Jun</v>
      </c>
      <c r="M3326" s="1" t="str">
        <f t="shared" si="3"/>
        <v>Loss</v>
      </c>
    </row>
    <row r="3327" ht="14.25" customHeight="1">
      <c r="A3327" s="1" t="s">
        <v>3361</v>
      </c>
      <c r="B3327" s="2">
        <v>44702.0</v>
      </c>
      <c r="C3327" s="1" t="s">
        <v>14</v>
      </c>
      <c r="D3327" s="1" t="s">
        <v>21</v>
      </c>
      <c r="E3327" s="1" t="s">
        <v>76</v>
      </c>
      <c r="F3327" s="1">
        <v>907.32</v>
      </c>
      <c r="G3327" s="1">
        <v>-138.08</v>
      </c>
      <c r="H3327" s="1">
        <v>9.0</v>
      </c>
      <c r="I3327" s="1" t="s">
        <v>23</v>
      </c>
      <c r="J3327" s="1" t="s">
        <v>35</v>
      </c>
      <c r="K3327" s="1">
        <f t="shared" si="1"/>
        <v>2022</v>
      </c>
      <c r="L3327" s="1" t="str">
        <f t="shared" si="2"/>
        <v>May</v>
      </c>
      <c r="M3327" s="1" t="str">
        <f t="shared" si="3"/>
        <v>Loss</v>
      </c>
    </row>
    <row r="3328" ht="14.25" customHeight="1">
      <c r="A3328" s="1" t="s">
        <v>3362</v>
      </c>
      <c r="B3328" s="2">
        <v>45237.0</v>
      </c>
      <c r="C3328" s="1" t="s">
        <v>30</v>
      </c>
      <c r="D3328" s="1" t="s">
        <v>27</v>
      </c>
      <c r="E3328" s="1" t="s">
        <v>28</v>
      </c>
      <c r="F3328" s="1">
        <v>330.95</v>
      </c>
      <c r="G3328" s="1">
        <v>-188.63</v>
      </c>
      <c r="H3328" s="1">
        <v>8.0</v>
      </c>
      <c r="I3328" s="1" t="s">
        <v>17</v>
      </c>
      <c r="J3328" s="1" t="s">
        <v>38</v>
      </c>
      <c r="K3328" s="1">
        <f t="shared" si="1"/>
        <v>2023</v>
      </c>
      <c r="L3328" s="1" t="str">
        <f t="shared" si="2"/>
        <v>Nov</v>
      </c>
      <c r="M3328" s="1" t="str">
        <f t="shared" si="3"/>
        <v>Loss</v>
      </c>
    </row>
    <row r="3329" ht="14.25" customHeight="1">
      <c r="A3329" s="1" t="s">
        <v>3363</v>
      </c>
      <c r="B3329" s="2">
        <v>44670.0</v>
      </c>
      <c r="C3329" s="1" t="s">
        <v>20</v>
      </c>
      <c r="D3329" s="1" t="s">
        <v>27</v>
      </c>
      <c r="E3329" s="1" t="s">
        <v>33</v>
      </c>
      <c r="F3329" s="1">
        <v>61.18</v>
      </c>
      <c r="G3329" s="1">
        <v>256.59</v>
      </c>
      <c r="H3329" s="1">
        <v>3.0</v>
      </c>
      <c r="I3329" s="1" t="s">
        <v>23</v>
      </c>
      <c r="J3329" s="1" t="s">
        <v>18</v>
      </c>
      <c r="K3329" s="1">
        <f t="shared" si="1"/>
        <v>2022</v>
      </c>
      <c r="L3329" s="1" t="str">
        <f t="shared" si="2"/>
        <v>Apr</v>
      </c>
      <c r="M3329" s="1" t="str">
        <f t="shared" si="3"/>
        <v>Profit</v>
      </c>
    </row>
    <row r="3330" ht="14.25" customHeight="1">
      <c r="A3330" s="1" t="s">
        <v>3364</v>
      </c>
      <c r="B3330" s="2">
        <v>44529.0</v>
      </c>
      <c r="C3330" s="1" t="s">
        <v>26</v>
      </c>
      <c r="D3330" s="1" t="s">
        <v>15</v>
      </c>
      <c r="E3330" s="1" t="s">
        <v>31</v>
      </c>
      <c r="F3330" s="1">
        <v>604.35</v>
      </c>
      <c r="G3330" s="1">
        <v>191.87</v>
      </c>
      <c r="H3330" s="1">
        <v>7.0</v>
      </c>
      <c r="I3330" s="1" t="s">
        <v>17</v>
      </c>
      <c r="J3330" s="1" t="s">
        <v>24</v>
      </c>
      <c r="K3330" s="1">
        <f t="shared" si="1"/>
        <v>2021</v>
      </c>
      <c r="L3330" s="1" t="str">
        <f t="shared" si="2"/>
        <v>Nov</v>
      </c>
      <c r="M3330" s="1" t="str">
        <f t="shared" si="3"/>
        <v>Profit</v>
      </c>
    </row>
    <row r="3331" ht="14.25" customHeight="1">
      <c r="A3331" s="1" t="s">
        <v>3365</v>
      </c>
      <c r="B3331" s="2">
        <v>45134.0</v>
      </c>
      <c r="C3331" s="1" t="s">
        <v>14</v>
      </c>
      <c r="D3331" s="1" t="s">
        <v>27</v>
      </c>
      <c r="E3331" s="1" t="s">
        <v>28</v>
      </c>
      <c r="F3331" s="1">
        <v>663.37</v>
      </c>
      <c r="G3331" s="1">
        <v>181.38</v>
      </c>
      <c r="H3331" s="1">
        <v>10.0</v>
      </c>
      <c r="I3331" s="1" t="s">
        <v>23</v>
      </c>
      <c r="J3331" s="1" t="s">
        <v>18</v>
      </c>
      <c r="K3331" s="1">
        <f t="shared" si="1"/>
        <v>2023</v>
      </c>
      <c r="L3331" s="1" t="str">
        <f t="shared" si="2"/>
        <v>Jul</v>
      </c>
      <c r="M3331" s="1" t="str">
        <f t="shared" si="3"/>
        <v>Profit</v>
      </c>
    </row>
    <row r="3332" ht="14.25" customHeight="1">
      <c r="A3332" s="1" t="s">
        <v>3366</v>
      </c>
      <c r="B3332" s="2">
        <v>44803.0</v>
      </c>
      <c r="C3332" s="1" t="s">
        <v>26</v>
      </c>
      <c r="D3332" s="1" t="s">
        <v>21</v>
      </c>
      <c r="E3332" s="1" t="s">
        <v>22</v>
      </c>
      <c r="F3332" s="1">
        <v>31.44</v>
      </c>
      <c r="G3332" s="1">
        <v>102.83</v>
      </c>
      <c r="H3332" s="1">
        <v>9.0</v>
      </c>
      <c r="I3332" s="1" t="s">
        <v>34</v>
      </c>
      <c r="J3332" s="1" t="s">
        <v>18</v>
      </c>
      <c r="K3332" s="1">
        <f t="shared" si="1"/>
        <v>2022</v>
      </c>
      <c r="L3332" s="1" t="str">
        <f t="shared" si="2"/>
        <v>Aug</v>
      </c>
      <c r="M3332" s="1" t="str">
        <f t="shared" si="3"/>
        <v>Profit</v>
      </c>
    </row>
    <row r="3333" ht="14.25" customHeight="1">
      <c r="A3333" s="1" t="s">
        <v>3367</v>
      </c>
      <c r="B3333" s="2">
        <v>44443.0</v>
      </c>
      <c r="C3333" s="1" t="s">
        <v>30</v>
      </c>
      <c r="D3333" s="1" t="s">
        <v>21</v>
      </c>
      <c r="E3333" s="1" t="s">
        <v>37</v>
      </c>
      <c r="F3333" s="1">
        <v>825.0</v>
      </c>
      <c r="G3333" s="1">
        <v>178.2</v>
      </c>
      <c r="H3333" s="1">
        <v>4.0</v>
      </c>
      <c r="I3333" s="1" t="s">
        <v>17</v>
      </c>
      <c r="J3333" s="1" t="s">
        <v>38</v>
      </c>
      <c r="K3333" s="1">
        <f t="shared" si="1"/>
        <v>2021</v>
      </c>
      <c r="L3333" s="1" t="str">
        <f t="shared" si="2"/>
        <v>Sep</v>
      </c>
      <c r="M3333" s="1" t="str">
        <f t="shared" si="3"/>
        <v>Profit</v>
      </c>
    </row>
    <row r="3334" ht="14.25" customHeight="1">
      <c r="A3334" s="1" t="s">
        <v>3368</v>
      </c>
      <c r="B3334" s="2">
        <v>45194.0</v>
      </c>
      <c r="C3334" s="1" t="s">
        <v>30</v>
      </c>
      <c r="D3334" s="1" t="s">
        <v>21</v>
      </c>
      <c r="E3334" s="1" t="s">
        <v>76</v>
      </c>
      <c r="F3334" s="1">
        <v>739.79</v>
      </c>
      <c r="G3334" s="1">
        <v>-14.4</v>
      </c>
      <c r="H3334" s="1">
        <v>4.0</v>
      </c>
      <c r="I3334" s="1" t="s">
        <v>17</v>
      </c>
      <c r="J3334" s="1" t="s">
        <v>38</v>
      </c>
      <c r="K3334" s="1">
        <f t="shared" si="1"/>
        <v>2023</v>
      </c>
      <c r="L3334" s="1" t="str">
        <f t="shared" si="2"/>
        <v>Sep</v>
      </c>
      <c r="M3334" s="1" t="str">
        <f t="shared" si="3"/>
        <v>Loss</v>
      </c>
    </row>
    <row r="3335" ht="14.25" customHeight="1">
      <c r="A3335" s="1" t="s">
        <v>3369</v>
      </c>
      <c r="B3335" s="2">
        <v>44687.0</v>
      </c>
      <c r="C3335" s="1" t="s">
        <v>20</v>
      </c>
      <c r="D3335" s="1" t="s">
        <v>21</v>
      </c>
      <c r="E3335" s="1" t="s">
        <v>22</v>
      </c>
      <c r="F3335" s="1">
        <v>88.43</v>
      </c>
      <c r="G3335" s="1">
        <v>-26.82</v>
      </c>
      <c r="H3335" s="1">
        <v>3.0</v>
      </c>
      <c r="I3335" s="1" t="s">
        <v>23</v>
      </c>
      <c r="J3335" s="1" t="s">
        <v>38</v>
      </c>
      <c r="K3335" s="1">
        <f t="shared" si="1"/>
        <v>2022</v>
      </c>
      <c r="L3335" s="1" t="str">
        <f t="shared" si="2"/>
        <v>May</v>
      </c>
      <c r="M3335" s="1" t="str">
        <f t="shared" si="3"/>
        <v>Loss</v>
      </c>
    </row>
    <row r="3336" ht="14.25" customHeight="1">
      <c r="A3336" s="1" t="s">
        <v>3370</v>
      </c>
      <c r="B3336" s="2">
        <v>44411.0</v>
      </c>
      <c r="C3336" s="1" t="s">
        <v>26</v>
      </c>
      <c r="D3336" s="1" t="s">
        <v>15</v>
      </c>
      <c r="E3336" s="1" t="s">
        <v>54</v>
      </c>
      <c r="F3336" s="1">
        <v>798.17</v>
      </c>
      <c r="G3336" s="1">
        <v>30.73</v>
      </c>
      <c r="H3336" s="1">
        <v>10.0</v>
      </c>
      <c r="I3336" s="1" t="s">
        <v>34</v>
      </c>
      <c r="J3336" s="1" t="s">
        <v>35</v>
      </c>
      <c r="K3336" s="1">
        <f t="shared" si="1"/>
        <v>2021</v>
      </c>
      <c r="L3336" s="1" t="str">
        <f t="shared" si="2"/>
        <v>Aug</v>
      </c>
      <c r="M3336" s="1" t="str">
        <f t="shared" si="3"/>
        <v>Profit</v>
      </c>
    </row>
    <row r="3337" ht="14.25" customHeight="1">
      <c r="A3337" s="1" t="s">
        <v>3371</v>
      </c>
      <c r="B3337" s="2">
        <v>44906.0</v>
      </c>
      <c r="C3337" s="1" t="s">
        <v>26</v>
      </c>
      <c r="D3337" s="1" t="s">
        <v>27</v>
      </c>
      <c r="E3337" s="1" t="s">
        <v>40</v>
      </c>
      <c r="F3337" s="1">
        <v>595.24</v>
      </c>
      <c r="G3337" s="1">
        <v>114.08</v>
      </c>
      <c r="H3337" s="1">
        <v>4.0</v>
      </c>
      <c r="I3337" s="1" t="s">
        <v>23</v>
      </c>
      <c r="J3337" s="1" t="s">
        <v>18</v>
      </c>
      <c r="K3337" s="1">
        <f t="shared" si="1"/>
        <v>2022</v>
      </c>
      <c r="L3337" s="1" t="str">
        <f t="shared" si="2"/>
        <v>Dec</v>
      </c>
      <c r="M3337" s="1" t="str">
        <f t="shared" si="3"/>
        <v>Profit</v>
      </c>
    </row>
    <row r="3338" ht="14.25" customHeight="1">
      <c r="A3338" s="1" t="s">
        <v>3372</v>
      </c>
      <c r="B3338" s="2">
        <v>44992.0</v>
      </c>
      <c r="C3338" s="1" t="s">
        <v>20</v>
      </c>
      <c r="D3338" s="1" t="s">
        <v>21</v>
      </c>
      <c r="E3338" s="1" t="s">
        <v>76</v>
      </c>
      <c r="F3338" s="1">
        <v>387.11</v>
      </c>
      <c r="G3338" s="1">
        <v>-113.2</v>
      </c>
      <c r="H3338" s="1">
        <v>4.0</v>
      </c>
      <c r="I3338" s="1" t="s">
        <v>23</v>
      </c>
      <c r="J3338" s="1" t="s">
        <v>35</v>
      </c>
      <c r="K3338" s="1">
        <f t="shared" si="1"/>
        <v>2023</v>
      </c>
      <c r="L3338" s="1" t="str">
        <f t="shared" si="2"/>
        <v>Mar</v>
      </c>
      <c r="M3338" s="1" t="str">
        <f t="shared" si="3"/>
        <v>Loss</v>
      </c>
    </row>
    <row r="3339" ht="14.25" customHeight="1">
      <c r="A3339" s="1" t="s">
        <v>3373</v>
      </c>
      <c r="B3339" s="2">
        <v>44505.0</v>
      </c>
      <c r="C3339" s="1" t="s">
        <v>20</v>
      </c>
      <c r="D3339" s="1" t="s">
        <v>27</v>
      </c>
      <c r="E3339" s="1" t="s">
        <v>40</v>
      </c>
      <c r="F3339" s="1">
        <v>500.46</v>
      </c>
      <c r="G3339" s="1">
        <v>-169.69</v>
      </c>
      <c r="H3339" s="1">
        <v>9.0</v>
      </c>
      <c r="I3339" s="1" t="s">
        <v>17</v>
      </c>
      <c r="J3339" s="1" t="s">
        <v>18</v>
      </c>
      <c r="K3339" s="1">
        <f t="shared" si="1"/>
        <v>2021</v>
      </c>
      <c r="L3339" s="1" t="str">
        <f t="shared" si="2"/>
        <v>Nov</v>
      </c>
      <c r="M3339" s="1" t="str">
        <f t="shared" si="3"/>
        <v>Loss</v>
      </c>
    </row>
    <row r="3340" ht="14.25" customHeight="1">
      <c r="A3340" s="1" t="s">
        <v>3374</v>
      </c>
      <c r="B3340" s="2">
        <v>44963.0</v>
      </c>
      <c r="C3340" s="1" t="s">
        <v>20</v>
      </c>
      <c r="D3340" s="1" t="s">
        <v>15</v>
      </c>
      <c r="E3340" s="1" t="s">
        <v>54</v>
      </c>
      <c r="F3340" s="1">
        <v>471.61</v>
      </c>
      <c r="G3340" s="1">
        <v>35.72</v>
      </c>
      <c r="H3340" s="1">
        <v>10.0</v>
      </c>
      <c r="I3340" s="1" t="s">
        <v>23</v>
      </c>
      <c r="J3340" s="1" t="s">
        <v>35</v>
      </c>
      <c r="K3340" s="1">
        <f t="shared" si="1"/>
        <v>2023</v>
      </c>
      <c r="L3340" s="1" t="str">
        <f t="shared" si="2"/>
        <v>Feb</v>
      </c>
      <c r="M3340" s="1" t="str">
        <f t="shared" si="3"/>
        <v>Profit</v>
      </c>
    </row>
    <row r="3341" ht="14.25" customHeight="1">
      <c r="A3341" s="1" t="s">
        <v>3375</v>
      </c>
      <c r="B3341" s="2">
        <v>44201.0</v>
      </c>
      <c r="C3341" s="1" t="s">
        <v>26</v>
      </c>
      <c r="D3341" s="1" t="s">
        <v>21</v>
      </c>
      <c r="E3341" s="1" t="s">
        <v>76</v>
      </c>
      <c r="F3341" s="1">
        <v>494.52</v>
      </c>
      <c r="G3341" s="1">
        <v>39.6</v>
      </c>
      <c r="H3341" s="1">
        <v>6.0</v>
      </c>
      <c r="I3341" s="1" t="s">
        <v>23</v>
      </c>
      <c r="J3341" s="1" t="s">
        <v>18</v>
      </c>
      <c r="K3341" s="1">
        <f t="shared" si="1"/>
        <v>2021</v>
      </c>
      <c r="L3341" s="1" t="str">
        <f t="shared" si="2"/>
        <v>Jan</v>
      </c>
      <c r="M3341" s="1" t="str">
        <f t="shared" si="3"/>
        <v>Profit</v>
      </c>
    </row>
    <row r="3342" ht="14.25" customHeight="1">
      <c r="A3342" s="1" t="s">
        <v>3376</v>
      </c>
      <c r="B3342" s="2">
        <v>44908.0</v>
      </c>
      <c r="C3342" s="1" t="s">
        <v>20</v>
      </c>
      <c r="D3342" s="1" t="s">
        <v>15</v>
      </c>
      <c r="E3342" s="1" t="s">
        <v>54</v>
      </c>
      <c r="F3342" s="1">
        <v>285.06</v>
      </c>
      <c r="G3342" s="1">
        <v>85.96</v>
      </c>
      <c r="H3342" s="1">
        <v>7.0</v>
      </c>
      <c r="I3342" s="1" t="s">
        <v>17</v>
      </c>
      <c r="J3342" s="1" t="s">
        <v>38</v>
      </c>
      <c r="K3342" s="1">
        <f t="shared" si="1"/>
        <v>2022</v>
      </c>
      <c r="L3342" s="1" t="str">
        <f t="shared" si="2"/>
        <v>Dec</v>
      </c>
      <c r="M3342" s="1" t="str">
        <f t="shared" si="3"/>
        <v>Profit</v>
      </c>
    </row>
    <row r="3343" ht="14.25" customHeight="1">
      <c r="A3343" s="1" t="s">
        <v>3377</v>
      </c>
      <c r="B3343" s="2">
        <v>44450.0</v>
      </c>
      <c r="C3343" s="1" t="s">
        <v>20</v>
      </c>
      <c r="D3343" s="1" t="s">
        <v>27</v>
      </c>
      <c r="E3343" s="1" t="s">
        <v>28</v>
      </c>
      <c r="F3343" s="1">
        <v>93.1</v>
      </c>
      <c r="G3343" s="1">
        <v>-115.54</v>
      </c>
      <c r="H3343" s="1">
        <v>7.0</v>
      </c>
      <c r="I3343" s="1" t="s">
        <v>23</v>
      </c>
      <c r="J3343" s="1" t="s">
        <v>38</v>
      </c>
      <c r="K3343" s="1">
        <f t="shared" si="1"/>
        <v>2021</v>
      </c>
      <c r="L3343" s="1" t="str">
        <f t="shared" si="2"/>
        <v>Sep</v>
      </c>
      <c r="M3343" s="1" t="str">
        <f t="shared" si="3"/>
        <v>Loss</v>
      </c>
    </row>
    <row r="3344" ht="14.25" customHeight="1">
      <c r="A3344" s="1" t="s">
        <v>3378</v>
      </c>
      <c r="B3344" s="2">
        <v>44920.0</v>
      </c>
      <c r="C3344" s="1" t="s">
        <v>20</v>
      </c>
      <c r="D3344" s="1" t="s">
        <v>27</v>
      </c>
      <c r="E3344" s="1" t="s">
        <v>33</v>
      </c>
      <c r="F3344" s="1">
        <v>792.57</v>
      </c>
      <c r="G3344" s="1">
        <v>83.61</v>
      </c>
      <c r="H3344" s="1">
        <v>9.0</v>
      </c>
      <c r="I3344" s="1" t="s">
        <v>17</v>
      </c>
      <c r="J3344" s="1" t="s">
        <v>18</v>
      </c>
      <c r="K3344" s="1">
        <f t="shared" si="1"/>
        <v>2022</v>
      </c>
      <c r="L3344" s="1" t="str">
        <f t="shared" si="2"/>
        <v>Dec</v>
      </c>
      <c r="M3344" s="1" t="str">
        <f t="shared" si="3"/>
        <v>Profit</v>
      </c>
    </row>
    <row r="3345" ht="14.25" customHeight="1">
      <c r="A3345" s="1" t="s">
        <v>3379</v>
      </c>
      <c r="B3345" s="2">
        <v>44455.0</v>
      </c>
      <c r="C3345" s="1" t="s">
        <v>30</v>
      </c>
      <c r="D3345" s="1" t="s">
        <v>15</v>
      </c>
      <c r="E3345" s="1" t="s">
        <v>31</v>
      </c>
      <c r="F3345" s="1">
        <v>526.63</v>
      </c>
      <c r="G3345" s="1">
        <v>156.58</v>
      </c>
      <c r="H3345" s="1">
        <v>2.0</v>
      </c>
      <c r="I3345" s="1" t="s">
        <v>23</v>
      </c>
      <c r="J3345" s="1" t="s">
        <v>38</v>
      </c>
      <c r="K3345" s="1">
        <f t="shared" si="1"/>
        <v>2021</v>
      </c>
      <c r="L3345" s="1" t="str">
        <f t="shared" si="2"/>
        <v>Sep</v>
      </c>
      <c r="M3345" s="1" t="str">
        <f t="shared" si="3"/>
        <v>Profit</v>
      </c>
    </row>
    <row r="3346" ht="14.25" customHeight="1">
      <c r="A3346" s="1" t="s">
        <v>3380</v>
      </c>
      <c r="B3346" s="2">
        <v>44264.0</v>
      </c>
      <c r="C3346" s="1" t="s">
        <v>14</v>
      </c>
      <c r="D3346" s="1" t="s">
        <v>15</v>
      </c>
      <c r="E3346" s="1" t="s">
        <v>54</v>
      </c>
      <c r="F3346" s="1">
        <v>773.49</v>
      </c>
      <c r="G3346" s="1">
        <v>63.87</v>
      </c>
      <c r="H3346" s="1">
        <v>1.0</v>
      </c>
      <c r="I3346" s="1" t="s">
        <v>17</v>
      </c>
      <c r="J3346" s="1" t="s">
        <v>18</v>
      </c>
      <c r="K3346" s="1">
        <f t="shared" si="1"/>
        <v>2021</v>
      </c>
      <c r="L3346" s="1" t="str">
        <f t="shared" si="2"/>
        <v>Mar</v>
      </c>
      <c r="M3346" s="1" t="str">
        <f t="shared" si="3"/>
        <v>Profit</v>
      </c>
    </row>
    <row r="3347" ht="14.25" customHeight="1">
      <c r="A3347" s="1" t="s">
        <v>3381</v>
      </c>
      <c r="B3347" s="2">
        <v>45105.0</v>
      </c>
      <c r="C3347" s="1" t="s">
        <v>30</v>
      </c>
      <c r="D3347" s="1" t="s">
        <v>15</v>
      </c>
      <c r="E3347" s="1" t="s">
        <v>16</v>
      </c>
      <c r="F3347" s="1">
        <v>823.84</v>
      </c>
      <c r="G3347" s="1">
        <v>-194.15</v>
      </c>
      <c r="H3347" s="1">
        <v>8.0</v>
      </c>
      <c r="I3347" s="1" t="s">
        <v>17</v>
      </c>
      <c r="J3347" s="1" t="s">
        <v>18</v>
      </c>
      <c r="K3347" s="1">
        <f t="shared" si="1"/>
        <v>2023</v>
      </c>
      <c r="L3347" s="1" t="str">
        <f t="shared" si="2"/>
        <v>Jun</v>
      </c>
      <c r="M3347" s="1" t="str">
        <f t="shared" si="3"/>
        <v>Loss</v>
      </c>
    </row>
    <row r="3348" ht="14.25" customHeight="1">
      <c r="A3348" s="1" t="s">
        <v>3382</v>
      </c>
      <c r="B3348" s="2">
        <v>44688.0</v>
      </c>
      <c r="C3348" s="1" t="s">
        <v>14</v>
      </c>
      <c r="D3348" s="1" t="s">
        <v>21</v>
      </c>
      <c r="E3348" s="1" t="s">
        <v>22</v>
      </c>
      <c r="F3348" s="1">
        <v>208.08</v>
      </c>
      <c r="G3348" s="1">
        <v>174.6</v>
      </c>
      <c r="H3348" s="1">
        <v>5.0</v>
      </c>
      <c r="I3348" s="1" t="s">
        <v>34</v>
      </c>
      <c r="J3348" s="1" t="s">
        <v>24</v>
      </c>
      <c r="K3348" s="1">
        <f t="shared" si="1"/>
        <v>2022</v>
      </c>
      <c r="L3348" s="1" t="str">
        <f t="shared" si="2"/>
        <v>May</v>
      </c>
      <c r="M3348" s="1" t="str">
        <f t="shared" si="3"/>
        <v>Profit</v>
      </c>
    </row>
    <row r="3349" ht="14.25" customHeight="1">
      <c r="A3349" s="1" t="s">
        <v>3383</v>
      </c>
      <c r="B3349" s="2">
        <v>45003.0</v>
      </c>
      <c r="C3349" s="1" t="s">
        <v>20</v>
      </c>
      <c r="D3349" s="1" t="s">
        <v>27</v>
      </c>
      <c r="E3349" s="1" t="s">
        <v>33</v>
      </c>
      <c r="F3349" s="1">
        <v>469.69</v>
      </c>
      <c r="G3349" s="1">
        <v>-7.89</v>
      </c>
      <c r="H3349" s="1">
        <v>5.0</v>
      </c>
      <c r="I3349" s="1" t="s">
        <v>34</v>
      </c>
      <c r="J3349" s="1" t="s">
        <v>38</v>
      </c>
      <c r="K3349" s="1">
        <f t="shared" si="1"/>
        <v>2023</v>
      </c>
      <c r="L3349" s="1" t="str">
        <f t="shared" si="2"/>
        <v>Mar</v>
      </c>
      <c r="M3349" s="1" t="str">
        <f t="shared" si="3"/>
        <v>Loss</v>
      </c>
    </row>
    <row r="3350" ht="14.25" customHeight="1">
      <c r="A3350" s="1" t="s">
        <v>3384</v>
      </c>
      <c r="B3350" s="2">
        <v>44440.0</v>
      </c>
      <c r="C3350" s="1" t="s">
        <v>30</v>
      </c>
      <c r="D3350" s="1" t="s">
        <v>21</v>
      </c>
      <c r="E3350" s="1" t="s">
        <v>76</v>
      </c>
      <c r="F3350" s="1">
        <v>433.69</v>
      </c>
      <c r="G3350" s="1">
        <v>212.92</v>
      </c>
      <c r="H3350" s="1">
        <v>10.0</v>
      </c>
      <c r="I3350" s="1" t="s">
        <v>17</v>
      </c>
      <c r="J3350" s="1" t="s">
        <v>24</v>
      </c>
      <c r="K3350" s="1">
        <f t="shared" si="1"/>
        <v>2021</v>
      </c>
      <c r="L3350" s="1" t="str">
        <f t="shared" si="2"/>
        <v>Sep</v>
      </c>
      <c r="M3350" s="1" t="str">
        <f t="shared" si="3"/>
        <v>Profit</v>
      </c>
    </row>
    <row r="3351" ht="14.25" customHeight="1">
      <c r="A3351" s="1" t="s">
        <v>3385</v>
      </c>
      <c r="B3351" s="2">
        <v>44442.0</v>
      </c>
      <c r="C3351" s="1" t="s">
        <v>30</v>
      </c>
      <c r="D3351" s="1" t="s">
        <v>15</v>
      </c>
      <c r="E3351" s="1" t="s">
        <v>54</v>
      </c>
      <c r="F3351" s="1">
        <v>409.45</v>
      </c>
      <c r="G3351" s="1">
        <v>32.98</v>
      </c>
      <c r="H3351" s="1">
        <v>8.0</v>
      </c>
      <c r="I3351" s="1" t="s">
        <v>23</v>
      </c>
      <c r="J3351" s="1" t="s">
        <v>18</v>
      </c>
      <c r="K3351" s="1">
        <f t="shared" si="1"/>
        <v>2021</v>
      </c>
      <c r="L3351" s="1" t="str">
        <f t="shared" si="2"/>
        <v>Sep</v>
      </c>
      <c r="M3351" s="1" t="str">
        <f t="shared" si="3"/>
        <v>Profit</v>
      </c>
    </row>
    <row r="3352" ht="14.25" customHeight="1">
      <c r="A3352" s="1" t="s">
        <v>3386</v>
      </c>
      <c r="B3352" s="2">
        <v>45038.0</v>
      </c>
      <c r="C3352" s="1" t="s">
        <v>26</v>
      </c>
      <c r="D3352" s="1" t="s">
        <v>15</v>
      </c>
      <c r="E3352" s="1" t="s">
        <v>31</v>
      </c>
      <c r="F3352" s="1">
        <v>337.69</v>
      </c>
      <c r="G3352" s="1">
        <v>-36.93</v>
      </c>
      <c r="H3352" s="1">
        <v>7.0</v>
      </c>
      <c r="I3352" s="1" t="s">
        <v>34</v>
      </c>
      <c r="J3352" s="1" t="s">
        <v>35</v>
      </c>
      <c r="K3352" s="1">
        <f t="shared" si="1"/>
        <v>2023</v>
      </c>
      <c r="L3352" s="1" t="str">
        <f t="shared" si="2"/>
        <v>Apr</v>
      </c>
      <c r="M3352" s="1" t="str">
        <f t="shared" si="3"/>
        <v>Loss</v>
      </c>
    </row>
    <row r="3353" ht="14.25" customHeight="1">
      <c r="A3353" s="1" t="s">
        <v>3387</v>
      </c>
      <c r="B3353" s="2">
        <v>45269.0</v>
      </c>
      <c r="C3353" s="1" t="s">
        <v>20</v>
      </c>
      <c r="D3353" s="1" t="s">
        <v>21</v>
      </c>
      <c r="E3353" s="1" t="s">
        <v>76</v>
      </c>
      <c r="F3353" s="1">
        <v>199.11</v>
      </c>
      <c r="G3353" s="1">
        <v>248.92</v>
      </c>
      <c r="H3353" s="1">
        <v>6.0</v>
      </c>
      <c r="I3353" s="1" t="s">
        <v>34</v>
      </c>
      <c r="J3353" s="1" t="s">
        <v>35</v>
      </c>
      <c r="K3353" s="1">
        <f t="shared" si="1"/>
        <v>2023</v>
      </c>
      <c r="L3353" s="1" t="str">
        <f t="shared" si="2"/>
        <v>Dec</v>
      </c>
      <c r="M3353" s="1" t="str">
        <f t="shared" si="3"/>
        <v>Profit</v>
      </c>
    </row>
    <row r="3354" ht="14.25" customHeight="1">
      <c r="A3354" s="1" t="s">
        <v>3388</v>
      </c>
      <c r="B3354" s="2">
        <v>44357.0</v>
      </c>
      <c r="C3354" s="1" t="s">
        <v>26</v>
      </c>
      <c r="D3354" s="1" t="s">
        <v>15</v>
      </c>
      <c r="E3354" s="1" t="s">
        <v>31</v>
      </c>
      <c r="F3354" s="1">
        <v>384.97</v>
      </c>
      <c r="G3354" s="1">
        <v>-39.61</v>
      </c>
      <c r="H3354" s="1">
        <v>6.0</v>
      </c>
      <c r="I3354" s="1" t="s">
        <v>23</v>
      </c>
      <c r="J3354" s="1" t="s">
        <v>35</v>
      </c>
      <c r="K3354" s="1">
        <f t="shared" si="1"/>
        <v>2021</v>
      </c>
      <c r="L3354" s="1" t="str">
        <f t="shared" si="2"/>
        <v>Jun</v>
      </c>
      <c r="M3354" s="1" t="str">
        <f t="shared" si="3"/>
        <v>Loss</v>
      </c>
    </row>
    <row r="3355" ht="14.25" customHeight="1">
      <c r="A3355" s="1" t="s">
        <v>3389</v>
      </c>
      <c r="B3355" s="2">
        <v>44676.0</v>
      </c>
      <c r="C3355" s="1" t="s">
        <v>26</v>
      </c>
      <c r="D3355" s="1" t="s">
        <v>21</v>
      </c>
      <c r="E3355" s="1" t="s">
        <v>22</v>
      </c>
      <c r="F3355" s="1">
        <v>190.95</v>
      </c>
      <c r="G3355" s="1">
        <v>-194.74</v>
      </c>
      <c r="H3355" s="1">
        <v>10.0</v>
      </c>
      <c r="I3355" s="1" t="s">
        <v>17</v>
      </c>
      <c r="J3355" s="1" t="s">
        <v>35</v>
      </c>
      <c r="K3355" s="1">
        <f t="shared" si="1"/>
        <v>2022</v>
      </c>
      <c r="L3355" s="1" t="str">
        <f t="shared" si="2"/>
        <v>Apr</v>
      </c>
      <c r="M3355" s="1" t="str">
        <f t="shared" si="3"/>
        <v>Loss</v>
      </c>
    </row>
    <row r="3356" ht="14.25" customHeight="1">
      <c r="A3356" s="1" t="s">
        <v>3390</v>
      </c>
      <c r="B3356" s="2">
        <v>45035.0</v>
      </c>
      <c r="C3356" s="1" t="s">
        <v>30</v>
      </c>
      <c r="D3356" s="1" t="s">
        <v>15</v>
      </c>
      <c r="E3356" s="1" t="s">
        <v>16</v>
      </c>
      <c r="F3356" s="1">
        <v>652.35</v>
      </c>
      <c r="G3356" s="1">
        <v>148.12</v>
      </c>
      <c r="H3356" s="1">
        <v>10.0</v>
      </c>
      <c r="I3356" s="1" t="s">
        <v>34</v>
      </c>
      <c r="J3356" s="1" t="s">
        <v>18</v>
      </c>
      <c r="K3356" s="1">
        <f t="shared" si="1"/>
        <v>2023</v>
      </c>
      <c r="L3356" s="1" t="str">
        <f t="shared" si="2"/>
        <v>Apr</v>
      </c>
      <c r="M3356" s="1" t="str">
        <f t="shared" si="3"/>
        <v>Profit</v>
      </c>
    </row>
    <row r="3357" ht="14.25" customHeight="1">
      <c r="A3357" s="1" t="s">
        <v>3391</v>
      </c>
      <c r="B3357" s="2">
        <v>45151.0</v>
      </c>
      <c r="C3357" s="1" t="s">
        <v>14</v>
      </c>
      <c r="D3357" s="1" t="s">
        <v>15</v>
      </c>
      <c r="E3357" s="1" t="s">
        <v>54</v>
      </c>
      <c r="F3357" s="1">
        <v>892.05</v>
      </c>
      <c r="G3357" s="1">
        <v>-60.42</v>
      </c>
      <c r="H3357" s="1">
        <v>1.0</v>
      </c>
      <c r="I3357" s="1" t="s">
        <v>23</v>
      </c>
      <c r="J3357" s="1" t="s">
        <v>24</v>
      </c>
      <c r="K3357" s="1">
        <f t="shared" si="1"/>
        <v>2023</v>
      </c>
      <c r="L3357" s="1" t="str">
        <f t="shared" si="2"/>
        <v>Aug</v>
      </c>
      <c r="M3357" s="1" t="str">
        <f t="shared" si="3"/>
        <v>Loss</v>
      </c>
    </row>
    <row r="3358" ht="14.25" customHeight="1">
      <c r="A3358" s="1" t="s">
        <v>3392</v>
      </c>
      <c r="B3358" s="2">
        <v>45085.0</v>
      </c>
      <c r="C3358" s="1" t="s">
        <v>20</v>
      </c>
      <c r="D3358" s="1" t="s">
        <v>21</v>
      </c>
      <c r="E3358" s="1" t="s">
        <v>76</v>
      </c>
      <c r="F3358" s="1">
        <v>520.87</v>
      </c>
      <c r="G3358" s="1">
        <v>6.89</v>
      </c>
      <c r="H3358" s="1">
        <v>2.0</v>
      </c>
      <c r="I3358" s="1" t="s">
        <v>34</v>
      </c>
      <c r="J3358" s="1" t="s">
        <v>35</v>
      </c>
      <c r="K3358" s="1">
        <f t="shared" si="1"/>
        <v>2023</v>
      </c>
      <c r="L3358" s="1" t="str">
        <f t="shared" si="2"/>
        <v>Jun</v>
      </c>
      <c r="M3358" s="1" t="str">
        <f t="shared" si="3"/>
        <v>Profit</v>
      </c>
    </row>
    <row r="3359" ht="14.25" customHeight="1">
      <c r="A3359" s="1" t="s">
        <v>3393</v>
      </c>
      <c r="B3359" s="2">
        <v>44861.0</v>
      </c>
      <c r="C3359" s="1" t="s">
        <v>30</v>
      </c>
      <c r="D3359" s="1" t="s">
        <v>15</v>
      </c>
      <c r="E3359" s="1" t="s">
        <v>31</v>
      </c>
      <c r="F3359" s="1">
        <v>931.75</v>
      </c>
      <c r="G3359" s="1">
        <v>7.66</v>
      </c>
      <c r="H3359" s="1">
        <v>10.0</v>
      </c>
      <c r="I3359" s="1" t="s">
        <v>17</v>
      </c>
      <c r="J3359" s="1" t="s">
        <v>18</v>
      </c>
      <c r="K3359" s="1">
        <f t="shared" si="1"/>
        <v>2022</v>
      </c>
      <c r="L3359" s="1" t="str">
        <f t="shared" si="2"/>
        <v>Oct</v>
      </c>
      <c r="M3359" s="1" t="str">
        <f t="shared" si="3"/>
        <v>Profit</v>
      </c>
    </row>
    <row r="3360" ht="14.25" customHeight="1">
      <c r="A3360" s="1" t="s">
        <v>3394</v>
      </c>
      <c r="B3360" s="2">
        <v>44890.0</v>
      </c>
      <c r="C3360" s="1" t="s">
        <v>20</v>
      </c>
      <c r="D3360" s="1" t="s">
        <v>21</v>
      </c>
      <c r="E3360" s="1" t="s">
        <v>22</v>
      </c>
      <c r="F3360" s="1">
        <v>738.72</v>
      </c>
      <c r="G3360" s="1">
        <v>52.0</v>
      </c>
      <c r="H3360" s="1">
        <v>7.0</v>
      </c>
      <c r="I3360" s="1" t="s">
        <v>23</v>
      </c>
      <c r="J3360" s="1" t="s">
        <v>35</v>
      </c>
      <c r="K3360" s="1">
        <f t="shared" si="1"/>
        <v>2022</v>
      </c>
      <c r="L3360" s="1" t="str">
        <f t="shared" si="2"/>
        <v>Nov</v>
      </c>
      <c r="M3360" s="1" t="str">
        <f t="shared" si="3"/>
        <v>Profit</v>
      </c>
    </row>
    <row r="3361" ht="14.25" customHeight="1">
      <c r="A3361" s="1" t="s">
        <v>3395</v>
      </c>
      <c r="B3361" s="2">
        <v>45232.0</v>
      </c>
      <c r="C3361" s="1" t="s">
        <v>30</v>
      </c>
      <c r="D3361" s="1" t="s">
        <v>15</v>
      </c>
      <c r="E3361" s="1" t="s">
        <v>31</v>
      </c>
      <c r="F3361" s="1">
        <v>747.19</v>
      </c>
      <c r="G3361" s="1">
        <v>216.35</v>
      </c>
      <c r="H3361" s="1">
        <v>5.0</v>
      </c>
      <c r="I3361" s="1" t="s">
        <v>17</v>
      </c>
      <c r="J3361" s="1" t="s">
        <v>24</v>
      </c>
      <c r="K3361" s="1">
        <f t="shared" si="1"/>
        <v>2023</v>
      </c>
      <c r="L3361" s="1" t="str">
        <f t="shared" si="2"/>
        <v>Nov</v>
      </c>
      <c r="M3361" s="1" t="str">
        <f t="shared" si="3"/>
        <v>Profit</v>
      </c>
    </row>
    <row r="3362" ht="14.25" customHeight="1">
      <c r="A3362" s="1" t="s">
        <v>3396</v>
      </c>
      <c r="B3362" s="2">
        <v>44758.0</v>
      </c>
      <c r="C3362" s="1" t="s">
        <v>26</v>
      </c>
      <c r="D3362" s="1" t="s">
        <v>15</v>
      </c>
      <c r="E3362" s="1" t="s">
        <v>54</v>
      </c>
      <c r="F3362" s="1">
        <v>886.96</v>
      </c>
      <c r="G3362" s="1">
        <v>-11.62</v>
      </c>
      <c r="H3362" s="1">
        <v>1.0</v>
      </c>
      <c r="I3362" s="1" t="s">
        <v>23</v>
      </c>
      <c r="J3362" s="1" t="s">
        <v>18</v>
      </c>
      <c r="K3362" s="1">
        <f t="shared" si="1"/>
        <v>2022</v>
      </c>
      <c r="L3362" s="1" t="str">
        <f t="shared" si="2"/>
        <v>Jul</v>
      </c>
      <c r="M3362" s="1" t="str">
        <f t="shared" si="3"/>
        <v>Loss</v>
      </c>
    </row>
    <row r="3363" ht="14.25" customHeight="1">
      <c r="A3363" s="1" t="s">
        <v>3397</v>
      </c>
      <c r="B3363" s="2">
        <v>44834.0</v>
      </c>
      <c r="C3363" s="1" t="s">
        <v>30</v>
      </c>
      <c r="D3363" s="1" t="s">
        <v>21</v>
      </c>
      <c r="E3363" s="1" t="s">
        <v>37</v>
      </c>
      <c r="F3363" s="1">
        <v>509.86</v>
      </c>
      <c r="G3363" s="1">
        <v>-169.9</v>
      </c>
      <c r="H3363" s="1">
        <v>4.0</v>
      </c>
      <c r="I3363" s="1" t="s">
        <v>34</v>
      </c>
      <c r="J3363" s="1" t="s">
        <v>18</v>
      </c>
      <c r="K3363" s="1">
        <f t="shared" si="1"/>
        <v>2022</v>
      </c>
      <c r="L3363" s="1" t="str">
        <f t="shared" si="2"/>
        <v>Sep</v>
      </c>
      <c r="M3363" s="1" t="str">
        <f t="shared" si="3"/>
        <v>Loss</v>
      </c>
    </row>
    <row r="3364" ht="14.25" customHeight="1">
      <c r="A3364" s="1" t="s">
        <v>3398</v>
      </c>
      <c r="B3364" s="2">
        <v>44857.0</v>
      </c>
      <c r="C3364" s="1" t="s">
        <v>14</v>
      </c>
      <c r="D3364" s="1" t="s">
        <v>21</v>
      </c>
      <c r="E3364" s="1" t="s">
        <v>22</v>
      </c>
      <c r="F3364" s="1">
        <v>844.94</v>
      </c>
      <c r="G3364" s="1">
        <v>-49.82</v>
      </c>
      <c r="H3364" s="1">
        <v>9.0</v>
      </c>
      <c r="I3364" s="1" t="s">
        <v>17</v>
      </c>
      <c r="J3364" s="1" t="s">
        <v>35</v>
      </c>
      <c r="K3364" s="1">
        <f t="shared" si="1"/>
        <v>2022</v>
      </c>
      <c r="L3364" s="1" t="str">
        <f t="shared" si="2"/>
        <v>Oct</v>
      </c>
      <c r="M3364" s="1" t="str">
        <f t="shared" si="3"/>
        <v>Loss</v>
      </c>
    </row>
    <row r="3365" ht="14.25" customHeight="1">
      <c r="A3365" s="1" t="s">
        <v>3399</v>
      </c>
      <c r="B3365" s="2">
        <v>45252.0</v>
      </c>
      <c r="C3365" s="1" t="s">
        <v>30</v>
      </c>
      <c r="D3365" s="1" t="s">
        <v>27</v>
      </c>
      <c r="E3365" s="1" t="s">
        <v>33</v>
      </c>
      <c r="F3365" s="1">
        <v>206.64</v>
      </c>
      <c r="G3365" s="1">
        <v>-82.97</v>
      </c>
      <c r="H3365" s="1">
        <v>7.0</v>
      </c>
      <c r="I3365" s="1" t="s">
        <v>17</v>
      </c>
      <c r="J3365" s="1" t="s">
        <v>18</v>
      </c>
      <c r="K3365" s="1">
        <f t="shared" si="1"/>
        <v>2023</v>
      </c>
      <c r="L3365" s="1" t="str">
        <f t="shared" si="2"/>
        <v>Nov</v>
      </c>
      <c r="M3365" s="1" t="str">
        <f t="shared" si="3"/>
        <v>Loss</v>
      </c>
    </row>
    <row r="3366" ht="14.25" customHeight="1">
      <c r="A3366" s="1" t="s">
        <v>3400</v>
      </c>
      <c r="B3366" s="2">
        <v>44843.0</v>
      </c>
      <c r="C3366" s="1" t="s">
        <v>14</v>
      </c>
      <c r="D3366" s="1" t="s">
        <v>21</v>
      </c>
      <c r="E3366" s="1" t="s">
        <v>22</v>
      </c>
      <c r="F3366" s="1">
        <v>935.52</v>
      </c>
      <c r="G3366" s="1">
        <v>269.87</v>
      </c>
      <c r="H3366" s="1">
        <v>7.0</v>
      </c>
      <c r="I3366" s="1" t="s">
        <v>23</v>
      </c>
      <c r="J3366" s="1" t="s">
        <v>18</v>
      </c>
      <c r="K3366" s="1">
        <f t="shared" si="1"/>
        <v>2022</v>
      </c>
      <c r="L3366" s="1" t="str">
        <f t="shared" si="2"/>
        <v>Oct</v>
      </c>
      <c r="M3366" s="1" t="str">
        <f t="shared" si="3"/>
        <v>Profit</v>
      </c>
    </row>
    <row r="3367" ht="14.25" customHeight="1">
      <c r="A3367" s="1" t="s">
        <v>3401</v>
      </c>
      <c r="B3367" s="2">
        <v>44584.0</v>
      </c>
      <c r="C3367" s="1" t="s">
        <v>26</v>
      </c>
      <c r="D3367" s="1" t="s">
        <v>27</v>
      </c>
      <c r="E3367" s="1" t="s">
        <v>28</v>
      </c>
      <c r="F3367" s="1">
        <v>591.23</v>
      </c>
      <c r="G3367" s="1">
        <v>-154.25</v>
      </c>
      <c r="H3367" s="1">
        <v>7.0</v>
      </c>
      <c r="I3367" s="1" t="s">
        <v>23</v>
      </c>
      <c r="J3367" s="1" t="s">
        <v>18</v>
      </c>
      <c r="K3367" s="1">
        <f t="shared" si="1"/>
        <v>2022</v>
      </c>
      <c r="L3367" s="1" t="str">
        <f t="shared" si="2"/>
        <v>Jan</v>
      </c>
      <c r="M3367" s="1" t="str">
        <f t="shared" si="3"/>
        <v>Loss</v>
      </c>
    </row>
    <row r="3368" ht="14.25" customHeight="1">
      <c r="A3368" s="1" t="s">
        <v>3402</v>
      </c>
      <c r="B3368" s="2">
        <v>45165.0</v>
      </c>
      <c r="C3368" s="1" t="s">
        <v>26</v>
      </c>
      <c r="D3368" s="1" t="s">
        <v>21</v>
      </c>
      <c r="E3368" s="1" t="s">
        <v>37</v>
      </c>
      <c r="F3368" s="1">
        <v>596.48</v>
      </c>
      <c r="G3368" s="1">
        <v>293.84</v>
      </c>
      <c r="H3368" s="1">
        <v>7.0</v>
      </c>
      <c r="I3368" s="1" t="s">
        <v>17</v>
      </c>
      <c r="J3368" s="1" t="s">
        <v>24</v>
      </c>
      <c r="K3368" s="1">
        <f t="shared" si="1"/>
        <v>2023</v>
      </c>
      <c r="L3368" s="1" t="str">
        <f t="shared" si="2"/>
        <v>Aug</v>
      </c>
      <c r="M3368" s="1" t="str">
        <f t="shared" si="3"/>
        <v>Profit</v>
      </c>
    </row>
    <row r="3369" ht="14.25" customHeight="1">
      <c r="A3369" s="1" t="s">
        <v>3403</v>
      </c>
      <c r="B3369" s="2">
        <v>44881.0</v>
      </c>
      <c r="C3369" s="1" t="s">
        <v>30</v>
      </c>
      <c r="D3369" s="1" t="s">
        <v>27</v>
      </c>
      <c r="E3369" s="1" t="s">
        <v>33</v>
      </c>
      <c r="F3369" s="1">
        <v>183.99</v>
      </c>
      <c r="G3369" s="1">
        <v>-85.56</v>
      </c>
      <c r="H3369" s="1">
        <v>4.0</v>
      </c>
      <c r="I3369" s="1" t="s">
        <v>23</v>
      </c>
      <c r="J3369" s="1" t="s">
        <v>38</v>
      </c>
      <c r="K3369" s="1">
        <f t="shared" si="1"/>
        <v>2022</v>
      </c>
      <c r="L3369" s="1" t="str">
        <f t="shared" si="2"/>
        <v>Nov</v>
      </c>
      <c r="M3369" s="1" t="str">
        <f t="shared" si="3"/>
        <v>Loss</v>
      </c>
    </row>
    <row r="3370" ht="14.25" customHeight="1">
      <c r="A3370" s="1" t="s">
        <v>3404</v>
      </c>
      <c r="B3370" s="2">
        <v>44861.0</v>
      </c>
      <c r="C3370" s="1" t="s">
        <v>30</v>
      </c>
      <c r="D3370" s="1" t="s">
        <v>21</v>
      </c>
      <c r="E3370" s="1" t="s">
        <v>37</v>
      </c>
      <c r="F3370" s="1">
        <v>668.33</v>
      </c>
      <c r="G3370" s="1">
        <v>-149.66</v>
      </c>
      <c r="H3370" s="1">
        <v>9.0</v>
      </c>
      <c r="I3370" s="1" t="s">
        <v>17</v>
      </c>
      <c r="J3370" s="1" t="s">
        <v>38</v>
      </c>
      <c r="K3370" s="1">
        <f t="shared" si="1"/>
        <v>2022</v>
      </c>
      <c r="L3370" s="1" t="str">
        <f t="shared" si="2"/>
        <v>Oct</v>
      </c>
      <c r="M3370" s="1" t="str">
        <f t="shared" si="3"/>
        <v>Loss</v>
      </c>
    </row>
    <row r="3371" ht="14.25" customHeight="1">
      <c r="A3371" s="1" t="s">
        <v>3405</v>
      </c>
      <c r="B3371" s="2">
        <v>44431.0</v>
      </c>
      <c r="C3371" s="1" t="s">
        <v>26</v>
      </c>
      <c r="D3371" s="1" t="s">
        <v>27</v>
      </c>
      <c r="E3371" s="1" t="s">
        <v>40</v>
      </c>
      <c r="F3371" s="1">
        <v>759.25</v>
      </c>
      <c r="G3371" s="1">
        <v>292.69</v>
      </c>
      <c r="H3371" s="1">
        <v>4.0</v>
      </c>
      <c r="I3371" s="1" t="s">
        <v>34</v>
      </c>
      <c r="J3371" s="1" t="s">
        <v>38</v>
      </c>
      <c r="K3371" s="1">
        <f t="shared" si="1"/>
        <v>2021</v>
      </c>
      <c r="L3371" s="1" t="str">
        <f t="shared" si="2"/>
        <v>Aug</v>
      </c>
      <c r="M3371" s="1" t="str">
        <f t="shared" si="3"/>
        <v>Profit</v>
      </c>
    </row>
    <row r="3372" ht="14.25" customHeight="1">
      <c r="A3372" s="1" t="s">
        <v>3406</v>
      </c>
      <c r="B3372" s="2">
        <v>44728.0</v>
      </c>
      <c r="C3372" s="1" t="s">
        <v>30</v>
      </c>
      <c r="D3372" s="1" t="s">
        <v>21</v>
      </c>
      <c r="E3372" s="1" t="s">
        <v>76</v>
      </c>
      <c r="F3372" s="1">
        <v>745.19</v>
      </c>
      <c r="G3372" s="1">
        <v>270.48</v>
      </c>
      <c r="H3372" s="1">
        <v>7.0</v>
      </c>
      <c r="I3372" s="1" t="s">
        <v>17</v>
      </c>
      <c r="J3372" s="1" t="s">
        <v>18</v>
      </c>
      <c r="K3372" s="1">
        <f t="shared" si="1"/>
        <v>2022</v>
      </c>
      <c r="L3372" s="1" t="str">
        <f t="shared" si="2"/>
        <v>Jun</v>
      </c>
      <c r="M3372" s="1" t="str">
        <f t="shared" si="3"/>
        <v>Profit</v>
      </c>
    </row>
    <row r="3373" ht="14.25" customHeight="1">
      <c r="A3373" s="1" t="s">
        <v>3407</v>
      </c>
      <c r="B3373" s="2">
        <v>44509.0</v>
      </c>
      <c r="C3373" s="1" t="s">
        <v>20</v>
      </c>
      <c r="D3373" s="1" t="s">
        <v>15</v>
      </c>
      <c r="E3373" s="1" t="s">
        <v>31</v>
      </c>
      <c r="F3373" s="1">
        <v>511.4</v>
      </c>
      <c r="G3373" s="1">
        <v>141.47</v>
      </c>
      <c r="H3373" s="1">
        <v>7.0</v>
      </c>
      <c r="I3373" s="1" t="s">
        <v>34</v>
      </c>
      <c r="J3373" s="1" t="s">
        <v>38</v>
      </c>
      <c r="K3373" s="1">
        <f t="shared" si="1"/>
        <v>2021</v>
      </c>
      <c r="L3373" s="1" t="str">
        <f t="shared" si="2"/>
        <v>Nov</v>
      </c>
      <c r="M3373" s="1" t="str">
        <f t="shared" si="3"/>
        <v>Profit</v>
      </c>
    </row>
    <row r="3374" ht="14.25" customHeight="1">
      <c r="A3374" s="1" t="s">
        <v>3408</v>
      </c>
      <c r="B3374" s="2">
        <v>44807.0</v>
      </c>
      <c r="C3374" s="1" t="s">
        <v>20</v>
      </c>
      <c r="D3374" s="1" t="s">
        <v>27</v>
      </c>
      <c r="E3374" s="1" t="s">
        <v>28</v>
      </c>
      <c r="F3374" s="1">
        <v>813.7</v>
      </c>
      <c r="G3374" s="1">
        <v>-173.86</v>
      </c>
      <c r="H3374" s="1">
        <v>2.0</v>
      </c>
      <c r="I3374" s="1" t="s">
        <v>34</v>
      </c>
      <c r="J3374" s="1" t="s">
        <v>38</v>
      </c>
      <c r="K3374" s="1">
        <f t="shared" si="1"/>
        <v>2022</v>
      </c>
      <c r="L3374" s="1" t="str">
        <f t="shared" si="2"/>
        <v>Sep</v>
      </c>
      <c r="M3374" s="1" t="str">
        <f t="shared" si="3"/>
        <v>Loss</v>
      </c>
    </row>
    <row r="3375" ht="14.25" customHeight="1">
      <c r="A3375" s="1" t="s">
        <v>3409</v>
      </c>
      <c r="B3375" s="2">
        <v>44831.0</v>
      </c>
      <c r="C3375" s="1" t="s">
        <v>20</v>
      </c>
      <c r="D3375" s="1" t="s">
        <v>27</v>
      </c>
      <c r="E3375" s="1" t="s">
        <v>33</v>
      </c>
      <c r="F3375" s="1">
        <v>260.8</v>
      </c>
      <c r="G3375" s="1">
        <v>-67.58</v>
      </c>
      <c r="H3375" s="1">
        <v>10.0</v>
      </c>
      <c r="I3375" s="1" t="s">
        <v>17</v>
      </c>
      <c r="J3375" s="1" t="s">
        <v>35</v>
      </c>
      <c r="K3375" s="1">
        <f t="shared" si="1"/>
        <v>2022</v>
      </c>
      <c r="L3375" s="1" t="str">
        <f t="shared" si="2"/>
        <v>Sep</v>
      </c>
      <c r="M3375" s="1" t="str">
        <f t="shared" si="3"/>
        <v>Loss</v>
      </c>
    </row>
    <row r="3376" ht="14.25" customHeight="1">
      <c r="A3376" s="1" t="s">
        <v>3410</v>
      </c>
      <c r="B3376" s="2">
        <v>45086.0</v>
      </c>
      <c r="C3376" s="1" t="s">
        <v>30</v>
      </c>
      <c r="D3376" s="1" t="s">
        <v>27</v>
      </c>
      <c r="E3376" s="1" t="s">
        <v>33</v>
      </c>
      <c r="F3376" s="1">
        <v>249.46</v>
      </c>
      <c r="G3376" s="1">
        <v>-42.76</v>
      </c>
      <c r="H3376" s="1">
        <v>5.0</v>
      </c>
      <c r="I3376" s="1" t="s">
        <v>23</v>
      </c>
      <c r="J3376" s="1" t="s">
        <v>18</v>
      </c>
      <c r="K3376" s="1">
        <f t="shared" si="1"/>
        <v>2023</v>
      </c>
      <c r="L3376" s="1" t="str">
        <f t="shared" si="2"/>
        <v>Jun</v>
      </c>
      <c r="M3376" s="1" t="str">
        <f t="shared" si="3"/>
        <v>Loss</v>
      </c>
    </row>
    <row r="3377" ht="14.25" customHeight="1">
      <c r="A3377" s="1" t="s">
        <v>3411</v>
      </c>
      <c r="B3377" s="2">
        <v>44224.0</v>
      </c>
      <c r="C3377" s="1" t="s">
        <v>30</v>
      </c>
      <c r="D3377" s="1" t="s">
        <v>15</v>
      </c>
      <c r="E3377" s="1" t="s">
        <v>31</v>
      </c>
      <c r="F3377" s="1">
        <v>609.05</v>
      </c>
      <c r="G3377" s="1">
        <v>-170.11</v>
      </c>
      <c r="H3377" s="1">
        <v>4.0</v>
      </c>
      <c r="I3377" s="1" t="s">
        <v>34</v>
      </c>
      <c r="J3377" s="1" t="s">
        <v>18</v>
      </c>
      <c r="K3377" s="1">
        <f t="shared" si="1"/>
        <v>2021</v>
      </c>
      <c r="L3377" s="1" t="str">
        <f t="shared" si="2"/>
        <v>Jan</v>
      </c>
      <c r="M3377" s="1" t="str">
        <f t="shared" si="3"/>
        <v>Loss</v>
      </c>
    </row>
    <row r="3378" ht="14.25" customHeight="1">
      <c r="A3378" s="1" t="s">
        <v>3412</v>
      </c>
      <c r="B3378" s="2">
        <v>45282.0</v>
      </c>
      <c r="C3378" s="1" t="s">
        <v>14</v>
      </c>
      <c r="D3378" s="1" t="s">
        <v>15</v>
      </c>
      <c r="E3378" s="1" t="s">
        <v>54</v>
      </c>
      <c r="F3378" s="1">
        <v>673.11</v>
      </c>
      <c r="G3378" s="1">
        <v>-125.82</v>
      </c>
      <c r="H3378" s="1">
        <v>9.0</v>
      </c>
      <c r="I3378" s="1" t="s">
        <v>34</v>
      </c>
      <c r="J3378" s="1" t="s">
        <v>38</v>
      </c>
      <c r="K3378" s="1">
        <f t="shared" si="1"/>
        <v>2023</v>
      </c>
      <c r="L3378" s="1" t="str">
        <f t="shared" si="2"/>
        <v>Dec</v>
      </c>
      <c r="M3378" s="1" t="str">
        <f t="shared" si="3"/>
        <v>Loss</v>
      </c>
    </row>
    <row r="3379" ht="14.25" customHeight="1">
      <c r="A3379" s="1" t="s">
        <v>3413</v>
      </c>
      <c r="B3379" s="2">
        <v>44839.0</v>
      </c>
      <c r="C3379" s="1" t="s">
        <v>26</v>
      </c>
      <c r="D3379" s="1" t="s">
        <v>21</v>
      </c>
      <c r="E3379" s="1" t="s">
        <v>37</v>
      </c>
      <c r="F3379" s="1">
        <v>707.95</v>
      </c>
      <c r="G3379" s="1">
        <v>-102.25</v>
      </c>
      <c r="H3379" s="1">
        <v>1.0</v>
      </c>
      <c r="I3379" s="1" t="s">
        <v>23</v>
      </c>
      <c r="J3379" s="1" t="s">
        <v>24</v>
      </c>
      <c r="K3379" s="1">
        <f t="shared" si="1"/>
        <v>2022</v>
      </c>
      <c r="L3379" s="1" t="str">
        <f t="shared" si="2"/>
        <v>Oct</v>
      </c>
      <c r="M3379" s="1" t="str">
        <f t="shared" si="3"/>
        <v>Loss</v>
      </c>
    </row>
    <row r="3380" ht="14.25" customHeight="1">
      <c r="A3380" s="1" t="s">
        <v>3414</v>
      </c>
      <c r="B3380" s="2">
        <v>44991.0</v>
      </c>
      <c r="C3380" s="1" t="s">
        <v>30</v>
      </c>
      <c r="D3380" s="1" t="s">
        <v>15</v>
      </c>
      <c r="E3380" s="1" t="s">
        <v>31</v>
      </c>
      <c r="F3380" s="1">
        <v>607.85</v>
      </c>
      <c r="G3380" s="1">
        <v>158.19</v>
      </c>
      <c r="H3380" s="1">
        <v>1.0</v>
      </c>
      <c r="I3380" s="1" t="s">
        <v>17</v>
      </c>
      <c r="J3380" s="1" t="s">
        <v>18</v>
      </c>
      <c r="K3380" s="1">
        <f t="shared" si="1"/>
        <v>2023</v>
      </c>
      <c r="L3380" s="1" t="str">
        <f t="shared" si="2"/>
        <v>Mar</v>
      </c>
      <c r="M3380" s="1" t="str">
        <f t="shared" si="3"/>
        <v>Profit</v>
      </c>
    </row>
    <row r="3381" ht="14.25" customHeight="1">
      <c r="A3381" s="1" t="s">
        <v>3415</v>
      </c>
      <c r="B3381" s="2">
        <v>44418.0</v>
      </c>
      <c r="C3381" s="1" t="s">
        <v>14</v>
      </c>
      <c r="D3381" s="1" t="s">
        <v>21</v>
      </c>
      <c r="E3381" s="1" t="s">
        <v>22</v>
      </c>
      <c r="F3381" s="1">
        <v>576.31</v>
      </c>
      <c r="G3381" s="1">
        <v>173.38</v>
      </c>
      <c r="H3381" s="1">
        <v>3.0</v>
      </c>
      <c r="I3381" s="1" t="s">
        <v>23</v>
      </c>
      <c r="J3381" s="1" t="s">
        <v>35</v>
      </c>
      <c r="K3381" s="1">
        <f t="shared" si="1"/>
        <v>2021</v>
      </c>
      <c r="L3381" s="1" t="str">
        <f t="shared" si="2"/>
        <v>Aug</v>
      </c>
      <c r="M3381" s="1" t="str">
        <f t="shared" si="3"/>
        <v>Profit</v>
      </c>
    </row>
    <row r="3382" ht="14.25" customHeight="1">
      <c r="A3382" s="1" t="s">
        <v>3416</v>
      </c>
      <c r="B3382" s="2">
        <v>44255.0</v>
      </c>
      <c r="C3382" s="1" t="s">
        <v>20</v>
      </c>
      <c r="D3382" s="1" t="s">
        <v>15</v>
      </c>
      <c r="E3382" s="1" t="s">
        <v>54</v>
      </c>
      <c r="F3382" s="1">
        <v>173.45</v>
      </c>
      <c r="G3382" s="1">
        <v>-109.9</v>
      </c>
      <c r="H3382" s="1">
        <v>6.0</v>
      </c>
      <c r="I3382" s="1" t="s">
        <v>34</v>
      </c>
      <c r="J3382" s="1" t="s">
        <v>18</v>
      </c>
      <c r="K3382" s="1">
        <f t="shared" si="1"/>
        <v>2021</v>
      </c>
      <c r="L3382" s="1" t="str">
        <f t="shared" si="2"/>
        <v>Feb</v>
      </c>
      <c r="M3382" s="1" t="str">
        <f t="shared" si="3"/>
        <v>Loss</v>
      </c>
    </row>
    <row r="3383" ht="14.25" customHeight="1">
      <c r="A3383" s="1" t="s">
        <v>3417</v>
      </c>
      <c r="B3383" s="2">
        <v>44483.0</v>
      </c>
      <c r="C3383" s="1" t="s">
        <v>30</v>
      </c>
      <c r="D3383" s="1" t="s">
        <v>15</v>
      </c>
      <c r="E3383" s="1" t="s">
        <v>54</v>
      </c>
      <c r="F3383" s="1">
        <v>763.77</v>
      </c>
      <c r="G3383" s="1">
        <v>96.54</v>
      </c>
      <c r="H3383" s="1">
        <v>5.0</v>
      </c>
      <c r="I3383" s="1" t="s">
        <v>34</v>
      </c>
      <c r="J3383" s="1" t="s">
        <v>38</v>
      </c>
      <c r="K3383" s="1">
        <f t="shared" si="1"/>
        <v>2021</v>
      </c>
      <c r="L3383" s="1" t="str">
        <f t="shared" si="2"/>
        <v>Oct</v>
      </c>
      <c r="M3383" s="1" t="str">
        <f t="shared" si="3"/>
        <v>Profit</v>
      </c>
    </row>
    <row r="3384" ht="14.25" customHeight="1">
      <c r="A3384" s="1" t="s">
        <v>3418</v>
      </c>
      <c r="B3384" s="2">
        <v>45117.0</v>
      </c>
      <c r="C3384" s="1" t="s">
        <v>14</v>
      </c>
      <c r="D3384" s="1" t="s">
        <v>15</v>
      </c>
      <c r="E3384" s="1" t="s">
        <v>16</v>
      </c>
      <c r="F3384" s="1">
        <v>979.77</v>
      </c>
      <c r="G3384" s="1">
        <v>226.12</v>
      </c>
      <c r="H3384" s="1">
        <v>1.0</v>
      </c>
      <c r="I3384" s="1" t="s">
        <v>34</v>
      </c>
      <c r="J3384" s="1" t="s">
        <v>18</v>
      </c>
      <c r="K3384" s="1">
        <f t="shared" si="1"/>
        <v>2023</v>
      </c>
      <c r="L3384" s="1" t="str">
        <f t="shared" si="2"/>
        <v>Jul</v>
      </c>
      <c r="M3384" s="1" t="str">
        <f t="shared" si="3"/>
        <v>Profit</v>
      </c>
    </row>
    <row r="3385" ht="14.25" customHeight="1">
      <c r="A3385" s="1" t="s">
        <v>3419</v>
      </c>
      <c r="B3385" s="2">
        <v>44609.0</v>
      </c>
      <c r="C3385" s="1" t="s">
        <v>14</v>
      </c>
      <c r="D3385" s="1" t="s">
        <v>15</v>
      </c>
      <c r="E3385" s="1" t="s">
        <v>16</v>
      </c>
      <c r="F3385" s="1">
        <v>63.22</v>
      </c>
      <c r="G3385" s="1">
        <v>293.64</v>
      </c>
      <c r="H3385" s="1">
        <v>4.0</v>
      </c>
      <c r="I3385" s="1" t="s">
        <v>17</v>
      </c>
      <c r="J3385" s="1" t="s">
        <v>35</v>
      </c>
      <c r="K3385" s="1">
        <f t="shared" si="1"/>
        <v>2022</v>
      </c>
      <c r="L3385" s="1" t="str">
        <f t="shared" si="2"/>
        <v>Feb</v>
      </c>
      <c r="M3385" s="1" t="str">
        <f t="shared" si="3"/>
        <v>Profit</v>
      </c>
    </row>
    <row r="3386" ht="14.25" customHeight="1">
      <c r="A3386" s="1" t="s">
        <v>3420</v>
      </c>
      <c r="B3386" s="2">
        <v>44769.0</v>
      </c>
      <c r="C3386" s="1" t="s">
        <v>26</v>
      </c>
      <c r="D3386" s="1" t="s">
        <v>15</v>
      </c>
      <c r="E3386" s="1" t="s">
        <v>54</v>
      </c>
      <c r="F3386" s="1">
        <v>561.56</v>
      </c>
      <c r="G3386" s="1">
        <v>153.4</v>
      </c>
      <c r="H3386" s="1">
        <v>7.0</v>
      </c>
      <c r="I3386" s="1" t="s">
        <v>34</v>
      </c>
      <c r="J3386" s="1" t="s">
        <v>24</v>
      </c>
      <c r="K3386" s="1">
        <f t="shared" si="1"/>
        <v>2022</v>
      </c>
      <c r="L3386" s="1" t="str">
        <f t="shared" si="2"/>
        <v>Jul</v>
      </c>
      <c r="M3386" s="1" t="str">
        <f t="shared" si="3"/>
        <v>Profit</v>
      </c>
    </row>
    <row r="3387" ht="14.25" customHeight="1">
      <c r="A3387" s="1" t="s">
        <v>3421</v>
      </c>
      <c r="B3387" s="2">
        <v>44895.0</v>
      </c>
      <c r="C3387" s="1" t="s">
        <v>14</v>
      </c>
      <c r="D3387" s="1" t="s">
        <v>21</v>
      </c>
      <c r="E3387" s="1" t="s">
        <v>37</v>
      </c>
      <c r="F3387" s="1">
        <v>971.64</v>
      </c>
      <c r="G3387" s="1">
        <v>-153.99</v>
      </c>
      <c r="H3387" s="1">
        <v>9.0</v>
      </c>
      <c r="I3387" s="1" t="s">
        <v>17</v>
      </c>
      <c r="J3387" s="1" t="s">
        <v>24</v>
      </c>
      <c r="K3387" s="1">
        <f t="shared" si="1"/>
        <v>2022</v>
      </c>
      <c r="L3387" s="1" t="str">
        <f t="shared" si="2"/>
        <v>Nov</v>
      </c>
      <c r="M3387" s="1" t="str">
        <f t="shared" si="3"/>
        <v>Loss</v>
      </c>
    </row>
    <row r="3388" ht="14.25" customHeight="1">
      <c r="A3388" s="1" t="s">
        <v>3422</v>
      </c>
      <c r="B3388" s="2">
        <v>44790.0</v>
      </c>
      <c r="C3388" s="1" t="s">
        <v>20</v>
      </c>
      <c r="D3388" s="1" t="s">
        <v>15</v>
      </c>
      <c r="E3388" s="1" t="s">
        <v>54</v>
      </c>
      <c r="F3388" s="1">
        <v>99.71</v>
      </c>
      <c r="G3388" s="1">
        <v>207.6</v>
      </c>
      <c r="H3388" s="1">
        <v>6.0</v>
      </c>
      <c r="I3388" s="1" t="s">
        <v>34</v>
      </c>
      <c r="J3388" s="1" t="s">
        <v>35</v>
      </c>
      <c r="K3388" s="1">
        <f t="shared" si="1"/>
        <v>2022</v>
      </c>
      <c r="L3388" s="1" t="str">
        <f t="shared" si="2"/>
        <v>Aug</v>
      </c>
      <c r="M3388" s="1" t="str">
        <f t="shared" si="3"/>
        <v>Profit</v>
      </c>
    </row>
    <row r="3389" ht="14.25" customHeight="1">
      <c r="A3389" s="1" t="s">
        <v>3423</v>
      </c>
      <c r="B3389" s="2">
        <v>44433.0</v>
      </c>
      <c r="C3389" s="1" t="s">
        <v>20</v>
      </c>
      <c r="D3389" s="1" t="s">
        <v>15</v>
      </c>
      <c r="E3389" s="1" t="s">
        <v>16</v>
      </c>
      <c r="F3389" s="1">
        <v>134.1</v>
      </c>
      <c r="G3389" s="1">
        <v>-183.07</v>
      </c>
      <c r="H3389" s="1">
        <v>1.0</v>
      </c>
      <c r="I3389" s="1" t="s">
        <v>23</v>
      </c>
      <c r="J3389" s="1" t="s">
        <v>38</v>
      </c>
      <c r="K3389" s="1">
        <f t="shared" si="1"/>
        <v>2021</v>
      </c>
      <c r="L3389" s="1" t="str">
        <f t="shared" si="2"/>
        <v>Aug</v>
      </c>
      <c r="M3389" s="1" t="str">
        <f t="shared" si="3"/>
        <v>Loss</v>
      </c>
    </row>
    <row r="3390" ht="14.25" customHeight="1">
      <c r="A3390" s="1" t="s">
        <v>3424</v>
      </c>
      <c r="B3390" s="2">
        <v>44951.0</v>
      </c>
      <c r="C3390" s="1" t="s">
        <v>26</v>
      </c>
      <c r="D3390" s="1" t="s">
        <v>21</v>
      </c>
      <c r="E3390" s="1" t="s">
        <v>22</v>
      </c>
      <c r="F3390" s="1">
        <v>406.2</v>
      </c>
      <c r="G3390" s="1">
        <v>60.19</v>
      </c>
      <c r="H3390" s="1">
        <v>4.0</v>
      </c>
      <c r="I3390" s="1" t="s">
        <v>34</v>
      </c>
      <c r="J3390" s="1" t="s">
        <v>18</v>
      </c>
      <c r="K3390" s="1">
        <f t="shared" si="1"/>
        <v>2023</v>
      </c>
      <c r="L3390" s="1" t="str">
        <f t="shared" si="2"/>
        <v>Jan</v>
      </c>
      <c r="M3390" s="1" t="str">
        <f t="shared" si="3"/>
        <v>Profit</v>
      </c>
    </row>
    <row r="3391" ht="14.25" customHeight="1">
      <c r="A3391" s="1" t="s">
        <v>3425</v>
      </c>
      <c r="B3391" s="2">
        <v>45158.0</v>
      </c>
      <c r="C3391" s="1" t="s">
        <v>30</v>
      </c>
      <c r="D3391" s="1" t="s">
        <v>15</v>
      </c>
      <c r="E3391" s="1" t="s">
        <v>54</v>
      </c>
      <c r="F3391" s="1">
        <v>519.36</v>
      </c>
      <c r="G3391" s="1">
        <v>-16.29</v>
      </c>
      <c r="H3391" s="1">
        <v>1.0</v>
      </c>
      <c r="I3391" s="1" t="s">
        <v>34</v>
      </c>
      <c r="J3391" s="1" t="s">
        <v>38</v>
      </c>
      <c r="K3391" s="1">
        <f t="shared" si="1"/>
        <v>2023</v>
      </c>
      <c r="L3391" s="1" t="str">
        <f t="shared" si="2"/>
        <v>Aug</v>
      </c>
      <c r="M3391" s="1" t="str">
        <f t="shared" si="3"/>
        <v>Loss</v>
      </c>
    </row>
    <row r="3392" ht="14.25" customHeight="1">
      <c r="A3392" s="1" t="s">
        <v>3426</v>
      </c>
      <c r="B3392" s="2">
        <v>44513.0</v>
      </c>
      <c r="C3392" s="1" t="s">
        <v>14</v>
      </c>
      <c r="D3392" s="1" t="s">
        <v>27</v>
      </c>
      <c r="E3392" s="1" t="s">
        <v>28</v>
      </c>
      <c r="F3392" s="1">
        <v>488.11</v>
      </c>
      <c r="G3392" s="1">
        <v>109.04</v>
      </c>
      <c r="H3392" s="1">
        <v>8.0</v>
      </c>
      <c r="I3392" s="1" t="s">
        <v>34</v>
      </c>
      <c r="J3392" s="1" t="s">
        <v>35</v>
      </c>
      <c r="K3392" s="1">
        <f t="shared" si="1"/>
        <v>2021</v>
      </c>
      <c r="L3392" s="1" t="str">
        <f t="shared" si="2"/>
        <v>Nov</v>
      </c>
      <c r="M3392" s="1" t="str">
        <f t="shared" si="3"/>
        <v>Profit</v>
      </c>
    </row>
    <row r="3393" ht="14.25" customHeight="1">
      <c r="A3393" s="1" t="s">
        <v>3427</v>
      </c>
      <c r="B3393" s="2">
        <v>45171.0</v>
      </c>
      <c r="C3393" s="1" t="s">
        <v>20</v>
      </c>
      <c r="D3393" s="1" t="s">
        <v>27</v>
      </c>
      <c r="E3393" s="1" t="s">
        <v>40</v>
      </c>
      <c r="F3393" s="1">
        <v>537.43</v>
      </c>
      <c r="G3393" s="1">
        <v>-103.31</v>
      </c>
      <c r="H3393" s="1">
        <v>9.0</v>
      </c>
      <c r="I3393" s="1" t="s">
        <v>34</v>
      </c>
      <c r="J3393" s="1" t="s">
        <v>18</v>
      </c>
      <c r="K3393" s="1">
        <f t="shared" si="1"/>
        <v>2023</v>
      </c>
      <c r="L3393" s="1" t="str">
        <f t="shared" si="2"/>
        <v>Sep</v>
      </c>
      <c r="M3393" s="1" t="str">
        <f t="shared" si="3"/>
        <v>Loss</v>
      </c>
    </row>
    <row r="3394" ht="14.25" customHeight="1">
      <c r="A3394" s="1" t="s">
        <v>3428</v>
      </c>
      <c r="B3394" s="2">
        <v>44460.0</v>
      </c>
      <c r="C3394" s="1" t="s">
        <v>14</v>
      </c>
      <c r="D3394" s="1" t="s">
        <v>27</v>
      </c>
      <c r="E3394" s="1" t="s">
        <v>28</v>
      </c>
      <c r="F3394" s="1">
        <v>680.62</v>
      </c>
      <c r="G3394" s="1">
        <v>-175.72</v>
      </c>
      <c r="H3394" s="1">
        <v>6.0</v>
      </c>
      <c r="I3394" s="1" t="s">
        <v>23</v>
      </c>
      <c r="J3394" s="1" t="s">
        <v>24</v>
      </c>
      <c r="K3394" s="1">
        <f t="shared" si="1"/>
        <v>2021</v>
      </c>
      <c r="L3394" s="1" t="str">
        <f t="shared" si="2"/>
        <v>Sep</v>
      </c>
      <c r="M3394" s="1" t="str">
        <f t="shared" si="3"/>
        <v>Loss</v>
      </c>
    </row>
    <row r="3395" ht="14.25" customHeight="1">
      <c r="A3395" s="1" t="s">
        <v>3429</v>
      </c>
      <c r="B3395" s="2">
        <v>44983.0</v>
      </c>
      <c r="C3395" s="1" t="s">
        <v>30</v>
      </c>
      <c r="D3395" s="1" t="s">
        <v>21</v>
      </c>
      <c r="E3395" s="1" t="s">
        <v>76</v>
      </c>
      <c r="F3395" s="1">
        <v>290.24</v>
      </c>
      <c r="G3395" s="1">
        <v>-123.58</v>
      </c>
      <c r="H3395" s="1">
        <v>10.0</v>
      </c>
      <c r="I3395" s="1" t="s">
        <v>17</v>
      </c>
      <c r="J3395" s="1" t="s">
        <v>18</v>
      </c>
      <c r="K3395" s="1">
        <f t="shared" si="1"/>
        <v>2023</v>
      </c>
      <c r="L3395" s="1" t="str">
        <f t="shared" si="2"/>
        <v>Feb</v>
      </c>
      <c r="M3395" s="1" t="str">
        <f t="shared" si="3"/>
        <v>Loss</v>
      </c>
    </row>
    <row r="3396" ht="14.25" customHeight="1">
      <c r="A3396" s="1" t="s">
        <v>3430</v>
      </c>
      <c r="B3396" s="2">
        <v>44789.0</v>
      </c>
      <c r="C3396" s="1" t="s">
        <v>30</v>
      </c>
      <c r="D3396" s="1" t="s">
        <v>21</v>
      </c>
      <c r="E3396" s="1" t="s">
        <v>37</v>
      </c>
      <c r="F3396" s="1">
        <v>45.2</v>
      </c>
      <c r="G3396" s="1">
        <v>-60.45</v>
      </c>
      <c r="H3396" s="1">
        <v>9.0</v>
      </c>
      <c r="I3396" s="1" t="s">
        <v>23</v>
      </c>
      <c r="J3396" s="1" t="s">
        <v>35</v>
      </c>
      <c r="K3396" s="1">
        <f t="shared" si="1"/>
        <v>2022</v>
      </c>
      <c r="L3396" s="1" t="str">
        <f t="shared" si="2"/>
        <v>Aug</v>
      </c>
      <c r="M3396" s="1" t="str">
        <f t="shared" si="3"/>
        <v>Loss</v>
      </c>
    </row>
    <row r="3397" ht="14.25" customHeight="1">
      <c r="A3397" s="1" t="s">
        <v>3431</v>
      </c>
      <c r="B3397" s="2">
        <v>45277.0</v>
      </c>
      <c r="C3397" s="1" t="s">
        <v>20</v>
      </c>
      <c r="D3397" s="1" t="s">
        <v>15</v>
      </c>
      <c r="E3397" s="1" t="s">
        <v>31</v>
      </c>
      <c r="F3397" s="1">
        <v>131.18</v>
      </c>
      <c r="G3397" s="1">
        <v>218.98</v>
      </c>
      <c r="H3397" s="1">
        <v>2.0</v>
      </c>
      <c r="I3397" s="1" t="s">
        <v>34</v>
      </c>
      <c r="J3397" s="1" t="s">
        <v>18</v>
      </c>
      <c r="K3397" s="1">
        <f t="shared" si="1"/>
        <v>2023</v>
      </c>
      <c r="L3397" s="1" t="str">
        <f t="shared" si="2"/>
        <v>Dec</v>
      </c>
      <c r="M3397" s="1" t="str">
        <f t="shared" si="3"/>
        <v>Profit</v>
      </c>
    </row>
    <row r="3398" ht="14.25" customHeight="1">
      <c r="A3398" s="1" t="s">
        <v>3432</v>
      </c>
      <c r="B3398" s="2">
        <v>44299.0</v>
      </c>
      <c r="C3398" s="1" t="s">
        <v>26</v>
      </c>
      <c r="D3398" s="1" t="s">
        <v>15</v>
      </c>
      <c r="E3398" s="1" t="s">
        <v>54</v>
      </c>
      <c r="F3398" s="1">
        <v>260.65</v>
      </c>
      <c r="G3398" s="1">
        <v>103.11</v>
      </c>
      <c r="H3398" s="1">
        <v>8.0</v>
      </c>
      <c r="I3398" s="1" t="s">
        <v>34</v>
      </c>
      <c r="J3398" s="1" t="s">
        <v>18</v>
      </c>
      <c r="K3398" s="1">
        <f t="shared" si="1"/>
        <v>2021</v>
      </c>
      <c r="L3398" s="1" t="str">
        <f t="shared" si="2"/>
        <v>Apr</v>
      </c>
      <c r="M3398" s="1" t="str">
        <f t="shared" si="3"/>
        <v>Profit</v>
      </c>
    </row>
    <row r="3399" ht="14.25" customHeight="1">
      <c r="A3399" s="1" t="s">
        <v>3433</v>
      </c>
      <c r="B3399" s="2">
        <v>44320.0</v>
      </c>
      <c r="C3399" s="1" t="s">
        <v>20</v>
      </c>
      <c r="D3399" s="1" t="s">
        <v>15</v>
      </c>
      <c r="E3399" s="1" t="s">
        <v>31</v>
      </c>
      <c r="F3399" s="1">
        <v>148.01</v>
      </c>
      <c r="G3399" s="1">
        <v>182.4</v>
      </c>
      <c r="H3399" s="1">
        <v>1.0</v>
      </c>
      <c r="I3399" s="1" t="s">
        <v>23</v>
      </c>
      <c r="J3399" s="1" t="s">
        <v>24</v>
      </c>
      <c r="K3399" s="1">
        <f t="shared" si="1"/>
        <v>2021</v>
      </c>
      <c r="L3399" s="1" t="str">
        <f t="shared" si="2"/>
        <v>May</v>
      </c>
      <c r="M3399" s="1" t="str">
        <f t="shared" si="3"/>
        <v>Profit</v>
      </c>
    </row>
    <row r="3400" ht="14.25" customHeight="1">
      <c r="A3400" s="1" t="s">
        <v>3434</v>
      </c>
      <c r="B3400" s="2">
        <v>44706.0</v>
      </c>
      <c r="C3400" s="1" t="s">
        <v>30</v>
      </c>
      <c r="D3400" s="1" t="s">
        <v>27</v>
      </c>
      <c r="E3400" s="1" t="s">
        <v>28</v>
      </c>
      <c r="F3400" s="1">
        <v>39.64</v>
      </c>
      <c r="G3400" s="1">
        <v>165.5</v>
      </c>
      <c r="H3400" s="1">
        <v>2.0</v>
      </c>
      <c r="I3400" s="1" t="s">
        <v>34</v>
      </c>
      <c r="J3400" s="1" t="s">
        <v>24</v>
      </c>
      <c r="K3400" s="1">
        <f t="shared" si="1"/>
        <v>2022</v>
      </c>
      <c r="L3400" s="1" t="str">
        <f t="shared" si="2"/>
        <v>May</v>
      </c>
      <c r="M3400" s="1" t="str">
        <f t="shared" si="3"/>
        <v>Profit</v>
      </c>
    </row>
    <row r="3401" ht="14.25" customHeight="1">
      <c r="A3401" s="1" t="s">
        <v>3435</v>
      </c>
      <c r="B3401" s="2">
        <v>44857.0</v>
      </c>
      <c r="C3401" s="1" t="s">
        <v>26</v>
      </c>
      <c r="D3401" s="1" t="s">
        <v>15</v>
      </c>
      <c r="E3401" s="1" t="s">
        <v>54</v>
      </c>
      <c r="F3401" s="1">
        <v>827.7</v>
      </c>
      <c r="G3401" s="1">
        <v>64.91</v>
      </c>
      <c r="H3401" s="1">
        <v>7.0</v>
      </c>
      <c r="I3401" s="1" t="s">
        <v>17</v>
      </c>
      <c r="J3401" s="1" t="s">
        <v>24</v>
      </c>
      <c r="K3401" s="1">
        <f t="shared" si="1"/>
        <v>2022</v>
      </c>
      <c r="L3401" s="1" t="str">
        <f t="shared" si="2"/>
        <v>Oct</v>
      </c>
      <c r="M3401" s="1" t="str">
        <f t="shared" si="3"/>
        <v>Profit</v>
      </c>
    </row>
    <row r="3402" ht="14.25" customHeight="1">
      <c r="A3402" s="1" t="s">
        <v>3436</v>
      </c>
      <c r="B3402" s="2">
        <v>45244.0</v>
      </c>
      <c r="C3402" s="1" t="s">
        <v>20</v>
      </c>
      <c r="D3402" s="1" t="s">
        <v>15</v>
      </c>
      <c r="E3402" s="1" t="s">
        <v>31</v>
      </c>
      <c r="F3402" s="1">
        <v>567.62</v>
      </c>
      <c r="G3402" s="1">
        <v>-160.28</v>
      </c>
      <c r="H3402" s="1">
        <v>5.0</v>
      </c>
      <c r="I3402" s="1" t="s">
        <v>17</v>
      </c>
      <c r="J3402" s="1" t="s">
        <v>24</v>
      </c>
      <c r="K3402" s="1">
        <f t="shared" si="1"/>
        <v>2023</v>
      </c>
      <c r="L3402" s="1" t="str">
        <f t="shared" si="2"/>
        <v>Nov</v>
      </c>
      <c r="M3402" s="1" t="str">
        <f t="shared" si="3"/>
        <v>Loss</v>
      </c>
    </row>
    <row r="3403" ht="14.25" customHeight="1">
      <c r="A3403" s="1" t="s">
        <v>3437</v>
      </c>
      <c r="B3403" s="2">
        <v>44705.0</v>
      </c>
      <c r="C3403" s="1" t="s">
        <v>20</v>
      </c>
      <c r="D3403" s="1" t="s">
        <v>27</v>
      </c>
      <c r="E3403" s="1" t="s">
        <v>33</v>
      </c>
      <c r="F3403" s="1">
        <v>874.94</v>
      </c>
      <c r="G3403" s="1">
        <v>37.89</v>
      </c>
      <c r="H3403" s="1">
        <v>4.0</v>
      </c>
      <c r="I3403" s="1" t="s">
        <v>17</v>
      </c>
      <c r="J3403" s="1" t="s">
        <v>35</v>
      </c>
      <c r="K3403" s="1">
        <f t="shared" si="1"/>
        <v>2022</v>
      </c>
      <c r="L3403" s="1" t="str">
        <f t="shared" si="2"/>
        <v>May</v>
      </c>
      <c r="M3403" s="1" t="str">
        <f t="shared" si="3"/>
        <v>Profit</v>
      </c>
    </row>
    <row r="3404" ht="14.25" customHeight="1">
      <c r="A3404" s="1" t="s">
        <v>3438</v>
      </c>
      <c r="B3404" s="2">
        <v>44610.0</v>
      </c>
      <c r="C3404" s="1" t="s">
        <v>20</v>
      </c>
      <c r="D3404" s="1" t="s">
        <v>15</v>
      </c>
      <c r="E3404" s="1" t="s">
        <v>31</v>
      </c>
      <c r="F3404" s="1">
        <v>442.77</v>
      </c>
      <c r="G3404" s="1">
        <v>142.25</v>
      </c>
      <c r="H3404" s="1">
        <v>2.0</v>
      </c>
      <c r="I3404" s="1" t="s">
        <v>23</v>
      </c>
      <c r="J3404" s="1" t="s">
        <v>38</v>
      </c>
      <c r="K3404" s="1">
        <f t="shared" si="1"/>
        <v>2022</v>
      </c>
      <c r="L3404" s="1" t="str">
        <f t="shared" si="2"/>
        <v>Feb</v>
      </c>
      <c r="M3404" s="1" t="str">
        <f t="shared" si="3"/>
        <v>Profit</v>
      </c>
    </row>
    <row r="3405" ht="14.25" customHeight="1">
      <c r="A3405" s="1" t="s">
        <v>3439</v>
      </c>
      <c r="B3405" s="2">
        <v>44681.0</v>
      </c>
      <c r="C3405" s="1" t="s">
        <v>26</v>
      </c>
      <c r="D3405" s="1" t="s">
        <v>15</v>
      </c>
      <c r="E3405" s="1" t="s">
        <v>16</v>
      </c>
      <c r="F3405" s="1">
        <v>397.85</v>
      </c>
      <c r="G3405" s="1">
        <v>-50.01</v>
      </c>
      <c r="H3405" s="1">
        <v>7.0</v>
      </c>
      <c r="I3405" s="1" t="s">
        <v>34</v>
      </c>
      <c r="J3405" s="1" t="s">
        <v>38</v>
      </c>
      <c r="K3405" s="1">
        <f t="shared" si="1"/>
        <v>2022</v>
      </c>
      <c r="L3405" s="1" t="str">
        <f t="shared" si="2"/>
        <v>Apr</v>
      </c>
      <c r="M3405" s="1" t="str">
        <f t="shared" si="3"/>
        <v>Loss</v>
      </c>
    </row>
    <row r="3406" ht="14.25" customHeight="1">
      <c r="A3406" s="1" t="s">
        <v>3440</v>
      </c>
      <c r="B3406" s="2">
        <v>44634.0</v>
      </c>
      <c r="C3406" s="1" t="s">
        <v>14</v>
      </c>
      <c r="D3406" s="1" t="s">
        <v>15</v>
      </c>
      <c r="E3406" s="1" t="s">
        <v>54</v>
      </c>
      <c r="F3406" s="1">
        <v>272.26</v>
      </c>
      <c r="G3406" s="1">
        <v>73.32</v>
      </c>
      <c r="H3406" s="1">
        <v>8.0</v>
      </c>
      <c r="I3406" s="1" t="s">
        <v>34</v>
      </c>
      <c r="J3406" s="1" t="s">
        <v>38</v>
      </c>
      <c r="K3406" s="1">
        <f t="shared" si="1"/>
        <v>2022</v>
      </c>
      <c r="L3406" s="1" t="str">
        <f t="shared" si="2"/>
        <v>Mar</v>
      </c>
      <c r="M3406" s="1" t="str">
        <f t="shared" si="3"/>
        <v>Profit</v>
      </c>
    </row>
    <row r="3407" ht="14.25" customHeight="1">
      <c r="A3407" s="1" t="s">
        <v>3441</v>
      </c>
      <c r="B3407" s="2">
        <v>44331.0</v>
      </c>
      <c r="C3407" s="1" t="s">
        <v>20</v>
      </c>
      <c r="D3407" s="1" t="s">
        <v>27</v>
      </c>
      <c r="E3407" s="1" t="s">
        <v>33</v>
      </c>
      <c r="F3407" s="1">
        <v>735.54</v>
      </c>
      <c r="G3407" s="1">
        <v>-79.34</v>
      </c>
      <c r="H3407" s="1">
        <v>4.0</v>
      </c>
      <c r="I3407" s="1" t="s">
        <v>17</v>
      </c>
      <c r="J3407" s="1" t="s">
        <v>24</v>
      </c>
      <c r="K3407" s="1">
        <f t="shared" si="1"/>
        <v>2021</v>
      </c>
      <c r="L3407" s="1" t="str">
        <f t="shared" si="2"/>
        <v>May</v>
      </c>
      <c r="M3407" s="1" t="str">
        <f t="shared" si="3"/>
        <v>Loss</v>
      </c>
    </row>
    <row r="3408" ht="14.25" customHeight="1">
      <c r="A3408" s="1" t="s">
        <v>3442</v>
      </c>
      <c r="B3408" s="2">
        <v>45048.0</v>
      </c>
      <c r="C3408" s="1" t="s">
        <v>20</v>
      </c>
      <c r="D3408" s="1" t="s">
        <v>27</v>
      </c>
      <c r="E3408" s="1" t="s">
        <v>40</v>
      </c>
      <c r="F3408" s="1">
        <v>599.23</v>
      </c>
      <c r="G3408" s="1">
        <v>169.35</v>
      </c>
      <c r="H3408" s="1">
        <v>6.0</v>
      </c>
      <c r="I3408" s="1" t="s">
        <v>23</v>
      </c>
      <c r="J3408" s="1" t="s">
        <v>35</v>
      </c>
      <c r="K3408" s="1">
        <f t="shared" si="1"/>
        <v>2023</v>
      </c>
      <c r="L3408" s="1" t="str">
        <f t="shared" si="2"/>
        <v>May</v>
      </c>
      <c r="M3408" s="1" t="str">
        <f t="shared" si="3"/>
        <v>Profit</v>
      </c>
    </row>
    <row r="3409" ht="14.25" customHeight="1">
      <c r="A3409" s="1" t="s">
        <v>3443</v>
      </c>
      <c r="B3409" s="2">
        <v>44212.0</v>
      </c>
      <c r="C3409" s="1" t="s">
        <v>26</v>
      </c>
      <c r="D3409" s="1" t="s">
        <v>27</v>
      </c>
      <c r="E3409" s="1" t="s">
        <v>28</v>
      </c>
      <c r="F3409" s="1">
        <v>731.82</v>
      </c>
      <c r="G3409" s="1">
        <v>76.31</v>
      </c>
      <c r="H3409" s="1">
        <v>8.0</v>
      </c>
      <c r="I3409" s="1" t="s">
        <v>34</v>
      </c>
      <c r="J3409" s="1" t="s">
        <v>24</v>
      </c>
      <c r="K3409" s="1">
        <f t="shared" si="1"/>
        <v>2021</v>
      </c>
      <c r="L3409" s="1" t="str">
        <f t="shared" si="2"/>
        <v>Jan</v>
      </c>
      <c r="M3409" s="1" t="str">
        <f t="shared" si="3"/>
        <v>Profit</v>
      </c>
    </row>
    <row r="3410" ht="14.25" customHeight="1">
      <c r="A3410" s="1" t="s">
        <v>3444</v>
      </c>
      <c r="B3410" s="2">
        <v>44839.0</v>
      </c>
      <c r="C3410" s="1" t="s">
        <v>26</v>
      </c>
      <c r="D3410" s="1" t="s">
        <v>27</v>
      </c>
      <c r="E3410" s="1" t="s">
        <v>28</v>
      </c>
      <c r="F3410" s="1">
        <v>545.11</v>
      </c>
      <c r="G3410" s="1">
        <v>106.2</v>
      </c>
      <c r="H3410" s="1">
        <v>7.0</v>
      </c>
      <c r="I3410" s="1" t="s">
        <v>34</v>
      </c>
      <c r="J3410" s="1" t="s">
        <v>38</v>
      </c>
      <c r="K3410" s="1">
        <f t="shared" si="1"/>
        <v>2022</v>
      </c>
      <c r="L3410" s="1" t="str">
        <f t="shared" si="2"/>
        <v>Oct</v>
      </c>
      <c r="M3410" s="1" t="str">
        <f t="shared" si="3"/>
        <v>Profit</v>
      </c>
    </row>
    <row r="3411" ht="14.25" customHeight="1">
      <c r="A3411" s="1" t="s">
        <v>3445</v>
      </c>
      <c r="B3411" s="2">
        <v>44881.0</v>
      </c>
      <c r="C3411" s="1" t="s">
        <v>14</v>
      </c>
      <c r="D3411" s="1" t="s">
        <v>15</v>
      </c>
      <c r="E3411" s="1" t="s">
        <v>16</v>
      </c>
      <c r="F3411" s="1">
        <v>807.13</v>
      </c>
      <c r="G3411" s="1">
        <v>212.72</v>
      </c>
      <c r="H3411" s="1">
        <v>5.0</v>
      </c>
      <c r="I3411" s="1" t="s">
        <v>34</v>
      </c>
      <c r="J3411" s="1" t="s">
        <v>35</v>
      </c>
      <c r="K3411" s="1">
        <f t="shared" si="1"/>
        <v>2022</v>
      </c>
      <c r="L3411" s="1" t="str">
        <f t="shared" si="2"/>
        <v>Nov</v>
      </c>
      <c r="M3411" s="1" t="str">
        <f t="shared" si="3"/>
        <v>Profit</v>
      </c>
    </row>
    <row r="3412" ht="14.25" customHeight="1">
      <c r="A3412" s="1" t="s">
        <v>3446</v>
      </c>
      <c r="B3412" s="2">
        <v>44519.0</v>
      </c>
      <c r="C3412" s="1" t="s">
        <v>30</v>
      </c>
      <c r="D3412" s="1" t="s">
        <v>27</v>
      </c>
      <c r="E3412" s="1" t="s">
        <v>28</v>
      </c>
      <c r="F3412" s="1">
        <v>48.01</v>
      </c>
      <c r="G3412" s="1">
        <v>-59.2</v>
      </c>
      <c r="H3412" s="1">
        <v>4.0</v>
      </c>
      <c r="I3412" s="1" t="s">
        <v>17</v>
      </c>
      <c r="J3412" s="1" t="s">
        <v>35</v>
      </c>
      <c r="K3412" s="1">
        <f t="shared" si="1"/>
        <v>2021</v>
      </c>
      <c r="L3412" s="1" t="str">
        <f t="shared" si="2"/>
        <v>Nov</v>
      </c>
      <c r="M3412" s="1" t="str">
        <f t="shared" si="3"/>
        <v>Loss</v>
      </c>
    </row>
    <row r="3413" ht="14.25" customHeight="1">
      <c r="A3413" s="1" t="s">
        <v>3447</v>
      </c>
      <c r="B3413" s="2">
        <v>45076.0</v>
      </c>
      <c r="C3413" s="1" t="s">
        <v>14</v>
      </c>
      <c r="D3413" s="1" t="s">
        <v>15</v>
      </c>
      <c r="E3413" s="1" t="s">
        <v>16</v>
      </c>
      <c r="F3413" s="1">
        <v>899.98</v>
      </c>
      <c r="G3413" s="1">
        <v>-187.2</v>
      </c>
      <c r="H3413" s="1">
        <v>4.0</v>
      </c>
      <c r="I3413" s="1" t="s">
        <v>34</v>
      </c>
      <c r="J3413" s="1" t="s">
        <v>38</v>
      </c>
      <c r="K3413" s="1">
        <f t="shared" si="1"/>
        <v>2023</v>
      </c>
      <c r="L3413" s="1" t="str">
        <f t="shared" si="2"/>
        <v>May</v>
      </c>
      <c r="M3413" s="1" t="str">
        <f t="shared" si="3"/>
        <v>Loss</v>
      </c>
    </row>
    <row r="3414" ht="14.25" customHeight="1">
      <c r="A3414" s="1" t="s">
        <v>3448</v>
      </c>
      <c r="B3414" s="2">
        <v>44908.0</v>
      </c>
      <c r="C3414" s="1" t="s">
        <v>26</v>
      </c>
      <c r="D3414" s="1" t="s">
        <v>21</v>
      </c>
      <c r="E3414" s="1" t="s">
        <v>22</v>
      </c>
      <c r="F3414" s="1">
        <v>212.92</v>
      </c>
      <c r="G3414" s="1">
        <v>262.99</v>
      </c>
      <c r="H3414" s="1">
        <v>5.0</v>
      </c>
      <c r="I3414" s="1" t="s">
        <v>23</v>
      </c>
      <c r="J3414" s="1" t="s">
        <v>24</v>
      </c>
      <c r="K3414" s="1">
        <f t="shared" si="1"/>
        <v>2022</v>
      </c>
      <c r="L3414" s="1" t="str">
        <f t="shared" si="2"/>
        <v>Dec</v>
      </c>
      <c r="M3414" s="1" t="str">
        <f t="shared" si="3"/>
        <v>Profit</v>
      </c>
    </row>
    <row r="3415" ht="14.25" customHeight="1">
      <c r="A3415" s="1" t="s">
        <v>3449</v>
      </c>
      <c r="B3415" s="2">
        <v>45259.0</v>
      </c>
      <c r="C3415" s="1" t="s">
        <v>26</v>
      </c>
      <c r="D3415" s="1" t="s">
        <v>21</v>
      </c>
      <c r="E3415" s="1" t="s">
        <v>22</v>
      </c>
      <c r="F3415" s="1">
        <v>447.14</v>
      </c>
      <c r="G3415" s="1">
        <v>292.01</v>
      </c>
      <c r="H3415" s="1">
        <v>10.0</v>
      </c>
      <c r="I3415" s="1" t="s">
        <v>34</v>
      </c>
      <c r="J3415" s="1" t="s">
        <v>24</v>
      </c>
      <c r="K3415" s="1">
        <f t="shared" si="1"/>
        <v>2023</v>
      </c>
      <c r="L3415" s="1" t="str">
        <f t="shared" si="2"/>
        <v>Nov</v>
      </c>
      <c r="M3415" s="1" t="str">
        <f t="shared" si="3"/>
        <v>Profit</v>
      </c>
    </row>
    <row r="3416" ht="14.25" customHeight="1">
      <c r="A3416" s="1" t="s">
        <v>3450</v>
      </c>
      <c r="B3416" s="2">
        <v>44901.0</v>
      </c>
      <c r="C3416" s="1" t="s">
        <v>20</v>
      </c>
      <c r="D3416" s="1" t="s">
        <v>15</v>
      </c>
      <c r="E3416" s="1" t="s">
        <v>54</v>
      </c>
      <c r="F3416" s="1">
        <v>517.48</v>
      </c>
      <c r="G3416" s="1">
        <v>286.57</v>
      </c>
      <c r="H3416" s="1">
        <v>9.0</v>
      </c>
      <c r="I3416" s="1" t="s">
        <v>23</v>
      </c>
      <c r="J3416" s="1" t="s">
        <v>24</v>
      </c>
      <c r="K3416" s="1">
        <f t="shared" si="1"/>
        <v>2022</v>
      </c>
      <c r="L3416" s="1" t="str">
        <f t="shared" si="2"/>
        <v>Dec</v>
      </c>
      <c r="M3416" s="1" t="str">
        <f t="shared" si="3"/>
        <v>Profit</v>
      </c>
    </row>
    <row r="3417" ht="14.25" customHeight="1">
      <c r="A3417" s="1" t="s">
        <v>3451</v>
      </c>
      <c r="B3417" s="2">
        <v>44612.0</v>
      </c>
      <c r="C3417" s="1" t="s">
        <v>30</v>
      </c>
      <c r="D3417" s="1" t="s">
        <v>21</v>
      </c>
      <c r="E3417" s="1" t="s">
        <v>37</v>
      </c>
      <c r="F3417" s="1">
        <v>513.44</v>
      </c>
      <c r="G3417" s="1">
        <v>113.62</v>
      </c>
      <c r="H3417" s="1">
        <v>4.0</v>
      </c>
      <c r="I3417" s="1" t="s">
        <v>17</v>
      </c>
      <c r="J3417" s="1" t="s">
        <v>24</v>
      </c>
      <c r="K3417" s="1">
        <f t="shared" si="1"/>
        <v>2022</v>
      </c>
      <c r="L3417" s="1" t="str">
        <f t="shared" si="2"/>
        <v>Feb</v>
      </c>
      <c r="M3417" s="1" t="str">
        <f t="shared" si="3"/>
        <v>Profit</v>
      </c>
    </row>
    <row r="3418" ht="14.25" customHeight="1">
      <c r="A3418" s="1" t="s">
        <v>3452</v>
      </c>
      <c r="B3418" s="2">
        <v>44767.0</v>
      </c>
      <c r="C3418" s="1" t="s">
        <v>26</v>
      </c>
      <c r="D3418" s="1" t="s">
        <v>21</v>
      </c>
      <c r="E3418" s="1" t="s">
        <v>37</v>
      </c>
      <c r="F3418" s="1">
        <v>546.84</v>
      </c>
      <c r="G3418" s="1">
        <v>163.93</v>
      </c>
      <c r="H3418" s="1">
        <v>3.0</v>
      </c>
      <c r="I3418" s="1" t="s">
        <v>34</v>
      </c>
      <c r="J3418" s="1" t="s">
        <v>35</v>
      </c>
      <c r="K3418" s="1">
        <f t="shared" si="1"/>
        <v>2022</v>
      </c>
      <c r="L3418" s="1" t="str">
        <f t="shared" si="2"/>
        <v>Jul</v>
      </c>
      <c r="M3418" s="1" t="str">
        <f t="shared" si="3"/>
        <v>Profit</v>
      </c>
    </row>
    <row r="3419" ht="14.25" customHeight="1">
      <c r="A3419" s="1" t="s">
        <v>3453</v>
      </c>
      <c r="B3419" s="2">
        <v>44812.0</v>
      </c>
      <c r="C3419" s="1" t="s">
        <v>26</v>
      </c>
      <c r="D3419" s="1" t="s">
        <v>27</v>
      </c>
      <c r="E3419" s="1" t="s">
        <v>33</v>
      </c>
      <c r="F3419" s="1">
        <v>363.95</v>
      </c>
      <c r="G3419" s="1">
        <v>16.36</v>
      </c>
      <c r="H3419" s="1">
        <v>3.0</v>
      </c>
      <c r="I3419" s="1" t="s">
        <v>23</v>
      </c>
      <c r="J3419" s="1" t="s">
        <v>38</v>
      </c>
      <c r="K3419" s="1">
        <f t="shared" si="1"/>
        <v>2022</v>
      </c>
      <c r="L3419" s="1" t="str">
        <f t="shared" si="2"/>
        <v>Sep</v>
      </c>
      <c r="M3419" s="1" t="str">
        <f t="shared" si="3"/>
        <v>Profit</v>
      </c>
    </row>
    <row r="3420" ht="14.25" customHeight="1">
      <c r="A3420" s="1" t="s">
        <v>3454</v>
      </c>
      <c r="B3420" s="2">
        <v>44206.0</v>
      </c>
      <c r="C3420" s="1" t="s">
        <v>26</v>
      </c>
      <c r="D3420" s="1" t="s">
        <v>15</v>
      </c>
      <c r="E3420" s="1" t="s">
        <v>16</v>
      </c>
      <c r="F3420" s="1">
        <v>191.81</v>
      </c>
      <c r="G3420" s="1">
        <v>98.18</v>
      </c>
      <c r="H3420" s="1">
        <v>7.0</v>
      </c>
      <c r="I3420" s="1" t="s">
        <v>34</v>
      </c>
      <c r="J3420" s="1" t="s">
        <v>35</v>
      </c>
      <c r="K3420" s="1">
        <f t="shared" si="1"/>
        <v>2021</v>
      </c>
      <c r="L3420" s="1" t="str">
        <f t="shared" si="2"/>
        <v>Jan</v>
      </c>
      <c r="M3420" s="1" t="str">
        <f t="shared" si="3"/>
        <v>Profit</v>
      </c>
    </row>
    <row r="3421" ht="14.25" customHeight="1">
      <c r="A3421" s="1" t="s">
        <v>3455</v>
      </c>
      <c r="B3421" s="2">
        <v>44555.0</v>
      </c>
      <c r="C3421" s="1" t="s">
        <v>30</v>
      </c>
      <c r="D3421" s="1" t="s">
        <v>21</v>
      </c>
      <c r="E3421" s="1" t="s">
        <v>76</v>
      </c>
      <c r="F3421" s="1">
        <v>851.79</v>
      </c>
      <c r="G3421" s="1">
        <v>57.49</v>
      </c>
      <c r="H3421" s="1">
        <v>4.0</v>
      </c>
      <c r="I3421" s="1" t="s">
        <v>23</v>
      </c>
      <c r="J3421" s="1" t="s">
        <v>24</v>
      </c>
      <c r="K3421" s="1">
        <f t="shared" si="1"/>
        <v>2021</v>
      </c>
      <c r="L3421" s="1" t="str">
        <f t="shared" si="2"/>
        <v>Dec</v>
      </c>
      <c r="M3421" s="1" t="str">
        <f t="shared" si="3"/>
        <v>Profit</v>
      </c>
    </row>
    <row r="3422" ht="14.25" customHeight="1">
      <c r="A3422" s="1" t="s">
        <v>3456</v>
      </c>
      <c r="B3422" s="2">
        <v>44694.0</v>
      </c>
      <c r="C3422" s="1" t="s">
        <v>26</v>
      </c>
      <c r="D3422" s="1" t="s">
        <v>15</v>
      </c>
      <c r="E3422" s="1" t="s">
        <v>54</v>
      </c>
      <c r="F3422" s="1">
        <v>931.74</v>
      </c>
      <c r="G3422" s="1">
        <v>15.28</v>
      </c>
      <c r="H3422" s="1">
        <v>4.0</v>
      </c>
      <c r="I3422" s="1" t="s">
        <v>23</v>
      </c>
      <c r="J3422" s="1" t="s">
        <v>24</v>
      </c>
      <c r="K3422" s="1">
        <f t="shared" si="1"/>
        <v>2022</v>
      </c>
      <c r="L3422" s="1" t="str">
        <f t="shared" si="2"/>
        <v>May</v>
      </c>
      <c r="M3422" s="1" t="str">
        <f t="shared" si="3"/>
        <v>Profit</v>
      </c>
    </row>
    <row r="3423" ht="14.25" customHeight="1">
      <c r="A3423" s="1" t="s">
        <v>3457</v>
      </c>
      <c r="B3423" s="2">
        <v>44243.0</v>
      </c>
      <c r="C3423" s="1" t="s">
        <v>26</v>
      </c>
      <c r="D3423" s="1" t="s">
        <v>15</v>
      </c>
      <c r="E3423" s="1" t="s">
        <v>16</v>
      </c>
      <c r="F3423" s="1">
        <v>685.47</v>
      </c>
      <c r="G3423" s="1">
        <v>-55.12</v>
      </c>
      <c r="H3423" s="1">
        <v>1.0</v>
      </c>
      <c r="I3423" s="1" t="s">
        <v>23</v>
      </c>
      <c r="J3423" s="1" t="s">
        <v>35</v>
      </c>
      <c r="K3423" s="1">
        <f t="shared" si="1"/>
        <v>2021</v>
      </c>
      <c r="L3423" s="1" t="str">
        <f t="shared" si="2"/>
        <v>Feb</v>
      </c>
      <c r="M3423" s="1" t="str">
        <f t="shared" si="3"/>
        <v>Loss</v>
      </c>
    </row>
    <row r="3424" ht="14.25" customHeight="1">
      <c r="A3424" s="1" t="s">
        <v>3458</v>
      </c>
      <c r="B3424" s="2">
        <v>45268.0</v>
      </c>
      <c r="C3424" s="1" t="s">
        <v>14</v>
      </c>
      <c r="D3424" s="1" t="s">
        <v>15</v>
      </c>
      <c r="E3424" s="1" t="s">
        <v>16</v>
      </c>
      <c r="F3424" s="1">
        <v>168.05</v>
      </c>
      <c r="G3424" s="1">
        <v>-129.22</v>
      </c>
      <c r="H3424" s="1">
        <v>9.0</v>
      </c>
      <c r="I3424" s="1" t="s">
        <v>17</v>
      </c>
      <c r="J3424" s="1" t="s">
        <v>24</v>
      </c>
      <c r="K3424" s="1">
        <f t="shared" si="1"/>
        <v>2023</v>
      </c>
      <c r="L3424" s="1" t="str">
        <f t="shared" si="2"/>
        <v>Dec</v>
      </c>
      <c r="M3424" s="1" t="str">
        <f t="shared" si="3"/>
        <v>Loss</v>
      </c>
    </row>
    <row r="3425" ht="14.25" customHeight="1">
      <c r="A3425" s="1" t="s">
        <v>3459</v>
      </c>
      <c r="B3425" s="2">
        <v>45129.0</v>
      </c>
      <c r="C3425" s="1" t="s">
        <v>20</v>
      </c>
      <c r="D3425" s="1" t="s">
        <v>27</v>
      </c>
      <c r="E3425" s="1" t="s">
        <v>33</v>
      </c>
      <c r="F3425" s="1">
        <v>672.11</v>
      </c>
      <c r="G3425" s="1">
        <v>55.17</v>
      </c>
      <c r="H3425" s="1">
        <v>4.0</v>
      </c>
      <c r="I3425" s="1" t="s">
        <v>23</v>
      </c>
      <c r="J3425" s="1" t="s">
        <v>18</v>
      </c>
      <c r="K3425" s="1">
        <f t="shared" si="1"/>
        <v>2023</v>
      </c>
      <c r="L3425" s="1" t="str">
        <f t="shared" si="2"/>
        <v>Jul</v>
      </c>
      <c r="M3425" s="1" t="str">
        <f t="shared" si="3"/>
        <v>Profit</v>
      </c>
    </row>
    <row r="3426" ht="14.25" customHeight="1">
      <c r="A3426" s="1" t="s">
        <v>3460</v>
      </c>
      <c r="B3426" s="2">
        <v>44219.0</v>
      </c>
      <c r="C3426" s="1" t="s">
        <v>30</v>
      </c>
      <c r="D3426" s="1" t="s">
        <v>15</v>
      </c>
      <c r="E3426" s="1" t="s">
        <v>54</v>
      </c>
      <c r="F3426" s="1">
        <v>522.79</v>
      </c>
      <c r="G3426" s="1">
        <v>40.06</v>
      </c>
      <c r="H3426" s="1">
        <v>10.0</v>
      </c>
      <c r="I3426" s="1" t="s">
        <v>17</v>
      </c>
      <c r="J3426" s="1" t="s">
        <v>38</v>
      </c>
      <c r="K3426" s="1">
        <f t="shared" si="1"/>
        <v>2021</v>
      </c>
      <c r="L3426" s="1" t="str">
        <f t="shared" si="2"/>
        <v>Jan</v>
      </c>
      <c r="M3426" s="1" t="str">
        <f t="shared" si="3"/>
        <v>Profit</v>
      </c>
    </row>
    <row r="3427" ht="14.25" customHeight="1">
      <c r="A3427" s="1" t="s">
        <v>3461</v>
      </c>
      <c r="B3427" s="2">
        <v>44558.0</v>
      </c>
      <c r="C3427" s="1" t="s">
        <v>20</v>
      </c>
      <c r="D3427" s="1" t="s">
        <v>21</v>
      </c>
      <c r="E3427" s="1" t="s">
        <v>76</v>
      </c>
      <c r="F3427" s="1">
        <v>564.58</v>
      </c>
      <c r="G3427" s="1">
        <v>129.73</v>
      </c>
      <c r="H3427" s="1">
        <v>7.0</v>
      </c>
      <c r="I3427" s="1" t="s">
        <v>17</v>
      </c>
      <c r="J3427" s="1" t="s">
        <v>38</v>
      </c>
      <c r="K3427" s="1">
        <f t="shared" si="1"/>
        <v>2021</v>
      </c>
      <c r="L3427" s="1" t="str">
        <f t="shared" si="2"/>
        <v>Dec</v>
      </c>
      <c r="M3427" s="1" t="str">
        <f t="shared" si="3"/>
        <v>Profit</v>
      </c>
    </row>
    <row r="3428" ht="14.25" customHeight="1">
      <c r="A3428" s="1" t="s">
        <v>3462</v>
      </c>
      <c r="B3428" s="2">
        <v>44880.0</v>
      </c>
      <c r="C3428" s="1" t="s">
        <v>14</v>
      </c>
      <c r="D3428" s="1" t="s">
        <v>15</v>
      </c>
      <c r="E3428" s="1" t="s">
        <v>54</v>
      </c>
      <c r="F3428" s="1">
        <v>22.86</v>
      </c>
      <c r="G3428" s="1">
        <v>48.04</v>
      </c>
      <c r="H3428" s="1">
        <v>3.0</v>
      </c>
      <c r="I3428" s="1" t="s">
        <v>34</v>
      </c>
      <c r="J3428" s="1" t="s">
        <v>38</v>
      </c>
      <c r="K3428" s="1">
        <f t="shared" si="1"/>
        <v>2022</v>
      </c>
      <c r="L3428" s="1" t="str">
        <f t="shared" si="2"/>
        <v>Nov</v>
      </c>
      <c r="M3428" s="1" t="str">
        <f t="shared" si="3"/>
        <v>Profit</v>
      </c>
    </row>
    <row r="3429" ht="14.25" customHeight="1">
      <c r="A3429" s="1" t="s">
        <v>3463</v>
      </c>
      <c r="B3429" s="2">
        <v>44742.0</v>
      </c>
      <c r="C3429" s="1" t="s">
        <v>14</v>
      </c>
      <c r="D3429" s="1" t="s">
        <v>27</v>
      </c>
      <c r="E3429" s="1" t="s">
        <v>33</v>
      </c>
      <c r="F3429" s="1">
        <v>544.64</v>
      </c>
      <c r="G3429" s="1">
        <v>110.11</v>
      </c>
      <c r="H3429" s="1">
        <v>5.0</v>
      </c>
      <c r="I3429" s="1" t="s">
        <v>34</v>
      </c>
      <c r="J3429" s="1" t="s">
        <v>18</v>
      </c>
      <c r="K3429" s="1">
        <f t="shared" si="1"/>
        <v>2022</v>
      </c>
      <c r="L3429" s="1" t="str">
        <f t="shared" si="2"/>
        <v>Jun</v>
      </c>
      <c r="M3429" s="1" t="str">
        <f t="shared" si="3"/>
        <v>Profit</v>
      </c>
    </row>
    <row r="3430" ht="14.25" customHeight="1">
      <c r="A3430" s="1" t="s">
        <v>3464</v>
      </c>
      <c r="B3430" s="2">
        <v>44925.0</v>
      </c>
      <c r="C3430" s="1" t="s">
        <v>26</v>
      </c>
      <c r="D3430" s="1" t="s">
        <v>21</v>
      </c>
      <c r="E3430" s="1" t="s">
        <v>37</v>
      </c>
      <c r="F3430" s="1">
        <v>31.93</v>
      </c>
      <c r="G3430" s="1">
        <v>-102.31</v>
      </c>
      <c r="H3430" s="1">
        <v>5.0</v>
      </c>
      <c r="I3430" s="1" t="s">
        <v>23</v>
      </c>
      <c r="J3430" s="1" t="s">
        <v>18</v>
      </c>
      <c r="K3430" s="1">
        <f t="shared" si="1"/>
        <v>2022</v>
      </c>
      <c r="L3430" s="1" t="str">
        <f t="shared" si="2"/>
        <v>Dec</v>
      </c>
      <c r="M3430" s="1" t="str">
        <f t="shared" si="3"/>
        <v>Loss</v>
      </c>
    </row>
    <row r="3431" ht="14.25" customHeight="1">
      <c r="A3431" s="1" t="s">
        <v>3465</v>
      </c>
      <c r="B3431" s="2">
        <v>44960.0</v>
      </c>
      <c r="C3431" s="1" t="s">
        <v>26</v>
      </c>
      <c r="D3431" s="1" t="s">
        <v>21</v>
      </c>
      <c r="E3431" s="1" t="s">
        <v>76</v>
      </c>
      <c r="F3431" s="1">
        <v>345.58</v>
      </c>
      <c r="G3431" s="1">
        <v>-46.23</v>
      </c>
      <c r="H3431" s="1">
        <v>9.0</v>
      </c>
      <c r="I3431" s="1" t="s">
        <v>23</v>
      </c>
      <c r="J3431" s="1" t="s">
        <v>18</v>
      </c>
      <c r="K3431" s="1">
        <f t="shared" si="1"/>
        <v>2023</v>
      </c>
      <c r="L3431" s="1" t="str">
        <f t="shared" si="2"/>
        <v>Feb</v>
      </c>
      <c r="M3431" s="1" t="str">
        <f t="shared" si="3"/>
        <v>Loss</v>
      </c>
    </row>
    <row r="3432" ht="14.25" customHeight="1">
      <c r="A3432" s="1" t="s">
        <v>3466</v>
      </c>
      <c r="B3432" s="2">
        <v>45054.0</v>
      </c>
      <c r="C3432" s="1" t="s">
        <v>26</v>
      </c>
      <c r="D3432" s="1" t="s">
        <v>27</v>
      </c>
      <c r="E3432" s="1" t="s">
        <v>40</v>
      </c>
      <c r="F3432" s="1">
        <v>643.38</v>
      </c>
      <c r="G3432" s="1">
        <v>-132.91</v>
      </c>
      <c r="H3432" s="1">
        <v>9.0</v>
      </c>
      <c r="I3432" s="1" t="s">
        <v>23</v>
      </c>
      <c r="J3432" s="1" t="s">
        <v>35</v>
      </c>
      <c r="K3432" s="1">
        <f t="shared" si="1"/>
        <v>2023</v>
      </c>
      <c r="L3432" s="1" t="str">
        <f t="shared" si="2"/>
        <v>May</v>
      </c>
      <c r="M3432" s="1" t="str">
        <f t="shared" si="3"/>
        <v>Loss</v>
      </c>
    </row>
    <row r="3433" ht="14.25" customHeight="1">
      <c r="A3433" s="1" t="s">
        <v>3467</v>
      </c>
      <c r="B3433" s="2">
        <v>45185.0</v>
      </c>
      <c r="C3433" s="1" t="s">
        <v>20</v>
      </c>
      <c r="D3433" s="1" t="s">
        <v>21</v>
      </c>
      <c r="E3433" s="1" t="s">
        <v>22</v>
      </c>
      <c r="F3433" s="1">
        <v>76.92</v>
      </c>
      <c r="G3433" s="1">
        <v>-55.97</v>
      </c>
      <c r="H3433" s="1">
        <v>3.0</v>
      </c>
      <c r="I3433" s="1" t="s">
        <v>17</v>
      </c>
      <c r="J3433" s="1" t="s">
        <v>24</v>
      </c>
      <c r="K3433" s="1">
        <f t="shared" si="1"/>
        <v>2023</v>
      </c>
      <c r="L3433" s="1" t="str">
        <f t="shared" si="2"/>
        <v>Sep</v>
      </c>
      <c r="M3433" s="1" t="str">
        <f t="shared" si="3"/>
        <v>Loss</v>
      </c>
    </row>
    <row r="3434" ht="14.25" customHeight="1">
      <c r="A3434" s="1" t="s">
        <v>3468</v>
      </c>
      <c r="B3434" s="2">
        <v>44360.0</v>
      </c>
      <c r="C3434" s="1" t="s">
        <v>20</v>
      </c>
      <c r="D3434" s="1" t="s">
        <v>21</v>
      </c>
      <c r="E3434" s="1" t="s">
        <v>37</v>
      </c>
      <c r="F3434" s="1">
        <v>694.22</v>
      </c>
      <c r="G3434" s="1">
        <v>-67.66</v>
      </c>
      <c r="H3434" s="1">
        <v>4.0</v>
      </c>
      <c r="I3434" s="1" t="s">
        <v>23</v>
      </c>
      <c r="J3434" s="1" t="s">
        <v>35</v>
      </c>
      <c r="K3434" s="1">
        <f t="shared" si="1"/>
        <v>2021</v>
      </c>
      <c r="L3434" s="1" t="str">
        <f t="shared" si="2"/>
        <v>Jun</v>
      </c>
      <c r="M3434" s="1" t="str">
        <f t="shared" si="3"/>
        <v>Loss</v>
      </c>
    </row>
    <row r="3435" ht="14.25" customHeight="1">
      <c r="A3435" s="1" t="s">
        <v>3469</v>
      </c>
      <c r="B3435" s="2">
        <v>45067.0</v>
      </c>
      <c r="C3435" s="1" t="s">
        <v>14</v>
      </c>
      <c r="D3435" s="1" t="s">
        <v>21</v>
      </c>
      <c r="E3435" s="1" t="s">
        <v>22</v>
      </c>
      <c r="F3435" s="1">
        <v>109.5</v>
      </c>
      <c r="G3435" s="1">
        <v>-126.21</v>
      </c>
      <c r="H3435" s="1">
        <v>1.0</v>
      </c>
      <c r="I3435" s="1" t="s">
        <v>17</v>
      </c>
      <c r="J3435" s="1" t="s">
        <v>18</v>
      </c>
      <c r="K3435" s="1">
        <f t="shared" si="1"/>
        <v>2023</v>
      </c>
      <c r="L3435" s="1" t="str">
        <f t="shared" si="2"/>
        <v>May</v>
      </c>
      <c r="M3435" s="1" t="str">
        <f t="shared" si="3"/>
        <v>Loss</v>
      </c>
    </row>
    <row r="3436" ht="14.25" customHeight="1">
      <c r="A3436" s="1" t="s">
        <v>3470</v>
      </c>
      <c r="B3436" s="2">
        <v>44620.0</v>
      </c>
      <c r="C3436" s="1" t="s">
        <v>26</v>
      </c>
      <c r="D3436" s="1" t="s">
        <v>21</v>
      </c>
      <c r="E3436" s="1" t="s">
        <v>76</v>
      </c>
      <c r="F3436" s="1">
        <v>460.24</v>
      </c>
      <c r="G3436" s="1">
        <v>-51.26</v>
      </c>
      <c r="H3436" s="1">
        <v>4.0</v>
      </c>
      <c r="I3436" s="1" t="s">
        <v>23</v>
      </c>
      <c r="J3436" s="1" t="s">
        <v>18</v>
      </c>
      <c r="K3436" s="1">
        <f t="shared" si="1"/>
        <v>2022</v>
      </c>
      <c r="L3436" s="1" t="str">
        <f t="shared" si="2"/>
        <v>Feb</v>
      </c>
      <c r="M3436" s="1" t="str">
        <f t="shared" si="3"/>
        <v>Loss</v>
      </c>
    </row>
    <row r="3437" ht="14.25" customHeight="1">
      <c r="A3437" s="1" t="s">
        <v>3471</v>
      </c>
      <c r="B3437" s="2">
        <v>44732.0</v>
      </c>
      <c r="C3437" s="1" t="s">
        <v>26</v>
      </c>
      <c r="D3437" s="1" t="s">
        <v>15</v>
      </c>
      <c r="E3437" s="1" t="s">
        <v>31</v>
      </c>
      <c r="F3437" s="1">
        <v>183.63</v>
      </c>
      <c r="G3437" s="1">
        <v>83.68</v>
      </c>
      <c r="H3437" s="1">
        <v>2.0</v>
      </c>
      <c r="I3437" s="1" t="s">
        <v>34</v>
      </c>
      <c r="J3437" s="1" t="s">
        <v>38</v>
      </c>
      <c r="K3437" s="1">
        <f t="shared" si="1"/>
        <v>2022</v>
      </c>
      <c r="L3437" s="1" t="str">
        <f t="shared" si="2"/>
        <v>Jun</v>
      </c>
      <c r="M3437" s="1" t="str">
        <f t="shared" si="3"/>
        <v>Profit</v>
      </c>
    </row>
    <row r="3438" ht="14.25" customHeight="1">
      <c r="A3438" s="1" t="s">
        <v>3472</v>
      </c>
      <c r="B3438" s="2">
        <v>44815.0</v>
      </c>
      <c r="C3438" s="1" t="s">
        <v>26</v>
      </c>
      <c r="D3438" s="1" t="s">
        <v>15</v>
      </c>
      <c r="E3438" s="1" t="s">
        <v>16</v>
      </c>
      <c r="F3438" s="1">
        <v>896.57</v>
      </c>
      <c r="G3438" s="1">
        <v>-42.32</v>
      </c>
      <c r="H3438" s="1">
        <v>2.0</v>
      </c>
      <c r="I3438" s="1" t="s">
        <v>23</v>
      </c>
      <c r="J3438" s="1" t="s">
        <v>24</v>
      </c>
      <c r="K3438" s="1">
        <f t="shared" si="1"/>
        <v>2022</v>
      </c>
      <c r="L3438" s="1" t="str">
        <f t="shared" si="2"/>
        <v>Sep</v>
      </c>
      <c r="M3438" s="1" t="str">
        <f t="shared" si="3"/>
        <v>Loss</v>
      </c>
    </row>
    <row r="3439" ht="14.25" customHeight="1">
      <c r="A3439" s="1" t="s">
        <v>3473</v>
      </c>
      <c r="B3439" s="2">
        <v>44771.0</v>
      </c>
      <c r="C3439" s="1" t="s">
        <v>26</v>
      </c>
      <c r="D3439" s="1" t="s">
        <v>21</v>
      </c>
      <c r="E3439" s="1" t="s">
        <v>37</v>
      </c>
      <c r="F3439" s="1">
        <v>276.06</v>
      </c>
      <c r="G3439" s="1">
        <v>-176.82</v>
      </c>
      <c r="H3439" s="1">
        <v>1.0</v>
      </c>
      <c r="I3439" s="1" t="s">
        <v>17</v>
      </c>
      <c r="J3439" s="1" t="s">
        <v>38</v>
      </c>
      <c r="K3439" s="1">
        <f t="shared" si="1"/>
        <v>2022</v>
      </c>
      <c r="L3439" s="1" t="str">
        <f t="shared" si="2"/>
        <v>Jul</v>
      </c>
      <c r="M3439" s="1" t="str">
        <f t="shared" si="3"/>
        <v>Loss</v>
      </c>
    </row>
    <row r="3440" ht="14.25" customHeight="1">
      <c r="A3440" s="1" t="s">
        <v>3474</v>
      </c>
      <c r="B3440" s="2">
        <v>44330.0</v>
      </c>
      <c r="C3440" s="1" t="s">
        <v>26</v>
      </c>
      <c r="D3440" s="1" t="s">
        <v>21</v>
      </c>
      <c r="E3440" s="1" t="s">
        <v>37</v>
      </c>
      <c r="F3440" s="1">
        <v>63.4</v>
      </c>
      <c r="G3440" s="1">
        <v>144.37</v>
      </c>
      <c r="H3440" s="1">
        <v>4.0</v>
      </c>
      <c r="I3440" s="1" t="s">
        <v>34</v>
      </c>
      <c r="J3440" s="1" t="s">
        <v>38</v>
      </c>
      <c r="K3440" s="1">
        <f t="shared" si="1"/>
        <v>2021</v>
      </c>
      <c r="L3440" s="1" t="str">
        <f t="shared" si="2"/>
        <v>May</v>
      </c>
      <c r="M3440" s="1" t="str">
        <f t="shared" si="3"/>
        <v>Profit</v>
      </c>
    </row>
    <row r="3441" ht="14.25" customHeight="1">
      <c r="A3441" s="1" t="s">
        <v>3475</v>
      </c>
      <c r="B3441" s="2">
        <v>44943.0</v>
      </c>
      <c r="C3441" s="1" t="s">
        <v>30</v>
      </c>
      <c r="D3441" s="1" t="s">
        <v>27</v>
      </c>
      <c r="E3441" s="1" t="s">
        <v>33</v>
      </c>
      <c r="F3441" s="1">
        <v>595.02</v>
      </c>
      <c r="G3441" s="1">
        <v>26.63</v>
      </c>
      <c r="H3441" s="1">
        <v>6.0</v>
      </c>
      <c r="I3441" s="1" t="s">
        <v>34</v>
      </c>
      <c r="J3441" s="1" t="s">
        <v>18</v>
      </c>
      <c r="K3441" s="1">
        <f t="shared" si="1"/>
        <v>2023</v>
      </c>
      <c r="L3441" s="1" t="str">
        <f t="shared" si="2"/>
        <v>Jan</v>
      </c>
      <c r="M3441" s="1" t="str">
        <f t="shared" si="3"/>
        <v>Profit</v>
      </c>
    </row>
    <row r="3442" ht="14.25" customHeight="1">
      <c r="A3442" s="1" t="s">
        <v>3476</v>
      </c>
      <c r="B3442" s="2">
        <v>45210.0</v>
      </c>
      <c r="C3442" s="1" t="s">
        <v>26</v>
      </c>
      <c r="D3442" s="1" t="s">
        <v>21</v>
      </c>
      <c r="E3442" s="1" t="s">
        <v>76</v>
      </c>
      <c r="F3442" s="1">
        <v>511.67</v>
      </c>
      <c r="G3442" s="1">
        <v>118.97</v>
      </c>
      <c r="H3442" s="1">
        <v>2.0</v>
      </c>
      <c r="I3442" s="1" t="s">
        <v>23</v>
      </c>
      <c r="J3442" s="1" t="s">
        <v>24</v>
      </c>
      <c r="K3442" s="1">
        <f t="shared" si="1"/>
        <v>2023</v>
      </c>
      <c r="L3442" s="1" t="str">
        <f t="shared" si="2"/>
        <v>Oct</v>
      </c>
      <c r="M3442" s="1" t="str">
        <f t="shared" si="3"/>
        <v>Profit</v>
      </c>
    </row>
    <row r="3443" ht="14.25" customHeight="1">
      <c r="A3443" s="1" t="s">
        <v>3477</v>
      </c>
      <c r="B3443" s="2">
        <v>44514.0</v>
      </c>
      <c r="C3443" s="1" t="s">
        <v>26</v>
      </c>
      <c r="D3443" s="1" t="s">
        <v>15</v>
      </c>
      <c r="E3443" s="1" t="s">
        <v>31</v>
      </c>
      <c r="F3443" s="1">
        <v>342.01</v>
      </c>
      <c r="G3443" s="1">
        <v>239.33</v>
      </c>
      <c r="H3443" s="1">
        <v>3.0</v>
      </c>
      <c r="I3443" s="1" t="s">
        <v>34</v>
      </c>
      <c r="J3443" s="1" t="s">
        <v>18</v>
      </c>
      <c r="K3443" s="1">
        <f t="shared" si="1"/>
        <v>2021</v>
      </c>
      <c r="L3443" s="1" t="str">
        <f t="shared" si="2"/>
        <v>Nov</v>
      </c>
      <c r="M3443" s="1" t="str">
        <f t="shared" si="3"/>
        <v>Profit</v>
      </c>
    </row>
    <row r="3444" ht="14.25" customHeight="1">
      <c r="A3444" s="1" t="s">
        <v>3478</v>
      </c>
      <c r="B3444" s="2">
        <v>44858.0</v>
      </c>
      <c r="C3444" s="1" t="s">
        <v>26</v>
      </c>
      <c r="D3444" s="1" t="s">
        <v>15</v>
      </c>
      <c r="E3444" s="1" t="s">
        <v>31</v>
      </c>
      <c r="F3444" s="1">
        <v>711.9</v>
      </c>
      <c r="G3444" s="1">
        <v>296.67</v>
      </c>
      <c r="H3444" s="1">
        <v>7.0</v>
      </c>
      <c r="I3444" s="1" t="s">
        <v>23</v>
      </c>
      <c r="J3444" s="1" t="s">
        <v>18</v>
      </c>
      <c r="K3444" s="1">
        <f t="shared" si="1"/>
        <v>2022</v>
      </c>
      <c r="L3444" s="1" t="str">
        <f t="shared" si="2"/>
        <v>Oct</v>
      </c>
      <c r="M3444" s="1" t="str">
        <f t="shared" si="3"/>
        <v>Profit</v>
      </c>
    </row>
    <row r="3445" ht="14.25" customHeight="1">
      <c r="A3445" s="1" t="s">
        <v>3479</v>
      </c>
      <c r="B3445" s="2">
        <v>44952.0</v>
      </c>
      <c r="C3445" s="1" t="s">
        <v>14</v>
      </c>
      <c r="D3445" s="1" t="s">
        <v>27</v>
      </c>
      <c r="E3445" s="1" t="s">
        <v>40</v>
      </c>
      <c r="F3445" s="1">
        <v>242.17</v>
      </c>
      <c r="G3445" s="1">
        <v>-41.82</v>
      </c>
      <c r="H3445" s="1">
        <v>5.0</v>
      </c>
      <c r="I3445" s="1" t="s">
        <v>17</v>
      </c>
      <c r="J3445" s="1" t="s">
        <v>24</v>
      </c>
      <c r="K3445" s="1">
        <f t="shared" si="1"/>
        <v>2023</v>
      </c>
      <c r="L3445" s="1" t="str">
        <f t="shared" si="2"/>
        <v>Jan</v>
      </c>
      <c r="M3445" s="1" t="str">
        <f t="shared" si="3"/>
        <v>Loss</v>
      </c>
    </row>
    <row r="3446" ht="14.25" customHeight="1">
      <c r="A3446" s="1" t="s">
        <v>3480</v>
      </c>
      <c r="B3446" s="2">
        <v>45049.0</v>
      </c>
      <c r="C3446" s="1" t="s">
        <v>20</v>
      </c>
      <c r="D3446" s="1" t="s">
        <v>15</v>
      </c>
      <c r="E3446" s="1" t="s">
        <v>16</v>
      </c>
      <c r="F3446" s="1">
        <v>219.15</v>
      </c>
      <c r="G3446" s="1">
        <v>148.89</v>
      </c>
      <c r="H3446" s="1">
        <v>9.0</v>
      </c>
      <c r="I3446" s="1" t="s">
        <v>17</v>
      </c>
      <c r="J3446" s="1" t="s">
        <v>38</v>
      </c>
      <c r="K3446" s="1">
        <f t="shared" si="1"/>
        <v>2023</v>
      </c>
      <c r="L3446" s="1" t="str">
        <f t="shared" si="2"/>
        <v>May</v>
      </c>
      <c r="M3446" s="1" t="str">
        <f t="shared" si="3"/>
        <v>Profit</v>
      </c>
    </row>
    <row r="3447" ht="14.25" customHeight="1">
      <c r="A3447" s="1" t="s">
        <v>3481</v>
      </c>
      <c r="B3447" s="2">
        <v>45044.0</v>
      </c>
      <c r="C3447" s="1" t="s">
        <v>26</v>
      </c>
      <c r="D3447" s="1" t="s">
        <v>21</v>
      </c>
      <c r="E3447" s="1" t="s">
        <v>76</v>
      </c>
      <c r="F3447" s="1">
        <v>91.27</v>
      </c>
      <c r="G3447" s="1">
        <v>-192.77</v>
      </c>
      <c r="H3447" s="1">
        <v>4.0</v>
      </c>
      <c r="I3447" s="1" t="s">
        <v>34</v>
      </c>
      <c r="J3447" s="1" t="s">
        <v>18</v>
      </c>
      <c r="K3447" s="1">
        <f t="shared" si="1"/>
        <v>2023</v>
      </c>
      <c r="L3447" s="1" t="str">
        <f t="shared" si="2"/>
        <v>Apr</v>
      </c>
      <c r="M3447" s="1" t="str">
        <f t="shared" si="3"/>
        <v>Loss</v>
      </c>
    </row>
    <row r="3448" ht="14.25" customHeight="1">
      <c r="A3448" s="1" t="s">
        <v>3482</v>
      </c>
      <c r="B3448" s="2">
        <v>44930.0</v>
      </c>
      <c r="C3448" s="1" t="s">
        <v>30</v>
      </c>
      <c r="D3448" s="1" t="s">
        <v>21</v>
      </c>
      <c r="E3448" s="1" t="s">
        <v>22</v>
      </c>
      <c r="F3448" s="1">
        <v>258.8</v>
      </c>
      <c r="G3448" s="1">
        <v>-10.65</v>
      </c>
      <c r="H3448" s="1">
        <v>2.0</v>
      </c>
      <c r="I3448" s="1" t="s">
        <v>17</v>
      </c>
      <c r="J3448" s="1" t="s">
        <v>24</v>
      </c>
      <c r="K3448" s="1">
        <f t="shared" si="1"/>
        <v>2023</v>
      </c>
      <c r="L3448" s="1" t="str">
        <f t="shared" si="2"/>
        <v>Jan</v>
      </c>
      <c r="M3448" s="1" t="str">
        <f t="shared" si="3"/>
        <v>Loss</v>
      </c>
    </row>
    <row r="3449" ht="14.25" customHeight="1">
      <c r="A3449" s="1" t="s">
        <v>3483</v>
      </c>
      <c r="B3449" s="2">
        <v>44922.0</v>
      </c>
      <c r="C3449" s="1" t="s">
        <v>30</v>
      </c>
      <c r="D3449" s="1" t="s">
        <v>27</v>
      </c>
      <c r="E3449" s="1" t="s">
        <v>28</v>
      </c>
      <c r="F3449" s="1">
        <v>105.29</v>
      </c>
      <c r="G3449" s="1">
        <v>78.59</v>
      </c>
      <c r="H3449" s="1">
        <v>7.0</v>
      </c>
      <c r="I3449" s="1" t="s">
        <v>17</v>
      </c>
      <c r="J3449" s="1" t="s">
        <v>18</v>
      </c>
      <c r="K3449" s="1">
        <f t="shared" si="1"/>
        <v>2022</v>
      </c>
      <c r="L3449" s="1" t="str">
        <f t="shared" si="2"/>
        <v>Dec</v>
      </c>
      <c r="M3449" s="1" t="str">
        <f t="shared" si="3"/>
        <v>Profit</v>
      </c>
    </row>
    <row r="3450" ht="14.25" customHeight="1">
      <c r="A3450" s="1" t="s">
        <v>3484</v>
      </c>
      <c r="B3450" s="2">
        <v>44211.0</v>
      </c>
      <c r="C3450" s="1" t="s">
        <v>30</v>
      </c>
      <c r="D3450" s="1" t="s">
        <v>21</v>
      </c>
      <c r="E3450" s="1" t="s">
        <v>22</v>
      </c>
      <c r="F3450" s="1">
        <v>747.95</v>
      </c>
      <c r="G3450" s="1">
        <v>-71.4</v>
      </c>
      <c r="H3450" s="1">
        <v>10.0</v>
      </c>
      <c r="I3450" s="1" t="s">
        <v>23</v>
      </c>
      <c r="J3450" s="1" t="s">
        <v>24</v>
      </c>
      <c r="K3450" s="1">
        <f t="shared" si="1"/>
        <v>2021</v>
      </c>
      <c r="L3450" s="1" t="str">
        <f t="shared" si="2"/>
        <v>Jan</v>
      </c>
      <c r="M3450" s="1" t="str">
        <f t="shared" si="3"/>
        <v>Loss</v>
      </c>
    </row>
    <row r="3451" ht="14.25" customHeight="1">
      <c r="A3451" s="1" t="s">
        <v>3485</v>
      </c>
      <c r="B3451" s="2">
        <v>44727.0</v>
      </c>
      <c r="C3451" s="1" t="s">
        <v>30</v>
      </c>
      <c r="D3451" s="1" t="s">
        <v>27</v>
      </c>
      <c r="E3451" s="1" t="s">
        <v>33</v>
      </c>
      <c r="F3451" s="1">
        <v>946.06</v>
      </c>
      <c r="G3451" s="1">
        <v>-125.03</v>
      </c>
      <c r="H3451" s="1">
        <v>2.0</v>
      </c>
      <c r="I3451" s="1" t="s">
        <v>34</v>
      </c>
      <c r="J3451" s="1" t="s">
        <v>35</v>
      </c>
      <c r="K3451" s="1">
        <f t="shared" si="1"/>
        <v>2022</v>
      </c>
      <c r="L3451" s="1" t="str">
        <f t="shared" si="2"/>
        <v>Jun</v>
      </c>
      <c r="M3451" s="1" t="str">
        <f t="shared" si="3"/>
        <v>Loss</v>
      </c>
    </row>
    <row r="3452" ht="14.25" customHeight="1">
      <c r="A3452" s="1" t="s">
        <v>3486</v>
      </c>
      <c r="B3452" s="2">
        <v>44650.0</v>
      </c>
      <c r="C3452" s="1" t="s">
        <v>26</v>
      </c>
      <c r="D3452" s="1" t="s">
        <v>27</v>
      </c>
      <c r="E3452" s="1" t="s">
        <v>33</v>
      </c>
      <c r="F3452" s="1">
        <v>990.21</v>
      </c>
      <c r="G3452" s="1">
        <v>-186.28</v>
      </c>
      <c r="H3452" s="1">
        <v>10.0</v>
      </c>
      <c r="I3452" s="1" t="s">
        <v>23</v>
      </c>
      <c r="J3452" s="1" t="s">
        <v>18</v>
      </c>
      <c r="K3452" s="1">
        <f t="shared" si="1"/>
        <v>2022</v>
      </c>
      <c r="L3452" s="1" t="str">
        <f t="shared" si="2"/>
        <v>Mar</v>
      </c>
      <c r="M3452" s="1" t="str">
        <f t="shared" si="3"/>
        <v>Loss</v>
      </c>
    </row>
    <row r="3453" ht="14.25" customHeight="1">
      <c r="A3453" s="1" t="s">
        <v>3487</v>
      </c>
      <c r="B3453" s="2">
        <v>44774.0</v>
      </c>
      <c r="C3453" s="1" t="s">
        <v>14</v>
      </c>
      <c r="D3453" s="1" t="s">
        <v>27</v>
      </c>
      <c r="E3453" s="1" t="s">
        <v>40</v>
      </c>
      <c r="F3453" s="1">
        <v>343.53</v>
      </c>
      <c r="G3453" s="1">
        <v>-160.75</v>
      </c>
      <c r="H3453" s="1">
        <v>2.0</v>
      </c>
      <c r="I3453" s="1" t="s">
        <v>23</v>
      </c>
      <c r="J3453" s="1" t="s">
        <v>38</v>
      </c>
      <c r="K3453" s="1">
        <f t="shared" si="1"/>
        <v>2022</v>
      </c>
      <c r="L3453" s="1" t="str">
        <f t="shared" si="2"/>
        <v>Aug</v>
      </c>
      <c r="M3453" s="1" t="str">
        <f t="shared" si="3"/>
        <v>Loss</v>
      </c>
    </row>
    <row r="3454" ht="14.25" customHeight="1">
      <c r="A3454" s="1" t="s">
        <v>3488</v>
      </c>
      <c r="B3454" s="2">
        <v>44881.0</v>
      </c>
      <c r="C3454" s="1" t="s">
        <v>14</v>
      </c>
      <c r="D3454" s="1" t="s">
        <v>15</v>
      </c>
      <c r="E3454" s="1" t="s">
        <v>31</v>
      </c>
      <c r="F3454" s="1">
        <v>639.73</v>
      </c>
      <c r="G3454" s="1">
        <v>0.11</v>
      </c>
      <c r="H3454" s="1">
        <v>7.0</v>
      </c>
      <c r="I3454" s="1" t="s">
        <v>17</v>
      </c>
      <c r="J3454" s="1" t="s">
        <v>18</v>
      </c>
      <c r="K3454" s="1">
        <f t="shared" si="1"/>
        <v>2022</v>
      </c>
      <c r="L3454" s="1" t="str">
        <f t="shared" si="2"/>
        <v>Nov</v>
      </c>
      <c r="M3454" s="1" t="str">
        <f t="shared" si="3"/>
        <v>Profit</v>
      </c>
    </row>
    <row r="3455" ht="14.25" customHeight="1">
      <c r="A3455" s="1" t="s">
        <v>3489</v>
      </c>
      <c r="B3455" s="2">
        <v>44273.0</v>
      </c>
      <c r="C3455" s="1" t="s">
        <v>30</v>
      </c>
      <c r="D3455" s="1" t="s">
        <v>27</v>
      </c>
      <c r="E3455" s="1" t="s">
        <v>33</v>
      </c>
      <c r="F3455" s="1">
        <v>986.57</v>
      </c>
      <c r="G3455" s="1">
        <v>-27.12</v>
      </c>
      <c r="H3455" s="1">
        <v>1.0</v>
      </c>
      <c r="I3455" s="1" t="s">
        <v>23</v>
      </c>
      <c r="J3455" s="1" t="s">
        <v>35</v>
      </c>
      <c r="K3455" s="1">
        <f t="shared" si="1"/>
        <v>2021</v>
      </c>
      <c r="L3455" s="1" t="str">
        <f t="shared" si="2"/>
        <v>Mar</v>
      </c>
      <c r="M3455" s="1" t="str">
        <f t="shared" si="3"/>
        <v>Loss</v>
      </c>
    </row>
    <row r="3456" ht="14.25" customHeight="1">
      <c r="A3456" s="1" t="s">
        <v>3490</v>
      </c>
      <c r="B3456" s="2">
        <v>44634.0</v>
      </c>
      <c r="C3456" s="1" t="s">
        <v>30</v>
      </c>
      <c r="D3456" s="1" t="s">
        <v>27</v>
      </c>
      <c r="E3456" s="1" t="s">
        <v>33</v>
      </c>
      <c r="F3456" s="1">
        <v>624.63</v>
      </c>
      <c r="G3456" s="1">
        <v>173.25</v>
      </c>
      <c r="H3456" s="1">
        <v>7.0</v>
      </c>
      <c r="I3456" s="1" t="s">
        <v>23</v>
      </c>
      <c r="J3456" s="1" t="s">
        <v>35</v>
      </c>
      <c r="K3456" s="1">
        <f t="shared" si="1"/>
        <v>2022</v>
      </c>
      <c r="L3456" s="1" t="str">
        <f t="shared" si="2"/>
        <v>Mar</v>
      </c>
      <c r="M3456" s="1" t="str">
        <f t="shared" si="3"/>
        <v>Profit</v>
      </c>
    </row>
    <row r="3457" ht="14.25" customHeight="1">
      <c r="A3457" s="1" t="s">
        <v>3491</v>
      </c>
      <c r="B3457" s="2">
        <v>44426.0</v>
      </c>
      <c r="C3457" s="1" t="s">
        <v>26</v>
      </c>
      <c r="D3457" s="1" t="s">
        <v>15</v>
      </c>
      <c r="E3457" s="1" t="s">
        <v>54</v>
      </c>
      <c r="F3457" s="1">
        <v>485.96</v>
      </c>
      <c r="G3457" s="1">
        <v>-52.13</v>
      </c>
      <c r="H3457" s="1">
        <v>6.0</v>
      </c>
      <c r="I3457" s="1" t="s">
        <v>34</v>
      </c>
      <c r="J3457" s="1" t="s">
        <v>18</v>
      </c>
      <c r="K3457" s="1">
        <f t="shared" si="1"/>
        <v>2021</v>
      </c>
      <c r="L3457" s="1" t="str">
        <f t="shared" si="2"/>
        <v>Aug</v>
      </c>
      <c r="M3457" s="1" t="str">
        <f t="shared" si="3"/>
        <v>Loss</v>
      </c>
    </row>
    <row r="3458" ht="14.25" customHeight="1">
      <c r="A3458" s="1" t="s">
        <v>3492</v>
      </c>
      <c r="B3458" s="2">
        <v>45262.0</v>
      </c>
      <c r="C3458" s="1" t="s">
        <v>20</v>
      </c>
      <c r="D3458" s="1" t="s">
        <v>27</v>
      </c>
      <c r="E3458" s="1" t="s">
        <v>28</v>
      </c>
      <c r="F3458" s="1">
        <v>474.15</v>
      </c>
      <c r="G3458" s="1">
        <v>-102.64</v>
      </c>
      <c r="H3458" s="1">
        <v>7.0</v>
      </c>
      <c r="I3458" s="1" t="s">
        <v>34</v>
      </c>
      <c r="J3458" s="1" t="s">
        <v>24</v>
      </c>
      <c r="K3458" s="1">
        <f t="shared" si="1"/>
        <v>2023</v>
      </c>
      <c r="L3458" s="1" t="str">
        <f t="shared" si="2"/>
        <v>Dec</v>
      </c>
      <c r="M3458" s="1" t="str">
        <f t="shared" si="3"/>
        <v>Loss</v>
      </c>
    </row>
    <row r="3459" ht="14.25" customHeight="1">
      <c r="A3459" s="1" t="s">
        <v>3493</v>
      </c>
      <c r="B3459" s="2">
        <v>44231.0</v>
      </c>
      <c r="C3459" s="1" t="s">
        <v>30</v>
      </c>
      <c r="D3459" s="1" t="s">
        <v>21</v>
      </c>
      <c r="E3459" s="1" t="s">
        <v>76</v>
      </c>
      <c r="F3459" s="1">
        <v>789.78</v>
      </c>
      <c r="G3459" s="1">
        <v>106.92</v>
      </c>
      <c r="H3459" s="1">
        <v>5.0</v>
      </c>
      <c r="I3459" s="1" t="s">
        <v>34</v>
      </c>
      <c r="J3459" s="1" t="s">
        <v>38</v>
      </c>
      <c r="K3459" s="1">
        <f t="shared" si="1"/>
        <v>2021</v>
      </c>
      <c r="L3459" s="1" t="str">
        <f t="shared" si="2"/>
        <v>Feb</v>
      </c>
      <c r="M3459" s="1" t="str">
        <f t="shared" si="3"/>
        <v>Profit</v>
      </c>
    </row>
    <row r="3460" ht="14.25" customHeight="1">
      <c r="A3460" s="1" t="s">
        <v>3494</v>
      </c>
      <c r="B3460" s="2">
        <v>44546.0</v>
      </c>
      <c r="C3460" s="1" t="s">
        <v>20</v>
      </c>
      <c r="D3460" s="1" t="s">
        <v>15</v>
      </c>
      <c r="E3460" s="1" t="s">
        <v>31</v>
      </c>
      <c r="F3460" s="1">
        <v>931.75</v>
      </c>
      <c r="G3460" s="1">
        <v>225.55</v>
      </c>
      <c r="H3460" s="1">
        <v>2.0</v>
      </c>
      <c r="I3460" s="1" t="s">
        <v>34</v>
      </c>
      <c r="J3460" s="1" t="s">
        <v>38</v>
      </c>
      <c r="K3460" s="1">
        <f t="shared" si="1"/>
        <v>2021</v>
      </c>
      <c r="L3460" s="1" t="str">
        <f t="shared" si="2"/>
        <v>Dec</v>
      </c>
      <c r="M3460" s="1" t="str">
        <f t="shared" si="3"/>
        <v>Profit</v>
      </c>
    </row>
    <row r="3461" ht="14.25" customHeight="1">
      <c r="A3461" s="1" t="s">
        <v>3495</v>
      </c>
      <c r="B3461" s="2">
        <v>45243.0</v>
      </c>
      <c r="C3461" s="1" t="s">
        <v>14</v>
      </c>
      <c r="D3461" s="1" t="s">
        <v>21</v>
      </c>
      <c r="E3461" s="1" t="s">
        <v>37</v>
      </c>
      <c r="F3461" s="1">
        <v>605.88</v>
      </c>
      <c r="G3461" s="1">
        <v>193.29</v>
      </c>
      <c r="H3461" s="1">
        <v>2.0</v>
      </c>
      <c r="I3461" s="1" t="s">
        <v>23</v>
      </c>
      <c r="J3461" s="1" t="s">
        <v>35</v>
      </c>
      <c r="K3461" s="1">
        <f t="shared" si="1"/>
        <v>2023</v>
      </c>
      <c r="L3461" s="1" t="str">
        <f t="shared" si="2"/>
        <v>Nov</v>
      </c>
      <c r="M3461" s="1" t="str">
        <f t="shared" si="3"/>
        <v>Profit</v>
      </c>
    </row>
    <row r="3462" ht="14.25" customHeight="1">
      <c r="A3462" s="1" t="s">
        <v>3496</v>
      </c>
      <c r="B3462" s="2">
        <v>45067.0</v>
      </c>
      <c r="C3462" s="1" t="s">
        <v>30</v>
      </c>
      <c r="D3462" s="1" t="s">
        <v>21</v>
      </c>
      <c r="E3462" s="1" t="s">
        <v>37</v>
      </c>
      <c r="F3462" s="1">
        <v>152.51</v>
      </c>
      <c r="G3462" s="1">
        <v>214.19</v>
      </c>
      <c r="H3462" s="1">
        <v>3.0</v>
      </c>
      <c r="I3462" s="1" t="s">
        <v>17</v>
      </c>
      <c r="J3462" s="1" t="s">
        <v>18</v>
      </c>
      <c r="K3462" s="1">
        <f t="shared" si="1"/>
        <v>2023</v>
      </c>
      <c r="L3462" s="1" t="str">
        <f t="shared" si="2"/>
        <v>May</v>
      </c>
      <c r="M3462" s="1" t="str">
        <f t="shared" si="3"/>
        <v>Profit</v>
      </c>
    </row>
    <row r="3463" ht="14.25" customHeight="1">
      <c r="A3463" s="1" t="s">
        <v>3497</v>
      </c>
      <c r="B3463" s="2">
        <v>45005.0</v>
      </c>
      <c r="C3463" s="1" t="s">
        <v>30</v>
      </c>
      <c r="D3463" s="1" t="s">
        <v>15</v>
      </c>
      <c r="E3463" s="1" t="s">
        <v>54</v>
      </c>
      <c r="F3463" s="1">
        <v>721.24</v>
      </c>
      <c r="G3463" s="1">
        <v>-188.59</v>
      </c>
      <c r="H3463" s="1">
        <v>5.0</v>
      </c>
      <c r="I3463" s="1" t="s">
        <v>23</v>
      </c>
      <c r="J3463" s="1" t="s">
        <v>38</v>
      </c>
      <c r="K3463" s="1">
        <f t="shared" si="1"/>
        <v>2023</v>
      </c>
      <c r="L3463" s="1" t="str">
        <f t="shared" si="2"/>
        <v>Mar</v>
      </c>
      <c r="M3463" s="1" t="str">
        <f t="shared" si="3"/>
        <v>Loss</v>
      </c>
    </row>
    <row r="3464" ht="14.25" customHeight="1">
      <c r="A3464" s="1" t="s">
        <v>3498</v>
      </c>
      <c r="B3464" s="2">
        <v>45160.0</v>
      </c>
      <c r="C3464" s="1" t="s">
        <v>30</v>
      </c>
      <c r="D3464" s="1" t="s">
        <v>21</v>
      </c>
      <c r="E3464" s="1" t="s">
        <v>22</v>
      </c>
      <c r="F3464" s="1">
        <v>545.97</v>
      </c>
      <c r="G3464" s="1">
        <v>135.54</v>
      </c>
      <c r="H3464" s="1">
        <v>4.0</v>
      </c>
      <c r="I3464" s="1" t="s">
        <v>17</v>
      </c>
      <c r="J3464" s="1" t="s">
        <v>35</v>
      </c>
      <c r="K3464" s="1">
        <f t="shared" si="1"/>
        <v>2023</v>
      </c>
      <c r="L3464" s="1" t="str">
        <f t="shared" si="2"/>
        <v>Aug</v>
      </c>
      <c r="M3464" s="1" t="str">
        <f t="shared" si="3"/>
        <v>Profit</v>
      </c>
    </row>
    <row r="3465" ht="14.25" customHeight="1">
      <c r="A3465" s="1" t="s">
        <v>3499</v>
      </c>
      <c r="B3465" s="2">
        <v>44635.0</v>
      </c>
      <c r="C3465" s="1" t="s">
        <v>26</v>
      </c>
      <c r="D3465" s="1" t="s">
        <v>27</v>
      </c>
      <c r="E3465" s="1" t="s">
        <v>33</v>
      </c>
      <c r="F3465" s="1">
        <v>920.87</v>
      </c>
      <c r="G3465" s="1">
        <v>-94.02</v>
      </c>
      <c r="H3465" s="1">
        <v>5.0</v>
      </c>
      <c r="I3465" s="1" t="s">
        <v>23</v>
      </c>
      <c r="J3465" s="1" t="s">
        <v>35</v>
      </c>
      <c r="K3465" s="1">
        <f t="shared" si="1"/>
        <v>2022</v>
      </c>
      <c r="L3465" s="1" t="str">
        <f t="shared" si="2"/>
        <v>Mar</v>
      </c>
      <c r="M3465" s="1" t="str">
        <f t="shared" si="3"/>
        <v>Loss</v>
      </c>
    </row>
    <row r="3466" ht="14.25" customHeight="1">
      <c r="A3466" s="1" t="s">
        <v>3500</v>
      </c>
      <c r="B3466" s="2">
        <v>44513.0</v>
      </c>
      <c r="C3466" s="1" t="s">
        <v>26</v>
      </c>
      <c r="D3466" s="1" t="s">
        <v>27</v>
      </c>
      <c r="E3466" s="1" t="s">
        <v>28</v>
      </c>
      <c r="F3466" s="1">
        <v>375.02</v>
      </c>
      <c r="G3466" s="1">
        <v>59.67</v>
      </c>
      <c r="H3466" s="1">
        <v>10.0</v>
      </c>
      <c r="I3466" s="1" t="s">
        <v>23</v>
      </c>
      <c r="J3466" s="1" t="s">
        <v>38</v>
      </c>
      <c r="K3466" s="1">
        <f t="shared" si="1"/>
        <v>2021</v>
      </c>
      <c r="L3466" s="1" t="str">
        <f t="shared" si="2"/>
        <v>Nov</v>
      </c>
      <c r="M3466" s="1" t="str">
        <f t="shared" si="3"/>
        <v>Profit</v>
      </c>
    </row>
    <row r="3467" ht="14.25" customHeight="1">
      <c r="A3467" s="1" t="s">
        <v>3501</v>
      </c>
      <c r="B3467" s="2">
        <v>44580.0</v>
      </c>
      <c r="C3467" s="1" t="s">
        <v>20</v>
      </c>
      <c r="D3467" s="1" t="s">
        <v>15</v>
      </c>
      <c r="E3467" s="1" t="s">
        <v>31</v>
      </c>
      <c r="F3467" s="1">
        <v>409.62</v>
      </c>
      <c r="G3467" s="1">
        <v>-19.37</v>
      </c>
      <c r="H3467" s="1">
        <v>3.0</v>
      </c>
      <c r="I3467" s="1" t="s">
        <v>34</v>
      </c>
      <c r="J3467" s="1" t="s">
        <v>35</v>
      </c>
      <c r="K3467" s="1">
        <f t="shared" si="1"/>
        <v>2022</v>
      </c>
      <c r="L3467" s="1" t="str">
        <f t="shared" si="2"/>
        <v>Jan</v>
      </c>
      <c r="M3467" s="1" t="str">
        <f t="shared" si="3"/>
        <v>Loss</v>
      </c>
    </row>
    <row r="3468" ht="14.25" customHeight="1">
      <c r="A3468" s="1" t="s">
        <v>3502</v>
      </c>
      <c r="B3468" s="2">
        <v>44226.0</v>
      </c>
      <c r="C3468" s="1" t="s">
        <v>20</v>
      </c>
      <c r="D3468" s="1" t="s">
        <v>27</v>
      </c>
      <c r="E3468" s="1" t="s">
        <v>33</v>
      </c>
      <c r="F3468" s="1">
        <v>723.65</v>
      </c>
      <c r="G3468" s="1">
        <v>285.93</v>
      </c>
      <c r="H3468" s="1">
        <v>7.0</v>
      </c>
      <c r="I3468" s="1" t="s">
        <v>17</v>
      </c>
      <c r="J3468" s="1" t="s">
        <v>38</v>
      </c>
      <c r="K3468" s="1">
        <f t="shared" si="1"/>
        <v>2021</v>
      </c>
      <c r="L3468" s="1" t="str">
        <f t="shared" si="2"/>
        <v>Jan</v>
      </c>
      <c r="M3468" s="1" t="str">
        <f t="shared" si="3"/>
        <v>Profit</v>
      </c>
    </row>
    <row r="3469" ht="14.25" customHeight="1">
      <c r="A3469" s="1" t="s">
        <v>3503</v>
      </c>
      <c r="B3469" s="2">
        <v>44395.0</v>
      </c>
      <c r="C3469" s="1" t="s">
        <v>14</v>
      </c>
      <c r="D3469" s="1" t="s">
        <v>21</v>
      </c>
      <c r="E3469" s="1" t="s">
        <v>22</v>
      </c>
      <c r="F3469" s="1">
        <v>323.05</v>
      </c>
      <c r="G3469" s="1">
        <v>-106.55</v>
      </c>
      <c r="H3469" s="1">
        <v>7.0</v>
      </c>
      <c r="I3469" s="1" t="s">
        <v>34</v>
      </c>
      <c r="J3469" s="1" t="s">
        <v>18</v>
      </c>
      <c r="K3469" s="1">
        <f t="shared" si="1"/>
        <v>2021</v>
      </c>
      <c r="L3469" s="1" t="str">
        <f t="shared" si="2"/>
        <v>Jul</v>
      </c>
      <c r="M3469" s="1" t="str">
        <f t="shared" si="3"/>
        <v>Loss</v>
      </c>
    </row>
    <row r="3470" ht="14.25" customHeight="1">
      <c r="A3470" s="1" t="s">
        <v>3504</v>
      </c>
      <c r="B3470" s="2">
        <v>44776.0</v>
      </c>
      <c r="C3470" s="1" t="s">
        <v>26</v>
      </c>
      <c r="D3470" s="1" t="s">
        <v>21</v>
      </c>
      <c r="E3470" s="1" t="s">
        <v>22</v>
      </c>
      <c r="F3470" s="1">
        <v>789.51</v>
      </c>
      <c r="G3470" s="1">
        <v>-75.7</v>
      </c>
      <c r="H3470" s="1">
        <v>9.0</v>
      </c>
      <c r="I3470" s="1" t="s">
        <v>17</v>
      </c>
      <c r="J3470" s="1" t="s">
        <v>24</v>
      </c>
      <c r="K3470" s="1">
        <f t="shared" si="1"/>
        <v>2022</v>
      </c>
      <c r="L3470" s="1" t="str">
        <f t="shared" si="2"/>
        <v>Aug</v>
      </c>
      <c r="M3470" s="1" t="str">
        <f t="shared" si="3"/>
        <v>Loss</v>
      </c>
    </row>
    <row r="3471" ht="14.25" customHeight="1">
      <c r="A3471" s="1" t="s">
        <v>3505</v>
      </c>
      <c r="B3471" s="2">
        <v>45203.0</v>
      </c>
      <c r="C3471" s="1" t="s">
        <v>30</v>
      </c>
      <c r="D3471" s="1" t="s">
        <v>27</v>
      </c>
      <c r="E3471" s="1" t="s">
        <v>40</v>
      </c>
      <c r="F3471" s="1">
        <v>415.45</v>
      </c>
      <c r="G3471" s="1">
        <v>119.98</v>
      </c>
      <c r="H3471" s="1">
        <v>6.0</v>
      </c>
      <c r="I3471" s="1" t="s">
        <v>34</v>
      </c>
      <c r="J3471" s="1" t="s">
        <v>35</v>
      </c>
      <c r="K3471" s="1">
        <f t="shared" si="1"/>
        <v>2023</v>
      </c>
      <c r="L3471" s="1" t="str">
        <f t="shared" si="2"/>
        <v>Oct</v>
      </c>
      <c r="M3471" s="1" t="str">
        <f t="shared" si="3"/>
        <v>Profit</v>
      </c>
    </row>
    <row r="3472" ht="14.25" customHeight="1">
      <c r="A3472" s="1" t="s">
        <v>3506</v>
      </c>
      <c r="B3472" s="2">
        <v>44314.0</v>
      </c>
      <c r="C3472" s="1" t="s">
        <v>26</v>
      </c>
      <c r="D3472" s="1" t="s">
        <v>27</v>
      </c>
      <c r="E3472" s="1" t="s">
        <v>40</v>
      </c>
      <c r="F3472" s="1">
        <v>719.98</v>
      </c>
      <c r="G3472" s="1">
        <v>-19.9</v>
      </c>
      <c r="H3472" s="1">
        <v>3.0</v>
      </c>
      <c r="I3472" s="1" t="s">
        <v>34</v>
      </c>
      <c r="J3472" s="1" t="s">
        <v>38</v>
      </c>
      <c r="K3472" s="1">
        <f t="shared" si="1"/>
        <v>2021</v>
      </c>
      <c r="L3472" s="1" t="str">
        <f t="shared" si="2"/>
        <v>Apr</v>
      </c>
      <c r="M3472" s="1" t="str">
        <f t="shared" si="3"/>
        <v>Loss</v>
      </c>
    </row>
    <row r="3473" ht="14.25" customHeight="1">
      <c r="A3473" s="1" t="s">
        <v>3507</v>
      </c>
      <c r="B3473" s="2">
        <v>44320.0</v>
      </c>
      <c r="C3473" s="1" t="s">
        <v>30</v>
      </c>
      <c r="D3473" s="1" t="s">
        <v>15</v>
      </c>
      <c r="E3473" s="1" t="s">
        <v>16</v>
      </c>
      <c r="F3473" s="1">
        <v>788.82</v>
      </c>
      <c r="G3473" s="1">
        <v>-138.58</v>
      </c>
      <c r="H3473" s="1">
        <v>2.0</v>
      </c>
      <c r="I3473" s="1" t="s">
        <v>34</v>
      </c>
      <c r="J3473" s="1" t="s">
        <v>38</v>
      </c>
      <c r="K3473" s="1">
        <f t="shared" si="1"/>
        <v>2021</v>
      </c>
      <c r="L3473" s="1" t="str">
        <f t="shared" si="2"/>
        <v>May</v>
      </c>
      <c r="M3473" s="1" t="str">
        <f t="shared" si="3"/>
        <v>Loss</v>
      </c>
    </row>
    <row r="3474" ht="14.25" customHeight="1">
      <c r="A3474" s="1" t="s">
        <v>3508</v>
      </c>
      <c r="B3474" s="2">
        <v>44272.0</v>
      </c>
      <c r="C3474" s="1" t="s">
        <v>20</v>
      </c>
      <c r="D3474" s="1" t="s">
        <v>27</v>
      </c>
      <c r="E3474" s="1" t="s">
        <v>33</v>
      </c>
      <c r="F3474" s="1">
        <v>175.35</v>
      </c>
      <c r="G3474" s="1">
        <v>-107.99</v>
      </c>
      <c r="H3474" s="1">
        <v>1.0</v>
      </c>
      <c r="I3474" s="1" t="s">
        <v>23</v>
      </c>
      <c r="J3474" s="1" t="s">
        <v>24</v>
      </c>
      <c r="K3474" s="1">
        <f t="shared" si="1"/>
        <v>2021</v>
      </c>
      <c r="L3474" s="1" t="str">
        <f t="shared" si="2"/>
        <v>Mar</v>
      </c>
      <c r="M3474" s="1" t="str">
        <f t="shared" si="3"/>
        <v>Loss</v>
      </c>
    </row>
    <row r="3475" ht="14.25" customHeight="1">
      <c r="A3475" s="1" t="s">
        <v>3509</v>
      </c>
      <c r="B3475" s="2">
        <v>44992.0</v>
      </c>
      <c r="C3475" s="1" t="s">
        <v>26</v>
      </c>
      <c r="D3475" s="1" t="s">
        <v>15</v>
      </c>
      <c r="E3475" s="1" t="s">
        <v>16</v>
      </c>
      <c r="F3475" s="1">
        <v>889.33</v>
      </c>
      <c r="G3475" s="1">
        <v>-123.42</v>
      </c>
      <c r="H3475" s="1">
        <v>4.0</v>
      </c>
      <c r="I3475" s="1" t="s">
        <v>34</v>
      </c>
      <c r="J3475" s="1" t="s">
        <v>24</v>
      </c>
      <c r="K3475" s="1">
        <f t="shared" si="1"/>
        <v>2023</v>
      </c>
      <c r="L3475" s="1" t="str">
        <f t="shared" si="2"/>
        <v>Mar</v>
      </c>
      <c r="M3475" s="1" t="str">
        <f t="shared" si="3"/>
        <v>Loss</v>
      </c>
    </row>
    <row r="3476" ht="14.25" customHeight="1">
      <c r="A3476" s="1" t="s">
        <v>3510</v>
      </c>
      <c r="B3476" s="2">
        <v>45201.0</v>
      </c>
      <c r="C3476" s="1" t="s">
        <v>20</v>
      </c>
      <c r="D3476" s="1" t="s">
        <v>15</v>
      </c>
      <c r="E3476" s="1" t="s">
        <v>54</v>
      </c>
      <c r="F3476" s="1">
        <v>765.26</v>
      </c>
      <c r="G3476" s="1">
        <v>294.11</v>
      </c>
      <c r="H3476" s="1">
        <v>6.0</v>
      </c>
      <c r="I3476" s="1" t="s">
        <v>23</v>
      </c>
      <c r="J3476" s="1" t="s">
        <v>18</v>
      </c>
      <c r="K3476" s="1">
        <f t="shared" si="1"/>
        <v>2023</v>
      </c>
      <c r="L3476" s="1" t="str">
        <f t="shared" si="2"/>
        <v>Oct</v>
      </c>
      <c r="M3476" s="1" t="str">
        <f t="shared" si="3"/>
        <v>Profit</v>
      </c>
    </row>
    <row r="3477" ht="14.25" customHeight="1">
      <c r="A3477" s="1" t="s">
        <v>3511</v>
      </c>
      <c r="B3477" s="2">
        <v>44633.0</v>
      </c>
      <c r="C3477" s="1" t="s">
        <v>26</v>
      </c>
      <c r="D3477" s="1" t="s">
        <v>21</v>
      </c>
      <c r="E3477" s="1" t="s">
        <v>22</v>
      </c>
      <c r="F3477" s="1">
        <v>128.01</v>
      </c>
      <c r="G3477" s="1">
        <v>234.02</v>
      </c>
      <c r="H3477" s="1">
        <v>2.0</v>
      </c>
      <c r="I3477" s="1" t="s">
        <v>34</v>
      </c>
      <c r="J3477" s="1" t="s">
        <v>35</v>
      </c>
      <c r="K3477" s="1">
        <f t="shared" si="1"/>
        <v>2022</v>
      </c>
      <c r="L3477" s="1" t="str">
        <f t="shared" si="2"/>
        <v>Mar</v>
      </c>
      <c r="M3477" s="1" t="str">
        <f t="shared" si="3"/>
        <v>Profit</v>
      </c>
    </row>
    <row r="3478" ht="14.25" customHeight="1">
      <c r="A3478" s="1" t="s">
        <v>3512</v>
      </c>
      <c r="B3478" s="2">
        <v>44841.0</v>
      </c>
      <c r="C3478" s="1" t="s">
        <v>20</v>
      </c>
      <c r="D3478" s="1" t="s">
        <v>21</v>
      </c>
      <c r="E3478" s="1" t="s">
        <v>22</v>
      </c>
      <c r="F3478" s="1">
        <v>362.59</v>
      </c>
      <c r="G3478" s="1">
        <v>9.74</v>
      </c>
      <c r="H3478" s="1">
        <v>2.0</v>
      </c>
      <c r="I3478" s="1" t="s">
        <v>17</v>
      </c>
      <c r="J3478" s="1" t="s">
        <v>38</v>
      </c>
      <c r="K3478" s="1">
        <f t="shared" si="1"/>
        <v>2022</v>
      </c>
      <c r="L3478" s="1" t="str">
        <f t="shared" si="2"/>
        <v>Oct</v>
      </c>
      <c r="M3478" s="1" t="str">
        <f t="shared" si="3"/>
        <v>Profit</v>
      </c>
    </row>
    <row r="3479" ht="14.25" customHeight="1">
      <c r="A3479" s="1" t="s">
        <v>3513</v>
      </c>
      <c r="B3479" s="2">
        <v>44451.0</v>
      </c>
      <c r="C3479" s="1" t="s">
        <v>14</v>
      </c>
      <c r="D3479" s="1" t="s">
        <v>15</v>
      </c>
      <c r="E3479" s="1" t="s">
        <v>54</v>
      </c>
      <c r="F3479" s="1">
        <v>83.98</v>
      </c>
      <c r="G3479" s="1">
        <v>-97.12</v>
      </c>
      <c r="H3479" s="1">
        <v>4.0</v>
      </c>
      <c r="I3479" s="1" t="s">
        <v>23</v>
      </c>
      <c r="J3479" s="1" t="s">
        <v>24</v>
      </c>
      <c r="K3479" s="1">
        <f t="shared" si="1"/>
        <v>2021</v>
      </c>
      <c r="L3479" s="1" t="str">
        <f t="shared" si="2"/>
        <v>Sep</v>
      </c>
      <c r="M3479" s="1" t="str">
        <f t="shared" si="3"/>
        <v>Loss</v>
      </c>
    </row>
    <row r="3480" ht="14.25" customHeight="1">
      <c r="A3480" s="1" t="s">
        <v>3514</v>
      </c>
      <c r="B3480" s="2">
        <v>45076.0</v>
      </c>
      <c r="C3480" s="1" t="s">
        <v>26</v>
      </c>
      <c r="D3480" s="1" t="s">
        <v>15</v>
      </c>
      <c r="E3480" s="1" t="s">
        <v>54</v>
      </c>
      <c r="F3480" s="1">
        <v>330.35</v>
      </c>
      <c r="G3480" s="1">
        <v>-120.95</v>
      </c>
      <c r="H3480" s="1">
        <v>5.0</v>
      </c>
      <c r="I3480" s="1" t="s">
        <v>23</v>
      </c>
      <c r="J3480" s="1" t="s">
        <v>35</v>
      </c>
      <c r="K3480" s="1">
        <f t="shared" si="1"/>
        <v>2023</v>
      </c>
      <c r="L3480" s="1" t="str">
        <f t="shared" si="2"/>
        <v>May</v>
      </c>
      <c r="M3480" s="1" t="str">
        <f t="shared" si="3"/>
        <v>Loss</v>
      </c>
    </row>
    <row r="3481" ht="14.25" customHeight="1">
      <c r="A3481" s="1" t="s">
        <v>3515</v>
      </c>
      <c r="B3481" s="2">
        <v>44888.0</v>
      </c>
      <c r="C3481" s="1" t="s">
        <v>26</v>
      </c>
      <c r="D3481" s="1" t="s">
        <v>21</v>
      </c>
      <c r="E3481" s="1" t="s">
        <v>22</v>
      </c>
      <c r="F3481" s="1">
        <v>27.86</v>
      </c>
      <c r="G3481" s="1">
        <v>-116.93</v>
      </c>
      <c r="H3481" s="1">
        <v>9.0</v>
      </c>
      <c r="I3481" s="1" t="s">
        <v>23</v>
      </c>
      <c r="J3481" s="1" t="s">
        <v>18</v>
      </c>
      <c r="K3481" s="1">
        <f t="shared" si="1"/>
        <v>2022</v>
      </c>
      <c r="L3481" s="1" t="str">
        <f t="shared" si="2"/>
        <v>Nov</v>
      </c>
      <c r="M3481" s="1" t="str">
        <f t="shared" si="3"/>
        <v>Loss</v>
      </c>
    </row>
    <row r="3482" ht="14.25" customHeight="1">
      <c r="A3482" s="1" t="s">
        <v>3516</v>
      </c>
      <c r="B3482" s="2">
        <v>44553.0</v>
      </c>
      <c r="C3482" s="1" t="s">
        <v>30</v>
      </c>
      <c r="D3482" s="1" t="s">
        <v>27</v>
      </c>
      <c r="E3482" s="1" t="s">
        <v>40</v>
      </c>
      <c r="F3482" s="1">
        <v>376.26</v>
      </c>
      <c r="G3482" s="1">
        <v>-49.74</v>
      </c>
      <c r="H3482" s="1">
        <v>8.0</v>
      </c>
      <c r="I3482" s="1" t="s">
        <v>34</v>
      </c>
      <c r="J3482" s="1" t="s">
        <v>38</v>
      </c>
      <c r="K3482" s="1">
        <f t="shared" si="1"/>
        <v>2021</v>
      </c>
      <c r="L3482" s="1" t="str">
        <f t="shared" si="2"/>
        <v>Dec</v>
      </c>
      <c r="M3482" s="1" t="str">
        <f t="shared" si="3"/>
        <v>Loss</v>
      </c>
    </row>
    <row r="3483" ht="14.25" customHeight="1">
      <c r="A3483" s="1" t="s">
        <v>3517</v>
      </c>
      <c r="B3483" s="2">
        <v>45020.0</v>
      </c>
      <c r="C3483" s="1" t="s">
        <v>30</v>
      </c>
      <c r="D3483" s="1" t="s">
        <v>21</v>
      </c>
      <c r="E3483" s="1" t="s">
        <v>22</v>
      </c>
      <c r="F3483" s="1">
        <v>534.25</v>
      </c>
      <c r="G3483" s="1">
        <v>-77.53</v>
      </c>
      <c r="H3483" s="1">
        <v>1.0</v>
      </c>
      <c r="I3483" s="1" t="s">
        <v>17</v>
      </c>
      <c r="J3483" s="1" t="s">
        <v>18</v>
      </c>
      <c r="K3483" s="1">
        <f t="shared" si="1"/>
        <v>2023</v>
      </c>
      <c r="L3483" s="1" t="str">
        <f t="shared" si="2"/>
        <v>Apr</v>
      </c>
      <c r="M3483" s="1" t="str">
        <f t="shared" si="3"/>
        <v>Loss</v>
      </c>
    </row>
    <row r="3484" ht="14.25" customHeight="1">
      <c r="A3484" s="1" t="s">
        <v>3518</v>
      </c>
      <c r="B3484" s="2">
        <v>44459.0</v>
      </c>
      <c r="C3484" s="1" t="s">
        <v>14</v>
      </c>
      <c r="D3484" s="1" t="s">
        <v>15</v>
      </c>
      <c r="E3484" s="1" t="s">
        <v>31</v>
      </c>
      <c r="F3484" s="1">
        <v>453.7</v>
      </c>
      <c r="G3484" s="1">
        <v>284.21</v>
      </c>
      <c r="H3484" s="1">
        <v>9.0</v>
      </c>
      <c r="I3484" s="1" t="s">
        <v>34</v>
      </c>
      <c r="J3484" s="1" t="s">
        <v>24</v>
      </c>
      <c r="K3484" s="1">
        <f t="shared" si="1"/>
        <v>2021</v>
      </c>
      <c r="L3484" s="1" t="str">
        <f t="shared" si="2"/>
        <v>Sep</v>
      </c>
      <c r="M3484" s="1" t="str">
        <f t="shared" si="3"/>
        <v>Profit</v>
      </c>
    </row>
    <row r="3485" ht="14.25" customHeight="1">
      <c r="A3485" s="1" t="s">
        <v>3519</v>
      </c>
      <c r="B3485" s="2">
        <v>44708.0</v>
      </c>
      <c r="C3485" s="1" t="s">
        <v>26</v>
      </c>
      <c r="D3485" s="1" t="s">
        <v>21</v>
      </c>
      <c r="E3485" s="1" t="s">
        <v>22</v>
      </c>
      <c r="F3485" s="1">
        <v>987.85</v>
      </c>
      <c r="G3485" s="1">
        <v>-57.75</v>
      </c>
      <c r="H3485" s="1">
        <v>9.0</v>
      </c>
      <c r="I3485" s="1" t="s">
        <v>17</v>
      </c>
      <c r="J3485" s="1" t="s">
        <v>38</v>
      </c>
      <c r="K3485" s="1">
        <f t="shared" si="1"/>
        <v>2022</v>
      </c>
      <c r="L3485" s="1" t="str">
        <f t="shared" si="2"/>
        <v>May</v>
      </c>
      <c r="M3485" s="1" t="str">
        <f t="shared" si="3"/>
        <v>Loss</v>
      </c>
    </row>
    <row r="3486" ht="14.25" customHeight="1">
      <c r="A3486" s="1" t="s">
        <v>3520</v>
      </c>
      <c r="B3486" s="2">
        <v>44519.0</v>
      </c>
      <c r="C3486" s="1" t="s">
        <v>20</v>
      </c>
      <c r="D3486" s="1" t="s">
        <v>15</v>
      </c>
      <c r="E3486" s="1" t="s">
        <v>31</v>
      </c>
      <c r="F3486" s="1">
        <v>88.14</v>
      </c>
      <c r="G3486" s="1">
        <v>-172.3</v>
      </c>
      <c r="H3486" s="1">
        <v>4.0</v>
      </c>
      <c r="I3486" s="1" t="s">
        <v>17</v>
      </c>
      <c r="J3486" s="1" t="s">
        <v>24</v>
      </c>
      <c r="K3486" s="1">
        <f t="shared" si="1"/>
        <v>2021</v>
      </c>
      <c r="L3486" s="1" t="str">
        <f t="shared" si="2"/>
        <v>Nov</v>
      </c>
      <c r="M3486" s="1" t="str">
        <f t="shared" si="3"/>
        <v>Loss</v>
      </c>
    </row>
    <row r="3487" ht="14.25" customHeight="1">
      <c r="A3487" s="1" t="s">
        <v>3521</v>
      </c>
      <c r="B3487" s="2">
        <v>44247.0</v>
      </c>
      <c r="C3487" s="1" t="s">
        <v>26</v>
      </c>
      <c r="D3487" s="1" t="s">
        <v>27</v>
      </c>
      <c r="E3487" s="1" t="s">
        <v>40</v>
      </c>
      <c r="F3487" s="1">
        <v>431.86</v>
      </c>
      <c r="G3487" s="1">
        <v>213.09</v>
      </c>
      <c r="H3487" s="1">
        <v>4.0</v>
      </c>
      <c r="I3487" s="1" t="s">
        <v>34</v>
      </c>
      <c r="J3487" s="1" t="s">
        <v>35</v>
      </c>
      <c r="K3487" s="1">
        <f t="shared" si="1"/>
        <v>2021</v>
      </c>
      <c r="L3487" s="1" t="str">
        <f t="shared" si="2"/>
        <v>Feb</v>
      </c>
      <c r="M3487" s="1" t="str">
        <f t="shared" si="3"/>
        <v>Profit</v>
      </c>
    </row>
    <row r="3488" ht="14.25" customHeight="1">
      <c r="A3488" s="1" t="s">
        <v>3522</v>
      </c>
      <c r="B3488" s="2">
        <v>45161.0</v>
      </c>
      <c r="C3488" s="1" t="s">
        <v>30</v>
      </c>
      <c r="D3488" s="1" t="s">
        <v>27</v>
      </c>
      <c r="E3488" s="1" t="s">
        <v>33</v>
      </c>
      <c r="F3488" s="1">
        <v>700.94</v>
      </c>
      <c r="G3488" s="1">
        <v>128.63</v>
      </c>
      <c r="H3488" s="1">
        <v>2.0</v>
      </c>
      <c r="I3488" s="1" t="s">
        <v>23</v>
      </c>
      <c r="J3488" s="1" t="s">
        <v>24</v>
      </c>
      <c r="K3488" s="1">
        <f t="shared" si="1"/>
        <v>2023</v>
      </c>
      <c r="L3488" s="1" t="str">
        <f t="shared" si="2"/>
        <v>Aug</v>
      </c>
      <c r="M3488" s="1" t="str">
        <f t="shared" si="3"/>
        <v>Profit</v>
      </c>
    </row>
    <row r="3489" ht="14.25" customHeight="1">
      <c r="A3489" s="1" t="s">
        <v>3523</v>
      </c>
      <c r="B3489" s="2">
        <v>44530.0</v>
      </c>
      <c r="C3489" s="1" t="s">
        <v>20</v>
      </c>
      <c r="D3489" s="1" t="s">
        <v>27</v>
      </c>
      <c r="E3489" s="1" t="s">
        <v>33</v>
      </c>
      <c r="F3489" s="1">
        <v>914.57</v>
      </c>
      <c r="G3489" s="1">
        <v>-91.84</v>
      </c>
      <c r="H3489" s="1">
        <v>1.0</v>
      </c>
      <c r="I3489" s="1" t="s">
        <v>23</v>
      </c>
      <c r="J3489" s="1" t="s">
        <v>38</v>
      </c>
      <c r="K3489" s="1">
        <f t="shared" si="1"/>
        <v>2021</v>
      </c>
      <c r="L3489" s="1" t="str">
        <f t="shared" si="2"/>
        <v>Nov</v>
      </c>
      <c r="M3489" s="1" t="str">
        <f t="shared" si="3"/>
        <v>Loss</v>
      </c>
    </row>
    <row r="3490" ht="14.25" customHeight="1">
      <c r="A3490" s="1" t="s">
        <v>3524</v>
      </c>
      <c r="B3490" s="2">
        <v>44926.0</v>
      </c>
      <c r="C3490" s="1" t="s">
        <v>20</v>
      </c>
      <c r="D3490" s="1" t="s">
        <v>21</v>
      </c>
      <c r="E3490" s="1" t="s">
        <v>37</v>
      </c>
      <c r="F3490" s="1">
        <v>284.38</v>
      </c>
      <c r="G3490" s="1">
        <v>239.57</v>
      </c>
      <c r="H3490" s="1">
        <v>10.0</v>
      </c>
      <c r="I3490" s="1" t="s">
        <v>17</v>
      </c>
      <c r="J3490" s="1" t="s">
        <v>38</v>
      </c>
      <c r="K3490" s="1">
        <f t="shared" si="1"/>
        <v>2022</v>
      </c>
      <c r="L3490" s="1" t="str">
        <f t="shared" si="2"/>
        <v>Dec</v>
      </c>
      <c r="M3490" s="1" t="str">
        <f t="shared" si="3"/>
        <v>Profit</v>
      </c>
    </row>
    <row r="3491" ht="14.25" customHeight="1">
      <c r="A3491" s="1" t="s">
        <v>3525</v>
      </c>
      <c r="B3491" s="2">
        <v>44943.0</v>
      </c>
      <c r="C3491" s="1" t="s">
        <v>26</v>
      </c>
      <c r="D3491" s="1" t="s">
        <v>27</v>
      </c>
      <c r="E3491" s="1" t="s">
        <v>40</v>
      </c>
      <c r="F3491" s="1">
        <v>453.07</v>
      </c>
      <c r="G3491" s="1">
        <v>-105.07</v>
      </c>
      <c r="H3491" s="1">
        <v>6.0</v>
      </c>
      <c r="I3491" s="1" t="s">
        <v>34</v>
      </c>
      <c r="J3491" s="1" t="s">
        <v>38</v>
      </c>
      <c r="K3491" s="1">
        <f t="shared" si="1"/>
        <v>2023</v>
      </c>
      <c r="L3491" s="1" t="str">
        <f t="shared" si="2"/>
        <v>Jan</v>
      </c>
      <c r="M3491" s="1" t="str">
        <f t="shared" si="3"/>
        <v>Loss</v>
      </c>
    </row>
    <row r="3492" ht="14.25" customHeight="1">
      <c r="A3492" s="1" t="s">
        <v>3526</v>
      </c>
      <c r="B3492" s="2">
        <v>44910.0</v>
      </c>
      <c r="C3492" s="1" t="s">
        <v>30</v>
      </c>
      <c r="D3492" s="1" t="s">
        <v>27</v>
      </c>
      <c r="E3492" s="1" t="s">
        <v>40</v>
      </c>
      <c r="F3492" s="1">
        <v>76.54</v>
      </c>
      <c r="G3492" s="1">
        <v>82.82</v>
      </c>
      <c r="H3492" s="1">
        <v>6.0</v>
      </c>
      <c r="I3492" s="1" t="s">
        <v>34</v>
      </c>
      <c r="J3492" s="1" t="s">
        <v>24</v>
      </c>
      <c r="K3492" s="1">
        <f t="shared" si="1"/>
        <v>2022</v>
      </c>
      <c r="L3492" s="1" t="str">
        <f t="shared" si="2"/>
        <v>Dec</v>
      </c>
      <c r="M3492" s="1" t="str">
        <f t="shared" si="3"/>
        <v>Profit</v>
      </c>
    </row>
    <row r="3493" ht="14.25" customHeight="1">
      <c r="A3493" s="1" t="s">
        <v>3527</v>
      </c>
      <c r="B3493" s="2">
        <v>44440.0</v>
      </c>
      <c r="C3493" s="1" t="s">
        <v>14</v>
      </c>
      <c r="D3493" s="1" t="s">
        <v>21</v>
      </c>
      <c r="E3493" s="1" t="s">
        <v>76</v>
      </c>
      <c r="F3493" s="1">
        <v>419.97</v>
      </c>
      <c r="G3493" s="1">
        <v>189.36</v>
      </c>
      <c r="H3493" s="1">
        <v>10.0</v>
      </c>
      <c r="I3493" s="1" t="s">
        <v>34</v>
      </c>
      <c r="J3493" s="1" t="s">
        <v>24</v>
      </c>
      <c r="K3493" s="1">
        <f t="shared" si="1"/>
        <v>2021</v>
      </c>
      <c r="L3493" s="1" t="str">
        <f t="shared" si="2"/>
        <v>Sep</v>
      </c>
      <c r="M3493" s="1" t="str">
        <f t="shared" si="3"/>
        <v>Profit</v>
      </c>
    </row>
    <row r="3494" ht="14.25" customHeight="1">
      <c r="A3494" s="1" t="s">
        <v>3528</v>
      </c>
      <c r="B3494" s="2">
        <v>44422.0</v>
      </c>
      <c r="C3494" s="1" t="s">
        <v>20</v>
      </c>
      <c r="D3494" s="1" t="s">
        <v>15</v>
      </c>
      <c r="E3494" s="1" t="s">
        <v>31</v>
      </c>
      <c r="F3494" s="1">
        <v>260.84</v>
      </c>
      <c r="G3494" s="1">
        <v>243.38</v>
      </c>
      <c r="H3494" s="1">
        <v>10.0</v>
      </c>
      <c r="I3494" s="1" t="s">
        <v>17</v>
      </c>
      <c r="J3494" s="1" t="s">
        <v>35</v>
      </c>
      <c r="K3494" s="1">
        <f t="shared" si="1"/>
        <v>2021</v>
      </c>
      <c r="L3494" s="1" t="str">
        <f t="shared" si="2"/>
        <v>Aug</v>
      </c>
      <c r="M3494" s="1" t="str">
        <f t="shared" si="3"/>
        <v>Profit</v>
      </c>
    </row>
    <row r="3495" ht="14.25" customHeight="1">
      <c r="A3495" s="1" t="s">
        <v>3529</v>
      </c>
      <c r="B3495" s="2">
        <v>44643.0</v>
      </c>
      <c r="C3495" s="1" t="s">
        <v>30</v>
      </c>
      <c r="D3495" s="1" t="s">
        <v>27</v>
      </c>
      <c r="E3495" s="1" t="s">
        <v>33</v>
      </c>
      <c r="F3495" s="1">
        <v>867.85</v>
      </c>
      <c r="G3495" s="1">
        <v>197.34</v>
      </c>
      <c r="H3495" s="1">
        <v>6.0</v>
      </c>
      <c r="I3495" s="1" t="s">
        <v>34</v>
      </c>
      <c r="J3495" s="1" t="s">
        <v>18</v>
      </c>
      <c r="K3495" s="1">
        <f t="shared" si="1"/>
        <v>2022</v>
      </c>
      <c r="L3495" s="1" t="str">
        <f t="shared" si="2"/>
        <v>Mar</v>
      </c>
      <c r="M3495" s="1" t="str">
        <f t="shared" si="3"/>
        <v>Profit</v>
      </c>
    </row>
    <row r="3496" ht="14.25" customHeight="1">
      <c r="A3496" s="1" t="s">
        <v>3530</v>
      </c>
      <c r="B3496" s="2">
        <v>44369.0</v>
      </c>
      <c r="C3496" s="1" t="s">
        <v>14</v>
      </c>
      <c r="D3496" s="1" t="s">
        <v>27</v>
      </c>
      <c r="E3496" s="1" t="s">
        <v>28</v>
      </c>
      <c r="F3496" s="1">
        <v>890.32</v>
      </c>
      <c r="G3496" s="1">
        <v>294.63</v>
      </c>
      <c r="H3496" s="1">
        <v>9.0</v>
      </c>
      <c r="I3496" s="1" t="s">
        <v>17</v>
      </c>
      <c r="J3496" s="1" t="s">
        <v>35</v>
      </c>
      <c r="K3496" s="1">
        <f t="shared" si="1"/>
        <v>2021</v>
      </c>
      <c r="L3496" s="1" t="str">
        <f t="shared" si="2"/>
        <v>Jun</v>
      </c>
      <c r="M3496" s="1" t="str">
        <f t="shared" si="3"/>
        <v>Profit</v>
      </c>
    </row>
    <row r="3497" ht="14.25" customHeight="1">
      <c r="A3497" s="1" t="s">
        <v>3531</v>
      </c>
      <c r="B3497" s="2">
        <v>44898.0</v>
      </c>
      <c r="C3497" s="1" t="s">
        <v>20</v>
      </c>
      <c r="D3497" s="1" t="s">
        <v>15</v>
      </c>
      <c r="E3497" s="1" t="s">
        <v>16</v>
      </c>
      <c r="F3497" s="1">
        <v>275.21</v>
      </c>
      <c r="G3497" s="1">
        <v>32.36</v>
      </c>
      <c r="H3497" s="1">
        <v>7.0</v>
      </c>
      <c r="I3497" s="1" t="s">
        <v>17</v>
      </c>
      <c r="J3497" s="1" t="s">
        <v>38</v>
      </c>
      <c r="K3497" s="1">
        <f t="shared" si="1"/>
        <v>2022</v>
      </c>
      <c r="L3497" s="1" t="str">
        <f t="shared" si="2"/>
        <v>Dec</v>
      </c>
      <c r="M3497" s="1" t="str">
        <f t="shared" si="3"/>
        <v>Profit</v>
      </c>
    </row>
    <row r="3498" ht="14.25" customHeight="1">
      <c r="A3498" s="1" t="s">
        <v>3532</v>
      </c>
      <c r="B3498" s="2">
        <v>44434.0</v>
      </c>
      <c r="C3498" s="1" t="s">
        <v>30</v>
      </c>
      <c r="D3498" s="1" t="s">
        <v>21</v>
      </c>
      <c r="E3498" s="1" t="s">
        <v>22</v>
      </c>
      <c r="F3498" s="1">
        <v>747.94</v>
      </c>
      <c r="G3498" s="1">
        <v>-90.01</v>
      </c>
      <c r="H3498" s="1">
        <v>8.0</v>
      </c>
      <c r="I3498" s="1" t="s">
        <v>17</v>
      </c>
      <c r="J3498" s="1" t="s">
        <v>18</v>
      </c>
      <c r="K3498" s="1">
        <f t="shared" si="1"/>
        <v>2021</v>
      </c>
      <c r="L3498" s="1" t="str">
        <f t="shared" si="2"/>
        <v>Aug</v>
      </c>
      <c r="M3498" s="1" t="str">
        <f t="shared" si="3"/>
        <v>Loss</v>
      </c>
    </row>
    <row r="3499" ht="14.25" customHeight="1">
      <c r="A3499" s="1" t="s">
        <v>3533</v>
      </c>
      <c r="B3499" s="2">
        <v>45117.0</v>
      </c>
      <c r="C3499" s="1" t="s">
        <v>26</v>
      </c>
      <c r="D3499" s="1" t="s">
        <v>27</v>
      </c>
      <c r="E3499" s="1" t="s">
        <v>40</v>
      </c>
      <c r="F3499" s="1">
        <v>928.94</v>
      </c>
      <c r="G3499" s="1">
        <v>254.79</v>
      </c>
      <c r="H3499" s="1">
        <v>4.0</v>
      </c>
      <c r="I3499" s="1" t="s">
        <v>17</v>
      </c>
      <c r="J3499" s="1" t="s">
        <v>38</v>
      </c>
      <c r="K3499" s="1">
        <f t="shared" si="1"/>
        <v>2023</v>
      </c>
      <c r="L3499" s="1" t="str">
        <f t="shared" si="2"/>
        <v>Jul</v>
      </c>
      <c r="M3499" s="1" t="str">
        <f t="shared" si="3"/>
        <v>Profit</v>
      </c>
    </row>
    <row r="3500" ht="14.25" customHeight="1">
      <c r="A3500" s="1" t="s">
        <v>3534</v>
      </c>
      <c r="B3500" s="2">
        <v>45011.0</v>
      </c>
      <c r="C3500" s="1" t="s">
        <v>26</v>
      </c>
      <c r="D3500" s="1" t="s">
        <v>21</v>
      </c>
      <c r="E3500" s="1" t="s">
        <v>22</v>
      </c>
      <c r="F3500" s="1">
        <v>880.01</v>
      </c>
      <c r="G3500" s="1">
        <v>43.34</v>
      </c>
      <c r="H3500" s="1">
        <v>4.0</v>
      </c>
      <c r="I3500" s="1" t="s">
        <v>34</v>
      </c>
      <c r="J3500" s="1" t="s">
        <v>24</v>
      </c>
      <c r="K3500" s="1">
        <f t="shared" si="1"/>
        <v>2023</v>
      </c>
      <c r="L3500" s="1" t="str">
        <f t="shared" si="2"/>
        <v>Mar</v>
      </c>
      <c r="M3500" s="1" t="str">
        <f t="shared" si="3"/>
        <v>Profit</v>
      </c>
    </row>
    <row r="3501" ht="14.25" customHeight="1">
      <c r="A3501" s="1" t="s">
        <v>3535</v>
      </c>
      <c r="B3501" s="2">
        <v>45017.0</v>
      </c>
      <c r="C3501" s="1" t="s">
        <v>14</v>
      </c>
      <c r="D3501" s="1" t="s">
        <v>21</v>
      </c>
      <c r="E3501" s="1" t="s">
        <v>76</v>
      </c>
      <c r="F3501" s="1">
        <v>574.46</v>
      </c>
      <c r="G3501" s="1">
        <v>235.24</v>
      </c>
      <c r="H3501" s="1">
        <v>6.0</v>
      </c>
      <c r="I3501" s="1" t="s">
        <v>34</v>
      </c>
      <c r="J3501" s="1" t="s">
        <v>18</v>
      </c>
      <c r="K3501" s="1">
        <f t="shared" si="1"/>
        <v>2023</v>
      </c>
      <c r="L3501" s="1" t="str">
        <f t="shared" si="2"/>
        <v>Apr</v>
      </c>
      <c r="M3501" s="1" t="str">
        <f t="shared" si="3"/>
        <v>Profit</v>
      </c>
    </row>
    <row r="3502" ht="14.25" customHeight="1">
      <c r="A3502" s="1" t="s">
        <v>3536</v>
      </c>
      <c r="B3502" s="2">
        <v>44828.0</v>
      </c>
      <c r="C3502" s="1" t="s">
        <v>30</v>
      </c>
      <c r="D3502" s="1" t="s">
        <v>21</v>
      </c>
      <c r="E3502" s="1" t="s">
        <v>37</v>
      </c>
      <c r="F3502" s="1">
        <v>574.77</v>
      </c>
      <c r="G3502" s="1">
        <v>137.86</v>
      </c>
      <c r="H3502" s="1">
        <v>1.0</v>
      </c>
      <c r="I3502" s="1" t="s">
        <v>23</v>
      </c>
      <c r="J3502" s="1" t="s">
        <v>38</v>
      </c>
      <c r="K3502" s="1">
        <f t="shared" si="1"/>
        <v>2022</v>
      </c>
      <c r="L3502" s="1" t="str">
        <f t="shared" si="2"/>
        <v>Sep</v>
      </c>
      <c r="M3502" s="1" t="str">
        <f t="shared" si="3"/>
        <v>Profit</v>
      </c>
    </row>
    <row r="3503" ht="14.25" customHeight="1">
      <c r="A3503" s="1" t="s">
        <v>3537</v>
      </c>
      <c r="B3503" s="2">
        <v>45034.0</v>
      </c>
      <c r="C3503" s="1" t="s">
        <v>26</v>
      </c>
      <c r="D3503" s="1" t="s">
        <v>21</v>
      </c>
      <c r="E3503" s="1" t="s">
        <v>76</v>
      </c>
      <c r="F3503" s="1">
        <v>961.24</v>
      </c>
      <c r="G3503" s="1">
        <v>90.53</v>
      </c>
      <c r="H3503" s="1">
        <v>5.0</v>
      </c>
      <c r="I3503" s="1" t="s">
        <v>17</v>
      </c>
      <c r="J3503" s="1" t="s">
        <v>18</v>
      </c>
      <c r="K3503" s="1">
        <f t="shared" si="1"/>
        <v>2023</v>
      </c>
      <c r="L3503" s="1" t="str">
        <f t="shared" si="2"/>
        <v>Apr</v>
      </c>
      <c r="M3503" s="1" t="str">
        <f t="shared" si="3"/>
        <v>Profit</v>
      </c>
    </row>
    <row r="3504" ht="14.25" customHeight="1">
      <c r="A3504" s="1" t="s">
        <v>3538</v>
      </c>
      <c r="B3504" s="2">
        <v>44942.0</v>
      </c>
      <c r="C3504" s="1" t="s">
        <v>30</v>
      </c>
      <c r="D3504" s="1" t="s">
        <v>15</v>
      </c>
      <c r="E3504" s="1" t="s">
        <v>16</v>
      </c>
      <c r="F3504" s="1">
        <v>702.45</v>
      </c>
      <c r="G3504" s="1">
        <v>-110.76</v>
      </c>
      <c r="H3504" s="1">
        <v>10.0</v>
      </c>
      <c r="I3504" s="1" t="s">
        <v>34</v>
      </c>
      <c r="J3504" s="1" t="s">
        <v>24</v>
      </c>
      <c r="K3504" s="1">
        <f t="shared" si="1"/>
        <v>2023</v>
      </c>
      <c r="L3504" s="1" t="str">
        <f t="shared" si="2"/>
        <v>Jan</v>
      </c>
      <c r="M3504" s="1" t="str">
        <f t="shared" si="3"/>
        <v>Loss</v>
      </c>
    </row>
    <row r="3505" ht="14.25" customHeight="1">
      <c r="A3505" s="1" t="s">
        <v>3539</v>
      </c>
      <c r="B3505" s="2">
        <v>44513.0</v>
      </c>
      <c r="C3505" s="1" t="s">
        <v>26</v>
      </c>
      <c r="D3505" s="1" t="s">
        <v>27</v>
      </c>
      <c r="E3505" s="1" t="s">
        <v>33</v>
      </c>
      <c r="F3505" s="1">
        <v>47.05</v>
      </c>
      <c r="G3505" s="1">
        <v>241.89</v>
      </c>
      <c r="H3505" s="1">
        <v>1.0</v>
      </c>
      <c r="I3505" s="1" t="s">
        <v>23</v>
      </c>
      <c r="J3505" s="1" t="s">
        <v>24</v>
      </c>
      <c r="K3505" s="1">
        <f t="shared" si="1"/>
        <v>2021</v>
      </c>
      <c r="L3505" s="1" t="str">
        <f t="shared" si="2"/>
        <v>Nov</v>
      </c>
      <c r="M3505" s="1" t="str">
        <f t="shared" si="3"/>
        <v>Profit</v>
      </c>
    </row>
    <row r="3506" ht="14.25" customHeight="1">
      <c r="A3506" s="1" t="s">
        <v>3540</v>
      </c>
      <c r="B3506" s="2">
        <v>44259.0</v>
      </c>
      <c r="C3506" s="1" t="s">
        <v>20</v>
      </c>
      <c r="D3506" s="1" t="s">
        <v>21</v>
      </c>
      <c r="E3506" s="1" t="s">
        <v>76</v>
      </c>
      <c r="F3506" s="1">
        <v>525.79</v>
      </c>
      <c r="G3506" s="1">
        <v>240.28</v>
      </c>
      <c r="H3506" s="1">
        <v>3.0</v>
      </c>
      <c r="I3506" s="1" t="s">
        <v>34</v>
      </c>
      <c r="J3506" s="1" t="s">
        <v>18</v>
      </c>
      <c r="K3506" s="1">
        <f t="shared" si="1"/>
        <v>2021</v>
      </c>
      <c r="L3506" s="1" t="str">
        <f t="shared" si="2"/>
        <v>Mar</v>
      </c>
      <c r="M3506" s="1" t="str">
        <f t="shared" si="3"/>
        <v>Profit</v>
      </c>
    </row>
    <row r="3507" ht="14.25" customHeight="1">
      <c r="A3507" s="1" t="s">
        <v>3541</v>
      </c>
      <c r="B3507" s="2">
        <v>44696.0</v>
      </c>
      <c r="C3507" s="1" t="s">
        <v>26</v>
      </c>
      <c r="D3507" s="1" t="s">
        <v>27</v>
      </c>
      <c r="E3507" s="1" t="s">
        <v>33</v>
      </c>
      <c r="F3507" s="1">
        <v>212.03</v>
      </c>
      <c r="G3507" s="1">
        <v>52.04</v>
      </c>
      <c r="H3507" s="1">
        <v>7.0</v>
      </c>
      <c r="I3507" s="1" t="s">
        <v>34</v>
      </c>
      <c r="J3507" s="1" t="s">
        <v>35</v>
      </c>
      <c r="K3507" s="1">
        <f t="shared" si="1"/>
        <v>2022</v>
      </c>
      <c r="L3507" s="1" t="str">
        <f t="shared" si="2"/>
        <v>May</v>
      </c>
      <c r="M3507" s="1" t="str">
        <f t="shared" si="3"/>
        <v>Profit</v>
      </c>
    </row>
    <row r="3508" ht="14.25" customHeight="1">
      <c r="A3508" s="1" t="s">
        <v>3542</v>
      </c>
      <c r="B3508" s="2">
        <v>44309.0</v>
      </c>
      <c r="C3508" s="1" t="s">
        <v>20</v>
      </c>
      <c r="D3508" s="1" t="s">
        <v>21</v>
      </c>
      <c r="E3508" s="1" t="s">
        <v>76</v>
      </c>
      <c r="F3508" s="1">
        <v>517.69</v>
      </c>
      <c r="G3508" s="1">
        <v>-64.28</v>
      </c>
      <c r="H3508" s="1">
        <v>4.0</v>
      </c>
      <c r="I3508" s="1" t="s">
        <v>34</v>
      </c>
      <c r="J3508" s="1" t="s">
        <v>18</v>
      </c>
      <c r="K3508" s="1">
        <f t="shared" si="1"/>
        <v>2021</v>
      </c>
      <c r="L3508" s="1" t="str">
        <f t="shared" si="2"/>
        <v>Apr</v>
      </c>
      <c r="M3508" s="1" t="str">
        <f t="shared" si="3"/>
        <v>Loss</v>
      </c>
    </row>
    <row r="3509" ht="14.25" customHeight="1">
      <c r="A3509" s="1" t="s">
        <v>3543</v>
      </c>
      <c r="B3509" s="2">
        <v>44666.0</v>
      </c>
      <c r="C3509" s="1" t="s">
        <v>26</v>
      </c>
      <c r="D3509" s="1" t="s">
        <v>15</v>
      </c>
      <c r="E3509" s="1" t="s">
        <v>54</v>
      </c>
      <c r="F3509" s="1">
        <v>191.16</v>
      </c>
      <c r="G3509" s="1">
        <v>203.88</v>
      </c>
      <c r="H3509" s="1">
        <v>7.0</v>
      </c>
      <c r="I3509" s="1" t="s">
        <v>17</v>
      </c>
      <c r="J3509" s="1" t="s">
        <v>18</v>
      </c>
      <c r="K3509" s="1">
        <f t="shared" si="1"/>
        <v>2022</v>
      </c>
      <c r="L3509" s="1" t="str">
        <f t="shared" si="2"/>
        <v>Apr</v>
      </c>
      <c r="M3509" s="1" t="str">
        <f t="shared" si="3"/>
        <v>Profit</v>
      </c>
    </row>
    <row r="3510" ht="14.25" customHeight="1">
      <c r="A3510" s="1" t="s">
        <v>3544</v>
      </c>
      <c r="B3510" s="2">
        <v>45106.0</v>
      </c>
      <c r="C3510" s="1" t="s">
        <v>30</v>
      </c>
      <c r="D3510" s="1" t="s">
        <v>27</v>
      </c>
      <c r="E3510" s="1" t="s">
        <v>28</v>
      </c>
      <c r="F3510" s="1">
        <v>491.37</v>
      </c>
      <c r="G3510" s="1">
        <v>178.53</v>
      </c>
      <c r="H3510" s="1">
        <v>4.0</v>
      </c>
      <c r="I3510" s="1" t="s">
        <v>34</v>
      </c>
      <c r="J3510" s="1" t="s">
        <v>24</v>
      </c>
      <c r="K3510" s="1">
        <f t="shared" si="1"/>
        <v>2023</v>
      </c>
      <c r="L3510" s="1" t="str">
        <f t="shared" si="2"/>
        <v>Jun</v>
      </c>
      <c r="M3510" s="1" t="str">
        <f t="shared" si="3"/>
        <v>Profit</v>
      </c>
    </row>
    <row r="3511" ht="14.25" customHeight="1">
      <c r="A3511" s="1" t="s">
        <v>3545</v>
      </c>
      <c r="B3511" s="2">
        <v>45031.0</v>
      </c>
      <c r="C3511" s="1" t="s">
        <v>30</v>
      </c>
      <c r="D3511" s="1" t="s">
        <v>21</v>
      </c>
      <c r="E3511" s="1" t="s">
        <v>22</v>
      </c>
      <c r="F3511" s="1">
        <v>643.78</v>
      </c>
      <c r="G3511" s="1">
        <v>-70.82</v>
      </c>
      <c r="H3511" s="1">
        <v>7.0</v>
      </c>
      <c r="I3511" s="1" t="s">
        <v>34</v>
      </c>
      <c r="J3511" s="1" t="s">
        <v>38</v>
      </c>
      <c r="K3511" s="1">
        <f t="shared" si="1"/>
        <v>2023</v>
      </c>
      <c r="L3511" s="1" t="str">
        <f t="shared" si="2"/>
        <v>Apr</v>
      </c>
      <c r="M3511" s="1" t="str">
        <f t="shared" si="3"/>
        <v>Loss</v>
      </c>
    </row>
    <row r="3512" ht="14.25" customHeight="1">
      <c r="A3512" s="1" t="s">
        <v>3546</v>
      </c>
      <c r="B3512" s="2">
        <v>45261.0</v>
      </c>
      <c r="C3512" s="1" t="s">
        <v>20</v>
      </c>
      <c r="D3512" s="1" t="s">
        <v>21</v>
      </c>
      <c r="E3512" s="1" t="s">
        <v>37</v>
      </c>
      <c r="F3512" s="1">
        <v>421.92</v>
      </c>
      <c r="G3512" s="1">
        <v>112.26</v>
      </c>
      <c r="H3512" s="1">
        <v>7.0</v>
      </c>
      <c r="I3512" s="1" t="s">
        <v>34</v>
      </c>
      <c r="J3512" s="1" t="s">
        <v>18</v>
      </c>
      <c r="K3512" s="1">
        <f t="shared" si="1"/>
        <v>2023</v>
      </c>
      <c r="L3512" s="1" t="str">
        <f t="shared" si="2"/>
        <v>Dec</v>
      </c>
      <c r="M3512" s="1" t="str">
        <f t="shared" si="3"/>
        <v>Profit</v>
      </c>
    </row>
    <row r="3513" ht="14.25" customHeight="1">
      <c r="A3513" s="1" t="s">
        <v>3547</v>
      </c>
      <c r="B3513" s="2">
        <v>44270.0</v>
      </c>
      <c r="C3513" s="1" t="s">
        <v>14</v>
      </c>
      <c r="D3513" s="1" t="s">
        <v>27</v>
      </c>
      <c r="E3513" s="1" t="s">
        <v>33</v>
      </c>
      <c r="F3513" s="1">
        <v>79.68</v>
      </c>
      <c r="G3513" s="1">
        <v>-141.15</v>
      </c>
      <c r="H3513" s="1">
        <v>10.0</v>
      </c>
      <c r="I3513" s="1" t="s">
        <v>17</v>
      </c>
      <c r="J3513" s="1" t="s">
        <v>24</v>
      </c>
      <c r="K3513" s="1">
        <f t="shared" si="1"/>
        <v>2021</v>
      </c>
      <c r="L3513" s="1" t="str">
        <f t="shared" si="2"/>
        <v>Mar</v>
      </c>
      <c r="M3513" s="1" t="str">
        <f t="shared" si="3"/>
        <v>Loss</v>
      </c>
    </row>
    <row r="3514" ht="14.25" customHeight="1">
      <c r="A3514" s="1" t="s">
        <v>3548</v>
      </c>
      <c r="B3514" s="2">
        <v>44900.0</v>
      </c>
      <c r="C3514" s="1" t="s">
        <v>30</v>
      </c>
      <c r="D3514" s="1" t="s">
        <v>15</v>
      </c>
      <c r="E3514" s="1" t="s">
        <v>31</v>
      </c>
      <c r="F3514" s="1">
        <v>67.81</v>
      </c>
      <c r="G3514" s="1">
        <v>-121.07</v>
      </c>
      <c r="H3514" s="1">
        <v>1.0</v>
      </c>
      <c r="I3514" s="1" t="s">
        <v>34</v>
      </c>
      <c r="J3514" s="1" t="s">
        <v>18</v>
      </c>
      <c r="K3514" s="1">
        <f t="shared" si="1"/>
        <v>2022</v>
      </c>
      <c r="L3514" s="1" t="str">
        <f t="shared" si="2"/>
        <v>Dec</v>
      </c>
      <c r="M3514" s="1" t="str">
        <f t="shared" si="3"/>
        <v>Loss</v>
      </c>
    </row>
    <row r="3515" ht="14.25" customHeight="1">
      <c r="A3515" s="1" t="s">
        <v>3549</v>
      </c>
      <c r="B3515" s="2">
        <v>44856.0</v>
      </c>
      <c r="C3515" s="1" t="s">
        <v>30</v>
      </c>
      <c r="D3515" s="1" t="s">
        <v>21</v>
      </c>
      <c r="E3515" s="1" t="s">
        <v>37</v>
      </c>
      <c r="F3515" s="1">
        <v>268.56</v>
      </c>
      <c r="G3515" s="1">
        <v>-80.33</v>
      </c>
      <c r="H3515" s="1">
        <v>5.0</v>
      </c>
      <c r="I3515" s="1" t="s">
        <v>17</v>
      </c>
      <c r="J3515" s="1" t="s">
        <v>24</v>
      </c>
      <c r="K3515" s="1">
        <f t="shared" si="1"/>
        <v>2022</v>
      </c>
      <c r="L3515" s="1" t="str">
        <f t="shared" si="2"/>
        <v>Oct</v>
      </c>
      <c r="M3515" s="1" t="str">
        <f t="shared" si="3"/>
        <v>Loss</v>
      </c>
    </row>
    <row r="3516" ht="14.25" customHeight="1">
      <c r="A3516" s="1" t="s">
        <v>3550</v>
      </c>
      <c r="B3516" s="2">
        <v>45009.0</v>
      </c>
      <c r="C3516" s="1" t="s">
        <v>30</v>
      </c>
      <c r="D3516" s="1" t="s">
        <v>15</v>
      </c>
      <c r="E3516" s="1" t="s">
        <v>54</v>
      </c>
      <c r="F3516" s="1">
        <v>706.62</v>
      </c>
      <c r="G3516" s="1">
        <v>37.8</v>
      </c>
      <c r="H3516" s="1">
        <v>3.0</v>
      </c>
      <c r="I3516" s="1" t="s">
        <v>23</v>
      </c>
      <c r="J3516" s="1" t="s">
        <v>24</v>
      </c>
      <c r="K3516" s="1">
        <f t="shared" si="1"/>
        <v>2023</v>
      </c>
      <c r="L3516" s="1" t="str">
        <f t="shared" si="2"/>
        <v>Mar</v>
      </c>
      <c r="M3516" s="1" t="str">
        <f t="shared" si="3"/>
        <v>Profit</v>
      </c>
    </row>
    <row r="3517" ht="14.25" customHeight="1">
      <c r="A3517" s="1" t="s">
        <v>3551</v>
      </c>
      <c r="B3517" s="2">
        <v>44268.0</v>
      </c>
      <c r="C3517" s="1" t="s">
        <v>14</v>
      </c>
      <c r="D3517" s="1" t="s">
        <v>27</v>
      </c>
      <c r="E3517" s="1" t="s">
        <v>33</v>
      </c>
      <c r="F3517" s="1">
        <v>278.93</v>
      </c>
      <c r="G3517" s="1">
        <v>161.52</v>
      </c>
      <c r="H3517" s="1">
        <v>1.0</v>
      </c>
      <c r="I3517" s="1" t="s">
        <v>34</v>
      </c>
      <c r="J3517" s="1" t="s">
        <v>18</v>
      </c>
      <c r="K3517" s="1">
        <f t="shared" si="1"/>
        <v>2021</v>
      </c>
      <c r="L3517" s="1" t="str">
        <f t="shared" si="2"/>
        <v>Mar</v>
      </c>
      <c r="M3517" s="1" t="str">
        <f t="shared" si="3"/>
        <v>Profit</v>
      </c>
    </row>
    <row r="3518" ht="14.25" customHeight="1">
      <c r="A3518" s="1" t="s">
        <v>3552</v>
      </c>
      <c r="B3518" s="2">
        <v>45002.0</v>
      </c>
      <c r="C3518" s="1" t="s">
        <v>26</v>
      </c>
      <c r="D3518" s="1" t="s">
        <v>27</v>
      </c>
      <c r="E3518" s="1" t="s">
        <v>40</v>
      </c>
      <c r="F3518" s="1">
        <v>806.35</v>
      </c>
      <c r="G3518" s="1">
        <v>186.73</v>
      </c>
      <c r="H3518" s="1">
        <v>4.0</v>
      </c>
      <c r="I3518" s="1" t="s">
        <v>34</v>
      </c>
      <c r="J3518" s="1" t="s">
        <v>38</v>
      </c>
      <c r="K3518" s="1">
        <f t="shared" si="1"/>
        <v>2023</v>
      </c>
      <c r="L3518" s="1" t="str">
        <f t="shared" si="2"/>
        <v>Mar</v>
      </c>
      <c r="M3518" s="1" t="str">
        <f t="shared" si="3"/>
        <v>Profit</v>
      </c>
    </row>
    <row r="3519" ht="14.25" customHeight="1">
      <c r="A3519" s="1" t="s">
        <v>3553</v>
      </c>
      <c r="B3519" s="2">
        <v>44756.0</v>
      </c>
      <c r="C3519" s="1" t="s">
        <v>14</v>
      </c>
      <c r="D3519" s="1" t="s">
        <v>27</v>
      </c>
      <c r="E3519" s="1" t="s">
        <v>28</v>
      </c>
      <c r="F3519" s="1">
        <v>190.38</v>
      </c>
      <c r="G3519" s="1">
        <v>-85.83</v>
      </c>
      <c r="H3519" s="1">
        <v>7.0</v>
      </c>
      <c r="I3519" s="1" t="s">
        <v>23</v>
      </c>
      <c r="J3519" s="1" t="s">
        <v>38</v>
      </c>
      <c r="K3519" s="1">
        <f t="shared" si="1"/>
        <v>2022</v>
      </c>
      <c r="L3519" s="1" t="str">
        <f t="shared" si="2"/>
        <v>Jul</v>
      </c>
      <c r="M3519" s="1" t="str">
        <f t="shared" si="3"/>
        <v>Loss</v>
      </c>
    </row>
    <row r="3520" ht="14.25" customHeight="1">
      <c r="A3520" s="1" t="s">
        <v>3554</v>
      </c>
      <c r="B3520" s="2">
        <v>44209.0</v>
      </c>
      <c r="C3520" s="1" t="s">
        <v>20</v>
      </c>
      <c r="D3520" s="1" t="s">
        <v>15</v>
      </c>
      <c r="E3520" s="1" t="s">
        <v>16</v>
      </c>
      <c r="F3520" s="1">
        <v>344.4</v>
      </c>
      <c r="G3520" s="1">
        <v>46.73</v>
      </c>
      <c r="H3520" s="1">
        <v>5.0</v>
      </c>
      <c r="I3520" s="1" t="s">
        <v>17</v>
      </c>
      <c r="J3520" s="1" t="s">
        <v>38</v>
      </c>
      <c r="K3520" s="1">
        <f t="shared" si="1"/>
        <v>2021</v>
      </c>
      <c r="L3520" s="1" t="str">
        <f t="shared" si="2"/>
        <v>Jan</v>
      </c>
      <c r="M3520" s="1" t="str">
        <f t="shared" si="3"/>
        <v>Profit</v>
      </c>
    </row>
    <row r="3521" ht="14.25" customHeight="1">
      <c r="A3521" s="1" t="s">
        <v>3555</v>
      </c>
      <c r="B3521" s="2">
        <v>44665.0</v>
      </c>
      <c r="C3521" s="1" t="s">
        <v>30</v>
      </c>
      <c r="D3521" s="1" t="s">
        <v>27</v>
      </c>
      <c r="E3521" s="1" t="s">
        <v>40</v>
      </c>
      <c r="F3521" s="1">
        <v>377.43</v>
      </c>
      <c r="G3521" s="1">
        <v>284.28</v>
      </c>
      <c r="H3521" s="1">
        <v>4.0</v>
      </c>
      <c r="I3521" s="1" t="s">
        <v>23</v>
      </c>
      <c r="J3521" s="1" t="s">
        <v>38</v>
      </c>
      <c r="K3521" s="1">
        <f t="shared" si="1"/>
        <v>2022</v>
      </c>
      <c r="L3521" s="1" t="str">
        <f t="shared" si="2"/>
        <v>Apr</v>
      </c>
      <c r="M3521" s="1" t="str">
        <f t="shared" si="3"/>
        <v>Profit</v>
      </c>
    </row>
    <row r="3522" ht="14.25" customHeight="1">
      <c r="A3522" s="1" t="s">
        <v>3556</v>
      </c>
      <c r="B3522" s="2">
        <v>44892.0</v>
      </c>
      <c r="C3522" s="1" t="s">
        <v>14</v>
      </c>
      <c r="D3522" s="1" t="s">
        <v>15</v>
      </c>
      <c r="E3522" s="1" t="s">
        <v>16</v>
      </c>
      <c r="F3522" s="1">
        <v>392.23</v>
      </c>
      <c r="G3522" s="1">
        <v>127.27</v>
      </c>
      <c r="H3522" s="1">
        <v>8.0</v>
      </c>
      <c r="I3522" s="1" t="s">
        <v>23</v>
      </c>
      <c r="J3522" s="1" t="s">
        <v>18</v>
      </c>
      <c r="K3522" s="1">
        <f t="shared" si="1"/>
        <v>2022</v>
      </c>
      <c r="L3522" s="1" t="str">
        <f t="shared" si="2"/>
        <v>Nov</v>
      </c>
      <c r="M3522" s="1" t="str">
        <f t="shared" si="3"/>
        <v>Profit</v>
      </c>
    </row>
    <row r="3523" ht="14.25" customHeight="1">
      <c r="A3523" s="1" t="s">
        <v>3557</v>
      </c>
      <c r="B3523" s="2">
        <v>44348.0</v>
      </c>
      <c r="C3523" s="1" t="s">
        <v>20</v>
      </c>
      <c r="D3523" s="1" t="s">
        <v>15</v>
      </c>
      <c r="E3523" s="1" t="s">
        <v>31</v>
      </c>
      <c r="F3523" s="1">
        <v>166.81</v>
      </c>
      <c r="G3523" s="1">
        <v>76.64</v>
      </c>
      <c r="H3523" s="1">
        <v>3.0</v>
      </c>
      <c r="I3523" s="1" t="s">
        <v>17</v>
      </c>
      <c r="J3523" s="1" t="s">
        <v>18</v>
      </c>
      <c r="K3523" s="1">
        <f t="shared" si="1"/>
        <v>2021</v>
      </c>
      <c r="L3523" s="1" t="str">
        <f t="shared" si="2"/>
        <v>Jun</v>
      </c>
      <c r="M3523" s="1" t="str">
        <f t="shared" si="3"/>
        <v>Profit</v>
      </c>
    </row>
    <row r="3524" ht="14.25" customHeight="1">
      <c r="A3524" s="1" t="s">
        <v>3558</v>
      </c>
      <c r="B3524" s="2">
        <v>45081.0</v>
      </c>
      <c r="C3524" s="1" t="s">
        <v>20</v>
      </c>
      <c r="D3524" s="1" t="s">
        <v>15</v>
      </c>
      <c r="E3524" s="1" t="s">
        <v>31</v>
      </c>
      <c r="F3524" s="1">
        <v>118.81</v>
      </c>
      <c r="G3524" s="1">
        <v>-72.59</v>
      </c>
      <c r="H3524" s="1">
        <v>5.0</v>
      </c>
      <c r="I3524" s="1" t="s">
        <v>23</v>
      </c>
      <c r="J3524" s="1" t="s">
        <v>18</v>
      </c>
      <c r="K3524" s="1">
        <f t="shared" si="1"/>
        <v>2023</v>
      </c>
      <c r="L3524" s="1" t="str">
        <f t="shared" si="2"/>
        <v>Jun</v>
      </c>
      <c r="M3524" s="1" t="str">
        <f t="shared" si="3"/>
        <v>Loss</v>
      </c>
    </row>
    <row r="3525" ht="14.25" customHeight="1">
      <c r="A3525" s="1" t="s">
        <v>3559</v>
      </c>
      <c r="B3525" s="2">
        <v>45014.0</v>
      </c>
      <c r="C3525" s="1" t="s">
        <v>14</v>
      </c>
      <c r="D3525" s="1" t="s">
        <v>27</v>
      </c>
      <c r="E3525" s="1" t="s">
        <v>28</v>
      </c>
      <c r="F3525" s="1">
        <v>376.88</v>
      </c>
      <c r="G3525" s="1">
        <v>132.37</v>
      </c>
      <c r="H3525" s="1">
        <v>7.0</v>
      </c>
      <c r="I3525" s="1" t="s">
        <v>34</v>
      </c>
      <c r="J3525" s="1" t="s">
        <v>18</v>
      </c>
      <c r="K3525" s="1">
        <f t="shared" si="1"/>
        <v>2023</v>
      </c>
      <c r="L3525" s="1" t="str">
        <f t="shared" si="2"/>
        <v>Mar</v>
      </c>
      <c r="M3525" s="1" t="str">
        <f t="shared" si="3"/>
        <v>Profit</v>
      </c>
    </row>
    <row r="3526" ht="14.25" customHeight="1">
      <c r="A3526" s="1" t="s">
        <v>3560</v>
      </c>
      <c r="B3526" s="2">
        <v>45206.0</v>
      </c>
      <c r="C3526" s="1" t="s">
        <v>20</v>
      </c>
      <c r="D3526" s="1" t="s">
        <v>15</v>
      </c>
      <c r="E3526" s="1" t="s">
        <v>31</v>
      </c>
      <c r="F3526" s="1">
        <v>117.32</v>
      </c>
      <c r="G3526" s="1">
        <v>-74.76</v>
      </c>
      <c r="H3526" s="1">
        <v>10.0</v>
      </c>
      <c r="I3526" s="1" t="s">
        <v>23</v>
      </c>
      <c r="J3526" s="1" t="s">
        <v>24</v>
      </c>
      <c r="K3526" s="1">
        <f t="shared" si="1"/>
        <v>2023</v>
      </c>
      <c r="L3526" s="1" t="str">
        <f t="shared" si="2"/>
        <v>Oct</v>
      </c>
      <c r="M3526" s="1" t="str">
        <f t="shared" si="3"/>
        <v>Loss</v>
      </c>
    </row>
    <row r="3527" ht="14.25" customHeight="1">
      <c r="A3527" s="1" t="s">
        <v>3561</v>
      </c>
      <c r="B3527" s="2">
        <v>44972.0</v>
      </c>
      <c r="C3527" s="1" t="s">
        <v>14</v>
      </c>
      <c r="D3527" s="1" t="s">
        <v>27</v>
      </c>
      <c r="E3527" s="1" t="s">
        <v>33</v>
      </c>
      <c r="F3527" s="1">
        <v>399.87</v>
      </c>
      <c r="G3527" s="1">
        <v>267.59</v>
      </c>
      <c r="H3527" s="1">
        <v>4.0</v>
      </c>
      <c r="I3527" s="1" t="s">
        <v>34</v>
      </c>
      <c r="J3527" s="1" t="s">
        <v>24</v>
      </c>
      <c r="K3527" s="1">
        <f t="shared" si="1"/>
        <v>2023</v>
      </c>
      <c r="L3527" s="1" t="str">
        <f t="shared" si="2"/>
        <v>Feb</v>
      </c>
      <c r="M3527" s="1" t="str">
        <f t="shared" si="3"/>
        <v>Profit</v>
      </c>
    </row>
    <row r="3528" ht="14.25" customHeight="1">
      <c r="A3528" s="1" t="s">
        <v>3562</v>
      </c>
      <c r="B3528" s="2">
        <v>44565.0</v>
      </c>
      <c r="C3528" s="1" t="s">
        <v>30</v>
      </c>
      <c r="D3528" s="1" t="s">
        <v>21</v>
      </c>
      <c r="E3528" s="1" t="s">
        <v>37</v>
      </c>
      <c r="F3528" s="1">
        <v>49.42</v>
      </c>
      <c r="G3528" s="1">
        <v>168.12</v>
      </c>
      <c r="H3528" s="1">
        <v>2.0</v>
      </c>
      <c r="I3528" s="1" t="s">
        <v>17</v>
      </c>
      <c r="J3528" s="1" t="s">
        <v>38</v>
      </c>
      <c r="K3528" s="1">
        <f t="shared" si="1"/>
        <v>2022</v>
      </c>
      <c r="L3528" s="1" t="str">
        <f t="shared" si="2"/>
        <v>Jan</v>
      </c>
      <c r="M3528" s="1" t="str">
        <f t="shared" si="3"/>
        <v>Profit</v>
      </c>
    </row>
    <row r="3529" ht="14.25" customHeight="1">
      <c r="A3529" s="1" t="s">
        <v>3563</v>
      </c>
      <c r="B3529" s="2">
        <v>44674.0</v>
      </c>
      <c r="C3529" s="1" t="s">
        <v>30</v>
      </c>
      <c r="D3529" s="1" t="s">
        <v>27</v>
      </c>
      <c r="E3529" s="1" t="s">
        <v>33</v>
      </c>
      <c r="F3529" s="1">
        <v>720.24</v>
      </c>
      <c r="G3529" s="1">
        <v>31.67</v>
      </c>
      <c r="H3529" s="1">
        <v>6.0</v>
      </c>
      <c r="I3529" s="1" t="s">
        <v>17</v>
      </c>
      <c r="J3529" s="1" t="s">
        <v>38</v>
      </c>
      <c r="K3529" s="1">
        <f t="shared" si="1"/>
        <v>2022</v>
      </c>
      <c r="L3529" s="1" t="str">
        <f t="shared" si="2"/>
        <v>Apr</v>
      </c>
      <c r="M3529" s="1" t="str">
        <f t="shared" si="3"/>
        <v>Profit</v>
      </c>
    </row>
    <row r="3530" ht="14.25" customHeight="1">
      <c r="A3530" s="1" t="s">
        <v>3564</v>
      </c>
      <c r="B3530" s="2">
        <v>44525.0</v>
      </c>
      <c r="C3530" s="1" t="s">
        <v>20</v>
      </c>
      <c r="D3530" s="1" t="s">
        <v>15</v>
      </c>
      <c r="E3530" s="1" t="s">
        <v>54</v>
      </c>
      <c r="F3530" s="1">
        <v>639.68</v>
      </c>
      <c r="G3530" s="1">
        <v>-2.49</v>
      </c>
      <c r="H3530" s="1">
        <v>3.0</v>
      </c>
      <c r="I3530" s="1" t="s">
        <v>34</v>
      </c>
      <c r="J3530" s="1" t="s">
        <v>35</v>
      </c>
      <c r="K3530" s="1">
        <f t="shared" si="1"/>
        <v>2021</v>
      </c>
      <c r="L3530" s="1" t="str">
        <f t="shared" si="2"/>
        <v>Nov</v>
      </c>
      <c r="M3530" s="1" t="str">
        <f t="shared" si="3"/>
        <v>Loss</v>
      </c>
    </row>
    <row r="3531" ht="14.25" customHeight="1">
      <c r="A3531" s="1" t="s">
        <v>3565</v>
      </c>
      <c r="B3531" s="2">
        <v>44208.0</v>
      </c>
      <c r="C3531" s="1" t="s">
        <v>26</v>
      </c>
      <c r="D3531" s="1" t="s">
        <v>27</v>
      </c>
      <c r="E3531" s="1" t="s">
        <v>33</v>
      </c>
      <c r="F3531" s="1">
        <v>826.02</v>
      </c>
      <c r="G3531" s="1">
        <v>-196.1</v>
      </c>
      <c r="H3531" s="1">
        <v>7.0</v>
      </c>
      <c r="I3531" s="1" t="s">
        <v>34</v>
      </c>
      <c r="J3531" s="1" t="s">
        <v>38</v>
      </c>
      <c r="K3531" s="1">
        <f t="shared" si="1"/>
        <v>2021</v>
      </c>
      <c r="L3531" s="1" t="str">
        <f t="shared" si="2"/>
        <v>Jan</v>
      </c>
      <c r="M3531" s="1" t="str">
        <f t="shared" si="3"/>
        <v>Loss</v>
      </c>
    </row>
    <row r="3532" ht="14.25" customHeight="1">
      <c r="A3532" s="1" t="s">
        <v>3566</v>
      </c>
      <c r="B3532" s="2">
        <v>44852.0</v>
      </c>
      <c r="C3532" s="1" t="s">
        <v>26</v>
      </c>
      <c r="D3532" s="1" t="s">
        <v>27</v>
      </c>
      <c r="E3532" s="1" t="s">
        <v>40</v>
      </c>
      <c r="F3532" s="1">
        <v>51.38</v>
      </c>
      <c r="G3532" s="1">
        <v>110.29</v>
      </c>
      <c r="H3532" s="1">
        <v>4.0</v>
      </c>
      <c r="I3532" s="1" t="s">
        <v>34</v>
      </c>
      <c r="J3532" s="1" t="s">
        <v>24</v>
      </c>
      <c r="K3532" s="1">
        <f t="shared" si="1"/>
        <v>2022</v>
      </c>
      <c r="L3532" s="1" t="str">
        <f t="shared" si="2"/>
        <v>Oct</v>
      </c>
      <c r="M3532" s="1" t="str">
        <f t="shared" si="3"/>
        <v>Profit</v>
      </c>
    </row>
    <row r="3533" ht="14.25" customHeight="1">
      <c r="A3533" s="1" t="s">
        <v>3567</v>
      </c>
      <c r="B3533" s="2">
        <v>45173.0</v>
      </c>
      <c r="C3533" s="1" t="s">
        <v>20</v>
      </c>
      <c r="D3533" s="1" t="s">
        <v>15</v>
      </c>
      <c r="E3533" s="1" t="s">
        <v>54</v>
      </c>
      <c r="F3533" s="1">
        <v>736.09</v>
      </c>
      <c r="G3533" s="1">
        <v>19.69</v>
      </c>
      <c r="H3533" s="1">
        <v>7.0</v>
      </c>
      <c r="I3533" s="1" t="s">
        <v>34</v>
      </c>
      <c r="J3533" s="1" t="s">
        <v>24</v>
      </c>
      <c r="K3533" s="1">
        <f t="shared" si="1"/>
        <v>2023</v>
      </c>
      <c r="L3533" s="1" t="str">
        <f t="shared" si="2"/>
        <v>Sep</v>
      </c>
      <c r="M3533" s="1" t="str">
        <f t="shared" si="3"/>
        <v>Profit</v>
      </c>
    </row>
    <row r="3534" ht="14.25" customHeight="1">
      <c r="A3534" s="1" t="s">
        <v>3568</v>
      </c>
      <c r="B3534" s="2">
        <v>45104.0</v>
      </c>
      <c r="C3534" s="1" t="s">
        <v>26</v>
      </c>
      <c r="D3534" s="1" t="s">
        <v>15</v>
      </c>
      <c r="E3534" s="1" t="s">
        <v>54</v>
      </c>
      <c r="F3534" s="1">
        <v>193.8</v>
      </c>
      <c r="G3534" s="1">
        <v>-88.68</v>
      </c>
      <c r="H3534" s="1">
        <v>7.0</v>
      </c>
      <c r="I3534" s="1" t="s">
        <v>17</v>
      </c>
      <c r="J3534" s="1" t="s">
        <v>38</v>
      </c>
      <c r="K3534" s="1">
        <f t="shared" si="1"/>
        <v>2023</v>
      </c>
      <c r="L3534" s="1" t="str">
        <f t="shared" si="2"/>
        <v>Jun</v>
      </c>
      <c r="M3534" s="1" t="str">
        <f t="shared" si="3"/>
        <v>Loss</v>
      </c>
    </row>
    <row r="3535" ht="14.25" customHeight="1">
      <c r="A3535" s="1" t="s">
        <v>3569</v>
      </c>
      <c r="B3535" s="2">
        <v>45097.0</v>
      </c>
      <c r="C3535" s="1" t="s">
        <v>20</v>
      </c>
      <c r="D3535" s="1" t="s">
        <v>21</v>
      </c>
      <c r="E3535" s="1" t="s">
        <v>76</v>
      </c>
      <c r="F3535" s="1">
        <v>218.24</v>
      </c>
      <c r="G3535" s="1">
        <v>172.72</v>
      </c>
      <c r="H3535" s="1">
        <v>10.0</v>
      </c>
      <c r="I3535" s="1" t="s">
        <v>34</v>
      </c>
      <c r="J3535" s="1" t="s">
        <v>38</v>
      </c>
      <c r="K3535" s="1">
        <f t="shared" si="1"/>
        <v>2023</v>
      </c>
      <c r="L3535" s="1" t="str">
        <f t="shared" si="2"/>
        <v>Jun</v>
      </c>
      <c r="M3535" s="1" t="str">
        <f t="shared" si="3"/>
        <v>Profit</v>
      </c>
    </row>
    <row r="3536" ht="14.25" customHeight="1">
      <c r="A3536" s="1" t="s">
        <v>3570</v>
      </c>
      <c r="B3536" s="2">
        <v>44219.0</v>
      </c>
      <c r="C3536" s="1" t="s">
        <v>14</v>
      </c>
      <c r="D3536" s="1" t="s">
        <v>27</v>
      </c>
      <c r="E3536" s="1" t="s">
        <v>28</v>
      </c>
      <c r="F3536" s="1">
        <v>429.73</v>
      </c>
      <c r="G3536" s="1">
        <v>52.13</v>
      </c>
      <c r="H3536" s="1">
        <v>1.0</v>
      </c>
      <c r="I3536" s="1" t="s">
        <v>23</v>
      </c>
      <c r="J3536" s="1" t="s">
        <v>24</v>
      </c>
      <c r="K3536" s="1">
        <f t="shared" si="1"/>
        <v>2021</v>
      </c>
      <c r="L3536" s="1" t="str">
        <f t="shared" si="2"/>
        <v>Jan</v>
      </c>
      <c r="M3536" s="1" t="str">
        <f t="shared" si="3"/>
        <v>Profit</v>
      </c>
    </row>
    <row r="3537" ht="14.25" customHeight="1">
      <c r="A3537" s="1" t="s">
        <v>3571</v>
      </c>
      <c r="B3537" s="2">
        <v>44311.0</v>
      </c>
      <c r="C3537" s="1" t="s">
        <v>14</v>
      </c>
      <c r="D3537" s="1" t="s">
        <v>27</v>
      </c>
      <c r="E3537" s="1" t="s">
        <v>33</v>
      </c>
      <c r="F3537" s="1">
        <v>470.67</v>
      </c>
      <c r="G3537" s="1">
        <v>-66.24</v>
      </c>
      <c r="H3537" s="1">
        <v>6.0</v>
      </c>
      <c r="I3537" s="1" t="s">
        <v>23</v>
      </c>
      <c r="J3537" s="1" t="s">
        <v>38</v>
      </c>
      <c r="K3537" s="1">
        <f t="shared" si="1"/>
        <v>2021</v>
      </c>
      <c r="L3537" s="1" t="str">
        <f t="shared" si="2"/>
        <v>Apr</v>
      </c>
      <c r="M3537" s="1" t="str">
        <f t="shared" si="3"/>
        <v>Loss</v>
      </c>
    </row>
    <row r="3538" ht="14.25" customHeight="1">
      <c r="A3538" s="1" t="s">
        <v>3572</v>
      </c>
      <c r="B3538" s="2">
        <v>44461.0</v>
      </c>
      <c r="C3538" s="1" t="s">
        <v>30</v>
      </c>
      <c r="D3538" s="1" t="s">
        <v>15</v>
      </c>
      <c r="E3538" s="1" t="s">
        <v>54</v>
      </c>
      <c r="F3538" s="1">
        <v>779.43</v>
      </c>
      <c r="G3538" s="1">
        <v>-21.43</v>
      </c>
      <c r="H3538" s="1">
        <v>3.0</v>
      </c>
      <c r="I3538" s="1" t="s">
        <v>23</v>
      </c>
      <c r="J3538" s="1" t="s">
        <v>38</v>
      </c>
      <c r="K3538" s="1">
        <f t="shared" si="1"/>
        <v>2021</v>
      </c>
      <c r="L3538" s="1" t="str">
        <f t="shared" si="2"/>
        <v>Sep</v>
      </c>
      <c r="M3538" s="1" t="str">
        <f t="shared" si="3"/>
        <v>Loss</v>
      </c>
    </row>
    <row r="3539" ht="14.25" customHeight="1">
      <c r="A3539" s="1" t="s">
        <v>3573</v>
      </c>
      <c r="B3539" s="2">
        <v>44793.0</v>
      </c>
      <c r="C3539" s="1" t="s">
        <v>30</v>
      </c>
      <c r="D3539" s="1" t="s">
        <v>15</v>
      </c>
      <c r="E3539" s="1" t="s">
        <v>54</v>
      </c>
      <c r="F3539" s="1">
        <v>977.05</v>
      </c>
      <c r="G3539" s="1">
        <v>36.95</v>
      </c>
      <c r="H3539" s="1">
        <v>8.0</v>
      </c>
      <c r="I3539" s="1" t="s">
        <v>23</v>
      </c>
      <c r="J3539" s="1" t="s">
        <v>24</v>
      </c>
      <c r="K3539" s="1">
        <f t="shared" si="1"/>
        <v>2022</v>
      </c>
      <c r="L3539" s="1" t="str">
        <f t="shared" si="2"/>
        <v>Aug</v>
      </c>
      <c r="M3539" s="1" t="str">
        <f t="shared" si="3"/>
        <v>Profit</v>
      </c>
    </row>
    <row r="3540" ht="14.25" customHeight="1">
      <c r="A3540" s="1" t="s">
        <v>3574</v>
      </c>
      <c r="B3540" s="2">
        <v>44527.0</v>
      </c>
      <c r="C3540" s="1" t="s">
        <v>30</v>
      </c>
      <c r="D3540" s="1" t="s">
        <v>27</v>
      </c>
      <c r="E3540" s="1" t="s">
        <v>33</v>
      </c>
      <c r="F3540" s="1">
        <v>801.97</v>
      </c>
      <c r="G3540" s="1">
        <v>-108.82</v>
      </c>
      <c r="H3540" s="1">
        <v>6.0</v>
      </c>
      <c r="I3540" s="1" t="s">
        <v>23</v>
      </c>
      <c r="J3540" s="1" t="s">
        <v>24</v>
      </c>
      <c r="K3540" s="1">
        <f t="shared" si="1"/>
        <v>2021</v>
      </c>
      <c r="L3540" s="1" t="str">
        <f t="shared" si="2"/>
        <v>Nov</v>
      </c>
      <c r="M3540" s="1" t="str">
        <f t="shared" si="3"/>
        <v>Loss</v>
      </c>
    </row>
    <row r="3541" ht="14.25" customHeight="1">
      <c r="A3541" s="1" t="s">
        <v>3575</v>
      </c>
      <c r="B3541" s="2">
        <v>44937.0</v>
      </c>
      <c r="C3541" s="1" t="s">
        <v>26</v>
      </c>
      <c r="D3541" s="1" t="s">
        <v>21</v>
      </c>
      <c r="E3541" s="1" t="s">
        <v>37</v>
      </c>
      <c r="F3541" s="1">
        <v>395.73</v>
      </c>
      <c r="G3541" s="1">
        <v>-141.03</v>
      </c>
      <c r="H3541" s="1">
        <v>6.0</v>
      </c>
      <c r="I3541" s="1" t="s">
        <v>34</v>
      </c>
      <c r="J3541" s="1" t="s">
        <v>24</v>
      </c>
      <c r="K3541" s="1">
        <f t="shared" si="1"/>
        <v>2023</v>
      </c>
      <c r="L3541" s="1" t="str">
        <f t="shared" si="2"/>
        <v>Jan</v>
      </c>
      <c r="M3541" s="1" t="str">
        <f t="shared" si="3"/>
        <v>Loss</v>
      </c>
    </row>
    <row r="3542" ht="14.25" customHeight="1">
      <c r="A3542" s="1" t="s">
        <v>3576</v>
      </c>
      <c r="B3542" s="2">
        <v>44315.0</v>
      </c>
      <c r="C3542" s="1" t="s">
        <v>20</v>
      </c>
      <c r="D3542" s="1" t="s">
        <v>27</v>
      </c>
      <c r="E3542" s="1" t="s">
        <v>40</v>
      </c>
      <c r="F3542" s="1">
        <v>216.15</v>
      </c>
      <c r="G3542" s="1">
        <v>-90.57</v>
      </c>
      <c r="H3542" s="1">
        <v>2.0</v>
      </c>
      <c r="I3542" s="1" t="s">
        <v>17</v>
      </c>
      <c r="J3542" s="1" t="s">
        <v>18</v>
      </c>
      <c r="K3542" s="1">
        <f t="shared" si="1"/>
        <v>2021</v>
      </c>
      <c r="L3542" s="1" t="str">
        <f t="shared" si="2"/>
        <v>Apr</v>
      </c>
      <c r="M3542" s="1" t="str">
        <f t="shared" si="3"/>
        <v>Loss</v>
      </c>
    </row>
    <row r="3543" ht="14.25" customHeight="1">
      <c r="A3543" s="1" t="s">
        <v>3577</v>
      </c>
      <c r="B3543" s="2">
        <v>45289.0</v>
      </c>
      <c r="C3543" s="1" t="s">
        <v>30</v>
      </c>
      <c r="D3543" s="1" t="s">
        <v>21</v>
      </c>
      <c r="E3543" s="1" t="s">
        <v>22</v>
      </c>
      <c r="F3543" s="1">
        <v>71.33</v>
      </c>
      <c r="G3543" s="1">
        <v>184.0</v>
      </c>
      <c r="H3543" s="1">
        <v>1.0</v>
      </c>
      <c r="I3543" s="1" t="s">
        <v>34</v>
      </c>
      <c r="J3543" s="1" t="s">
        <v>38</v>
      </c>
      <c r="K3543" s="1">
        <f t="shared" si="1"/>
        <v>2023</v>
      </c>
      <c r="L3543" s="1" t="str">
        <f t="shared" si="2"/>
        <v>Dec</v>
      </c>
      <c r="M3543" s="1" t="str">
        <f t="shared" si="3"/>
        <v>Profit</v>
      </c>
    </row>
    <row r="3544" ht="14.25" customHeight="1">
      <c r="A3544" s="1" t="s">
        <v>3578</v>
      </c>
      <c r="B3544" s="2">
        <v>45209.0</v>
      </c>
      <c r="C3544" s="1" t="s">
        <v>14</v>
      </c>
      <c r="D3544" s="1" t="s">
        <v>21</v>
      </c>
      <c r="E3544" s="1" t="s">
        <v>22</v>
      </c>
      <c r="F3544" s="1">
        <v>56.92</v>
      </c>
      <c r="G3544" s="1">
        <v>291.02</v>
      </c>
      <c r="H3544" s="1">
        <v>9.0</v>
      </c>
      <c r="I3544" s="1" t="s">
        <v>34</v>
      </c>
      <c r="J3544" s="1" t="s">
        <v>38</v>
      </c>
      <c r="K3544" s="1">
        <f t="shared" si="1"/>
        <v>2023</v>
      </c>
      <c r="L3544" s="1" t="str">
        <f t="shared" si="2"/>
        <v>Oct</v>
      </c>
      <c r="M3544" s="1" t="str">
        <f t="shared" si="3"/>
        <v>Profit</v>
      </c>
    </row>
    <row r="3545" ht="14.25" customHeight="1">
      <c r="A3545" s="1" t="s">
        <v>3579</v>
      </c>
      <c r="B3545" s="2">
        <v>44975.0</v>
      </c>
      <c r="C3545" s="1" t="s">
        <v>20</v>
      </c>
      <c r="D3545" s="1" t="s">
        <v>15</v>
      </c>
      <c r="E3545" s="1" t="s">
        <v>31</v>
      </c>
      <c r="F3545" s="1">
        <v>973.66</v>
      </c>
      <c r="G3545" s="1">
        <v>271.74</v>
      </c>
      <c r="H3545" s="1">
        <v>4.0</v>
      </c>
      <c r="I3545" s="1" t="s">
        <v>17</v>
      </c>
      <c r="J3545" s="1" t="s">
        <v>35</v>
      </c>
      <c r="K3545" s="1">
        <f t="shared" si="1"/>
        <v>2023</v>
      </c>
      <c r="L3545" s="1" t="str">
        <f t="shared" si="2"/>
        <v>Feb</v>
      </c>
      <c r="M3545" s="1" t="str">
        <f t="shared" si="3"/>
        <v>Profit</v>
      </c>
    </row>
    <row r="3546" ht="14.25" customHeight="1">
      <c r="A3546" s="1" t="s">
        <v>3580</v>
      </c>
      <c r="B3546" s="2">
        <v>44354.0</v>
      </c>
      <c r="C3546" s="1" t="s">
        <v>14</v>
      </c>
      <c r="D3546" s="1" t="s">
        <v>27</v>
      </c>
      <c r="E3546" s="1" t="s">
        <v>28</v>
      </c>
      <c r="F3546" s="1">
        <v>660.67</v>
      </c>
      <c r="G3546" s="1">
        <v>-16.29</v>
      </c>
      <c r="H3546" s="1">
        <v>6.0</v>
      </c>
      <c r="I3546" s="1" t="s">
        <v>17</v>
      </c>
      <c r="J3546" s="1" t="s">
        <v>24</v>
      </c>
      <c r="K3546" s="1">
        <f t="shared" si="1"/>
        <v>2021</v>
      </c>
      <c r="L3546" s="1" t="str">
        <f t="shared" si="2"/>
        <v>Jun</v>
      </c>
      <c r="M3546" s="1" t="str">
        <f t="shared" si="3"/>
        <v>Loss</v>
      </c>
    </row>
    <row r="3547" ht="14.25" customHeight="1">
      <c r="A3547" s="1" t="s">
        <v>3581</v>
      </c>
      <c r="B3547" s="2">
        <v>44891.0</v>
      </c>
      <c r="C3547" s="1" t="s">
        <v>26</v>
      </c>
      <c r="D3547" s="1" t="s">
        <v>21</v>
      </c>
      <c r="E3547" s="1" t="s">
        <v>76</v>
      </c>
      <c r="F3547" s="1">
        <v>569.56</v>
      </c>
      <c r="G3547" s="1">
        <v>-135.73</v>
      </c>
      <c r="H3547" s="1">
        <v>6.0</v>
      </c>
      <c r="I3547" s="1" t="s">
        <v>17</v>
      </c>
      <c r="J3547" s="1" t="s">
        <v>38</v>
      </c>
      <c r="K3547" s="1">
        <f t="shared" si="1"/>
        <v>2022</v>
      </c>
      <c r="L3547" s="1" t="str">
        <f t="shared" si="2"/>
        <v>Nov</v>
      </c>
      <c r="M3547" s="1" t="str">
        <f t="shared" si="3"/>
        <v>Loss</v>
      </c>
    </row>
    <row r="3548" ht="14.25" customHeight="1">
      <c r="A3548" s="1" t="s">
        <v>3582</v>
      </c>
      <c r="B3548" s="2">
        <v>44926.0</v>
      </c>
      <c r="C3548" s="1" t="s">
        <v>20</v>
      </c>
      <c r="D3548" s="1" t="s">
        <v>27</v>
      </c>
      <c r="E3548" s="1" t="s">
        <v>40</v>
      </c>
      <c r="F3548" s="1">
        <v>734.66</v>
      </c>
      <c r="G3548" s="1">
        <v>234.97</v>
      </c>
      <c r="H3548" s="1">
        <v>10.0</v>
      </c>
      <c r="I3548" s="1" t="s">
        <v>34</v>
      </c>
      <c r="J3548" s="1" t="s">
        <v>38</v>
      </c>
      <c r="K3548" s="1">
        <f t="shared" si="1"/>
        <v>2022</v>
      </c>
      <c r="L3548" s="1" t="str">
        <f t="shared" si="2"/>
        <v>Dec</v>
      </c>
      <c r="M3548" s="1" t="str">
        <f t="shared" si="3"/>
        <v>Profit</v>
      </c>
    </row>
    <row r="3549" ht="14.25" customHeight="1">
      <c r="A3549" s="1" t="s">
        <v>3583</v>
      </c>
      <c r="B3549" s="2">
        <v>44641.0</v>
      </c>
      <c r="C3549" s="1" t="s">
        <v>14</v>
      </c>
      <c r="D3549" s="1" t="s">
        <v>21</v>
      </c>
      <c r="E3549" s="1" t="s">
        <v>76</v>
      </c>
      <c r="F3549" s="1">
        <v>435.42</v>
      </c>
      <c r="G3549" s="1">
        <v>56.02</v>
      </c>
      <c r="H3549" s="1">
        <v>2.0</v>
      </c>
      <c r="I3549" s="1" t="s">
        <v>34</v>
      </c>
      <c r="J3549" s="1" t="s">
        <v>35</v>
      </c>
      <c r="K3549" s="1">
        <f t="shared" si="1"/>
        <v>2022</v>
      </c>
      <c r="L3549" s="1" t="str">
        <f t="shared" si="2"/>
        <v>Mar</v>
      </c>
      <c r="M3549" s="1" t="str">
        <f t="shared" si="3"/>
        <v>Profit</v>
      </c>
    </row>
    <row r="3550" ht="14.25" customHeight="1">
      <c r="A3550" s="1" t="s">
        <v>3584</v>
      </c>
      <c r="B3550" s="2">
        <v>44933.0</v>
      </c>
      <c r="C3550" s="1" t="s">
        <v>30</v>
      </c>
      <c r="D3550" s="1" t="s">
        <v>27</v>
      </c>
      <c r="E3550" s="1" t="s">
        <v>33</v>
      </c>
      <c r="F3550" s="1">
        <v>970.14</v>
      </c>
      <c r="G3550" s="1">
        <v>-165.86</v>
      </c>
      <c r="H3550" s="1">
        <v>3.0</v>
      </c>
      <c r="I3550" s="1" t="s">
        <v>23</v>
      </c>
      <c r="J3550" s="1" t="s">
        <v>24</v>
      </c>
      <c r="K3550" s="1">
        <f t="shared" si="1"/>
        <v>2023</v>
      </c>
      <c r="L3550" s="1" t="str">
        <f t="shared" si="2"/>
        <v>Jan</v>
      </c>
      <c r="M3550" s="1" t="str">
        <f t="shared" si="3"/>
        <v>Loss</v>
      </c>
    </row>
    <row r="3551" ht="14.25" customHeight="1">
      <c r="A3551" s="1" t="s">
        <v>3585</v>
      </c>
      <c r="B3551" s="2">
        <v>45251.0</v>
      </c>
      <c r="C3551" s="1" t="s">
        <v>20</v>
      </c>
      <c r="D3551" s="1" t="s">
        <v>15</v>
      </c>
      <c r="E3551" s="1" t="s">
        <v>31</v>
      </c>
      <c r="F3551" s="1">
        <v>738.84</v>
      </c>
      <c r="G3551" s="1">
        <v>295.92</v>
      </c>
      <c r="H3551" s="1">
        <v>10.0</v>
      </c>
      <c r="I3551" s="1" t="s">
        <v>23</v>
      </c>
      <c r="J3551" s="1" t="s">
        <v>38</v>
      </c>
      <c r="K3551" s="1">
        <f t="shared" si="1"/>
        <v>2023</v>
      </c>
      <c r="L3551" s="1" t="str">
        <f t="shared" si="2"/>
        <v>Nov</v>
      </c>
      <c r="M3551" s="1" t="str">
        <f t="shared" si="3"/>
        <v>Profit</v>
      </c>
    </row>
    <row r="3552" ht="14.25" customHeight="1">
      <c r="A3552" s="1" t="s">
        <v>3586</v>
      </c>
      <c r="B3552" s="2">
        <v>45156.0</v>
      </c>
      <c r="C3552" s="1" t="s">
        <v>26</v>
      </c>
      <c r="D3552" s="1" t="s">
        <v>21</v>
      </c>
      <c r="E3552" s="1" t="s">
        <v>22</v>
      </c>
      <c r="F3552" s="1">
        <v>42.71</v>
      </c>
      <c r="G3552" s="1">
        <v>-176.79</v>
      </c>
      <c r="H3552" s="1">
        <v>4.0</v>
      </c>
      <c r="I3552" s="1" t="s">
        <v>34</v>
      </c>
      <c r="J3552" s="1" t="s">
        <v>38</v>
      </c>
      <c r="K3552" s="1">
        <f t="shared" si="1"/>
        <v>2023</v>
      </c>
      <c r="L3552" s="1" t="str">
        <f t="shared" si="2"/>
        <v>Aug</v>
      </c>
      <c r="M3552" s="1" t="str">
        <f t="shared" si="3"/>
        <v>Loss</v>
      </c>
    </row>
    <row r="3553" ht="14.25" customHeight="1">
      <c r="A3553" s="1" t="s">
        <v>3587</v>
      </c>
      <c r="B3553" s="2">
        <v>44288.0</v>
      </c>
      <c r="C3553" s="1" t="s">
        <v>14</v>
      </c>
      <c r="D3553" s="1" t="s">
        <v>27</v>
      </c>
      <c r="E3553" s="1" t="s">
        <v>40</v>
      </c>
      <c r="F3553" s="1">
        <v>180.48</v>
      </c>
      <c r="G3553" s="1">
        <v>188.86</v>
      </c>
      <c r="H3553" s="1">
        <v>4.0</v>
      </c>
      <c r="I3553" s="1" t="s">
        <v>17</v>
      </c>
      <c r="J3553" s="1" t="s">
        <v>38</v>
      </c>
      <c r="K3553" s="1">
        <f t="shared" si="1"/>
        <v>2021</v>
      </c>
      <c r="L3553" s="1" t="str">
        <f t="shared" si="2"/>
        <v>Apr</v>
      </c>
      <c r="M3553" s="1" t="str">
        <f t="shared" si="3"/>
        <v>Profit</v>
      </c>
    </row>
    <row r="3554" ht="14.25" customHeight="1">
      <c r="A3554" s="1" t="s">
        <v>3588</v>
      </c>
      <c r="B3554" s="2">
        <v>44754.0</v>
      </c>
      <c r="C3554" s="1" t="s">
        <v>30</v>
      </c>
      <c r="D3554" s="1" t="s">
        <v>21</v>
      </c>
      <c r="E3554" s="1" t="s">
        <v>76</v>
      </c>
      <c r="F3554" s="1">
        <v>275.69</v>
      </c>
      <c r="G3554" s="1">
        <v>187.98</v>
      </c>
      <c r="H3554" s="1">
        <v>5.0</v>
      </c>
      <c r="I3554" s="1" t="s">
        <v>17</v>
      </c>
      <c r="J3554" s="1" t="s">
        <v>38</v>
      </c>
      <c r="K3554" s="1">
        <f t="shared" si="1"/>
        <v>2022</v>
      </c>
      <c r="L3554" s="1" t="str">
        <f t="shared" si="2"/>
        <v>Jul</v>
      </c>
      <c r="M3554" s="1" t="str">
        <f t="shared" si="3"/>
        <v>Profit</v>
      </c>
    </row>
    <row r="3555" ht="14.25" customHeight="1">
      <c r="A3555" s="1" t="s">
        <v>3589</v>
      </c>
      <c r="B3555" s="2">
        <v>44946.0</v>
      </c>
      <c r="C3555" s="1" t="s">
        <v>14</v>
      </c>
      <c r="D3555" s="1" t="s">
        <v>27</v>
      </c>
      <c r="E3555" s="1" t="s">
        <v>28</v>
      </c>
      <c r="F3555" s="1">
        <v>266.48</v>
      </c>
      <c r="G3555" s="1">
        <v>296.41</v>
      </c>
      <c r="H3555" s="1">
        <v>6.0</v>
      </c>
      <c r="I3555" s="1" t="s">
        <v>23</v>
      </c>
      <c r="J3555" s="1" t="s">
        <v>38</v>
      </c>
      <c r="K3555" s="1">
        <f t="shared" si="1"/>
        <v>2023</v>
      </c>
      <c r="L3555" s="1" t="str">
        <f t="shared" si="2"/>
        <v>Jan</v>
      </c>
      <c r="M3555" s="1" t="str">
        <f t="shared" si="3"/>
        <v>Profit</v>
      </c>
    </row>
    <row r="3556" ht="14.25" customHeight="1">
      <c r="A3556" s="1" t="s">
        <v>3590</v>
      </c>
      <c r="B3556" s="2">
        <v>44297.0</v>
      </c>
      <c r="C3556" s="1" t="s">
        <v>26</v>
      </c>
      <c r="D3556" s="1" t="s">
        <v>27</v>
      </c>
      <c r="E3556" s="1" t="s">
        <v>28</v>
      </c>
      <c r="F3556" s="1">
        <v>484.08</v>
      </c>
      <c r="G3556" s="1">
        <v>12.4</v>
      </c>
      <c r="H3556" s="1">
        <v>4.0</v>
      </c>
      <c r="I3556" s="1" t="s">
        <v>17</v>
      </c>
      <c r="J3556" s="1" t="s">
        <v>35</v>
      </c>
      <c r="K3556" s="1">
        <f t="shared" si="1"/>
        <v>2021</v>
      </c>
      <c r="L3556" s="1" t="str">
        <f t="shared" si="2"/>
        <v>Apr</v>
      </c>
      <c r="M3556" s="1" t="str">
        <f t="shared" si="3"/>
        <v>Profit</v>
      </c>
    </row>
    <row r="3557" ht="14.25" customHeight="1">
      <c r="A3557" s="1" t="s">
        <v>3591</v>
      </c>
      <c r="B3557" s="2">
        <v>44773.0</v>
      </c>
      <c r="C3557" s="1" t="s">
        <v>30</v>
      </c>
      <c r="D3557" s="1" t="s">
        <v>27</v>
      </c>
      <c r="E3557" s="1" t="s">
        <v>28</v>
      </c>
      <c r="F3557" s="1">
        <v>134.62</v>
      </c>
      <c r="G3557" s="1">
        <v>232.82</v>
      </c>
      <c r="H3557" s="1">
        <v>4.0</v>
      </c>
      <c r="I3557" s="1" t="s">
        <v>34</v>
      </c>
      <c r="J3557" s="1" t="s">
        <v>24</v>
      </c>
      <c r="K3557" s="1">
        <f t="shared" si="1"/>
        <v>2022</v>
      </c>
      <c r="L3557" s="1" t="str">
        <f t="shared" si="2"/>
        <v>Jul</v>
      </c>
      <c r="M3557" s="1" t="str">
        <f t="shared" si="3"/>
        <v>Profit</v>
      </c>
    </row>
    <row r="3558" ht="14.25" customHeight="1">
      <c r="A3558" s="1" t="s">
        <v>3592</v>
      </c>
      <c r="B3558" s="2">
        <v>44433.0</v>
      </c>
      <c r="C3558" s="1" t="s">
        <v>14</v>
      </c>
      <c r="D3558" s="1" t="s">
        <v>15</v>
      </c>
      <c r="E3558" s="1" t="s">
        <v>31</v>
      </c>
      <c r="F3558" s="1">
        <v>381.01</v>
      </c>
      <c r="G3558" s="1">
        <v>270.08</v>
      </c>
      <c r="H3558" s="1">
        <v>5.0</v>
      </c>
      <c r="I3558" s="1" t="s">
        <v>34</v>
      </c>
      <c r="J3558" s="1" t="s">
        <v>35</v>
      </c>
      <c r="K3558" s="1">
        <f t="shared" si="1"/>
        <v>2021</v>
      </c>
      <c r="L3558" s="1" t="str">
        <f t="shared" si="2"/>
        <v>Aug</v>
      </c>
      <c r="M3558" s="1" t="str">
        <f t="shared" si="3"/>
        <v>Profit</v>
      </c>
    </row>
    <row r="3559" ht="14.25" customHeight="1">
      <c r="A3559" s="1" t="s">
        <v>3593</v>
      </c>
      <c r="B3559" s="2">
        <v>44607.0</v>
      </c>
      <c r="C3559" s="1" t="s">
        <v>30</v>
      </c>
      <c r="D3559" s="1" t="s">
        <v>15</v>
      </c>
      <c r="E3559" s="1" t="s">
        <v>16</v>
      </c>
      <c r="F3559" s="1">
        <v>302.5</v>
      </c>
      <c r="G3559" s="1">
        <v>-144.92</v>
      </c>
      <c r="H3559" s="1">
        <v>2.0</v>
      </c>
      <c r="I3559" s="1" t="s">
        <v>23</v>
      </c>
      <c r="J3559" s="1" t="s">
        <v>24</v>
      </c>
      <c r="K3559" s="1">
        <f t="shared" si="1"/>
        <v>2022</v>
      </c>
      <c r="L3559" s="1" t="str">
        <f t="shared" si="2"/>
        <v>Feb</v>
      </c>
      <c r="M3559" s="1" t="str">
        <f t="shared" si="3"/>
        <v>Loss</v>
      </c>
    </row>
    <row r="3560" ht="14.25" customHeight="1">
      <c r="A3560" s="1" t="s">
        <v>3594</v>
      </c>
      <c r="B3560" s="2">
        <v>44250.0</v>
      </c>
      <c r="C3560" s="1" t="s">
        <v>14</v>
      </c>
      <c r="D3560" s="1" t="s">
        <v>27</v>
      </c>
      <c r="E3560" s="1" t="s">
        <v>40</v>
      </c>
      <c r="F3560" s="1">
        <v>884.92</v>
      </c>
      <c r="G3560" s="1">
        <v>-150.06</v>
      </c>
      <c r="H3560" s="1">
        <v>6.0</v>
      </c>
      <c r="I3560" s="1" t="s">
        <v>23</v>
      </c>
      <c r="J3560" s="1" t="s">
        <v>18</v>
      </c>
      <c r="K3560" s="1">
        <f t="shared" si="1"/>
        <v>2021</v>
      </c>
      <c r="L3560" s="1" t="str">
        <f t="shared" si="2"/>
        <v>Feb</v>
      </c>
      <c r="M3560" s="1" t="str">
        <f t="shared" si="3"/>
        <v>Loss</v>
      </c>
    </row>
    <row r="3561" ht="14.25" customHeight="1">
      <c r="A3561" s="1" t="s">
        <v>3595</v>
      </c>
      <c r="B3561" s="2">
        <v>45246.0</v>
      </c>
      <c r="C3561" s="1" t="s">
        <v>20</v>
      </c>
      <c r="D3561" s="1" t="s">
        <v>27</v>
      </c>
      <c r="E3561" s="1" t="s">
        <v>40</v>
      </c>
      <c r="F3561" s="1">
        <v>396.41</v>
      </c>
      <c r="G3561" s="1">
        <v>81.52</v>
      </c>
      <c r="H3561" s="1">
        <v>3.0</v>
      </c>
      <c r="I3561" s="1" t="s">
        <v>23</v>
      </c>
      <c r="J3561" s="1" t="s">
        <v>18</v>
      </c>
      <c r="K3561" s="1">
        <f t="shared" si="1"/>
        <v>2023</v>
      </c>
      <c r="L3561" s="1" t="str">
        <f t="shared" si="2"/>
        <v>Nov</v>
      </c>
      <c r="M3561" s="1" t="str">
        <f t="shared" si="3"/>
        <v>Profit</v>
      </c>
    </row>
    <row r="3562" ht="14.25" customHeight="1">
      <c r="A3562" s="1" t="s">
        <v>3596</v>
      </c>
      <c r="B3562" s="2">
        <v>45089.0</v>
      </c>
      <c r="C3562" s="1" t="s">
        <v>30</v>
      </c>
      <c r="D3562" s="1" t="s">
        <v>27</v>
      </c>
      <c r="E3562" s="1" t="s">
        <v>28</v>
      </c>
      <c r="F3562" s="1">
        <v>724.61</v>
      </c>
      <c r="G3562" s="1">
        <v>-192.59</v>
      </c>
      <c r="H3562" s="1">
        <v>7.0</v>
      </c>
      <c r="I3562" s="1" t="s">
        <v>23</v>
      </c>
      <c r="J3562" s="1" t="s">
        <v>18</v>
      </c>
      <c r="K3562" s="1">
        <f t="shared" si="1"/>
        <v>2023</v>
      </c>
      <c r="L3562" s="1" t="str">
        <f t="shared" si="2"/>
        <v>Jun</v>
      </c>
      <c r="M3562" s="1" t="str">
        <f t="shared" si="3"/>
        <v>Loss</v>
      </c>
    </row>
    <row r="3563" ht="14.25" customHeight="1">
      <c r="A3563" s="1" t="s">
        <v>3597</v>
      </c>
      <c r="B3563" s="2">
        <v>44398.0</v>
      </c>
      <c r="C3563" s="1" t="s">
        <v>30</v>
      </c>
      <c r="D3563" s="1" t="s">
        <v>15</v>
      </c>
      <c r="E3563" s="1" t="s">
        <v>31</v>
      </c>
      <c r="F3563" s="1">
        <v>677.09</v>
      </c>
      <c r="G3563" s="1">
        <v>18.41</v>
      </c>
      <c r="H3563" s="1">
        <v>9.0</v>
      </c>
      <c r="I3563" s="1" t="s">
        <v>23</v>
      </c>
      <c r="J3563" s="1" t="s">
        <v>35</v>
      </c>
      <c r="K3563" s="1">
        <f t="shared" si="1"/>
        <v>2021</v>
      </c>
      <c r="L3563" s="1" t="str">
        <f t="shared" si="2"/>
        <v>Jul</v>
      </c>
      <c r="M3563" s="1" t="str">
        <f t="shared" si="3"/>
        <v>Profit</v>
      </c>
    </row>
    <row r="3564" ht="14.25" customHeight="1">
      <c r="A3564" s="1" t="s">
        <v>3598</v>
      </c>
      <c r="B3564" s="2">
        <v>45046.0</v>
      </c>
      <c r="C3564" s="1" t="s">
        <v>20</v>
      </c>
      <c r="D3564" s="1" t="s">
        <v>27</v>
      </c>
      <c r="E3564" s="1" t="s">
        <v>40</v>
      </c>
      <c r="F3564" s="1">
        <v>917.58</v>
      </c>
      <c r="G3564" s="1">
        <v>110.87</v>
      </c>
      <c r="H3564" s="1">
        <v>4.0</v>
      </c>
      <c r="I3564" s="1" t="s">
        <v>17</v>
      </c>
      <c r="J3564" s="1" t="s">
        <v>18</v>
      </c>
      <c r="K3564" s="1">
        <f t="shared" si="1"/>
        <v>2023</v>
      </c>
      <c r="L3564" s="1" t="str">
        <f t="shared" si="2"/>
        <v>Apr</v>
      </c>
      <c r="M3564" s="1" t="str">
        <f t="shared" si="3"/>
        <v>Profit</v>
      </c>
    </row>
    <row r="3565" ht="14.25" customHeight="1">
      <c r="A3565" s="1" t="s">
        <v>3599</v>
      </c>
      <c r="B3565" s="2">
        <v>45173.0</v>
      </c>
      <c r="C3565" s="1" t="s">
        <v>26</v>
      </c>
      <c r="D3565" s="1" t="s">
        <v>21</v>
      </c>
      <c r="E3565" s="1" t="s">
        <v>22</v>
      </c>
      <c r="F3565" s="1">
        <v>349.29</v>
      </c>
      <c r="G3565" s="1">
        <v>57.02</v>
      </c>
      <c r="H3565" s="1">
        <v>4.0</v>
      </c>
      <c r="I3565" s="1" t="s">
        <v>17</v>
      </c>
      <c r="J3565" s="1" t="s">
        <v>18</v>
      </c>
      <c r="K3565" s="1">
        <f t="shared" si="1"/>
        <v>2023</v>
      </c>
      <c r="L3565" s="1" t="str">
        <f t="shared" si="2"/>
        <v>Sep</v>
      </c>
      <c r="M3565" s="1" t="str">
        <f t="shared" si="3"/>
        <v>Profit</v>
      </c>
    </row>
    <row r="3566" ht="14.25" customHeight="1">
      <c r="A3566" s="1" t="s">
        <v>3600</v>
      </c>
      <c r="B3566" s="2">
        <v>45019.0</v>
      </c>
      <c r="C3566" s="1" t="s">
        <v>30</v>
      </c>
      <c r="D3566" s="1" t="s">
        <v>15</v>
      </c>
      <c r="E3566" s="1" t="s">
        <v>31</v>
      </c>
      <c r="F3566" s="1">
        <v>703.12</v>
      </c>
      <c r="G3566" s="1">
        <v>79.67</v>
      </c>
      <c r="H3566" s="1">
        <v>10.0</v>
      </c>
      <c r="I3566" s="1" t="s">
        <v>34</v>
      </c>
      <c r="J3566" s="1" t="s">
        <v>24</v>
      </c>
      <c r="K3566" s="1">
        <f t="shared" si="1"/>
        <v>2023</v>
      </c>
      <c r="L3566" s="1" t="str">
        <f t="shared" si="2"/>
        <v>Apr</v>
      </c>
      <c r="M3566" s="1" t="str">
        <f t="shared" si="3"/>
        <v>Profit</v>
      </c>
    </row>
    <row r="3567" ht="14.25" customHeight="1">
      <c r="A3567" s="1" t="s">
        <v>3601</v>
      </c>
      <c r="B3567" s="2">
        <v>45199.0</v>
      </c>
      <c r="C3567" s="1" t="s">
        <v>20</v>
      </c>
      <c r="D3567" s="1" t="s">
        <v>21</v>
      </c>
      <c r="E3567" s="1" t="s">
        <v>37</v>
      </c>
      <c r="F3567" s="1">
        <v>313.25</v>
      </c>
      <c r="G3567" s="1">
        <v>145.24</v>
      </c>
      <c r="H3567" s="1">
        <v>5.0</v>
      </c>
      <c r="I3567" s="1" t="s">
        <v>23</v>
      </c>
      <c r="J3567" s="1" t="s">
        <v>18</v>
      </c>
      <c r="K3567" s="1">
        <f t="shared" si="1"/>
        <v>2023</v>
      </c>
      <c r="L3567" s="1" t="str">
        <f t="shared" si="2"/>
        <v>Sep</v>
      </c>
      <c r="M3567" s="1" t="str">
        <f t="shared" si="3"/>
        <v>Profit</v>
      </c>
    </row>
    <row r="3568" ht="14.25" customHeight="1">
      <c r="A3568" s="1" t="s">
        <v>3602</v>
      </c>
      <c r="B3568" s="2">
        <v>44401.0</v>
      </c>
      <c r="C3568" s="1" t="s">
        <v>30</v>
      </c>
      <c r="D3568" s="1" t="s">
        <v>21</v>
      </c>
      <c r="E3568" s="1" t="s">
        <v>37</v>
      </c>
      <c r="F3568" s="1">
        <v>43.71</v>
      </c>
      <c r="G3568" s="1">
        <v>-170.1</v>
      </c>
      <c r="H3568" s="1">
        <v>1.0</v>
      </c>
      <c r="I3568" s="1" t="s">
        <v>34</v>
      </c>
      <c r="J3568" s="1" t="s">
        <v>24</v>
      </c>
      <c r="K3568" s="1">
        <f t="shared" si="1"/>
        <v>2021</v>
      </c>
      <c r="L3568" s="1" t="str">
        <f t="shared" si="2"/>
        <v>Jul</v>
      </c>
      <c r="M3568" s="1" t="str">
        <f t="shared" si="3"/>
        <v>Loss</v>
      </c>
    </row>
    <row r="3569" ht="14.25" customHeight="1">
      <c r="A3569" s="1" t="s">
        <v>3603</v>
      </c>
      <c r="B3569" s="2">
        <v>44205.0</v>
      </c>
      <c r="C3569" s="1" t="s">
        <v>14</v>
      </c>
      <c r="D3569" s="1" t="s">
        <v>21</v>
      </c>
      <c r="E3569" s="1" t="s">
        <v>76</v>
      </c>
      <c r="F3569" s="1">
        <v>946.46</v>
      </c>
      <c r="G3569" s="1">
        <v>-76.44</v>
      </c>
      <c r="H3569" s="1">
        <v>5.0</v>
      </c>
      <c r="I3569" s="1" t="s">
        <v>34</v>
      </c>
      <c r="J3569" s="1" t="s">
        <v>35</v>
      </c>
      <c r="K3569" s="1">
        <f t="shared" si="1"/>
        <v>2021</v>
      </c>
      <c r="L3569" s="1" t="str">
        <f t="shared" si="2"/>
        <v>Jan</v>
      </c>
      <c r="M3569" s="1" t="str">
        <f t="shared" si="3"/>
        <v>Loss</v>
      </c>
    </row>
    <row r="3570" ht="14.25" customHeight="1">
      <c r="A3570" s="1" t="s">
        <v>3604</v>
      </c>
      <c r="B3570" s="2">
        <v>44256.0</v>
      </c>
      <c r="C3570" s="1" t="s">
        <v>20</v>
      </c>
      <c r="D3570" s="1" t="s">
        <v>27</v>
      </c>
      <c r="E3570" s="1" t="s">
        <v>33</v>
      </c>
      <c r="F3570" s="1">
        <v>40.29</v>
      </c>
      <c r="G3570" s="1">
        <v>250.61</v>
      </c>
      <c r="H3570" s="1">
        <v>5.0</v>
      </c>
      <c r="I3570" s="1" t="s">
        <v>23</v>
      </c>
      <c r="J3570" s="1" t="s">
        <v>18</v>
      </c>
      <c r="K3570" s="1">
        <f t="shared" si="1"/>
        <v>2021</v>
      </c>
      <c r="L3570" s="1" t="str">
        <f t="shared" si="2"/>
        <v>Mar</v>
      </c>
      <c r="M3570" s="1" t="str">
        <f t="shared" si="3"/>
        <v>Profit</v>
      </c>
    </row>
    <row r="3571" ht="14.25" customHeight="1">
      <c r="A3571" s="1" t="s">
        <v>3605</v>
      </c>
      <c r="B3571" s="2">
        <v>44864.0</v>
      </c>
      <c r="C3571" s="1" t="s">
        <v>14</v>
      </c>
      <c r="D3571" s="1" t="s">
        <v>15</v>
      </c>
      <c r="E3571" s="1" t="s">
        <v>31</v>
      </c>
      <c r="F3571" s="1">
        <v>595.2</v>
      </c>
      <c r="G3571" s="1">
        <v>125.92</v>
      </c>
      <c r="H3571" s="1">
        <v>9.0</v>
      </c>
      <c r="I3571" s="1" t="s">
        <v>17</v>
      </c>
      <c r="J3571" s="1" t="s">
        <v>35</v>
      </c>
      <c r="K3571" s="1">
        <f t="shared" si="1"/>
        <v>2022</v>
      </c>
      <c r="L3571" s="1" t="str">
        <f t="shared" si="2"/>
        <v>Oct</v>
      </c>
      <c r="M3571" s="1" t="str">
        <f t="shared" si="3"/>
        <v>Profit</v>
      </c>
    </row>
    <row r="3572" ht="14.25" customHeight="1">
      <c r="A3572" s="1" t="s">
        <v>3606</v>
      </c>
      <c r="B3572" s="2">
        <v>44815.0</v>
      </c>
      <c r="C3572" s="1" t="s">
        <v>14</v>
      </c>
      <c r="D3572" s="1" t="s">
        <v>15</v>
      </c>
      <c r="E3572" s="1" t="s">
        <v>54</v>
      </c>
      <c r="F3572" s="1">
        <v>228.48</v>
      </c>
      <c r="G3572" s="1">
        <v>-22.54</v>
      </c>
      <c r="H3572" s="1">
        <v>8.0</v>
      </c>
      <c r="I3572" s="1" t="s">
        <v>34</v>
      </c>
      <c r="J3572" s="1" t="s">
        <v>18</v>
      </c>
      <c r="K3572" s="1">
        <f t="shared" si="1"/>
        <v>2022</v>
      </c>
      <c r="L3572" s="1" t="str">
        <f t="shared" si="2"/>
        <v>Sep</v>
      </c>
      <c r="M3572" s="1" t="str">
        <f t="shared" si="3"/>
        <v>Loss</v>
      </c>
    </row>
    <row r="3573" ht="14.25" customHeight="1">
      <c r="A3573" s="1" t="s">
        <v>3607</v>
      </c>
      <c r="B3573" s="2">
        <v>44934.0</v>
      </c>
      <c r="C3573" s="1" t="s">
        <v>30</v>
      </c>
      <c r="D3573" s="1" t="s">
        <v>21</v>
      </c>
      <c r="E3573" s="1" t="s">
        <v>76</v>
      </c>
      <c r="F3573" s="1">
        <v>269.79</v>
      </c>
      <c r="G3573" s="1">
        <v>169.38</v>
      </c>
      <c r="H3573" s="1">
        <v>1.0</v>
      </c>
      <c r="I3573" s="1" t="s">
        <v>34</v>
      </c>
      <c r="J3573" s="1" t="s">
        <v>24</v>
      </c>
      <c r="K3573" s="1">
        <f t="shared" si="1"/>
        <v>2023</v>
      </c>
      <c r="L3573" s="1" t="str">
        <f t="shared" si="2"/>
        <v>Jan</v>
      </c>
      <c r="M3573" s="1" t="str">
        <f t="shared" si="3"/>
        <v>Profit</v>
      </c>
    </row>
    <row r="3574" ht="14.25" customHeight="1">
      <c r="A3574" s="1" t="s">
        <v>3608</v>
      </c>
      <c r="B3574" s="2">
        <v>45027.0</v>
      </c>
      <c r="C3574" s="1" t="s">
        <v>26</v>
      </c>
      <c r="D3574" s="1" t="s">
        <v>15</v>
      </c>
      <c r="E3574" s="1" t="s">
        <v>16</v>
      </c>
      <c r="F3574" s="1">
        <v>362.12</v>
      </c>
      <c r="G3574" s="1">
        <v>-196.52</v>
      </c>
      <c r="H3574" s="1">
        <v>1.0</v>
      </c>
      <c r="I3574" s="1" t="s">
        <v>17</v>
      </c>
      <c r="J3574" s="1" t="s">
        <v>24</v>
      </c>
      <c r="K3574" s="1">
        <f t="shared" si="1"/>
        <v>2023</v>
      </c>
      <c r="L3574" s="1" t="str">
        <f t="shared" si="2"/>
        <v>Apr</v>
      </c>
      <c r="M3574" s="1" t="str">
        <f t="shared" si="3"/>
        <v>Loss</v>
      </c>
    </row>
    <row r="3575" ht="14.25" customHeight="1">
      <c r="A3575" s="1" t="s">
        <v>3609</v>
      </c>
      <c r="B3575" s="2">
        <v>44750.0</v>
      </c>
      <c r="C3575" s="1" t="s">
        <v>26</v>
      </c>
      <c r="D3575" s="1" t="s">
        <v>21</v>
      </c>
      <c r="E3575" s="1" t="s">
        <v>76</v>
      </c>
      <c r="F3575" s="1">
        <v>263.63</v>
      </c>
      <c r="G3575" s="1">
        <v>-7.23</v>
      </c>
      <c r="H3575" s="1">
        <v>5.0</v>
      </c>
      <c r="I3575" s="1" t="s">
        <v>34</v>
      </c>
      <c r="J3575" s="1" t="s">
        <v>18</v>
      </c>
      <c r="K3575" s="1">
        <f t="shared" si="1"/>
        <v>2022</v>
      </c>
      <c r="L3575" s="1" t="str">
        <f t="shared" si="2"/>
        <v>Jul</v>
      </c>
      <c r="M3575" s="1" t="str">
        <f t="shared" si="3"/>
        <v>Loss</v>
      </c>
    </row>
    <row r="3576" ht="14.25" customHeight="1">
      <c r="A3576" s="1" t="s">
        <v>3610</v>
      </c>
      <c r="B3576" s="2">
        <v>44834.0</v>
      </c>
      <c r="C3576" s="1" t="s">
        <v>20</v>
      </c>
      <c r="D3576" s="1" t="s">
        <v>27</v>
      </c>
      <c r="E3576" s="1" t="s">
        <v>33</v>
      </c>
      <c r="F3576" s="1">
        <v>29.07</v>
      </c>
      <c r="G3576" s="1">
        <v>183.2</v>
      </c>
      <c r="H3576" s="1">
        <v>8.0</v>
      </c>
      <c r="I3576" s="1" t="s">
        <v>17</v>
      </c>
      <c r="J3576" s="1" t="s">
        <v>24</v>
      </c>
      <c r="K3576" s="1">
        <f t="shared" si="1"/>
        <v>2022</v>
      </c>
      <c r="L3576" s="1" t="str">
        <f t="shared" si="2"/>
        <v>Sep</v>
      </c>
      <c r="M3576" s="1" t="str">
        <f t="shared" si="3"/>
        <v>Profit</v>
      </c>
    </row>
    <row r="3577" ht="14.25" customHeight="1">
      <c r="A3577" s="1" t="s">
        <v>3611</v>
      </c>
      <c r="B3577" s="2">
        <v>45182.0</v>
      </c>
      <c r="C3577" s="1" t="s">
        <v>30</v>
      </c>
      <c r="D3577" s="1" t="s">
        <v>15</v>
      </c>
      <c r="E3577" s="1" t="s">
        <v>54</v>
      </c>
      <c r="F3577" s="1">
        <v>237.73</v>
      </c>
      <c r="G3577" s="1">
        <v>222.43</v>
      </c>
      <c r="H3577" s="1">
        <v>2.0</v>
      </c>
      <c r="I3577" s="1" t="s">
        <v>17</v>
      </c>
      <c r="J3577" s="1" t="s">
        <v>18</v>
      </c>
      <c r="K3577" s="1">
        <f t="shared" si="1"/>
        <v>2023</v>
      </c>
      <c r="L3577" s="1" t="str">
        <f t="shared" si="2"/>
        <v>Sep</v>
      </c>
      <c r="M3577" s="1" t="str">
        <f t="shared" si="3"/>
        <v>Profit</v>
      </c>
    </row>
    <row r="3578" ht="14.25" customHeight="1">
      <c r="A3578" s="1" t="s">
        <v>3612</v>
      </c>
      <c r="B3578" s="2">
        <v>44626.0</v>
      </c>
      <c r="C3578" s="1" t="s">
        <v>20</v>
      </c>
      <c r="D3578" s="1" t="s">
        <v>21</v>
      </c>
      <c r="E3578" s="1" t="s">
        <v>76</v>
      </c>
      <c r="F3578" s="1">
        <v>239.33</v>
      </c>
      <c r="G3578" s="1">
        <v>297.81</v>
      </c>
      <c r="H3578" s="1">
        <v>2.0</v>
      </c>
      <c r="I3578" s="1" t="s">
        <v>17</v>
      </c>
      <c r="J3578" s="1" t="s">
        <v>35</v>
      </c>
      <c r="K3578" s="1">
        <f t="shared" si="1"/>
        <v>2022</v>
      </c>
      <c r="L3578" s="1" t="str">
        <f t="shared" si="2"/>
        <v>Mar</v>
      </c>
      <c r="M3578" s="1" t="str">
        <f t="shared" si="3"/>
        <v>Profit</v>
      </c>
    </row>
    <row r="3579" ht="14.25" customHeight="1">
      <c r="A3579" s="1" t="s">
        <v>3613</v>
      </c>
      <c r="B3579" s="2">
        <v>44670.0</v>
      </c>
      <c r="C3579" s="1" t="s">
        <v>26</v>
      </c>
      <c r="D3579" s="1" t="s">
        <v>21</v>
      </c>
      <c r="E3579" s="1" t="s">
        <v>37</v>
      </c>
      <c r="F3579" s="1">
        <v>634.75</v>
      </c>
      <c r="G3579" s="1">
        <v>132.34</v>
      </c>
      <c r="H3579" s="1">
        <v>5.0</v>
      </c>
      <c r="I3579" s="1" t="s">
        <v>23</v>
      </c>
      <c r="J3579" s="1" t="s">
        <v>18</v>
      </c>
      <c r="K3579" s="1">
        <f t="shared" si="1"/>
        <v>2022</v>
      </c>
      <c r="L3579" s="1" t="str">
        <f t="shared" si="2"/>
        <v>Apr</v>
      </c>
      <c r="M3579" s="1" t="str">
        <f t="shared" si="3"/>
        <v>Profit</v>
      </c>
    </row>
    <row r="3580" ht="14.25" customHeight="1">
      <c r="A3580" s="1" t="s">
        <v>3614</v>
      </c>
      <c r="B3580" s="2">
        <v>44902.0</v>
      </c>
      <c r="C3580" s="1" t="s">
        <v>26</v>
      </c>
      <c r="D3580" s="1" t="s">
        <v>27</v>
      </c>
      <c r="E3580" s="1" t="s">
        <v>33</v>
      </c>
      <c r="F3580" s="1">
        <v>491.86</v>
      </c>
      <c r="G3580" s="1">
        <v>126.11</v>
      </c>
      <c r="H3580" s="1">
        <v>10.0</v>
      </c>
      <c r="I3580" s="1" t="s">
        <v>34</v>
      </c>
      <c r="J3580" s="1" t="s">
        <v>18</v>
      </c>
      <c r="K3580" s="1">
        <f t="shared" si="1"/>
        <v>2022</v>
      </c>
      <c r="L3580" s="1" t="str">
        <f t="shared" si="2"/>
        <v>Dec</v>
      </c>
      <c r="M3580" s="1" t="str">
        <f t="shared" si="3"/>
        <v>Profit</v>
      </c>
    </row>
    <row r="3581" ht="14.25" customHeight="1">
      <c r="A3581" s="1" t="s">
        <v>3615</v>
      </c>
      <c r="B3581" s="2">
        <v>45072.0</v>
      </c>
      <c r="C3581" s="1" t="s">
        <v>20</v>
      </c>
      <c r="D3581" s="1" t="s">
        <v>21</v>
      </c>
      <c r="E3581" s="1" t="s">
        <v>37</v>
      </c>
      <c r="F3581" s="1">
        <v>291.91</v>
      </c>
      <c r="G3581" s="1">
        <v>85.21</v>
      </c>
      <c r="H3581" s="1">
        <v>3.0</v>
      </c>
      <c r="I3581" s="1" t="s">
        <v>17</v>
      </c>
      <c r="J3581" s="1" t="s">
        <v>35</v>
      </c>
      <c r="K3581" s="1">
        <f t="shared" si="1"/>
        <v>2023</v>
      </c>
      <c r="L3581" s="1" t="str">
        <f t="shared" si="2"/>
        <v>May</v>
      </c>
      <c r="M3581" s="1" t="str">
        <f t="shared" si="3"/>
        <v>Profit</v>
      </c>
    </row>
    <row r="3582" ht="14.25" customHeight="1">
      <c r="A3582" s="1" t="s">
        <v>3616</v>
      </c>
      <c r="B3582" s="2">
        <v>45099.0</v>
      </c>
      <c r="C3582" s="1" t="s">
        <v>26</v>
      </c>
      <c r="D3582" s="1" t="s">
        <v>27</v>
      </c>
      <c r="E3582" s="1" t="s">
        <v>40</v>
      </c>
      <c r="F3582" s="1">
        <v>777.04</v>
      </c>
      <c r="G3582" s="1">
        <v>-30.1</v>
      </c>
      <c r="H3582" s="1">
        <v>9.0</v>
      </c>
      <c r="I3582" s="1" t="s">
        <v>17</v>
      </c>
      <c r="J3582" s="1" t="s">
        <v>24</v>
      </c>
      <c r="K3582" s="1">
        <f t="shared" si="1"/>
        <v>2023</v>
      </c>
      <c r="L3582" s="1" t="str">
        <f t="shared" si="2"/>
        <v>Jun</v>
      </c>
      <c r="M3582" s="1" t="str">
        <f t="shared" si="3"/>
        <v>Loss</v>
      </c>
    </row>
    <row r="3583" ht="14.25" customHeight="1">
      <c r="A3583" s="1" t="s">
        <v>3617</v>
      </c>
      <c r="B3583" s="2">
        <v>44279.0</v>
      </c>
      <c r="C3583" s="1" t="s">
        <v>20</v>
      </c>
      <c r="D3583" s="1" t="s">
        <v>21</v>
      </c>
      <c r="E3583" s="1" t="s">
        <v>76</v>
      </c>
      <c r="F3583" s="1">
        <v>562.14</v>
      </c>
      <c r="G3583" s="1">
        <v>-28.81</v>
      </c>
      <c r="H3583" s="1">
        <v>7.0</v>
      </c>
      <c r="I3583" s="1" t="s">
        <v>23</v>
      </c>
      <c r="J3583" s="1" t="s">
        <v>38</v>
      </c>
      <c r="K3583" s="1">
        <f t="shared" si="1"/>
        <v>2021</v>
      </c>
      <c r="L3583" s="1" t="str">
        <f t="shared" si="2"/>
        <v>Mar</v>
      </c>
      <c r="M3583" s="1" t="str">
        <f t="shared" si="3"/>
        <v>Loss</v>
      </c>
    </row>
    <row r="3584" ht="14.25" customHeight="1">
      <c r="A3584" s="1" t="s">
        <v>3618</v>
      </c>
      <c r="B3584" s="2">
        <v>44367.0</v>
      </c>
      <c r="C3584" s="1" t="s">
        <v>30</v>
      </c>
      <c r="D3584" s="1" t="s">
        <v>21</v>
      </c>
      <c r="E3584" s="1" t="s">
        <v>76</v>
      </c>
      <c r="F3584" s="1">
        <v>219.93</v>
      </c>
      <c r="G3584" s="1">
        <v>249.52</v>
      </c>
      <c r="H3584" s="1">
        <v>4.0</v>
      </c>
      <c r="I3584" s="1" t="s">
        <v>34</v>
      </c>
      <c r="J3584" s="1" t="s">
        <v>24</v>
      </c>
      <c r="K3584" s="1">
        <f t="shared" si="1"/>
        <v>2021</v>
      </c>
      <c r="L3584" s="1" t="str">
        <f t="shared" si="2"/>
        <v>Jun</v>
      </c>
      <c r="M3584" s="1" t="str">
        <f t="shared" si="3"/>
        <v>Profit</v>
      </c>
    </row>
    <row r="3585" ht="14.25" customHeight="1">
      <c r="A3585" s="1" t="s">
        <v>3619</v>
      </c>
      <c r="B3585" s="2">
        <v>44489.0</v>
      </c>
      <c r="C3585" s="1" t="s">
        <v>20</v>
      </c>
      <c r="D3585" s="1" t="s">
        <v>15</v>
      </c>
      <c r="E3585" s="1" t="s">
        <v>31</v>
      </c>
      <c r="F3585" s="1">
        <v>109.4</v>
      </c>
      <c r="G3585" s="1">
        <v>222.62</v>
      </c>
      <c r="H3585" s="1">
        <v>10.0</v>
      </c>
      <c r="I3585" s="1" t="s">
        <v>34</v>
      </c>
      <c r="J3585" s="1" t="s">
        <v>35</v>
      </c>
      <c r="K3585" s="1">
        <f t="shared" si="1"/>
        <v>2021</v>
      </c>
      <c r="L3585" s="1" t="str">
        <f t="shared" si="2"/>
        <v>Oct</v>
      </c>
      <c r="M3585" s="1" t="str">
        <f t="shared" si="3"/>
        <v>Profit</v>
      </c>
    </row>
    <row r="3586" ht="14.25" customHeight="1">
      <c r="A3586" s="1" t="s">
        <v>3620</v>
      </c>
      <c r="B3586" s="2">
        <v>44855.0</v>
      </c>
      <c r="C3586" s="1" t="s">
        <v>20</v>
      </c>
      <c r="D3586" s="1" t="s">
        <v>21</v>
      </c>
      <c r="E3586" s="1" t="s">
        <v>76</v>
      </c>
      <c r="F3586" s="1">
        <v>354.37</v>
      </c>
      <c r="G3586" s="1">
        <v>243.91</v>
      </c>
      <c r="H3586" s="1">
        <v>1.0</v>
      </c>
      <c r="I3586" s="1" t="s">
        <v>17</v>
      </c>
      <c r="J3586" s="1" t="s">
        <v>35</v>
      </c>
      <c r="K3586" s="1">
        <f t="shared" si="1"/>
        <v>2022</v>
      </c>
      <c r="L3586" s="1" t="str">
        <f t="shared" si="2"/>
        <v>Oct</v>
      </c>
      <c r="M3586" s="1" t="str">
        <f t="shared" si="3"/>
        <v>Profit</v>
      </c>
    </row>
    <row r="3587" ht="14.25" customHeight="1">
      <c r="A3587" s="1" t="s">
        <v>3621</v>
      </c>
      <c r="B3587" s="2">
        <v>44617.0</v>
      </c>
      <c r="C3587" s="1" t="s">
        <v>30</v>
      </c>
      <c r="D3587" s="1" t="s">
        <v>27</v>
      </c>
      <c r="E3587" s="1" t="s">
        <v>40</v>
      </c>
      <c r="F3587" s="1">
        <v>889.56</v>
      </c>
      <c r="G3587" s="1">
        <v>-0.36</v>
      </c>
      <c r="H3587" s="1">
        <v>10.0</v>
      </c>
      <c r="I3587" s="1" t="s">
        <v>23</v>
      </c>
      <c r="J3587" s="1" t="s">
        <v>24</v>
      </c>
      <c r="K3587" s="1">
        <f t="shared" si="1"/>
        <v>2022</v>
      </c>
      <c r="L3587" s="1" t="str">
        <f t="shared" si="2"/>
        <v>Feb</v>
      </c>
      <c r="M3587" s="1" t="str">
        <f t="shared" si="3"/>
        <v>Loss</v>
      </c>
    </row>
    <row r="3588" ht="14.25" customHeight="1">
      <c r="A3588" s="1" t="s">
        <v>3622</v>
      </c>
      <c r="B3588" s="2">
        <v>44813.0</v>
      </c>
      <c r="C3588" s="1" t="s">
        <v>30</v>
      </c>
      <c r="D3588" s="1" t="s">
        <v>21</v>
      </c>
      <c r="E3588" s="1" t="s">
        <v>22</v>
      </c>
      <c r="F3588" s="1">
        <v>514.72</v>
      </c>
      <c r="G3588" s="1">
        <v>233.38</v>
      </c>
      <c r="H3588" s="1">
        <v>8.0</v>
      </c>
      <c r="I3588" s="1" t="s">
        <v>23</v>
      </c>
      <c r="J3588" s="1" t="s">
        <v>35</v>
      </c>
      <c r="K3588" s="1">
        <f t="shared" si="1"/>
        <v>2022</v>
      </c>
      <c r="L3588" s="1" t="str">
        <f t="shared" si="2"/>
        <v>Sep</v>
      </c>
      <c r="M3588" s="1" t="str">
        <f t="shared" si="3"/>
        <v>Profit</v>
      </c>
    </row>
    <row r="3589" ht="14.25" customHeight="1">
      <c r="A3589" s="1" t="s">
        <v>3623</v>
      </c>
      <c r="B3589" s="2">
        <v>44550.0</v>
      </c>
      <c r="C3589" s="1" t="s">
        <v>26</v>
      </c>
      <c r="D3589" s="1" t="s">
        <v>27</v>
      </c>
      <c r="E3589" s="1" t="s">
        <v>40</v>
      </c>
      <c r="F3589" s="1">
        <v>377.77</v>
      </c>
      <c r="G3589" s="1">
        <v>245.76</v>
      </c>
      <c r="H3589" s="1">
        <v>10.0</v>
      </c>
      <c r="I3589" s="1" t="s">
        <v>17</v>
      </c>
      <c r="J3589" s="1" t="s">
        <v>24</v>
      </c>
      <c r="K3589" s="1">
        <f t="shared" si="1"/>
        <v>2021</v>
      </c>
      <c r="L3589" s="1" t="str">
        <f t="shared" si="2"/>
        <v>Dec</v>
      </c>
      <c r="M3589" s="1" t="str">
        <f t="shared" si="3"/>
        <v>Profit</v>
      </c>
    </row>
    <row r="3590" ht="14.25" customHeight="1">
      <c r="A3590" s="1" t="s">
        <v>3624</v>
      </c>
      <c r="B3590" s="2">
        <v>45238.0</v>
      </c>
      <c r="C3590" s="1" t="s">
        <v>26</v>
      </c>
      <c r="D3590" s="1" t="s">
        <v>21</v>
      </c>
      <c r="E3590" s="1" t="s">
        <v>22</v>
      </c>
      <c r="F3590" s="1">
        <v>46.35</v>
      </c>
      <c r="G3590" s="1">
        <v>210.05</v>
      </c>
      <c r="H3590" s="1">
        <v>1.0</v>
      </c>
      <c r="I3590" s="1" t="s">
        <v>34</v>
      </c>
      <c r="J3590" s="1" t="s">
        <v>38</v>
      </c>
      <c r="K3590" s="1">
        <f t="shared" si="1"/>
        <v>2023</v>
      </c>
      <c r="L3590" s="1" t="str">
        <f t="shared" si="2"/>
        <v>Nov</v>
      </c>
      <c r="M3590" s="1" t="str">
        <f t="shared" si="3"/>
        <v>Profit</v>
      </c>
    </row>
    <row r="3591" ht="14.25" customHeight="1">
      <c r="A3591" s="1" t="s">
        <v>3625</v>
      </c>
      <c r="B3591" s="2">
        <v>44645.0</v>
      </c>
      <c r="C3591" s="1" t="s">
        <v>30</v>
      </c>
      <c r="D3591" s="1" t="s">
        <v>21</v>
      </c>
      <c r="E3591" s="1" t="s">
        <v>76</v>
      </c>
      <c r="F3591" s="1">
        <v>176.54</v>
      </c>
      <c r="G3591" s="1">
        <v>225.39</v>
      </c>
      <c r="H3591" s="1">
        <v>9.0</v>
      </c>
      <c r="I3591" s="1" t="s">
        <v>23</v>
      </c>
      <c r="J3591" s="1" t="s">
        <v>38</v>
      </c>
      <c r="K3591" s="1">
        <f t="shared" si="1"/>
        <v>2022</v>
      </c>
      <c r="L3591" s="1" t="str">
        <f t="shared" si="2"/>
        <v>Mar</v>
      </c>
      <c r="M3591" s="1" t="str">
        <f t="shared" si="3"/>
        <v>Profit</v>
      </c>
    </row>
    <row r="3592" ht="14.25" customHeight="1">
      <c r="A3592" s="1" t="s">
        <v>3626</v>
      </c>
      <c r="B3592" s="2">
        <v>44916.0</v>
      </c>
      <c r="C3592" s="1" t="s">
        <v>14</v>
      </c>
      <c r="D3592" s="1" t="s">
        <v>27</v>
      </c>
      <c r="E3592" s="1" t="s">
        <v>40</v>
      </c>
      <c r="F3592" s="1">
        <v>345.83</v>
      </c>
      <c r="G3592" s="1">
        <v>275.1</v>
      </c>
      <c r="H3592" s="1">
        <v>5.0</v>
      </c>
      <c r="I3592" s="1" t="s">
        <v>23</v>
      </c>
      <c r="J3592" s="1" t="s">
        <v>35</v>
      </c>
      <c r="K3592" s="1">
        <f t="shared" si="1"/>
        <v>2022</v>
      </c>
      <c r="L3592" s="1" t="str">
        <f t="shared" si="2"/>
        <v>Dec</v>
      </c>
      <c r="M3592" s="1" t="str">
        <f t="shared" si="3"/>
        <v>Profit</v>
      </c>
    </row>
    <row r="3593" ht="14.25" customHeight="1">
      <c r="A3593" s="1" t="s">
        <v>3627</v>
      </c>
      <c r="B3593" s="2">
        <v>44294.0</v>
      </c>
      <c r="C3593" s="1" t="s">
        <v>14</v>
      </c>
      <c r="D3593" s="1" t="s">
        <v>27</v>
      </c>
      <c r="E3593" s="1" t="s">
        <v>33</v>
      </c>
      <c r="F3593" s="1">
        <v>496.12</v>
      </c>
      <c r="G3593" s="1">
        <v>106.79</v>
      </c>
      <c r="H3593" s="1">
        <v>7.0</v>
      </c>
      <c r="I3593" s="1" t="s">
        <v>17</v>
      </c>
      <c r="J3593" s="1" t="s">
        <v>24</v>
      </c>
      <c r="K3593" s="1">
        <f t="shared" si="1"/>
        <v>2021</v>
      </c>
      <c r="L3593" s="1" t="str">
        <f t="shared" si="2"/>
        <v>Apr</v>
      </c>
      <c r="M3593" s="1" t="str">
        <f t="shared" si="3"/>
        <v>Profit</v>
      </c>
    </row>
    <row r="3594" ht="14.25" customHeight="1">
      <c r="A3594" s="1" t="s">
        <v>3628</v>
      </c>
      <c r="B3594" s="2">
        <v>45051.0</v>
      </c>
      <c r="C3594" s="1" t="s">
        <v>26</v>
      </c>
      <c r="D3594" s="1" t="s">
        <v>15</v>
      </c>
      <c r="E3594" s="1" t="s">
        <v>16</v>
      </c>
      <c r="F3594" s="1">
        <v>305.46</v>
      </c>
      <c r="G3594" s="1">
        <v>144.58</v>
      </c>
      <c r="H3594" s="1">
        <v>6.0</v>
      </c>
      <c r="I3594" s="1" t="s">
        <v>17</v>
      </c>
      <c r="J3594" s="1" t="s">
        <v>18</v>
      </c>
      <c r="K3594" s="1">
        <f t="shared" si="1"/>
        <v>2023</v>
      </c>
      <c r="L3594" s="1" t="str">
        <f t="shared" si="2"/>
        <v>May</v>
      </c>
      <c r="M3594" s="1" t="str">
        <f t="shared" si="3"/>
        <v>Profit</v>
      </c>
    </row>
    <row r="3595" ht="14.25" customHeight="1">
      <c r="A3595" s="1" t="s">
        <v>3629</v>
      </c>
      <c r="B3595" s="2">
        <v>44559.0</v>
      </c>
      <c r="C3595" s="1" t="s">
        <v>20</v>
      </c>
      <c r="D3595" s="1" t="s">
        <v>15</v>
      </c>
      <c r="E3595" s="1" t="s">
        <v>16</v>
      </c>
      <c r="F3595" s="1">
        <v>937.95</v>
      </c>
      <c r="G3595" s="1">
        <v>181.96</v>
      </c>
      <c r="H3595" s="1">
        <v>3.0</v>
      </c>
      <c r="I3595" s="1" t="s">
        <v>17</v>
      </c>
      <c r="J3595" s="1" t="s">
        <v>18</v>
      </c>
      <c r="K3595" s="1">
        <f t="shared" si="1"/>
        <v>2021</v>
      </c>
      <c r="L3595" s="1" t="str">
        <f t="shared" si="2"/>
        <v>Dec</v>
      </c>
      <c r="M3595" s="1" t="str">
        <f t="shared" si="3"/>
        <v>Profit</v>
      </c>
    </row>
    <row r="3596" ht="14.25" customHeight="1">
      <c r="A3596" s="1" t="s">
        <v>3630</v>
      </c>
      <c r="B3596" s="2">
        <v>45234.0</v>
      </c>
      <c r="C3596" s="1" t="s">
        <v>20</v>
      </c>
      <c r="D3596" s="1" t="s">
        <v>15</v>
      </c>
      <c r="E3596" s="1" t="s">
        <v>31</v>
      </c>
      <c r="F3596" s="1">
        <v>473.44</v>
      </c>
      <c r="G3596" s="1">
        <v>50.02</v>
      </c>
      <c r="H3596" s="1">
        <v>1.0</v>
      </c>
      <c r="I3596" s="1" t="s">
        <v>17</v>
      </c>
      <c r="J3596" s="1" t="s">
        <v>38</v>
      </c>
      <c r="K3596" s="1">
        <f t="shared" si="1"/>
        <v>2023</v>
      </c>
      <c r="L3596" s="1" t="str">
        <f t="shared" si="2"/>
        <v>Nov</v>
      </c>
      <c r="M3596" s="1" t="str">
        <f t="shared" si="3"/>
        <v>Profit</v>
      </c>
    </row>
    <row r="3597" ht="14.25" customHeight="1">
      <c r="A3597" s="1" t="s">
        <v>3631</v>
      </c>
      <c r="B3597" s="2">
        <v>44911.0</v>
      </c>
      <c r="C3597" s="1" t="s">
        <v>30</v>
      </c>
      <c r="D3597" s="1" t="s">
        <v>21</v>
      </c>
      <c r="E3597" s="1" t="s">
        <v>37</v>
      </c>
      <c r="F3597" s="1">
        <v>901.18</v>
      </c>
      <c r="G3597" s="1">
        <v>-124.05</v>
      </c>
      <c r="H3597" s="1">
        <v>10.0</v>
      </c>
      <c r="I3597" s="1" t="s">
        <v>17</v>
      </c>
      <c r="J3597" s="1" t="s">
        <v>18</v>
      </c>
      <c r="K3597" s="1">
        <f t="shared" si="1"/>
        <v>2022</v>
      </c>
      <c r="L3597" s="1" t="str">
        <f t="shared" si="2"/>
        <v>Dec</v>
      </c>
      <c r="M3597" s="1" t="str">
        <f t="shared" si="3"/>
        <v>Loss</v>
      </c>
    </row>
    <row r="3598" ht="14.25" customHeight="1">
      <c r="A3598" s="1" t="s">
        <v>3632</v>
      </c>
      <c r="B3598" s="2">
        <v>45150.0</v>
      </c>
      <c r="C3598" s="1" t="s">
        <v>26</v>
      </c>
      <c r="D3598" s="1" t="s">
        <v>27</v>
      </c>
      <c r="E3598" s="1" t="s">
        <v>33</v>
      </c>
      <c r="F3598" s="1">
        <v>400.36</v>
      </c>
      <c r="G3598" s="1">
        <v>122.94</v>
      </c>
      <c r="H3598" s="1">
        <v>8.0</v>
      </c>
      <c r="I3598" s="1" t="s">
        <v>17</v>
      </c>
      <c r="J3598" s="1" t="s">
        <v>18</v>
      </c>
      <c r="K3598" s="1">
        <f t="shared" si="1"/>
        <v>2023</v>
      </c>
      <c r="L3598" s="1" t="str">
        <f t="shared" si="2"/>
        <v>Aug</v>
      </c>
      <c r="M3598" s="1" t="str">
        <f t="shared" si="3"/>
        <v>Profit</v>
      </c>
    </row>
    <row r="3599" ht="14.25" customHeight="1">
      <c r="A3599" s="1" t="s">
        <v>3633</v>
      </c>
      <c r="B3599" s="2">
        <v>45239.0</v>
      </c>
      <c r="C3599" s="1" t="s">
        <v>14</v>
      </c>
      <c r="D3599" s="1" t="s">
        <v>27</v>
      </c>
      <c r="E3599" s="1" t="s">
        <v>40</v>
      </c>
      <c r="F3599" s="1">
        <v>505.91</v>
      </c>
      <c r="G3599" s="1">
        <v>189.66</v>
      </c>
      <c r="H3599" s="1">
        <v>8.0</v>
      </c>
      <c r="I3599" s="1" t="s">
        <v>17</v>
      </c>
      <c r="J3599" s="1" t="s">
        <v>24</v>
      </c>
      <c r="K3599" s="1">
        <f t="shared" si="1"/>
        <v>2023</v>
      </c>
      <c r="L3599" s="1" t="str">
        <f t="shared" si="2"/>
        <v>Nov</v>
      </c>
      <c r="M3599" s="1" t="str">
        <f t="shared" si="3"/>
        <v>Profit</v>
      </c>
    </row>
    <row r="3600" ht="14.25" customHeight="1">
      <c r="A3600" s="1" t="s">
        <v>3634</v>
      </c>
      <c r="B3600" s="2">
        <v>44850.0</v>
      </c>
      <c r="C3600" s="1" t="s">
        <v>14</v>
      </c>
      <c r="D3600" s="1" t="s">
        <v>27</v>
      </c>
      <c r="E3600" s="1" t="s">
        <v>33</v>
      </c>
      <c r="F3600" s="1">
        <v>869.49</v>
      </c>
      <c r="G3600" s="1">
        <v>212.15</v>
      </c>
      <c r="H3600" s="1">
        <v>5.0</v>
      </c>
      <c r="I3600" s="1" t="s">
        <v>23</v>
      </c>
      <c r="J3600" s="1" t="s">
        <v>24</v>
      </c>
      <c r="K3600" s="1">
        <f t="shared" si="1"/>
        <v>2022</v>
      </c>
      <c r="L3600" s="1" t="str">
        <f t="shared" si="2"/>
        <v>Oct</v>
      </c>
      <c r="M3600" s="1" t="str">
        <f t="shared" si="3"/>
        <v>Profit</v>
      </c>
    </row>
    <row r="3601" ht="14.25" customHeight="1">
      <c r="A3601" s="1" t="s">
        <v>3635</v>
      </c>
      <c r="B3601" s="2">
        <v>44727.0</v>
      </c>
      <c r="C3601" s="1" t="s">
        <v>14</v>
      </c>
      <c r="D3601" s="1" t="s">
        <v>21</v>
      </c>
      <c r="E3601" s="1" t="s">
        <v>37</v>
      </c>
      <c r="F3601" s="1">
        <v>331.06</v>
      </c>
      <c r="G3601" s="1">
        <v>-135.76</v>
      </c>
      <c r="H3601" s="1">
        <v>4.0</v>
      </c>
      <c r="I3601" s="1" t="s">
        <v>34</v>
      </c>
      <c r="J3601" s="1" t="s">
        <v>35</v>
      </c>
      <c r="K3601" s="1">
        <f t="shared" si="1"/>
        <v>2022</v>
      </c>
      <c r="L3601" s="1" t="str">
        <f t="shared" si="2"/>
        <v>Jun</v>
      </c>
      <c r="M3601" s="1" t="str">
        <f t="shared" si="3"/>
        <v>Loss</v>
      </c>
    </row>
    <row r="3602" ht="14.25" customHeight="1">
      <c r="A3602" s="1" t="s">
        <v>3636</v>
      </c>
      <c r="B3602" s="2">
        <v>44845.0</v>
      </c>
      <c r="C3602" s="1" t="s">
        <v>30</v>
      </c>
      <c r="D3602" s="1" t="s">
        <v>27</v>
      </c>
      <c r="E3602" s="1" t="s">
        <v>40</v>
      </c>
      <c r="F3602" s="1">
        <v>89.99</v>
      </c>
      <c r="G3602" s="1">
        <v>257.08</v>
      </c>
      <c r="H3602" s="1">
        <v>1.0</v>
      </c>
      <c r="I3602" s="1" t="s">
        <v>17</v>
      </c>
      <c r="J3602" s="1" t="s">
        <v>35</v>
      </c>
      <c r="K3602" s="1">
        <f t="shared" si="1"/>
        <v>2022</v>
      </c>
      <c r="L3602" s="1" t="str">
        <f t="shared" si="2"/>
        <v>Oct</v>
      </c>
      <c r="M3602" s="1" t="str">
        <f t="shared" si="3"/>
        <v>Profit</v>
      </c>
    </row>
    <row r="3603" ht="14.25" customHeight="1">
      <c r="A3603" s="1" t="s">
        <v>3637</v>
      </c>
      <c r="B3603" s="2">
        <v>45183.0</v>
      </c>
      <c r="C3603" s="1" t="s">
        <v>30</v>
      </c>
      <c r="D3603" s="1" t="s">
        <v>21</v>
      </c>
      <c r="E3603" s="1" t="s">
        <v>76</v>
      </c>
      <c r="F3603" s="1">
        <v>128.77</v>
      </c>
      <c r="G3603" s="1">
        <v>243.52</v>
      </c>
      <c r="H3603" s="1">
        <v>3.0</v>
      </c>
      <c r="I3603" s="1" t="s">
        <v>23</v>
      </c>
      <c r="J3603" s="1" t="s">
        <v>24</v>
      </c>
      <c r="K3603" s="1">
        <f t="shared" si="1"/>
        <v>2023</v>
      </c>
      <c r="L3603" s="1" t="str">
        <f t="shared" si="2"/>
        <v>Sep</v>
      </c>
      <c r="M3603" s="1" t="str">
        <f t="shared" si="3"/>
        <v>Profit</v>
      </c>
    </row>
    <row r="3604" ht="14.25" customHeight="1">
      <c r="A3604" s="1" t="s">
        <v>3638</v>
      </c>
      <c r="B3604" s="2">
        <v>44598.0</v>
      </c>
      <c r="C3604" s="1" t="s">
        <v>14</v>
      </c>
      <c r="D3604" s="1" t="s">
        <v>27</v>
      </c>
      <c r="E3604" s="1" t="s">
        <v>33</v>
      </c>
      <c r="F3604" s="1">
        <v>621.87</v>
      </c>
      <c r="G3604" s="1">
        <v>173.68</v>
      </c>
      <c r="H3604" s="1">
        <v>5.0</v>
      </c>
      <c r="I3604" s="1" t="s">
        <v>23</v>
      </c>
      <c r="J3604" s="1" t="s">
        <v>24</v>
      </c>
      <c r="K3604" s="1">
        <f t="shared" si="1"/>
        <v>2022</v>
      </c>
      <c r="L3604" s="1" t="str">
        <f t="shared" si="2"/>
        <v>Feb</v>
      </c>
      <c r="M3604" s="1" t="str">
        <f t="shared" si="3"/>
        <v>Profit</v>
      </c>
    </row>
    <row r="3605" ht="14.25" customHeight="1">
      <c r="A3605" s="1" t="s">
        <v>3639</v>
      </c>
      <c r="B3605" s="2">
        <v>45145.0</v>
      </c>
      <c r="C3605" s="1" t="s">
        <v>14</v>
      </c>
      <c r="D3605" s="1" t="s">
        <v>27</v>
      </c>
      <c r="E3605" s="1" t="s">
        <v>28</v>
      </c>
      <c r="F3605" s="1">
        <v>543.02</v>
      </c>
      <c r="G3605" s="1">
        <v>73.66</v>
      </c>
      <c r="H3605" s="1">
        <v>3.0</v>
      </c>
      <c r="I3605" s="1" t="s">
        <v>34</v>
      </c>
      <c r="J3605" s="1" t="s">
        <v>38</v>
      </c>
      <c r="K3605" s="1">
        <f t="shared" si="1"/>
        <v>2023</v>
      </c>
      <c r="L3605" s="1" t="str">
        <f t="shared" si="2"/>
        <v>Aug</v>
      </c>
      <c r="M3605" s="1" t="str">
        <f t="shared" si="3"/>
        <v>Profit</v>
      </c>
    </row>
    <row r="3606" ht="14.25" customHeight="1">
      <c r="A3606" s="1" t="s">
        <v>3640</v>
      </c>
      <c r="B3606" s="2">
        <v>44829.0</v>
      </c>
      <c r="C3606" s="1" t="s">
        <v>14</v>
      </c>
      <c r="D3606" s="1" t="s">
        <v>21</v>
      </c>
      <c r="E3606" s="1" t="s">
        <v>37</v>
      </c>
      <c r="F3606" s="1">
        <v>440.48</v>
      </c>
      <c r="G3606" s="1">
        <v>79.48</v>
      </c>
      <c r="H3606" s="1">
        <v>10.0</v>
      </c>
      <c r="I3606" s="1" t="s">
        <v>34</v>
      </c>
      <c r="J3606" s="1" t="s">
        <v>35</v>
      </c>
      <c r="K3606" s="1">
        <f t="shared" si="1"/>
        <v>2022</v>
      </c>
      <c r="L3606" s="1" t="str">
        <f t="shared" si="2"/>
        <v>Sep</v>
      </c>
      <c r="M3606" s="1" t="str">
        <f t="shared" si="3"/>
        <v>Profit</v>
      </c>
    </row>
    <row r="3607" ht="14.25" customHeight="1">
      <c r="A3607" s="1" t="s">
        <v>3641</v>
      </c>
      <c r="B3607" s="2">
        <v>44442.0</v>
      </c>
      <c r="C3607" s="1" t="s">
        <v>26</v>
      </c>
      <c r="D3607" s="1" t="s">
        <v>15</v>
      </c>
      <c r="E3607" s="1" t="s">
        <v>31</v>
      </c>
      <c r="F3607" s="1">
        <v>676.96</v>
      </c>
      <c r="G3607" s="1">
        <v>128.18</v>
      </c>
      <c r="H3607" s="1">
        <v>4.0</v>
      </c>
      <c r="I3607" s="1" t="s">
        <v>23</v>
      </c>
      <c r="J3607" s="1" t="s">
        <v>35</v>
      </c>
      <c r="K3607" s="1">
        <f t="shared" si="1"/>
        <v>2021</v>
      </c>
      <c r="L3607" s="1" t="str">
        <f t="shared" si="2"/>
        <v>Sep</v>
      </c>
      <c r="M3607" s="1" t="str">
        <f t="shared" si="3"/>
        <v>Profit</v>
      </c>
    </row>
    <row r="3608" ht="14.25" customHeight="1">
      <c r="A3608" s="1" t="s">
        <v>3642</v>
      </c>
      <c r="B3608" s="2">
        <v>44273.0</v>
      </c>
      <c r="C3608" s="1" t="s">
        <v>20</v>
      </c>
      <c r="D3608" s="1" t="s">
        <v>15</v>
      </c>
      <c r="E3608" s="1" t="s">
        <v>54</v>
      </c>
      <c r="F3608" s="1">
        <v>516.83</v>
      </c>
      <c r="G3608" s="1">
        <v>37.88</v>
      </c>
      <c r="H3608" s="1">
        <v>2.0</v>
      </c>
      <c r="I3608" s="1" t="s">
        <v>34</v>
      </c>
      <c r="J3608" s="1" t="s">
        <v>18</v>
      </c>
      <c r="K3608" s="1">
        <f t="shared" si="1"/>
        <v>2021</v>
      </c>
      <c r="L3608" s="1" t="str">
        <f t="shared" si="2"/>
        <v>Mar</v>
      </c>
      <c r="M3608" s="1" t="str">
        <f t="shared" si="3"/>
        <v>Profit</v>
      </c>
    </row>
    <row r="3609" ht="14.25" customHeight="1">
      <c r="A3609" s="1" t="s">
        <v>3643</v>
      </c>
      <c r="B3609" s="2">
        <v>44310.0</v>
      </c>
      <c r="C3609" s="1" t="s">
        <v>30</v>
      </c>
      <c r="D3609" s="1" t="s">
        <v>27</v>
      </c>
      <c r="E3609" s="1" t="s">
        <v>28</v>
      </c>
      <c r="F3609" s="1">
        <v>963.94</v>
      </c>
      <c r="G3609" s="1">
        <v>255.71</v>
      </c>
      <c r="H3609" s="1">
        <v>3.0</v>
      </c>
      <c r="I3609" s="1" t="s">
        <v>23</v>
      </c>
      <c r="J3609" s="1" t="s">
        <v>35</v>
      </c>
      <c r="K3609" s="1">
        <f t="shared" si="1"/>
        <v>2021</v>
      </c>
      <c r="L3609" s="1" t="str">
        <f t="shared" si="2"/>
        <v>Apr</v>
      </c>
      <c r="M3609" s="1" t="str">
        <f t="shared" si="3"/>
        <v>Profit</v>
      </c>
    </row>
    <row r="3610" ht="14.25" customHeight="1">
      <c r="A3610" s="1" t="s">
        <v>3644</v>
      </c>
      <c r="B3610" s="2">
        <v>44623.0</v>
      </c>
      <c r="C3610" s="1" t="s">
        <v>14</v>
      </c>
      <c r="D3610" s="1" t="s">
        <v>27</v>
      </c>
      <c r="E3610" s="1" t="s">
        <v>40</v>
      </c>
      <c r="F3610" s="1">
        <v>381.1</v>
      </c>
      <c r="G3610" s="1">
        <v>-108.19</v>
      </c>
      <c r="H3610" s="1">
        <v>7.0</v>
      </c>
      <c r="I3610" s="1" t="s">
        <v>17</v>
      </c>
      <c r="J3610" s="1" t="s">
        <v>38</v>
      </c>
      <c r="K3610" s="1">
        <f t="shared" si="1"/>
        <v>2022</v>
      </c>
      <c r="L3610" s="1" t="str">
        <f t="shared" si="2"/>
        <v>Mar</v>
      </c>
      <c r="M3610" s="1" t="str">
        <f t="shared" si="3"/>
        <v>Loss</v>
      </c>
    </row>
    <row r="3611" ht="14.25" customHeight="1">
      <c r="A3611" s="1" t="s">
        <v>3645</v>
      </c>
      <c r="B3611" s="2">
        <v>44408.0</v>
      </c>
      <c r="C3611" s="1" t="s">
        <v>20</v>
      </c>
      <c r="D3611" s="1" t="s">
        <v>15</v>
      </c>
      <c r="E3611" s="1" t="s">
        <v>16</v>
      </c>
      <c r="F3611" s="1">
        <v>336.08</v>
      </c>
      <c r="G3611" s="1">
        <v>149.33</v>
      </c>
      <c r="H3611" s="1">
        <v>5.0</v>
      </c>
      <c r="I3611" s="1" t="s">
        <v>23</v>
      </c>
      <c r="J3611" s="1" t="s">
        <v>18</v>
      </c>
      <c r="K3611" s="1">
        <f t="shared" si="1"/>
        <v>2021</v>
      </c>
      <c r="L3611" s="1" t="str">
        <f t="shared" si="2"/>
        <v>Jul</v>
      </c>
      <c r="M3611" s="1" t="str">
        <f t="shared" si="3"/>
        <v>Profit</v>
      </c>
    </row>
    <row r="3612" ht="14.25" customHeight="1">
      <c r="A3612" s="1" t="s">
        <v>3646</v>
      </c>
      <c r="B3612" s="2">
        <v>44287.0</v>
      </c>
      <c r="C3612" s="1" t="s">
        <v>20</v>
      </c>
      <c r="D3612" s="1" t="s">
        <v>21</v>
      </c>
      <c r="E3612" s="1" t="s">
        <v>37</v>
      </c>
      <c r="F3612" s="1">
        <v>646.67</v>
      </c>
      <c r="G3612" s="1">
        <v>-66.15</v>
      </c>
      <c r="H3612" s="1">
        <v>2.0</v>
      </c>
      <c r="I3612" s="1" t="s">
        <v>23</v>
      </c>
      <c r="J3612" s="1" t="s">
        <v>35</v>
      </c>
      <c r="K3612" s="1">
        <f t="shared" si="1"/>
        <v>2021</v>
      </c>
      <c r="L3612" s="1" t="str">
        <f t="shared" si="2"/>
        <v>Apr</v>
      </c>
      <c r="M3612" s="1" t="str">
        <f t="shared" si="3"/>
        <v>Loss</v>
      </c>
    </row>
    <row r="3613" ht="14.25" customHeight="1">
      <c r="A3613" s="1" t="s">
        <v>3647</v>
      </c>
      <c r="B3613" s="2">
        <v>44847.0</v>
      </c>
      <c r="C3613" s="1" t="s">
        <v>20</v>
      </c>
      <c r="D3613" s="1" t="s">
        <v>27</v>
      </c>
      <c r="E3613" s="1" t="s">
        <v>28</v>
      </c>
      <c r="F3613" s="1">
        <v>781.84</v>
      </c>
      <c r="G3613" s="1">
        <v>144.98</v>
      </c>
      <c r="H3613" s="1">
        <v>5.0</v>
      </c>
      <c r="I3613" s="1" t="s">
        <v>17</v>
      </c>
      <c r="J3613" s="1" t="s">
        <v>35</v>
      </c>
      <c r="K3613" s="1">
        <f t="shared" si="1"/>
        <v>2022</v>
      </c>
      <c r="L3613" s="1" t="str">
        <f t="shared" si="2"/>
        <v>Oct</v>
      </c>
      <c r="M3613" s="1" t="str">
        <f t="shared" si="3"/>
        <v>Profit</v>
      </c>
    </row>
    <row r="3614" ht="14.25" customHeight="1">
      <c r="A3614" s="1" t="s">
        <v>3648</v>
      </c>
      <c r="B3614" s="2">
        <v>44596.0</v>
      </c>
      <c r="C3614" s="1" t="s">
        <v>20</v>
      </c>
      <c r="D3614" s="1" t="s">
        <v>15</v>
      </c>
      <c r="E3614" s="1" t="s">
        <v>31</v>
      </c>
      <c r="F3614" s="1">
        <v>990.34</v>
      </c>
      <c r="G3614" s="1">
        <v>280.72</v>
      </c>
      <c r="H3614" s="1">
        <v>4.0</v>
      </c>
      <c r="I3614" s="1" t="s">
        <v>17</v>
      </c>
      <c r="J3614" s="1" t="s">
        <v>24</v>
      </c>
      <c r="K3614" s="1">
        <f t="shared" si="1"/>
        <v>2022</v>
      </c>
      <c r="L3614" s="1" t="str">
        <f t="shared" si="2"/>
        <v>Feb</v>
      </c>
      <c r="M3614" s="1" t="str">
        <f t="shared" si="3"/>
        <v>Profit</v>
      </c>
    </row>
    <row r="3615" ht="14.25" customHeight="1">
      <c r="A3615" s="1" t="s">
        <v>3649</v>
      </c>
      <c r="B3615" s="2">
        <v>45052.0</v>
      </c>
      <c r="C3615" s="1" t="s">
        <v>20</v>
      </c>
      <c r="D3615" s="1" t="s">
        <v>15</v>
      </c>
      <c r="E3615" s="1" t="s">
        <v>31</v>
      </c>
      <c r="F3615" s="1">
        <v>423.58</v>
      </c>
      <c r="G3615" s="1">
        <v>270.32</v>
      </c>
      <c r="H3615" s="1">
        <v>6.0</v>
      </c>
      <c r="I3615" s="1" t="s">
        <v>34</v>
      </c>
      <c r="J3615" s="1" t="s">
        <v>18</v>
      </c>
      <c r="K3615" s="1">
        <f t="shared" si="1"/>
        <v>2023</v>
      </c>
      <c r="L3615" s="1" t="str">
        <f t="shared" si="2"/>
        <v>May</v>
      </c>
      <c r="M3615" s="1" t="str">
        <f t="shared" si="3"/>
        <v>Profit</v>
      </c>
    </row>
    <row r="3616" ht="14.25" customHeight="1">
      <c r="A3616" s="1" t="s">
        <v>3650</v>
      </c>
      <c r="B3616" s="2">
        <v>44735.0</v>
      </c>
      <c r="C3616" s="1" t="s">
        <v>26</v>
      </c>
      <c r="D3616" s="1" t="s">
        <v>27</v>
      </c>
      <c r="E3616" s="1" t="s">
        <v>28</v>
      </c>
      <c r="F3616" s="1">
        <v>582.34</v>
      </c>
      <c r="G3616" s="1">
        <v>23.4</v>
      </c>
      <c r="H3616" s="1">
        <v>6.0</v>
      </c>
      <c r="I3616" s="1" t="s">
        <v>34</v>
      </c>
      <c r="J3616" s="1" t="s">
        <v>18</v>
      </c>
      <c r="K3616" s="1">
        <f t="shared" si="1"/>
        <v>2022</v>
      </c>
      <c r="L3616" s="1" t="str">
        <f t="shared" si="2"/>
        <v>Jun</v>
      </c>
      <c r="M3616" s="1" t="str">
        <f t="shared" si="3"/>
        <v>Profit</v>
      </c>
    </row>
    <row r="3617" ht="14.25" customHeight="1">
      <c r="A3617" s="1" t="s">
        <v>3651</v>
      </c>
      <c r="B3617" s="2">
        <v>45265.0</v>
      </c>
      <c r="C3617" s="1" t="s">
        <v>14</v>
      </c>
      <c r="D3617" s="1" t="s">
        <v>21</v>
      </c>
      <c r="E3617" s="1" t="s">
        <v>37</v>
      </c>
      <c r="F3617" s="1">
        <v>89.16</v>
      </c>
      <c r="G3617" s="1">
        <v>117.71</v>
      </c>
      <c r="H3617" s="1">
        <v>6.0</v>
      </c>
      <c r="I3617" s="1" t="s">
        <v>23</v>
      </c>
      <c r="J3617" s="1" t="s">
        <v>18</v>
      </c>
      <c r="K3617" s="1">
        <f t="shared" si="1"/>
        <v>2023</v>
      </c>
      <c r="L3617" s="1" t="str">
        <f t="shared" si="2"/>
        <v>Dec</v>
      </c>
      <c r="M3617" s="1" t="str">
        <f t="shared" si="3"/>
        <v>Profit</v>
      </c>
    </row>
    <row r="3618" ht="14.25" customHeight="1">
      <c r="A3618" s="1" t="s">
        <v>3652</v>
      </c>
      <c r="B3618" s="2">
        <v>44685.0</v>
      </c>
      <c r="C3618" s="1" t="s">
        <v>20</v>
      </c>
      <c r="D3618" s="1" t="s">
        <v>27</v>
      </c>
      <c r="E3618" s="1" t="s">
        <v>28</v>
      </c>
      <c r="F3618" s="1">
        <v>136.89</v>
      </c>
      <c r="G3618" s="1">
        <v>77.48</v>
      </c>
      <c r="H3618" s="1">
        <v>2.0</v>
      </c>
      <c r="I3618" s="1" t="s">
        <v>23</v>
      </c>
      <c r="J3618" s="1" t="s">
        <v>35</v>
      </c>
      <c r="K3618" s="1">
        <f t="shared" si="1"/>
        <v>2022</v>
      </c>
      <c r="L3618" s="1" t="str">
        <f t="shared" si="2"/>
        <v>May</v>
      </c>
      <c r="M3618" s="1" t="str">
        <f t="shared" si="3"/>
        <v>Profit</v>
      </c>
    </row>
    <row r="3619" ht="14.25" customHeight="1">
      <c r="A3619" s="1" t="s">
        <v>3653</v>
      </c>
      <c r="B3619" s="2">
        <v>44358.0</v>
      </c>
      <c r="C3619" s="1" t="s">
        <v>30</v>
      </c>
      <c r="D3619" s="1" t="s">
        <v>27</v>
      </c>
      <c r="E3619" s="1" t="s">
        <v>33</v>
      </c>
      <c r="F3619" s="1">
        <v>304.19</v>
      </c>
      <c r="G3619" s="1">
        <v>7.05</v>
      </c>
      <c r="H3619" s="1">
        <v>3.0</v>
      </c>
      <c r="I3619" s="1" t="s">
        <v>34</v>
      </c>
      <c r="J3619" s="1" t="s">
        <v>24</v>
      </c>
      <c r="K3619" s="1">
        <f t="shared" si="1"/>
        <v>2021</v>
      </c>
      <c r="L3619" s="1" t="str">
        <f t="shared" si="2"/>
        <v>Jun</v>
      </c>
      <c r="M3619" s="1" t="str">
        <f t="shared" si="3"/>
        <v>Profit</v>
      </c>
    </row>
    <row r="3620" ht="14.25" customHeight="1">
      <c r="A3620" s="1" t="s">
        <v>3654</v>
      </c>
      <c r="B3620" s="2">
        <v>45264.0</v>
      </c>
      <c r="C3620" s="1" t="s">
        <v>26</v>
      </c>
      <c r="D3620" s="1" t="s">
        <v>15</v>
      </c>
      <c r="E3620" s="1" t="s">
        <v>31</v>
      </c>
      <c r="F3620" s="1">
        <v>66.43</v>
      </c>
      <c r="G3620" s="1">
        <v>-178.83</v>
      </c>
      <c r="H3620" s="1">
        <v>9.0</v>
      </c>
      <c r="I3620" s="1" t="s">
        <v>23</v>
      </c>
      <c r="J3620" s="1" t="s">
        <v>24</v>
      </c>
      <c r="K3620" s="1">
        <f t="shared" si="1"/>
        <v>2023</v>
      </c>
      <c r="L3620" s="1" t="str">
        <f t="shared" si="2"/>
        <v>Dec</v>
      </c>
      <c r="M3620" s="1" t="str">
        <f t="shared" si="3"/>
        <v>Loss</v>
      </c>
    </row>
    <row r="3621" ht="14.25" customHeight="1">
      <c r="A3621" s="1" t="s">
        <v>3655</v>
      </c>
      <c r="B3621" s="2">
        <v>44612.0</v>
      </c>
      <c r="C3621" s="1" t="s">
        <v>20</v>
      </c>
      <c r="D3621" s="1" t="s">
        <v>15</v>
      </c>
      <c r="E3621" s="1" t="s">
        <v>16</v>
      </c>
      <c r="F3621" s="1">
        <v>126.9</v>
      </c>
      <c r="G3621" s="1">
        <v>31.01</v>
      </c>
      <c r="H3621" s="1">
        <v>1.0</v>
      </c>
      <c r="I3621" s="1" t="s">
        <v>17</v>
      </c>
      <c r="J3621" s="1" t="s">
        <v>35</v>
      </c>
      <c r="K3621" s="1">
        <f t="shared" si="1"/>
        <v>2022</v>
      </c>
      <c r="L3621" s="1" t="str">
        <f t="shared" si="2"/>
        <v>Feb</v>
      </c>
      <c r="M3621" s="1" t="str">
        <f t="shared" si="3"/>
        <v>Profit</v>
      </c>
    </row>
    <row r="3622" ht="14.25" customHeight="1">
      <c r="A3622" s="1" t="s">
        <v>3656</v>
      </c>
      <c r="B3622" s="2">
        <v>45241.0</v>
      </c>
      <c r="C3622" s="1" t="s">
        <v>30</v>
      </c>
      <c r="D3622" s="1" t="s">
        <v>15</v>
      </c>
      <c r="E3622" s="1" t="s">
        <v>31</v>
      </c>
      <c r="F3622" s="1">
        <v>541.92</v>
      </c>
      <c r="G3622" s="1">
        <v>275.33</v>
      </c>
      <c r="H3622" s="1">
        <v>4.0</v>
      </c>
      <c r="I3622" s="1" t="s">
        <v>17</v>
      </c>
      <c r="J3622" s="1" t="s">
        <v>35</v>
      </c>
      <c r="K3622" s="1">
        <f t="shared" si="1"/>
        <v>2023</v>
      </c>
      <c r="L3622" s="1" t="str">
        <f t="shared" si="2"/>
        <v>Nov</v>
      </c>
      <c r="M3622" s="1" t="str">
        <f t="shared" si="3"/>
        <v>Profit</v>
      </c>
    </row>
    <row r="3623" ht="14.25" customHeight="1">
      <c r="A3623" s="1" t="s">
        <v>3657</v>
      </c>
      <c r="B3623" s="2">
        <v>45095.0</v>
      </c>
      <c r="C3623" s="1" t="s">
        <v>14</v>
      </c>
      <c r="D3623" s="1" t="s">
        <v>21</v>
      </c>
      <c r="E3623" s="1" t="s">
        <v>37</v>
      </c>
      <c r="F3623" s="1">
        <v>455.12</v>
      </c>
      <c r="G3623" s="1">
        <v>-26.55</v>
      </c>
      <c r="H3623" s="1">
        <v>4.0</v>
      </c>
      <c r="I3623" s="1" t="s">
        <v>34</v>
      </c>
      <c r="J3623" s="1" t="s">
        <v>38</v>
      </c>
      <c r="K3623" s="1">
        <f t="shared" si="1"/>
        <v>2023</v>
      </c>
      <c r="L3623" s="1" t="str">
        <f t="shared" si="2"/>
        <v>Jun</v>
      </c>
      <c r="M3623" s="1" t="str">
        <f t="shared" si="3"/>
        <v>Loss</v>
      </c>
    </row>
    <row r="3624" ht="14.25" customHeight="1">
      <c r="A3624" s="1" t="s">
        <v>3658</v>
      </c>
      <c r="B3624" s="2">
        <v>44362.0</v>
      </c>
      <c r="C3624" s="1" t="s">
        <v>20</v>
      </c>
      <c r="D3624" s="1" t="s">
        <v>27</v>
      </c>
      <c r="E3624" s="1" t="s">
        <v>33</v>
      </c>
      <c r="F3624" s="1">
        <v>567.08</v>
      </c>
      <c r="G3624" s="1">
        <v>-67.34</v>
      </c>
      <c r="H3624" s="1">
        <v>10.0</v>
      </c>
      <c r="I3624" s="1" t="s">
        <v>23</v>
      </c>
      <c r="J3624" s="1" t="s">
        <v>18</v>
      </c>
      <c r="K3624" s="1">
        <f t="shared" si="1"/>
        <v>2021</v>
      </c>
      <c r="L3624" s="1" t="str">
        <f t="shared" si="2"/>
        <v>Jun</v>
      </c>
      <c r="M3624" s="1" t="str">
        <f t="shared" si="3"/>
        <v>Loss</v>
      </c>
    </row>
    <row r="3625" ht="14.25" customHeight="1">
      <c r="A3625" s="1" t="s">
        <v>3659</v>
      </c>
      <c r="B3625" s="2">
        <v>44496.0</v>
      </c>
      <c r="C3625" s="1" t="s">
        <v>30</v>
      </c>
      <c r="D3625" s="1" t="s">
        <v>21</v>
      </c>
      <c r="E3625" s="1" t="s">
        <v>22</v>
      </c>
      <c r="F3625" s="1">
        <v>698.29</v>
      </c>
      <c r="G3625" s="1">
        <v>-16.35</v>
      </c>
      <c r="H3625" s="1">
        <v>4.0</v>
      </c>
      <c r="I3625" s="1" t="s">
        <v>23</v>
      </c>
      <c r="J3625" s="1" t="s">
        <v>18</v>
      </c>
      <c r="K3625" s="1">
        <f t="shared" si="1"/>
        <v>2021</v>
      </c>
      <c r="L3625" s="1" t="str">
        <f t="shared" si="2"/>
        <v>Oct</v>
      </c>
      <c r="M3625" s="1" t="str">
        <f t="shared" si="3"/>
        <v>Loss</v>
      </c>
    </row>
    <row r="3626" ht="14.25" customHeight="1">
      <c r="A3626" s="1" t="s">
        <v>3660</v>
      </c>
      <c r="B3626" s="2">
        <v>44988.0</v>
      </c>
      <c r="C3626" s="1" t="s">
        <v>26</v>
      </c>
      <c r="D3626" s="1" t="s">
        <v>21</v>
      </c>
      <c r="E3626" s="1" t="s">
        <v>76</v>
      </c>
      <c r="F3626" s="1">
        <v>75.97</v>
      </c>
      <c r="G3626" s="1">
        <v>135.64</v>
      </c>
      <c r="H3626" s="1">
        <v>5.0</v>
      </c>
      <c r="I3626" s="1" t="s">
        <v>17</v>
      </c>
      <c r="J3626" s="1" t="s">
        <v>38</v>
      </c>
      <c r="K3626" s="1">
        <f t="shared" si="1"/>
        <v>2023</v>
      </c>
      <c r="L3626" s="1" t="str">
        <f t="shared" si="2"/>
        <v>Mar</v>
      </c>
      <c r="M3626" s="1" t="str">
        <f t="shared" si="3"/>
        <v>Profit</v>
      </c>
    </row>
    <row r="3627" ht="14.25" customHeight="1">
      <c r="A3627" s="1" t="s">
        <v>3661</v>
      </c>
      <c r="B3627" s="2">
        <v>44650.0</v>
      </c>
      <c r="C3627" s="1" t="s">
        <v>20</v>
      </c>
      <c r="D3627" s="1" t="s">
        <v>21</v>
      </c>
      <c r="E3627" s="1" t="s">
        <v>37</v>
      </c>
      <c r="F3627" s="1">
        <v>466.16</v>
      </c>
      <c r="G3627" s="1">
        <v>41.84</v>
      </c>
      <c r="H3627" s="1">
        <v>7.0</v>
      </c>
      <c r="I3627" s="1" t="s">
        <v>34</v>
      </c>
      <c r="J3627" s="1" t="s">
        <v>38</v>
      </c>
      <c r="K3627" s="1">
        <f t="shared" si="1"/>
        <v>2022</v>
      </c>
      <c r="L3627" s="1" t="str">
        <f t="shared" si="2"/>
        <v>Mar</v>
      </c>
      <c r="M3627" s="1" t="str">
        <f t="shared" si="3"/>
        <v>Profit</v>
      </c>
    </row>
    <row r="3628" ht="14.25" customHeight="1">
      <c r="A3628" s="1" t="s">
        <v>3662</v>
      </c>
      <c r="B3628" s="2">
        <v>45099.0</v>
      </c>
      <c r="C3628" s="1" t="s">
        <v>20</v>
      </c>
      <c r="D3628" s="1" t="s">
        <v>27</v>
      </c>
      <c r="E3628" s="1" t="s">
        <v>40</v>
      </c>
      <c r="F3628" s="1">
        <v>616.14</v>
      </c>
      <c r="G3628" s="1">
        <v>-6.44</v>
      </c>
      <c r="H3628" s="1">
        <v>3.0</v>
      </c>
      <c r="I3628" s="1" t="s">
        <v>17</v>
      </c>
      <c r="J3628" s="1" t="s">
        <v>18</v>
      </c>
      <c r="K3628" s="1">
        <f t="shared" si="1"/>
        <v>2023</v>
      </c>
      <c r="L3628" s="1" t="str">
        <f t="shared" si="2"/>
        <v>Jun</v>
      </c>
      <c r="M3628" s="1" t="str">
        <f t="shared" si="3"/>
        <v>Loss</v>
      </c>
    </row>
    <row r="3629" ht="14.25" customHeight="1">
      <c r="A3629" s="1" t="s">
        <v>3663</v>
      </c>
      <c r="B3629" s="2">
        <v>44603.0</v>
      </c>
      <c r="C3629" s="1" t="s">
        <v>30</v>
      </c>
      <c r="D3629" s="1" t="s">
        <v>21</v>
      </c>
      <c r="E3629" s="1" t="s">
        <v>76</v>
      </c>
      <c r="F3629" s="1">
        <v>101.25</v>
      </c>
      <c r="G3629" s="1">
        <v>83.67</v>
      </c>
      <c r="H3629" s="1">
        <v>6.0</v>
      </c>
      <c r="I3629" s="1" t="s">
        <v>23</v>
      </c>
      <c r="J3629" s="1" t="s">
        <v>24</v>
      </c>
      <c r="K3629" s="1">
        <f t="shared" si="1"/>
        <v>2022</v>
      </c>
      <c r="L3629" s="1" t="str">
        <f t="shared" si="2"/>
        <v>Feb</v>
      </c>
      <c r="M3629" s="1" t="str">
        <f t="shared" si="3"/>
        <v>Profit</v>
      </c>
    </row>
    <row r="3630" ht="14.25" customHeight="1">
      <c r="A3630" s="1" t="s">
        <v>3664</v>
      </c>
      <c r="B3630" s="2">
        <v>44249.0</v>
      </c>
      <c r="C3630" s="1" t="s">
        <v>30</v>
      </c>
      <c r="D3630" s="1" t="s">
        <v>27</v>
      </c>
      <c r="E3630" s="1" t="s">
        <v>28</v>
      </c>
      <c r="F3630" s="1">
        <v>668.42</v>
      </c>
      <c r="G3630" s="1">
        <v>200.41</v>
      </c>
      <c r="H3630" s="1">
        <v>5.0</v>
      </c>
      <c r="I3630" s="1" t="s">
        <v>23</v>
      </c>
      <c r="J3630" s="1" t="s">
        <v>35</v>
      </c>
      <c r="K3630" s="1">
        <f t="shared" si="1"/>
        <v>2021</v>
      </c>
      <c r="L3630" s="1" t="str">
        <f t="shared" si="2"/>
        <v>Feb</v>
      </c>
      <c r="M3630" s="1" t="str">
        <f t="shared" si="3"/>
        <v>Profit</v>
      </c>
    </row>
    <row r="3631" ht="14.25" customHeight="1">
      <c r="A3631" s="1" t="s">
        <v>3665</v>
      </c>
      <c r="B3631" s="2">
        <v>44571.0</v>
      </c>
      <c r="C3631" s="1" t="s">
        <v>30</v>
      </c>
      <c r="D3631" s="1" t="s">
        <v>27</v>
      </c>
      <c r="E3631" s="1" t="s">
        <v>33</v>
      </c>
      <c r="F3631" s="1">
        <v>971.6</v>
      </c>
      <c r="G3631" s="1">
        <v>-95.72</v>
      </c>
      <c r="H3631" s="1">
        <v>7.0</v>
      </c>
      <c r="I3631" s="1" t="s">
        <v>34</v>
      </c>
      <c r="J3631" s="1" t="s">
        <v>24</v>
      </c>
      <c r="K3631" s="1">
        <f t="shared" si="1"/>
        <v>2022</v>
      </c>
      <c r="L3631" s="1" t="str">
        <f t="shared" si="2"/>
        <v>Jan</v>
      </c>
      <c r="M3631" s="1" t="str">
        <f t="shared" si="3"/>
        <v>Loss</v>
      </c>
    </row>
    <row r="3632" ht="14.25" customHeight="1">
      <c r="A3632" s="1" t="s">
        <v>3666</v>
      </c>
      <c r="B3632" s="2">
        <v>45198.0</v>
      </c>
      <c r="C3632" s="1" t="s">
        <v>30</v>
      </c>
      <c r="D3632" s="1" t="s">
        <v>27</v>
      </c>
      <c r="E3632" s="1" t="s">
        <v>33</v>
      </c>
      <c r="F3632" s="1">
        <v>660.13</v>
      </c>
      <c r="G3632" s="1">
        <v>-181.61</v>
      </c>
      <c r="H3632" s="1">
        <v>8.0</v>
      </c>
      <c r="I3632" s="1" t="s">
        <v>34</v>
      </c>
      <c r="J3632" s="1" t="s">
        <v>18</v>
      </c>
      <c r="K3632" s="1">
        <f t="shared" si="1"/>
        <v>2023</v>
      </c>
      <c r="L3632" s="1" t="str">
        <f t="shared" si="2"/>
        <v>Sep</v>
      </c>
      <c r="M3632" s="1" t="str">
        <f t="shared" si="3"/>
        <v>Loss</v>
      </c>
    </row>
    <row r="3633" ht="14.25" customHeight="1">
      <c r="A3633" s="1" t="s">
        <v>3667</v>
      </c>
      <c r="B3633" s="2">
        <v>44925.0</v>
      </c>
      <c r="C3633" s="1" t="s">
        <v>14</v>
      </c>
      <c r="D3633" s="1" t="s">
        <v>21</v>
      </c>
      <c r="E3633" s="1" t="s">
        <v>76</v>
      </c>
      <c r="F3633" s="1">
        <v>635.83</v>
      </c>
      <c r="G3633" s="1">
        <v>151.06</v>
      </c>
      <c r="H3633" s="1">
        <v>2.0</v>
      </c>
      <c r="I3633" s="1" t="s">
        <v>23</v>
      </c>
      <c r="J3633" s="1" t="s">
        <v>18</v>
      </c>
      <c r="K3633" s="1">
        <f t="shared" si="1"/>
        <v>2022</v>
      </c>
      <c r="L3633" s="1" t="str">
        <f t="shared" si="2"/>
        <v>Dec</v>
      </c>
      <c r="M3633" s="1" t="str">
        <f t="shared" si="3"/>
        <v>Profit</v>
      </c>
    </row>
    <row r="3634" ht="14.25" customHeight="1">
      <c r="A3634" s="1" t="s">
        <v>3668</v>
      </c>
      <c r="B3634" s="2">
        <v>45246.0</v>
      </c>
      <c r="C3634" s="1" t="s">
        <v>20</v>
      </c>
      <c r="D3634" s="1" t="s">
        <v>27</v>
      </c>
      <c r="E3634" s="1" t="s">
        <v>40</v>
      </c>
      <c r="F3634" s="1">
        <v>327.31</v>
      </c>
      <c r="G3634" s="1">
        <v>-174.32</v>
      </c>
      <c r="H3634" s="1">
        <v>2.0</v>
      </c>
      <c r="I3634" s="1" t="s">
        <v>17</v>
      </c>
      <c r="J3634" s="1" t="s">
        <v>18</v>
      </c>
      <c r="K3634" s="1">
        <f t="shared" si="1"/>
        <v>2023</v>
      </c>
      <c r="L3634" s="1" t="str">
        <f t="shared" si="2"/>
        <v>Nov</v>
      </c>
      <c r="M3634" s="1" t="str">
        <f t="shared" si="3"/>
        <v>Loss</v>
      </c>
    </row>
    <row r="3635" ht="14.25" customHeight="1">
      <c r="A3635" s="1" t="s">
        <v>3669</v>
      </c>
      <c r="B3635" s="2">
        <v>44833.0</v>
      </c>
      <c r="C3635" s="1" t="s">
        <v>30</v>
      </c>
      <c r="D3635" s="1" t="s">
        <v>21</v>
      </c>
      <c r="E3635" s="1" t="s">
        <v>22</v>
      </c>
      <c r="F3635" s="1">
        <v>657.3</v>
      </c>
      <c r="G3635" s="1">
        <v>-162.63</v>
      </c>
      <c r="H3635" s="1">
        <v>1.0</v>
      </c>
      <c r="I3635" s="1" t="s">
        <v>34</v>
      </c>
      <c r="J3635" s="1" t="s">
        <v>35</v>
      </c>
      <c r="K3635" s="1">
        <f t="shared" si="1"/>
        <v>2022</v>
      </c>
      <c r="L3635" s="1" t="str">
        <f t="shared" si="2"/>
        <v>Sep</v>
      </c>
      <c r="M3635" s="1" t="str">
        <f t="shared" si="3"/>
        <v>Loss</v>
      </c>
    </row>
    <row r="3636" ht="14.25" customHeight="1">
      <c r="A3636" s="1" t="s">
        <v>3670</v>
      </c>
      <c r="B3636" s="2">
        <v>44795.0</v>
      </c>
      <c r="C3636" s="1" t="s">
        <v>14</v>
      </c>
      <c r="D3636" s="1" t="s">
        <v>27</v>
      </c>
      <c r="E3636" s="1" t="s">
        <v>40</v>
      </c>
      <c r="F3636" s="1">
        <v>746.54</v>
      </c>
      <c r="G3636" s="1">
        <v>237.79</v>
      </c>
      <c r="H3636" s="1">
        <v>1.0</v>
      </c>
      <c r="I3636" s="1" t="s">
        <v>34</v>
      </c>
      <c r="J3636" s="1" t="s">
        <v>35</v>
      </c>
      <c r="K3636" s="1">
        <f t="shared" si="1"/>
        <v>2022</v>
      </c>
      <c r="L3636" s="1" t="str">
        <f t="shared" si="2"/>
        <v>Aug</v>
      </c>
      <c r="M3636" s="1" t="str">
        <f t="shared" si="3"/>
        <v>Profit</v>
      </c>
    </row>
    <row r="3637" ht="14.25" customHeight="1">
      <c r="A3637" s="1" t="s">
        <v>3671</v>
      </c>
      <c r="B3637" s="2">
        <v>45064.0</v>
      </c>
      <c r="C3637" s="1" t="s">
        <v>20</v>
      </c>
      <c r="D3637" s="1" t="s">
        <v>27</v>
      </c>
      <c r="E3637" s="1" t="s">
        <v>28</v>
      </c>
      <c r="F3637" s="1">
        <v>801.25</v>
      </c>
      <c r="G3637" s="1">
        <v>237.96</v>
      </c>
      <c r="H3637" s="1">
        <v>8.0</v>
      </c>
      <c r="I3637" s="1" t="s">
        <v>23</v>
      </c>
      <c r="J3637" s="1" t="s">
        <v>24</v>
      </c>
      <c r="K3637" s="1">
        <f t="shared" si="1"/>
        <v>2023</v>
      </c>
      <c r="L3637" s="1" t="str">
        <f t="shared" si="2"/>
        <v>May</v>
      </c>
      <c r="M3637" s="1" t="str">
        <f t="shared" si="3"/>
        <v>Profit</v>
      </c>
    </row>
    <row r="3638" ht="14.25" customHeight="1">
      <c r="A3638" s="1" t="s">
        <v>3672</v>
      </c>
      <c r="B3638" s="2">
        <v>44294.0</v>
      </c>
      <c r="C3638" s="1" t="s">
        <v>26</v>
      </c>
      <c r="D3638" s="1" t="s">
        <v>27</v>
      </c>
      <c r="E3638" s="1" t="s">
        <v>40</v>
      </c>
      <c r="F3638" s="1">
        <v>99.12</v>
      </c>
      <c r="G3638" s="1">
        <v>12.85</v>
      </c>
      <c r="H3638" s="1">
        <v>5.0</v>
      </c>
      <c r="I3638" s="1" t="s">
        <v>23</v>
      </c>
      <c r="J3638" s="1" t="s">
        <v>24</v>
      </c>
      <c r="K3638" s="1">
        <f t="shared" si="1"/>
        <v>2021</v>
      </c>
      <c r="L3638" s="1" t="str">
        <f t="shared" si="2"/>
        <v>Apr</v>
      </c>
      <c r="M3638" s="1" t="str">
        <f t="shared" si="3"/>
        <v>Profit</v>
      </c>
    </row>
    <row r="3639" ht="14.25" customHeight="1">
      <c r="A3639" s="1" t="s">
        <v>3673</v>
      </c>
      <c r="B3639" s="2">
        <v>44555.0</v>
      </c>
      <c r="C3639" s="1" t="s">
        <v>26</v>
      </c>
      <c r="D3639" s="1" t="s">
        <v>21</v>
      </c>
      <c r="E3639" s="1" t="s">
        <v>22</v>
      </c>
      <c r="F3639" s="1">
        <v>926.22</v>
      </c>
      <c r="G3639" s="1">
        <v>267.14</v>
      </c>
      <c r="H3639" s="1">
        <v>6.0</v>
      </c>
      <c r="I3639" s="1" t="s">
        <v>17</v>
      </c>
      <c r="J3639" s="1" t="s">
        <v>35</v>
      </c>
      <c r="K3639" s="1">
        <f t="shared" si="1"/>
        <v>2021</v>
      </c>
      <c r="L3639" s="1" t="str">
        <f t="shared" si="2"/>
        <v>Dec</v>
      </c>
      <c r="M3639" s="1" t="str">
        <f t="shared" si="3"/>
        <v>Profit</v>
      </c>
    </row>
    <row r="3640" ht="14.25" customHeight="1">
      <c r="A3640" s="1" t="s">
        <v>3674</v>
      </c>
      <c r="B3640" s="2">
        <v>45281.0</v>
      </c>
      <c r="C3640" s="1" t="s">
        <v>14</v>
      </c>
      <c r="D3640" s="1" t="s">
        <v>15</v>
      </c>
      <c r="E3640" s="1" t="s">
        <v>16</v>
      </c>
      <c r="F3640" s="1">
        <v>556.94</v>
      </c>
      <c r="G3640" s="1">
        <v>124.29</v>
      </c>
      <c r="H3640" s="1">
        <v>1.0</v>
      </c>
      <c r="I3640" s="1" t="s">
        <v>23</v>
      </c>
      <c r="J3640" s="1" t="s">
        <v>24</v>
      </c>
      <c r="K3640" s="1">
        <f t="shared" si="1"/>
        <v>2023</v>
      </c>
      <c r="L3640" s="1" t="str">
        <f t="shared" si="2"/>
        <v>Dec</v>
      </c>
      <c r="M3640" s="1" t="str">
        <f t="shared" si="3"/>
        <v>Profit</v>
      </c>
    </row>
    <row r="3641" ht="14.25" customHeight="1">
      <c r="A3641" s="1" t="s">
        <v>3675</v>
      </c>
      <c r="B3641" s="2">
        <v>44519.0</v>
      </c>
      <c r="C3641" s="1" t="s">
        <v>26</v>
      </c>
      <c r="D3641" s="1" t="s">
        <v>27</v>
      </c>
      <c r="E3641" s="1" t="s">
        <v>40</v>
      </c>
      <c r="F3641" s="1">
        <v>180.19</v>
      </c>
      <c r="G3641" s="1">
        <v>64.61</v>
      </c>
      <c r="H3641" s="1">
        <v>8.0</v>
      </c>
      <c r="I3641" s="1" t="s">
        <v>34</v>
      </c>
      <c r="J3641" s="1" t="s">
        <v>18</v>
      </c>
      <c r="K3641" s="1">
        <f t="shared" si="1"/>
        <v>2021</v>
      </c>
      <c r="L3641" s="1" t="str">
        <f t="shared" si="2"/>
        <v>Nov</v>
      </c>
      <c r="M3641" s="1" t="str">
        <f t="shared" si="3"/>
        <v>Profit</v>
      </c>
    </row>
    <row r="3642" ht="14.25" customHeight="1">
      <c r="A3642" s="1" t="s">
        <v>3676</v>
      </c>
      <c r="B3642" s="2">
        <v>44949.0</v>
      </c>
      <c r="C3642" s="1" t="s">
        <v>20</v>
      </c>
      <c r="D3642" s="1" t="s">
        <v>15</v>
      </c>
      <c r="E3642" s="1" t="s">
        <v>54</v>
      </c>
      <c r="F3642" s="1">
        <v>631.73</v>
      </c>
      <c r="G3642" s="1">
        <v>-145.84</v>
      </c>
      <c r="H3642" s="1">
        <v>6.0</v>
      </c>
      <c r="I3642" s="1" t="s">
        <v>23</v>
      </c>
      <c r="J3642" s="1" t="s">
        <v>35</v>
      </c>
      <c r="K3642" s="1">
        <f t="shared" si="1"/>
        <v>2023</v>
      </c>
      <c r="L3642" s="1" t="str">
        <f t="shared" si="2"/>
        <v>Jan</v>
      </c>
      <c r="M3642" s="1" t="str">
        <f t="shared" si="3"/>
        <v>Loss</v>
      </c>
    </row>
    <row r="3643" ht="14.25" customHeight="1">
      <c r="A3643" s="1" t="s">
        <v>3677</v>
      </c>
      <c r="B3643" s="2">
        <v>44912.0</v>
      </c>
      <c r="C3643" s="1" t="s">
        <v>14</v>
      </c>
      <c r="D3643" s="1" t="s">
        <v>21</v>
      </c>
      <c r="E3643" s="1" t="s">
        <v>76</v>
      </c>
      <c r="F3643" s="1">
        <v>471.88</v>
      </c>
      <c r="G3643" s="1">
        <v>-180.66</v>
      </c>
      <c r="H3643" s="1">
        <v>3.0</v>
      </c>
      <c r="I3643" s="1" t="s">
        <v>34</v>
      </c>
      <c r="J3643" s="1" t="s">
        <v>18</v>
      </c>
      <c r="K3643" s="1">
        <f t="shared" si="1"/>
        <v>2022</v>
      </c>
      <c r="L3643" s="1" t="str">
        <f t="shared" si="2"/>
        <v>Dec</v>
      </c>
      <c r="M3643" s="1" t="str">
        <f t="shared" si="3"/>
        <v>Loss</v>
      </c>
    </row>
    <row r="3644" ht="14.25" customHeight="1">
      <c r="A3644" s="1" t="s">
        <v>3678</v>
      </c>
      <c r="B3644" s="2">
        <v>45268.0</v>
      </c>
      <c r="C3644" s="1" t="s">
        <v>26</v>
      </c>
      <c r="D3644" s="1" t="s">
        <v>27</v>
      </c>
      <c r="E3644" s="1" t="s">
        <v>40</v>
      </c>
      <c r="F3644" s="1">
        <v>412.36</v>
      </c>
      <c r="G3644" s="1">
        <v>-146.37</v>
      </c>
      <c r="H3644" s="1">
        <v>8.0</v>
      </c>
      <c r="I3644" s="1" t="s">
        <v>17</v>
      </c>
      <c r="J3644" s="1" t="s">
        <v>24</v>
      </c>
      <c r="K3644" s="1">
        <f t="shared" si="1"/>
        <v>2023</v>
      </c>
      <c r="L3644" s="1" t="str">
        <f t="shared" si="2"/>
        <v>Dec</v>
      </c>
      <c r="M3644" s="1" t="str">
        <f t="shared" si="3"/>
        <v>Loss</v>
      </c>
    </row>
    <row r="3645" ht="14.25" customHeight="1">
      <c r="A3645" s="1" t="s">
        <v>3679</v>
      </c>
      <c r="B3645" s="2">
        <v>44850.0</v>
      </c>
      <c r="C3645" s="1" t="s">
        <v>20</v>
      </c>
      <c r="D3645" s="1" t="s">
        <v>15</v>
      </c>
      <c r="E3645" s="1" t="s">
        <v>31</v>
      </c>
      <c r="F3645" s="1">
        <v>622.17</v>
      </c>
      <c r="G3645" s="1">
        <v>-13.98</v>
      </c>
      <c r="H3645" s="1">
        <v>4.0</v>
      </c>
      <c r="I3645" s="1" t="s">
        <v>17</v>
      </c>
      <c r="J3645" s="1" t="s">
        <v>38</v>
      </c>
      <c r="K3645" s="1">
        <f t="shared" si="1"/>
        <v>2022</v>
      </c>
      <c r="L3645" s="1" t="str">
        <f t="shared" si="2"/>
        <v>Oct</v>
      </c>
      <c r="M3645" s="1" t="str">
        <f t="shared" si="3"/>
        <v>Loss</v>
      </c>
    </row>
    <row r="3646" ht="14.25" customHeight="1">
      <c r="A3646" s="1" t="s">
        <v>3680</v>
      </c>
      <c r="B3646" s="2">
        <v>44484.0</v>
      </c>
      <c r="C3646" s="1" t="s">
        <v>14</v>
      </c>
      <c r="D3646" s="1" t="s">
        <v>15</v>
      </c>
      <c r="E3646" s="1" t="s">
        <v>16</v>
      </c>
      <c r="F3646" s="1">
        <v>866.58</v>
      </c>
      <c r="G3646" s="1">
        <v>257.88</v>
      </c>
      <c r="H3646" s="1">
        <v>1.0</v>
      </c>
      <c r="I3646" s="1" t="s">
        <v>17</v>
      </c>
      <c r="J3646" s="1" t="s">
        <v>18</v>
      </c>
      <c r="K3646" s="1">
        <f t="shared" si="1"/>
        <v>2021</v>
      </c>
      <c r="L3646" s="1" t="str">
        <f t="shared" si="2"/>
        <v>Oct</v>
      </c>
      <c r="M3646" s="1" t="str">
        <f t="shared" si="3"/>
        <v>Profit</v>
      </c>
    </row>
    <row r="3647" ht="14.25" customHeight="1">
      <c r="A3647" s="1" t="s">
        <v>3681</v>
      </c>
      <c r="B3647" s="2">
        <v>44942.0</v>
      </c>
      <c r="C3647" s="1" t="s">
        <v>20</v>
      </c>
      <c r="D3647" s="1" t="s">
        <v>15</v>
      </c>
      <c r="E3647" s="1" t="s">
        <v>54</v>
      </c>
      <c r="F3647" s="1">
        <v>609.0</v>
      </c>
      <c r="G3647" s="1">
        <v>293.85</v>
      </c>
      <c r="H3647" s="1">
        <v>1.0</v>
      </c>
      <c r="I3647" s="1" t="s">
        <v>23</v>
      </c>
      <c r="J3647" s="1" t="s">
        <v>38</v>
      </c>
      <c r="K3647" s="1">
        <f t="shared" si="1"/>
        <v>2023</v>
      </c>
      <c r="L3647" s="1" t="str">
        <f t="shared" si="2"/>
        <v>Jan</v>
      </c>
      <c r="M3647" s="1" t="str">
        <f t="shared" si="3"/>
        <v>Profit</v>
      </c>
    </row>
    <row r="3648" ht="14.25" customHeight="1">
      <c r="A3648" s="1" t="s">
        <v>3682</v>
      </c>
      <c r="B3648" s="2">
        <v>45237.0</v>
      </c>
      <c r="C3648" s="1" t="s">
        <v>26</v>
      </c>
      <c r="D3648" s="1" t="s">
        <v>21</v>
      </c>
      <c r="E3648" s="1" t="s">
        <v>22</v>
      </c>
      <c r="F3648" s="1">
        <v>252.35</v>
      </c>
      <c r="G3648" s="1">
        <v>27.61</v>
      </c>
      <c r="H3648" s="1">
        <v>10.0</v>
      </c>
      <c r="I3648" s="1" t="s">
        <v>17</v>
      </c>
      <c r="J3648" s="1" t="s">
        <v>24</v>
      </c>
      <c r="K3648" s="1">
        <f t="shared" si="1"/>
        <v>2023</v>
      </c>
      <c r="L3648" s="1" t="str">
        <f t="shared" si="2"/>
        <v>Nov</v>
      </c>
      <c r="M3648" s="1" t="str">
        <f t="shared" si="3"/>
        <v>Profit</v>
      </c>
    </row>
    <row r="3649" ht="14.25" customHeight="1">
      <c r="A3649" s="1" t="s">
        <v>3683</v>
      </c>
      <c r="B3649" s="2">
        <v>45214.0</v>
      </c>
      <c r="C3649" s="1" t="s">
        <v>30</v>
      </c>
      <c r="D3649" s="1" t="s">
        <v>27</v>
      </c>
      <c r="E3649" s="1" t="s">
        <v>40</v>
      </c>
      <c r="F3649" s="1">
        <v>286.6</v>
      </c>
      <c r="G3649" s="1">
        <v>3.76</v>
      </c>
      <c r="H3649" s="1">
        <v>9.0</v>
      </c>
      <c r="I3649" s="1" t="s">
        <v>23</v>
      </c>
      <c r="J3649" s="1" t="s">
        <v>24</v>
      </c>
      <c r="K3649" s="1">
        <f t="shared" si="1"/>
        <v>2023</v>
      </c>
      <c r="L3649" s="1" t="str">
        <f t="shared" si="2"/>
        <v>Oct</v>
      </c>
      <c r="M3649" s="1" t="str">
        <f t="shared" si="3"/>
        <v>Profit</v>
      </c>
    </row>
    <row r="3650" ht="14.25" customHeight="1">
      <c r="A3650" s="1" t="s">
        <v>3684</v>
      </c>
      <c r="B3650" s="2">
        <v>44909.0</v>
      </c>
      <c r="C3650" s="1" t="s">
        <v>14</v>
      </c>
      <c r="D3650" s="1" t="s">
        <v>15</v>
      </c>
      <c r="E3650" s="1" t="s">
        <v>31</v>
      </c>
      <c r="F3650" s="1">
        <v>452.09</v>
      </c>
      <c r="G3650" s="1">
        <v>226.31</v>
      </c>
      <c r="H3650" s="1">
        <v>8.0</v>
      </c>
      <c r="I3650" s="1" t="s">
        <v>34</v>
      </c>
      <c r="J3650" s="1" t="s">
        <v>24</v>
      </c>
      <c r="K3650" s="1">
        <f t="shared" si="1"/>
        <v>2022</v>
      </c>
      <c r="L3650" s="1" t="str">
        <f t="shared" si="2"/>
        <v>Dec</v>
      </c>
      <c r="M3650" s="1" t="str">
        <f t="shared" si="3"/>
        <v>Profit</v>
      </c>
    </row>
    <row r="3651" ht="14.25" customHeight="1">
      <c r="A3651" s="1" t="s">
        <v>3685</v>
      </c>
      <c r="B3651" s="2">
        <v>44740.0</v>
      </c>
      <c r="C3651" s="1" t="s">
        <v>20</v>
      </c>
      <c r="D3651" s="1" t="s">
        <v>15</v>
      </c>
      <c r="E3651" s="1" t="s">
        <v>16</v>
      </c>
      <c r="F3651" s="1">
        <v>911.02</v>
      </c>
      <c r="G3651" s="1">
        <v>180.1</v>
      </c>
      <c r="H3651" s="1">
        <v>4.0</v>
      </c>
      <c r="I3651" s="1" t="s">
        <v>17</v>
      </c>
      <c r="J3651" s="1" t="s">
        <v>18</v>
      </c>
      <c r="K3651" s="1">
        <f t="shared" si="1"/>
        <v>2022</v>
      </c>
      <c r="L3651" s="1" t="str">
        <f t="shared" si="2"/>
        <v>Jun</v>
      </c>
      <c r="M3651" s="1" t="str">
        <f t="shared" si="3"/>
        <v>Profit</v>
      </c>
    </row>
    <row r="3652" ht="14.25" customHeight="1">
      <c r="A3652" s="1" t="s">
        <v>3686</v>
      </c>
      <c r="B3652" s="2">
        <v>44386.0</v>
      </c>
      <c r="C3652" s="1" t="s">
        <v>20</v>
      </c>
      <c r="D3652" s="1" t="s">
        <v>27</v>
      </c>
      <c r="E3652" s="1" t="s">
        <v>40</v>
      </c>
      <c r="F3652" s="1">
        <v>316.03</v>
      </c>
      <c r="G3652" s="1">
        <v>53.24</v>
      </c>
      <c r="H3652" s="1">
        <v>4.0</v>
      </c>
      <c r="I3652" s="1" t="s">
        <v>17</v>
      </c>
      <c r="J3652" s="1" t="s">
        <v>38</v>
      </c>
      <c r="K3652" s="1">
        <f t="shared" si="1"/>
        <v>2021</v>
      </c>
      <c r="L3652" s="1" t="str">
        <f t="shared" si="2"/>
        <v>Jul</v>
      </c>
      <c r="M3652" s="1" t="str">
        <f t="shared" si="3"/>
        <v>Profit</v>
      </c>
    </row>
    <row r="3653" ht="14.25" customHeight="1">
      <c r="A3653" s="1" t="s">
        <v>3687</v>
      </c>
      <c r="B3653" s="2">
        <v>44284.0</v>
      </c>
      <c r="C3653" s="1" t="s">
        <v>20</v>
      </c>
      <c r="D3653" s="1" t="s">
        <v>21</v>
      </c>
      <c r="E3653" s="1" t="s">
        <v>37</v>
      </c>
      <c r="F3653" s="1">
        <v>44.17</v>
      </c>
      <c r="G3653" s="1">
        <v>191.87</v>
      </c>
      <c r="H3653" s="1">
        <v>5.0</v>
      </c>
      <c r="I3653" s="1" t="s">
        <v>17</v>
      </c>
      <c r="J3653" s="1" t="s">
        <v>18</v>
      </c>
      <c r="K3653" s="1">
        <f t="shared" si="1"/>
        <v>2021</v>
      </c>
      <c r="L3653" s="1" t="str">
        <f t="shared" si="2"/>
        <v>Mar</v>
      </c>
      <c r="M3653" s="1" t="str">
        <f t="shared" si="3"/>
        <v>Profit</v>
      </c>
    </row>
    <row r="3654" ht="14.25" customHeight="1">
      <c r="A3654" s="1" t="s">
        <v>3688</v>
      </c>
      <c r="B3654" s="2">
        <v>44805.0</v>
      </c>
      <c r="C3654" s="1" t="s">
        <v>14</v>
      </c>
      <c r="D3654" s="1" t="s">
        <v>27</v>
      </c>
      <c r="E3654" s="1" t="s">
        <v>28</v>
      </c>
      <c r="F3654" s="1">
        <v>734.57</v>
      </c>
      <c r="G3654" s="1">
        <v>15.25</v>
      </c>
      <c r="H3654" s="1">
        <v>4.0</v>
      </c>
      <c r="I3654" s="1" t="s">
        <v>23</v>
      </c>
      <c r="J3654" s="1" t="s">
        <v>18</v>
      </c>
      <c r="K3654" s="1">
        <f t="shared" si="1"/>
        <v>2022</v>
      </c>
      <c r="L3654" s="1" t="str">
        <f t="shared" si="2"/>
        <v>Sep</v>
      </c>
      <c r="M3654" s="1" t="str">
        <f t="shared" si="3"/>
        <v>Profit</v>
      </c>
    </row>
    <row r="3655" ht="14.25" customHeight="1">
      <c r="A3655" s="1" t="s">
        <v>3689</v>
      </c>
      <c r="B3655" s="2">
        <v>45035.0</v>
      </c>
      <c r="C3655" s="1" t="s">
        <v>26</v>
      </c>
      <c r="D3655" s="1" t="s">
        <v>27</v>
      </c>
      <c r="E3655" s="1" t="s">
        <v>28</v>
      </c>
      <c r="F3655" s="1">
        <v>126.39</v>
      </c>
      <c r="G3655" s="1">
        <v>-139.13</v>
      </c>
      <c r="H3655" s="1">
        <v>6.0</v>
      </c>
      <c r="I3655" s="1" t="s">
        <v>23</v>
      </c>
      <c r="J3655" s="1" t="s">
        <v>35</v>
      </c>
      <c r="K3655" s="1">
        <f t="shared" si="1"/>
        <v>2023</v>
      </c>
      <c r="L3655" s="1" t="str">
        <f t="shared" si="2"/>
        <v>Apr</v>
      </c>
      <c r="M3655" s="1" t="str">
        <f t="shared" si="3"/>
        <v>Loss</v>
      </c>
    </row>
    <row r="3656" ht="14.25" customHeight="1">
      <c r="A3656" s="1" t="s">
        <v>3690</v>
      </c>
      <c r="B3656" s="2">
        <v>44885.0</v>
      </c>
      <c r="C3656" s="1" t="s">
        <v>14</v>
      </c>
      <c r="D3656" s="1" t="s">
        <v>15</v>
      </c>
      <c r="E3656" s="1" t="s">
        <v>54</v>
      </c>
      <c r="F3656" s="1">
        <v>749.65</v>
      </c>
      <c r="G3656" s="1">
        <v>-21.87</v>
      </c>
      <c r="H3656" s="1">
        <v>9.0</v>
      </c>
      <c r="I3656" s="1" t="s">
        <v>23</v>
      </c>
      <c r="J3656" s="1" t="s">
        <v>35</v>
      </c>
      <c r="K3656" s="1">
        <f t="shared" si="1"/>
        <v>2022</v>
      </c>
      <c r="L3656" s="1" t="str">
        <f t="shared" si="2"/>
        <v>Nov</v>
      </c>
      <c r="M3656" s="1" t="str">
        <f t="shared" si="3"/>
        <v>Loss</v>
      </c>
    </row>
    <row r="3657" ht="14.25" customHeight="1">
      <c r="A3657" s="1" t="s">
        <v>3691</v>
      </c>
      <c r="B3657" s="2">
        <v>44488.0</v>
      </c>
      <c r="C3657" s="1" t="s">
        <v>14</v>
      </c>
      <c r="D3657" s="1" t="s">
        <v>21</v>
      </c>
      <c r="E3657" s="1" t="s">
        <v>22</v>
      </c>
      <c r="F3657" s="1">
        <v>49.46</v>
      </c>
      <c r="G3657" s="1">
        <v>-157.87</v>
      </c>
      <c r="H3657" s="1">
        <v>2.0</v>
      </c>
      <c r="I3657" s="1" t="s">
        <v>17</v>
      </c>
      <c r="J3657" s="1" t="s">
        <v>38</v>
      </c>
      <c r="K3657" s="1">
        <f t="shared" si="1"/>
        <v>2021</v>
      </c>
      <c r="L3657" s="1" t="str">
        <f t="shared" si="2"/>
        <v>Oct</v>
      </c>
      <c r="M3657" s="1" t="str">
        <f t="shared" si="3"/>
        <v>Loss</v>
      </c>
    </row>
    <row r="3658" ht="14.25" customHeight="1">
      <c r="A3658" s="1" t="s">
        <v>3692</v>
      </c>
      <c r="B3658" s="2">
        <v>44640.0</v>
      </c>
      <c r="C3658" s="1" t="s">
        <v>26</v>
      </c>
      <c r="D3658" s="1" t="s">
        <v>15</v>
      </c>
      <c r="E3658" s="1" t="s">
        <v>31</v>
      </c>
      <c r="F3658" s="1">
        <v>599.45</v>
      </c>
      <c r="G3658" s="1">
        <v>8.61</v>
      </c>
      <c r="H3658" s="1">
        <v>2.0</v>
      </c>
      <c r="I3658" s="1" t="s">
        <v>34</v>
      </c>
      <c r="J3658" s="1" t="s">
        <v>18</v>
      </c>
      <c r="K3658" s="1">
        <f t="shared" si="1"/>
        <v>2022</v>
      </c>
      <c r="L3658" s="1" t="str">
        <f t="shared" si="2"/>
        <v>Mar</v>
      </c>
      <c r="M3658" s="1" t="str">
        <f t="shared" si="3"/>
        <v>Profit</v>
      </c>
    </row>
    <row r="3659" ht="14.25" customHeight="1">
      <c r="A3659" s="1" t="s">
        <v>3693</v>
      </c>
      <c r="B3659" s="2">
        <v>44432.0</v>
      </c>
      <c r="C3659" s="1" t="s">
        <v>14</v>
      </c>
      <c r="D3659" s="1" t="s">
        <v>15</v>
      </c>
      <c r="E3659" s="1" t="s">
        <v>54</v>
      </c>
      <c r="F3659" s="1">
        <v>840.92</v>
      </c>
      <c r="G3659" s="1">
        <v>-153.52</v>
      </c>
      <c r="H3659" s="1">
        <v>2.0</v>
      </c>
      <c r="I3659" s="1" t="s">
        <v>23</v>
      </c>
      <c r="J3659" s="1" t="s">
        <v>24</v>
      </c>
      <c r="K3659" s="1">
        <f t="shared" si="1"/>
        <v>2021</v>
      </c>
      <c r="L3659" s="1" t="str">
        <f t="shared" si="2"/>
        <v>Aug</v>
      </c>
      <c r="M3659" s="1" t="str">
        <f t="shared" si="3"/>
        <v>Loss</v>
      </c>
    </row>
    <row r="3660" ht="14.25" customHeight="1">
      <c r="A3660" s="1" t="s">
        <v>3694</v>
      </c>
      <c r="B3660" s="2">
        <v>44922.0</v>
      </c>
      <c r="C3660" s="1" t="s">
        <v>30</v>
      </c>
      <c r="D3660" s="1" t="s">
        <v>27</v>
      </c>
      <c r="E3660" s="1" t="s">
        <v>33</v>
      </c>
      <c r="F3660" s="1">
        <v>200.88</v>
      </c>
      <c r="G3660" s="1">
        <v>-92.34</v>
      </c>
      <c r="H3660" s="1">
        <v>5.0</v>
      </c>
      <c r="I3660" s="1" t="s">
        <v>17</v>
      </c>
      <c r="J3660" s="1" t="s">
        <v>24</v>
      </c>
      <c r="K3660" s="1">
        <f t="shared" si="1"/>
        <v>2022</v>
      </c>
      <c r="L3660" s="1" t="str">
        <f t="shared" si="2"/>
        <v>Dec</v>
      </c>
      <c r="M3660" s="1" t="str">
        <f t="shared" si="3"/>
        <v>Loss</v>
      </c>
    </row>
    <row r="3661" ht="14.25" customHeight="1">
      <c r="A3661" s="1" t="s">
        <v>3695</v>
      </c>
      <c r="B3661" s="2">
        <v>44684.0</v>
      </c>
      <c r="C3661" s="1" t="s">
        <v>30</v>
      </c>
      <c r="D3661" s="1" t="s">
        <v>15</v>
      </c>
      <c r="E3661" s="1" t="s">
        <v>16</v>
      </c>
      <c r="F3661" s="1">
        <v>943.05</v>
      </c>
      <c r="G3661" s="1">
        <v>248.61</v>
      </c>
      <c r="H3661" s="1">
        <v>3.0</v>
      </c>
      <c r="I3661" s="1" t="s">
        <v>23</v>
      </c>
      <c r="J3661" s="1" t="s">
        <v>18</v>
      </c>
      <c r="K3661" s="1">
        <f t="shared" si="1"/>
        <v>2022</v>
      </c>
      <c r="L3661" s="1" t="str">
        <f t="shared" si="2"/>
        <v>May</v>
      </c>
      <c r="M3661" s="1" t="str">
        <f t="shared" si="3"/>
        <v>Profit</v>
      </c>
    </row>
    <row r="3662" ht="14.25" customHeight="1">
      <c r="A3662" s="1" t="s">
        <v>3696</v>
      </c>
      <c r="B3662" s="2">
        <v>44391.0</v>
      </c>
      <c r="C3662" s="1" t="s">
        <v>26</v>
      </c>
      <c r="D3662" s="1" t="s">
        <v>27</v>
      </c>
      <c r="E3662" s="1" t="s">
        <v>40</v>
      </c>
      <c r="F3662" s="1">
        <v>725.02</v>
      </c>
      <c r="G3662" s="1">
        <v>141.15</v>
      </c>
      <c r="H3662" s="1">
        <v>9.0</v>
      </c>
      <c r="I3662" s="1" t="s">
        <v>17</v>
      </c>
      <c r="J3662" s="1" t="s">
        <v>24</v>
      </c>
      <c r="K3662" s="1">
        <f t="shared" si="1"/>
        <v>2021</v>
      </c>
      <c r="L3662" s="1" t="str">
        <f t="shared" si="2"/>
        <v>Jul</v>
      </c>
      <c r="M3662" s="1" t="str">
        <f t="shared" si="3"/>
        <v>Profit</v>
      </c>
    </row>
    <row r="3663" ht="14.25" customHeight="1">
      <c r="A3663" s="1" t="s">
        <v>3697</v>
      </c>
      <c r="B3663" s="2">
        <v>44804.0</v>
      </c>
      <c r="C3663" s="1" t="s">
        <v>30</v>
      </c>
      <c r="D3663" s="1" t="s">
        <v>27</v>
      </c>
      <c r="E3663" s="1" t="s">
        <v>28</v>
      </c>
      <c r="F3663" s="1">
        <v>454.94</v>
      </c>
      <c r="G3663" s="1">
        <v>-170.87</v>
      </c>
      <c r="H3663" s="1">
        <v>4.0</v>
      </c>
      <c r="I3663" s="1" t="s">
        <v>34</v>
      </c>
      <c r="J3663" s="1" t="s">
        <v>35</v>
      </c>
      <c r="K3663" s="1">
        <f t="shared" si="1"/>
        <v>2022</v>
      </c>
      <c r="L3663" s="1" t="str">
        <f t="shared" si="2"/>
        <v>Aug</v>
      </c>
      <c r="M3663" s="1" t="str">
        <f t="shared" si="3"/>
        <v>Loss</v>
      </c>
    </row>
    <row r="3664" ht="14.25" customHeight="1">
      <c r="A3664" s="1" t="s">
        <v>3698</v>
      </c>
      <c r="B3664" s="2">
        <v>44397.0</v>
      </c>
      <c r="C3664" s="1" t="s">
        <v>26</v>
      </c>
      <c r="D3664" s="1" t="s">
        <v>15</v>
      </c>
      <c r="E3664" s="1" t="s">
        <v>16</v>
      </c>
      <c r="F3664" s="1">
        <v>579.54</v>
      </c>
      <c r="G3664" s="1">
        <v>-160.46</v>
      </c>
      <c r="H3664" s="1">
        <v>1.0</v>
      </c>
      <c r="I3664" s="1" t="s">
        <v>23</v>
      </c>
      <c r="J3664" s="1" t="s">
        <v>18</v>
      </c>
      <c r="K3664" s="1">
        <f t="shared" si="1"/>
        <v>2021</v>
      </c>
      <c r="L3664" s="1" t="str">
        <f t="shared" si="2"/>
        <v>Jul</v>
      </c>
      <c r="M3664" s="1" t="str">
        <f t="shared" si="3"/>
        <v>Loss</v>
      </c>
    </row>
    <row r="3665" ht="14.25" customHeight="1">
      <c r="A3665" s="1" t="s">
        <v>3699</v>
      </c>
      <c r="B3665" s="2">
        <v>44462.0</v>
      </c>
      <c r="C3665" s="1" t="s">
        <v>14</v>
      </c>
      <c r="D3665" s="1" t="s">
        <v>15</v>
      </c>
      <c r="E3665" s="1" t="s">
        <v>16</v>
      </c>
      <c r="F3665" s="1">
        <v>614.1</v>
      </c>
      <c r="G3665" s="1">
        <v>47.59</v>
      </c>
      <c r="H3665" s="1">
        <v>2.0</v>
      </c>
      <c r="I3665" s="1" t="s">
        <v>34</v>
      </c>
      <c r="J3665" s="1" t="s">
        <v>35</v>
      </c>
      <c r="K3665" s="1">
        <f t="shared" si="1"/>
        <v>2021</v>
      </c>
      <c r="L3665" s="1" t="str">
        <f t="shared" si="2"/>
        <v>Sep</v>
      </c>
      <c r="M3665" s="1" t="str">
        <f t="shared" si="3"/>
        <v>Profit</v>
      </c>
    </row>
    <row r="3666" ht="14.25" customHeight="1">
      <c r="A3666" s="1" t="s">
        <v>3700</v>
      </c>
      <c r="B3666" s="2">
        <v>44654.0</v>
      </c>
      <c r="C3666" s="1" t="s">
        <v>26</v>
      </c>
      <c r="D3666" s="1" t="s">
        <v>27</v>
      </c>
      <c r="E3666" s="1" t="s">
        <v>28</v>
      </c>
      <c r="F3666" s="1">
        <v>909.79</v>
      </c>
      <c r="G3666" s="1">
        <v>197.18</v>
      </c>
      <c r="H3666" s="1">
        <v>4.0</v>
      </c>
      <c r="I3666" s="1" t="s">
        <v>34</v>
      </c>
      <c r="J3666" s="1" t="s">
        <v>38</v>
      </c>
      <c r="K3666" s="1">
        <f t="shared" si="1"/>
        <v>2022</v>
      </c>
      <c r="L3666" s="1" t="str">
        <f t="shared" si="2"/>
        <v>Apr</v>
      </c>
      <c r="M3666" s="1" t="str">
        <f t="shared" si="3"/>
        <v>Profit</v>
      </c>
    </row>
    <row r="3667" ht="14.25" customHeight="1">
      <c r="A3667" s="1" t="s">
        <v>3701</v>
      </c>
      <c r="B3667" s="2">
        <v>44327.0</v>
      </c>
      <c r="C3667" s="1" t="s">
        <v>20</v>
      </c>
      <c r="D3667" s="1" t="s">
        <v>15</v>
      </c>
      <c r="E3667" s="1" t="s">
        <v>31</v>
      </c>
      <c r="F3667" s="1">
        <v>485.01</v>
      </c>
      <c r="G3667" s="1">
        <v>64.22</v>
      </c>
      <c r="H3667" s="1">
        <v>10.0</v>
      </c>
      <c r="I3667" s="1" t="s">
        <v>17</v>
      </c>
      <c r="J3667" s="1" t="s">
        <v>38</v>
      </c>
      <c r="K3667" s="1">
        <f t="shared" si="1"/>
        <v>2021</v>
      </c>
      <c r="L3667" s="1" t="str">
        <f t="shared" si="2"/>
        <v>May</v>
      </c>
      <c r="M3667" s="1" t="str">
        <f t="shared" si="3"/>
        <v>Profit</v>
      </c>
    </row>
    <row r="3668" ht="14.25" customHeight="1">
      <c r="A3668" s="1" t="s">
        <v>3702</v>
      </c>
      <c r="B3668" s="2">
        <v>44898.0</v>
      </c>
      <c r="C3668" s="1" t="s">
        <v>14</v>
      </c>
      <c r="D3668" s="1" t="s">
        <v>27</v>
      </c>
      <c r="E3668" s="1" t="s">
        <v>33</v>
      </c>
      <c r="F3668" s="1">
        <v>908.27</v>
      </c>
      <c r="G3668" s="1">
        <v>-182.24</v>
      </c>
      <c r="H3668" s="1">
        <v>4.0</v>
      </c>
      <c r="I3668" s="1" t="s">
        <v>23</v>
      </c>
      <c r="J3668" s="1" t="s">
        <v>35</v>
      </c>
      <c r="K3668" s="1">
        <f t="shared" si="1"/>
        <v>2022</v>
      </c>
      <c r="L3668" s="1" t="str">
        <f t="shared" si="2"/>
        <v>Dec</v>
      </c>
      <c r="M3668" s="1" t="str">
        <f t="shared" si="3"/>
        <v>Loss</v>
      </c>
    </row>
    <row r="3669" ht="14.25" customHeight="1">
      <c r="A3669" s="1" t="s">
        <v>3703</v>
      </c>
      <c r="B3669" s="2">
        <v>44526.0</v>
      </c>
      <c r="C3669" s="1" t="s">
        <v>14</v>
      </c>
      <c r="D3669" s="1" t="s">
        <v>27</v>
      </c>
      <c r="E3669" s="1" t="s">
        <v>40</v>
      </c>
      <c r="F3669" s="1">
        <v>896.11</v>
      </c>
      <c r="G3669" s="1">
        <v>-36.96</v>
      </c>
      <c r="H3669" s="1">
        <v>8.0</v>
      </c>
      <c r="I3669" s="1" t="s">
        <v>34</v>
      </c>
      <c r="J3669" s="1" t="s">
        <v>38</v>
      </c>
      <c r="K3669" s="1">
        <f t="shared" si="1"/>
        <v>2021</v>
      </c>
      <c r="L3669" s="1" t="str">
        <f t="shared" si="2"/>
        <v>Nov</v>
      </c>
      <c r="M3669" s="1" t="str">
        <f t="shared" si="3"/>
        <v>Loss</v>
      </c>
    </row>
    <row r="3670" ht="14.25" customHeight="1">
      <c r="A3670" s="1" t="s">
        <v>3704</v>
      </c>
      <c r="B3670" s="2">
        <v>44987.0</v>
      </c>
      <c r="C3670" s="1" t="s">
        <v>30</v>
      </c>
      <c r="D3670" s="1" t="s">
        <v>21</v>
      </c>
      <c r="E3670" s="1" t="s">
        <v>76</v>
      </c>
      <c r="F3670" s="1">
        <v>332.0</v>
      </c>
      <c r="G3670" s="1">
        <v>234.03</v>
      </c>
      <c r="H3670" s="1">
        <v>9.0</v>
      </c>
      <c r="I3670" s="1" t="s">
        <v>23</v>
      </c>
      <c r="J3670" s="1" t="s">
        <v>35</v>
      </c>
      <c r="K3670" s="1">
        <f t="shared" si="1"/>
        <v>2023</v>
      </c>
      <c r="L3670" s="1" t="str">
        <f t="shared" si="2"/>
        <v>Mar</v>
      </c>
      <c r="M3670" s="1" t="str">
        <f t="shared" si="3"/>
        <v>Profit</v>
      </c>
    </row>
    <row r="3671" ht="14.25" customHeight="1">
      <c r="A3671" s="1" t="s">
        <v>3705</v>
      </c>
      <c r="B3671" s="2">
        <v>44572.0</v>
      </c>
      <c r="C3671" s="1" t="s">
        <v>20</v>
      </c>
      <c r="D3671" s="1" t="s">
        <v>15</v>
      </c>
      <c r="E3671" s="1" t="s">
        <v>16</v>
      </c>
      <c r="F3671" s="1">
        <v>348.94</v>
      </c>
      <c r="G3671" s="1">
        <v>42.4</v>
      </c>
      <c r="H3671" s="1">
        <v>9.0</v>
      </c>
      <c r="I3671" s="1" t="s">
        <v>23</v>
      </c>
      <c r="J3671" s="1" t="s">
        <v>24</v>
      </c>
      <c r="K3671" s="1">
        <f t="shared" si="1"/>
        <v>2022</v>
      </c>
      <c r="L3671" s="1" t="str">
        <f t="shared" si="2"/>
        <v>Jan</v>
      </c>
      <c r="M3671" s="1" t="str">
        <f t="shared" si="3"/>
        <v>Profit</v>
      </c>
    </row>
    <row r="3672" ht="14.25" customHeight="1">
      <c r="A3672" s="1" t="s">
        <v>3706</v>
      </c>
      <c r="B3672" s="2">
        <v>44965.0</v>
      </c>
      <c r="C3672" s="1" t="s">
        <v>26</v>
      </c>
      <c r="D3672" s="1" t="s">
        <v>27</v>
      </c>
      <c r="E3672" s="1" t="s">
        <v>28</v>
      </c>
      <c r="F3672" s="1">
        <v>783.14</v>
      </c>
      <c r="G3672" s="1">
        <v>-162.5</v>
      </c>
      <c r="H3672" s="1">
        <v>1.0</v>
      </c>
      <c r="I3672" s="1" t="s">
        <v>34</v>
      </c>
      <c r="J3672" s="1" t="s">
        <v>35</v>
      </c>
      <c r="K3672" s="1">
        <f t="shared" si="1"/>
        <v>2023</v>
      </c>
      <c r="L3672" s="1" t="str">
        <f t="shared" si="2"/>
        <v>Feb</v>
      </c>
      <c r="M3672" s="1" t="str">
        <f t="shared" si="3"/>
        <v>Loss</v>
      </c>
    </row>
    <row r="3673" ht="14.25" customHeight="1">
      <c r="A3673" s="1" t="s">
        <v>3707</v>
      </c>
      <c r="B3673" s="2">
        <v>44575.0</v>
      </c>
      <c r="C3673" s="1" t="s">
        <v>26</v>
      </c>
      <c r="D3673" s="1" t="s">
        <v>21</v>
      </c>
      <c r="E3673" s="1" t="s">
        <v>76</v>
      </c>
      <c r="F3673" s="1">
        <v>144.44</v>
      </c>
      <c r="G3673" s="1">
        <v>-46.89</v>
      </c>
      <c r="H3673" s="1">
        <v>10.0</v>
      </c>
      <c r="I3673" s="1" t="s">
        <v>17</v>
      </c>
      <c r="J3673" s="1" t="s">
        <v>24</v>
      </c>
      <c r="K3673" s="1">
        <f t="shared" si="1"/>
        <v>2022</v>
      </c>
      <c r="L3673" s="1" t="str">
        <f t="shared" si="2"/>
        <v>Jan</v>
      </c>
      <c r="M3673" s="1" t="str">
        <f t="shared" si="3"/>
        <v>Loss</v>
      </c>
    </row>
    <row r="3674" ht="14.25" customHeight="1">
      <c r="A3674" s="1" t="s">
        <v>3708</v>
      </c>
      <c r="B3674" s="2">
        <v>44995.0</v>
      </c>
      <c r="C3674" s="1" t="s">
        <v>20</v>
      </c>
      <c r="D3674" s="1" t="s">
        <v>21</v>
      </c>
      <c r="E3674" s="1" t="s">
        <v>37</v>
      </c>
      <c r="F3674" s="1">
        <v>258.13</v>
      </c>
      <c r="G3674" s="1">
        <v>-2.64</v>
      </c>
      <c r="H3674" s="1">
        <v>4.0</v>
      </c>
      <c r="I3674" s="1" t="s">
        <v>17</v>
      </c>
      <c r="J3674" s="1" t="s">
        <v>35</v>
      </c>
      <c r="K3674" s="1">
        <f t="shared" si="1"/>
        <v>2023</v>
      </c>
      <c r="L3674" s="1" t="str">
        <f t="shared" si="2"/>
        <v>Mar</v>
      </c>
      <c r="M3674" s="1" t="str">
        <f t="shared" si="3"/>
        <v>Loss</v>
      </c>
    </row>
    <row r="3675" ht="14.25" customHeight="1">
      <c r="A3675" s="1" t="s">
        <v>3709</v>
      </c>
      <c r="B3675" s="2">
        <v>44486.0</v>
      </c>
      <c r="C3675" s="1" t="s">
        <v>20</v>
      </c>
      <c r="D3675" s="1" t="s">
        <v>15</v>
      </c>
      <c r="E3675" s="1" t="s">
        <v>31</v>
      </c>
      <c r="F3675" s="1">
        <v>177.85</v>
      </c>
      <c r="G3675" s="1">
        <v>-40.15</v>
      </c>
      <c r="H3675" s="1">
        <v>4.0</v>
      </c>
      <c r="I3675" s="1" t="s">
        <v>34</v>
      </c>
      <c r="J3675" s="1" t="s">
        <v>18</v>
      </c>
      <c r="K3675" s="1">
        <f t="shared" si="1"/>
        <v>2021</v>
      </c>
      <c r="L3675" s="1" t="str">
        <f t="shared" si="2"/>
        <v>Oct</v>
      </c>
      <c r="M3675" s="1" t="str">
        <f t="shared" si="3"/>
        <v>Loss</v>
      </c>
    </row>
    <row r="3676" ht="14.25" customHeight="1">
      <c r="A3676" s="1" t="s">
        <v>3710</v>
      </c>
      <c r="B3676" s="2">
        <v>44630.0</v>
      </c>
      <c r="C3676" s="1" t="s">
        <v>26</v>
      </c>
      <c r="D3676" s="1" t="s">
        <v>27</v>
      </c>
      <c r="E3676" s="1" t="s">
        <v>28</v>
      </c>
      <c r="F3676" s="1">
        <v>770.74</v>
      </c>
      <c r="G3676" s="1">
        <v>155.63</v>
      </c>
      <c r="H3676" s="1">
        <v>10.0</v>
      </c>
      <c r="I3676" s="1" t="s">
        <v>34</v>
      </c>
      <c r="J3676" s="1" t="s">
        <v>18</v>
      </c>
      <c r="K3676" s="1">
        <f t="shared" si="1"/>
        <v>2022</v>
      </c>
      <c r="L3676" s="1" t="str">
        <f t="shared" si="2"/>
        <v>Mar</v>
      </c>
      <c r="M3676" s="1" t="str">
        <f t="shared" si="3"/>
        <v>Profit</v>
      </c>
    </row>
    <row r="3677" ht="14.25" customHeight="1">
      <c r="A3677" s="1" t="s">
        <v>3711</v>
      </c>
      <c r="B3677" s="2">
        <v>44907.0</v>
      </c>
      <c r="C3677" s="1" t="s">
        <v>20</v>
      </c>
      <c r="D3677" s="1" t="s">
        <v>21</v>
      </c>
      <c r="E3677" s="1" t="s">
        <v>37</v>
      </c>
      <c r="F3677" s="1">
        <v>660.0</v>
      </c>
      <c r="G3677" s="1">
        <v>102.57</v>
      </c>
      <c r="H3677" s="1">
        <v>2.0</v>
      </c>
      <c r="I3677" s="1" t="s">
        <v>23</v>
      </c>
      <c r="J3677" s="1" t="s">
        <v>24</v>
      </c>
      <c r="K3677" s="1">
        <f t="shared" si="1"/>
        <v>2022</v>
      </c>
      <c r="L3677" s="1" t="str">
        <f t="shared" si="2"/>
        <v>Dec</v>
      </c>
      <c r="M3677" s="1" t="str">
        <f t="shared" si="3"/>
        <v>Profit</v>
      </c>
    </row>
    <row r="3678" ht="14.25" customHeight="1">
      <c r="A3678" s="1" t="s">
        <v>3712</v>
      </c>
      <c r="B3678" s="2">
        <v>44492.0</v>
      </c>
      <c r="C3678" s="1" t="s">
        <v>26</v>
      </c>
      <c r="D3678" s="1" t="s">
        <v>27</v>
      </c>
      <c r="E3678" s="1" t="s">
        <v>28</v>
      </c>
      <c r="F3678" s="1">
        <v>664.74</v>
      </c>
      <c r="G3678" s="1">
        <v>147.5</v>
      </c>
      <c r="H3678" s="1">
        <v>3.0</v>
      </c>
      <c r="I3678" s="1" t="s">
        <v>17</v>
      </c>
      <c r="J3678" s="1" t="s">
        <v>38</v>
      </c>
      <c r="K3678" s="1">
        <f t="shared" si="1"/>
        <v>2021</v>
      </c>
      <c r="L3678" s="1" t="str">
        <f t="shared" si="2"/>
        <v>Oct</v>
      </c>
      <c r="M3678" s="1" t="str">
        <f t="shared" si="3"/>
        <v>Profit</v>
      </c>
    </row>
    <row r="3679" ht="14.25" customHeight="1">
      <c r="A3679" s="1" t="s">
        <v>3713</v>
      </c>
      <c r="B3679" s="2">
        <v>45031.0</v>
      </c>
      <c r="C3679" s="1" t="s">
        <v>30</v>
      </c>
      <c r="D3679" s="1" t="s">
        <v>21</v>
      </c>
      <c r="E3679" s="1" t="s">
        <v>76</v>
      </c>
      <c r="F3679" s="1">
        <v>510.24</v>
      </c>
      <c r="G3679" s="1">
        <v>-108.97</v>
      </c>
      <c r="H3679" s="1">
        <v>1.0</v>
      </c>
      <c r="I3679" s="1" t="s">
        <v>17</v>
      </c>
      <c r="J3679" s="1" t="s">
        <v>38</v>
      </c>
      <c r="K3679" s="1">
        <f t="shared" si="1"/>
        <v>2023</v>
      </c>
      <c r="L3679" s="1" t="str">
        <f t="shared" si="2"/>
        <v>Apr</v>
      </c>
      <c r="M3679" s="1" t="str">
        <f t="shared" si="3"/>
        <v>Loss</v>
      </c>
    </row>
    <row r="3680" ht="14.25" customHeight="1">
      <c r="A3680" s="1" t="s">
        <v>3714</v>
      </c>
      <c r="B3680" s="2">
        <v>44409.0</v>
      </c>
      <c r="C3680" s="1" t="s">
        <v>20</v>
      </c>
      <c r="D3680" s="1" t="s">
        <v>21</v>
      </c>
      <c r="E3680" s="1" t="s">
        <v>76</v>
      </c>
      <c r="F3680" s="1">
        <v>885.07</v>
      </c>
      <c r="G3680" s="1">
        <v>179.79</v>
      </c>
      <c r="H3680" s="1">
        <v>7.0</v>
      </c>
      <c r="I3680" s="1" t="s">
        <v>23</v>
      </c>
      <c r="J3680" s="1" t="s">
        <v>18</v>
      </c>
      <c r="K3680" s="1">
        <f t="shared" si="1"/>
        <v>2021</v>
      </c>
      <c r="L3680" s="1" t="str">
        <f t="shared" si="2"/>
        <v>Aug</v>
      </c>
      <c r="M3680" s="1" t="str">
        <f t="shared" si="3"/>
        <v>Profit</v>
      </c>
    </row>
    <row r="3681" ht="14.25" customHeight="1">
      <c r="A3681" s="1" t="s">
        <v>3715</v>
      </c>
      <c r="B3681" s="2">
        <v>44510.0</v>
      </c>
      <c r="C3681" s="1" t="s">
        <v>30</v>
      </c>
      <c r="D3681" s="1" t="s">
        <v>21</v>
      </c>
      <c r="E3681" s="1" t="s">
        <v>37</v>
      </c>
      <c r="F3681" s="1">
        <v>654.6</v>
      </c>
      <c r="G3681" s="1">
        <v>-174.05</v>
      </c>
      <c r="H3681" s="1">
        <v>10.0</v>
      </c>
      <c r="I3681" s="1" t="s">
        <v>17</v>
      </c>
      <c r="J3681" s="1" t="s">
        <v>38</v>
      </c>
      <c r="K3681" s="1">
        <f t="shared" si="1"/>
        <v>2021</v>
      </c>
      <c r="L3681" s="1" t="str">
        <f t="shared" si="2"/>
        <v>Nov</v>
      </c>
      <c r="M3681" s="1" t="str">
        <f t="shared" si="3"/>
        <v>Loss</v>
      </c>
    </row>
    <row r="3682" ht="14.25" customHeight="1">
      <c r="A3682" s="1" t="s">
        <v>3716</v>
      </c>
      <c r="B3682" s="2">
        <v>45100.0</v>
      </c>
      <c r="C3682" s="1" t="s">
        <v>20</v>
      </c>
      <c r="D3682" s="1" t="s">
        <v>15</v>
      </c>
      <c r="E3682" s="1" t="s">
        <v>31</v>
      </c>
      <c r="F3682" s="1">
        <v>221.55</v>
      </c>
      <c r="G3682" s="1">
        <v>33.73</v>
      </c>
      <c r="H3682" s="1">
        <v>7.0</v>
      </c>
      <c r="I3682" s="1" t="s">
        <v>23</v>
      </c>
      <c r="J3682" s="1" t="s">
        <v>24</v>
      </c>
      <c r="K3682" s="1">
        <f t="shared" si="1"/>
        <v>2023</v>
      </c>
      <c r="L3682" s="1" t="str">
        <f t="shared" si="2"/>
        <v>Jun</v>
      </c>
      <c r="M3682" s="1" t="str">
        <f t="shared" si="3"/>
        <v>Profit</v>
      </c>
    </row>
    <row r="3683" ht="14.25" customHeight="1">
      <c r="A3683" s="1" t="s">
        <v>3717</v>
      </c>
      <c r="B3683" s="2">
        <v>44825.0</v>
      </c>
      <c r="C3683" s="1" t="s">
        <v>20</v>
      </c>
      <c r="D3683" s="1" t="s">
        <v>21</v>
      </c>
      <c r="E3683" s="1" t="s">
        <v>76</v>
      </c>
      <c r="F3683" s="1">
        <v>482.81</v>
      </c>
      <c r="G3683" s="1">
        <v>178.96</v>
      </c>
      <c r="H3683" s="1">
        <v>10.0</v>
      </c>
      <c r="I3683" s="1" t="s">
        <v>23</v>
      </c>
      <c r="J3683" s="1" t="s">
        <v>38</v>
      </c>
      <c r="K3683" s="1">
        <f t="shared" si="1"/>
        <v>2022</v>
      </c>
      <c r="L3683" s="1" t="str">
        <f t="shared" si="2"/>
        <v>Sep</v>
      </c>
      <c r="M3683" s="1" t="str">
        <f t="shared" si="3"/>
        <v>Profit</v>
      </c>
    </row>
    <row r="3684" ht="14.25" customHeight="1">
      <c r="A3684" s="1" t="s">
        <v>3718</v>
      </c>
      <c r="B3684" s="2">
        <v>45145.0</v>
      </c>
      <c r="C3684" s="1" t="s">
        <v>30</v>
      </c>
      <c r="D3684" s="1" t="s">
        <v>15</v>
      </c>
      <c r="E3684" s="1" t="s">
        <v>16</v>
      </c>
      <c r="F3684" s="1">
        <v>294.66</v>
      </c>
      <c r="G3684" s="1">
        <v>-117.8</v>
      </c>
      <c r="H3684" s="1">
        <v>3.0</v>
      </c>
      <c r="I3684" s="1" t="s">
        <v>17</v>
      </c>
      <c r="J3684" s="1" t="s">
        <v>35</v>
      </c>
      <c r="K3684" s="1">
        <f t="shared" si="1"/>
        <v>2023</v>
      </c>
      <c r="L3684" s="1" t="str">
        <f t="shared" si="2"/>
        <v>Aug</v>
      </c>
      <c r="M3684" s="1" t="str">
        <f t="shared" si="3"/>
        <v>Loss</v>
      </c>
    </row>
    <row r="3685" ht="14.25" customHeight="1">
      <c r="A3685" s="1" t="s">
        <v>3719</v>
      </c>
      <c r="B3685" s="2">
        <v>45198.0</v>
      </c>
      <c r="C3685" s="1" t="s">
        <v>14</v>
      </c>
      <c r="D3685" s="1" t="s">
        <v>21</v>
      </c>
      <c r="E3685" s="1" t="s">
        <v>76</v>
      </c>
      <c r="F3685" s="1">
        <v>137.03</v>
      </c>
      <c r="G3685" s="1">
        <v>291.29</v>
      </c>
      <c r="H3685" s="1">
        <v>6.0</v>
      </c>
      <c r="I3685" s="1" t="s">
        <v>23</v>
      </c>
      <c r="J3685" s="1" t="s">
        <v>18</v>
      </c>
      <c r="K3685" s="1">
        <f t="shared" si="1"/>
        <v>2023</v>
      </c>
      <c r="L3685" s="1" t="str">
        <f t="shared" si="2"/>
        <v>Sep</v>
      </c>
      <c r="M3685" s="1" t="str">
        <f t="shared" si="3"/>
        <v>Profit</v>
      </c>
    </row>
    <row r="3686" ht="14.25" customHeight="1">
      <c r="A3686" s="1" t="s">
        <v>3720</v>
      </c>
      <c r="B3686" s="2">
        <v>44286.0</v>
      </c>
      <c r="C3686" s="1" t="s">
        <v>14</v>
      </c>
      <c r="D3686" s="1" t="s">
        <v>15</v>
      </c>
      <c r="E3686" s="1" t="s">
        <v>16</v>
      </c>
      <c r="F3686" s="1">
        <v>800.21</v>
      </c>
      <c r="G3686" s="1">
        <v>-27.69</v>
      </c>
      <c r="H3686" s="1">
        <v>7.0</v>
      </c>
      <c r="I3686" s="1" t="s">
        <v>17</v>
      </c>
      <c r="J3686" s="1" t="s">
        <v>38</v>
      </c>
      <c r="K3686" s="1">
        <f t="shared" si="1"/>
        <v>2021</v>
      </c>
      <c r="L3686" s="1" t="str">
        <f t="shared" si="2"/>
        <v>Mar</v>
      </c>
      <c r="M3686" s="1" t="str">
        <f t="shared" si="3"/>
        <v>Loss</v>
      </c>
    </row>
    <row r="3687" ht="14.25" customHeight="1">
      <c r="A3687" s="1" t="s">
        <v>3721</v>
      </c>
      <c r="B3687" s="2">
        <v>44411.0</v>
      </c>
      <c r="C3687" s="1" t="s">
        <v>20</v>
      </c>
      <c r="D3687" s="1" t="s">
        <v>15</v>
      </c>
      <c r="E3687" s="1" t="s">
        <v>54</v>
      </c>
      <c r="F3687" s="1">
        <v>856.6</v>
      </c>
      <c r="G3687" s="1">
        <v>171.48</v>
      </c>
      <c r="H3687" s="1">
        <v>1.0</v>
      </c>
      <c r="I3687" s="1" t="s">
        <v>17</v>
      </c>
      <c r="J3687" s="1" t="s">
        <v>24</v>
      </c>
      <c r="K3687" s="1">
        <f t="shared" si="1"/>
        <v>2021</v>
      </c>
      <c r="L3687" s="1" t="str">
        <f t="shared" si="2"/>
        <v>Aug</v>
      </c>
      <c r="M3687" s="1" t="str">
        <f t="shared" si="3"/>
        <v>Profit</v>
      </c>
    </row>
    <row r="3688" ht="14.25" customHeight="1">
      <c r="A3688" s="1" t="s">
        <v>3722</v>
      </c>
      <c r="B3688" s="2">
        <v>44254.0</v>
      </c>
      <c r="C3688" s="1" t="s">
        <v>20</v>
      </c>
      <c r="D3688" s="1" t="s">
        <v>27</v>
      </c>
      <c r="E3688" s="1" t="s">
        <v>28</v>
      </c>
      <c r="F3688" s="1">
        <v>81.13</v>
      </c>
      <c r="G3688" s="1">
        <v>242.49</v>
      </c>
      <c r="H3688" s="1">
        <v>9.0</v>
      </c>
      <c r="I3688" s="1" t="s">
        <v>17</v>
      </c>
      <c r="J3688" s="1" t="s">
        <v>38</v>
      </c>
      <c r="K3688" s="1">
        <f t="shared" si="1"/>
        <v>2021</v>
      </c>
      <c r="L3688" s="1" t="str">
        <f t="shared" si="2"/>
        <v>Feb</v>
      </c>
      <c r="M3688" s="1" t="str">
        <f t="shared" si="3"/>
        <v>Profit</v>
      </c>
    </row>
    <row r="3689" ht="14.25" customHeight="1">
      <c r="A3689" s="1" t="s">
        <v>3723</v>
      </c>
      <c r="B3689" s="2">
        <v>44253.0</v>
      </c>
      <c r="C3689" s="1" t="s">
        <v>20</v>
      </c>
      <c r="D3689" s="1" t="s">
        <v>15</v>
      </c>
      <c r="E3689" s="1" t="s">
        <v>31</v>
      </c>
      <c r="F3689" s="1">
        <v>843.13</v>
      </c>
      <c r="G3689" s="1">
        <v>26.42</v>
      </c>
      <c r="H3689" s="1">
        <v>4.0</v>
      </c>
      <c r="I3689" s="1" t="s">
        <v>23</v>
      </c>
      <c r="J3689" s="1" t="s">
        <v>24</v>
      </c>
      <c r="K3689" s="1">
        <f t="shared" si="1"/>
        <v>2021</v>
      </c>
      <c r="L3689" s="1" t="str">
        <f t="shared" si="2"/>
        <v>Feb</v>
      </c>
      <c r="M3689" s="1" t="str">
        <f t="shared" si="3"/>
        <v>Profit</v>
      </c>
    </row>
    <row r="3690" ht="14.25" customHeight="1">
      <c r="A3690" s="1" t="s">
        <v>3724</v>
      </c>
      <c r="B3690" s="2">
        <v>44993.0</v>
      </c>
      <c r="C3690" s="1" t="s">
        <v>14</v>
      </c>
      <c r="D3690" s="1" t="s">
        <v>15</v>
      </c>
      <c r="E3690" s="1" t="s">
        <v>31</v>
      </c>
      <c r="F3690" s="1">
        <v>385.17</v>
      </c>
      <c r="G3690" s="1">
        <v>252.2</v>
      </c>
      <c r="H3690" s="1">
        <v>6.0</v>
      </c>
      <c r="I3690" s="1" t="s">
        <v>17</v>
      </c>
      <c r="J3690" s="1" t="s">
        <v>38</v>
      </c>
      <c r="K3690" s="1">
        <f t="shared" si="1"/>
        <v>2023</v>
      </c>
      <c r="L3690" s="1" t="str">
        <f t="shared" si="2"/>
        <v>Mar</v>
      </c>
      <c r="M3690" s="1" t="str">
        <f t="shared" si="3"/>
        <v>Profit</v>
      </c>
    </row>
    <row r="3691" ht="14.25" customHeight="1">
      <c r="A3691" s="1" t="s">
        <v>3725</v>
      </c>
      <c r="B3691" s="2">
        <v>44361.0</v>
      </c>
      <c r="C3691" s="1" t="s">
        <v>26</v>
      </c>
      <c r="D3691" s="1" t="s">
        <v>15</v>
      </c>
      <c r="E3691" s="1" t="s">
        <v>31</v>
      </c>
      <c r="F3691" s="1">
        <v>685.35</v>
      </c>
      <c r="G3691" s="1">
        <v>234.95</v>
      </c>
      <c r="H3691" s="1">
        <v>2.0</v>
      </c>
      <c r="I3691" s="1" t="s">
        <v>23</v>
      </c>
      <c r="J3691" s="1" t="s">
        <v>24</v>
      </c>
      <c r="K3691" s="1">
        <f t="shared" si="1"/>
        <v>2021</v>
      </c>
      <c r="L3691" s="1" t="str">
        <f t="shared" si="2"/>
        <v>Jun</v>
      </c>
      <c r="M3691" s="1" t="str">
        <f t="shared" si="3"/>
        <v>Profit</v>
      </c>
    </row>
    <row r="3692" ht="14.25" customHeight="1">
      <c r="A3692" s="1" t="s">
        <v>3726</v>
      </c>
      <c r="B3692" s="2">
        <v>44421.0</v>
      </c>
      <c r="C3692" s="1" t="s">
        <v>30</v>
      </c>
      <c r="D3692" s="1" t="s">
        <v>15</v>
      </c>
      <c r="E3692" s="1" t="s">
        <v>31</v>
      </c>
      <c r="F3692" s="1">
        <v>435.83</v>
      </c>
      <c r="G3692" s="1">
        <v>39.98</v>
      </c>
      <c r="H3692" s="1">
        <v>8.0</v>
      </c>
      <c r="I3692" s="1" t="s">
        <v>34</v>
      </c>
      <c r="J3692" s="1" t="s">
        <v>35</v>
      </c>
      <c r="K3692" s="1">
        <f t="shared" si="1"/>
        <v>2021</v>
      </c>
      <c r="L3692" s="1" t="str">
        <f t="shared" si="2"/>
        <v>Aug</v>
      </c>
      <c r="M3692" s="1" t="str">
        <f t="shared" si="3"/>
        <v>Profit</v>
      </c>
    </row>
    <row r="3693" ht="14.25" customHeight="1">
      <c r="A3693" s="1" t="s">
        <v>3727</v>
      </c>
      <c r="B3693" s="2">
        <v>44656.0</v>
      </c>
      <c r="C3693" s="1" t="s">
        <v>14</v>
      </c>
      <c r="D3693" s="1" t="s">
        <v>15</v>
      </c>
      <c r="E3693" s="1" t="s">
        <v>54</v>
      </c>
      <c r="F3693" s="1">
        <v>584.83</v>
      </c>
      <c r="G3693" s="1">
        <v>299.16</v>
      </c>
      <c r="H3693" s="1">
        <v>2.0</v>
      </c>
      <c r="I3693" s="1" t="s">
        <v>17</v>
      </c>
      <c r="J3693" s="1" t="s">
        <v>18</v>
      </c>
      <c r="K3693" s="1">
        <f t="shared" si="1"/>
        <v>2022</v>
      </c>
      <c r="L3693" s="1" t="str">
        <f t="shared" si="2"/>
        <v>Apr</v>
      </c>
      <c r="M3693" s="1" t="str">
        <f t="shared" si="3"/>
        <v>Profit</v>
      </c>
    </row>
    <row r="3694" ht="14.25" customHeight="1">
      <c r="A3694" s="1" t="s">
        <v>3728</v>
      </c>
      <c r="B3694" s="2">
        <v>44912.0</v>
      </c>
      <c r="C3694" s="1" t="s">
        <v>14</v>
      </c>
      <c r="D3694" s="1" t="s">
        <v>21</v>
      </c>
      <c r="E3694" s="1" t="s">
        <v>22</v>
      </c>
      <c r="F3694" s="1">
        <v>437.73</v>
      </c>
      <c r="G3694" s="1">
        <v>-191.83</v>
      </c>
      <c r="H3694" s="1">
        <v>2.0</v>
      </c>
      <c r="I3694" s="1" t="s">
        <v>17</v>
      </c>
      <c r="J3694" s="1" t="s">
        <v>38</v>
      </c>
      <c r="K3694" s="1">
        <f t="shared" si="1"/>
        <v>2022</v>
      </c>
      <c r="L3694" s="1" t="str">
        <f t="shared" si="2"/>
        <v>Dec</v>
      </c>
      <c r="M3694" s="1" t="str">
        <f t="shared" si="3"/>
        <v>Loss</v>
      </c>
    </row>
    <row r="3695" ht="14.25" customHeight="1">
      <c r="A3695" s="1" t="s">
        <v>3729</v>
      </c>
      <c r="B3695" s="2">
        <v>44635.0</v>
      </c>
      <c r="C3695" s="1" t="s">
        <v>20</v>
      </c>
      <c r="D3695" s="1" t="s">
        <v>15</v>
      </c>
      <c r="E3695" s="1" t="s">
        <v>16</v>
      </c>
      <c r="F3695" s="1">
        <v>146.6</v>
      </c>
      <c r="G3695" s="1">
        <v>-83.45</v>
      </c>
      <c r="H3695" s="1">
        <v>1.0</v>
      </c>
      <c r="I3695" s="1" t="s">
        <v>23</v>
      </c>
      <c r="J3695" s="1" t="s">
        <v>24</v>
      </c>
      <c r="K3695" s="1">
        <f t="shared" si="1"/>
        <v>2022</v>
      </c>
      <c r="L3695" s="1" t="str">
        <f t="shared" si="2"/>
        <v>Mar</v>
      </c>
      <c r="M3695" s="1" t="str">
        <f t="shared" si="3"/>
        <v>Loss</v>
      </c>
    </row>
    <row r="3696" ht="14.25" customHeight="1">
      <c r="A3696" s="1" t="s">
        <v>3730</v>
      </c>
      <c r="B3696" s="2">
        <v>44777.0</v>
      </c>
      <c r="C3696" s="1" t="s">
        <v>20</v>
      </c>
      <c r="D3696" s="1" t="s">
        <v>27</v>
      </c>
      <c r="E3696" s="1" t="s">
        <v>28</v>
      </c>
      <c r="F3696" s="1">
        <v>386.2</v>
      </c>
      <c r="G3696" s="1">
        <v>25.9</v>
      </c>
      <c r="H3696" s="1">
        <v>7.0</v>
      </c>
      <c r="I3696" s="1" t="s">
        <v>34</v>
      </c>
      <c r="J3696" s="1" t="s">
        <v>38</v>
      </c>
      <c r="K3696" s="1">
        <f t="shared" si="1"/>
        <v>2022</v>
      </c>
      <c r="L3696" s="1" t="str">
        <f t="shared" si="2"/>
        <v>Aug</v>
      </c>
      <c r="M3696" s="1" t="str">
        <f t="shared" si="3"/>
        <v>Profit</v>
      </c>
    </row>
    <row r="3697" ht="14.25" customHeight="1">
      <c r="A3697" s="1" t="s">
        <v>3731</v>
      </c>
      <c r="B3697" s="2">
        <v>45059.0</v>
      </c>
      <c r="C3697" s="1" t="s">
        <v>14</v>
      </c>
      <c r="D3697" s="1" t="s">
        <v>27</v>
      </c>
      <c r="E3697" s="1" t="s">
        <v>40</v>
      </c>
      <c r="F3697" s="1">
        <v>136.36</v>
      </c>
      <c r="G3697" s="1">
        <v>-66.66</v>
      </c>
      <c r="H3697" s="1">
        <v>5.0</v>
      </c>
      <c r="I3697" s="1" t="s">
        <v>23</v>
      </c>
      <c r="J3697" s="1" t="s">
        <v>18</v>
      </c>
      <c r="K3697" s="1">
        <f t="shared" si="1"/>
        <v>2023</v>
      </c>
      <c r="L3697" s="1" t="str">
        <f t="shared" si="2"/>
        <v>May</v>
      </c>
      <c r="M3697" s="1" t="str">
        <f t="shared" si="3"/>
        <v>Loss</v>
      </c>
    </row>
    <row r="3698" ht="14.25" customHeight="1">
      <c r="A3698" s="1" t="s">
        <v>3732</v>
      </c>
      <c r="B3698" s="2">
        <v>44384.0</v>
      </c>
      <c r="C3698" s="1" t="s">
        <v>14</v>
      </c>
      <c r="D3698" s="1" t="s">
        <v>21</v>
      </c>
      <c r="E3698" s="1" t="s">
        <v>22</v>
      </c>
      <c r="F3698" s="1">
        <v>346.61</v>
      </c>
      <c r="G3698" s="1">
        <v>18.67</v>
      </c>
      <c r="H3698" s="1">
        <v>7.0</v>
      </c>
      <c r="I3698" s="1" t="s">
        <v>34</v>
      </c>
      <c r="J3698" s="1" t="s">
        <v>24</v>
      </c>
      <c r="K3698" s="1">
        <f t="shared" si="1"/>
        <v>2021</v>
      </c>
      <c r="L3698" s="1" t="str">
        <f t="shared" si="2"/>
        <v>Jul</v>
      </c>
      <c r="M3698" s="1" t="str">
        <f t="shared" si="3"/>
        <v>Profit</v>
      </c>
    </row>
    <row r="3699" ht="14.25" customHeight="1">
      <c r="A3699" s="1" t="s">
        <v>3733</v>
      </c>
      <c r="B3699" s="2">
        <v>44646.0</v>
      </c>
      <c r="C3699" s="1" t="s">
        <v>26</v>
      </c>
      <c r="D3699" s="1" t="s">
        <v>21</v>
      </c>
      <c r="E3699" s="1" t="s">
        <v>76</v>
      </c>
      <c r="F3699" s="1">
        <v>61.6</v>
      </c>
      <c r="G3699" s="1">
        <v>-73.11</v>
      </c>
      <c r="H3699" s="1">
        <v>6.0</v>
      </c>
      <c r="I3699" s="1" t="s">
        <v>34</v>
      </c>
      <c r="J3699" s="1" t="s">
        <v>38</v>
      </c>
      <c r="K3699" s="1">
        <f t="shared" si="1"/>
        <v>2022</v>
      </c>
      <c r="L3699" s="1" t="str">
        <f t="shared" si="2"/>
        <v>Mar</v>
      </c>
      <c r="M3699" s="1" t="str">
        <f t="shared" si="3"/>
        <v>Loss</v>
      </c>
    </row>
    <row r="3700" ht="14.25" customHeight="1">
      <c r="A3700" s="1" t="s">
        <v>3734</v>
      </c>
      <c r="B3700" s="2">
        <v>44316.0</v>
      </c>
      <c r="C3700" s="1" t="s">
        <v>26</v>
      </c>
      <c r="D3700" s="1" t="s">
        <v>27</v>
      </c>
      <c r="E3700" s="1" t="s">
        <v>40</v>
      </c>
      <c r="F3700" s="1">
        <v>326.42</v>
      </c>
      <c r="G3700" s="1">
        <v>-46.78</v>
      </c>
      <c r="H3700" s="1">
        <v>1.0</v>
      </c>
      <c r="I3700" s="1" t="s">
        <v>34</v>
      </c>
      <c r="J3700" s="1" t="s">
        <v>18</v>
      </c>
      <c r="K3700" s="1">
        <f t="shared" si="1"/>
        <v>2021</v>
      </c>
      <c r="L3700" s="1" t="str">
        <f t="shared" si="2"/>
        <v>Apr</v>
      </c>
      <c r="M3700" s="1" t="str">
        <f t="shared" si="3"/>
        <v>Loss</v>
      </c>
    </row>
    <row r="3701" ht="14.25" customHeight="1">
      <c r="A3701" s="1" t="s">
        <v>3735</v>
      </c>
      <c r="B3701" s="2">
        <v>44979.0</v>
      </c>
      <c r="C3701" s="1" t="s">
        <v>20</v>
      </c>
      <c r="D3701" s="1" t="s">
        <v>21</v>
      </c>
      <c r="E3701" s="1" t="s">
        <v>37</v>
      </c>
      <c r="F3701" s="1">
        <v>201.24</v>
      </c>
      <c r="G3701" s="1">
        <v>-52.95</v>
      </c>
      <c r="H3701" s="1">
        <v>9.0</v>
      </c>
      <c r="I3701" s="1" t="s">
        <v>23</v>
      </c>
      <c r="J3701" s="1" t="s">
        <v>24</v>
      </c>
      <c r="K3701" s="1">
        <f t="shared" si="1"/>
        <v>2023</v>
      </c>
      <c r="L3701" s="1" t="str">
        <f t="shared" si="2"/>
        <v>Feb</v>
      </c>
      <c r="M3701" s="1" t="str">
        <f t="shared" si="3"/>
        <v>Loss</v>
      </c>
    </row>
    <row r="3702" ht="14.25" customHeight="1">
      <c r="A3702" s="1" t="s">
        <v>3736</v>
      </c>
      <c r="B3702" s="2">
        <v>45068.0</v>
      </c>
      <c r="C3702" s="1" t="s">
        <v>14</v>
      </c>
      <c r="D3702" s="1" t="s">
        <v>21</v>
      </c>
      <c r="E3702" s="1" t="s">
        <v>22</v>
      </c>
      <c r="F3702" s="1">
        <v>662.11</v>
      </c>
      <c r="G3702" s="1">
        <v>-42.49</v>
      </c>
      <c r="H3702" s="1">
        <v>4.0</v>
      </c>
      <c r="I3702" s="1" t="s">
        <v>34</v>
      </c>
      <c r="J3702" s="1" t="s">
        <v>38</v>
      </c>
      <c r="K3702" s="1">
        <f t="shared" si="1"/>
        <v>2023</v>
      </c>
      <c r="L3702" s="1" t="str">
        <f t="shared" si="2"/>
        <v>May</v>
      </c>
      <c r="M3702" s="1" t="str">
        <f t="shared" si="3"/>
        <v>Loss</v>
      </c>
    </row>
    <row r="3703" ht="14.25" customHeight="1">
      <c r="A3703" s="1" t="s">
        <v>3737</v>
      </c>
      <c r="B3703" s="2">
        <v>45022.0</v>
      </c>
      <c r="C3703" s="1" t="s">
        <v>30</v>
      </c>
      <c r="D3703" s="1" t="s">
        <v>27</v>
      </c>
      <c r="E3703" s="1" t="s">
        <v>28</v>
      </c>
      <c r="F3703" s="1">
        <v>383.65</v>
      </c>
      <c r="G3703" s="1">
        <v>-113.9</v>
      </c>
      <c r="H3703" s="1">
        <v>2.0</v>
      </c>
      <c r="I3703" s="1" t="s">
        <v>23</v>
      </c>
      <c r="J3703" s="1" t="s">
        <v>18</v>
      </c>
      <c r="K3703" s="1">
        <f t="shared" si="1"/>
        <v>2023</v>
      </c>
      <c r="L3703" s="1" t="str">
        <f t="shared" si="2"/>
        <v>Apr</v>
      </c>
      <c r="M3703" s="1" t="str">
        <f t="shared" si="3"/>
        <v>Loss</v>
      </c>
    </row>
    <row r="3704" ht="14.25" customHeight="1">
      <c r="A3704" s="1" t="s">
        <v>3738</v>
      </c>
      <c r="B3704" s="2">
        <v>44933.0</v>
      </c>
      <c r="C3704" s="1" t="s">
        <v>26</v>
      </c>
      <c r="D3704" s="1" t="s">
        <v>21</v>
      </c>
      <c r="E3704" s="1" t="s">
        <v>37</v>
      </c>
      <c r="F3704" s="1">
        <v>174.53</v>
      </c>
      <c r="G3704" s="1">
        <v>75.06</v>
      </c>
      <c r="H3704" s="1">
        <v>10.0</v>
      </c>
      <c r="I3704" s="1" t="s">
        <v>17</v>
      </c>
      <c r="J3704" s="1" t="s">
        <v>35</v>
      </c>
      <c r="K3704" s="1">
        <f t="shared" si="1"/>
        <v>2023</v>
      </c>
      <c r="L3704" s="1" t="str">
        <f t="shared" si="2"/>
        <v>Jan</v>
      </c>
      <c r="M3704" s="1" t="str">
        <f t="shared" si="3"/>
        <v>Profit</v>
      </c>
    </row>
    <row r="3705" ht="14.25" customHeight="1">
      <c r="A3705" s="1" t="s">
        <v>3739</v>
      </c>
      <c r="B3705" s="2">
        <v>44314.0</v>
      </c>
      <c r="C3705" s="1" t="s">
        <v>20</v>
      </c>
      <c r="D3705" s="1" t="s">
        <v>27</v>
      </c>
      <c r="E3705" s="1" t="s">
        <v>28</v>
      </c>
      <c r="F3705" s="1">
        <v>354.89</v>
      </c>
      <c r="G3705" s="1">
        <v>-46.49</v>
      </c>
      <c r="H3705" s="1">
        <v>3.0</v>
      </c>
      <c r="I3705" s="1" t="s">
        <v>17</v>
      </c>
      <c r="J3705" s="1" t="s">
        <v>18</v>
      </c>
      <c r="K3705" s="1">
        <f t="shared" si="1"/>
        <v>2021</v>
      </c>
      <c r="L3705" s="1" t="str">
        <f t="shared" si="2"/>
        <v>Apr</v>
      </c>
      <c r="M3705" s="1" t="str">
        <f t="shared" si="3"/>
        <v>Loss</v>
      </c>
    </row>
    <row r="3706" ht="14.25" customHeight="1">
      <c r="A3706" s="1" t="s">
        <v>3740</v>
      </c>
      <c r="B3706" s="2">
        <v>45273.0</v>
      </c>
      <c r="C3706" s="1" t="s">
        <v>30</v>
      </c>
      <c r="D3706" s="1" t="s">
        <v>27</v>
      </c>
      <c r="E3706" s="1" t="s">
        <v>40</v>
      </c>
      <c r="F3706" s="1">
        <v>99.76</v>
      </c>
      <c r="G3706" s="1">
        <v>47.73</v>
      </c>
      <c r="H3706" s="1">
        <v>6.0</v>
      </c>
      <c r="I3706" s="1" t="s">
        <v>17</v>
      </c>
      <c r="J3706" s="1" t="s">
        <v>24</v>
      </c>
      <c r="K3706" s="1">
        <f t="shared" si="1"/>
        <v>2023</v>
      </c>
      <c r="L3706" s="1" t="str">
        <f t="shared" si="2"/>
        <v>Dec</v>
      </c>
      <c r="M3706" s="1" t="str">
        <f t="shared" si="3"/>
        <v>Profit</v>
      </c>
    </row>
    <row r="3707" ht="14.25" customHeight="1">
      <c r="A3707" s="1" t="s">
        <v>3741</v>
      </c>
      <c r="B3707" s="2">
        <v>44712.0</v>
      </c>
      <c r="C3707" s="1" t="s">
        <v>14</v>
      </c>
      <c r="D3707" s="1" t="s">
        <v>21</v>
      </c>
      <c r="E3707" s="1" t="s">
        <v>76</v>
      </c>
      <c r="F3707" s="1">
        <v>716.24</v>
      </c>
      <c r="G3707" s="1">
        <v>-86.7</v>
      </c>
      <c r="H3707" s="1">
        <v>7.0</v>
      </c>
      <c r="I3707" s="1" t="s">
        <v>23</v>
      </c>
      <c r="J3707" s="1" t="s">
        <v>24</v>
      </c>
      <c r="K3707" s="1">
        <f t="shared" si="1"/>
        <v>2022</v>
      </c>
      <c r="L3707" s="1" t="str">
        <f t="shared" si="2"/>
        <v>May</v>
      </c>
      <c r="M3707" s="1" t="str">
        <f t="shared" si="3"/>
        <v>Loss</v>
      </c>
    </row>
    <row r="3708" ht="14.25" customHeight="1">
      <c r="A3708" s="1" t="s">
        <v>3742</v>
      </c>
      <c r="B3708" s="2">
        <v>44419.0</v>
      </c>
      <c r="C3708" s="1" t="s">
        <v>14</v>
      </c>
      <c r="D3708" s="1" t="s">
        <v>21</v>
      </c>
      <c r="E3708" s="1" t="s">
        <v>76</v>
      </c>
      <c r="F3708" s="1">
        <v>793.7</v>
      </c>
      <c r="G3708" s="1">
        <v>-199.07</v>
      </c>
      <c r="H3708" s="1">
        <v>1.0</v>
      </c>
      <c r="I3708" s="1" t="s">
        <v>34</v>
      </c>
      <c r="J3708" s="1" t="s">
        <v>24</v>
      </c>
      <c r="K3708" s="1">
        <f t="shared" si="1"/>
        <v>2021</v>
      </c>
      <c r="L3708" s="1" t="str">
        <f t="shared" si="2"/>
        <v>Aug</v>
      </c>
      <c r="M3708" s="1" t="str">
        <f t="shared" si="3"/>
        <v>Loss</v>
      </c>
    </row>
    <row r="3709" ht="14.25" customHeight="1">
      <c r="A3709" s="1" t="s">
        <v>3743</v>
      </c>
      <c r="B3709" s="2">
        <v>44351.0</v>
      </c>
      <c r="C3709" s="1" t="s">
        <v>20</v>
      </c>
      <c r="D3709" s="1" t="s">
        <v>15</v>
      </c>
      <c r="E3709" s="1" t="s">
        <v>31</v>
      </c>
      <c r="F3709" s="1">
        <v>777.26</v>
      </c>
      <c r="G3709" s="1">
        <v>2.5</v>
      </c>
      <c r="H3709" s="1">
        <v>10.0</v>
      </c>
      <c r="I3709" s="1" t="s">
        <v>17</v>
      </c>
      <c r="J3709" s="1" t="s">
        <v>24</v>
      </c>
      <c r="K3709" s="1">
        <f t="shared" si="1"/>
        <v>2021</v>
      </c>
      <c r="L3709" s="1" t="str">
        <f t="shared" si="2"/>
        <v>Jun</v>
      </c>
      <c r="M3709" s="1" t="str">
        <f t="shared" si="3"/>
        <v>Profit</v>
      </c>
    </row>
    <row r="3710" ht="14.25" customHeight="1">
      <c r="A3710" s="1" t="s">
        <v>3744</v>
      </c>
      <c r="B3710" s="2">
        <v>44823.0</v>
      </c>
      <c r="C3710" s="1" t="s">
        <v>14</v>
      </c>
      <c r="D3710" s="1" t="s">
        <v>15</v>
      </c>
      <c r="E3710" s="1" t="s">
        <v>54</v>
      </c>
      <c r="F3710" s="1">
        <v>580.1</v>
      </c>
      <c r="G3710" s="1">
        <v>264.16</v>
      </c>
      <c r="H3710" s="1">
        <v>3.0</v>
      </c>
      <c r="I3710" s="1" t="s">
        <v>17</v>
      </c>
      <c r="J3710" s="1" t="s">
        <v>38</v>
      </c>
      <c r="K3710" s="1">
        <f t="shared" si="1"/>
        <v>2022</v>
      </c>
      <c r="L3710" s="1" t="str">
        <f t="shared" si="2"/>
        <v>Sep</v>
      </c>
      <c r="M3710" s="1" t="str">
        <f t="shared" si="3"/>
        <v>Profit</v>
      </c>
    </row>
    <row r="3711" ht="14.25" customHeight="1">
      <c r="A3711" s="1" t="s">
        <v>3745</v>
      </c>
      <c r="B3711" s="2">
        <v>44222.0</v>
      </c>
      <c r="C3711" s="1" t="s">
        <v>30</v>
      </c>
      <c r="D3711" s="1" t="s">
        <v>15</v>
      </c>
      <c r="E3711" s="1" t="s">
        <v>16</v>
      </c>
      <c r="F3711" s="1">
        <v>363.79</v>
      </c>
      <c r="G3711" s="1">
        <v>160.35</v>
      </c>
      <c r="H3711" s="1">
        <v>6.0</v>
      </c>
      <c r="I3711" s="1" t="s">
        <v>23</v>
      </c>
      <c r="J3711" s="1" t="s">
        <v>35</v>
      </c>
      <c r="K3711" s="1">
        <f t="shared" si="1"/>
        <v>2021</v>
      </c>
      <c r="L3711" s="1" t="str">
        <f t="shared" si="2"/>
        <v>Jan</v>
      </c>
      <c r="M3711" s="1" t="str">
        <f t="shared" si="3"/>
        <v>Profit</v>
      </c>
    </row>
    <row r="3712" ht="14.25" customHeight="1">
      <c r="A3712" s="1" t="s">
        <v>3746</v>
      </c>
      <c r="B3712" s="2">
        <v>45085.0</v>
      </c>
      <c r="C3712" s="1" t="s">
        <v>26</v>
      </c>
      <c r="D3712" s="1" t="s">
        <v>15</v>
      </c>
      <c r="E3712" s="1" t="s">
        <v>16</v>
      </c>
      <c r="F3712" s="1">
        <v>315.53</v>
      </c>
      <c r="G3712" s="1">
        <v>128.51</v>
      </c>
      <c r="H3712" s="1">
        <v>1.0</v>
      </c>
      <c r="I3712" s="1" t="s">
        <v>23</v>
      </c>
      <c r="J3712" s="1" t="s">
        <v>24</v>
      </c>
      <c r="K3712" s="1">
        <f t="shared" si="1"/>
        <v>2023</v>
      </c>
      <c r="L3712" s="1" t="str">
        <f t="shared" si="2"/>
        <v>Jun</v>
      </c>
      <c r="M3712" s="1" t="str">
        <f t="shared" si="3"/>
        <v>Profit</v>
      </c>
    </row>
    <row r="3713" ht="14.25" customHeight="1">
      <c r="A3713" s="1" t="s">
        <v>3747</v>
      </c>
      <c r="B3713" s="2">
        <v>44446.0</v>
      </c>
      <c r="C3713" s="1" t="s">
        <v>26</v>
      </c>
      <c r="D3713" s="1" t="s">
        <v>21</v>
      </c>
      <c r="E3713" s="1" t="s">
        <v>76</v>
      </c>
      <c r="F3713" s="1">
        <v>958.1</v>
      </c>
      <c r="G3713" s="1">
        <v>168.93</v>
      </c>
      <c r="H3713" s="1">
        <v>5.0</v>
      </c>
      <c r="I3713" s="1" t="s">
        <v>17</v>
      </c>
      <c r="J3713" s="1" t="s">
        <v>35</v>
      </c>
      <c r="K3713" s="1">
        <f t="shared" si="1"/>
        <v>2021</v>
      </c>
      <c r="L3713" s="1" t="str">
        <f t="shared" si="2"/>
        <v>Sep</v>
      </c>
      <c r="M3713" s="1" t="str">
        <f t="shared" si="3"/>
        <v>Profit</v>
      </c>
    </row>
    <row r="3714" ht="14.25" customHeight="1">
      <c r="A3714" s="1" t="s">
        <v>3748</v>
      </c>
      <c r="B3714" s="2">
        <v>45099.0</v>
      </c>
      <c r="C3714" s="1" t="s">
        <v>14</v>
      </c>
      <c r="D3714" s="1" t="s">
        <v>15</v>
      </c>
      <c r="E3714" s="1" t="s">
        <v>54</v>
      </c>
      <c r="F3714" s="1">
        <v>332.66</v>
      </c>
      <c r="G3714" s="1">
        <v>-87.46</v>
      </c>
      <c r="H3714" s="1">
        <v>4.0</v>
      </c>
      <c r="I3714" s="1" t="s">
        <v>34</v>
      </c>
      <c r="J3714" s="1" t="s">
        <v>35</v>
      </c>
      <c r="K3714" s="1">
        <f t="shared" si="1"/>
        <v>2023</v>
      </c>
      <c r="L3714" s="1" t="str">
        <f t="shared" si="2"/>
        <v>Jun</v>
      </c>
      <c r="M3714" s="1" t="str">
        <f t="shared" si="3"/>
        <v>Loss</v>
      </c>
    </row>
    <row r="3715" ht="14.25" customHeight="1">
      <c r="A3715" s="1" t="s">
        <v>3749</v>
      </c>
      <c r="B3715" s="2">
        <v>45271.0</v>
      </c>
      <c r="C3715" s="1" t="s">
        <v>20</v>
      </c>
      <c r="D3715" s="1" t="s">
        <v>21</v>
      </c>
      <c r="E3715" s="1" t="s">
        <v>37</v>
      </c>
      <c r="F3715" s="1">
        <v>992.83</v>
      </c>
      <c r="G3715" s="1">
        <v>159.69</v>
      </c>
      <c r="H3715" s="1">
        <v>4.0</v>
      </c>
      <c r="I3715" s="1" t="s">
        <v>23</v>
      </c>
      <c r="J3715" s="1" t="s">
        <v>24</v>
      </c>
      <c r="K3715" s="1">
        <f t="shared" si="1"/>
        <v>2023</v>
      </c>
      <c r="L3715" s="1" t="str">
        <f t="shared" si="2"/>
        <v>Dec</v>
      </c>
      <c r="M3715" s="1" t="str">
        <f t="shared" si="3"/>
        <v>Profit</v>
      </c>
    </row>
    <row r="3716" ht="14.25" customHeight="1">
      <c r="A3716" s="1" t="s">
        <v>3750</v>
      </c>
      <c r="B3716" s="2">
        <v>44512.0</v>
      </c>
      <c r="C3716" s="1" t="s">
        <v>30</v>
      </c>
      <c r="D3716" s="1" t="s">
        <v>21</v>
      </c>
      <c r="E3716" s="1" t="s">
        <v>22</v>
      </c>
      <c r="F3716" s="1">
        <v>863.74</v>
      </c>
      <c r="G3716" s="1">
        <v>8.51</v>
      </c>
      <c r="H3716" s="1">
        <v>7.0</v>
      </c>
      <c r="I3716" s="1" t="s">
        <v>34</v>
      </c>
      <c r="J3716" s="1" t="s">
        <v>18</v>
      </c>
      <c r="K3716" s="1">
        <f t="shared" si="1"/>
        <v>2021</v>
      </c>
      <c r="L3716" s="1" t="str">
        <f t="shared" si="2"/>
        <v>Nov</v>
      </c>
      <c r="M3716" s="1" t="str">
        <f t="shared" si="3"/>
        <v>Profit</v>
      </c>
    </row>
    <row r="3717" ht="14.25" customHeight="1">
      <c r="A3717" s="1" t="s">
        <v>3751</v>
      </c>
      <c r="B3717" s="2">
        <v>44584.0</v>
      </c>
      <c r="C3717" s="1" t="s">
        <v>14</v>
      </c>
      <c r="D3717" s="1" t="s">
        <v>21</v>
      </c>
      <c r="E3717" s="1" t="s">
        <v>76</v>
      </c>
      <c r="F3717" s="1">
        <v>507.1</v>
      </c>
      <c r="G3717" s="1">
        <v>-127.89</v>
      </c>
      <c r="H3717" s="1">
        <v>7.0</v>
      </c>
      <c r="I3717" s="1" t="s">
        <v>23</v>
      </c>
      <c r="J3717" s="1" t="s">
        <v>38</v>
      </c>
      <c r="K3717" s="1">
        <f t="shared" si="1"/>
        <v>2022</v>
      </c>
      <c r="L3717" s="1" t="str">
        <f t="shared" si="2"/>
        <v>Jan</v>
      </c>
      <c r="M3717" s="1" t="str">
        <f t="shared" si="3"/>
        <v>Loss</v>
      </c>
    </row>
    <row r="3718" ht="14.25" customHeight="1">
      <c r="A3718" s="1" t="s">
        <v>3752</v>
      </c>
      <c r="B3718" s="2">
        <v>44325.0</v>
      </c>
      <c r="C3718" s="1" t="s">
        <v>14</v>
      </c>
      <c r="D3718" s="1" t="s">
        <v>15</v>
      </c>
      <c r="E3718" s="1" t="s">
        <v>54</v>
      </c>
      <c r="F3718" s="1">
        <v>570.66</v>
      </c>
      <c r="G3718" s="1">
        <v>71.61</v>
      </c>
      <c r="H3718" s="1">
        <v>9.0</v>
      </c>
      <c r="I3718" s="1" t="s">
        <v>34</v>
      </c>
      <c r="J3718" s="1" t="s">
        <v>24</v>
      </c>
      <c r="K3718" s="1">
        <f t="shared" si="1"/>
        <v>2021</v>
      </c>
      <c r="L3718" s="1" t="str">
        <f t="shared" si="2"/>
        <v>May</v>
      </c>
      <c r="M3718" s="1" t="str">
        <f t="shared" si="3"/>
        <v>Profit</v>
      </c>
    </row>
    <row r="3719" ht="14.25" customHeight="1">
      <c r="A3719" s="1" t="s">
        <v>3753</v>
      </c>
      <c r="B3719" s="2">
        <v>44522.0</v>
      </c>
      <c r="C3719" s="1" t="s">
        <v>26</v>
      </c>
      <c r="D3719" s="1" t="s">
        <v>15</v>
      </c>
      <c r="E3719" s="1" t="s">
        <v>16</v>
      </c>
      <c r="F3719" s="1">
        <v>996.68</v>
      </c>
      <c r="G3719" s="1">
        <v>-171.35</v>
      </c>
      <c r="H3719" s="1">
        <v>9.0</v>
      </c>
      <c r="I3719" s="1" t="s">
        <v>23</v>
      </c>
      <c r="J3719" s="1" t="s">
        <v>38</v>
      </c>
      <c r="K3719" s="1">
        <f t="shared" si="1"/>
        <v>2021</v>
      </c>
      <c r="L3719" s="1" t="str">
        <f t="shared" si="2"/>
        <v>Nov</v>
      </c>
      <c r="M3719" s="1" t="str">
        <f t="shared" si="3"/>
        <v>Loss</v>
      </c>
    </row>
    <row r="3720" ht="14.25" customHeight="1">
      <c r="A3720" s="1" t="s">
        <v>3754</v>
      </c>
      <c r="B3720" s="2">
        <v>45041.0</v>
      </c>
      <c r="C3720" s="1" t="s">
        <v>30</v>
      </c>
      <c r="D3720" s="1" t="s">
        <v>21</v>
      </c>
      <c r="E3720" s="1" t="s">
        <v>76</v>
      </c>
      <c r="F3720" s="1">
        <v>541.47</v>
      </c>
      <c r="G3720" s="1">
        <v>-150.59</v>
      </c>
      <c r="H3720" s="1">
        <v>3.0</v>
      </c>
      <c r="I3720" s="1" t="s">
        <v>17</v>
      </c>
      <c r="J3720" s="1" t="s">
        <v>18</v>
      </c>
      <c r="K3720" s="1">
        <f t="shared" si="1"/>
        <v>2023</v>
      </c>
      <c r="L3720" s="1" t="str">
        <f t="shared" si="2"/>
        <v>Apr</v>
      </c>
      <c r="M3720" s="1" t="str">
        <f t="shared" si="3"/>
        <v>Loss</v>
      </c>
    </row>
    <row r="3721" ht="14.25" customHeight="1">
      <c r="A3721" s="1" t="s">
        <v>3755</v>
      </c>
      <c r="B3721" s="2">
        <v>44645.0</v>
      </c>
      <c r="C3721" s="1" t="s">
        <v>26</v>
      </c>
      <c r="D3721" s="1" t="s">
        <v>15</v>
      </c>
      <c r="E3721" s="1" t="s">
        <v>54</v>
      </c>
      <c r="F3721" s="1">
        <v>314.01</v>
      </c>
      <c r="G3721" s="1">
        <v>265.25</v>
      </c>
      <c r="H3721" s="1">
        <v>1.0</v>
      </c>
      <c r="I3721" s="1" t="s">
        <v>17</v>
      </c>
      <c r="J3721" s="1" t="s">
        <v>35</v>
      </c>
      <c r="K3721" s="1">
        <f t="shared" si="1"/>
        <v>2022</v>
      </c>
      <c r="L3721" s="1" t="str">
        <f t="shared" si="2"/>
        <v>Mar</v>
      </c>
      <c r="M3721" s="1" t="str">
        <f t="shared" si="3"/>
        <v>Profit</v>
      </c>
    </row>
    <row r="3722" ht="14.25" customHeight="1">
      <c r="A3722" s="1" t="s">
        <v>3756</v>
      </c>
      <c r="B3722" s="2">
        <v>44929.0</v>
      </c>
      <c r="C3722" s="1" t="s">
        <v>14</v>
      </c>
      <c r="D3722" s="1" t="s">
        <v>21</v>
      </c>
      <c r="E3722" s="1" t="s">
        <v>76</v>
      </c>
      <c r="F3722" s="1">
        <v>93.12</v>
      </c>
      <c r="G3722" s="1">
        <v>4.93</v>
      </c>
      <c r="H3722" s="1">
        <v>3.0</v>
      </c>
      <c r="I3722" s="1" t="s">
        <v>17</v>
      </c>
      <c r="J3722" s="1" t="s">
        <v>18</v>
      </c>
      <c r="K3722" s="1">
        <f t="shared" si="1"/>
        <v>2023</v>
      </c>
      <c r="L3722" s="1" t="str">
        <f t="shared" si="2"/>
        <v>Jan</v>
      </c>
      <c r="M3722" s="1" t="str">
        <f t="shared" si="3"/>
        <v>Profit</v>
      </c>
    </row>
    <row r="3723" ht="14.25" customHeight="1">
      <c r="A3723" s="1" t="s">
        <v>3757</v>
      </c>
      <c r="B3723" s="2">
        <v>45035.0</v>
      </c>
      <c r="C3723" s="1" t="s">
        <v>14</v>
      </c>
      <c r="D3723" s="1" t="s">
        <v>27</v>
      </c>
      <c r="E3723" s="1" t="s">
        <v>28</v>
      </c>
      <c r="F3723" s="1">
        <v>584.44</v>
      </c>
      <c r="G3723" s="1">
        <v>-7.92</v>
      </c>
      <c r="H3723" s="1">
        <v>8.0</v>
      </c>
      <c r="I3723" s="1" t="s">
        <v>23</v>
      </c>
      <c r="J3723" s="1" t="s">
        <v>38</v>
      </c>
      <c r="K3723" s="1">
        <f t="shared" si="1"/>
        <v>2023</v>
      </c>
      <c r="L3723" s="1" t="str">
        <f t="shared" si="2"/>
        <v>Apr</v>
      </c>
      <c r="M3723" s="1" t="str">
        <f t="shared" si="3"/>
        <v>Loss</v>
      </c>
    </row>
    <row r="3724" ht="14.25" customHeight="1">
      <c r="A3724" s="1" t="s">
        <v>3758</v>
      </c>
      <c r="B3724" s="2">
        <v>44283.0</v>
      </c>
      <c r="C3724" s="1" t="s">
        <v>14</v>
      </c>
      <c r="D3724" s="1" t="s">
        <v>27</v>
      </c>
      <c r="E3724" s="1" t="s">
        <v>33</v>
      </c>
      <c r="F3724" s="1">
        <v>920.76</v>
      </c>
      <c r="G3724" s="1">
        <v>-51.75</v>
      </c>
      <c r="H3724" s="1">
        <v>6.0</v>
      </c>
      <c r="I3724" s="1" t="s">
        <v>23</v>
      </c>
      <c r="J3724" s="1" t="s">
        <v>18</v>
      </c>
      <c r="K3724" s="1">
        <f t="shared" si="1"/>
        <v>2021</v>
      </c>
      <c r="L3724" s="1" t="str">
        <f t="shared" si="2"/>
        <v>Mar</v>
      </c>
      <c r="M3724" s="1" t="str">
        <f t="shared" si="3"/>
        <v>Loss</v>
      </c>
    </row>
    <row r="3725" ht="14.25" customHeight="1">
      <c r="A3725" s="1" t="s">
        <v>3759</v>
      </c>
      <c r="B3725" s="2">
        <v>45255.0</v>
      </c>
      <c r="C3725" s="1" t="s">
        <v>14</v>
      </c>
      <c r="D3725" s="1" t="s">
        <v>21</v>
      </c>
      <c r="E3725" s="1" t="s">
        <v>22</v>
      </c>
      <c r="F3725" s="1">
        <v>937.9</v>
      </c>
      <c r="G3725" s="1">
        <v>49.67</v>
      </c>
      <c r="H3725" s="1">
        <v>9.0</v>
      </c>
      <c r="I3725" s="1" t="s">
        <v>17</v>
      </c>
      <c r="J3725" s="1" t="s">
        <v>35</v>
      </c>
      <c r="K3725" s="1">
        <f t="shared" si="1"/>
        <v>2023</v>
      </c>
      <c r="L3725" s="1" t="str">
        <f t="shared" si="2"/>
        <v>Nov</v>
      </c>
      <c r="M3725" s="1" t="str">
        <f t="shared" si="3"/>
        <v>Profit</v>
      </c>
    </row>
    <row r="3726" ht="14.25" customHeight="1">
      <c r="A3726" s="1" t="s">
        <v>3760</v>
      </c>
      <c r="B3726" s="2">
        <v>44329.0</v>
      </c>
      <c r="C3726" s="1" t="s">
        <v>26</v>
      </c>
      <c r="D3726" s="1" t="s">
        <v>27</v>
      </c>
      <c r="E3726" s="1" t="s">
        <v>40</v>
      </c>
      <c r="F3726" s="1">
        <v>180.44</v>
      </c>
      <c r="G3726" s="1">
        <v>-55.19</v>
      </c>
      <c r="H3726" s="1">
        <v>8.0</v>
      </c>
      <c r="I3726" s="1" t="s">
        <v>23</v>
      </c>
      <c r="J3726" s="1" t="s">
        <v>24</v>
      </c>
      <c r="K3726" s="1">
        <f t="shared" si="1"/>
        <v>2021</v>
      </c>
      <c r="L3726" s="1" t="str">
        <f t="shared" si="2"/>
        <v>May</v>
      </c>
      <c r="M3726" s="1" t="str">
        <f t="shared" si="3"/>
        <v>Loss</v>
      </c>
    </row>
    <row r="3727" ht="14.25" customHeight="1">
      <c r="A3727" s="1" t="s">
        <v>3761</v>
      </c>
      <c r="B3727" s="2">
        <v>44418.0</v>
      </c>
      <c r="C3727" s="1" t="s">
        <v>30</v>
      </c>
      <c r="D3727" s="1" t="s">
        <v>27</v>
      </c>
      <c r="E3727" s="1" t="s">
        <v>40</v>
      </c>
      <c r="F3727" s="1">
        <v>120.98</v>
      </c>
      <c r="G3727" s="1">
        <v>49.16</v>
      </c>
      <c r="H3727" s="1">
        <v>2.0</v>
      </c>
      <c r="I3727" s="1" t="s">
        <v>34</v>
      </c>
      <c r="J3727" s="1" t="s">
        <v>38</v>
      </c>
      <c r="K3727" s="1">
        <f t="shared" si="1"/>
        <v>2021</v>
      </c>
      <c r="L3727" s="1" t="str">
        <f t="shared" si="2"/>
        <v>Aug</v>
      </c>
      <c r="M3727" s="1" t="str">
        <f t="shared" si="3"/>
        <v>Profit</v>
      </c>
    </row>
    <row r="3728" ht="14.25" customHeight="1">
      <c r="A3728" s="1" t="s">
        <v>3762</v>
      </c>
      <c r="B3728" s="2">
        <v>45108.0</v>
      </c>
      <c r="C3728" s="1" t="s">
        <v>20</v>
      </c>
      <c r="D3728" s="1" t="s">
        <v>21</v>
      </c>
      <c r="E3728" s="1" t="s">
        <v>76</v>
      </c>
      <c r="F3728" s="1">
        <v>562.3</v>
      </c>
      <c r="G3728" s="1">
        <v>194.41</v>
      </c>
      <c r="H3728" s="1">
        <v>3.0</v>
      </c>
      <c r="I3728" s="1" t="s">
        <v>34</v>
      </c>
      <c r="J3728" s="1" t="s">
        <v>24</v>
      </c>
      <c r="K3728" s="1">
        <f t="shared" si="1"/>
        <v>2023</v>
      </c>
      <c r="L3728" s="1" t="str">
        <f t="shared" si="2"/>
        <v>Jul</v>
      </c>
      <c r="M3728" s="1" t="str">
        <f t="shared" si="3"/>
        <v>Profit</v>
      </c>
    </row>
    <row r="3729" ht="14.25" customHeight="1">
      <c r="A3729" s="1" t="s">
        <v>3763</v>
      </c>
      <c r="B3729" s="2">
        <v>44629.0</v>
      </c>
      <c r="C3729" s="1" t="s">
        <v>30</v>
      </c>
      <c r="D3729" s="1" t="s">
        <v>27</v>
      </c>
      <c r="E3729" s="1" t="s">
        <v>28</v>
      </c>
      <c r="F3729" s="1">
        <v>649.85</v>
      </c>
      <c r="G3729" s="1">
        <v>-1.83</v>
      </c>
      <c r="H3729" s="1">
        <v>10.0</v>
      </c>
      <c r="I3729" s="1" t="s">
        <v>23</v>
      </c>
      <c r="J3729" s="1" t="s">
        <v>24</v>
      </c>
      <c r="K3729" s="1">
        <f t="shared" si="1"/>
        <v>2022</v>
      </c>
      <c r="L3729" s="1" t="str">
        <f t="shared" si="2"/>
        <v>Mar</v>
      </c>
      <c r="M3729" s="1" t="str">
        <f t="shared" si="3"/>
        <v>Loss</v>
      </c>
    </row>
    <row r="3730" ht="14.25" customHeight="1">
      <c r="A3730" s="1" t="s">
        <v>3764</v>
      </c>
      <c r="B3730" s="2">
        <v>44661.0</v>
      </c>
      <c r="C3730" s="1" t="s">
        <v>30</v>
      </c>
      <c r="D3730" s="1" t="s">
        <v>21</v>
      </c>
      <c r="E3730" s="1" t="s">
        <v>76</v>
      </c>
      <c r="F3730" s="1">
        <v>616.84</v>
      </c>
      <c r="G3730" s="1">
        <v>-129.7</v>
      </c>
      <c r="H3730" s="1">
        <v>10.0</v>
      </c>
      <c r="I3730" s="1" t="s">
        <v>17</v>
      </c>
      <c r="J3730" s="1" t="s">
        <v>35</v>
      </c>
      <c r="K3730" s="1">
        <f t="shared" si="1"/>
        <v>2022</v>
      </c>
      <c r="L3730" s="1" t="str">
        <f t="shared" si="2"/>
        <v>Apr</v>
      </c>
      <c r="M3730" s="1" t="str">
        <f t="shared" si="3"/>
        <v>Loss</v>
      </c>
    </row>
    <row r="3731" ht="14.25" customHeight="1">
      <c r="A3731" s="1" t="s">
        <v>3765</v>
      </c>
      <c r="B3731" s="2">
        <v>45041.0</v>
      </c>
      <c r="C3731" s="1" t="s">
        <v>30</v>
      </c>
      <c r="D3731" s="1" t="s">
        <v>15</v>
      </c>
      <c r="E3731" s="1" t="s">
        <v>31</v>
      </c>
      <c r="F3731" s="1">
        <v>563.84</v>
      </c>
      <c r="G3731" s="1">
        <v>114.79</v>
      </c>
      <c r="H3731" s="1">
        <v>10.0</v>
      </c>
      <c r="I3731" s="1" t="s">
        <v>17</v>
      </c>
      <c r="J3731" s="1" t="s">
        <v>38</v>
      </c>
      <c r="K3731" s="1">
        <f t="shared" si="1"/>
        <v>2023</v>
      </c>
      <c r="L3731" s="1" t="str">
        <f t="shared" si="2"/>
        <v>Apr</v>
      </c>
      <c r="M3731" s="1" t="str">
        <f t="shared" si="3"/>
        <v>Profit</v>
      </c>
    </row>
    <row r="3732" ht="14.25" customHeight="1">
      <c r="A3732" s="1" t="s">
        <v>3766</v>
      </c>
      <c r="B3732" s="2">
        <v>44585.0</v>
      </c>
      <c r="C3732" s="1" t="s">
        <v>26</v>
      </c>
      <c r="D3732" s="1" t="s">
        <v>27</v>
      </c>
      <c r="E3732" s="1" t="s">
        <v>33</v>
      </c>
      <c r="F3732" s="1">
        <v>578.1</v>
      </c>
      <c r="G3732" s="1">
        <v>154.05</v>
      </c>
      <c r="H3732" s="1">
        <v>6.0</v>
      </c>
      <c r="I3732" s="1" t="s">
        <v>23</v>
      </c>
      <c r="J3732" s="1" t="s">
        <v>38</v>
      </c>
      <c r="K3732" s="1">
        <f t="shared" si="1"/>
        <v>2022</v>
      </c>
      <c r="L3732" s="1" t="str">
        <f t="shared" si="2"/>
        <v>Jan</v>
      </c>
      <c r="M3732" s="1" t="str">
        <f t="shared" si="3"/>
        <v>Profit</v>
      </c>
    </row>
    <row r="3733" ht="14.25" customHeight="1">
      <c r="A3733" s="1" t="s">
        <v>3767</v>
      </c>
      <c r="B3733" s="2">
        <v>44206.0</v>
      </c>
      <c r="C3733" s="1" t="s">
        <v>20</v>
      </c>
      <c r="D3733" s="1" t="s">
        <v>21</v>
      </c>
      <c r="E3733" s="1" t="s">
        <v>76</v>
      </c>
      <c r="F3733" s="1">
        <v>235.25</v>
      </c>
      <c r="G3733" s="1">
        <v>36.5</v>
      </c>
      <c r="H3733" s="1">
        <v>3.0</v>
      </c>
      <c r="I3733" s="1" t="s">
        <v>23</v>
      </c>
      <c r="J3733" s="1" t="s">
        <v>24</v>
      </c>
      <c r="K3733" s="1">
        <f t="shared" si="1"/>
        <v>2021</v>
      </c>
      <c r="L3733" s="1" t="str">
        <f t="shared" si="2"/>
        <v>Jan</v>
      </c>
      <c r="M3733" s="1" t="str">
        <f t="shared" si="3"/>
        <v>Profit</v>
      </c>
    </row>
    <row r="3734" ht="14.25" customHeight="1">
      <c r="A3734" s="1" t="s">
        <v>3768</v>
      </c>
      <c r="B3734" s="2">
        <v>44358.0</v>
      </c>
      <c r="C3734" s="1" t="s">
        <v>30</v>
      </c>
      <c r="D3734" s="1" t="s">
        <v>27</v>
      </c>
      <c r="E3734" s="1" t="s">
        <v>33</v>
      </c>
      <c r="F3734" s="1">
        <v>408.96</v>
      </c>
      <c r="G3734" s="1">
        <v>-140.43</v>
      </c>
      <c r="H3734" s="1">
        <v>2.0</v>
      </c>
      <c r="I3734" s="1" t="s">
        <v>23</v>
      </c>
      <c r="J3734" s="1" t="s">
        <v>18</v>
      </c>
      <c r="K3734" s="1">
        <f t="shared" si="1"/>
        <v>2021</v>
      </c>
      <c r="L3734" s="1" t="str">
        <f t="shared" si="2"/>
        <v>Jun</v>
      </c>
      <c r="M3734" s="1" t="str">
        <f t="shared" si="3"/>
        <v>Loss</v>
      </c>
    </row>
    <row r="3735" ht="14.25" customHeight="1">
      <c r="A3735" s="1" t="s">
        <v>3769</v>
      </c>
      <c r="B3735" s="2">
        <v>44977.0</v>
      </c>
      <c r="C3735" s="1" t="s">
        <v>14</v>
      </c>
      <c r="D3735" s="1" t="s">
        <v>27</v>
      </c>
      <c r="E3735" s="1" t="s">
        <v>28</v>
      </c>
      <c r="F3735" s="1">
        <v>499.18</v>
      </c>
      <c r="G3735" s="1">
        <v>-166.63</v>
      </c>
      <c r="H3735" s="1">
        <v>9.0</v>
      </c>
      <c r="I3735" s="1" t="s">
        <v>23</v>
      </c>
      <c r="J3735" s="1" t="s">
        <v>24</v>
      </c>
      <c r="K3735" s="1">
        <f t="shared" si="1"/>
        <v>2023</v>
      </c>
      <c r="L3735" s="1" t="str">
        <f t="shared" si="2"/>
        <v>Feb</v>
      </c>
      <c r="M3735" s="1" t="str">
        <f t="shared" si="3"/>
        <v>Loss</v>
      </c>
    </row>
    <row r="3736" ht="14.25" customHeight="1">
      <c r="A3736" s="1" t="s">
        <v>3770</v>
      </c>
      <c r="B3736" s="2">
        <v>44681.0</v>
      </c>
      <c r="C3736" s="1" t="s">
        <v>14</v>
      </c>
      <c r="D3736" s="1" t="s">
        <v>15</v>
      </c>
      <c r="E3736" s="1" t="s">
        <v>31</v>
      </c>
      <c r="F3736" s="1">
        <v>413.72</v>
      </c>
      <c r="G3736" s="1">
        <v>284.52</v>
      </c>
      <c r="H3736" s="1">
        <v>3.0</v>
      </c>
      <c r="I3736" s="1" t="s">
        <v>34</v>
      </c>
      <c r="J3736" s="1" t="s">
        <v>18</v>
      </c>
      <c r="K3736" s="1">
        <f t="shared" si="1"/>
        <v>2022</v>
      </c>
      <c r="L3736" s="1" t="str">
        <f t="shared" si="2"/>
        <v>Apr</v>
      </c>
      <c r="M3736" s="1" t="str">
        <f t="shared" si="3"/>
        <v>Profit</v>
      </c>
    </row>
    <row r="3737" ht="14.25" customHeight="1">
      <c r="A3737" s="1" t="s">
        <v>3771</v>
      </c>
      <c r="B3737" s="2">
        <v>45191.0</v>
      </c>
      <c r="C3737" s="1" t="s">
        <v>26</v>
      </c>
      <c r="D3737" s="1" t="s">
        <v>27</v>
      </c>
      <c r="E3737" s="1" t="s">
        <v>33</v>
      </c>
      <c r="F3737" s="1">
        <v>667.2</v>
      </c>
      <c r="G3737" s="1">
        <v>20.91</v>
      </c>
      <c r="H3737" s="1">
        <v>7.0</v>
      </c>
      <c r="I3737" s="1" t="s">
        <v>23</v>
      </c>
      <c r="J3737" s="1" t="s">
        <v>18</v>
      </c>
      <c r="K3737" s="1">
        <f t="shared" si="1"/>
        <v>2023</v>
      </c>
      <c r="L3737" s="1" t="str">
        <f t="shared" si="2"/>
        <v>Sep</v>
      </c>
      <c r="M3737" s="1" t="str">
        <f t="shared" si="3"/>
        <v>Profit</v>
      </c>
    </row>
    <row r="3738" ht="14.25" customHeight="1">
      <c r="A3738" s="1" t="s">
        <v>3772</v>
      </c>
      <c r="B3738" s="2">
        <v>45170.0</v>
      </c>
      <c r="C3738" s="1" t="s">
        <v>26</v>
      </c>
      <c r="D3738" s="1" t="s">
        <v>15</v>
      </c>
      <c r="E3738" s="1" t="s">
        <v>31</v>
      </c>
      <c r="F3738" s="1">
        <v>678.04</v>
      </c>
      <c r="G3738" s="1">
        <v>-25.34</v>
      </c>
      <c r="H3738" s="1">
        <v>3.0</v>
      </c>
      <c r="I3738" s="1" t="s">
        <v>34</v>
      </c>
      <c r="J3738" s="1" t="s">
        <v>35</v>
      </c>
      <c r="K3738" s="1">
        <f t="shared" si="1"/>
        <v>2023</v>
      </c>
      <c r="L3738" s="1" t="str">
        <f t="shared" si="2"/>
        <v>Sep</v>
      </c>
      <c r="M3738" s="1" t="str">
        <f t="shared" si="3"/>
        <v>Loss</v>
      </c>
    </row>
    <row r="3739" ht="14.25" customHeight="1">
      <c r="A3739" s="1" t="s">
        <v>3773</v>
      </c>
      <c r="B3739" s="2">
        <v>44828.0</v>
      </c>
      <c r="C3739" s="1" t="s">
        <v>26</v>
      </c>
      <c r="D3739" s="1" t="s">
        <v>15</v>
      </c>
      <c r="E3739" s="1" t="s">
        <v>54</v>
      </c>
      <c r="F3739" s="1">
        <v>542.73</v>
      </c>
      <c r="G3739" s="1">
        <v>172.64</v>
      </c>
      <c r="H3739" s="1">
        <v>8.0</v>
      </c>
      <c r="I3739" s="1" t="s">
        <v>23</v>
      </c>
      <c r="J3739" s="1" t="s">
        <v>35</v>
      </c>
      <c r="K3739" s="1">
        <f t="shared" si="1"/>
        <v>2022</v>
      </c>
      <c r="L3739" s="1" t="str">
        <f t="shared" si="2"/>
        <v>Sep</v>
      </c>
      <c r="M3739" s="1" t="str">
        <f t="shared" si="3"/>
        <v>Profit</v>
      </c>
    </row>
    <row r="3740" ht="14.25" customHeight="1">
      <c r="A3740" s="1" t="s">
        <v>3774</v>
      </c>
      <c r="B3740" s="2">
        <v>44231.0</v>
      </c>
      <c r="C3740" s="1" t="s">
        <v>14</v>
      </c>
      <c r="D3740" s="1" t="s">
        <v>27</v>
      </c>
      <c r="E3740" s="1" t="s">
        <v>33</v>
      </c>
      <c r="F3740" s="1">
        <v>977.04</v>
      </c>
      <c r="G3740" s="1">
        <v>69.93</v>
      </c>
      <c r="H3740" s="1">
        <v>6.0</v>
      </c>
      <c r="I3740" s="1" t="s">
        <v>34</v>
      </c>
      <c r="J3740" s="1" t="s">
        <v>38</v>
      </c>
      <c r="K3740" s="1">
        <f t="shared" si="1"/>
        <v>2021</v>
      </c>
      <c r="L3740" s="1" t="str">
        <f t="shared" si="2"/>
        <v>Feb</v>
      </c>
      <c r="M3740" s="1" t="str">
        <f t="shared" si="3"/>
        <v>Profit</v>
      </c>
    </row>
    <row r="3741" ht="14.25" customHeight="1">
      <c r="A3741" s="1" t="s">
        <v>3775</v>
      </c>
      <c r="B3741" s="2">
        <v>44260.0</v>
      </c>
      <c r="C3741" s="1" t="s">
        <v>26</v>
      </c>
      <c r="D3741" s="1" t="s">
        <v>27</v>
      </c>
      <c r="E3741" s="1" t="s">
        <v>33</v>
      </c>
      <c r="F3741" s="1">
        <v>373.49</v>
      </c>
      <c r="G3741" s="1">
        <v>265.36</v>
      </c>
      <c r="H3741" s="1">
        <v>6.0</v>
      </c>
      <c r="I3741" s="1" t="s">
        <v>23</v>
      </c>
      <c r="J3741" s="1" t="s">
        <v>18</v>
      </c>
      <c r="K3741" s="1">
        <f t="shared" si="1"/>
        <v>2021</v>
      </c>
      <c r="L3741" s="1" t="str">
        <f t="shared" si="2"/>
        <v>Mar</v>
      </c>
      <c r="M3741" s="1" t="str">
        <f t="shared" si="3"/>
        <v>Profit</v>
      </c>
    </row>
    <row r="3742" ht="14.25" customHeight="1">
      <c r="A3742" s="1" t="s">
        <v>3776</v>
      </c>
      <c r="B3742" s="2">
        <v>44256.0</v>
      </c>
      <c r="C3742" s="1" t="s">
        <v>26</v>
      </c>
      <c r="D3742" s="1" t="s">
        <v>27</v>
      </c>
      <c r="E3742" s="1" t="s">
        <v>33</v>
      </c>
      <c r="F3742" s="1">
        <v>571.95</v>
      </c>
      <c r="G3742" s="1">
        <v>47.47</v>
      </c>
      <c r="H3742" s="1">
        <v>5.0</v>
      </c>
      <c r="I3742" s="1" t="s">
        <v>17</v>
      </c>
      <c r="J3742" s="1" t="s">
        <v>35</v>
      </c>
      <c r="K3742" s="1">
        <f t="shared" si="1"/>
        <v>2021</v>
      </c>
      <c r="L3742" s="1" t="str">
        <f t="shared" si="2"/>
        <v>Mar</v>
      </c>
      <c r="M3742" s="1" t="str">
        <f t="shared" si="3"/>
        <v>Profit</v>
      </c>
    </row>
    <row r="3743" ht="14.25" customHeight="1">
      <c r="A3743" s="1" t="s">
        <v>3777</v>
      </c>
      <c r="B3743" s="2">
        <v>44911.0</v>
      </c>
      <c r="C3743" s="1" t="s">
        <v>26</v>
      </c>
      <c r="D3743" s="1" t="s">
        <v>21</v>
      </c>
      <c r="E3743" s="1" t="s">
        <v>22</v>
      </c>
      <c r="F3743" s="1">
        <v>767.17</v>
      </c>
      <c r="G3743" s="1">
        <v>-105.82</v>
      </c>
      <c r="H3743" s="1">
        <v>8.0</v>
      </c>
      <c r="I3743" s="1" t="s">
        <v>23</v>
      </c>
      <c r="J3743" s="1" t="s">
        <v>38</v>
      </c>
      <c r="K3743" s="1">
        <f t="shared" si="1"/>
        <v>2022</v>
      </c>
      <c r="L3743" s="1" t="str">
        <f t="shared" si="2"/>
        <v>Dec</v>
      </c>
      <c r="M3743" s="1" t="str">
        <f t="shared" si="3"/>
        <v>Loss</v>
      </c>
    </row>
    <row r="3744" ht="14.25" customHeight="1">
      <c r="A3744" s="1" t="s">
        <v>3778</v>
      </c>
      <c r="B3744" s="2">
        <v>44680.0</v>
      </c>
      <c r="C3744" s="1" t="s">
        <v>14</v>
      </c>
      <c r="D3744" s="1" t="s">
        <v>15</v>
      </c>
      <c r="E3744" s="1" t="s">
        <v>54</v>
      </c>
      <c r="F3744" s="1">
        <v>256.95</v>
      </c>
      <c r="G3744" s="1">
        <v>-70.09</v>
      </c>
      <c r="H3744" s="1">
        <v>4.0</v>
      </c>
      <c r="I3744" s="1" t="s">
        <v>17</v>
      </c>
      <c r="J3744" s="1" t="s">
        <v>35</v>
      </c>
      <c r="K3744" s="1">
        <f t="shared" si="1"/>
        <v>2022</v>
      </c>
      <c r="L3744" s="1" t="str">
        <f t="shared" si="2"/>
        <v>Apr</v>
      </c>
      <c r="M3744" s="1" t="str">
        <f t="shared" si="3"/>
        <v>Loss</v>
      </c>
    </row>
    <row r="3745" ht="14.25" customHeight="1">
      <c r="A3745" s="1" t="s">
        <v>3779</v>
      </c>
      <c r="B3745" s="2">
        <v>44315.0</v>
      </c>
      <c r="C3745" s="1" t="s">
        <v>20</v>
      </c>
      <c r="D3745" s="1" t="s">
        <v>15</v>
      </c>
      <c r="E3745" s="1" t="s">
        <v>31</v>
      </c>
      <c r="F3745" s="1">
        <v>215.05</v>
      </c>
      <c r="G3745" s="1">
        <v>73.0</v>
      </c>
      <c r="H3745" s="1">
        <v>1.0</v>
      </c>
      <c r="I3745" s="1" t="s">
        <v>34</v>
      </c>
      <c r="J3745" s="1" t="s">
        <v>24</v>
      </c>
      <c r="K3745" s="1">
        <f t="shared" si="1"/>
        <v>2021</v>
      </c>
      <c r="L3745" s="1" t="str">
        <f t="shared" si="2"/>
        <v>Apr</v>
      </c>
      <c r="M3745" s="1" t="str">
        <f t="shared" si="3"/>
        <v>Profit</v>
      </c>
    </row>
    <row r="3746" ht="14.25" customHeight="1">
      <c r="A3746" s="1" t="s">
        <v>3780</v>
      </c>
      <c r="B3746" s="2">
        <v>44216.0</v>
      </c>
      <c r="C3746" s="1" t="s">
        <v>30</v>
      </c>
      <c r="D3746" s="1" t="s">
        <v>21</v>
      </c>
      <c r="E3746" s="1" t="s">
        <v>37</v>
      </c>
      <c r="F3746" s="1">
        <v>544.36</v>
      </c>
      <c r="G3746" s="1">
        <v>7.39</v>
      </c>
      <c r="H3746" s="1">
        <v>1.0</v>
      </c>
      <c r="I3746" s="1" t="s">
        <v>23</v>
      </c>
      <c r="J3746" s="1" t="s">
        <v>35</v>
      </c>
      <c r="K3746" s="1">
        <f t="shared" si="1"/>
        <v>2021</v>
      </c>
      <c r="L3746" s="1" t="str">
        <f t="shared" si="2"/>
        <v>Jan</v>
      </c>
      <c r="M3746" s="1" t="str">
        <f t="shared" si="3"/>
        <v>Profit</v>
      </c>
    </row>
    <row r="3747" ht="14.25" customHeight="1">
      <c r="A3747" s="1" t="s">
        <v>3781</v>
      </c>
      <c r="B3747" s="2">
        <v>45136.0</v>
      </c>
      <c r="C3747" s="1" t="s">
        <v>14</v>
      </c>
      <c r="D3747" s="1" t="s">
        <v>27</v>
      </c>
      <c r="E3747" s="1" t="s">
        <v>40</v>
      </c>
      <c r="F3747" s="1">
        <v>583.62</v>
      </c>
      <c r="G3747" s="1">
        <v>213.74</v>
      </c>
      <c r="H3747" s="1">
        <v>5.0</v>
      </c>
      <c r="I3747" s="1" t="s">
        <v>17</v>
      </c>
      <c r="J3747" s="1" t="s">
        <v>38</v>
      </c>
      <c r="K3747" s="1">
        <f t="shared" si="1"/>
        <v>2023</v>
      </c>
      <c r="L3747" s="1" t="str">
        <f t="shared" si="2"/>
        <v>Jul</v>
      </c>
      <c r="M3747" s="1" t="str">
        <f t="shared" si="3"/>
        <v>Profit</v>
      </c>
    </row>
    <row r="3748" ht="14.25" customHeight="1">
      <c r="A3748" s="1" t="s">
        <v>3782</v>
      </c>
      <c r="B3748" s="2">
        <v>45149.0</v>
      </c>
      <c r="C3748" s="1" t="s">
        <v>30</v>
      </c>
      <c r="D3748" s="1" t="s">
        <v>21</v>
      </c>
      <c r="E3748" s="1" t="s">
        <v>76</v>
      </c>
      <c r="F3748" s="1">
        <v>859.55</v>
      </c>
      <c r="G3748" s="1">
        <v>289.7</v>
      </c>
      <c r="H3748" s="1">
        <v>9.0</v>
      </c>
      <c r="I3748" s="1" t="s">
        <v>34</v>
      </c>
      <c r="J3748" s="1" t="s">
        <v>38</v>
      </c>
      <c r="K3748" s="1">
        <f t="shared" si="1"/>
        <v>2023</v>
      </c>
      <c r="L3748" s="1" t="str">
        <f t="shared" si="2"/>
        <v>Aug</v>
      </c>
      <c r="M3748" s="1" t="str">
        <f t="shared" si="3"/>
        <v>Profit</v>
      </c>
    </row>
    <row r="3749" ht="14.25" customHeight="1">
      <c r="A3749" s="1" t="s">
        <v>3783</v>
      </c>
      <c r="B3749" s="2">
        <v>44251.0</v>
      </c>
      <c r="C3749" s="1" t="s">
        <v>30</v>
      </c>
      <c r="D3749" s="1" t="s">
        <v>27</v>
      </c>
      <c r="E3749" s="1" t="s">
        <v>28</v>
      </c>
      <c r="F3749" s="1">
        <v>981.24</v>
      </c>
      <c r="G3749" s="1">
        <v>-55.85</v>
      </c>
      <c r="H3749" s="1">
        <v>4.0</v>
      </c>
      <c r="I3749" s="1" t="s">
        <v>34</v>
      </c>
      <c r="J3749" s="1" t="s">
        <v>18</v>
      </c>
      <c r="K3749" s="1">
        <f t="shared" si="1"/>
        <v>2021</v>
      </c>
      <c r="L3749" s="1" t="str">
        <f t="shared" si="2"/>
        <v>Feb</v>
      </c>
      <c r="M3749" s="1" t="str">
        <f t="shared" si="3"/>
        <v>Loss</v>
      </c>
    </row>
    <row r="3750" ht="14.25" customHeight="1">
      <c r="A3750" s="1" t="s">
        <v>3784</v>
      </c>
      <c r="B3750" s="2">
        <v>44596.0</v>
      </c>
      <c r="C3750" s="1" t="s">
        <v>20</v>
      </c>
      <c r="D3750" s="1" t="s">
        <v>15</v>
      </c>
      <c r="E3750" s="1" t="s">
        <v>31</v>
      </c>
      <c r="F3750" s="1">
        <v>305.43</v>
      </c>
      <c r="G3750" s="1">
        <v>5.0</v>
      </c>
      <c r="H3750" s="1">
        <v>4.0</v>
      </c>
      <c r="I3750" s="1" t="s">
        <v>17</v>
      </c>
      <c r="J3750" s="1" t="s">
        <v>24</v>
      </c>
      <c r="K3750" s="1">
        <f t="shared" si="1"/>
        <v>2022</v>
      </c>
      <c r="L3750" s="1" t="str">
        <f t="shared" si="2"/>
        <v>Feb</v>
      </c>
      <c r="M3750" s="1" t="str">
        <f t="shared" si="3"/>
        <v>Profit</v>
      </c>
    </row>
    <row r="3751" ht="14.25" customHeight="1">
      <c r="A3751" s="1" t="s">
        <v>3785</v>
      </c>
      <c r="B3751" s="2">
        <v>45000.0</v>
      </c>
      <c r="C3751" s="1" t="s">
        <v>30</v>
      </c>
      <c r="D3751" s="1" t="s">
        <v>27</v>
      </c>
      <c r="E3751" s="1" t="s">
        <v>33</v>
      </c>
      <c r="F3751" s="1">
        <v>885.94</v>
      </c>
      <c r="G3751" s="1">
        <v>-28.37</v>
      </c>
      <c r="H3751" s="1">
        <v>8.0</v>
      </c>
      <c r="I3751" s="1" t="s">
        <v>23</v>
      </c>
      <c r="J3751" s="1" t="s">
        <v>35</v>
      </c>
      <c r="K3751" s="1">
        <f t="shared" si="1"/>
        <v>2023</v>
      </c>
      <c r="L3751" s="1" t="str">
        <f t="shared" si="2"/>
        <v>Mar</v>
      </c>
      <c r="M3751" s="1" t="str">
        <f t="shared" si="3"/>
        <v>Loss</v>
      </c>
    </row>
    <row r="3752" ht="14.25" customHeight="1">
      <c r="A3752" s="1" t="s">
        <v>3786</v>
      </c>
      <c r="B3752" s="2">
        <v>44534.0</v>
      </c>
      <c r="C3752" s="1" t="s">
        <v>20</v>
      </c>
      <c r="D3752" s="1" t="s">
        <v>21</v>
      </c>
      <c r="E3752" s="1" t="s">
        <v>22</v>
      </c>
      <c r="F3752" s="1">
        <v>94.32</v>
      </c>
      <c r="G3752" s="1">
        <v>191.17</v>
      </c>
      <c r="H3752" s="1">
        <v>1.0</v>
      </c>
      <c r="I3752" s="1" t="s">
        <v>23</v>
      </c>
      <c r="J3752" s="1" t="s">
        <v>35</v>
      </c>
      <c r="K3752" s="1">
        <f t="shared" si="1"/>
        <v>2021</v>
      </c>
      <c r="L3752" s="1" t="str">
        <f t="shared" si="2"/>
        <v>Dec</v>
      </c>
      <c r="M3752" s="1" t="str">
        <f t="shared" si="3"/>
        <v>Profit</v>
      </c>
    </row>
    <row r="3753" ht="14.25" customHeight="1">
      <c r="A3753" s="1" t="s">
        <v>3787</v>
      </c>
      <c r="B3753" s="2">
        <v>44416.0</v>
      </c>
      <c r="C3753" s="1" t="s">
        <v>30</v>
      </c>
      <c r="D3753" s="1" t="s">
        <v>15</v>
      </c>
      <c r="E3753" s="1" t="s">
        <v>16</v>
      </c>
      <c r="F3753" s="1">
        <v>815.99</v>
      </c>
      <c r="G3753" s="1">
        <v>-105.27</v>
      </c>
      <c r="H3753" s="1">
        <v>9.0</v>
      </c>
      <c r="I3753" s="1" t="s">
        <v>17</v>
      </c>
      <c r="J3753" s="1" t="s">
        <v>24</v>
      </c>
      <c r="K3753" s="1">
        <f t="shared" si="1"/>
        <v>2021</v>
      </c>
      <c r="L3753" s="1" t="str">
        <f t="shared" si="2"/>
        <v>Aug</v>
      </c>
      <c r="M3753" s="1" t="str">
        <f t="shared" si="3"/>
        <v>Loss</v>
      </c>
    </row>
    <row r="3754" ht="14.25" customHeight="1">
      <c r="A3754" s="1" t="s">
        <v>3788</v>
      </c>
      <c r="B3754" s="2">
        <v>44864.0</v>
      </c>
      <c r="C3754" s="1" t="s">
        <v>14</v>
      </c>
      <c r="D3754" s="1" t="s">
        <v>21</v>
      </c>
      <c r="E3754" s="1" t="s">
        <v>37</v>
      </c>
      <c r="F3754" s="1">
        <v>315.2</v>
      </c>
      <c r="G3754" s="1">
        <v>14.19</v>
      </c>
      <c r="H3754" s="1">
        <v>6.0</v>
      </c>
      <c r="I3754" s="1" t="s">
        <v>34</v>
      </c>
      <c r="J3754" s="1" t="s">
        <v>18</v>
      </c>
      <c r="K3754" s="1">
        <f t="shared" si="1"/>
        <v>2022</v>
      </c>
      <c r="L3754" s="1" t="str">
        <f t="shared" si="2"/>
        <v>Oct</v>
      </c>
      <c r="M3754" s="1" t="str">
        <f t="shared" si="3"/>
        <v>Profit</v>
      </c>
    </row>
    <row r="3755" ht="14.25" customHeight="1">
      <c r="A3755" s="1" t="s">
        <v>3789</v>
      </c>
      <c r="B3755" s="2">
        <v>44545.0</v>
      </c>
      <c r="C3755" s="1" t="s">
        <v>20</v>
      </c>
      <c r="D3755" s="1" t="s">
        <v>21</v>
      </c>
      <c r="E3755" s="1" t="s">
        <v>22</v>
      </c>
      <c r="F3755" s="1">
        <v>738.86</v>
      </c>
      <c r="G3755" s="1">
        <v>-117.69</v>
      </c>
      <c r="H3755" s="1">
        <v>5.0</v>
      </c>
      <c r="I3755" s="1" t="s">
        <v>23</v>
      </c>
      <c r="J3755" s="1" t="s">
        <v>24</v>
      </c>
      <c r="K3755" s="1">
        <f t="shared" si="1"/>
        <v>2021</v>
      </c>
      <c r="L3755" s="1" t="str">
        <f t="shared" si="2"/>
        <v>Dec</v>
      </c>
      <c r="M3755" s="1" t="str">
        <f t="shared" si="3"/>
        <v>Loss</v>
      </c>
    </row>
    <row r="3756" ht="14.25" customHeight="1">
      <c r="A3756" s="1" t="s">
        <v>3790</v>
      </c>
      <c r="B3756" s="2">
        <v>44405.0</v>
      </c>
      <c r="C3756" s="1" t="s">
        <v>14</v>
      </c>
      <c r="D3756" s="1" t="s">
        <v>15</v>
      </c>
      <c r="E3756" s="1" t="s">
        <v>16</v>
      </c>
      <c r="F3756" s="1">
        <v>51.91</v>
      </c>
      <c r="G3756" s="1">
        <v>-186.43</v>
      </c>
      <c r="H3756" s="1">
        <v>7.0</v>
      </c>
      <c r="I3756" s="1" t="s">
        <v>23</v>
      </c>
      <c r="J3756" s="1" t="s">
        <v>35</v>
      </c>
      <c r="K3756" s="1">
        <f t="shared" si="1"/>
        <v>2021</v>
      </c>
      <c r="L3756" s="1" t="str">
        <f t="shared" si="2"/>
        <v>Jul</v>
      </c>
      <c r="M3756" s="1" t="str">
        <f t="shared" si="3"/>
        <v>Loss</v>
      </c>
    </row>
    <row r="3757" ht="14.25" customHeight="1">
      <c r="A3757" s="1" t="s">
        <v>3791</v>
      </c>
      <c r="B3757" s="2">
        <v>45074.0</v>
      </c>
      <c r="C3757" s="1" t="s">
        <v>14</v>
      </c>
      <c r="D3757" s="1" t="s">
        <v>21</v>
      </c>
      <c r="E3757" s="1" t="s">
        <v>37</v>
      </c>
      <c r="F3757" s="1">
        <v>89.57</v>
      </c>
      <c r="G3757" s="1">
        <v>34.73</v>
      </c>
      <c r="H3757" s="1">
        <v>4.0</v>
      </c>
      <c r="I3757" s="1" t="s">
        <v>34</v>
      </c>
      <c r="J3757" s="1" t="s">
        <v>35</v>
      </c>
      <c r="K3757" s="1">
        <f t="shared" si="1"/>
        <v>2023</v>
      </c>
      <c r="L3757" s="1" t="str">
        <f t="shared" si="2"/>
        <v>May</v>
      </c>
      <c r="M3757" s="1" t="str">
        <f t="shared" si="3"/>
        <v>Profit</v>
      </c>
    </row>
    <row r="3758" ht="14.25" customHeight="1">
      <c r="A3758" s="1" t="s">
        <v>3792</v>
      </c>
      <c r="B3758" s="2">
        <v>45128.0</v>
      </c>
      <c r="C3758" s="1" t="s">
        <v>20</v>
      </c>
      <c r="D3758" s="1" t="s">
        <v>21</v>
      </c>
      <c r="E3758" s="1" t="s">
        <v>22</v>
      </c>
      <c r="F3758" s="1">
        <v>266.3</v>
      </c>
      <c r="G3758" s="1">
        <v>-141.3</v>
      </c>
      <c r="H3758" s="1">
        <v>7.0</v>
      </c>
      <c r="I3758" s="1" t="s">
        <v>23</v>
      </c>
      <c r="J3758" s="1" t="s">
        <v>24</v>
      </c>
      <c r="K3758" s="1">
        <f t="shared" si="1"/>
        <v>2023</v>
      </c>
      <c r="L3758" s="1" t="str">
        <f t="shared" si="2"/>
        <v>Jul</v>
      </c>
      <c r="M3758" s="1" t="str">
        <f t="shared" si="3"/>
        <v>Loss</v>
      </c>
    </row>
    <row r="3759" ht="14.25" customHeight="1">
      <c r="A3759" s="1" t="s">
        <v>3793</v>
      </c>
      <c r="B3759" s="2">
        <v>44707.0</v>
      </c>
      <c r="C3759" s="1" t="s">
        <v>20</v>
      </c>
      <c r="D3759" s="1" t="s">
        <v>15</v>
      </c>
      <c r="E3759" s="1" t="s">
        <v>16</v>
      </c>
      <c r="F3759" s="1">
        <v>981.77</v>
      </c>
      <c r="G3759" s="1">
        <v>-26.78</v>
      </c>
      <c r="H3759" s="1">
        <v>3.0</v>
      </c>
      <c r="I3759" s="1" t="s">
        <v>34</v>
      </c>
      <c r="J3759" s="1" t="s">
        <v>18</v>
      </c>
      <c r="K3759" s="1">
        <f t="shared" si="1"/>
        <v>2022</v>
      </c>
      <c r="L3759" s="1" t="str">
        <f t="shared" si="2"/>
        <v>May</v>
      </c>
      <c r="M3759" s="1" t="str">
        <f t="shared" si="3"/>
        <v>Loss</v>
      </c>
    </row>
    <row r="3760" ht="14.25" customHeight="1">
      <c r="A3760" s="1" t="s">
        <v>3794</v>
      </c>
      <c r="B3760" s="2">
        <v>45015.0</v>
      </c>
      <c r="C3760" s="1" t="s">
        <v>30</v>
      </c>
      <c r="D3760" s="1" t="s">
        <v>27</v>
      </c>
      <c r="E3760" s="1" t="s">
        <v>40</v>
      </c>
      <c r="F3760" s="1">
        <v>540.14</v>
      </c>
      <c r="G3760" s="1">
        <v>268.31</v>
      </c>
      <c r="H3760" s="1">
        <v>1.0</v>
      </c>
      <c r="I3760" s="1" t="s">
        <v>34</v>
      </c>
      <c r="J3760" s="1" t="s">
        <v>38</v>
      </c>
      <c r="K3760" s="1">
        <f t="shared" si="1"/>
        <v>2023</v>
      </c>
      <c r="L3760" s="1" t="str">
        <f t="shared" si="2"/>
        <v>Mar</v>
      </c>
      <c r="M3760" s="1" t="str">
        <f t="shared" si="3"/>
        <v>Profit</v>
      </c>
    </row>
    <row r="3761" ht="14.25" customHeight="1">
      <c r="A3761" s="1" t="s">
        <v>3795</v>
      </c>
      <c r="B3761" s="2">
        <v>44369.0</v>
      </c>
      <c r="C3761" s="1" t="s">
        <v>14</v>
      </c>
      <c r="D3761" s="1" t="s">
        <v>27</v>
      </c>
      <c r="E3761" s="1" t="s">
        <v>40</v>
      </c>
      <c r="F3761" s="1">
        <v>414.06</v>
      </c>
      <c r="G3761" s="1">
        <v>299.4</v>
      </c>
      <c r="H3761" s="1">
        <v>8.0</v>
      </c>
      <c r="I3761" s="1" t="s">
        <v>23</v>
      </c>
      <c r="J3761" s="1" t="s">
        <v>35</v>
      </c>
      <c r="K3761" s="1">
        <f t="shared" si="1"/>
        <v>2021</v>
      </c>
      <c r="L3761" s="1" t="str">
        <f t="shared" si="2"/>
        <v>Jun</v>
      </c>
      <c r="M3761" s="1" t="str">
        <f t="shared" si="3"/>
        <v>Profit</v>
      </c>
    </row>
    <row r="3762" ht="14.25" customHeight="1">
      <c r="A3762" s="1" t="s">
        <v>3796</v>
      </c>
      <c r="B3762" s="2">
        <v>44869.0</v>
      </c>
      <c r="C3762" s="1" t="s">
        <v>30</v>
      </c>
      <c r="D3762" s="1" t="s">
        <v>15</v>
      </c>
      <c r="E3762" s="1" t="s">
        <v>16</v>
      </c>
      <c r="F3762" s="1">
        <v>152.63</v>
      </c>
      <c r="G3762" s="1">
        <v>38.2</v>
      </c>
      <c r="H3762" s="1">
        <v>6.0</v>
      </c>
      <c r="I3762" s="1" t="s">
        <v>34</v>
      </c>
      <c r="J3762" s="1" t="s">
        <v>18</v>
      </c>
      <c r="K3762" s="1">
        <f t="shared" si="1"/>
        <v>2022</v>
      </c>
      <c r="L3762" s="1" t="str">
        <f t="shared" si="2"/>
        <v>Nov</v>
      </c>
      <c r="M3762" s="1" t="str">
        <f t="shared" si="3"/>
        <v>Profit</v>
      </c>
    </row>
    <row r="3763" ht="14.25" customHeight="1">
      <c r="A3763" s="1" t="s">
        <v>3797</v>
      </c>
      <c r="B3763" s="2">
        <v>44451.0</v>
      </c>
      <c r="C3763" s="1" t="s">
        <v>30</v>
      </c>
      <c r="D3763" s="1" t="s">
        <v>21</v>
      </c>
      <c r="E3763" s="1" t="s">
        <v>76</v>
      </c>
      <c r="F3763" s="1">
        <v>978.78</v>
      </c>
      <c r="G3763" s="1">
        <v>92.38</v>
      </c>
      <c r="H3763" s="1">
        <v>1.0</v>
      </c>
      <c r="I3763" s="1" t="s">
        <v>34</v>
      </c>
      <c r="J3763" s="1" t="s">
        <v>35</v>
      </c>
      <c r="K3763" s="1">
        <f t="shared" si="1"/>
        <v>2021</v>
      </c>
      <c r="L3763" s="1" t="str">
        <f t="shared" si="2"/>
        <v>Sep</v>
      </c>
      <c r="M3763" s="1" t="str">
        <f t="shared" si="3"/>
        <v>Profit</v>
      </c>
    </row>
    <row r="3764" ht="14.25" customHeight="1">
      <c r="A3764" s="1" t="s">
        <v>3798</v>
      </c>
      <c r="B3764" s="2">
        <v>45250.0</v>
      </c>
      <c r="C3764" s="1" t="s">
        <v>30</v>
      </c>
      <c r="D3764" s="1" t="s">
        <v>27</v>
      </c>
      <c r="E3764" s="1" t="s">
        <v>28</v>
      </c>
      <c r="F3764" s="1">
        <v>912.19</v>
      </c>
      <c r="G3764" s="1">
        <v>-97.9</v>
      </c>
      <c r="H3764" s="1">
        <v>4.0</v>
      </c>
      <c r="I3764" s="1" t="s">
        <v>23</v>
      </c>
      <c r="J3764" s="1" t="s">
        <v>35</v>
      </c>
      <c r="K3764" s="1">
        <f t="shared" si="1"/>
        <v>2023</v>
      </c>
      <c r="L3764" s="1" t="str">
        <f t="shared" si="2"/>
        <v>Nov</v>
      </c>
      <c r="M3764" s="1" t="str">
        <f t="shared" si="3"/>
        <v>Loss</v>
      </c>
    </row>
    <row r="3765" ht="14.25" customHeight="1">
      <c r="A3765" s="1" t="s">
        <v>3799</v>
      </c>
      <c r="B3765" s="2">
        <v>44484.0</v>
      </c>
      <c r="C3765" s="1" t="s">
        <v>20</v>
      </c>
      <c r="D3765" s="1" t="s">
        <v>15</v>
      </c>
      <c r="E3765" s="1" t="s">
        <v>54</v>
      </c>
      <c r="F3765" s="1">
        <v>223.81</v>
      </c>
      <c r="G3765" s="1">
        <v>106.64</v>
      </c>
      <c r="H3765" s="1">
        <v>9.0</v>
      </c>
      <c r="I3765" s="1" t="s">
        <v>23</v>
      </c>
      <c r="J3765" s="1" t="s">
        <v>35</v>
      </c>
      <c r="K3765" s="1">
        <f t="shared" si="1"/>
        <v>2021</v>
      </c>
      <c r="L3765" s="1" t="str">
        <f t="shared" si="2"/>
        <v>Oct</v>
      </c>
      <c r="M3765" s="1" t="str">
        <f t="shared" si="3"/>
        <v>Profit</v>
      </c>
    </row>
    <row r="3766" ht="14.25" customHeight="1">
      <c r="A3766" s="1" t="s">
        <v>3800</v>
      </c>
      <c r="B3766" s="2">
        <v>44858.0</v>
      </c>
      <c r="C3766" s="1" t="s">
        <v>14</v>
      </c>
      <c r="D3766" s="1" t="s">
        <v>21</v>
      </c>
      <c r="E3766" s="1" t="s">
        <v>37</v>
      </c>
      <c r="F3766" s="1">
        <v>438.13</v>
      </c>
      <c r="G3766" s="1">
        <v>-39.49</v>
      </c>
      <c r="H3766" s="1">
        <v>9.0</v>
      </c>
      <c r="I3766" s="1" t="s">
        <v>17</v>
      </c>
      <c r="J3766" s="1" t="s">
        <v>18</v>
      </c>
      <c r="K3766" s="1">
        <f t="shared" si="1"/>
        <v>2022</v>
      </c>
      <c r="L3766" s="1" t="str">
        <f t="shared" si="2"/>
        <v>Oct</v>
      </c>
      <c r="M3766" s="1" t="str">
        <f t="shared" si="3"/>
        <v>Loss</v>
      </c>
    </row>
    <row r="3767" ht="14.25" customHeight="1">
      <c r="A3767" s="1" t="s">
        <v>3801</v>
      </c>
      <c r="B3767" s="2">
        <v>44496.0</v>
      </c>
      <c r="C3767" s="1" t="s">
        <v>20</v>
      </c>
      <c r="D3767" s="1" t="s">
        <v>27</v>
      </c>
      <c r="E3767" s="1" t="s">
        <v>28</v>
      </c>
      <c r="F3767" s="1">
        <v>204.1</v>
      </c>
      <c r="G3767" s="1">
        <v>72.66</v>
      </c>
      <c r="H3767" s="1">
        <v>8.0</v>
      </c>
      <c r="I3767" s="1" t="s">
        <v>34</v>
      </c>
      <c r="J3767" s="1" t="s">
        <v>18</v>
      </c>
      <c r="K3767" s="1">
        <f t="shared" si="1"/>
        <v>2021</v>
      </c>
      <c r="L3767" s="1" t="str">
        <f t="shared" si="2"/>
        <v>Oct</v>
      </c>
      <c r="M3767" s="1" t="str">
        <f t="shared" si="3"/>
        <v>Profit</v>
      </c>
    </row>
    <row r="3768" ht="14.25" customHeight="1">
      <c r="A3768" s="1" t="s">
        <v>3802</v>
      </c>
      <c r="B3768" s="2">
        <v>44748.0</v>
      </c>
      <c r="C3768" s="1" t="s">
        <v>30</v>
      </c>
      <c r="D3768" s="1" t="s">
        <v>27</v>
      </c>
      <c r="E3768" s="1" t="s">
        <v>33</v>
      </c>
      <c r="F3768" s="1">
        <v>990.44</v>
      </c>
      <c r="G3768" s="1">
        <v>-155.56</v>
      </c>
      <c r="H3768" s="1">
        <v>10.0</v>
      </c>
      <c r="I3768" s="1" t="s">
        <v>17</v>
      </c>
      <c r="J3768" s="1" t="s">
        <v>35</v>
      </c>
      <c r="K3768" s="1">
        <f t="shared" si="1"/>
        <v>2022</v>
      </c>
      <c r="L3768" s="1" t="str">
        <f t="shared" si="2"/>
        <v>Jul</v>
      </c>
      <c r="M3768" s="1" t="str">
        <f t="shared" si="3"/>
        <v>Loss</v>
      </c>
    </row>
    <row r="3769" ht="14.25" customHeight="1">
      <c r="A3769" s="1" t="s">
        <v>3803</v>
      </c>
      <c r="B3769" s="2">
        <v>44576.0</v>
      </c>
      <c r="C3769" s="1" t="s">
        <v>14</v>
      </c>
      <c r="D3769" s="1" t="s">
        <v>27</v>
      </c>
      <c r="E3769" s="1" t="s">
        <v>33</v>
      </c>
      <c r="F3769" s="1">
        <v>493.0</v>
      </c>
      <c r="G3769" s="1">
        <v>270.58</v>
      </c>
      <c r="H3769" s="1">
        <v>1.0</v>
      </c>
      <c r="I3769" s="1" t="s">
        <v>34</v>
      </c>
      <c r="J3769" s="1" t="s">
        <v>38</v>
      </c>
      <c r="K3769" s="1">
        <f t="shared" si="1"/>
        <v>2022</v>
      </c>
      <c r="L3769" s="1" t="str">
        <f t="shared" si="2"/>
        <v>Jan</v>
      </c>
      <c r="M3769" s="1" t="str">
        <f t="shared" si="3"/>
        <v>Profit</v>
      </c>
    </row>
    <row r="3770" ht="14.25" customHeight="1">
      <c r="A3770" s="1" t="s">
        <v>3804</v>
      </c>
      <c r="B3770" s="2">
        <v>44362.0</v>
      </c>
      <c r="C3770" s="1" t="s">
        <v>30</v>
      </c>
      <c r="D3770" s="1" t="s">
        <v>15</v>
      </c>
      <c r="E3770" s="1" t="s">
        <v>16</v>
      </c>
      <c r="F3770" s="1">
        <v>303.31</v>
      </c>
      <c r="G3770" s="1">
        <v>289.45</v>
      </c>
      <c r="H3770" s="1">
        <v>4.0</v>
      </c>
      <c r="I3770" s="1" t="s">
        <v>23</v>
      </c>
      <c r="J3770" s="1" t="s">
        <v>38</v>
      </c>
      <c r="K3770" s="1">
        <f t="shared" si="1"/>
        <v>2021</v>
      </c>
      <c r="L3770" s="1" t="str">
        <f t="shared" si="2"/>
        <v>Jun</v>
      </c>
      <c r="M3770" s="1" t="str">
        <f t="shared" si="3"/>
        <v>Profit</v>
      </c>
    </row>
    <row r="3771" ht="14.25" customHeight="1">
      <c r="A3771" s="1" t="s">
        <v>3805</v>
      </c>
      <c r="B3771" s="2">
        <v>44287.0</v>
      </c>
      <c r="C3771" s="1" t="s">
        <v>30</v>
      </c>
      <c r="D3771" s="1" t="s">
        <v>15</v>
      </c>
      <c r="E3771" s="1" t="s">
        <v>31</v>
      </c>
      <c r="F3771" s="1">
        <v>708.78</v>
      </c>
      <c r="G3771" s="1">
        <v>-71.11</v>
      </c>
      <c r="H3771" s="1">
        <v>10.0</v>
      </c>
      <c r="I3771" s="1" t="s">
        <v>23</v>
      </c>
      <c r="J3771" s="1" t="s">
        <v>18</v>
      </c>
      <c r="K3771" s="1">
        <f t="shared" si="1"/>
        <v>2021</v>
      </c>
      <c r="L3771" s="1" t="str">
        <f t="shared" si="2"/>
        <v>Apr</v>
      </c>
      <c r="M3771" s="1" t="str">
        <f t="shared" si="3"/>
        <v>Loss</v>
      </c>
    </row>
    <row r="3772" ht="14.25" customHeight="1">
      <c r="A3772" s="1" t="s">
        <v>3806</v>
      </c>
      <c r="B3772" s="2">
        <v>45286.0</v>
      </c>
      <c r="C3772" s="1" t="s">
        <v>14</v>
      </c>
      <c r="D3772" s="1" t="s">
        <v>21</v>
      </c>
      <c r="E3772" s="1" t="s">
        <v>22</v>
      </c>
      <c r="F3772" s="1">
        <v>230.68</v>
      </c>
      <c r="G3772" s="1">
        <v>114.19</v>
      </c>
      <c r="H3772" s="1">
        <v>3.0</v>
      </c>
      <c r="I3772" s="1" t="s">
        <v>34</v>
      </c>
      <c r="J3772" s="1" t="s">
        <v>38</v>
      </c>
      <c r="K3772" s="1">
        <f t="shared" si="1"/>
        <v>2023</v>
      </c>
      <c r="L3772" s="1" t="str">
        <f t="shared" si="2"/>
        <v>Dec</v>
      </c>
      <c r="M3772" s="1" t="str">
        <f t="shared" si="3"/>
        <v>Profit</v>
      </c>
    </row>
    <row r="3773" ht="14.25" customHeight="1">
      <c r="A3773" s="1" t="s">
        <v>3807</v>
      </c>
      <c r="B3773" s="2">
        <v>44297.0</v>
      </c>
      <c r="C3773" s="1" t="s">
        <v>20</v>
      </c>
      <c r="D3773" s="1" t="s">
        <v>21</v>
      </c>
      <c r="E3773" s="1" t="s">
        <v>22</v>
      </c>
      <c r="F3773" s="1">
        <v>39.24</v>
      </c>
      <c r="G3773" s="1">
        <v>229.49</v>
      </c>
      <c r="H3773" s="1">
        <v>1.0</v>
      </c>
      <c r="I3773" s="1" t="s">
        <v>23</v>
      </c>
      <c r="J3773" s="1" t="s">
        <v>18</v>
      </c>
      <c r="K3773" s="1">
        <f t="shared" si="1"/>
        <v>2021</v>
      </c>
      <c r="L3773" s="1" t="str">
        <f t="shared" si="2"/>
        <v>Apr</v>
      </c>
      <c r="M3773" s="1" t="str">
        <f t="shared" si="3"/>
        <v>Profit</v>
      </c>
    </row>
    <row r="3774" ht="14.25" customHeight="1">
      <c r="A3774" s="1" t="s">
        <v>3808</v>
      </c>
      <c r="B3774" s="2">
        <v>44261.0</v>
      </c>
      <c r="C3774" s="1" t="s">
        <v>30</v>
      </c>
      <c r="D3774" s="1" t="s">
        <v>27</v>
      </c>
      <c r="E3774" s="1" t="s">
        <v>28</v>
      </c>
      <c r="F3774" s="1">
        <v>411.94</v>
      </c>
      <c r="G3774" s="1">
        <v>-93.33</v>
      </c>
      <c r="H3774" s="1">
        <v>4.0</v>
      </c>
      <c r="I3774" s="1" t="s">
        <v>34</v>
      </c>
      <c r="J3774" s="1" t="s">
        <v>24</v>
      </c>
      <c r="K3774" s="1">
        <f t="shared" si="1"/>
        <v>2021</v>
      </c>
      <c r="L3774" s="1" t="str">
        <f t="shared" si="2"/>
        <v>Mar</v>
      </c>
      <c r="M3774" s="1" t="str">
        <f t="shared" si="3"/>
        <v>Loss</v>
      </c>
    </row>
    <row r="3775" ht="14.25" customHeight="1">
      <c r="A3775" s="1" t="s">
        <v>3809</v>
      </c>
      <c r="B3775" s="2">
        <v>44504.0</v>
      </c>
      <c r="C3775" s="1" t="s">
        <v>20</v>
      </c>
      <c r="D3775" s="1" t="s">
        <v>27</v>
      </c>
      <c r="E3775" s="1" t="s">
        <v>40</v>
      </c>
      <c r="F3775" s="1">
        <v>920.98</v>
      </c>
      <c r="G3775" s="1">
        <v>225.08</v>
      </c>
      <c r="H3775" s="1">
        <v>6.0</v>
      </c>
      <c r="I3775" s="1" t="s">
        <v>34</v>
      </c>
      <c r="J3775" s="1" t="s">
        <v>35</v>
      </c>
      <c r="K3775" s="1">
        <f t="shared" si="1"/>
        <v>2021</v>
      </c>
      <c r="L3775" s="1" t="str">
        <f t="shared" si="2"/>
        <v>Nov</v>
      </c>
      <c r="M3775" s="1" t="str">
        <f t="shared" si="3"/>
        <v>Profit</v>
      </c>
    </row>
    <row r="3776" ht="14.25" customHeight="1">
      <c r="A3776" s="1" t="s">
        <v>3810</v>
      </c>
      <c r="B3776" s="2">
        <v>44629.0</v>
      </c>
      <c r="C3776" s="1" t="s">
        <v>26</v>
      </c>
      <c r="D3776" s="1" t="s">
        <v>21</v>
      </c>
      <c r="E3776" s="1" t="s">
        <v>37</v>
      </c>
      <c r="F3776" s="1">
        <v>350.97</v>
      </c>
      <c r="G3776" s="1">
        <v>-174.78</v>
      </c>
      <c r="H3776" s="1">
        <v>6.0</v>
      </c>
      <c r="I3776" s="1" t="s">
        <v>23</v>
      </c>
      <c r="J3776" s="1" t="s">
        <v>35</v>
      </c>
      <c r="K3776" s="1">
        <f t="shared" si="1"/>
        <v>2022</v>
      </c>
      <c r="L3776" s="1" t="str">
        <f t="shared" si="2"/>
        <v>Mar</v>
      </c>
      <c r="M3776" s="1" t="str">
        <f t="shared" si="3"/>
        <v>Loss</v>
      </c>
    </row>
    <row r="3777" ht="14.25" customHeight="1">
      <c r="A3777" s="1" t="s">
        <v>3811</v>
      </c>
      <c r="B3777" s="2">
        <v>44210.0</v>
      </c>
      <c r="C3777" s="1" t="s">
        <v>26</v>
      </c>
      <c r="D3777" s="1" t="s">
        <v>21</v>
      </c>
      <c r="E3777" s="1" t="s">
        <v>76</v>
      </c>
      <c r="F3777" s="1">
        <v>704.46</v>
      </c>
      <c r="G3777" s="1">
        <v>294.38</v>
      </c>
      <c r="H3777" s="1">
        <v>1.0</v>
      </c>
      <c r="I3777" s="1" t="s">
        <v>17</v>
      </c>
      <c r="J3777" s="1" t="s">
        <v>24</v>
      </c>
      <c r="K3777" s="1">
        <f t="shared" si="1"/>
        <v>2021</v>
      </c>
      <c r="L3777" s="1" t="str">
        <f t="shared" si="2"/>
        <v>Jan</v>
      </c>
      <c r="M3777" s="1" t="str">
        <f t="shared" si="3"/>
        <v>Profit</v>
      </c>
    </row>
    <row r="3778" ht="14.25" customHeight="1">
      <c r="A3778" s="1" t="s">
        <v>3812</v>
      </c>
      <c r="B3778" s="2">
        <v>44281.0</v>
      </c>
      <c r="C3778" s="1" t="s">
        <v>30</v>
      </c>
      <c r="D3778" s="1" t="s">
        <v>15</v>
      </c>
      <c r="E3778" s="1" t="s">
        <v>16</v>
      </c>
      <c r="F3778" s="1">
        <v>328.95</v>
      </c>
      <c r="G3778" s="1">
        <v>58.7</v>
      </c>
      <c r="H3778" s="1">
        <v>4.0</v>
      </c>
      <c r="I3778" s="1" t="s">
        <v>23</v>
      </c>
      <c r="J3778" s="1" t="s">
        <v>24</v>
      </c>
      <c r="K3778" s="1">
        <f t="shared" si="1"/>
        <v>2021</v>
      </c>
      <c r="L3778" s="1" t="str">
        <f t="shared" si="2"/>
        <v>Mar</v>
      </c>
      <c r="M3778" s="1" t="str">
        <f t="shared" si="3"/>
        <v>Profit</v>
      </c>
    </row>
    <row r="3779" ht="14.25" customHeight="1">
      <c r="A3779" s="1" t="s">
        <v>3813</v>
      </c>
      <c r="B3779" s="2">
        <v>44682.0</v>
      </c>
      <c r="C3779" s="1" t="s">
        <v>26</v>
      </c>
      <c r="D3779" s="1" t="s">
        <v>21</v>
      </c>
      <c r="E3779" s="1" t="s">
        <v>22</v>
      </c>
      <c r="F3779" s="1">
        <v>297.06</v>
      </c>
      <c r="G3779" s="1">
        <v>105.2</v>
      </c>
      <c r="H3779" s="1">
        <v>8.0</v>
      </c>
      <c r="I3779" s="1" t="s">
        <v>17</v>
      </c>
      <c r="J3779" s="1" t="s">
        <v>35</v>
      </c>
      <c r="K3779" s="1">
        <f t="shared" si="1"/>
        <v>2022</v>
      </c>
      <c r="L3779" s="1" t="str">
        <f t="shared" si="2"/>
        <v>May</v>
      </c>
      <c r="M3779" s="1" t="str">
        <f t="shared" si="3"/>
        <v>Profit</v>
      </c>
    </row>
    <row r="3780" ht="14.25" customHeight="1">
      <c r="A3780" s="1" t="s">
        <v>3814</v>
      </c>
      <c r="B3780" s="2">
        <v>45021.0</v>
      </c>
      <c r="C3780" s="1" t="s">
        <v>30</v>
      </c>
      <c r="D3780" s="1" t="s">
        <v>21</v>
      </c>
      <c r="E3780" s="1" t="s">
        <v>37</v>
      </c>
      <c r="F3780" s="1">
        <v>607.63</v>
      </c>
      <c r="G3780" s="1">
        <v>-17.75</v>
      </c>
      <c r="H3780" s="1">
        <v>10.0</v>
      </c>
      <c r="I3780" s="1" t="s">
        <v>23</v>
      </c>
      <c r="J3780" s="1" t="s">
        <v>18</v>
      </c>
      <c r="K3780" s="1">
        <f t="shared" si="1"/>
        <v>2023</v>
      </c>
      <c r="L3780" s="1" t="str">
        <f t="shared" si="2"/>
        <v>Apr</v>
      </c>
      <c r="M3780" s="1" t="str">
        <f t="shared" si="3"/>
        <v>Loss</v>
      </c>
    </row>
    <row r="3781" ht="14.25" customHeight="1">
      <c r="A3781" s="1" t="s">
        <v>3815</v>
      </c>
      <c r="B3781" s="2">
        <v>44327.0</v>
      </c>
      <c r="C3781" s="1" t="s">
        <v>14</v>
      </c>
      <c r="D3781" s="1" t="s">
        <v>15</v>
      </c>
      <c r="E3781" s="1" t="s">
        <v>31</v>
      </c>
      <c r="F3781" s="1">
        <v>694.88</v>
      </c>
      <c r="G3781" s="1">
        <v>197.6</v>
      </c>
      <c r="H3781" s="1">
        <v>6.0</v>
      </c>
      <c r="I3781" s="1" t="s">
        <v>34</v>
      </c>
      <c r="J3781" s="1" t="s">
        <v>24</v>
      </c>
      <c r="K3781" s="1">
        <f t="shared" si="1"/>
        <v>2021</v>
      </c>
      <c r="L3781" s="1" t="str">
        <f t="shared" si="2"/>
        <v>May</v>
      </c>
      <c r="M3781" s="1" t="str">
        <f t="shared" si="3"/>
        <v>Profit</v>
      </c>
    </row>
    <row r="3782" ht="14.25" customHeight="1">
      <c r="A3782" s="1" t="s">
        <v>3816</v>
      </c>
      <c r="B3782" s="2">
        <v>44337.0</v>
      </c>
      <c r="C3782" s="1" t="s">
        <v>30</v>
      </c>
      <c r="D3782" s="1" t="s">
        <v>27</v>
      </c>
      <c r="E3782" s="1" t="s">
        <v>28</v>
      </c>
      <c r="F3782" s="1">
        <v>569.04</v>
      </c>
      <c r="G3782" s="1">
        <v>139.92</v>
      </c>
      <c r="H3782" s="1">
        <v>7.0</v>
      </c>
      <c r="I3782" s="1" t="s">
        <v>23</v>
      </c>
      <c r="J3782" s="1" t="s">
        <v>38</v>
      </c>
      <c r="K3782" s="1">
        <f t="shared" si="1"/>
        <v>2021</v>
      </c>
      <c r="L3782" s="1" t="str">
        <f t="shared" si="2"/>
        <v>May</v>
      </c>
      <c r="M3782" s="1" t="str">
        <f t="shared" si="3"/>
        <v>Profit</v>
      </c>
    </row>
    <row r="3783" ht="14.25" customHeight="1">
      <c r="A3783" s="1" t="s">
        <v>3817</v>
      </c>
      <c r="B3783" s="2">
        <v>44559.0</v>
      </c>
      <c r="C3783" s="1" t="s">
        <v>20</v>
      </c>
      <c r="D3783" s="1" t="s">
        <v>27</v>
      </c>
      <c r="E3783" s="1" t="s">
        <v>33</v>
      </c>
      <c r="F3783" s="1">
        <v>916.74</v>
      </c>
      <c r="G3783" s="1">
        <v>110.75</v>
      </c>
      <c r="H3783" s="1">
        <v>7.0</v>
      </c>
      <c r="I3783" s="1" t="s">
        <v>23</v>
      </c>
      <c r="J3783" s="1" t="s">
        <v>35</v>
      </c>
      <c r="K3783" s="1">
        <f t="shared" si="1"/>
        <v>2021</v>
      </c>
      <c r="L3783" s="1" t="str">
        <f t="shared" si="2"/>
        <v>Dec</v>
      </c>
      <c r="M3783" s="1" t="str">
        <f t="shared" si="3"/>
        <v>Profit</v>
      </c>
    </row>
    <row r="3784" ht="14.25" customHeight="1">
      <c r="A3784" s="1" t="s">
        <v>3818</v>
      </c>
      <c r="B3784" s="2">
        <v>44290.0</v>
      </c>
      <c r="C3784" s="1" t="s">
        <v>20</v>
      </c>
      <c r="D3784" s="1" t="s">
        <v>15</v>
      </c>
      <c r="E3784" s="1" t="s">
        <v>31</v>
      </c>
      <c r="F3784" s="1">
        <v>606.69</v>
      </c>
      <c r="G3784" s="1">
        <v>-175.8</v>
      </c>
      <c r="H3784" s="1">
        <v>7.0</v>
      </c>
      <c r="I3784" s="1" t="s">
        <v>23</v>
      </c>
      <c r="J3784" s="1" t="s">
        <v>18</v>
      </c>
      <c r="K3784" s="1">
        <f t="shared" si="1"/>
        <v>2021</v>
      </c>
      <c r="L3784" s="1" t="str">
        <f t="shared" si="2"/>
        <v>Apr</v>
      </c>
      <c r="M3784" s="1" t="str">
        <f t="shared" si="3"/>
        <v>Loss</v>
      </c>
    </row>
    <row r="3785" ht="14.25" customHeight="1">
      <c r="A3785" s="1" t="s">
        <v>3819</v>
      </c>
      <c r="B3785" s="2">
        <v>44568.0</v>
      </c>
      <c r="C3785" s="1" t="s">
        <v>30</v>
      </c>
      <c r="D3785" s="1" t="s">
        <v>27</v>
      </c>
      <c r="E3785" s="1" t="s">
        <v>33</v>
      </c>
      <c r="F3785" s="1">
        <v>504.57</v>
      </c>
      <c r="G3785" s="1">
        <v>55.45</v>
      </c>
      <c r="H3785" s="1">
        <v>2.0</v>
      </c>
      <c r="I3785" s="1" t="s">
        <v>17</v>
      </c>
      <c r="J3785" s="1" t="s">
        <v>18</v>
      </c>
      <c r="K3785" s="1">
        <f t="shared" si="1"/>
        <v>2022</v>
      </c>
      <c r="L3785" s="1" t="str">
        <f t="shared" si="2"/>
        <v>Jan</v>
      </c>
      <c r="M3785" s="1" t="str">
        <f t="shared" si="3"/>
        <v>Profit</v>
      </c>
    </row>
    <row r="3786" ht="14.25" customHeight="1">
      <c r="A3786" s="1" t="s">
        <v>3820</v>
      </c>
      <c r="B3786" s="2">
        <v>44728.0</v>
      </c>
      <c r="C3786" s="1" t="s">
        <v>14</v>
      </c>
      <c r="D3786" s="1" t="s">
        <v>27</v>
      </c>
      <c r="E3786" s="1" t="s">
        <v>28</v>
      </c>
      <c r="F3786" s="1">
        <v>424.97</v>
      </c>
      <c r="G3786" s="1">
        <v>250.07</v>
      </c>
      <c r="H3786" s="1">
        <v>3.0</v>
      </c>
      <c r="I3786" s="1" t="s">
        <v>17</v>
      </c>
      <c r="J3786" s="1" t="s">
        <v>24</v>
      </c>
      <c r="K3786" s="1">
        <f t="shared" si="1"/>
        <v>2022</v>
      </c>
      <c r="L3786" s="1" t="str">
        <f t="shared" si="2"/>
        <v>Jun</v>
      </c>
      <c r="M3786" s="1" t="str">
        <f t="shared" si="3"/>
        <v>Profit</v>
      </c>
    </row>
    <row r="3787" ht="14.25" customHeight="1">
      <c r="A3787" s="1" t="s">
        <v>3821</v>
      </c>
      <c r="B3787" s="2">
        <v>44269.0</v>
      </c>
      <c r="C3787" s="1" t="s">
        <v>14</v>
      </c>
      <c r="D3787" s="1" t="s">
        <v>21</v>
      </c>
      <c r="E3787" s="1" t="s">
        <v>76</v>
      </c>
      <c r="F3787" s="1">
        <v>469.3</v>
      </c>
      <c r="G3787" s="1">
        <v>-144.79</v>
      </c>
      <c r="H3787" s="1">
        <v>10.0</v>
      </c>
      <c r="I3787" s="1" t="s">
        <v>17</v>
      </c>
      <c r="J3787" s="1" t="s">
        <v>38</v>
      </c>
      <c r="K3787" s="1">
        <f t="shared" si="1"/>
        <v>2021</v>
      </c>
      <c r="L3787" s="1" t="str">
        <f t="shared" si="2"/>
        <v>Mar</v>
      </c>
      <c r="M3787" s="1" t="str">
        <f t="shared" si="3"/>
        <v>Loss</v>
      </c>
    </row>
    <row r="3788" ht="14.25" customHeight="1">
      <c r="A3788" s="1" t="s">
        <v>3822</v>
      </c>
      <c r="B3788" s="2">
        <v>44717.0</v>
      </c>
      <c r="C3788" s="1" t="s">
        <v>14</v>
      </c>
      <c r="D3788" s="1" t="s">
        <v>21</v>
      </c>
      <c r="E3788" s="1" t="s">
        <v>76</v>
      </c>
      <c r="F3788" s="1">
        <v>445.49</v>
      </c>
      <c r="G3788" s="1">
        <v>-43.35</v>
      </c>
      <c r="H3788" s="1">
        <v>1.0</v>
      </c>
      <c r="I3788" s="1" t="s">
        <v>23</v>
      </c>
      <c r="J3788" s="1" t="s">
        <v>35</v>
      </c>
      <c r="K3788" s="1">
        <f t="shared" si="1"/>
        <v>2022</v>
      </c>
      <c r="L3788" s="1" t="str">
        <f t="shared" si="2"/>
        <v>Jun</v>
      </c>
      <c r="M3788" s="1" t="str">
        <f t="shared" si="3"/>
        <v>Loss</v>
      </c>
    </row>
    <row r="3789" ht="14.25" customHeight="1">
      <c r="A3789" s="1" t="s">
        <v>3823</v>
      </c>
      <c r="B3789" s="2">
        <v>44913.0</v>
      </c>
      <c r="C3789" s="1" t="s">
        <v>20</v>
      </c>
      <c r="D3789" s="1" t="s">
        <v>21</v>
      </c>
      <c r="E3789" s="1" t="s">
        <v>22</v>
      </c>
      <c r="F3789" s="1">
        <v>189.74</v>
      </c>
      <c r="G3789" s="1">
        <v>175.52</v>
      </c>
      <c r="H3789" s="1">
        <v>2.0</v>
      </c>
      <c r="I3789" s="1" t="s">
        <v>23</v>
      </c>
      <c r="J3789" s="1" t="s">
        <v>35</v>
      </c>
      <c r="K3789" s="1">
        <f t="shared" si="1"/>
        <v>2022</v>
      </c>
      <c r="L3789" s="1" t="str">
        <f t="shared" si="2"/>
        <v>Dec</v>
      </c>
      <c r="M3789" s="1" t="str">
        <f t="shared" si="3"/>
        <v>Profit</v>
      </c>
    </row>
    <row r="3790" ht="14.25" customHeight="1">
      <c r="A3790" s="1" t="s">
        <v>3824</v>
      </c>
      <c r="B3790" s="2">
        <v>45244.0</v>
      </c>
      <c r="C3790" s="1" t="s">
        <v>14</v>
      </c>
      <c r="D3790" s="1" t="s">
        <v>27</v>
      </c>
      <c r="E3790" s="1" t="s">
        <v>40</v>
      </c>
      <c r="F3790" s="1">
        <v>120.23</v>
      </c>
      <c r="G3790" s="1">
        <v>-15.56</v>
      </c>
      <c r="H3790" s="1">
        <v>2.0</v>
      </c>
      <c r="I3790" s="1" t="s">
        <v>23</v>
      </c>
      <c r="J3790" s="1" t="s">
        <v>18</v>
      </c>
      <c r="K3790" s="1">
        <f t="shared" si="1"/>
        <v>2023</v>
      </c>
      <c r="L3790" s="1" t="str">
        <f t="shared" si="2"/>
        <v>Nov</v>
      </c>
      <c r="M3790" s="1" t="str">
        <f t="shared" si="3"/>
        <v>Loss</v>
      </c>
    </row>
    <row r="3791" ht="14.25" customHeight="1">
      <c r="A3791" s="1" t="s">
        <v>3825</v>
      </c>
      <c r="B3791" s="2">
        <v>45289.0</v>
      </c>
      <c r="C3791" s="1" t="s">
        <v>30</v>
      </c>
      <c r="D3791" s="1" t="s">
        <v>15</v>
      </c>
      <c r="E3791" s="1" t="s">
        <v>54</v>
      </c>
      <c r="F3791" s="1">
        <v>793.55</v>
      </c>
      <c r="G3791" s="1">
        <v>147.53</v>
      </c>
      <c r="H3791" s="1">
        <v>7.0</v>
      </c>
      <c r="I3791" s="1" t="s">
        <v>34</v>
      </c>
      <c r="J3791" s="1" t="s">
        <v>35</v>
      </c>
      <c r="K3791" s="1">
        <f t="shared" si="1"/>
        <v>2023</v>
      </c>
      <c r="L3791" s="1" t="str">
        <f t="shared" si="2"/>
        <v>Dec</v>
      </c>
      <c r="M3791" s="1" t="str">
        <f t="shared" si="3"/>
        <v>Profit</v>
      </c>
    </row>
    <row r="3792" ht="14.25" customHeight="1">
      <c r="A3792" s="1" t="s">
        <v>3826</v>
      </c>
      <c r="B3792" s="2">
        <v>44654.0</v>
      </c>
      <c r="C3792" s="1" t="s">
        <v>30</v>
      </c>
      <c r="D3792" s="1" t="s">
        <v>15</v>
      </c>
      <c r="E3792" s="1" t="s">
        <v>16</v>
      </c>
      <c r="F3792" s="1">
        <v>65.72</v>
      </c>
      <c r="G3792" s="1">
        <v>3.64</v>
      </c>
      <c r="H3792" s="1">
        <v>1.0</v>
      </c>
      <c r="I3792" s="1" t="s">
        <v>34</v>
      </c>
      <c r="J3792" s="1" t="s">
        <v>35</v>
      </c>
      <c r="K3792" s="1">
        <f t="shared" si="1"/>
        <v>2022</v>
      </c>
      <c r="L3792" s="1" t="str">
        <f t="shared" si="2"/>
        <v>Apr</v>
      </c>
      <c r="M3792" s="1" t="str">
        <f t="shared" si="3"/>
        <v>Profit</v>
      </c>
    </row>
    <row r="3793" ht="14.25" customHeight="1">
      <c r="A3793" s="1" t="s">
        <v>3827</v>
      </c>
      <c r="B3793" s="2">
        <v>44367.0</v>
      </c>
      <c r="C3793" s="1" t="s">
        <v>26</v>
      </c>
      <c r="D3793" s="1" t="s">
        <v>21</v>
      </c>
      <c r="E3793" s="1" t="s">
        <v>76</v>
      </c>
      <c r="F3793" s="1">
        <v>862.29</v>
      </c>
      <c r="G3793" s="1">
        <v>107.42</v>
      </c>
      <c r="H3793" s="1">
        <v>10.0</v>
      </c>
      <c r="I3793" s="1" t="s">
        <v>17</v>
      </c>
      <c r="J3793" s="1" t="s">
        <v>24</v>
      </c>
      <c r="K3793" s="1">
        <f t="shared" si="1"/>
        <v>2021</v>
      </c>
      <c r="L3793" s="1" t="str">
        <f t="shared" si="2"/>
        <v>Jun</v>
      </c>
      <c r="M3793" s="1" t="str">
        <f t="shared" si="3"/>
        <v>Profit</v>
      </c>
    </row>
    <row r="3794" ht="14.25" customHeight="1">
      <c r="A3794" s="1" t="s">
        <v>3828</v>
      </c>
      <c r="B3794" s="2">
        <v>44564.0</v>
      </c>
      <c r="C3794" s="1" t="s">
        <v>30</v>
      </c>
      <c r="D3794" s="1" t="s">
        <v>21</v>
      </c>
      <c r="E3794" s="1" t="s">
        <v>37</v>
      </c>
      <c r="F3794" s="1">
        <v>263.92</v>
      </c>
      <c r="G3794" s="1">
        <v>-73.74</v>
      </c>
      <c r="H3794" s="1">
        <v>8.0</v>
      </c>
      <c r="I3794" s="1" t="s">
        <v>17</v>
      </c>
      <c r="J3794" s="1" t="s">
        <v>18</v>
      </c>
      <c r="K3794" s="1">
        <f t="shared" si="1"/>
        <v>2022</v>
      </c>
      <c r="L3794" s="1" t="str">
        <f t="shared" si="2"/>
        <v>Jan</v>
      </c>
      <c r="M3794" s="1" t="str">
        <f t="shared" si="3"/>
        <v>Loss</v>
      </c>
    </row>
    <row r="3795" ht="14.25" customHeight="1">
      <c r="A3795" s="1" t="s">
        <v>3829</v>
      </c>
      <c r="B3795" s="2">
        <v>45079.0</v>
      </c>
      <c r="C3795" s="1" t="s">
        <v>26</v>
      </c>
      <c r="D3795" s="1" t="s">
        <v>27</v>
      </c>
      <c r="E3795" s="1" t="s">
        <v>33</v>
      </c>
      <c r="F3795" s="1">
        <v>885.66</v>
      </c>
      <c r="G3795" s="1">
        <v>237.38</v>
      </c>
      <c r="H3795" s="1">
        <v>6.0</v>
      </c>
      <c r="I3795" s="1" t="s">
        <v>34</v>
      </c>
      <c r="J3795" s="1" t="s">
        <v>35</v>
      </c>
      <c r="K3795" s="1">
        <f t="shared" si="1"/>
        <v>2023</v>
      </c>
      <c r="L3795" s="1" t="str">
        <f t="shared" si="2"/>
        <v>Jun</v>
      </c>
      <c r="M3795" s="1" t="str">
        <f t="shared" si="3"/>
        <v>Profit</v>
      </c>
    </row>
    <row r="3796" ht="14.25" customHeight="1">
      <c r="A3796" s="1" t="s">
        <v>3830</v>
      </c>
      <c r="B3796" s="2">
        <v>44260.0</v>
      </c>
      <c r="C3796" s="1" t="s">
        <v>26</v>
      </c>
      <c r="D3796" s="1" t="s">
        <v>15</v>
      </c>
      <c r="E3796" s="1" t="s">
        <v>31</v>
      </c>
      <c r="F3796" s="1">
        <v>908.98</v>
      </c>
      <c r="G3796" s="1">
        <v>299.32</v>
      </c>
      <c r="H3796" s="1">
        <v>6.0</v>
      </c>
      <c r="I3796" s="1" t="s">
        <v>17</v>
      </c>
      <c r="J3796" s="1" t="s">
        <v>18</v>
      </c>
      <c r="K3796" s="1">
        <f t="shared" si="1"/>
        <v>2021</v>
      </c>
      <c r="L3796" s="1" t="str">
        <f t="shared" si="2"/>
        <v>Mar</v>
      </c>
      <c r="M3796" s="1" t="str">
        <f t="shared" si="3"/>
        <v>Profit</v>
      </c>
    </row>
    <row r="3797" ht="14.25" customHeight="1">
      <c r="A3797" s="1" t="s">
        <v>3831</v>
      </c>
      <c r="B3797" s="2">
        <v>44248.0</v>
      </c>
      <c r="C3797" s="1" t="s">
        <v>26</v>
      </c>
      <c r="D3797" s="1" t="s">
        <v>27</v>
      </c>
      <c r="E3797" s="1" t="s">
        <v>40</v>
      </c>
      <c r="F3797" s="1">
        <v>536.32</v>
      </c>
      <c r="G3797" s="1">
        <v>-64.6</v>
      </c>
      <c r="H3797" s="1">
        <v>10.0</v>
      </c>
      <c r="I3797" s="1" t="s">
        <v>23</v>
      </c>
      <c r="J3797" s="1" t="s">
        <v>24</v>
      </c>
      <c r="K3797" s="1">
        <f t="shared" si="1"/>
        <v>2021</v>
      </c>
      <c r="L3797" s="1" t="str">
        <f t="shared" si="2"/>
        <v>Feb</v>
      </c>
      <c r="M3797" s="1" t="str">
        <f t="shared" si="3"/>
        <v>Loss</v>
      </c>
    </row>
    <row r="3798" ht="14.25" customHeight="1">
      <c r="A3798" s="1" t="s">
        <v>3832</v>
      </c>
      <c r="B3798" s="2">
        <v>44602.0</v>
      </c>
      <c r="C3798" s="1" t="s">
        <v>14</v>
      </c>
      <c r="D3798" s="1" t="s">
        <v>27</v>
      </c>
      <c r="E3798" s="1" t="s">
        <v>33</v>
      </c>
      <c r="F3798" s="1">
        <v>989.34</v>
      </c>
      <c r="G3798" s="1">
        <v>133.1</v>
      </c>
      <c r="H3798" s="1">
        <v>3.0</v>
      </c>
      <c r="I3798" s="1" t="s">
        <v>17</v>
      </c>
      <c r="J3798" s="1" t="s">
        <v>18</v>
      </c>
      <c r="K3798" s="1">
        <f t="shared" si="1"/>
        <v>2022</v>
      </c>
      <c r="L3798" s="1" t="str">
        <f t="shared" si="2"/>
        <v>Feb</v>
      </c>
      <c r="M3798" s="1" t="str">
        <f t="shared" si="3"/>
        <v>Profit</v>
      </c>
    </row>
    <row r="3799" ht="14.25" customHeight="1">
      <c r="A3799" s="1" t="s">
        <v>3833</v>
      </c>
      <c r="B3799" s="2">
        <v>44406.0</v>
      </c>
      <c r="C3799" s="1" t="s">
        <v>26</v>
      </c>
      <c r="D3799" s="1" t="s">
        <v>21</v>
      </c>
      <c r="E3799" s="1" t="s">
        <v>76</v>
      </c>
      <c r="F3799" s="1">
        <v>662.1</v>
      </c>
      <c r="G3799" s="1">
        <v>127.99</v>
      </c>
      <c r="H3799" s="1">
        <v>5.0</v>
      </c>
      <c r="I3799" s="1" t="s">
        <v>23</v>
      </c>
      <c r="J3799" s="1" t="s">
        <v>38</v>
      </c>
      <c r="K3799" s="1">
        <f t="shared" si="1"/>
        <v>2021</v>
      </c>
      <c r="L3799" s="1" t="str">
        <f t="shared" si="2"/>
        <v>Jul</v>
      </c>
      <c r="M3799" s="1" t="str">
        <f t="shared" si="3"/>
        <v>Profit</v>
      </c>
    </row>
    <row r="3800" ht="14.25" customHeight="1">
      <c r="A3800" s="1" t="s">
        <v>3834</v>
      </c>
      <c r="B3800" s="2">
        <v>44410.0</v>
      </c>
      <c r="C3800" s="1" t="s">
        <v>14</v>
      </c>
      <c r="D3800" s="1" t="s">
        <v>21</v>
      </c>
      <c r="E3800" s="1" t="s">
        <v>76</v>
      </c>
      <c r="F3800" s="1">
        <v>870.8</v>
      </c>
      <c r="G3800" s="1">
        <v>125.66</v>
      </c>
      <c r="H3800" s="1">
        <v>2.0</v>
      </c>
      <c r="I3800" s="1" t="s">
        <v>17</v>
      </c>
      <c r="J3800" s="1" t="s">
        <v>24</v>
      </c>
      <c r="K3800" s="1">
        <f t="shared" si="1"/>
        <v>2021</v>
      </c>
      <c r="L3800" s="1" t="str">
        <f t="shared" si="2"/>
        <v>Aug</v>
      </c>
      <c r="M3800" s="1" t="str">
        <f t="shared" si="3"/>
        <v>Profit</v>
      </c>
    </row>
    <row r="3801" ht="14.25" customHeight="1">
      <c r="A3801" s="1" t="s">
        <v>3835</v>
      </c>
      <c r="B3801" s="2">
        <v>45178.0</v>
      </c>
      <c r="C3801" s="1" t="s">
        <v>26</v>
      </c>
      <c r="D3801" s="1" t="s">
        <v>27</v>
      </c>
      <c r="E3801" s="1" t="s">
        <v>33</v>
      </c>
      <c r="F3801" s="1">
        <v>854.21</v>
      </c>
      <c r="G3801" s="1">
        <v>251.42</v>
      </c>
      <c r="H3801" s="1">
        <v>6.0</v>
      </c>
      <c r="I3801" s="1" t="s">
        <v>34</v>
      </c>
      <c r="J3801" s="1" t="s">
        <v>35</v>
      </c>
      <c r="K3801" s="1">
        <f t="shared" si="1"/>
        <v>2023</v>
      </c>
      <c r="L3801" s="1" t="str">
        <f t="shared" si="2"/>
        <v>Sep</v>
      </c>
      <c r="M3801" s="1" t="str">
        <f t="shared" si="3"/>
        <v>Profit</v>
      </c>
    </row>
    <row r="3802" ht="14.25" customHeight="1">
      <c r="A3802" s="1" t="s">
        <v>3836</v>
      </c>
      <c r="B3802" s="2">
        <v>44624.0</v>
      </c>
      <c r="C3802" s="1" t="s">
        <v>20</v>
      </c>
      <c r="D3802" s="1" t="s">
        <v>15</v>
      </c>
      <c r="E3802" s="1" t="s">
        <v>16</v>
      </c>
      <c r="F3802" s="1">
        <v>33.36</v>
      </c>
      <c r="G3802" s="1">
        <v>231.78</v>
      </c>
      <c r="H3802" s="1">
        <v>10.0</v>
      </c>
      <c r="I3802" s="1" t="s">
        <v>23</v>
      </c>
      <c r="J3802" s="1" t="s">
        <v>24</v>
      </c>
      <c r="K3802" s="1">
        <f t="shared" si="1"/>
        <v>2022</v>
      </c>
      <c r="L3802" s="1" t="str">
        <f t="shared" si="2"/>
        <v>Mar</v>
      </c>
      <c r="M3802" s="1" t="str">
        <f t="shared" si="3"/>
        <v>Profit</v>
      </c>
    </row>
    <row r="3803" ht="14.25" customHeight="1">
      <c r="A3803" s="1" t="s">
        <v>3837</v>
      </c>
      <c r="B3803" s="2">
        <v>45272.0</v>
      </c>
      <c r="C3803" s="1" t="s">
        <v>26</v>
      </c>
      <c r="D3803" s="1" t="s">
        <v>21</v>
      </c>
      <c r="E3803" s="1" t="s">
        <v>76</v>
      </c>
      <c r="F3803" s="1">
        <v>794.71</v>
      </c>
      <c r="G3803" s="1">
        <v>249.51</v>
      </c>
      <c r="H3803" s="1">
        <v>4.0</v>
      </c>
      <c r="I3803" s="1" t="s">
        <v>23</v>
      </c>
      <c r="J3803" s="1" t="s">
        <v>35</v>
      </c>
      <c r="K3803" s="1">
        <f t="shared" si="1"/>
        <v>2023</v>
      </c>
      <c r="L3803" s="1" t="str">
        <f t="shared" si="2"/>
        <v>Dec</v>
      </c>
      <c r="M3803" s="1" t="str">
        <f t="shared" si="3"/>
        <v>Profit</v>
      </c>
    </row>
    <row r="3804" ht="14.25" customHeight="1">
      <c r="A3804" s="1" t="s">
        <v>3838</v>
      </c>
      <c r="B3804" s="2">
        <v>45109.0</v>
      </c>
      <c r="C3804" s="1" t="s">
        <v>26</v>
      </c>
      <c r="D3804" s="1" t="s">
        <v>21</v>
      </c>
      <c r="E3804" s="1" t="s">
        <v>22</v>
      </c>
      <c r="F3804" s="1">
        <v>765.23</v>
      </c>
      <c r="G3804" s="1">
        <v>-92.93</v>
      </c>
      <c r="H3804" s="1">
        <v>9.0</v>
      </c>
      <c r="I3804" s="1" t="s">
        <v>34</v>
      </c>
      <c r="J3804" s="1" t="s">
        <v>35</v>
      </c>
      <c r="K3804" s="1">
        <f t="shared" si="1"/>
        <v>2023</v>
      </c>
      <c r="L3804" s="1" t="str">
        <f t="shared" si="2"/>
        <v>Jul</v>
      </c>
      <c r="M3804" s="1" t="str">
        <f t="shared" si="3"/>
        <v>Loss</v>
      </c>
    </row>
    <row r="3805" ht="14.25" customHeight="1">
      <c r="A3805" s="1" t="s">
        <v>3839</v>
      </c>
      <c r="B3805" s="2">
        <v>44997.0</v>
      </c>
      <c r="C3805" s="1" t="s">
        <v>26</v>
      </c>
      <c r="D3805" s="1" t="s">
        <v>21</v>
      </c>
      <c r="E3805" s="1" t="s">
        <v>76</v>
      </c>
      <c r="F3805" s="1">
        <v>376.91</v>
      </c>
      <c r="G3805" s="1">
        <v>165.95</v>
      </c>
      <c r="H3805" s="1">
        <v>1.0</v>
      </c>
      <c r="I3805" s="1" t="s">
        <v>34</v>
      </c>
      <c r="J3805" s="1" t="s">
        <v>24</v>
      </c>
      <c r="K3805" s="1">
        <f t="shared" si="1"/>
        <v>2023</v>
      </c>
      <c r="L3805" s="1" t="str">
        <f t="shared" si="2"/>
        <v>Mar</v>
      </c>
      <c r="M3805" s="1" t="str">
        <f t="shared" si="3"/>
        <v>Profit</v>
      </c>
    </row>
    <row r="3806" ht="14.25" customHeight="1">
      <c r="A3806" s="1" t="s">
        <v>3840</v>
      </c>
      <c r="B3806" s="2">
        <v>44785.0</v>
      </c>
      <c r="C3806" s="1" t="s">
        <v>30</v>
      </c>
      <c r="D3806" s="1" t="s">
        <v>15</v>
      </c>
      <c r="E3806" s="1" t="s">
        <v>54</v>
      </c>
      <c r="F3806" s="1">
        <v>451.16</v>
      </c>
      <c r="G3806" s="1">
        <v>-163.53</v>
      </c>
      <c r="H3806" s="1">
        <v>8.0</v>
      </c>
      <c r="I3806" s="1" t="s">
        <v>23</v>
      </c>
      <c r="J3806" s="1" t="s">
        <v>38</v>
      </c>
      <c r="K3806" s="1">
        <f t="shared" si="1"/>
        <v>2022</v>
      </c>
      <c r="L3806" s="1" t="str">
        <f t="shared" si="2"/>
        <v>Aug</v>
      </c>
      <c r="M3806" s="1" t="str">
        <f t="shared" si="3"/>
        <v>Loss</v>
      </c>
    </row>
    <row r="3807" ht="14.25" customHeight="1">
      <c r="A3807" s="1" t="s">
        <v>3841</v>
      </c>
      <c r="B3807" s="2">
        <v>44940.0</v>
      </c>
      <c r="C3807" s="1" t="s">
        <v>20</v>
      </c>
      <c r="D3807" s="1" t="s">
        <v>21</v>
      </c>
      <c r="E3807" s="1" t="s">
        <v>76</v>
      </c>
      <c r="F3807" s="1">
        <v>57.32</v>
      </c>
      <c r="G3807" s="1">
        <v>269.66</v>
      </c>
      <c r="H3807" s="1">
        <v>5.0</v>
      </c>
      <c r="I3807" s="1" t="s">
        <v>34</v>
      </c>
      <c r="J3807" s="1" t="s">
        <v>24</v>
      </c>
      <c r="K3807" s="1">
        <f t="shared" si="1"/>
        <v>2023</v>
      </c>
      <c r="L3807" s="1" t="str">
        <f t="shared" si="2"/>
        <v>Jan</v>
      </c>
      <c r="M3807" s="1" t="str">
        <f t="shared" si="3"/>
        <v>Profit</v>
      </c>
    </row>
    <row r="3808" ht="14.25" customHeight="1">
      <c r="A3808" s="1" t="s">
        <v>3842</v>
      </c>
      <c r="B3808" s="2">
        <v>45011.0</v>
      </c>
      <c r="C3808" s="1" t="s">
        <v>20</v>
      </c>
      <c r="D3808" s="1" t="s">
        <v>21</v>
      </c>
      <c r="E3808" s="1" t="s">
        <v>37</v>
      </c>
      <c r="F3808" s="1">
        <v>734.38</v>
      </c>
      <c r="G3808" s="1">
        <v>214.33</v>
      </c>
      <c r="H3808" s="1">
        <v>9.0</v>
      </c>
      <c r="I3808" s="1" t="s">
        <v>23</v>
      </c>
      <c r="J3808" s="1" t="s">
        <v>24</v>
      </c>
      <c r="K3808" s="1">
        <f t="shared" si="1"/>
        <v>2023</v>
      </c>
      <c r="L3808" s="1" t="str">
        <f t="shared" si="2"/>
        <v>Mar</v>
      </c>
      <c r="M3808" s="1" t="str">
        <f t="shared" si="3"/>
        <v>Profit</v>
      </c>
    </row>
    <row r="3809" ht="14.25" customHeight="1">
      <c r="A3809" s="1" t="s">
        <v>3843</v>
      </c>
      <c r="B3809" s="2">
        <v>45189.0</v>
      </c>
      <c r="C3809" s="1" t="s">
        <v>30</v>
      </c>
      <c r="D3809" s="1" t="s">
        <v>21</v>
      </c>
      <c r="E3809" s="1" t="s">
        <v>37</v>
      </c>
      <c r="F3809" s="1">
        <v>952.09</v>
      </c>
      <c r="G3809" s="1">
        <v>-141.54</v>
      </c>
      <c r="H3809" s="1">
        <v>4.0</v>
      </c>
      <c r="I3809" s="1" t="s">
        <v>23</v>
      </c>
      <c r="J3809" s="1" t="s">
        <v>18</v>
      </c>
      <c r="K3809" s="1">
        <f t="shared" si="1"/>
        <v>2023</v>
      </c>
      <c r="L3809" s="1" t="str">
        <f t="shared" si="2"/>
        <v>Sep</v>
      </c>
      <c r="M3809" s="1" t="str">
        <f t="shared" si="3"/>
        <v>Loss</v>
      </c>
    </row>
    <row r="3810" ht="14.25" customHeight="1">
      <c r="A3810" s="1" t="s">
        <v>3844</v>
      </c>
      <c r="B3810" s="2">
        <v>44293.0</v>
      </c>
      <c r="C3810" s="1" t="s">
        <v>14</v>
      </c>
      <c r="D3810" s="1" t="s">
        <v>21</v>
      </c>
      <c r="E3810" s="1" t="s">
        <v>76</v>
      </c>
      <c r="F3810" s="1">
        <v>609.45</v>
      </c>
      <c r="G3810" s="1">
        <v>-115.36</v>
      </c>
      <c r="H3810" s="1">
        <v>7.0</v>
      </c>
      <c r="I3810" s="1" t="s">
        <v>17</v>
      </c>
      <c r="J3810" s="1" t="s">
        <v>24</v>
      </c>
      <c r="K3810" s="1">
        <f t="shared" si="1"/>
        <v>2021</v>
      </c>
      <c r="L3810" s="1" t="str">
        <f t="shared" si="2"/>
        <v>Apr</v>
      </c>
      <c r="M3810" s="1" t="str">
        <f t="shared" si="3"/>
        <v>Loss</v>
      </c>
    </row>
    <row r="3811" ht="14.25" customHeight="1">
      <c r="A3811" s="1" t="s">
        <v>3845</v>
      </c>
      <c r="B3811" s="2">
        <v>44693.0</v>
      </c>
      <c r="C3811" s="1" t="s">
        <v>26</v>
      </c>
      <c r="D3811" s="1" t="s">
        <v>21</v>
      </c>
      <c r="E3811" s="1" t="s">
        <v>76</v>
      </c>
      <c r="F3811" s="1">
        <v>834.77</v>
      </c>
      <c r="G3811" s="1">
        <v>60.36</v>
      </c>
      <c r="H3811" s="1">
        <v>8.0</v>
      </c>
      <c r="I3811" s="1" t="s">
        <v>17</v>
      </c>
      <c r="J3811" s="1" t="s">
        <v>18</v>
      </c>
      <c r="K3811" s="1">
        <f t="shared" si="1"/>
        <v>2022</v>
      </c>
      <c r="L3811" s="1" t="str">
        <f t="shared" si="2"/>
        <v>May</v>
      </c>
      <c r="M3811" s="1" t="str">
        <f t="shared" si="3"/>
        <v>Profit</v>
      </c>
    </row>
    <row r="3812" ht="14.25" customHeight="1">
      <c r="A3812" s="1" t="s">
        <v>3846</v>
      </c>
      <c r="B3812" s="2">
        <v>45212.0</v>
      </c>
      <c r="C3812" s="1" t="s">
        <v>14</v>
      </c>
      <c r="D3812" s="1" t="s">
        <v>15</v>
      </c>
      <c r="E3812" s="1" t="s">
        <v>16</v>
      </c>
      <c r="F3812" s="1">
        <v>382.71</v>
      </c>
      <c r="G3812" s="1">
        <v>146.56</v>
      </c>
      <c r="H3812" s="1">
        <v>1.0</v>
      </c>
      <c r="I3812" s="1" t="s">
        <v>34</v>
      </c>
      <c r="J3812" s="1" t="s">
        <v>38</v>
      </c>
      <c r="K3812" s="1">
        <f t="shared" si="1"/>
        <v>2023</v>
      </c>
      <c r="L3812" s="1" t="str">
        <f t="shared" si="2"/>
        <v>Oct</v>
      </c>
      <c r="M3812" s="1" t="str">
        <f t="shared" si="3"/>
        <v>Profit</v>
      </c>
    </row>
    <row r="3813" ht="14.25" customHeight="1">
      <c r="A3813" s="1" t="s">
        <v>3847</v>
      </c>
      <c r="B3813" s="2">
        <v>44712.0</v>
      </c>
      <c r="C3813" s="1" t="s">
        <v>26</v>
      </c>
      <c r="D3813" s="1" t="s">
        <v>21</v>
      </c>
      <c r="E3813" s="1" t="s">
        <v>22</v>
      </c>
      <c r="F3813" s="1">
        <v>810.28</v>
      </c>
      <c r="G3813" s="1">
        <v>-150.74</v>
      </c>
      <c r="H3813" s="1">
        <v>3.0</v>
      </c>
      <c r="I3813" s="1" t="s">
        <v>34</v>
      </c>
      <c r="J3813" s="1" t="s">
        <v>18</v>
      </c>
      <c r="K3813" s="1">
        <f t="shared" si="1"/>
        <v>2022</v>
      </c>
      <c r="L3813" s="1" t="str">
        <f t="shared" si="2"/>
        <v>May</v>
      </c>
      <c r="M3813" s="1" t="str">
        <f t="shared" si="3"/>
        <v>Loss</v>
      </c>
    </row>
    <row r="3814" ht="14.25" customHeight="1">
      <c r="A3814" s="1" t="s">
        <v>3848</v>
      </c>
      <c r="B3814" s="2">
        <v>44973.0</v>
      </c>
      <c r="C3814" s="1" t="s">
        <v>26</v>
      </c>
      <c r="D3814" s="1" t="s">
        <v>27</v>
      </c>
      <c r="E3814" s="1" t="s">
        <v>40</v>
      </c>
      <c r="F3814" s="1">
        <v>424.45</v>
      </c>
      <c r="G3814" s="1">
        <v>-129.12</v>
      </c>
      <c r="H3814" s="1">
        <v>4.0</v>
      </c>
      <c r="I3814" s="1" t="s">
        <v>23</v>
      </c>
      <c r="J3814" s="1" t="s">
        <v>18</v>
      </c>
      <c r="K3814" s="1">
        <f t="shared" si="1"/>
        <v>2023</v>
      </c>
      <c r="L3814" s="1" t="str">
        <f t="shared" si="2"/>
        <v>Feb</v>
      </c>
      <c r="M3814" s="1" t="str">
        <f t="shared" si="3"/>
        <v>Loss</v>
      </c>
    </row>
    <row r="3815" ht="14.25" customHeight="1">
      <c r="A3815" s="1" t="s">
        <v>3849</v>
      </c>
      <c r="B3815" s="2">
        <v>44240.0</v>
      </c>
      <c r="C3815" s="1" t="s">
        <v>30</v>
      </c>
      <c r="D3815" s="1" t="s">
        <v>27</v>
      </c>
      <c r="E3815" s="1" t="s">
        <v>33</v>
      </c>
      <c r="F3815" s="1">
        <v>438.86</v>
      </c>
      <c r="G3815" s="1">
        <v>294.02</v>
      </c>
      <c r="H3815" s="1">
        <v>6.0</v>
      </c>
      <c r="I3815" s="1" t="s">
        <v>34</v>
      </c>
      <c r="J3815" s="1" t="s">
        <v>18</v>
      </c>
      <c r="K3815" s="1">
        <f t="shared" si="1"/>
        <v>2021</v>
      </c>
      <c r="L3815" s="1" t="str">
        <f t="shared" si="2"/>
        <v>Feb</v>
      </c>
      <c r="M3815" s="1" t="str">
        <f t="shared" si="3"/>
        <v>Profit</v>
      </c>
    </row>
    <row r="3816" ht="14.25" customHeight="1">
      <c r="A3816" s="1" t="s">
        <v>3850</v>
      </c>
      <c r="B3816" s="2">
        <v>44976.0</v>
      </c>
      <c r="C3816" s="1" t="s">
        <v>30</v>
      </c>
      <c r="D3816" s="1" t="s">
        <v>15</v>
      </c>
      <c r="E3816" s="1" t="s">
        <v>16</v>
      </c>
      <c r="F3816" s="1">
        <v>655.54</v>
      </c>
      <c r="G3816" s="1">
        <v>217.05</v>
      </c>
      <c r="H3816" s="1">
        <v>8.0</v>
      </c>
      <c r="I3816" s="1" t="s">
        <v>34</v>
      </c>
      <c r="J3816" s="1" t="s">
        <v>38</v>
      </c>
      <c r="K3816" s="1">
        <f t="shared" si="1"/>
        <v>2023</v>
      </c>
      <c r="L3816" s="1" t="str">
        <f t="shared" si="2"/>
        <v>Feb</v>
      </c>
      <c r="M3816" s="1" t="str">
        <f t="shared" si="3"/>
        <v>Profit</v>
      </c>
    </row>
    <row r="3817" ht="14.25" customHeight="1">
      <c r="A3817" s="1" t="s">
        <v>3851</v>
      </c>
      <c r="B3817" s="2">
        <v>44427.0</v>
      </c>
      <c r="C3817" s="1" t="s">
        <v>14</v>
      </c>
      <c r="D3817" s="1" t="s">
        <v>27</v>
      </c>
      <c r="E3817" s="1" t="s">
        <v>40</v>
      </c>
      <c r="F3817" s="1">
        <v>383.65</v>
      </c>
      <c r="G3817" s="1">
        <v>210.74</v>
      </c>
      <c r="H3817" s="1">
        <v>2.0</v>
      </c>
      <c r="I3817" s="1" t="s">
        <v>23</v>
      </c>
      <c r="J3817" s="1" t="s">
        <v>24</v>
      </c>
      <c r="K3817" s="1">
        <f t="shared" si="1"/>
        <v>2021</v>
      </c>
      <c r="L3817" s="1" t="str">
        <f t="shared" si="2"/>
        <v>Aug</v>
      </c>
      <c r="M3817" s="1" t="str">
        <f t="shared" si="3"/>
        <v>Profit</v>
      </c>
    </row>
    <row r="3818" ht="14.25" customHeight="1">
      <c r="A3818" s="1" t="s">
        <v>3852</v>
      </c>
      <c r="B3818" s="2">
        <v>45230.0</v>
      </c>
      <c r="C3818" s="1" t="s">
        <v>26</v>
      </c>
      <c r="D3818" s="1" t="s">
        <v>27</v>
      </c>
      <c r="E3818" s="1" t="s">
        <v>28</v>
      </c>
      <c r="F3818" s="1">
        <v>537.92</v>
      </c>
      <c r="G3818" s="1">
        <v>54.55</v>
      </c>
      <c r="H3818" s="1">
        <v>10.0</v>
      </c>
      <c r="I3818" s="1" t="s">
        <v>23</v>
      </c>
      <c r="J3818" s="1" t="s">
        <v>35</v>
      </c>
      <c r="K3818" s="1">
        <f t="shared" si="1"/>
        <v>2023</v>
      </c>
      <c r="L3818" s="1" t="str">
        <f t="shared" si="2"/>
        <v>Oct</v>
      </c>
      <c r="M3818" s="1" t="str">
        <f t="shared" si="3"/>
        <v>Profit</v>
      </c>
    </row>
    <row r="3819" ht="14.25" customHeight="1">
      <c r="A3819" s="1" t="s">
        <v>3853</v>
      </c>
      <c r="B3819" s="2">
        <v>44365.0</v>
      </c>
      <c r="C3819" s="1" t="s">
        <v>26</v>
      </c>
      <c r="D3819" s="1" t="s">
        <v>15</v>
      </c>
      <c r="E3819" s="1" t="s">
        <v>16</v>
      </c>
      <c r="F3819" s="1">
        <v>970.33</v>
      </c>
      <c r="G3819" s="1">
        <v>-125.11</v>
      </c>
      <c r="H3819" s="1">
        <v>4.0</v>
      </c>
      <c r="I3819" s="1" t="s">
        <v>17</v>
      </c>
      <c r="J3819" s="1" t="s">
        <v>18</v>
      </c>
      <c r="K3819" s="1">
        <f t="shared" si="1"/>
        <v>2021</v>
      </c>
      <c r="L3819" s="1" t="str">
        <f t="shared" si="2"/>
        <v>Jun</v>
      </c>
      <c r="M3819" s="1" t="str">
        <f t="shared" si="3"/>
        <v>Loss</v>
      </c>
    </row>
    <row r="3820" ht="14.25" customHeight="1">
      <c r="A3820" s="1" t="s">
        <v>3854</v>
      </c>
      <c r="B3820" s="2">
        <v>44495.0</v>
      </c>
      <c r="C3820" s="1" t="s">
        <v>30</v>
      </c>
      <c r="D3820" s="1" t="s">
        <v>21</v>
      </c>
      <c r="E3820" s="1" t="s">
        <v>22</v>
      </c>
      <c r="F3820" s="1">
        <v>46.03</v>
      </c>
      <c r="G3820" s="1">
        <v>290.33</v>
      </c>
      <c r="H3820" s="1">
        <v>2.0</v>
      </c>
      <c r="I3820" s="1" t="s">
        <v>17</v>
      </c>
      <c r="J3820" s="1" t="s">
        <v>38</v>
      </c>
      <c r="K3820" s="1">
        <f t="shared" si="1"/>
        <v>2021</v>
      </c>
      <c r="L3820" s="1" t="str">
        <f t="shared" si="2"/>
        <v>Oct</v>
      </c>
      <c r="M3820" s="1" t="str">
        <f t="shared" si="3"/>
        <v>Profit</v>
      </c>
    </row>
    <row r="3821" ht="14.25" customHeight="1">
      <c r="A3821" s="1" t="s">
        <v>3855</v>
      </c>
      <c r="B3821" s="2">
        <v>44647.0</v>
      </c>
      <c r="C3821" s="1" t="s">
        <v>20</v>
      </c>
      <c r="D3821" s="1" t="s">
        <v>21</v>
      </c>
      <c r="E3821" s="1" t="s">
        <v>37</v>
      </c>
      <c r="F3821" s="1">
        <v>855.16</v>
      </c>
      <c r="G3821" s="1">
        <v>164.38</v>
      </c>
      <c r="H3821" s="1">
        <v>3.0</v>
      </c>
      <c r="I3821" s="1" t="s">
        <v>23</v>
      </c>
      <c r="J3821" s="1" t="s">
        <v>35</v>
      </c>
      <c r="K3821" s="1">
        <f t="shared" si="1"/>
        <v>2022</v>
      </c>
      <c r="L3821" s="1" t="str">
        <f t="shared" si="2"/>
        <v>Mar</v>
      </c>
      <c r="M3821" s="1" t="str">
        <f t="shared" si="3"/>
        <v>Profit</v>
      </c>
    </row>
    <row r="3822" ht="14.25" customHeight="1">
      <c r="A3822" s="1" t="s">
        <v>3856</v>
      </c>
      <c r="B3822" s="2">
        <v>45214.0</v>
      </c>
      <c r="C3822" s="1" t="s">
        <v>30</v>
      </c>
      <c r="D3822" s="1" t="s">
        <v>27</v>
      </c>
      <c r="E3822" s="1" t="s">
        <v>40</v>
      </c>
      <c r="F3822" s="1">
        <v>434.61</v>
      </c>
      <c r="G3822" s="1">
        <v>-82.86</v>
      </c>
      <c r="H3822" s="1">
        <v>10.0</v>
      </c>
      <c r="I3822" s="1" t="s">
        <v>23</v>
      </c>
      <c r="J3822" s="1" t="s">
        <v>35</v>
      </c>
      <c r="K3822" s="1">
        <f t="shared" si="1"/>
        <v>2023</v>
      </c>
      <c r="L3822" s="1" t="str">
        <f t="shared" si="2"/>
        <v>Oct</v>
      </c>
      <c r="M3822" s="1" t="str">
        <f t="shared" si="3"/>
        <v>Loss</v>
      </c>
    </row>
    <row r="3823" ht="14.25" customHeight="1">
      <c r="A3823" s="1" t="s">
        <v>3857</v>
      </c>
      <c r="B3823" s="2">
        <v>45141.0</v>
      </c>
      <c r="C3823" s="1" t="s">
        <v>30</v>
      </c>
      <c r="D3823" s="1" t="s">
        <v>21</v>
      </c>
      <c r="E3823" s="1" t="s">
        <v>76</v>
      </c>
      <c r="F3823" s="1">
        <v>64.36</v>
      </c>
      <c r="G3823" s="1">
        <v>58.71</v>
      </c>
      <c r="H3823" s="1">
        <v>2.0</v>
      </c>
      <c r="I3823" s="1" t="s">
        <v>17</v>
      </c>
      <c r="J3823" s="1" t="s">
        <v>38</v>
      </c>
      <c r="K3823" s="1">
        <f t="shared" si="1"/>
        <v>2023</v>
      </c>
      <c r="L3823" s="1" t="str">
        <f t="shared" si="2"/>
        <v>Aug</v>
      </c>
      <c r="M3823" s="1" t="str">
        <f t="shared" si="3"/>
        <v>Profit</v>
      </c>
    </row>
    <row r="3824" ht="14.25" customHeight="1">
      <c r="A3824" s="1" t="s">
        <v>3858</v>
      </c>
      <c r="B3824" s="2">
        <v>44551.0</v>
      </c>
      <c r="C3824" s="1" t="s">
        <v>20</v>
      </c>
      <c r="D3824" s="1" t="s">
        <v>15</v>
      </c>
      <c r="E3824" s="1" t="s">
        <v>16</v>
      </c>
      <c r="F3824" s="1">
        <v>493.99</v>
      </c>
      <c r="G3824" s="1">
        <v>188.36</v>
      </c>
      <c r="H3824" s="1">
        <v>7.0</v>
      </c>
      <c r="I3824" s="1" t="s">
        <v>23</v>
      </c>
      <c r="J3824" s="1" t="s">
        <v>38</v>
      </c>
      <c r="K3824" s="1">
        <f t="shared" si="1"/>
        <v>2021</v>
      </c>
      <c r="L3824" s="1" t="str">
        <f t="shared" si="2"/>
        <v>Dec</v>
      </c>
      <c r="M3824" s="1" t="str">
        <f t="shared" si="3"/>
        <v>Profit</v>
      </c>
    </row>
    <row r="3825" ht="14.25" customHeight="1">
      <c r="A3825" s="1" t="s">
        <v>3859</v>
      </c>
      <c r="B3825" s="2">
        <v>45277.0</v>
      </c>
      <c r="C3825" s="1" t="s">
        <v>30</v>
      </c>
      <c r="D3825" s="1" t="s">
        <v>27</v>
      </c>
      <c r="E3825" s="1" t="s">
        <v>40</v>
      </c>
      <c r="F3825" s="1">
        <v>335.86</v>
      </c>
      <c r="G3825" s="1">
        <v>-15.58</v>
      </c>
      <c r="H3825" s="1">
        <v>9.0</v>
      </c>
      <c r="I3825" s="1" t="s">
        <v>23</v>
      </c>
      <c r="J3825" s="1" t="s">
        <v>38</v>
      </c>
      <c r="K3825" s="1">
        <f t="shared" si="1"/>
        <v>2023</v>
      </c>
      <c r="L3825" s="1" t="str">
        <f t="shared" si="2"/>
        <v>Dec</v>
      </c>
      <c r="M3825" s="1" t="str">
        <f t="shared" si="3"/>
        <v>Loss</v>
      </c>
    </row>
    <row r="3826" ht="14.25" customHeight="1">
      <c r="A3826" s="1" t="s">
        <v>3860</v>
      </c>
      <c r="B3826" s="2">
        <v>44741.0</v>
      </c>
      <c r="C3826" s="1" t="s">
        <v>30</v>
      </c>
      <c r="D3826" s="1" t="s">
        <v>27</v>
      </c>
      <c r="E3826" s="1" t="s">
        <v>33</v>
      </c>
      <c r="F3826" s="1">
        <v>594.95</v>
      </c>
      <c r="G3826" s="1">
        <v>-128.55</v>
      </c>
      <c r="H3826" s="1">
        <v>7.0</v>
      </c>
      <c r="I3826" s="1" t="s">
        <v>34</v>
      </c>
      <c r="J3826" s="1" t="s">
        <v>35</v>
      </c>
      <c r="K3826" s="1">
        <f t="shared" si="1"/>
        <v>2022</v>
      </c>
      <c r="L3826" s="1" t="str">
        <f t="shared" si="2"/>
        <v>Jun</v>
      </c>
      <c r="M3826" s="1" t="str">
        <f t="shared" si="3"/>
        <v>Loss</v>
      </c>
    </row>
    <row r="3827" ht="14.25" customHeight="1">
      <c r="A3827" s="1" t="s">
        <v>3861</v>
      </c>
      <c r="B3827" s="2">
        <v>44520.0</v>
      </c>
      <c r="C3827" s="1" t="s">
        <v>14</v>
      </c>
      <c r="D3827" s="1" t="s">
        <v>27</v>
      </c>
      <c r="E3827" s="1" t="s">
        <v>33</v>
      </c>
      <c r="F3827" s="1">
        <v>390.76</v>
      </c>
      <c r="G3827" s="1">
        <v>21.3</v>
      </c>
      <c r="H3827" s="1">
        <v>2.0</v>
      </c>
      <c r="I3827" s="1" t="s">
        <v>17</v>
      </c>
      <c r="J3827" s="1" t="s">
        <v>38</v>
      </c>
      <c r="K3827" s="1">
        <f t="shared" si="1"/>
        <v>2021</v>
      </c>
      <c r="L3827" s="1" t="str">
        <f t="shared" si="2"/>
        <v>Nov</v>
      </c>
      <c r="M3827" s="1" t="str">
        <f t="shared" si="3"/>
        <v>Profit</v>
      </c>
    </row>
    <row r="3828" ht="14.25" customHeight="1">
      <c r="A3828" s="1" t="s">
        <v>3862</v>
      </c>
      <c r="B3828" s="2">
        <v>44921.0</v>
      </c>
      <c r="C3828" s="1" t="s">
        <v>26</v>
      </c>
      <c r="D3828" s="1" t="s">
        <v>27</v>
      </c>
      <c r="E3828" s="1" t="s">
        <v>40</v>
      </c>
      <c r="F3828" s="1">
        <v>251.06</v>
      </c>
      <c r="G3828" s="1">
        <v>231.83</v>
      </c>
      <c r="H3828" s="1">
        <v>2.0</v>
      </c>
      <c r="I3828" s="1" t="s">
        <v>23</v>
      </c>
      <c r="J3828" s="1" t="s">
        <v>24</v>
      </c>
      <c r="K3828" s="1">
        <f t="shared" si="1"/>
        <v>2022</v>
      </c>
      <c r="L3828" s="1" t="str">
        <f t="shared" si="2"/>
        <v>Dec</v>
      </c>
      <c r="M3828" s="1" t="str">
        <f t="shared" si="3"/>
        <v>Profit</v>
      </c>
    </row>
    <row r="3829" ht="14.25" customHeight="1">
      <c r="A3829" s="1" t="s">
        <v>3863</v>
      </c>
      <c r="B3829" s="2">
        <v>45256.0</v>
      </c>
      <c r="C3829" s="1" t="s">
        <v>20</v>
      </c>
      <c r="D3829" s="1" t="s">
        <v>21</v>
      </c>
      <c r="E3829" s="1" t="s">
        <v>37</v>
      </c>
      <c r="F3829" s="1">
        <v>876.97</v>
      </c>
      <c r="G3829" s="1">
        <v>-98.89</v>
      </c>
      <c r="H3829" s="1">
        <v>5.0</v>
      </c>
      <c r="I3829" s="1" t="s">
        <v>23</v>
      </c>
      <c r="J3829" s="1" t="s">
        <v>24</v>
      </c>
      <c r="K3829" s="1">
        <f t="shared" si="1"/>
        <v>2023</v>
      </c>
      <c r="L3829" s="1" t="str">
        <f t="shared" si="2"/>
        <v>Nov</v>
      </c>
      <c r="M3829" s="1" t="str">
        <f t="shared" si="3"/>
        <v>Loss</v>
      </c>
    </row>
    <row r="3830" ht="14.25" customHeight="1">
      <c r="A3830" s="1" t="s">
        <v>3864</v>
      </c>
      <c r="B3830" s="2">
        <v>45193.0</v>
      </c>
      <c r="C3830" s="1" t="s">
        <v>14</v>
      </c>
      <c r="D3830" s="1" t="s">
        <v>15</v>
      </c>
      <c r="E3830" s="1" t="s">
        <v>16</v>
      </c>
      <c r="F3830" s="1">
        <v>138.87</v>
      </c>
      <c r="G3830" s="1">
        <v>-40.29</v>
      </c>
      <c r="H3830" s="1">
        <v>9.0</v>
      </c>
      <c r="I3830" s="1" t="s">
        <v>34</v>
      </c>
      <c r="J3830" s="1" t="s">
        <v>35</v>
      </c>
      <c r="K3830" s="1">
        <f t="shared" si="1"/>
        <v>2023</v>
      </c>
      <c r="L3830" s="1" t="str">
        <f t="shared" si="2"/>
        <v>Sep</v>
      </c>
      <c r="M3830" s="1" t="str">
        <f t="shared" si="3"/>
        <v>Loss</v>
      </c>
    </row>
    <row r="3831" ht="14.25" customHeight="1">
      <c r="A3831" s="1" t="s">
        <v>3865</v>
      </c>
      <c r="B3831" s="2">
        <v>44698.0</v>
      </c>
      <c r="C3831" s="1" t="s">
        <v>30</v>
      </c>
      <c r="D3831" s="1" t="s">
        <v>15</v>
      </c>
      <c r="E3831" s="1" t="s">
        <v>31</v>
      </c>
      <c r="F3831" s="1">
        <v>833.66</v>
      </c>
      <c r="G3831" s="1">
        <v>-88.22</v>
      </c>
      <c r="H3831" s="1">
        <v>10.0</v>
      </c>
      <c r="I3831" s="1" t="s">
        <v>23</v>
      </c>
      <c r="J3831" s="1" t="s">
        <v>24</v>
      </c>
      <c r="K3831" s="1">
        <f t="shared" si="1"/>
        <v>2022</v>
      </c>
      <c r="L3831" s="1" t="str">
        <f t="shared" si="2"/>
        <v>May</v>
      </c>
      <c r="M3831" s="1" t="str">
        <f t="shared" si="3"/>
        <v>Loss</v>
      </c>
    </row>
    <row r="3832" ht="14.25" customHeight="1">
      <c r="A3832" s="1" t="s">
        <v>3866</v>
      </c>
      <c r="B3832" s="2">
        <v>44646.0</v>
      </c>
      <c r="C3832" s="1" t="s">
        <v>26</v>
      </c>
      <c r="D3832" s="1" t="s">
        <v>21</v>
      </c>
      <c r="E3832" s="1" t="s">
        <v>22</v>
      </c>
      <c r="F3832" s="1">
        <v>848.63</v>
      </c>
      <c r="G3832" s="1">
        <v>-21.76</v>
      </c>
      <c r="H3832" s="1">
        <v>8.0</v>
      </c>
      <c r="I3832" s="1" t="s">
        <v>23</v>
      </c>
      <c r="J3832" s="1" t="s">
        <v>18</v>
      </c>
      <c r="K3832" s="1">
        <f t="shared" si="1"/>
        <v>2022</v>
      </c>
      <c r="L3832" s="1" t="str">
        <f t="shared" si="2"/>
        <v>Mar</v>
      </c>
      <c r="M3832" s="1" t="str">
        <f t="shared" si="3"/>
        <v>Loss</v>
      </c>
    </row>
    <row r="3833" ht="14.25" customHeight="1">
      <c r="A3833" s="1" t="s">
        <v>3867</v>
      </c>
      <c r="B3833" s="2">
        <v>44631.0</v>
      </c>
      <c r="C3833" s="1" t="s">
        <v>14</v>
      </c>
      <c r="D3833" s="1" t="s">
        <v>27</v>
      </c>
      <c r="E3833" s="1" t="s">
        <v>33</v>
      </c>
      <c r="F3833" s="1">
        <v>269.6</v>
      </c>
      <c r="G3833" s="1">
        <v>-27.62</v>
      </c>
      <c r="H3833" s="1">
        <v>4.0</v>
      </c>
      <c r="I3833" s="1" t="s">
        <v>23</v>
      </c>
      <c r="J3833" s="1" t="s">
        <v>35</v>
      </c>
      <c r="K3833" s="1">
        <f t="shared" si="1"/>
        <v>2022</v>
      </c>
      <c r="L3833" s="1" t="str">
        <f t="shared" si="2"/>
        <v>Mar</v>
      </c>
      <c r="M3833" s="1" t="str">
        <f t="shared" si="3"/>
        <v>Loss</v>
      </c>
    </row>
    <row r="3834" ht="14.25" customHeight="1">
      <c r="A3834" s="1" t="s">
        <v>3868</v>
      </c>
      <c r="B3834" s="2">
        <v>44827.0</v>
      </c>
      <c r="C3834" s="1" t="s">
        <v>20</v>
      </c>
      <c r="D3834" s="1" t="s">
        <v>15</v>
      </c>
      <c r="E3834" s="1" t="s">
        <v>54</v>
      </c>
      <c r="F3834" s="1">
        <v>890.74</v>
      </c>
      <c r="G3834" s="1">
        <v>-121.45</v>
      </c>
      <c r="H3834" s="1">
        <v>3.0</v>
      </c>
      <c r="I3834" s="1" t="s">
        <v>23</v>
      </c>
      <c r="J3834" s="1" t="s">
        <v>24</v>
      </c>
      <c r="K3834" s="1">
        <f t="shared" si="1"/>
        <v>2022</v>
      </c>
      <c r="L3834" s="1" t="str">
        <f t="shared" si="2"/>
        <v>Sep</v>
      </c>
      <c r="M3834" s="1" t="str">
        <f t="shared" si="3"/>
        <v>Loss</v>
      </c>
    </row>
    <row r="3835" ht="14.25" customHeight="1">
      <c r="A3835" s="1" t="s">
        <v>3869</v>
      </c>
      <c r="B3835" s="2">
        <v>44235.0</v>
      </c>
      <c r="C3835" s="1" t="s">
        <v>14</v>
      </c>
      <c r="D3835" s="1" t="s">
        <v>27</v>
      </c>
      <c r="E3835" s="1" t="s">
        <v>40</v>
      </c>
      <c r="F3835" s="1">
        <v>516.59</v>
      </c>
      <c r="G3835" s="1">
        <v>15.69</v>
      </c>
      <c r="H3835" s="1">
        <v>5.0</v>
      </c>
      <c r="I3835" s="1" t="s">
        <v>17</v>
      </c>
      <c r="J3835" s="1" t="s">
        <v>18</v>
      </c>
      <c r="K3835" s="1">
        <f t="shared" si="1"/>
        <v>2021</v>
      </c>
      <c r="L3835" s="1" t="str">
        <f t="shared" si="2"/>
        <v>Feb</v>
      </c>
      <c r="M3835" s="1" t="str">
        <f t="shared" si="3"/>
        <v>Profit</v>
      </c>
    </row>
    <row r="3836" ht="14.25" customHeight="1">
      <c r="A3836" s="1" t="s">
        <v>3870</v>
      </c>
      <c r="B3836" s="2">
        <v>44555.0</v>
      </c>
      <c r="C3836" s="1" t="s">
        <v>26</v>
      </c>
      <c r="D3836" s="1" t="s">
        <v>15</v>
      </c>
      <c r="E3836" s="1" t="s">
        <v>54</v>
      </c>
      <c r="F3836" s="1">
        <v>273.12</v>
      </c>
      <c r="G3836" s="1">
        <v>-29.74</v>
      </c>
      <c r="H3836" s="1">
        <v>8.0</v>
      </c>
      <c r="I3836" s="1" t="s">
        <v>17</v>
      </c>
      <c r="J3836" s="1" t="s">
        <v>38</v>
      </c>
      <c r="K3836" s="1">
        <f t="shared" si="1"/>
        <v>2021</v>
      </c>
      <c r="L3836" s="1" t="str">
        <f t="shared" si="2"/>
        <v>Dec</v>
      </c>
      <c r="M3836" s="1" t="str">
        <f t="shared" si="3"/>
        <v>Loss</v>
      </c>
    </row>
    <row r="3837" ht="14.25" customHeight="1">
      <c r="A3837" s="1" t="s">
        <v>3871</v>
      </c>
      <c r="B3837" s="2">
        <v>44703.0</v>
      </c>
      <c r="C3837" s="1" t="s">
        <v>14</v>
      </c>
      <c r="D3837" s="1" t="s">
        <v>21</v>
      </c>
      <c r="E3837" s="1" t="s">
        <v>22</v>
      </c>
      <c r="F3837" s="1">
        <v>370.13</v>
      </c>
      <c r="G3837" s="1">
        <v>172.63</v>
      </c>
      <c r="H3837" s="1">
        <v>7.0</v>
      </c>
      <c r="I3837" s="1" t="s">
        <v>17</v>
      </c>
      <c r="J3837" s="1" t="s">
        <v>35</v>
      </c>
      <c r="K3837" s="1">
        <f t="shared" si="1"/>
        <v>2022</v>
      </c>
      <c r="L3837" s="1" t="str">
        <f t="shared" si="2"/>
        <v>May</v>
      </c>
      <c r="M3837" s="1" t="str">
        <f t="shared" si="3"/>
        <v>Profit</v>
      </c>
    </row>
    <row r="3838" ht="14.25" customHeight="1">
      <c r="A3838" s="1" t="s">
        <v>3872</v>
      </c>
      <c r="B3838" s="2">
        <v>45003.0</v>
      </c>
      <c r="C3838" s="1" t="s">
        <v>14</v>
      </c>
      <c r="D3838" s="1" t="s">
        <v>27</v>
      </c>
      <c r="E3838" s="1" t="s">
        <v>33</v>
      </c>
      <c r="F3838" s="1">
        <v>265.61</v>
      </c>
      <c r="G3838" s="1">
        <v>42.01</v>
      </c>
      <c r="H3838" s="1">
        <v>2.0</v>
      </c>
      <c r="I3838" s="1" t="s">
        <v>34</v>
      </c>
      <c r="J3838" s="1" t="s">
        <v>38</v>
      </c>
      <c r="K3838" s="1">
        <f t="shared" si="1"/>
        <v>2023</v>
      </c>
      <c r="L3838" s="1" t="str">
        <f t="shared" si="2"/>
        <v>Mar</v>
      </c>
      <c r="M3838" s="1" t="str">
        <f t="shared" si="3"/>
        <v>Profit</v>
      </c>
    </row>
    <row r="3839" ht="14.25" customHeight="1">
      <c r="A3839" s="1" t="s">
        <v>3873</v>
      </c>
      <c r="B3839" s="2">
        <v>44981.0</v>
      </c>
      <c r="C3839" s="1" t="s">
        <v>30</v>
      </c>
      <c r="D3839" s="1" t="s">
        <v>15</v>
      </c>
      <c r="E3839" s="1" t="s">
        <v>31</v>
      </c>
      <c r="F3839" s="1">
        <v>933.0</v>
      </c>
      <c r="G3839" s="1">
        <v>284.82</v>
      </c>
      <c r="H3839" s="1">
        <v>5.0</v>
      </c>
      <c r="I3839" s="1" t="s">
        <v>34</v>
      </c>
      <c r="J3839" s="1" t="s">
        <v>24</v>
      </c>
      <c r="K3839" s="1">
        <f t="shared" si="1"/>
        <v>2023</v>
      </c>
      <c r="L3839" s="1" t="str">
        <f t="shared" si="2"/>
        <v>Feb</v>
      </c>
      <c r="M3839" s="1" t="str">
        <f t="shared" si="3"/>
        <v>Profit</v>
      </c>
    </row>
    <row r="3840" ht="14.25" customHeight="1">
      <c r="A3840" s="1" t="s">
        <v>3874</v>
      </c>
      <c r="B3840" s="2">
        <v>44777.0</v>
      </c>
      <c r="C3840" s="1" t="s">
        <v>26</v>
      </c>
      <c r="D3840" s="1" t="s">
        <v>27</v>
      </c>
      <c r="E3840" s="1" t="s">
        <v>28</v>
      </c>
      <c r="F3840" s="1">
        <v>44.37</v>
      </c>
      <c r="G3840" s="1">
        <v>127.77</v>
      </c>
      <c r="H3840" s="1">
        <v>7.0</v>
      </c>
      <c r="I3840" s="1" t="s">
        <v>34</v>
      </c>
      <c r="J3840" s="1" t="s">
        <v>18</v>
      </c>
      <c r="K3840" s="1">
        <f t="shared" si="1"/>
        <v>2022</v>
      </c>
      <c r="L3840" s="1" t="str">
        <f t="shared" si="2"/>
        <v>Aug</v>
      </c>
      <c r="M3840" s="1" t="str">
        <f t="shared" si="3"/>
        <v>Profit</v>
      </c>
    </row>
    <row r="3841" ht="14.25" customHeight="1">
      <c r="A3841" s="1" t="s">
        <v>3875</v>
      </c>
      <c r="B3841" s="2">
        <v>44942.0</v>
      </c>
      <c r="C3841" s="1" t="s">
        <v>20</v>
      </c>
      <c r="D3841" s="1" t="s">
        <v>21</v>
      </c>
      <c r="E3841" s="1" t="s">
        <v>22</v>
      </c>
      <c r="F3841" s="1">
        <v>989.2</v>
      </c>
      <c r="G3841" s="1">
        <v>110.63</v>
      </c>
      <c r="H3841" s="1">
        <v>2.0</v>
      </c>
      <c r="I3841" s="1" t="s">
        <v>17</v>
      </c>
      <c r="J3841" s="1" t="s">
        <v>24</v>
      </c>
      <c r="K3841" s="1">
        <f t="shared" si="1"/>
        <v>2023</v>
      </c>
      <c r="L3841" s="1" t="str">
        <f t="shared" si="2"/>
        <v>Jan</v>
      </c>
      <c r="M3841" s="1" t="str">
        <f t="shared" si="3"/>
        <v>Profit</v>
      </c>
    </row>
    <row r="3842" ht="14.25" customHeight="1">
      <c r="A3842" s="1" t="s">
        <v>3876</v>
      </c>
      <c r="B3842" s="2">
        <v>44632.0</v>
      </c>
      <c r="C3842" s="1" t="s">
        <v>26</v>
      </c>
      <c r="D3842" s="1" t="s">
        <v>27</v>
      </c>
      <c r="E3842" s="1" t="s">
        <v>28</v>
      </c>
      <c r="F3842" s="1">
        <v>745.66</v>
      </c>
      <c r="G3842" s="1">
        <v>-113.29</v>
      </c>
      <c r="H3842" s="1">
        <v>10.0</v>
      </c>
      <c r="I3842" s="1" t="s">
        <v>23</v>
      </c>
      <c r="J3842" s="1" t="s">
        <v>35</v>
      </c>
      <c r="K3842" s="1">
        <f t="shared" si="1"/>
        <v>2022</v>
      </c>
      <c r="L3842" s="1" t="str">
        <f t="shared" si="2"/>
        <v>Mar</v>
      </c>
      <c r="M3842" s="1" t="str">
        <f t="shared" si="3"/>
        <v>Loss</v>
      </c>
    </row>
    <row r="3843" ht="14.25" customHeight="1">
      <c r="A3843" s="1" t="s">
        <v>3877</v>
      </c>
      <c r="B3843" s="2">
        <v>45057.0</v>
      </c>
      <c r="C3843" s="1" t="s">
        <v>30</v>
      </c>
      <c r="D3843" s="1" t="s">
        <v>15</v>
      </c>
      <c r="E3843" s="1" t="s">
        <v>54</v>
      </c>
      <c r="F3843" s="1">
        <v>635.25</v>
      </c>
      <c r="G3843" s="1">
        <v>-165.32</v>
      </c>
      <c r="H3843" s="1">
        <v>4.0</v>
      </c>
      <c r="I3843" s="1" t="s">
        <v>34</v>
      </c>
      <c r="J3843" s="1" t="s">
        <v>24</v>
      </c>
      <c r="K3843" s="1">
        <f t="shared" si="1"/>
        <v>2023</v>
      </c>
      <c r="L3843" s="1" t="str">
        <f t="shared" si="2"/>
        <v>May</v>
      </c>
      <c r="M3843" s="1" t="str">
        <f t="shared" si="3"/>
        <v>Loss</v>
      </c>
    </row>
    <row r="3844" ht="14.25" customHeight="1">
      <c r="A3844" s="1" t="s">
        <v>3878</v>
      </c>
      <c r="B3844" s="2">
        <v>44517.0</v>
      </c>
      <c r="C3844" s="1" t="s">
        <v>20</v>
      </c>
      <c r="D3844" s="1" t="s">
        <v>21</v>
      </c>
      <c r="E3844" s="1" t="s">
        <v>37</v>
      </c>
      <c r="F3844" s="1">
        <v>487.4</v>
      </c>
      <c r="G3844" s="1">
        <v>2.59</v>
      </c>
      <c r="H3844" s="1">
        <v>5.0</v>
      </c>
      <c r="I3844" s="1" t="s">
        <v>34</v>
      </c>
      <c r="J3844" s="1" t="s">
        <v>18</v>
      </c>
      <c r="K3844" s="1">
        <f t="shared" si="1"/>
        <v>2021</v>
      </c>
      <c r="L3844" s="1" t="str">
        <f t="shared" si="2"/>
        <v>Nov</v>
      </c>
      <c r="M3844" s="1" t="str">
        <f t="shared" si="3"/>
        <v>Profit</v>
      </c>
    </row>
    <row r="3845" ht="14.25" customHeight="1">
      <c r="A3845" s="1" t="s">
        <v>3879</v>
      </c>
      <c r="B3845" s="2">
        <v>44439.0</v>
      </c>
      <c r="C3845" s="1" t="s">
        <v>20</v>
      </c>
      <c r="D3845" s="1" t="s">
        <v>21</v>
      </c>
      <c r="E3845" s="1" t="s">
        <v>37</v>
      </c>
      <c r="F3845" s="1">
        <v>498.44</v>
      </c>
      <c r="G3845" s="1">
        <v>-134.5</v>
      </c>
      <c r="H3845" s="1">
        <v>4.0</v>
      </c>
      <c r="I3845" s="1" t="s">
        <v>17</v>
      </c>
      <c r="J3845" s="1" t="s">
        <v>38</v>
      </c>
      <c r="K3845" s="1">
        <f t="shared" si="1"/>
        <v>2021</v>
      </c>
      <c r="L3845" s="1" t="str">
        <f t="shared" si="2"/>
        <v>Aug</v>
      </c>
      <c r="M3845" s="1" t="str">
        <f t="shared" si="3"/>
        <v>Loss</v>
      </c>
    </row>
    <row r="3846" ht="14.25" customHeight="1">
      <c r="A3846" s="1" t="s">
        <v>3880</v>
      </c>
      <c r="B3846" s="2">
        <v>44444.0</v>
      </c>
      <c r="C3846" s="1" t="s">
        <v>14</v>
      </c>
      <c r="D3846" s="1" t="s">
        <v>21</v>
      </c>
      <c r="E3846" s="1" t="s">
        <v>76</v>
      </c>
      <c r="F3846" s="1">
        <v>562.06</v>
      </c>
      <c r="G3846" s="1">
        <v>-44.5</v>
      </c>
      <c r="H3846" s="1">
        <v>6.0</v>
      </c>
      <c r="I3846" s="1" t="s">
        <v>23</v>
      </c>
      <c r="J3846" s="1" t="s">
        <v>18</v>
      </c>
      <c r="K3846" s="1">
        <f t="shared" si="1"/>
        <v>2021</v>
      </c>
      <c r="L3846" s="1" t="str">
        <f t="shared" si="2"/>
        <v>Sep</v>
      </c>
      <c r="M3846" s="1" t="str">
        <f t="shared" si="3"/>
        <v>Loss</v>
      </c>
    </row>
    <row r="3847" ht="14.25" customHeight="1">
      <c r="A3847" s="1" t="s">
        <v>3881</v>
      </c>
      <c r="B3847" s="2">
        <v>44988.0</v>
      </c>
      <c r="C3847" s="1" t="s">
        <v>26</v>
      </c>
      <c r="D3847" s="1" t="s">
        <v>15</v>
      </c>
      <c r="E3847" s="1" t="s">
        <v>54</v>
      </c>
      <c r="F3847" s="1">
        <v>42.21</v>
      </c>
      <c r="G3847" s="1">
        <v>138.62</v>
      </c>
      <c r="H3847" s="1">
        <v>3.0</v>
      </c>
      <c r="I3847" s="1" t="s">
        <v>23</v>
      </c>
      <c r="J3847" s="1" t="s">
        <v>38</v>
      </c>
      <c r="K3847" s="1">
        <f t="shared" si="1"/>
        <v>2023</v>
      </c>
      <c r="L3847" s="1" t="str">
        <f t="shared" si="2"/>
        <v>Mar</v>
      </c>
      <c r="M3847" s="1" t="str">
        <f t="shared" si="3"/>
        <v>Profit</v>
      </c>
    </row>
    <row r="3848" ht="14.25" customHeight="1">
      <c r="A3848" s="1" t="s">
        <v>3882</v>
      </c>
      <c r="B3848" s="2">
        <v>44464.0</v>
      </c>
      <c r="C3848" s="1" t="s">
        <v>26</v>
      </c>
      <c r="D3848" s="1" t="s">
        <v>15</v>
      </c>
      <c r="E3848" s="1" t="s">
        <v>16</v>
      </c>
      <c r="F3848" s="1">
        <v>229.78</v>
      </c>
      <c r="G3848" s="1">
        <v>132.26</v>
      </c>
      <c r="H3848" s="1">
        <v>9.0</v>
      </c>
      <c r="I3848" s="1" t="s">
        <v>34</v>
      </c>
      <c r="J3848" s="1" t="s">
        <v>24</v>
      </c>
      <c r="K3848" s="1">
        <f t="shared" si="1"/>
        <v>2021</v>
      </c>
      <c r="L3848" s="1" t="str">
        <f t="shared" si="2"/>
        <v>Sep</v>
      </c>
      <c r="M3848" s="1" t="str">
        <f t="shared" si="3"/>
        <v>Profit</v>
      </c>
    </row>
    <row r="3849" ht="14.25" customHeight="1">
      <c r="A3849" s="1" t="s">
        <v>3883</v>
      </c>
      <c r="B3849" s="2">
        <v>44541.0</v>
      </c>
      <c r="C3849" s="1" t="s">
        <v>26</v>
      </c>
      <c r="D3849" s="1" t="s">
        <v>21</v>
      </c>
      <c r="E3849" s="1" t="s">
        <v>76</v>
      </c>
      <c r="F3849" s="1">
        <v>958.67</v>
      </c>
      <c r="G3849" s="1">
        <v>89.06</v>
      </c>
      <c r="H3849" s="1">
        <v>6.0</v>
      </c>
      <c r="I3849" s="1" t="s">
        <v>23</v>
      </c>
      <c r="J3849" s="1" t="s">
        <v>38</v>
      </c>
      <c r="K3849" s="1">
        <f t="shared" si="1"/>
        <v>2021</v>
      </c>
      <c r="L3849" s="1" t="str">
        <f t="shared" si="2"/>
        <v>Dec</v>
      </c>
      <c r="M3849" s="1" t="str">
        <f t="shared" si="3"/>
        <v>Profit</v>
      </c>
    </row>
    <row r="3850" ht="14.25" customHeight="1">
      <c r="A3850" s="1" t="s">
        <v>3884</v>
      </c>
      <c r="B3850" s="2">
        <v>44484.0</v>
      </c>
      <c r="C3850" s="1" t="s">
        <v>20</v>
      </c>
      <c r="D3850" s="1" t="s">
        <v>15</v>
      </c>
      <c r="E3850" s="1" t="s">
        <v>31</v>
      </c>
      <c r="F3850" s="1">
        <v>466.54</v>
      </c>
      <c r="G3850" s="1">
        <v>40.35</v>
      </c>
      <c r="H3850" s="1">
        <v>4.0</v>
      </c>
      <c r="I3850" s="1" t="s">
        <v>17</v>
      </c>
      <c r="J3850" s="1" t="s">
        <v>24</v>
      </c>
      <c r="K3850" s="1">
        <f t="shared" si="1"/>
        <v>2021</v>
      </c>
      <c r="L3850" s="1" t="str">
        <f t="shared" si="2"/>
        <v>Oct</v>
      </c>
      <c r="M3850" s="1" t="str">
        <f t="shared" si="3"/>
        <v>Profit</v>
      </c>
    </row>
    <row r="3851" ht="14.25" customHeight="1">
      <c r="A3851" s="1" t="s">
        <v>3885</v>
      </c>
      <c r="B3851" s="2">
        <v>45138.0</v>
      </c>
      <c r="C3851" s="1" t="s">
        <v>20</v>
      </c>
      <c r="D3851" s="1" t="s">
        <v>15</v>
      </c>
      <c r="E3851" s="1" t="s">
        <v>16</v>
      </c>
      <c r="F3851" s="1">
        <v>741.57</v>
      </c>
      <c r="G3851" s="1">
        <v>275.09</v>
      </c>
      <c r="H3851" s="1">
        <v>2.0</v>
      </c>
      <c r="I3851" s="1" t="s">
        <v>17</v>
      </c>
      <c r="J3851" s="1" t="s">
        <v>24</v>
      </c>
      <c r="K3851" s="1">
        <f t="shared" si="1"/>
        <v>2023</v>
      </c>
      <c r="L3851" s="1" t="str">
        <f t="shared" si="2"/>
        <v>Jul</v>
      </c>
      <c r="M3851" s="1" t="str">
        <f t="shared" si="3"/>
        <v>Profit</v>
      </c>
    </row>
    <row r="3852" ht="14.25" customHeight="1">
      <c r="A3852" s="1" t="s">
        <v>3886</v>
      </c>
      <c r="B3852" s="2">
        <v>45240.0</v>
      </c>
      <c r="C3852" s="1" t="s">
        <v>26</v>
      </c>
      <c r="D3852" s="1" t="s">
        <v>15</v>
      </c>
      <c r="E3852" s="1" t="s">
        <v>54</v>
      </c>
      <c r="F3852" s="1">
        <v>166.87</v>
      </c>
      <c r="G3852" s="1">
        <v>-25.35</v>
      </c>
      <c r="H3852" s="1">
        <v>2.0</v>
      </c>
      <c r="I3852" s="1" t="s">
        <v>23</v>
      </c>
      <c r="J3852" s="1" t="s">
        <v>38</v>
      </c>
      <c r="K3852" s="1">
        <f t="shared" si="1"/>
        <v>2023</v>
      </c>
      <c r="L3852" s="1" t="str">
        <f t="shared" si="2"/>
        <v>Nov</v>
      </c>
      <c r="M3852" s="1" t="str">
        <f t="shared" si="3"/>
        <v>Loss</v>
      </c>
    </row>
    <row r="3853" ht="14.25" customHeight="1">
      <c r="A3853" s="1" t="s">
        <v>3887</v>
      </c>
      <c r="B3853" s="2">
        <v>44608.0</v>
      </c>
      <c r="C3853" s="1" t="s">
        <v>26</v>
      </c>
      <c r="D3853" s="1" t="s">
        <v>27</v>
      </c>
      <c r="E3853" s="1" t="s">
        <v>28</v>
      </c>
      <c r="F3853" s="1">
        <v>873.52</v>
      </c>
      <c r="G3853" s="1">
        <v>-35.28</v>
      </c>
      <c r="H3853" s="1">
        <v>9.0</v>
      </c>
      <c r="I3853" s="1" t="s">
        <v>23</v>
      </c>
      <c r="J3853" s="1" t="s">
        <v>38</v>
      </c>
      <c r="K3853" s="1">
        <f t="shared" si="1"/>
        <v>2022</v>
      </c>
      <c r="L3853" s="1" t="str">
        <f t="shared" si="2"/>
        <v>Feb</v>
      </c>
      <c r="M3853" s="1" t="str">
        <f t="shared" si="3"/>
        <v>Loss</v>
      </c>
    </row>
    <row r="3854" ht="14.25" customHeight="1">
      <c r="A3854" s="1" t="s">
        <v>3888</v>
      </c>
      <c r="B3854" s="2">
        <v>45157.0</v>
      </c>
      <c r="C3854" s="1" t="s">
        <v>20</v>
      </c>
      <c r="D3854" s="1" t="s">
        <v>27</v>
      </c>
      <c r="E3854" s="1" t="s">
        <v>28</v>
      </c>
      <c r="F3854" s="1">
        <v>146.9</v>
      </c>
      <c r="G3854" s="1">
        <v>299.86</v>
      </c>
      <c r="H3854" s="1">
        <v>4.0</v>
      </c>
      <c r="I3854" s="1" t="s">
        <v>34</v>
      </c>
      <c r="J3854" s="1" t="s">
        <v>18</v>
      </c>
      <c r="K3854" s="1">
        <f t="shared" si="1"/>
        <v>2023</v>
      </c>
      <c r="L3854" s="1" t="str">
        <f t="shared" si="2"/>
        <v>Aug</v>
      </c>
      <c r="M3854" s="1" t="str">
        <f t="shared" si="3"/>
        <v>Profit</v>
      </c>
    </row>
    <row r="3855" ht="14.25" customHeight="1">
      <c r="A3855" s="1" t="s">
        <v>3889</v>
      </c>
      <c r="B3855" s="2">
        <v>44355.0</v>
      </c>
      <c r="C3855" s="1" t="s">
        <v>20</v>
      </c>
      <c r="D3855" s="1" t="s">
        <v>21</v>
      </c>
      <c r="E3855" s="1" t="s">
        <v>22</v>
      </c>
      <c r="F3855" s="1">
        <v>210.0</v>
      </c>
      <c r="G3855" s="1">
        <v>-165.65</v>
      </c>
      <c r="H3855" s="1">
        <v>7.0</v>
      </c>
      <c r="I3855" s="1" t="s">
        <v>34</v>
      </c>
      <c r="J3855" s="1" t="s">
        <v>24</v>
      </c>
      <c r="K3855" s="1">
        <f t="shared" si="1"/>
        <v>2021</v>
      </c>
      <c r="L3855" s="1" t="str">
        <f t="shared" si="2"/>
        <v>Jun</v>
      </c>
      <c r="M3855" s="1" t="str">
        <f t="shared" si="3"/>
        <v>Loss</v>
      </c>
    </row>
    <row r="3856" ht="14.25" customHeight="1">
      <c r="A3856" s="1" t="s">
        <v>3890</v>
      </c>
      <c r="B3856" s="2">
        <v>44284.0</v>
      </c>
      <c r="C3856" s="1" t="s">
        <v>30</v>
      </c>
      <c r="D3856" s="1" t="s">
        <v>15</v>
      </c>
      <c r="E3856" s="1" t="s">
        <v>31</v>
      </c>
      <c r="F3856" s="1">
        <v>419.8</v>
      </c>
      <c r="G3856" s="1">
        <v>178.55</v>
      </c>
      <c r="H3856" s="1">
        <v>1.0</v>
      </c>
      <c r="I3856" s="1" t="s">
        <v>34</v>
      </c>
      <c r="J3856" s="1" t="s">
        <v>38</v>
      </c>
      <c r="K3856" s="1">
        <f t="shared" si="1"/>
        <v>2021</v>
      </c>
      <c r="L3856" s="1" t="str">
        <f t="shared" si="2"/>
        <v>Mar</v>
      </c>
      <c r="M3856" s="1" t="str">
        <f t="shared" si="3"/>
        <v>Profit</v>
      </c>
    </row>
    <row r="3857" ht="14.25" customHeight="1">
      <c r="A3857" s="1" t="s">
        <v>3891</v>
      </c>
      <c r="B3857" s="2">
        <v>44867.0</v>
      </c>
      <c r="C3857" s="1" t="s">
        <v>26</v>
      </c>
      <c r="D3857" s="1" t="s">
        <v>27</v>
      </c>
      <c r="E3857" s="1" t="s">
        <v>33</v>
      </c>
      <c r="F3857" s="1">
        <v>815.22</v>
      </c>
      <c r="G3857" s="1">
        <v>-143.72</v>
      </c>
      <c r="H3857" s="1">
        <v>7.0</v>
      </c>
      <c r="I3857" s="1" t="s">
        <v>23</v>
      </c>
      <c r="J3857" s="1" t="s">
        <v>38</v>
      </c>
      <c r="K3857" s="1">
        <f t="shared" si="1"/>
        <v>2022</v>
      </c>
      <c r="L3857" s="1" t="str">
        <f t="shared" si="2"/>
        <v>Nov</v>
      </c>
      <c r="M3857" s="1" t="str">
        <f t="shared" si="3"/>
        <v>Loss</v>
      </c>
    </row>
    <row r="3858" ht="14.25" customHeight="1">
      <c r="A3858" s="1" t="s">
        <v>3892</v>
      </c>
      <c r="B3858" s="2">
        <v>44894.0</v>
      </c>
      <c r="C3858" s="1" t="s">
        <v>26</v>
      </c>
      <c r="D3858" s="1" t="s">
        <v>21</v>
      </c>
      <c r="E3858" s="1" t="s">
        <v>37</v>
      </c>
      <c r="F3858" s="1">
        <v>440.01</v>
      </c>
      <c r="G3858" s="1">
        <v>-47.47</v>
      </c>
      <c r="H3858" s="1">
        <v>7.0</v>
      </c>
      <c r="I3858" s="1" t="s">
        <v>23</v>
      </c>
      <c r="J3858" s="1" t="s">
        <v>38</v>
      </c>
      <c r="K3858" s="1">
        <f t="shared" si="1"/>
        <v>2022</v>
      </c>
      <c r="L3858" s="1" t="str">
        <f t="shared" si="2"/>
        <v>Nov</v>
      </c>
      <c r="M3858" s="1" t="str">
        <f t="shared" si="3"/>
        <v>Loss</v>
      </c>
    </row>
    <row r="3859" ht="14.25" customHeight="1">
      <c r="A3859" s="1" t="s">
        <v>3893</v>
      </c>
      <c r="B3859" s="2">
        <v>45042.0</v>
      </c>
      <c r="C3859" s="1" t="s">
        <v>26</v>
      </c>
      <c r="D3859" s="1" t="s">
        <v>27</v>
      </c>
      <c r="E3859" s="1" t="s">
        <v>28</v>
      </c>
      <c r="F3859" s="1">
        <v>632.13</v>
      </c>
      <c r="G3859" s="1">
        <v>249.74</v>
      </c>
      <c r="H3859" s="1">
        <v>2.0</v>
      </c>
      <c r="I3859" s="1" t="s">
        <v>34</v>
      </c>
      <c r="J3859" s="1" t="s">
        <v>24</v>
      </c>
      <c r="K3859" s="1">
        <f t="shared" si="1"/>
        <v>2023</v>
      </c>
      <c r="L3859" s="1" t="str">
        <f t="shared" si="2"/>
        <v>Apr</v>
      </c>
      <c r="M3859" s="1" t="str">
        <f t="shared" si="3"/>
        <v>Profit</v>
      </c>
    </row>
    <row r="3860" ht="14.25" customHeight="1">
      <c r="A3860" s="1" t="s">
        <v>3894</v>
      </c>
      <c r="B3860" s="2">
        <v>44511.0</v>
      </c>
      <c r="C3860" s="1" t="s">
        <v>26</v>
      </c>
      <c r="D3860" s="1" t="s">
        <v>15</v>
      </c>
      <c r="E3860" s="1" t="s">
        <v>54</v>
      </c>
      <c r="F3860" s="1">
        <v>39.93</v>
      </c>
      <c r="G3860" s="1">
        <v>62.55</v>
      </c>
      <c r="H3860" s="1">
        <v>2.0</v>
      </c>
      <c r="I3860" s="1" t="s">
        <v>17</v>
      </c>
      <c r="J3860" s="1" t="s">
        <v>18</v>
      </c>
      <c r="K3860" s="1">
        <f t="shared" si="1"/>
        <v>2021</v>
      </c>
      <c r="L3860" s="1" t="str">
        <f t="shared" si="2"/>
        <v>Nov</v>
      </c>
      <c r="M3860" s="1" t="str">
        <f t="shared" si="3"/>
        <v>Profit</v>
      </c>
    </row>
    <row r="3861" ht="14.25" customHeight="1">
      <c r="A3861" s="1" t="s">
        <v>3895</v>
      </c>
      <c r="B3861" s="2">
        <v>44635.0</v>
      </c>
      <c r="C3861" s="1" t="s">
        <v>14</v>
      </c>
      <c r="D3861" s="1" t="s">
        <v>21</v>
      </c>
      <c r="E3861" s="1" t="s">
        <v>37</v>
      </c>
      <c r="F3861" s="1">
        <v>307.66</v>
      </c>
      <c r="G3861" s="1">
        <v>174.25</v>
      </c>
      <c r="H3861" s="1">
        <v>5.0</v>
      </c>
      <c r="I3861" s="1" t="s">
        <v>17</v>
      </c>
      <c r="J3861" s="1" t="s">
        <v>24</v>
      </c>
      <c r="K3861" s="1">
        <f t="shared" si="1"/>
        <v>2022</v>
      </c>
      <c r="L3861" s="1" t="str">
        <f t="shared" si="2"/>
        <v>Mar</v>
      </c>
      <c r="M3861" s="1" t="str">
        <f t="shared" si="3"/>
        <v>Profit</v>
      </c>
    </row>
    <row r="3862" ht="14.25" customHeight="1">
      <c r="A3862" s="1" t="s">
        <v>3896</v>
      </c>
      <c r="B3862" s="2">
        <v>45093.0</v>
      </c>
      <c r="C3862" s="1" t="s">
        <v>14</v>
      </c>
      <c r="D3862" s="1" t="s">
        <v>27</v>
      </c>
      <c r="E3862" s="1" t="s">
        <v>40</v>
      </c>
      <c r="F3862" s="1">
        <v>116.22</v>
      </c>
      <c r="G3862" s="1">
        <v>-16.02</v>
      </c>
      <c r="H3862" s="1">
        <v>6.0</v>
      </c>
      <c r="I3862" s="1" t="s">
        <v>34</v>
      </c>
      <c r="J3862" s="1" t="s">
        <v>38</v>
      </c>
      <c r="K3862" s="1">
        <f t="shared" si="1"/>
        <v>2023</v>
      </c>
      <c r="L3862" s="1" t="str">
        <f t="shared" si="2"/>
        <v>Jun</v>
      </c>
      <c r="M3862" s="1" t="str">
        <f t="shared" si="3"/>
        <v>Loss</v>
      </c>
    </row>
    <row r="3863" ht="14.25" customHeight="1">
      <c r="A3863" s="1" t="s">
        <v>3897</v>
      </c>
      <c r="B3863" s="2">
        <v>44622.0</v>
      </c>
      <c r="C3863" s="1" t="s">
        <v>14</v>
      </c>
      <c r="D3863" s="1" t="s">
        <v>21</v>
      </c>
      <c r="E3863" s="1" t="s">
        <v>22</v>
      </c>
      <c r="F3863" s="1">
        <v>238.38</v>
      </c>
      <c r="G3863" s="1">
        <v>131.33</v>
      </c>
      <c r="H3863" s="1">
        <v>1.0</v>
      </c>
      <c r="I3863" s="1" t="s">
        <v>17</v>
      </c>
      <c r="J3863" s="1" t="s">
        <v>38</v>
      </c>
      <c r="K3863" s="1">
        <f t="shared" si="1"/>
        <v>2022</v>
      </c>
      <c r="L3863" s="1" t="str">
        <f t="shared" si="2"/>
        <v>Mar</v>
      </c>
      <c r="M3863" s="1" t="str">
        <f t="shared" si="3"/>
        <v>Profit</v>
      </c>
    </row>
    <row r="3864" ht="14.25" customHeight="1">
      <c r="A3864" s="1" t="s">
        <v>3898</v>
      </c>
      <c r="B3864" s="2">
        <v>44347.0</v>
      </c>
      <c r="C3864" s="1" t="s">
        <v>20</v>
      </c>
      <c r="D3864" s="1" t="s">
        <v>27</v>
      </c>
      <c r="E3864" s="1" t="s">
        <v>28</v>
      </c>
      <c r="F3864" s="1">
        <v>391.61</v>
      </c>
      <c r="G3864" s="1">
        <v>108.27</v>
      </c>
      <c r="H3864" s="1">
        <v>2.0</v>
      </c>
      <c r="I3864" s="1" t="s">
        <v>23</v>
      </c>
      <c r="J3864" s="1" t="s">
        <v>35</v>
      </c>
      <c r="K3864" s="1">
        <f t="shared" si="1"/>
        <v>2021</v>
      </c>
      <c r="L3864" s="1" t="str">
        <f t="shared" si="2"/>
        <v>May</v>
      </c>
      <c r="M3864" s="1" t="str">
        <f t="shared" si="3"/>
        <v>Profit</v>
      </c>
    </row>
    <row r="3865" ht="14.25" customHeight="1">
      <c r="A3865" s="1" t="s">
        <v>3899</v>
      </c>
      <c r="B3865" s="2">
        <v>44520.0</v>
      </c>
      <c r="C3865" s="1" t="s">
        <v>26</v>
      </c>
      <c r="D3865" s="1" t="s">
        <v>21</v>
      </c>
      <c r="E3865" s="1" t="s">
        <v>37</v>
      </c>
      <c r="F3865" s="1">
        <v>123.74</v>
      </c>
      <c r="G3865" s="1">
        <v>160.67</v>
      </c>
      <c r="H3865" s="1">
        <v>10.0</v>
      </c>
      <c r="I3865" s="1" t="s">
        <v>23</v>
      </c>
      <c r="J3865" s="1" t="s">
        <v>24</v>
      </c>
      <c r="K3865" s="1">
        <f t="shared" si="1"/>
        <v>2021</v>
      </c>
      <c r="L3865" s="1" t="str">
        <f t="shared" si="2"/>
        <v>Nov</v>
      </c>
      <c r="M3865" s="1" t="str">
        <f t="shared" si="3"/>
        <v>Profit</v>
      </c>
    </row>
    <row r="3866" ht="14.25" customHeight="1">
      <c r="A3866" s="1" t="s">
        <v>3900</v>
      </c>
      <c r="B3866" s="2">
        <v>44959.0</v>
      </c>
      <c r="C3866" s="1" t="s">
        <v>14</v>
      </c>
      <c r="D3866" s="1" t="s">
        <v>15</v>
      </c>
      <c r="E3866" s="1" t="s">
        <v>54</v>
      </c>
      <c r="F3866" s="1">
        <v>770.1</v>
      </c>
      <c r="G3866" s="1">
        <v>46.6</v>
      </c>
      <c r="H3866" s="1">
        <v>9.0</v>
      </c>
      <c r="I3866" s="1" t="s">
        <v>34</v>
      </c>
      <c r="J3866" s="1" t="s">
        <v>24</v>
      </c>
      <c r="K3866" s="1">
        <f t="shared" si="1"/>
        <v>2023</v>
      </c>
      <c r="L3866" s="1" t="str">
        <f t="shared" si="2"/>
        <v>Feb</v>
      </c>
      <c r="M3866" s="1" t="str">
        <f t="shared" si="3"/>
        <v>Profit</v>
      </c>
    </row>
    <row r="3867" ht="14.25" customHeight="1">
      <c r="A3867" s="1" t="s">
        <v>3901</v>
      </c>
      <c r="B3867" s="2">
        <v>44701.0</v>
      </c>
      <c r="C3867" s="1" t="s">
        <v>20</v>
      </c>
      <c r="D3867" s="1" t="s">
        <v>27</v>
      </c>
      <c r="E3867" s="1" t="s">
        <v>28</v>
      </c>
      <c r="F3867" s="1">
        <v>271.46</v>
      </c>
      <c r="G3867" s="1">
        <v>295.12</v>
      </c>
      <c r="H3867" s="1">
        <v>3.0</v>
      </c>
      <c r="I3867" s="1" t="s">
        <v>17</v>
      </c>
      <c r="J3867" s="1" t="s">
        <v>24</v>
      </c>
      <c r="K3867" s="1">
        <f t="shared" si="1"/>
        <v>2022</v>
      </c>
      <c r="L3867" s="1" t="str">
        <f t="shared" si="2"/>
        <v>May</v>
      </c>
      <c r="M3867" s="1" t="str">
        <f t="shared" si="3"/>
        <v>Profit</v>
      </c>
    </row>
    <row r="3868" ht="14.25" customHeight="1">
      <c r="A3868" s="1" t="s">
        <v>3902</v>
      </c>
      <c r="B3868" s="2">
        <v>45093.0</v>
      </c>
      <c r="C3868" s="1" t="s">
        <v>14</v>
      </c>
      <c r="D3868" s="1" t="s">
        <v>27</v>
      </c>
      <c r="E3868" s="1" t="s">
        <v>28</v>
      </c>
      <c r="F3868" s="1">
        <v>372.29</v>
      </c>
      <c r="G3868" s="1">
        <v>192.89</v>
      </c>
      <c r="H3868" s="1">
        <v>5.0</v>
      </c>
      <c r="I3868" s="1" t="s">
        <v>17</v>
      </c>
      <c r="J3868" s="1" t="s">
        <v>38</v>
      </c>
      <c r="K3868" s="1">
        <f t="shared" si="1"/>
        <v>2023</v>
      </c>
      <c r="L3868" s="1" t="str">
        <f t="shared" si="2"/>
        <v>Jun</v>
      </c>
      <c r="M3868" s="1" t="str">
        <f t="shared" si="3"/>
        <v>Profit</v>
      </c>
    </row>
    <row r="3869" ht="14.25" customHeight="1">
      <c r="A3869" s="1" t="s">
        <v>3903</v>
      </c>
      <c r="B3869" s="2">
        <v>44768.0</v>
      </c>
      <c r="C3869" s="1" t="s">
        <v>26</v>
      </c>
      <c r="D3869" s="1" t="s">
        <v>15</v>
      </c>
      <c r="E3869" s="1" t="s">
        <v>54</v>
      </c>
      <c r="F3869" s="1">
        <v>873.5</v>
      </c>
      <c r="G3869" s="1">
        <v>45.45</v>
      </c>
      <c r="H3869" s="1">
        <v>10.0</v>
      </c>
      <c r="I3869" s="1" t="s">
        <v>17</v>
      </c>
      <c r="J3869" s="1" t="s">
        <v>18</v>
      </c>
      <c r="K3869" s="1">
        <f t="shared" si="1"/>
        <v>2022</v>
      </c>
      <c r="L3869" s="1" t="str">
        <f t="shared" si="2"/>
        <v>Jul</v>
      </c>
      <c r="M3869" s="1" t="str">
        <f t="shared" si="3"/>
        <v>Profit</v>
      </c>
    </row>
    <row r="3870" ht="14.25" customHeight="1">
      <c r="A3870" s="1" t="s">
        <v>3904</v>
      </c>
      <c r="B3870" s="2">
        <v>44378.0</v>
      </c>
      <c r="C3870" s="1" t="s">
        <v>14</v>
      </c>
      <c r="D3870" s="1" t="s">
        <v>21</v>
      </c>
      <c r="E3870" s="1" t="s">
        <v>22</v>
      </c>
      <c r="F3870" s="1">
        <v>148.05</v>
      </c>
      <c r="G3870" s="1">
        <v>-147.53</v>
      </c>
      <c r="H3870" s="1">
        <v>5.0</v>
      </c>
      <c r="I3870" s="1" t="s">
        <v>23</v>
      </c>
      <c r="J3870" s="1" t="s">
        <v>35</v>
      </c>
      <c r="K3870" s="1">
        <f t="shared" si="1"/>
        <v>2021</v>
      </c>
      <c r="L3870" s="1" t="str">
        <f t="shared" si="2"/>
        <v>Jul</v>
      </c>
      <c r="M3870" s="1" t="str">
        <f t="shared" si="3"/>
        <v>Loss</v>
      </c>
    </row>
    <row r="3871" ht="14.25" customHeight="1">
      <c r="A3871" s="1" t="s">
        <v>3905</v>
      </c>
      <c r="B3871" s="2">
        <v>44286.0</v>
      </c>
      <c r="C3871" s="1" t="s">
        <v>26</v>
      </c>
      <c r="D3871" s="1" t="s">
        <v>15</v>
      </c>
      <c r="E3871" s="1" t="s">
        <v>31</v>
      </c>
      <c r="F3871" s="1">
        <v>649.11</v>
      </c>
      <c r="G3871" s="1">
        <v>126.49</v>
      </c>
      <c r="H3871" s="1">
        <v>7.0</v>
      </c>
      <c r="I3871" s="1" t="s">
        <v>23</v>
      </c>
      <c r="J3871" s="1" t="s">
        <v>18</v>
      </c>
      <c r="K3871" s="1">
        <f t="shared" si="1"/>
        <v>2021</v>
      </c>
      <c r="L3871" s="1" t="str">
        <f t="shared" si="2"/>
        <v>Mar</v>
      </c>
      <c r="M3871" s="1" t="str">
        <f t="shared" si="3"/>
        <v>Profit</v>
      </c>
    </row>
    <row r="3872" ht="14.25" customHeight="1">
      <c r="A3872" s="1" t="s">
        <v>3906</v>
      </c>
      <c r="B3872" s="2">
        <v>44709.0</v>
      </c>
      <c r="C3872" s="1" t="s">
        <v>26</v>
      </c>
      <c r="D3872" s="1" t="s">
        <v>21</v>
      </c>
      <c r="E3872" s="1" t="s">
        <v>22</v>
      </c>
      <c r="F3872" s="1">
        <v>532.58</v>
      </c>
      <c r="G3872" s="1">
        <v>85.53</v>
      </c>
      <c r="H3872" s="1">
        <v>7.0</v>
      </c>
      <c r="I3872" s="1" t="s">
        <v>34</v>
      </c>
      <c r="J3872" s="1" t="s">
        <v>18</v>
      </c>
      <c r="K3872" s="1">
        <f t="shared" si="1"/>
        <v>2022</v>
      </c>
      <c r="L3872" s="1" t="str">
        <f t="shared" si="2"/>
        <v>May</v>
      </c>
      <c r="M3872" s="1" t="str">
        <f t="shared" si="3"/>
        <v>Profit</v>
      </c>
    </row>
    <row r="3873" ht="14.25" customHeight="1">
      <c r="A3873" s="1" t="s">
        <v>3907</v>
      </c>
      <c r="B3873" s="2">
        <v>44960.0</v>
      </c>
      <c r="C3873" s="1" t="s">
        <v>30</v>
      </c>
      <c r="D3873" s="1" t="s">
        <v>15</v>
      </c>
      <c r="E3873" s="1" t="s">
        <v>31</v>
      </c>
      <c r="F3873" s="1">
        <v>758.94</v>
      </c>
      <c r="G3873" s="1">
        <v>72.19</v>
      </c>
      <c r="H3873" s="1">
        <v>6.0</v>
      </c>
      <c r="I3873" s="1" t="s">
        <v>34</v>
      </c>
      <c r="J3873" s="1" t="s">
        <v>24</v>
      </c>
      <c r="K3873" s="1">
        <f t="shared" si="1"/>
        <v>2023</v>
      </c>
      <c r="L3873" s="1" t="str">
        <f t="shared" si="2"/>
        <v>Feb</v>
      </c>
      <c r="M3873" s="1" t="str">
        <f t="shared" si="3"/>
        <v>Profit</v>
      </c>
    </row>
    <row r="3874" ht="14.25" customHeight="1">
      <c r="A3874" s="1" t="s">
        <v>3908</v>
      </c>
      <c r="B3874" s="2">
        <v>45034.0</v>
      </c>
      <c r="C3874" s="1" t="s">
        <v>20</v>
      </c>
      <c r="D3874" s="1" t="s">
        <v>27</v>
      </c>
      <c r="E3874" s="1" t="s">
        <v>40</v>
      </c>
      <c r="F3874" s="1">
        <v>648.43</v>
      </c>
      <c r="G3874" s="1">
        <v>-44.47</v>
      </c>
      <c r="H3874" s="1">
        <v>3.0</v>
      </c>
      <c r="I3874" s="1" t="s">
        <v>23</v>
      </c>
      <c r="J3874" s="1" t="s">
        <v>38</v>
      </c>
      <c r="K3874" s="1">
        <f t="shared" si="1"/>
        <v>2023</v>
      </c>
      <c r="L3874" s="1" t="str">
        <f t="shared" si="2"/>
        <v>Apr</v>
      </c>
      <c r="M3874" s="1" t="str">
        <f t="shared" si="3"/>
        <v>Loss</v>
      </c>
    </row>
    <row r="3875" ht="14.25" customHeight="1">
      <c r="A3875" s="1" t="s">
        <v>3909</v>
      </c>
      <c r="B3875" s="2">
        <v>45015.0</v>
      </c>
      <c r="C3875" s="1" t="s">
        <v>30</v>
      </c>
      <c r="D3875" s="1" t="s">
        <v>15</v>
      </c>
      <c r="E3875" s="1" t="s">
        <v>54</v>
      </c>
      <c r="F3875" s="1">
        <v>264.8</v>
      </c>
      <c r="G3875" s="1">
        <v>255.06</v>
      </c>
      <c r="H3875" s="1">
        <v>1.0</v>
      </c>
      <c r="I3875" s="1" t="s">
        <v>23</v>
      </c>
      <c r="J3875" s="1" t="s">
        <v>35</v>
      </c>
      <c r="K3875" s="1">
        <f t="shared" si="1"/>
        <v>2023</v>
      </c>
      <c r="L3875" s="1" t="str">
        <f t="shared" si="2"/>
        <v>Mar</v>
      </c>
      <c r="M3875" s="1" t="str">
        <f t="shared" si="3"/>
        <v>Profit</v>
      </c>
    </row>
    <row r="3876" ht="14.25" customHeight="1">
      <c r="A3876" s="1" t="s">
        <v>3910</v>
      </c>
      <c r="B3876" s="2">
        <v>45102.0</v>
      </c>
      <c r="C3876" s="1" t="s">
        <v>14</v>
      </c>
      <c r="D3876" s="1" t="s">
        <v>27</v>
      </c>
      <c r="E3876" s="1" t="s">
        <v>40</v>
      </c>
      <c r="F3876" s="1">
        <v>961.69</v>
      </c>
      <c r="G3876" s="1">
        <v>-123.92</v>
      </c>
      <c r="H3876" s="1">
        <v>9.0</v>
      </c>
      <c r="I3876" s="1" t="s">
        <v>23</v>
      </c>
      <c r="J3876" s="1" t="s">
        <v>35</v>
      </c>
      <c r="K3876" s="1">
        <f t="shared" si="1"/>
        <v>2023</v>
      </c>
      <c r="L3876" s="1" t="str">
        <f t="shared" si="2"/>
        <v>Jun</v>
      </c>
      <c r="M3876" s="1" t="str">
        <f t="shared" si="3"/>
        <v>Loss</v>
      </c>
    </row>
    <row r="3877" ht="14.25" customHeight="1">
      <c r="A3877" s="1" t="s">
        <v>3911</v>
      </c>
      <c r="B3877" s="2">
        <v>45183.0</v>
      </c>
      <c r="C3877" s="1" t="s">
        <v>14</v>
      </c>
      <c r="D3877" s="1" t="s">
        <v>21</v>
      </c>
      <c r="E3877" s="1" t="s">
        <v>76</v>
      </c>
      <c r="F3877" s="1">
        <v>190.91</v>
      </c>
      <c r="G3877" s="1">
        <v>261.51</v>
      </c>
      <c r="H3877" s="1">
        <v>2.0</v>
      </c>
      <c r="I3877" s="1" t="s">
        <v>34</v>
      </c>
      <c r="J3877" s="1" t="s">
        <v>18</v>
      </c>
      <c r="K3877" s="1">
        <f t="shared" si="1"/>
        <v>2023</v>
      </c>
      <c r="L3877" s="1" t="str">
        <f t="shared" si="2"/>
        <v>Sep</v>
      </c>
      <c r="M3877" s="1" t="str">
        <f t="shared" si="3"/>
        <v>Profit</v>
      </c>
    </row>
    <row r="3878" ht="14.25" customHeight="1">
      <c r="A3878" s="1" t="s">
        <v>3912</v>
      </c>
      <c r="B3878" s="2">
        <v>44731.0</v>
      </c>
      <c r="C3878" s="1" t="s">
        <v>26</v>
      </c>
      <c r="D3878" s="1" t="s">
        <v>15</v>
      </c>
      <c r="E3878" s="1" t="s">
        <v>16</v>
      </c>
      <c r="F3878" s="1">
        <v>694.83</v>
      </c>
      <c r="G3878" s="1">
        <v>153.25</v>
      </c>
      <c r="H3878" s="1">
        <v>8.0</v>
      </c>
      <c r="I3878" s="1" t="s">
        <v>17</v>
      </c>
      <c r="J3878" s="1" t="s">
        <v>35</v>
      </c>
      <c r="K3878" s="1">
        <f t="shared" si="1"/>
        <v>2022</v>
      </c>
      <c r="L3878" s="1" t="str">
        <f t="shared" si="2"/>
        <v>Jun</v>
      </c>
      <c r="M3878" s="1" t="str">
        <f t="shared" si="3"/>
        <v>Profit</v>
      </c>
    </row>
    <row r="3879" ht="14.25" customHeight="1">
      <c r="A3879" s="1" t="s">
        <v>3913</v>
      </c>
      <c r="B3879" s="2">
        <v>44916.0</v>
      </c>
      <c r="C3879" s="1" t="s">
        <v>14</v>
      </c>
      <c r="D3879" s="1" t="s">
        <v>27</v>
      </c>
      <c r="E3879" s="1" t="s">
        <v>28</v>
      </c>
      <c r="F3879" s="1">
        <v>685.53</v>
      </c>
      <c r="G3879" s="1">
        <v>-23.32</v>
      </c>
      <c r="H3879" s="1">
        <v>3.0</v>
      </c>
      <c r="I3879" s="1" t="s">
        <v>23</v>
      </c>
      <c r="J3879" s="1" t="s">
        <v>18</v>
      </c>
      <c r="K3879" s="1">
        <f t="shared" si="1"/>
        <v>2022</v>
      </c>
      <c r="L3879" s="1" t="str">
        <f t="shared" si="2"/>
        <v>Dec</v>
      </c>
      <c r="M3879" s="1" t="str">
        <f t="shared" si="3"/>
        <v>Loss</v>
      </c>
    </row>
    <row r="3880" ht="14.25" customHeight="1">
      <c r="A3880" s="1" t="s">
        <v>3914</v>
      </c>
      <c r="B3880" s="2">
        <v>45266.0</v>
      </c>
      <c r="C3880" s="1" t="s">
        <v>30</v>
      </c>
      <c r="D3880" s="1" t="s">
        <v>15</v>
      </c>
      <c r="E3880" s="1" t="s">
        <v>54</v>
      </c>
      <c r="F3880" s="1">
        <v>237.57</v>
      </c>
      <c r="G3880" s="1">
        <v>109.11</v>
      </c>
      <c r="H3880" s="1">
        <v>5.0</v>
      </c>
      <c r="I3880" s="1" t="s">
        <v>17</v>
      </c>
      <c r="J3880" s="1" t="s">
        <v>18</v>
      </c>
      <c r="K3880" s="1">
        <f t="shared" si="1"/>
        <v>2023</v>
      </c>
      <c r="L3880" s="1" t="str">
        <f t="shared" si="2"/>
        <v>Dec</v>
      </c>
      <c r="M3880" s="1" t="str">
        <f t="shared" si="3"/>
        <v>Profit</v>
      </c>
    </row>
    <row r="3881" ht="14.25" customHeight="1">
      <c r="A3881" s="1" t="s">
        <v>3915</v>
      </c>
      <c r="B3881" s="2">
        <v>45271.0</v>
      </c>
      <c r="C3881" s="1" t="s">
        <v>20</v>
      </c>
      <c r="D3881" s="1" t="s">
        <v>15</v>
      </c>
      <c r="E3881" s="1" t="s">
        <v>16</v>
      </c>
      <c r="F3881" s="1">
        <v>713.24</v>
      </c>
      <c r="G3881" s="1">
        <v>69.67</v>
      </c>
      <c r="H3881" s="1">
        <v>6.0</v>
      </c>
      <c r="I3881" s="1" t="s">
        <v>34</v>
      </c>
      <c r="J3881" s="1" t="s">
        <v>18</v>
      </c>
      <c r="K3881" s="1">
        <f t="shared" si="1"/>
        <v>2023</v>
      </c>
      <c r="L3881" s="1" t="str">
        <f t="shared" si="2"/>
        <v>Dec</v>
      </c>
      <c r="M3881" s="1" t="str">
        <f t="shared" si="3"/>
        <v>Profit</v>
      </c>
    </row>
    <row r="3882" ht="14.25" customHeight="1">
      <c r="A3882" s="1" t="s">
        <v>3916</v>
      </c>
      <c r="B3882" s="2">
        <v>44513.0</v>
      </c>
      <c r="C3882" s="1" t="s">
        <v>30</v>
      </c>
      <c r="D3882" s="1" t="s">
        <v>27</v>
      </c>
      <c r="E3882" s="1" t="s">
        <v>28</v>
      </c>
      <c r="F3882" s="1">
        <v>566.78</v>
      </c>
      <c r="G3882" s="1">
        <v>-82.18</v>
      </c>
      <c r="H3882" s="1">
        <v>8.0</v>
      </c>
      <c r="I3882" s="1" t="s">
        <v>17</v>
      </c>
      <c r="J3882" s="1" t="s">
        <v>38</v>
      </c>
      <c r="K3882" s="1">
        <f t="shared" si="1"/>
        <v>2021</v>
      </c>
      <c r="L3882" s="1" t="str">
        <f t="shared" si="2"/>
        <v>Nov</v>
      </c>
      <c r="M3882" s="1" t="str">
        <f t="shared" si="3"/>
        <v>Loss</v>
      </c>
    </row>
    <row r="3883" ht="14.25" customHeight="1">
      <c r="A3883" s="1" t="s">
        <v>3917</v>
      </c>
      <c r="B3883" s="2">
        <v>44323.0</v>
      </c>
      <c r="C3883" s="1" t="s">
        <v>14</v>
      </c>
      <c r="D3883" s="1" t="s">
        <v>27</v>
      </c>
      <c r="E3883" s="1" t="s">
        <v>33</v>
      </c>
      <c r="F3883" s="1">
        <v>563.27</v>
      </c>
      <c r="G3883" s="1">
        <v>163.12</v>
      </c>
      <c r="H3883" s="1">
        <v>3.0</v>
      </c>
      <c r="I3883" s="1" t="s">
        <v>34</v>
      </c>
      <c r="J3883" s="1" t="s">
        <v>35</v>
      </c>
      <c r="K3883" s="1">
        <f t="shared" si="1"/>
        <v>2021</v>
      </c>
      <c r="L3883" s="1" t="str">
        <f t="shared" si="2"/>
        <v>May</v>
      </c>
      <c r="M3883" s="1" t="str">
        <f t="shared" si="3"/>
        <v>Profit</v>
      </c>
    </row>
    <row r="3884" ht="14.25" customHeight="1">
      <c r="A3884" s="1" t="s">
        <v>3918</v>
      </c>
      <c r="B3884" s="2">
        <v>44435.0</v>
      </c>
      <c r="C3884" s="1" t="s">
        <v>26</v>
      </c>
      <c r="D3884" s="1" t="s">
        <v>21</v>
      </c>
      <c r="E3884" s="1" t="s">
        <v>37</v>
      </c>
      <c r="F3884" s="1">
        <v>405.53</v>
      </c>
      <c r="G3884" s="1">
        <v>-64.89</v>
      </c>
      <c r="H3884" s="1">
        <v>4.0</v>
      </c>
      <c r="I3884" s="1" t="s">
        <v>17</v>
      </c>
      <c r="J3884" s="1" t="s">
        <v>18</v>
      </c>
      <c r="K3884" s="1">
        <f t="shared" si="1"/>
        <v>2021</v>
      </c>
      <c r="L3884" s="1" t="str">
        <f t="shared" si="2"/>
        <v>Aug</v>
      </c>
      <c r="M3884" s="1" t="str">
        <f t="shared" si="3"/>
        <v>Loss</v>
      </c>
    </row>
    <row r="3885" ht="14.25" customHeight="1">
      <c r="A3885" s="1" t="s">
        <v>3919</v>
      </c>
      <c r="B3885" s="2">
        <v>44993.0</v>
      </c>
      <c r="C3885" s="1" t="s">
        <v>20</v>
      </c>
      <c r="D3885" s="1" t="s">
        <v>21</v>
      </c>
      <c r="E3885" s="1" t="s">
        <v>22</v>
      </c>
      <c r="F3885" s="1">
        <v>938.25</v>
      </c>
      <c r="G3885" s="1">
        <v>278.36</v>
      </c>
      <c r="H3885" s="1">
        <v>3.0</v>
      </c>
      <c r="I3885" s="1" t="s">
        <v>23</v>
      </c>
      <c r="J3885" s="1" t="s">
        <v>35</v>
      </c>
      <c r="K3885" s="1">
        <f t="shared" si="1"/>
        <v>2023</v>
      </c>
      <c r="L3885" s="1" t="str">
        <f t="shared" si="2"/>
        <v>Mar</v>
      </c>
      <c r="M3885" s="1" t="str">
        <f t="shared" si="3"/>
        <v>Profit</v>
      </c>
    </row>
    <row r="3886" ht="14.25" customHeight="1">
      <c r="A3886" s="1" t="s">
        <v>3920</v>
      </c>
      <c r="B3886" s="2">
        <v>44662.0</v>
      </c>
      <c r="C3886" s="1" t="s">
        <v>14</v>
      </c>
      <c r="D3886" s="1" t="s">
        <v>21</v>
      </c>
      <c r="E3886" s="1" t="s">
        <v>37</v>
      </c>
      <c r="F3886" s="1">
        <v>515.08</v>
      </c>
      <c r="G3886" s="1">
        <v>-47.4</v>
      </c>
      <c r="H3886" s="1">
        <v>10.0</v>
      </c>
      <c r="I3886" s="1" t="s">
        <v>34</v>
      </c>
      <c r="J3886" s="1" t="s">
        <v>35</v>
      </c>
      <c r="K3886" s="1">
        <f t="shared" si="1"/>
        <v>2022</v>
      </c>
      <c r="L3886" s="1" t="str">
        <f t="shared" si="2"/>
        <v>Apr</v>
      </c>
      <c r="M3886" s="1" t="str">
        <f t="shared" si="3"/>
        <v>Loss</v>
      </c>
    </row>
    <row r="3887" ht="14.25" customHeight="1">
      <c r="A3887" s="1" t="s">
        <v>3921</v>
      </c>
      <c r="B3887" s="2">
        <v>45197.0</v>
      </c>
      <c r="C3887" s="1" t="s">
        <v>26</v>
      </c>
      <c r="D3887" s="1" t="s">
        <v>15</v>
      </c>
      <c r="E3887" s="1" t="s">
        <v>16</v>
      </c>
      <c r="F3887" s="1">
        <v>169.62</v>
      </c>
      <c r="G3887" s="1">
        <v>265.24</v>
      </c>
      <c r="H3887" s="1">
        <v>4.0</v>
      </c>
      <c r="I3887" s="1" t="s">
        <v>17</v>
      </c>
      <c r="J3887" s="1" t="s">
        <v>35</v>
      </c>
      <c r="K3887" s="1">
        <f t="shared" si="1"/>
        <v>2023</v>
      </c>
      <c r="L3887" s="1" t="str">
        <f t="shared" si="2"/>
        <v>Sep</v>
      </c>
      <c r="M3887" s="1" t="str">
        <f t="shared" si="3"/>
        <v>Profit</v>
      </c>
    </row>
    <row r="3888" ht="14.25" customHeight="1">
      <c r="A3888" s="1" t="s">
        <v>3922</v>
      </c>
      <c r="B3888" s="2">
        <v>44289.0</v>
      </c>
      <c r="C3888" s="1" t="s">
        <v>14</v>
      </c>
      <c r="D3888" s="1" t="s">
        <v>21</v>
      </c>
      <c r="E3888" s="1" t="s">
        <v>37</v>
      </c>
      <c r="F3888" s="1">
        <v>185.09</v>
      </c>
      <c r="G3888" s="1">
        <v>-56.66</v>
      </c>
      <c r="H3888" s="1">
        <v>9.0</v>
      </c>
      <c r="I3888" s="1" t="s">
        <v>23</v>
      </c>
      <c r="J3888" s="1" t="s">
        <v>38</v>
      </c>
      <c r="K3888" s="1">
        <f t="shared" si="1"/>
        <v>2021</v>
      </c>
      <c r="L3888" s="1" t="str">
        <f t="shared" si="2"/>
        <v>Apr</v>
      </c>
      <c r="M3888" s="1" t="str">
        <f t="shared" si="3"/>
        <v>Loss</v>
      </c>
    </row>
    <row r="3889" ht="14.25" customHeight="1">
      <c r="A3889" s="1" t="s">
        <v>3923</v>
      </c>
      <c r="B3889" s="2">
        <v>45154.0</v>
      </c>
      <c r="C3889" s="1" t="s">
        <v>26</v>
      </c>
      <c r="D3889" s="1" t="s">
        <v>21</v>
      </c>
      <c r="E3889" s="1" t="s">
        <v>22</v>
      </c>
      <c r="F3889" s="1">
        <v>681.6</v>
      </c>
      <c r="G3889" s="1">
        <v>-75.89</v>
      </c>
      <c r="H3889" s="1">
        <v>3.0</v>
      </c>
      <c r="I3889" s="1" t="s">
        <v>34</v>
      </c>
      <c r="J3889" s="1" t="s">
        <v>35</v>
      </c>
      <c r="K3889" s="1">
        <f t="shared" si="1"/>
        <v>2023</v>
      </c>
      <c r="L3889" s="1" t="str">
        <f t="shared" si="2"/>
        <v>Aug</v>
      </c>
      <c r="M3889" s="1" t="str">
        <f t="shared" si="3"/>
        <v>Loss</v>
      </c>
    </row>
    <row r="3890" ht="14.25" customHeight="1">
      <c r="A3890" s="1" t="s">
        <v>3924</v>
      </c>
      <c r="B3890" s="2">
        <v>44415.0</v>
      </c>
      <c r="C3890" s="1" t="s">
        <v>30</v>
      </c>
      <c r="D3890" s="1" t="s">
        <v>21</v>
      </c>
      <c r="E3890" s="1" t="s">
        <v>22</v>
      </c>
      <c r="F3890" s="1">
        <v>767.27</v>
      </c>
      <c r="G3890" s="1">
        <v>241.45</v>
      </c>
      <c r="H3890" s="1">
        <v>10.0</v>
      </c>
      <c r="I3890" s="1" t="s">
        <v>17</v>
      </c>
      <c r="J3890" s="1" t="s">
        <v>35</v>
      </c>
      <c r="K3890" s="1">
        <f t="shared" si="1"/>
        <v>2021</v>
      </c>
      <c r="L3890" s="1" t="str">
        <f t="shared" si="2"/>
        <v>Aug</v>
      </c>
      <c r="M3890" s="1" t="str">
        <f t="shared" si="3"/>
        <v>Profit</v>
      </c>
    </row>
    <row r="3891" ht="14.25" customHeight="1">
      <c r="A3891" s="1" t="s">
        <v>3925</v>
      </c>
      <c r="B3891" s="2">
        <v>45160.0</v>
      </c>
      <c r="C3891" s="1" t="s">
        <v>14</v>
      </c>
      <c r="D3891" s="1" t="s">
        <v>15</v>
      </c>
      <c r="E3891" s="1" t="s">
        <v>16</v>
      </c>
      <c r="F3891" s="1">
        <v>937.74</v>
      </c>
      <c r="G3891" s="1">
        <v>164.16</v>
      </c>
      <c r="H3891" s="1">
        <v>2.0</v>
      </c>
      <c r="I3891" s="1" t="s">
        <v>23</v>
      </c>
      <c r="J3891" s="1" t="s">
        <v>18</v>
      </c>
      <c r="K3891" s="1">
        <f t="shared" si="1"/>
        <v>2023</v>
      </c>
      <c r="L3891" s="1" t="str">
        <f t="shared" si="2"/>
        <v>Aug</v>
      </c>
      <c r="M3891" s="1" t="str">
        <f t="shared" si="3"/>
        <v>Profit</v>
      </c>
    </row>
    <row r="3892" ht="14.25" customHeight="1">
      <c r="A3892" s="1" t="s">
        <v>3926</v>
      </c>
      <c r="B3892" s="2">
        <v>44362.0</v>
      </c>
      <c r="C3892" s="1" t="s">
        <v>14</v>
      </c>
      <c r="D3892" s="1" t="s">
        <v>15</v>
      </c>
      <c r="E3892" s="1" t="s">
        <v>16</v>
      </c>
      <c r="F3892" s="1">
        <v>443.54</v>
      </c>
      <c r="G3892" s="1">
        <v>42.92</v>
      </c>
      <c r="H3892" s="1">
        <v>4.0</v>
      </c>
      <c r="I3892" s="1" t="s">
        <v>17</v>
      </c>
      <c r="J3892" s="1" t="s">
        <v>35</v>
      </c>
      <c r="K3892" s="1">
        <f t="shared" si="1"/>
        <v>2021</v>
      </c>
      <c r="L3892" s="1" t="str">
        <f t="shared" si="2"/>
        <v>Jun</v>
      </c>
      <c r="M3892" s="1" t="str">
        <f t="shared" si="3"/>
        <v>Profit</v>
      </c>
    </row>
    <row r="3893" ht="14.25" customHeight="1">
      <c r="A3893" s="1" t="s">
        <v>3927</v>
      </c>
      <c r="B3893" s="2">
        <v>44966.0</v>
      </c>
      <c r="C3893" s="1" t="s">
        <v>30</v>
      </c>
      <c r="D3893" s="1" t="s">
        <v>15</v>
      </c>
      <c r="E3893" s="1" t="s">
        <v>31</v>
      </c>
      <c r="F3893" s="1">
        <v>881.71</v>
      </c>
      <c r="G3893" s="1">
        <v>283.65</v>
      </c>
      <c r="H3893" s="1">
        <v>3.0</v>
      </c>
      <c r="I3893" s="1" t="s">
        <v>23</v>
      </c>
      <c r="J3893" s="1" t="s">
        <v>24</v>
      </c>
      <c r="K3893" s="1">
        <f t="shared" si="1"/>
        <v>2023</v>
      </c>
      <c r="L3893" s="1" t="str">
        <f t="shared" si="2"/>
        <v>Feb</v>
      </c>
      <c r="M3893" s="1" t="str">
        <f t="shared" si="3"/>
        <v>Profit</v>
      </c>
    </row>
    <row r="3894" ht="14.25" customHeight="1">
      <c r="A3894" s="1" t="s">
        <v>3928</v>
      </c>
      <c r="B3894" s="2">
        <v>45060.0</v>
      </c>
      <c r="C3894" s="1" t="s">
        <v>30</v>
      </c>
      <c r="D3894" s="1" t="s">
        <v>15</v>
      </c>
      <c r="E3894" s="1" t="s">
        <v>54</v>
      </c>
      <c r="F3894" s="1">
        <v>815.84</v>
      </c>
      <c r="G3894" s="1">
        <v>236.96</v>
      </c>
      <c r="H3894" s="1">
        <v>9.0</v>
      </c>
      <c r="I3894" s="1" t="s">
        <v>17</v>
      </c>
      <c r="J3894" s="1" t="s">
        <v>35</v>
      </c>
      <c r="K3894" s="1">
        <f t="shared" si="1"/>
        <v>2023</v>
      </c>
      <c r="L3894" s="1" t="str">
        <f t="shared" si="2"/>
        <v>May</v>
      </c>
      <c r="M3894" s="1" t="str">
        <f t="shared" si="3"/>
        <v>Profit</v>
      </c>
    </row>
    <row r="3895" ht="14.25" customHeight="1">
      <c r="A3895" s="1" t="s">
        <v>3929</v>
      </c>
      <c r="B3895" s="2">
        <v>44627.0</v>
      </c>
      <c r="C3895" s="1" t="s">
        <v>14</v>
      </c>
      <c r="D3895" s="1" t="s">
        <v>21</v>
      </c>
      <c r="E3895" s="1" t="s">
        <v>76</v>
      </c>
      <c r="F3895" s="1">
        <v>815.33</v>
      </c>
      <c r="G3895" s="1">
        <v>0.16</v>
      </c>
      <c r="H3895" s="1">
        <v>1.0</v>
      </c>
      <c r="I3895" s="1" t="s">
        <v>23</v>
      </c>
      <c r="J3895" s="1" t="s">
        <v>18</v>
      </c>
      <c r="K3895" s="1">
        <f t="shared" si="1"/>
        <v>2022</v>
      </c>
      <c r="L3895" s="1" t="str">
        <f t="shared" si="2"/>
        <v>Mar</v>
      </c>
      <c r="M3895" s="1" t="str">
        <f t="shared" si="3"/>
        <v>Profit</v>
      </c>
    </row>
    <row r="3896" ht="14.25" customHeight="1">
      <c r="A3896" s="1" t="s">
        <v>3930</v>
      </c>
      <c r="B3896" s="2">
        <v>44237.0</v>
      </c>
      <c r="C3896" s="1" t="s">
        <v>26</v>
      </c>
      <c r="D3896" s="1" t="s">
        <v>27</v>
      </c>
      <c r="E3896" s="1" t="s">
        <v>28</v>
      </c>
      <c r="F3896" s="1">
        <v>846.84</v>
      </c>
      <c r="G3896" s="1">
        <v>65.65</v>
      </c>
      <c r="H3896" s="1">
        <v>4.0</v>
      </c>
      <c r="I3896" s="1" t="s">
        <v>34</v>
      </c>
      <c r="J3896" s="1" t="s">
        <v>35</v>
      </c>
      <c r="K3896" s="1">
        <f t="shared" si="1"/>
        <v>2021</v>
      </c>
      <c r="L3896" s="1" t="str">
        <f t="shared" si="2"/>
        <v>Feb</v>
      </c>
      <c r="M3896" s="1" t="str">
        <f t="shared" si="3"/>
        <v>Profit</v>
      </c>
    </row>
    <row r="3897" ht="14.25" customHeight="1">
      <c r="A3897" s="1" t="s">
        <v>3931</v>
      </c>
      <c r="B3897" s="2">
        <v>44627.0</v>
      </c>
      <c r="C3897" s="1" t="s">
        <v>14</v>
      </c>
      <c r="D3897" s="1" t="s">
        <v>27</v>
      </c>
      <c r="E3897" s="1" t="s">
        <v>28</v>
      </c>
      <c r="F3897" s="1">
        <v>932.64</v>
      </c>
      <c r="G3897" s="1">
        <v>8.97</v>
      </c>
      <c r="H3897" s="1">
        <v>8.0</v>
      </c>
      <c r="I3897" s="1" t="s">
        <v>17</v>
      </c>
      <c r="J3897" s="1" t="s">
        <v>24</v>
      </c>
      <c r="K3897" s="1">
        <f t="shared" si="1"/>
        <v>2022</v>
      </c>
      <c r="L3897" s="1" t="str">
        <f t="shared" si="2"/>
        <v>Mar</v>
      </c>
      <c r="M3897" s="1" t="str">
        <f t="shared" si="3"/>
        <v>Profit</v>
      </c>
    </row>
    <row r="3898" ht="14.25" customHeight="1">
      <c r="A3898" s="1" t="s">
        <v>3932</v>
      </c>
      <c r="B3898" s="2">
        <v>44276.0</v>
      </c>
      <c r="C3898" s="1" t="s">
        <v>14</v>
      </c>
      <c r="D3898" s="1" t="s">
        <v>21</v>
      </c>
      <c r="E3898" s="1" t="s">
        <v>22</v>
      </c>
      <c r="F3898" s="1">
        <v>269.07</v>
      </c>
      <c r="G3898" s="1">
        <v>-87.32</v>
      </c>
      <c r="H3898" s="1">
        <v>6.0</v>
      </c>
      <c r="I3898" s="1" t="s">
        <v>17</v>
      </c>
      <c r="J3898" s="1" t="s">
        <v>24</v>
      </c>
      <c r="K3898" s="1">
        <f t="shared" si="1"/>
        <v>2021</v>
      </c>
      <c r="L3898" s="1" t="str">
        <f t="shared" si="2"/>
        <v>Mar</v>
      </c>
      <c r="M3898" s="1" t="str">
        <f t="shared" si="3"/>
        <v>Loss</v>
      </c>
    </row>
    <row r="3899" ht="14.25" customHeight="1">
      <c r="A3899" s="1" t="s">
        <v>3933</v>
      </c>
      <c r="B3899" s="2">
        <v>44893.0</v>
      </c>
      <c r="C3899" s="1" t="s">
        <v>14</v>
      </c>
      <c r="D3899" s="1" t="s">
        <v>21</v>
      </c>
      <c r="E3899" s="1" t="s">
        <v>22</v>
      </c>
      <c r="F3899" s="1">
        <v>348.92</v>
      </c>
      <c r="G3899" s="1">
        <v>-108.47</v>
      </c>
      <c r="H3899" s="1">
        <v>1.0</v>
      </c>
      <c r="I3899" s="1" t="s">
        <v>17</v>
      </c>
      <c r="J3899" s="1" t="s">
        <v>24</v>
      </c>
      <c r="K3899" s="1">
        <f t="shared" si="1"/>
        <v>2022</v>
      </c>
      <c r="L3899" s="1" t="str">
        <f t="shared" si="2"/>
        <v>Nov</v>
      </c>
      <c r="M3899" s="1" t="str">
        <f t="shared" si="3"/>
        <v>Loss</v>
      </c>
    </row>
    <row r="3900" ht="14.25" customHeight="1">
      <c r="A3900" s="1" t="s">
        <v>3934</v>
      </c>
      <c r="B3900" s="2">
        <v>44758.0</v>
      </c>
      <c r="C3900" s="1" t="s">
        <v>20</v>
      </c>
      <c r="D3900" s="1" t="s">
        <v>21</v>
      </c>
      <c r="E3900" s="1" t="s">
        <v>76</v>
      </c>
      <c r="F3900" s="1">
        <v>530.82</v>
      </c>
      <c r="G3900" s="1">
        <v>-55.74</v>
      </c>
      <c r="H3900" s="1">
        <v>2.0</v>
      </c>
      <c r="I3900" s="1" t="s">
        <v>23</v>
      </c>
      <c r="J3900" s="1" t="s">
        <v>35</v>
      </c>
      <c r="K3900" s="1">
        <f t="shared" si="1"/>
        <v>2022</v>
      </c>
      <c r="L3900" s="1" t="str">
        <f t="shared" si="2"/>
        <v>Jul</v>
      </c>
      <c r="M3900" s="1" t="str">
        <f t="shared" si="3"/>
        <v>Loss</v>
      </c>
    </row>
    <row r="3901" ht="14.25" customHeight="1">
      <c r="A3901" s="1" t="s">
        <v>3935</v>
      </c>
      <c r="B3901" s="2">
        <v>44358.0</v>
      </c>
      <c r="C3901" s="1" t="s">
        <v>30</v>
      </c>
      <c r="D3901" s="1" t="s">
        <v>21</v>
      </c>
      <c r="E3901" s="1" t="s">
        <v>22</v>
      </c>
      <c r="F3901" s="1">
        <v>781.96</v>
      </c>
      <c r="G3901" s="1">
        <v>-61.75</v>
      </c>
      <c r="H3901" s="1">
        <v>2.0</v>
      </c>
      <c r="I3901" s="1" t="s">
        <v>23</v>
      </c>
      <c r="J3901" s="1" t="s">
        <v>18</v>
      </c>
      <c r="K3901" s="1">
        <f t="shared" si="1"/>
        <v>2021</v>
      </c>
      <c r="L3901" s="1" t="str">
        <f t="shared" si="2"/>
        <v>Jun</v>
      </c>
      <c r="M3901" s="1" t="str">
        <f t="shared" si="3"/>
        <v>Loss</v>
      </c>
    </row>
    <row r="3902" ht="14.25" customHeight="1">
      <c r="A3902" s="1" t="s">
        <v>3936</v>
      </c>
      <c r="B3902" s="2">
        <v>44852.0</v>
      </c>
      <c r="C3902" s="1" t="s">
        <v>14</v>
      </c>
      <c r="D3902" s="1" t="s">
        <v>27</v>
      </c>
      <c r="E3902" s="1" t="s">
        <v>28</v>
      </c>
      <c r="F3902" s="1">
        <v>141.08</v>
      </c>
      <c r="G3902" s="1">
        <v>79.85</v>
      </c>
      <c r="H3902" s="1">
        <v>10.0</v>
      </c>
      <c r="I3902" s="1" t="s">
        <v>17</v>
      </c>
      <c r="J3902" s="1" t="s">
        <v>18</v>
      </c>
      <c r="K3902" s="1">
        <f t="shared" si="1"/>
        <v>2022</v>
      </c>
      <c r="L3902" s="1" t="str">
        <f t="shared" si="2"/>
        <v>Oct</v>
      </c>
      <c r="M3902" s="1" t="str">
        <f t="shared" si="3"/>
        <v>Profit</v>
      </c>
    </row>
    <row r="3903" ht="14.25" customHeight="1">
      <c r="A3903" s="1" t="s">
        <v>3937</v>
      </c>
      <c r="B3903" s="2">
        <v>45261.0</v>
      </c>
      <c r="C3903" s="1" t="s">
        <v>20</v>
      </c>
      <c r="D3903" s="1" t="s">
        <v>21</v>
      </c>
      <c r="E3903" s="1" t="s">
        <v>37</v>
      </c>
      <c r="F3903" s="1">
        <v>801.86</v>
      </c>
      <c r="G3903" s="1">
        <v>-4.73</v>
      </c>
      <c r="H3903" s="1">
        <v>7.0</v>
      </c>
      <c r="I3903" s="1" t="s">
        <v>23</v>
      </c>
      <c r="J3903" s="1" t="s">
        <v>35</v>
      </c>
      <c r="K3903" s="1">
        <f t="shared" si="1"/>
        <v>2023</v>
      </c>
      <c r="L3903" s="1" t="str">
        <f t="shared" si="2"/>
        <v>Dec</v>
      </c>
      <c r="M3903" s="1" t="str">
        <f t="shared" si="3"/>
        <v>Loss</v>
      </c>
    </row>
    <row r="3904" ht="14.25" customHeight="1">
      <c r="A3904" s="1" t="s">
        <v>3938</v>
      </c>
      <c r="B3904" s="2">
        <v>44995.0</v>
      </c>
      <c r="C3904" s="1" t="s">
        <v>30</v>
      </c>
      <c r="D3904" s="1" t="s">
        <v>27</v>
      </c>
      <c r="E3904" s="1" t="s">
        <v>40</v>
      </c>
      <c r="F3904" s="1">
        <v>74.87</v>
      </c>
      <c r="G3904" s="1">
        <v>97.5</v>
      </c>
      <c r="H3904" s="1">
        <v>4.0</v>
      </c>
      <c r="I3904" s="1" t="s">
        <v>34</v>
      </c>
      <c r="J3904" s="1" t="s">
        <v>38</v>
      </c>
      <c r="K3904" s="1">
        <f t="shared" si="1"/>
        <v>2023</v>
      </c>
      <c r="L3904" s="1" t="str">
        <f t="shared" si="2"/>
        <v>Mar</v>
      </c>
      <c r="M3904" s="1" t="str">
        <f t="shared" si="3"/>
        <v>Profit</v>
      </c>
    </row>
    <row r="3905" ht="14.25" customHeight="1">
      <c r="A3905" s="1" t="s">
        <v>3939</v>
      </c>
      <c r="B3905" s="2">
        <v>45185.0</v>
      </c>
      <c r="C3905" s="1" t="s">
        <v>14</v>
      </c>
      <c r="D3905" s="1" t="s">
        <v>21</v>
      </c>
      <c r="E3905" s="1" t="s">
        <v>76</v>
      </c>
      <c r="F3905" s="1">
        <v>671.62</v>
      </c>
      <c r="G3905" s="1">
        <v>253.51</v>
      </c>
      <c r="H3905" s="1">
        <v>9.0</v>
      </c>
      <c r="I3905" s="1" t="s">
        <v>17</v>
      </c>
      <c r="J3905" s="1" t="s">
        <v>18</v>
      </c>
      <c r="K3905" s="1">
        <f t="shared" si="1"/>
        <v>2023</v>
      </c>
      <c r="L3905" s="1" t="str">
        <f t="shared" si="2"/>
        <v>Sep</v>
      </c>
      <c r="M3905" s="1" t="str">
        <f t="shared" si="3"/>
        <v>Profit</v>
      </c>
    </row>
    <row r="3906" ht="14.25" customHeight="1">
      <c r="A3906" s="1" t="s">
        <v>3940</v>
      </c>
      <c r="B3906" s="2">
        <v>45169.0</v>
      </c>
      <c r="C3906" s="1" t="s">
        <v>26</v>
      </c>
      <c r="D3906" s="1" t="s">
        <v>27</v>
      </c>
      <c r="E3906" s="1" t="s">
        <v>40</v>
      </c>
      <c r="F3906" s="1">
        <v>806.01</v>
      </c>
      <c r="G3906" s="1">
        <v>-44.42</v>
      </c>
      <c r="H3906" s="1">
        <v>10.0</v>
      </c>
      <c r="I3906" s="1" t="s">
        <v>34</v>
      </c>
      <c r="J3906" s="1" t="s">
        <v>24</v>
      </c>
      <c r="K3906" s="1">
        <f t="shared" si="1"/>
        <v>2023</v>
      </c>
      <c r="L3906" s="1" t="str">
        <f t="shared" si="2"/>
        <v>Aug</v>
      </c>
      <c r="M3906" s="1" t="str">
        <f t="shared" si="3"/>
        <v>Loss</v>
      </c>
    </row>
    <row r="3907" ht="14.25" customHeight="1">
      <c r="A3907" s="1" t="s">
        <v>3941</v>
      </c>
      <c r="B3907" s="2">
        <v>44675.0</v>
      </c>
      <c r="C3907" s="1" t="s">
        <v>14</v>
      </c>
      <c r="D3907" s="1" t="s">
        <v>15</v>
      </c>
      <c r="E3907" s="1" t="s">
        <v>31</v>
      </c>
      <c r="F3907" s="1">
        <v>123.37</v>
      </c>
      <c r="G3907" s="1">
        <v>156.38</v>
      </c>
      <c r="H3907" s="1">
        <v>5.0</v>
      </c>
      <c r="I3907" s="1" t="s">
        <v>17</v>
      </c>
      <c r="J3907" s="1" t="s">
        <v>24</v>
      </c>
      <c r="K3907" s="1">
        <f t="shared" si="1"/>
        <v>2022</v>
      </c>
      <c r="L3907" s="1" t="str">
        <f t="shared" si="2"/>
        <v>Apr</v>
      </c>
      <c r="M3907" s="1" t="str">
        <f t="shared" si="3"/>
        <v>Profit</v>
      </c>
    </row>
    <row r="3908" ht="14.25" customHeight="1">
      <c r="A3908" s="1" t="s">
        <v>3942</v>
      </c>
      <c r="B3908" s="2">
        <v>44451.0</v>
      </c>
      <c r="C3908" s="1" t="s">
        <v>14</v>
      </c>
      <c r="D3908" s="1" t="s">
        <v>27</v>
      </c>
      <c r="E3908" s="1" t="s">
        <v>28</v>
      </c>
      <c r="F3908" s="1">
        <v>722.27</v>
      </c>
      <c r="G3908" s="1">
        <v>254.12</v>
      </c>
      <c r="H3908" s="1">
        <v>7.0</v>
      </c>
      <c r="I3908" s="1" t="s">
        <v>23</v>
      </c>
      <c r="J3908" s="1" t="s">
        <v>35</v>
      </c>
      <c r="K3908" s="1">
        <f t="shared" si="1"/>
        <v>2021</v>
      </c>
      <c r="L3908" s="1" t="str">
        <f t="shared" si="2"/>
        <v>Sep</v>
      </c>
      <c r="M3908" s="1" t="str">
        <f t="shared" si="3"/>
        <v>Profit</v>
      </c>
    </row>
    <row r="3909" ht="14.25" customHeight="1">
      <c r="A3909" s="1" t="s">
        <v>3943</v>
      </c>
      <c r="B3909" s="2">
        <v>45065.0</v>
      </c>
      <c r="C3909" s="1" t="s">
        <v>14</v>
      </c>
      <c r="D3909" s="1" t="s">
        <v>21</v>
      </c>
      <c r="E3909" s="1" t="s">
        <v>76</v>
      </c>
      <c r="F3909" s="1">
        <v>996.25</v>
      </c>
      <c r="G3909" s="1">
        <v>231.52</v>
      </c>
      <c r="H3909" s="1">
        <v>6.0</v>
      </c>
      <c r="I3909" s="1" t="s">
        <v>23</v>
      </c>
      <c r="J3909" s="1" t="s">
        <v>18</v>
      </c>
      <c r="K3909" s="1">
        <f t="shared" si="1"/>
        <v>2023</v>
      </c>
      <c r="L3909" s="1" t="str">
        <f t="shared" si="2"/>
        <v>May</v>
      </c>
      <c r="M3909" s="1" t="str">
        <f t="shared" si="3"/>
        <v>Profit</v>
      </c>
    </row>
    <row r="3910" ht="14.25" customHeight="1">
      <c r="A3910" s="1" t="s">
        <v>3944</v>
      </c>
      <c r="B3910" s="2">
        <v>44875.0</v>
      </c>
      <c r="C3910" s="1" t="s">
        <v>20</v>
      </c>
      <c r="D3910" s="1" t="s">
        <v>21</v>
      </c>
      <c r="E3910" s="1" t="s">
        <v>76</v>
      </c>
      <c r="F3910" s="1">
        <v>73.36</v>
      </c>
      <c r="G3910" s="1">
        <v>242.77</v>
      </c>
      <c r="H3910" s="1">
        <v>1.0</v>
      </c>
      <c r="I3910" s="1" t="s">
        <v>17</v>
      </c>
      <c r="J3910" s="1" t="s">
        <v>38</v>
      </c>
      <c r="K3910" s="1">
        <f t="shared" si="1"/>
        <v>2022</v>
      </c>
      <c r="L3910" s="1" t="str">
        <f t="shared" si="2"/>
        <v>Nov</v>
      </c>
      <c r="M3910" s="1" t="str">
        <f t="shared" si="3"/>
        <v>Profit</v>
      </c>
    </row>
    <row r="3911" ht="14.25" customHeight="1">
      <c r="A3911" s="1" t="s">
        <v>3945</v>
      </c>
      <c r="B3911" s="2">
        <v>45188.0</v>
      </c>
      <c r="C3911" s="1" t="s">
        <v>20</v>
      </c>
      <c r="D3911" s="1" t="s">
        <v>21</v>
      </c>
      <c r="E3911" s="1" t="s">
        <v>76</v>
      </c>
      <c r="F3911" s="1">
        <v>180.26</v>
      </c>
      <c r="G3911" s="1">
        <v>139.5</v>
      </c>
      <c r="H3911" s="1">
        <v>5.0</v>
      </c>
      <c r="I3911" s="1" t="s">
        <v>23</v>
      </c>
      <c r="J3911" s="1" t="s">
        <v>18</v>
      </c>
      <c r="K3911" s="1">
        <f t="shared" si="1"/>
        <v>2023</v>
      </c>
      <c r="L3911" s="1" t="str">
        <f t="shared" si="2"/>
        <v>Sep</v>
      </c>
      <c r="M3911" s="1" t="str">
        <f t="shared" si="3"/>
        <v>Profit</v>
      </c>
    </row>
    <row r="3912" ht="14.25" customHeight="1">
      <c r="A3912" s="1" t="s">
        <v>3946</v>
      </c>
      <c r="B3912" s="2">
        <v>44491.0</v>
      </c>
      <c r="C3912" s="1" t="s">
        <v>26</v>
      </c>
      <c r="D3912" s="1" t="s">
        <v>15</v>
      </c>
      <c r="E3912" s="1" t="s">
        <v>31</v>
      </c>
      <c r="F3912" s="1">
        <v>624.62</v>
      </c>
      <c r="G3912" s="1">
        <v>0.12</v>
      </c>
      <c r="H3912" s="1">
        <v>9.0</v>
      </c>
      <c r="I3912" s="1" t="s">
        <v>34</v>
      </c>
      <c r="J3912" s="1" t="s">
        <v>35</v>
      </c>
      <c r="K3912" s="1">
        <f t="shared" si="1"/>
        <v>2021</v>
      </c>
      <c r="L3912" s="1" t="str">
        <f t="shared" si="2"/>
        <v>Oct</v>
      </c>
      <c r="M3912" s="1" t="str">
        <f t="shared" si="3"/>
        <v>Profit</v>
      </c>
    </row>
    <row r="3913" ht="14.25" customHeight="1">
      <c r="A3913" s="1" t="s">
        <v>3947</v>
      </c>
      <c r="B3913" s="2">
        <v>44582.0</v>
      </c>
      <c r="C3913" s="1" t="s">
        <v>14</v>
      </c>
      <c r="D3913" s="1" t="s">
        <v>21</v>
      </c>
      <c r="E3913" s="1" t="s">
        <v>22</v>
      </c>
      <c r="F3913" s="1">
        <v>226.09</v>
      </c>
      <c r="G3913" s="1">
        <v>-110.58</v>
      </c>
      <c r="H3913" s="1">
        <v>8.0</v>
      </c>
      <c r="I3913" s="1" t="s">
        <v>34</v>
      </c>
      <c r="J3913" s="1" t="s">
        <v>35</v>
      </c>
      <c r="K3913" s="1">
        <f t="shared" si="1"/>
        <v>2022</v>
      </c>
      <c r="L3913" s="1" t="str">
        <f t="shared" si="2"/>
        <v>Jan</v>
      </c>
      <c r="M3913" s="1" t="str">
        <f t="shared" si="3"/>
        <v>Loss</v>
      </c>
    </row>
    <row r="3914" ht="14.25" customHeight="1">
      <c r="A3914" s="1" t="s">
        <v>3948</v>
      </c>
      <c r="B3914" s="2">
        <v>44876.0</v>
      </c>
      <c r="C3914" s="1" t="s">
        <v>14</v>
      </c>
      <c r="D3914" s="1" t="s">
        <v>21</v>
      </c>
      <c r="E3914" s="1" t="s">
        <v>76</v>
      </c>
      <c r="F3914" s="1">
        <v>874.58</v>
      </c>
      <c r="G3914" s="1">
        <v>280.6</v>
      </c>
      <c r="H3914" s="1">
        <v>2.0</v>
      </c>
      <c r="I3914" s="1" t="s">
        <v>23</v>
      </c>
      <c r="J3914" s="1" t="s">
        <v>38</v>
      </c>
      <c r="K3914" s="1">
        <f t="shared" si="1"/>
        <v>2022</v>
      </c>
      <c r="L3914" s="1" t="str">
        <f t="shared" si="2"/>
        <v>Nov</v>
      </c>
      <c r="M3914" s="1" t="str">
        <f t="shared" si="3"/>
        <v>Profit</v>
      </c>
    </row>
    <row r="3915" ht="14.25" customHeight="1">
      <c r="A3915" s="1" t="s">
        <v>3949</v>
      </c>
      <c r="B3915" s="2">
        <v>44517.0</v>
      </c>
      <c r="C3915" s="1" t="s">
        <v>14</v>
      </c>
      <c r="D3915" s="1" t="s">
        <v>27</v>
      </c>
      <c r="E3915" s="1" t="s">
        <v>40</v>
      </c>
      <c r="F3915" s="1">
        <v>262.0</v>
      </c>
      <c r="G3915" s="1">
        <v>40.31</v>
      </c>
      <c r="H3915" s="1">
        <v>3.0</v>
      </c>
      <c r="I3915" s="1" t="s">
        <v>34</v>
      </c>
      <c r="J3915" s="1" t="s">
        <v>18</v>
      </c>
      <c r="K3915" s="1">
        <f t="shared" si="1"/>
        <v>2021</v>
      </c>
      <c r="L3915" s="1" t="str">
        <f t="shared" si="2"/>
        <v>Nov</v>
      </c>
      <c r="M3915" s="1" t="str">
        <f t="shared" si="3"/>
        <v>Profit</v>
      </c>
    </row>
    <row r="3916" ht="14.25" customHeight="1">
      <c r="A3916" s="1" t="s">
        <v>3950</v>
      </c>
      <c r="B3916" s="2">
        <v>44233.0</v>
      </c>
      <c r="C3916" s="1" t="s">
        <v>26</v>
      </c>
      <c r="D3916" s="1" t="s">
        <v>15</v>
      </c>
      <c r="E3916" s="1" t="s">
        <v>31</v>
      </c>
      <c r="F3916" s="1">
        <v>424.79</v>
      </c>
      <c r="G3916" s="1">
        <v>-90.15</v>
      </c>
      <c r="H3916" s="1">
        <v>10.0</v>
      </c>
      <c r="I3916" s="1" t="s">
        <v>34</v>
      </c>
      <c r="J3916" s="1" t="s">
        <v>24</v>
      </c>
      <c r="K3916" s="1">
        <f t="shared" si="1"/>
        <v>2021</v>
      </c>
      <c r="L3916" s="1" t="str">
        <f t="shared" si="2"/>
        <v>Feb</v>
      </c>
      <c r="M3916" s="1" t="str">
        <f t="shared" si="3"/>
        <v>Loss</v>
      </c>
    </row>
    <row r="3917" ht="14.25" customHeight="1">
      <c r="A3917" s="1" t="s">
        <v>3951</v>
      </c>
      <c r="B3917" s="2">
        <v>44981.0</v>
      </c>
      <c r="C3917" s="1" t="s">
        <v>30</v>
      </c>
      <c r="D3917" s="1" t="s">
        <v>27</v>
      </c>
      <c r="E3917" s="1" t="s">
        <v>40</v>
      </c>
      <c r="F3917" s="1">
        <v>107.11</v>
      </c>
      <c r="G3917" s="1">
        <v>-104.11</v>
      </c>
      <c r="H3917" s="1">
        <v>4.0</v>
      </c>
      <c r="I3917" s="1" t="s">
        <v>34</v>
      </c>
      <c r="J3917" s="1" t="s">
        <v>18</v>
      </c>
      <c r="K3917" s="1">
        <f t="shared" si="1"/>
        <v>2023</v>
      </c>
      <c r="L3917" s="1" t="str">
        <f t="shared" si="2"/>
        <v>Feb</v>
      </c>
      <c r="M3917" s="1" t="str">
        <f t="shared" si="3"/>
        <v>Loss</v>
      </c>
    </row>
    <row r="3918" ht="14.25" customHeight="1">
      <c r="A3918" s="1" t="s">
        <v>3952</v>
      </c>
      <c r="B3918" s="2">
        <v>45142.0</v>
      </c>
      <c r="C3918" s="1" t="s">
        <v>14</v>
      </c>
      <c r="D3918" s="1" t="s">
        <v>27</v>
      </c>
      <c r="E3918" s="1" t="s">
        <v>33</v>
      </c>
      <c r="F3918" s="1">
        <v>437.9</v>
      </c>
      <c r="G3918" s="1">
        <v>172.93</v>
      </c>
      <c r="H3918" s="1">
        <v>7.0</v>
      </c>
      <c r="I3918" s="1" t="s">
        <v>17</v>
      </c>
      <c r="J3918" s="1" t="s">
        <v>35</v>
      </c>
      <c r="K3918" s="1">
        <f t="shared" si="1"/>
        <v>2023</v>
      </c>
      <c r="L3918" s="1" t="str">
        <f t="shared" si="2"/>
        <v>Aug</v>
      </c>
      <c r="M3918" s="1" t="str">
        <f t="shared" si="3"/>
        <v>Profit</v>
      </c>
    </row>
    <row r="3919" ht="14.25" customHeight="1">
      <c r="A3919" s="1" t="s">
        <v>3953</v>
      </c>
      <c r="B3919" s="2">
        <v>44750.0</v>
      </c>
      <c r="C3919" s="1" t="s">
        <v>14</v>
      </c>
      <c r="D3919" s="1" t="s">
        <v>27</v>
      </c>
      <c r="E3919" s="1" t="s">
        <v>33</v>
      </c>
      <c r="F3919" s="1">
        <v>398.36</v>
      </c>
      <c r="G3919" s="1">
        <v>8.96</v>
      </c>
      <c r="H3919" s="1">
        <v>2.0</v>
      </c>
      <c r="I3919" s="1" t="s">
        <v>34</v>
      </c>
      <c r="J3919" s="1" t="s">
        <v>24</v>
      </c>
      <c r="K3919" s="1">
        <f t="shared" si="1"/>
        <v>2022</v>
      </c>
      <c r="L3919" s="1" t="str">
        <f t="shared" si="2"/>
        <v>Jul</v>
      </c>
      <c r="M3919" s="1" t="str">
        <f t="shared" si="3"/>
        <v>Profit</v>
      </c>
    </row>
    <row r="3920" ht="14.25" customHeight="1">
      <c r="A3920" s="1" t="s">
        <v>3954</v>
      </c>
      <c r="B3920" s="2">
        <v>44911.0</v>
      </c>
      <c r="C3920" s="1" t="s">
        <v>30</v>
      </c>
      <c r="D3920" s="1" t="s">
        <v>27</v>
      </c>
      <c r="E3920" s="1" t="s">
        <v>40</v>
      </c>
      <c r="F3920" s="1">
        <v>373.31</v>
      </c>
      <c r="G3920" s="1">
        <v>-19.9</v>
      </c>
      <c r="H3920" s="1">
        <v>2.0</v>
      </c>
      <c r="I3920" s="1" t="s">
        <v>17</v>
      </c>
      <c r="J3920" s="1" t="s">
        <v>38</v>
      </c>
      <c r="K3920" s="1">
        <f t="shared" si="1"/>
        <v>2022</v>
      </c>
      <c r="L3920" s="1" t="str">
        <f t="shared" si="2"/>
        <v>Dec</v>
      </c>
      <c r="M3920" s="1" t="str">
        <f t="shared" si="3"/>
        <v>Loss</v>
      </c>
    </row>
    <row r="3921" ht="14.25" customHeight="1">
      <c r="A3921" s="1" t="s">
        <v>3955</v>
      </c>
      <c r="B3921" s="2">
        <v>44975.0</v>
      </c>
      <c r="C3921" s="1" t="s">
        <v>26</v>
      </c>
      <c r="D3921" s="1" t="s">
        <v>15</v>
      </c>
      <c r="E3921" s="1" t="s">
        <v>54</v>
      </c>
      <c r="F3921" s="1">
        <v>970.39</v>
      </c>
      <c r="G3921" s="1">
        <v>32.73</v>
      </c>
      <c r="H3921" s="1">
        <v>1.0</v>
      </c>
      <c r="I3921" s="1" t="s">
        <v>34</v>
      </c>
      <c r="J3921" s="1" t="s">
        <v>38</v>
      </c>
      <c r="K3921" s="1">
        <f t="shared" si="1"/>
        <v>2023</v>
      </c>
      <c r="L3921" s="1" t="str">
        <f t="shared" si="2"/>
        <v>Feb</v>
      </c>
      <c r="M3921" s="1" t="str">
        <f t="shared" si="3"/>
        <v>Profit</v>
      </c>
    </row>
    <row r="3922" ht="14.25" customHeight="1">
      <c r="A3922" s="1" t="s">
        <v>3956</v>
      </c>
      <c r="B3922" s="2">
        <v>45245.0</v>
      </c>
      <c r="C3922" s="1" t="s">
        <v>30</v>
      </c>
      <c r="D3922" s="1" t="s">
        <v>15</v>
      </c>
      <c r="E3922" s="1" t="s">
        <v>16</v>
      </c>
      <c r="F3922" s="1">
        <v>42.84</v>
      </c>
      <c r="G3922" s="1">
        <v>-163.98</v>
      </c>
      <c r="H3922" s="1">
        <v>5.0</v>
      </c>
      <c r="I3922" s="1" t="s">
        <v>23</v>
      </c>
      <c r="J3922" s="1" t="s">
        <v>38</v>
      </c>
      <c r="K3922" s="1">
        <f t="shared" si="1"/>
        <v>2023</v>
      </c>
      <c r="L3922" s="1" t="str">
        <f t="shared" si="2"/>
        <v>Nov</v>
      </c>
      <c r="M3922" s="1" t="str">
        <f t="shared" si="3"/>
        <v>Loss</v>
      </c>
    </row>
    <row r="3923" ht="14.25" customHeight="1">
      <c r="A3923" s="1" t="s">
        <v>3957</v>
      </c>
      <c r="B3923" s="2">
        <v>45259.0</v>
      </c>
      <c r="C3923" s="1" t="s">
        <v>30</v>
      </c>
      <c r="D3923" s="1" t="s">
        <v>15</v>
      </c>
      <c r="E3923" s="1" t="s">
        <v>16</v>
      </c>
      <c r="F3923" s="1">
        <v>492.24</v>
      </c>
      <c r="G3923" s="1">
        <v>47.79</v>
      </c>
      <c r="H3923" s="1">
        <v>9.0</v>
      </c>
      <c r="I3923" s="1" t="s">
        <v>23</v>
      </c>
      <c r="J3923" s="1" t="s">
        <v>38</v>
      </c>
      <c r="K3923" s="1">
        <f t="shared" si="1"/>
        <v>2023</v>
      </c>
      <c r="L3923" s="1" t="str">
        <f t="shared" si="2"/>
        <v>Nov</v>
      </c>
      <c r="M3923" s="1" t="str">
        <f t="shared" si="3"/>
        <v>Profit</v>
      </c>
    </row>
    <row r="3924" ht="14.25" customHeight="1">
      <c r="A3924" s="1" t="s">
        <v>3958</v>
      </c>
      <c r="B3924" s="2">
        <v>44375.0</v>
      </c>
      <c r="C3924" s="1" t="s">
        <v>20</v>
      </c>
      <c r="D3924" s="1" t="s">
        <v>21</v>
      </c>
      <c r="E3924" s="1" t="s">
        <v>76</v>
      </c>
      <c r="F3924" s="1">
        <v>835.73</v>
      </c>
      <c r="G3924" s="1">
        <v>31.03</v>
      </c>
      <c r="H3924" s="1">
        <v>1.0</v>
      </c>
      <c r="I3924" s="1" t="s">
        <v>23</v>
      </c>
      <c r="J3924" s="1" t="s">
        <v>35</v>
      </c>
      <c r="K3924" s="1">
        <f t="shared" si="1"/>
        <v>2021</v>
      </c>
      <c r="L3924" s="1" t="str">
        <f t="shared" si="2"/>
        <v>Jun</v>
      </c>
      <c r="M3924" s="1" t="str">
        <f t="shared" si="3"/>
        <v>Profit</v>
      </c>
    </row>
    <row r="3925" ht="14.25" customHeight="1">
      <c r="A3925" s="1" t="s">
        <v>3959</v>
      </c>
      <c r="B3925" s="2">
        <v>44613.0</v>
      </c>
      <c r="C3925" s="1" t="s">
        <v>26</v>
      </c>
      <c r="D3925" s="1" t="s">
        <v>15</v>
      </c>
      <c r="E3925" s="1" t="s">
        <v>16</v>
      </c>
      <c r="F3925" s="1">
        <v>255.09</v>
      </c>
      <c r="G3925" s="1">
        <v>-12.48</v>
      </c>
      <c r="H3925" s="1">
        <v>6.0</v>
      </c>
      <c r="I3925" s="1" t="s">
        <v>34</v>
      </c>
      <c r="J3925" s="1" t="s">
        <v>38</v>
      </c>
      <c r="K3925" s="1">
        <f t="shared" si="1"/>
        <v>2022</v>
      </c>
      <c r="L3925" s="1" t="str">
        <f t="shared" si="2"/>
        <v>Feb</v>
      </c>
      <c r="M3925" s="1" t="str">
        <f t="shared" si="3"/>
        <v>Loss</v>
      </c>
    </row>
    <row r="3926" ht="14.25" customHeight="1">
      <c r="A3926" s="1" t="s">
        <v>3960</v>
      </c>
      <c r="B3926" s="2">
        <v>44809.0</v>
      </c>
      <c r="C3926" s="1" t="s">
        <v>30</v>
      </c>
      <c r="D3926" s="1" t="s">
        <v>15</v>
      </c>
      <c r="E3926" s="1" t="s">
        <v>31</v>
      </c>
      <c r="F3926" s="1">
        <v>496.62</v>
      </c>
      <c r="G3926" s="1">
        <v>-100.99</v>
      </c>
      <c r="H3926" s="1">
        <v>9.0</v>
      </c>
      <c r="I3926" s="1" t="s">
        <v>17</v>
      </c>
      <c r="J3926" s="1" t="s">
        <v>38</v>
      </c>
      <c r="K3926" s="1">
        <f t="shared" si="1"/>
        <v>2022</v>
      </c>
      <c r="L3926" s="1" t="str">
        <f t="shared" si="2"/>
        <v>Sep</v>
      </c>
      <c r="M3926" s="1" t="str">
        <f t="shared" si="3"/>
        <v>Loss</v>
      </c>
    </row>
    <row r="3927" ht="14.25" customHeight="1">
      <c r="A3927" s="1" t="s">
        <v>3961</v>
      </c>
      <c r="B3927" s="2">
        <v>44644.0</v>
      </c>
      <c r="C3927" s="1" t="s">
        <v>30</v>
      </c>
      <c r="D3927" s="1" t="s">
        <v>15</v>
      </c>
      <c r="E3927" s="1" t="s">
        <v>16</v>
      </c>
      <c r="F3927" s="1">
        <v>885.59</v>
      </c>
      <c r="G3927" s="1">
        <v>187.33</v>
      </c>
      <c r="H3927" s="1">
        <v>9.0</v>
      </c>
      <c r="I3927" s="1" t="s">
        <v>17</v>
      </c>
      <c r="J3927" s="1" t="s">
        <v>24</v>
      </c>
      <c r="K3927" s="1">
        <f t="shared" si="1"/>
        <v>2022</v>
      </c>
      <c r="L3927" s="1" t="str">
        <f t="shared" si="2"/>
        <v>Mar</v>
      </c>
      <c r="M3927" s="1" t="str">
        <f t="shared" si="3"/>
        <v>Profit</v>
      </c>
    </row>
    <row r="3928" ht="14.25" customHeight="1">
      <c r="A3928" s="1" t="s">
        <v>3962</v>
      </c>
      <c r="B3928" s="2">
        <v>44722.0</v>
      </c>
      <c r="C3928" s="1" t="s">
        <v>20</v>
      </c>
      <c r="D3928" s="1" t="s">
        <v>15</v>
      </c>
      <c r="E3928" s="1" t="s">
        <v>54</v>
      </c>
      <c r="F3928" s="1">
        <v>214.18</v>
      </c>
      <c r="G3928" s="1">
        <v>99.12</v>
      </c>
      <c r="H3928" s="1">
        <v>10.0</v>
      </c>
      <c r="I3928" s="1" t="s">
        <v>17</v>
      </c>
      <c r="J3928" s="1" t="s">
        <v>35</v>
      </c>
      <c r="K3928" s="1">
        <f t="shared" si="1"/>
        <v>2022</v>
      </c>
      <c r="L3928" s="1" t="str">
        <f t="shared" si="2"/>
        <v>Jun</v>
      </c>
      <c r="M3928" s="1" t="str">
        <f t="shared" si="3"/>
        <v>Profit</v>
      </c>
    </row>
    <row r="3929" ht="14.25" customHeight="1">
      <c r="A3929" s="1" t="s">
        <v>3963</v>
      </c>
      <c r="B3929" s="2">
        <v>45244.0</v>
      </c>
      <c r="C3929" s="1" t="s">
        <v>26</v>
      </c>
      <c r="D3929" s="1" t="s">
        <v>15</v>
      </c>
      <c r="E3929" s="1" t="s">
        <v>31</v>
      </c>
      <c r="F3929" s="1">
        <v>136.68</v>
      </c>
      <c r="G3929" s="1">
        <v>131.54</v>
      </c>
      <c r="H3929" s="1">
        <v>8.0</v>
      </c>
      <c r="I3929" s="1" t="s">
        <v>23</v>
      </c>
      <c r="J3929" s="1" t="s">
        <v>38</v>
      </c>
      <c r="K3929" s="1">
        <f t="shared" si="1"/>
        <v>2023</v>
      </c>
      <c r="L3929" s="1" t="str">
        <f t="shared" si="2"/>
        <v>Nov</v>
      </c>
      <c r="M3929" s="1" t="str">
        <f t="shared" si="3"/>
        <v>Profit</v>
      </c>
    </row>
    <row r="3930" ht="14.25" customHeight="1">
      <c r="A3930" s="1" t="s">
        <v>3964</v>
      </c>
      <c r="B3930" s="2">
        <v>45061.0</v>
      </c>
      <c r="C3930" s="1" t="s">
        <v>20</v>
      </c>
      <c r="D3930" s="1" t="s">
        <v>27</v>
      </c>
      <c r="E3930" s="1" t="s">
        <v>28</v>
      </c>
      <c r="F3930" s="1">
        <v>343.25</v>
      </c>
      <c r="G3930" s="1">
        <v>36.67</v>
      </c>
      <c r="H3930" s="1">
        <v>6.0</v>
      </c>
      <c r="I3930" s="1" t="s">
        <v>23</v>
      </c>
      <c r="J3930" s="1" t="s">
        <v>24</v>
      </c>
      <c r="K3930" s="1">
        <f t="shared" si="1"/>
        <v>2023</v>
      </c>
      <c r="L3930" s="1" t="str">
        <f t="shared" si="2"/>
        <v>May</v>
      </c>
      <c r="M3930" s="1" t="str">
        <f t="shared" si="3"/>
        <v>Profit</v>
      </c>
    </row>
    <row r="3931" ht="14.25" customHeight="1">
      <c r="A3931" s="1" t="s">
        <v>3965</v>
      </c>
      <c r="B3931" s="2">
        <v>44331.0</v>
      </c>
      <c r="C3931" s="1" t="s">
        <v>30</v>
      </c>
      <c r="D3931" s="1" t="s">
        <v>15</v>
      </c>
      <c r="E3931" s="1" t="s">
        <v>54</v>
      </c>
      <c r="F3931" s="1">
        <v>35.28</v>
      </c>
      <c r="G3931" s="1">
        <v>235.4</v>
      </c>
      <c r="H3931" s="1">
        <v>2.0</v>
      </c>
      <c r="I3931" s="1" t="s">
        <v>23</v>
      </c>
      <c r="J3931" s="1" t="s">
        <v>38</v>
      </c>
      <c r="K3931" s="1">
        <f t="shared" si="1"/>
        <v>2021</v>
      </c>
      <c r="L3931" s="1" t="str">
        <f t="shared" si="2"/>
        <v>May</v>
      </c>
      <c r="M3931" s="1" t="str">
        <f t="shared" si="3"/>
        <v>Profit</v>
      </c>
    </row>
    <row r="3932" ht="14.25" customHeight="1">
      <c r="A3932" s="1" t="s">
        <v>3966</v>
      </c>
      <c r="B3932" s="2">
        <v>44969.0</v>
      </c>
      <c r="C3932" s="1" t="s">
        <v>14</v>
      </c>
      <c r="D3932" s="1" t="s">
        <v>15</v>
      </c>
      <c r="E3932" s="1" t="s">
        <v>54</v>
      </c>
      <c r="F3932" s="1">
        <v>676.14</v>
      </c>
      <c r="G3932" s="1">
        <v>-111.93</v>
      </c>
      <c r="H3932" s="1">
        <v>6.0</v>
      </c>
      <c r="I3932" s="1" t="s">
        <v>23</v>
      </c>
      <c r="J3932" s="1" t="s">
        <v>18</v>
      </c>
      <c r="K3932" s="1">
        <f t="shared" si="1"/>
        <v>2023</v>
      </c>
      <c r="L3932" s="1" t="str">
        <f t="shared" si="2"/>
        <v>Feb</v>
      </c>
      <c r="M3932" s="1" t="str">
        <f t="shared" si="3"/>
        <v>Loss</v>
      </c>
    </row>
    <row r="3933" ht="14.25" customHeight="1">
      <c r="A3933" s="1" t="s">
        <v>3967</v>
      </c>
      <c r="B3933" s="2">
        <v>44382.0</v>
      </c>
      <c r="C3933" s="1" t="s">
        <v>26</v>
      </c>
      <c r="D3933" s="1" t="s">
        <v>15</v>
      </c>
      <c r="E3933" s="1" t="s">
        <v>16</v>
      </c>
      <c r="F3933" s="1">
        <v>127.22</v>
      </c>
      <c r="G3933" s="1">
        <v>-155.22</v>
      </c>
      <c r="H3933" s="1">
        <v>3.0</v>
      </c>
      <c r="I3933" s="1" t="s">
        <v>23</v>
      </c>
      <c r="J3933" s="1" t="s">
        <v>18</v>
      </c>
      <c r="K3933" s="1">
        <f t="shared" si="1"/>
        <v>2021</v>
      </c>
      <c r="L3933" s="1" t="str">
        <f t="shared" si="2"/>
        <v>Jul</v>
      </c>
      <c r="M3933" s="1" t="str">
        <f t="shared" si="3"/>
        <v>Loss</v>
      </c>
    </row>
    <row r="3934" ht="14.25" customHeight="1">
      <c r="A3934" s="1" t="s">
        <v>3968</v>
      </c>
      <c r="B3934" s="2">
        <v>44680.0</v>
      </c>
      <c r="C3934" s="1" t="s">
        <v>26</v>
      </c>
      <c r="D3934" s="1" t="s">
        <v>27</v>
      </c>
      <c r="E3934" s="1" t="s">
        <v>40</v>
      </c>
      <c r="F3934" s="1">
        <v>720.65</v>
      </c>
      <c r="G3934" s="1">
        <v>203.7</v>
      </c>
      <c r="H3934" s="1">
        <v>1.0</v>
      </c>
      <c r="I3934" s="1" t="s">
        <v>23</v>
      </c>
      <c r="J3934" s="1" t="s">
        <v>18</v>
      </c>
      <c r="K3934" s="1">
        <f t="shared" si="1"/>
        <v>2022</v>
      </c>
      <c r="L3934" s="1" t="str">
        <f t="shared" si="2"/>
        <v>Apr</v>
      </c>
      <c r="M3934" s="1" t="str">
        <f t="shared" si="3"/>
        <v>Profit</v>
      </c>
    </row>
    <row r="3935" ht="14.25" customHeight="1">
      <c r="A3935" s="1" t="s">
        <v>3969</v>
      </c>
      <c r="B3935" s="2">
        <v>44330.0</v>
      </c>
      <c r="C3935" s="1" t="s">
        <v>20</v>
      </c>
      <c r="D3935" s="1" t="s">
        <v>21</v>
      </c>
      <c r="E3935" s="1" t="s">
        <v>76</v>
      </c>
      <c r="F3935" s="1">
        <v>461.13</v>
      </c>
      <c r="G3935" s="1">
        <v>196.9</v>
      </c>
      <c r="H3935" s="1">
        <v>5.0</v>
      </c>
      <c r="I3935" s="1" t="s">
        <v>34</v>
      </c>
      <c r="J3935" s="1" t="s">
        <v>24</v>
      </c>
      <c r="K3935" s="1">
        <f t="shared" si="1"/>
        <v>2021</v>
      </c>
      <c r="L3935" s="1" t="str">
        <f t="shared" si="2"/>
        <v>May</v>
      </c>
      <c r="M3935" s="1" t="str">
        <f t="shared" si="3"/>
        <v>Profit</v>
      </c>
    </row>
    <row r="3936" ht="14.25" customHeight="1">
      <c r="A3936" s="1" t="s">
        <v>3970</v>
      </c>
      <c r="B3936" s="2">
        <v>44753.0</v>
      </c>
      <c r="C3936" s="1" t="s">
        <v>26</v>
      </c>
      <c r="D3936" s="1" t="s">
        <v>21</v>
      </c>
      <c r="E3936" s="1" t="s">
        <v>37</v>
      </c>
      <c r="F3936" s="1">
        <v>567.66</v>
      </c>
      <c r="G3936" s="1">
        <v>290.31</v>
      </c>
      <c r="H3936" s="1">
        <v>5.0</v>
      </c>
      <c r="I3936" s="1" t="s">
        <v>17</v>
      </c>
      <c r="J3936" s="1" t="s">
        <v>18</v>
      </c>
      <c r="K3936" s="1">
        <f t="shared" si="1"/>
        <v>2022</v>
      </c>
      <c r="L3936" s="1" t="str">
        <f t="shared" si="2"/>
        <v>Jul</v>
      </c>
      <c r="M3936" s="1" t="str">
        <f t="shared" si="3"/>
        <v>Profit</v>
      </c>
    </row>
    <row r="3937" ht="14.25" customHeight="1">
      <c r="A3937" s="1" t="s">
        <v>3971</v>
      </c>
      <c r="B3937" s="2">
        <v>44615.0</v>
      </c>
      <c r="C3937" s="1" t="s">
        <v>14</v>
      </c>
      <c r="D3937" s="1" t="s">
        <v>21</v>
      </c>
      <c r="E3937" s="1" t="s">
        <v>22</v>
      </c>
      <c r="F3937" s="1">
        <v>230.75</v>
      </c>
      <c r="G3937" s="1">
        <v>165.06</v>
      </c>
      <c r="H3937" s="1">
        <v>4.0</v>
      </c>
      <c r="I3937" s="1" t="s">
        <v>23</v>
      </c>
      <c r="J3937" s="1" t="s">
        <v>38</v>
      </c>
      <c r="K3937" s="1">
        <f t="shared" si="1"/>
        <v>2022</v>
      </c>
      <c r="L3937" s="1" t="str">
        <f t="shared" si="2"/>
        <v>Feb</v>
      </c>
      <c r="M3937" s="1" t="str">
        <f t="shared" si="3"/>
        <v>Profit</v>
      </c>
    </row>
    <row r="3938" ht="14.25" customHeight="1">
      <c r="A3938" s="1" t="s">
        <v>3972</v>
      </c>
      <c r="B3938" s="2">
        <v>44690.0</v>
      </c>
      <c r="C3938" s="1" t="s">
        <v>26</v>
      </c>
      <c r="D3938" s="1" t="s">
        <v>21</v>
      </c>
      <c r="E3938" s="1" t="s">
        <v>37</v>
      </c>
      <c r="F3938" s="1">
        <v>569.5</v>
      </c>
      <c r="G3938" s="1">
        <v>-161.99</v>
      </c>
      <c r="H3938" s="1">
        <v>5.0</v>
      </c>
      <c r="I3938" s="1" t="s">
        <v>17</v>
      </c>
      <c r="J3938" s="1" t="s">
        <v>35</v>
      </c>
      <c r="K3938" s="1">
        <f t="shared" si="1"/>
        <v>2022</v>
      </c>
      <c r="L3938" s="1" t="str">
        <f t="shared" si="2"/>
        <v>May</v>
      </c>
      <c r="M3938" s="1" t="str">
        <f t="shared" si="3"/>
        <v>Loss</v>
      </c>
    </row>
    <row r="3939" ht="14.25" customHeight="1">
      <c r="A3939" s="1" t="s">
        <v>3973</v>
      </c>
      <c r="B3939" s="2">
        <v>44856.0</v>
      </c>
      <c r="C3939" s="1" t="s">
        <v>26</v>
      </c>
      <c r="D3939" s="1" t="s">
        <v>27</v>
      </c>
      <c r="E3939" s="1" t="s">
        <v>33</v>
      </c>
      <c r="F3939" s="1">
        <v>524.67</v>
      </c>
      <c r="G3939" s="1">
        <v>-191.66</v>
      </c>
      <c r="H3939" s="1">
        <v>9.0</v>
      </c>
      <c r="I3939" s="1" t="s">
        <v>23</v>
      </c>
      <c r="J3939" s="1" t="s">
        <v>35</v>
      </c>
      <c r="K3939" s="1">
        <f t="shared" si="1"/>
        <v>2022</v>
      </c>
      <c r="L3939" s="1" t="str">
        <f t="shared" si="2"/>
        <v>Oct</v>
      </c>
      <c r="M3939" s="1" t="str">
        <f t="shared" si="3"/>
        <v>Loss</v>
      </c>
    </row>
    <row r="3940" ht="14.25" customHeight="1">
      <c r="A3940" s="1" t="s">
        <v>3974</v>
      </c>
      <c r="B3940" s="2">
        <v>44421.0</v>
      </c>
      <c r="C3940" s="1" t="s">
        <v>26</v>
      </c>
      <c r="D3940" s="1" t="s">
        <v>27</v>
      </c>
      <c r="E3940" s="1" t="s">
        <v>40</v>
      </c>
      <c r="F3940" s="1">
        <v>57.27</v>
      </c>
      <c r="G3940" s="1">
        <v>-42.56</v>
      </c>
      <c r="H3940" s="1">
        <v>7.0</v>
      </c>
      <c r="I3940" s="1" t="s">
        <v>17</v>
      </c>
      <c r="J3940" s="1" t="s">
        <v>38</v>
      </c>
      <c r="K3940" s="1">
        <f t="shared" si="1"/>
        <v>2021</v>
      </c>
      <c r="L3940" s="1" t="str">
        <f t="shared" si="2"/>
        <v>Aug</v>
      </c>
      <c r="M3940" s="1" t="str">
        <f t="shared" si="3"/>
        <v>Loss</v>
      </c>
    </row>
    <row r="3941" ht="14.25" customHeight="1">
      <c r="A3941" s="1" t="s">
        <v>3975</v>
      </c>
      <c r="B3941" s="2">
        <v>44669.0</v>
      </c>
      <c r="C3941" s="1" t="s">
        <v>14</v>
      </c>
      <c r="D3941" s="1" t="s">
        <v>27</v>
      </c>
      <c r="E3941" s="1" t="s">
        <v>28</v>
      </c>
      <c r="F3941" s="1">
        <v>699.01</v>
      </c>
      <c r="G3941" s="1">
        <v>-188.71</v>
      </c>
      <c r="H3941" s="1">
        <v>4.0</v>
      </c>
      <c r="I3941" s="1" t="s">
        <v>23</v>
      </c>
      <c r="J3941" s="1" t="s">
        <v>18</v>
      </c>
      <c r="K3941" s="1">
        <f t="shared" si="1"/>
        <v>2022</v>
      </c>
      <c r="L3941" s="1" t="str">
        <f t="shared" si="2"/>
        <v>Apr</v>
      </c>
      <c r="M3941" s="1" t="str">
        <f t="shared" si="3"/>
        <v>Loss</v>
      </c>
    </row>
    <row r="3942" ht="14.25" customHeight="1">
      <c r="A3942" s="1" t="s">
        <v>3976</v>
      </c>
      <c r="B3942" s="2">
        <v>44409.0</v>
      </c>
      <c r="C3942" s="1" t="s">
        <v>30</v>
      </c>
      <c r="D3942" s="1" t="s">
        <v>27</v>
      </c>
      <c r="E3942" s="1" t="s">
        <v>28</v>
      </c>
      <c r="F3942" s="1">
        <v>486.37</v>
      </c>
      <c r="G3942" s="1">
        <v>223.03</v>
      </c>
      <c r="H3942" s="1">
        <v>1.0</v>
      </c>
      <c r="I3942" s="1" t="s">
        <v>17</v>
      </c>
      <c r="J3942" s="1" t="s">
        <v>35</v>
      </c>
      <c r="K3942" s="1">
        <f t="shared" si="1"/>
        <v>2021</v>
      </c>
      <c r="L3942" s="1" t="str">
        <f t="shared" si="2"/>
        <v>Aug</v>
      </c>
      <c r="M3942" s="1" t="str">
        <f t="shared" si="3"/>
        <v>Profit</v>
      </c>
    </row>
    <row r="3943" ht="14.25" customHeight="1">
      <c r="A3943" s="1" t="s">
        <v>3977</v>
      </c>
      <c r="B3943" s="2">
        <v>45223.0</v>
      </c>
      <c r="C3943" s="1" t="s">
        <v>20</v>
      </c>
      <c r="D3943" s="1" t="s">
        <v>15</v>
      </c>
      <c r="E3943" s="1" t="s">
        <v>16</v>
      </c>
      <c r="F3943" s="1">
        <v>480.38</v>
      </c>
      <c r="G3943" s="1">
        <v>172.83</v>
      </c>
      <c r="H3943" s="1">
        <v>9.0</v>
      </c>
      <c r="I3943" s="1" t="s">
        <v>17</v>
      </c>
      <c r="J3943" s="1" t="s">
        <v>24</v>
      </c>
      <c r="K3943" s="1">
        <f t="shared" si="1"/>
        <v>2023</v>
      </c>
      <c r="L3943" s="1" t="str">
        <f t="shared" si="2"/>
        <v>Oct</v>
      </c>
      <c r="M3943" s="1" t="str">
        <f t="shared" si="3"/>
        <v>Profit</v>
      </c>
    </row>
    <row r="3944" ht="14.25" customHeight="1">
      <c r="A3944" s="1" t="s">
        <v>3978</v>
      </c>
      <c r="B3944" s="2">
        <v>44604.0</v>
      </c>
      <c r="C3944" s="1" t="s">
        <v>30</v>
      </c>
      <c r="D3944" s="1" t="s">
        <v>27</v>
      </c>
      <c r="E3944" s="1" t="s">
        <v>33</v>
      </c>
      <c r="F3944" s="1">
        <v>592.13</v>
      </c>
      <c r="G3944" s="1">
        <v>-193.95</v>
      </c>
      <c r="H3944" s="1">
        <v>2.0</v>
      </c>
      <c r="I3944" s="1" t="s">
        <v>34</v>
      </c>
      <c r="J3944" s="1" t="s">
        <v>18</v>
      </c>
      <c r="K3944" s="1">
        <f t="shared" si="1"/>
        <v>2022</v>
      </c>
      <c r="L3944" s="1" t="str">
        <f t="shared" si="2"/>
        <v>Feb</v>
      </c>
      <c r="M3944" s="1" t="str">
        <f t="shared" si="3"/>
        <v>Loss</v>
      </c>
    </row>
    <row r="3945" ht="14.25" customHeight="1">
      <c r="A3945" s="1" t="s">
        <v>3979</v>
      </c>
      <c r="B3945" s="2">
        <v>45148.0</v>
      </c>
      <c r="C3945" s="1" t="s">
        <v>20</v>
      </c>
      <c r="D3945" s="1" t="s">
        <v>27</v>
      </c>
      <c r="E3945" s="1" t="s">
        <v>33</v>
      </c>
      <c r="F3945" s="1">
        <v>736.3</v>
      </c>
      <c r="G3945" s="1">
        <v>298.97</v>
      </c>
      <c r="H3945" s="1">
        <v>7.0</v>
      </c>
      <c r="I3945" s="1" t="s">
        <v>23</v>
      </c>
      <c r="J3945" s="1" t="s">
        <v>38</v>
      </c>
      <c r="K3945" s="1">
        <f t="shared" si="1"/>
        <v>2023</v>
      </c>
      <c r="L3945" s="1" t="str">
        <f t="shared" si="2"/>
        <v>Aug</v>
      </c>
      <c r="M3945" s="1" t="str">
        <f t="shared" si="3"/>
        <v>Profit</v>
      </c>
    </row>
    <row r="3946" ht="14.25" customHeight="1">
      <c r="A3946" s="1" t="s">
        <v>3980</v>
      </c>
      <c r="B3946" s="2">
        <v>45154.0</v>
      </c>
      <c r="C3946" s="1" t="s">
        <v>14</v>
      </c>
      <c r="D3946" s="1" t="s">
        <v>15</v>
      </c>
      <c r="E3946" s="1" t="s">
        <v>16</v>
      </c>
      <c r="F3946" s="1">
        <v>877.69</v>
      </c>
      <c r="G3946" s="1">
        <v>73.95</v>
      </c>
      <c r="H3946" s="1">
        <v>9.0</v>
      </c>
      <c r="I3946" s="1" t="s">
        <v>23</v>
      </c>
      <c r="J3946" s="1" t="s">
        <v>38</v>
      </c>
      <c r="K3946" s="1">
        <f t="shared" si="1"/>
        <v>2023</v>
      </c>
      <c r="L3946" s="1" t="str">
        <f t="shared" si="2"/>
        <v>Aug</v>
      </c>
      <c r="M3946" s="1" t="str">
        <f t="shared" si="3"/>
        <v>Profit</v>
      </c>
    </row>
    <row r="3947" ht="14.25" customHeight="1">
      <c r="A3947" s="1" t="s">
        <v>3981</v>
      </c>
      <c r="B3947" s="2">
        <v>44423.0</v>
      </c>
      <c r="C3947" s="1" t="s">
        <v>30</v>
      </c>
      <c r="D3947" s="1" t="s">
        <v>27</v>
      </c>
      <c r="E3947" s="1" t="s">
        <v>28</v>
      </c>
      <c r="F3947" s="1">
        <v>422.62</v>
      </c>
      <c r="G3947" s="1">
        <v>238.98</v>
      </c>
      <c r="H3947" s="1">
        <v>10.0</v>
      </c>
      <c r="I3947" s="1" t="s">
        <v>34</v>
      </c>
      <c r="J3947" s="1" t="s">
        <v>35</v>
      </c>
      <c r="K3947" s="1">
        <f t="shared" si="1"/>
        <v>2021</v>
      </c>
      <c r="L3947" s="1" t="str">
        <f t="shared" si="2"/>
        <v>Aug</v>
      </c>
      <c r="M3947" s="1" t="str">
        <f t="shared" si="3"/>
        <v>Profit</v>
      </c>
    </row>
    <row r="3948" ht="14.25" customHeight="1">
      <c r="A3948" s="1" t="s">
        <v>3982</v>
      </c>
      <c r="B3948" s="2">
        <v>44764.0</v>
      </c>
      <c r="C3948" s="1" t="s">
        <v>14</v>
      </c>
      <c r="D3948" s="1" t="s">
        <v>27</v>
      </c>
      <c r="E3948" s="1" t="s">
        <v>28</v>
      </c>
      <c r="F3948" s="1">
        <v>750.49</v>
      </c>
      <c r="G3948" s="1">
        <v>-99.46</v>
      </c>
      <c r="H3948" s="1">
        <v>2.0</v>
      </c>
      <c r="I3948" s="1" t="s">
        <v>34</v>
      </c>
      <c r="J3948" s="1" t="s">
        <v>24</v>
      </c>
      <c r="K3948" s="1">
        <f t="shared" si="1"/>
        <v>2022</v>
      </c>
      <c r="L3948" s="1" t="str">
        <f t="shared" si="2"/>
        <v>Jul</v>
      </c>
      <c r="M3948" s="1" t="str">
        <f t="shared" si="3"/>
        <v>Loss</v>
      </c>
    </row>
    <row r="3949" ht="14.25" customHeight="1">
      <c r="A3949" s="1" t="s">
        <v>3983</v>
      </c>
      <c r="B3949" s="2">
        <v>44829.0</v>
      </c>
      <c r="C3949" s="1" t="s">
        <v>14</v>
      </c>
      <c r="D3949" s="1" t="s">
        <v>21</v>
      </c>
      <c r="E3949" s="1" t="s">
        <v>22</v>
      </c>
      <c r="F3949" s="1">
        <v>981.96</v>
      </c>
      <c r="G3949" s="1">
        <v>-107.7</v>
      </c>
      <c r="H3949" s="1">
        <v>5.0</v>
      </c>
      <c r="I3949" s="1" t="s">
        <v>23</v>
      </c>
      <c r="J3949" s="1" t="s">
        <v>18</v>
      </c>
      <c r="K3949" s="1">
        <f t="shared" si="1"/>
        <v>2022</v>
      </c>
      <c r="L3949" s="1" t="str">
        <f t="shared" si="2"/>
        <v>Sep</v>
      </c>
      <c r="M3949" s="1" t="str">
        <f t="shared" si="3"/>
        <v>Loss</v>
      </c>
    </row>
    <row r="3950" ht="14.25" customHeight="1">
      <c r="A3950" s="1" t="s">
        <v>3984</v>
      </c>
      <c r="B3950" s="2">
        <v>44837.0</v>
      </c>
      <c r="C3950" s="1" t="s">
        <v>30</v>
      </c>
      <c r="D3950" s="1" t="s">
        <v>21</v>
      </c>
      <c r="E3950" s="1" t="s">
        <v>22</v>
      </c>
      <c r="F3950" s="1">
        <v>279.9</v>
      </c>
      <c r="G3950" s="1">
        <v>-82.34</v>
      </c>
      <c r="H3950" s="1">
        <v>3.0</v>
      </c>
      <c r="I3950" s="1" t="s">
        <v>23</v>
      </c>
      <c r="J3950" s="1" t="s">
        <v>18</v>
      </c>
      <c r="K3950" s="1">
        <f t="shared" si="1"/>
        <v>2022</v>
      </c>
      <c r="L3950" s="1" t="str">
        <f t="shared" si="2"/>
        <v>Oct</v>
      </c>
      <c r="M3950" s="1" t="str">
        <f t="shared" si="3"/>
        <v>Loss</v>
      </c>
    </row>
    <row r="3951" ht="14.25" customHeight="1">
      <c r="A3951" s="1" t="s">
        <v>3985</v>
      </c>
      <c r="B3951" s="2">
        <v>44332.0</v>
      </c>
      <c r="C3951" s="1" t="s">
        <v>14</v>
      </c>
      <c r="D3951" s="1" t="s">
        <v>27</v>
      </c>
      <c r="E3951" s="1" t="s">
        <v>33</v>
      </c>
      <c r="F3951" s="1">
        <v>964.39</v>
      </c>
      <c r="G3951" s="1">
        <v>200.08</v>
      </c>
      <c r="H3951" s="1">
        <v>9.0</v>
      </c>
      <c r="I3951" s="1" t="s">
        <v>23</v>
      </c>
      <c r="J3951" s="1" t="s">
        <v>24</v>
      </c>
      <c r="K3951" s="1">
        <f t="shared" si="1"/>
        <v>2021</v>
      </c>
      <c r="L3951" s="1" t="str">
        <f t="shared" si="2"/>
        <v>May</v>
      </c>
      <c r="M3951" s="1" t="str">
        <f t="shared" si="3"/>
        <v>Profit</v>
      </c>
    </row>
    <row r="3952" ht="14.25" customHeight="1">
      <c r="A3952" s="1" t="s">
        <v>3986</v>
      </c>
      <c r="B3952" s="2">
        <v>44880.0</v>
      </c>
      <c r="C3952" s="1" t="s">
        <v>20</v>
      </c>
      <c r="D3952" s="1" t="s">
        <v>21</v>
      </c>
      <c r="E3952" s="1" t="s">
        <v>76</v>
      </c>
      <c r="F3952" s="1">
        <v>648.5</v>
      </c>
      <c r="G3952" s="1">
        <v>192.16</v>
      </c>
      <c r="H3952" s="1">
        <v>7.0</v>
      </c>
      <c r="I3952" s="1" t="s">
        <v>23</v>
      </c>
      <c r="J3952" s="1" t="s">
        <v>35</v>
      </c>
      <c r="K3952" s="1">
        <f t="shared" si="1"/>
        <v>2022</v>
      </c>
      <c r="L3952" s="1" t="str">
        <f t="shared" si="2"/>
        <v>Nov</v>
      </c>
      <c r="M3952" s="1" t="str">
        <f t="shared" si="3"/>
        <v>Profit</v>
      </c>
    </row>
    <row r="3953" ht="14.25" customHeight="1">
      <c r="A3953" s="1" t="s">
        <v>3987</v>
      </c>
      <c r="B3953" s="2">
        <v>44921.0</v>
      </c>
      <c r="C3953" s="1" t="s">
        <v>20</v>
      </c>
      <c r="D3953" s="1" t="s">
        <v>15</v>
      </c>
      <c r="E3953" s="1" t="s">
        <v>31</v>
      </c>
      <c r="F3953" s="1">
        <v>697.26</v>
      </c>
      <c r="G3953" s="1">
        <v>-68.66</v>
      </c>
      <c r="H3953" s="1">
        <v>9.0</v>
      </c>
      <c r="I3953" s="1" t="s">
        <v>23</v>
      </c>
      <c r="J3953" s="1" t="s">
        <v>24</v>
      </c>
      <c r="K3953" s="1">
        <f t="shared" si="1"/>
        <v>2022</v>
      </c>
      <c r="L3953" s="1" t="str">
        <f t="shared" si="2"/>
        <v>Dec</v>
      </c>
      <c r="M3953" s="1" t="str">
        <f t="shared" si="3"/>
        <v>Loss</v>
      </c>
    </row>
    <row r="3954" ht="14.25" customHeight="1">
      <c r="A3954" s="1" t="s">
        <v>3988</v>
      </c>
      <c r="B3954" s="2">
        <v>44234.0</v>
      </c>
      <c r="C3954" s="1" t="s">
        <v>14</v>
      </c>
      <c r="D3954" s="1" t="s">
        <v>21</v>
      </c>
      <c r="E3954" s="1" t="s">
        <v>37</v>
      </c>
      <c r="F3954" s="1">
        <v>103.51</v>
      </c>
      <c r="G3954" s="1">
        <v>55.47</v>
      </c>
      <c r="H3954" s="1">
        <v>1.0</v>
      </c>
      <c r="I3954" s="1" t="s">
        <v>17</v>
      </c>
      <c r="J3954" s="1" t="s">
        <v>24</v>
      </c>
      <c r="K3954" s="1">
        <f t="shared" si="1"/>
        <v>2021</v>
      </c>
      <c r="L3954" s="1" t="str">
        <f t="shared" si="2"/>
        <v>Feb</v>
      </c>
      <c r="M3954" s="1" t="str">
        <f t="shared" si="3"/>
        <v>Profit</v>
      </c>
    </row>
    <row r="3955" ht="14.25" customHeight="1">
      <c r="A3955" s="1" t="s">
        <v>3989</v>
      </c>
      <c r="B3955" s="2">
        <v>44621.0</v>
      </c>
      <c r="C3955" s="1" t="s">
        <v>30</v>
      </c>
      <c r="D3955" s="1" t="s">
        <v>15</v>
      </c>
      <c r="E3955" s="1" t="s">
        <v>16</v>
      </c>
      <c r="F3955" s="1">
        <v>113.08</v>
      </c>
      <c r="G3955" s="1">
        <v>28.39</v>
      </c>
      <c r="H3955" s="1">
        <v>3.0</v>
      </c>
      <c r="I3955" s="1" t="s">
        <v>34</v>
      </c>
      <c r="J3955" s="1" t="s">
        <v>38</v>
      </c>
      <c r="K3955" s="1">
        <f t="shared" si="1"/>
        <v>2022</v>
      </c>
      <c r="L3955" s="1" t="str">
        <f t="shared" si="2"/>
        <v>Mar</v>
      </c>
      <c r="M3955" s="1" t="str">
        <f t="shared" si="3"/>
        <v>Profit</v>
      </c>
    </row>
    <row r="3956" ht="14.25" customHeight="1">
      <c r="A3956" s="1" t="s">
        <v>3990</v>
      </c>
      <c r="B3956" s="2">
        <v>44858.0</v>
      </c>
      <c r="C3956" s="1" t="s">
        <v>26</v>
      </c>
      <c r="D3956" s="1" t="s">
        <v>15</v>
      </c>
      <c r="E3956" s="1" t="s">
        <v>16</v>
      </c>
      <c r="F3956" s="1">
        <v>617.07</v>
      </c>
      <c r="G3956" s="1">
        <v>12.0</v>
      </c>
      <c r="H3956" s="1">
        <v>2.0</v>
      </c>
      <c r="I3956" s="1" t="s">
        <v>34</v>
      </c>
      <c r="J3956" s="1" t="s">
        <v>35</v>
      </c>
      <c r="K3956" s="1">
        <f t="shared" si="1"/>
        <v>2022</v>
      </c>
      <c r="L3956" s="1" t="str">
        <f t="shared" si="2"/>
        <v>Oct</v>
      </c>
      <c r="M3956" s="1" t="str">
        <f t="shared" si="3"/>
        <v>Profit</v>
      </c>
    </row>
    <row r="3957" ht="14.25" customHeight="1">
      <c r="A3957" s="1" t="s">
        <v>3991</v>
      </c>
      <c r="B3957" s="2">
        <v>44368.0</v>
      </c>
      <c r="C3957" s="1" t="s">
        <v>20</v>
      </c>
      <c r="D3957" s="1" t="s">
        <v>21</v>
      </c>
      <c r="E3957" s="1" t="s">
        <v>76</v>
      </c>
      <c r="F3957" s="1">
        <v>642.03</v>
      </c>
      <c r="G3957" s="1">
        <v>-156.68</v>
      </c>
      <c r="H3957" s="1">
        <v>1.0</v>
      </c>
      <c r="I3957" s="1" t="s">
        <v>34</v>
      </c>
      <c r="J3957" s="1" t="s">
        <v>18</v>
      </c>
      <c r="K3957" s="1">
        <f t="shared" si="1"/>
        <v>2021</v>
      </c>
      <c r="L3957" s="1" t="str">
        <f t="shared" si="2"/>
        <v>Jun</v>
      </c>
      <c r="M3957" s="1" t="str">
        <f t="shared" si="3"/>
        <v>Loss</v>
      </c>
    </row>
    <row r="3958" ht="14.25" customHeight="1">
      <c r="A3958" s="1" t="s">
        <v>3992</v>
      </c>
      <c r="B3958" s="2">
        <v>44340.0</v>
      </c>
      <c r="C3958" s="1" t="s">
        <v>14</v>
      </c>
      <c r="D3958" s="1" t="s">
        <v>27</v>
      </c>
      <c r="E3958" s="1" t="s">
        <v>40</v>
      </c>
      <c r="F3958" s="1">
        <v>712.22</v>
      </c>
      <c r="G3958" s="1">
        <v>-48.69</v>
      </c>
      <c r="H3958" s="1">
        <v>2.0</v>
      </c>
      <c r="I3958" s="1" t="s">
        <v>34</v>
      </c>
      <c r="J3958" s="1" t="s">
        <v>38</v>
      </c>
      <c r="K3958" s="1">
        <f t="shared" si="1"/>
        <v>2021</v>
      </c>
      <c r="L3958" s="1" t="str">
        <f t="shared" si="2"/>
        <v>May</v>
      </c>
      <c r="M3958" s="1" t="str">
        <f t="shared" si="3"/>
        <v>Loss</v>
      </c>
    </row>
    <row r="3959" ht="14.25" customHeight="1">
      <c r="A3959" s="1" t="s">
        <v>3993</v>
      </c>
      <c r="B3959" s="2">
        <v>44607.0</v>
      </c>
      <c r="C3959" s="1" t="s">
        <v>20</v>
      </c>
      <c r="D3959" s="1" t="s">
        <v>27</v>
      </c>
      <c r="E3959" s="1" t="s">
        <v>40</v>
      </c>
      <c r="F3959" s="1">
        <v>182.46</v>
      </c>
      <c r="G3959" s="1">
        <v>71.58</v>
      </c>
      <c r="H3959" s="1">
        <v>6.0</v>
      </c>
      <c r="I3959" s="1" t="s">
        <v>23</v>
      </c>
      <c r="J3959" s="1" t="s">
        <v>38</v>
      </c>
      <c r="K3959" s="1">
        <f t="shared" si="1"/>
        <v>2022</v>
      </c>
      <c r="L3959" s="1" t="str">
        <f t="shared" si="2"/>
        <v>Feb</v>
      </c>
      <c r="M3959" s="1" t="str">
        <f t="shared" si="3"/>
        <v>Profit</v>
      </c>
    </row>
    <row r="3960" ht="14.25" customHeight="1">
      <c r="A3960" s="1" t="s">
        <v>3994</v>
      </c>
      <c r="B3960" s="2">
        <v>44370.0</v>
      </c>
      <c r="C3960" s="1" t="s">
        <v>26</v>
      </c>
      <c r="D3960" s="1" t="s">
        <v>21</v>
      </c>
      <c r="E3960" s="1" t="s">
        <v>22</v>
      </c>
      <c r="F3960" s="1">
        <v>256.29</v>
      </c>
      <c r="G3960" s="1">
        <v>-154.2</v>
      </c>
      <c r="H3960" s="1">
        <v>1.0</v>
      </c>
      <c r="I3960" s="1" t="s">
        <v>17</v>
      </c>
      <c r="J3960" s="1" t="s">
        <v>18</v>
      </c>
      <c r="K3960" s="1">
        <f t="shared" si="1"/>
        <v>2021</v>
      </c>
      <c r="L3960" s="1" t="str">
        <f t="shared" si="2"/>
        <v>Jun</v>
      </c>
      <c r="M3960" s="1" t="str">
        <f t="shared" si="3"/>
        <v>Loss</v>
      </c>
    </row>
    <row r="3961" ht="14.25" customHeight="1">
      <c r="A3961" s="1" t="s">
        <v>3995</v>
      </c>
      <c r="B3961" s="2">
        <v>44325.0</v>
      </c>
      <c r="C3961" s="1" t="s">
        <v>26</v>
      </c>
      <c r="D3961" s="1" t="s">
        <v>15</v>
      </c>
      <c r="E3961" s="1" t="s">
        <v>54</v>
      </c>
      <c r="F3961" s="1">
        <v>436.6</v>
      </c>
      <c r="G3961" s="1">
        <v>215.82</v>
      </c>
      <c r="H3961" s="1">
        <v>3.0</v>
      </c>
      <c r="I3961" s="1" t="s">
        <v>17</v>
      </c>
      <c r="J3961" s="1" t="s">
        <v>38</v>
      </c>
      <c r="K3961" s="1">
        <f t="shared" si="1"/>
        <v>2021</v>
      </c>
      <c r="L3961" s="1" t="str">
        <f t="shared" si="2"/>
        <v>May</v>
      </c>
      <c r="M3961" s="1" t="str">
        <f t="shared" si="3"/>
        <v>Profit</v>
      </c>
    </row>
    <row r="3962" ht="14.25" customHeight="1">
      <c r="A3962" s="1" t="s">
        <v>3996</v>
      </c>
      <c r="B3962" s="2">
        <v>44567.0</v>
      </c>
      <c r="C3962" s="1" t="s">
        <v>30</v>
      </c>
      <c r="D3962" s="1" t="s">
        <v>15</v>
      </c>
      <c r="E3962" s="1" t="s">
        <v>54</v>
      </c>
      <c r="F3962" s="1">
        <v>442.91</v>
      </c>
      <c r="G3962" s="1">
        <v>201.98</v>
      </c>
      <c r="H3962" s="1">
        <v>5.0</v>
      </c>
      <c r="I3962" s="1" t="s">
        <v>17</v>
      </c>
      <c r="J3962" s="1" t="s">
        <v>24</v>
      </c>
      <c r="K3962" s="1">
        <f t="shared" si="1"/>
        <v>2022</v>
      </c>
      <c r="L3962" s="1" t="str">
        <f t="shared" si="2"/>
        <v>Jan</v>
      </c>
      <c r="M3962" s="1" t="str">
        <f t="shared" si="3"/>
        <v>Profit</v>
      </c>
    </row>
    <row r="3963" ht="14.25" customHeight="1">
      <c r="A3963" s="1" t="s">
        <v>3997</v>
      </c>
      <c r="B3963" s="2">
        <v>44587.0</v>
      </c>
      <c r="C3963" s="1" t="s">
        <v>30</v>
      </c>
      <c r="D3963" s="1" t="s">
        <v>21</v>
      </c>
      <c r="E3963" s="1" t="s">
        <v>22</v>
      </c>
      <c r="F3963" s="1">
        <v>268.19</v>
      </c>
      <c r="G3963" s="1">
        <v>-125.14</v>
      </c>
      <c r="H3963" s="1">
        <v>2.0</v>
      </c>
      <c r="I3963" s="1" t="s">
        <v>17</v>
      </c>
      <c r="J3963" s="1" t="s">
        <v>38</v>
      </c>
      <c r="K3963" s="1">
        <f t="shared" si="1"/>
        <v>2022</v>
      </c>
      <c r="L3963" s="1" t="str">
        <f t="shared" si="2"/>
        <v>Jan</v>
      </c>
      <c r="M3963" s="1" t="str">
        <f t="shared" si="3"/>
        <v>Loss</v>
      </c>
    </row>
    <row r="3964" ht="14.25" customHeight="1">
      <c r="A3964" s="1" t="s">
        <v>3998</v>
      </c>
      <c r="B3964" s="2">
        <v>44322.0</v>
      </c>
      <c r="C3964" s="1" t="s">
        <v>20</v>
      </c>
      <c r="D3964" s="1" t="s">
        <v>21</v>
      </c>
      <c r="E3964" s="1" t="s">
        <v>76</v>
      </c>
      <c r="F3964" s="1">
        <v>58.38</v>
      </c>
      <c r="G3964" s="1">
        <v>57.57</v>
      </c>
      <c r="H3964" s="1">
        <v>4.0</v>
      </c>
      <c r="I3964" s="1" t="s">
        <v>23</v>
      </c>
      <c r="J3964" s="1" t="s">
        <v>24</v>
      </c>
      <c r="K3964" s="1">
        <f t="shared" si="1"/>
        <v>2021</v>
      </c>
      <c r="L3964" s="1" t="str">
        <f t="shared" si="2"/>
        <v>May</v>
      </c>
      <c r="M3964" s="1" t="str">
        <f t="shared" si="3"/>
        <v>Profit</v>
      </c>
    </row>
    <row r="3965" ht="14.25" customHeight="1">
      <c r="A3965" s="1" t="s">
        <v>3999</v>
      </c>
      <c r="B3965" s="2">
        <v>44872.0</v>
      </c>
      <c r="C3965" s="1" t="s">
        <v>26</v>
      </c>
      <c r="D3965" s="1" t="s">
        <v>27</v>
      </c>
      <c r="E3965" s="1" t="s">
        <v>33</v>
      </c>
      <c r="F3965" s="1">
        <v>925.89</v>
      </c>
      <c r="G3965" s="1">
        <v>240.19</v>
      </c>
      <c r="H3965" s="1">
        <v>7.0</v>
      </c>
      <c r="I3965" s="1" t="s">
        <v>17</v>
      </c>
      <c r="J3965" s="1" t="s">
        <v>38</v>
      </c>
      <c r="K3965" s="1">
        <f t="shared" si="1"/>
        <v>2022</v>
      </c>
      <c r="L3965" s="1" t="str">
        <f t="shared" si="2"/>
        <v>Nov</v>
      </c>
      <c r="M3965" s="1" t="str">
        <f t="shared" si="3"/>
        <v>Profit</v>
      </c>
    </row>
    <row r="3966" ht="14.25" customHeight="1">
      <c r="A3966" s="1" t="s">
        <v>4000</v>
      </c>
      <c r="B3966" s="2">
        <v>45250.0</v>
      </c>
      <c r="C3966" s="1" t="s">
        <v>20</v>
      </c>
      <c r="D3966" s="1" t="s">
        <v>27</v>
      </c>
      <c r="E3966" s="1" t="s">
        <v>40</v>
      </c>
      <c r="F3966" s="1">
        <v>249.47</v>
      </c>
      <c r="G3966" s="1">
        <v>-158.82</v>
      </c>
      <c r="H3966" s="1">
        <v>5.0</v>
      </c>
      <c r="I3966" s="1" t="s">
        <v>34</v>
      </c>
      <c r="J3966" s="1" t="s">
        <v>18</v>
      </c>
      <c r="K3966" s="1">
        <f t="shared" si="1"/>
        <v>2023</v>
      </c>
      <c r="L3966" s="1" t="str">
        <f t="shared" si="2"/>
        <v>Nov</v>
      </c>
      <c r="M3966" s="1" t="str">
        <f t="shared" si="3"/>
        <v>Loss</v>
      </c>
    </row>
    <row r="3967" ht="14.25" customHeight="1">
      <c r="A3967" s="1" t="s">
        <v>4001</v>
      </c>
      <c r="B3967" s="2">
        <v>44919.0</v>
      </c>
      <c r="C3967" s="1" t="s">
        <v>14</v>
      </c>
      <c r="D3967" s="1" t="s">
        <v>27</v>
      </c>
      <c r="E3967" s="1" t="s">
        <v>33</v>
      </c>
      <c r="F3967" s="1">
        <v>261.97</v>
      </c>
      <c r="G3967" s="1">
        <v>-32.57</v>
      </c>
      <c r="H3967" s="1">
        <v>1.0</v>
      </c>
      <c r="I3967" s="1" t="s">
        <v>17</v>
      </c>
      <c r="J3967" s="1" t="s">
        <v>38</v>
      </c>
      <c r="K3967" s="1">
        <f t="shared" si="1"/>
        <v>2022</v>
      </c>
      <c r="L3967" s="1" t="str">
        <f t="shared" si="2"/>
        <v>Dec</v>
      </c>
      <c r="M3967" s="1" t="str">
        <f t="shared" si="3"/>
        <v>Loss</v>
      </c>
    </row>
    <row r="3968" ht="14.25" customHeight="1">
      <c r="A3968" s="1" t="s">
        <v>4002</v>
      </c>
      <c r="B3968" s="2">
        <v>44793.0</v>
      </c>
      <c r="C3968" s="1" t="s">
        <v>20</v>
      </c>
      <c r="D3968" s="1" t="s">
        <v>21</v>
      </c>
      <c r="E3968" s="1" t="s">
        <v>76</v>
      </c>
      <c r="F3968" s="1">
        <v>186.85</v>
      </c>
      <c r="G3968" s="1">
        <v>-17.0</v>
      </c>
      <c r="H3968" s="1">
        <v>5.0</v>
      </c>
      <c r="I3968" s="1" t="s">
        <v>23</v>
      </c>
      <c r="J3968" s="1" t="s">
        <v>35</v>
      </c>
      <c r="K3968" s="1">
        <f t="shared" si="1"/>
        <v>2022</v>
      </c>
      <c r="L3968" s="1" t="str">
        <f t="shared" si="2"/>
        <v>Aug</v>
      </c>
      <c r="M3968" s="1" t="str">
        <f t="shared" si="3"/>
        <v>Loss</v>
      </c>
    </row>
    <row r="3969" ht="14.25" customHeight="1">
      <c r="A3969" s="1" t="s">
        <v>4003</v>
      </c>
      <c r="B3969" s="2">
        <v>44673.0</v>
      </c>
      <c r="C3969" s="1" t="s">
        <v>30</v>
      </c>
      <c r="D3969" s="1" t="s">
        <v>21</v>
      </c>
      <c r="E3969" s="1" t="s">
        <v>22</v>
      </c>
      <c r="F3969" s="1">
        <v>524.39</v>
      </c>
      <c r="G3969" s="1">
        <v>89.04</v>
      </c>
      <c r="H3969" s="1">
        <v>2.0</v>
      </c>
      <c r="I3969" s="1" t="s">
        <v>17</v>
      </c>
      <c r="J3969" s="1" t="s">
        <v>35</v>
      </c>
      <c r="K3969" s="1">
        <f t="shared" si="1"/>
        <v>2022</v>
      </c>
      <c r="L3969" s="1" t="str">
        <f t="shared" si="2"/>
        <v>Apr</v>
      </c>
      <c r="M3969" s="1" t="str">
        <f t="shared" si="3"/>
        <v>Profit</v>
      </c>
    </row>
    <row r="3970" ht="14.25" customHeight="1">
      <c r="A3970" s="1" t="s">
        <v>4004</v>
      </c>
      <c r="B3970" s="2">
        <v>45199.0</v>
      </c>
      <c r="C3970" s="1" t="s">
        <v>26</v>
      </c>
      <c r="D3970" s="1" t="s">
        <v>27</v>
      </c>
      <c r="E3970" s="1" t="s">
        <v>33</v>
      </c>
      <c r="F3970" s="1">
        <v>852.44</v>
      </c>
      <c r="G3970" s="1">
        <v>75.56</v>
      </c>
      <c r="H3970" s="1">
        <v>4.0</v>
      </c>
      <c r="I3970" s="1" t="s">
        <v>23</v>
      </c>
      <c r="J3970" s="1" t="s">
        <v>18</v>
      </c>
      <c r="K3970" s="1">
        <f t="shared" si="1"/>
        <v>2023</v>
      </c>
      <c r="L3970" s="1" t="str">
        <f t="shared" si="2"/>
        <v>Sep</v>
      </c>
      <c r="M3970" s="1" t="str">
        <f t="shared" si="3"/>
        <v>Profit</v>
      </c>
    </row>
    <row r="3971" ht="14.25" customHeight="1">
      <c r="A3971" s="1" t="s">
        <v>4005</v>
      </c>
      <c r="B3971" s="2">
        <v>44488.0</v>
      </c>
      <c r="C3971" s="1" t="s">
        <v>26</v>
      </c>
      <c r="D3971" s="1" t="s">
        <v>15</v>
      </c>
      <c r="E3971" s="1" t="s">
        <v>16</v>
      </c>
      <c r="F3971" s="1">
        <v>856.12</v>
      </c>
      <c r="G3971" s="1">
        <v>-157.44</v>
      </c>
      <c r="H3971" s="1">
        <v>10.0</v>
      </c>
      <c r="I3971" s="1" t="s">
        <v>23</v>
      </c>
      <c r="J3971" s="1" t="s">
        <v>18</v>
      </c>
      <c r="K3971" s="1">
        <f t="shared" si="1"/>
        <v>2021</v>
      </c>
      <c r="L3971" s="1" t="str">
        <f t="shared" si="2"/>
        <v>Oct</v>
      </c>
      <c r="M3971" s="1" t="str">
        <f t="shared" si="3"/>
        <v>Loss</v>
      </c>
    </row>
    <row r="3972" ht="14.25" customHeight="1">
      <c r="A3972" s="1" t="s">
        <v>4006</v>
      </c>
      <c r="B3972" s="2">
        <v>44647.0</v>
      </c>
      <c r="C3972" s="1" t="s">
        <v>30</v>
      </c>
      <c r="D3972" s="1" t="s">
        <v>15</v>
      </c>
      <c r="E3972" s="1" t="s">
        <v>31</v>
      </c>
      <c r="F3972" s="1">
        <v>447.11</v>
      </c>
      <c r="G3972" s="1">
        <v>285.49</v>
      </c>
      <c r="H3972" s="1">
        <v>9.0</v>
      </c>
      <c r="I3972" s="1" t="s">
        <v>17</v>
      </c>
      <c r="J3972" s="1" t="s">
        <v>24</v>
      </c>
      <c r="K3972" s="1">
        <f t="shared" si="1"/>
        <v>2022</v>
      </c>
      <c r="L3972" s="1" t="str">
        <f t="shared" si="2"/>
        <v>Mar</v>
      </c>
      <c r="M3972" s="1" t="str">
        <f t="shared" si="3"/>
        <v>Profit</v>
      </c>
    </row>
    <row r="3973" ht="14.25" customHeight="1">
      <c r="A3973" s="1" t="s">
        <v>4007</v>
      </c>
      <c r="B3973" s="2">
        <v>44302.0</v>
      </c>
      <c r="C3973" s="1" t="s">
        <v>14</v>
      </c>
      <c r="D3973" s="1" t="s">
        <v>15</v>
      </c>
      <c r="E3973" s="1" t="s">
        <v>16</v>
      </c>
      <c r="F3973" s="1">
        <v>646.36</v>
      </c>
      <c r="G3973" s="1">
        <v>60.27</v>
      </c>
      <c r="H3973" s="1">
        <v>7.0</v>
      </c>
      <c r="I3973" s="1" t="s">
        <v>23</v>
      </c>
      <c r="J3973" s="1" t="s">
        <v>38</v>
      </c>
      <c r="K3973" s="1">
        <f t="shared" si="1"/>
        <v>2021</v>
      </c>
      <c r="L3973" s="1" t="str">
        <f t="shared" si="2"/>
        <v>Apr</v>
      </c>
      <c r="M3973" s="1" t="str">
        <f t="shared" si="3"/>
        <v>Profit</v>
      </c>
    </row>
    <row r="3974" ht="14.25" customHeight="1">
      <c r="A3974" s="1" t="s">
        <v>4008</v>
      </c>
      <c r="B3974" s="2">
        <v>44444.0</v>
      </c>
      <c r="C3974" s="1" t="s">
        <v>26</v>
      </c>
      <c r="D3974" s="1" t="s">
        <v>15</v>
      </c>
      <c r="E3974" s="1" t="s">
        <v>31</v>
      </c>
      <c r="F3974" s="1">
        <v>208.15</v>
      </c>
      <c r="G3974" s="1">
        <v>-158.68</v>
      </c>
      <c r="H3974" s="1">
        <v>1.0</v>
      </c>
      <c r="I3974" s="1" t="s">
        <v>17</v>
      </c>
      <c r="J3974" s="1" t="s">
        <v>24</v>
      </c>
      <c r="K3974" s="1">
        <f t="shared" si="1"/>
        <v>2021</v>
      </c>
      <c r="L3974" s="1" t="str">
        <f t="shared" si="2"/>
        <v>Sep</v>
      </c>
      <c r="M3974" s="1" t="str">
        <f t="shared" si="3"/>
        <v>Loss</v>
      </c>
    </row>
    <row r="3975" ht="14.25" customHeight="1">
      <c r="A3975" s="1" t="s">
        <v>4009</v>
      </c>
      <c r="B3975" s="2">
        <v>44990.0</v>
      </c>
      <c r="C3975" s="1" t="s">
        <v>20</v>
      </c>
      <c r="D3975" s="1" t="s">
        <v>21</v>
      </c>
      <c r="E3975" s="1" t="s">
        <v>22</v>
      </c>
      <c r="F3975" s="1">
        <v>161.04</v>
      </c>
      <c r="G3975" s="1">
        <v>88.56</v>
      </c>
      <c r="H3975" s="1">
        <v>9.0</v>
      </c>
      <c r="I3975" s="1" t="s">
        <v>34</v>
      </c>
      <c r="J3975" s="1" t="s">
        <v>24</v>
      </c>
      <c r="K3975" s="1">
        <f t="shared" si="1"/>
        <v>2023</v>
      </c>
      <c r="L3975" s="1" t="str">
        <f t="shared" si="2"/>
        <v>Mar</v>
      </c>
      <c r="M3975" s="1" t="str">
        <f t="shared" si="3"/>
        <v>Profit</v>
      </c>
    </row>
    <row r="3976" ht="14.25" customHeight="1">
      <c r="A3976" s="1" t="s">
        <v>4010</v>
      </c>
      <c r="B3976" s="2">
        <v>45283.0</v>
      </c>
      <c r="C3976" s="1" t="s">
        <v>30</v>
      </c>
      <c r="D3976" s="1" t="s">
        <v>15</v>
      </c>
      <c r="E3976" s="1" t="s">
        <v>31</v>
      </c>
      <c r="F3976" s="1">
        <v>680.32</v>
      </c>
      <c r="G3976" s="1">
        <v>83.59</v>
      </c>
      <c r="H3976" s="1">
        <v>3.0</v>
      </c>
      <c r="I3976" s="1" t="s">
        <v>17</v>
      </c>
      <c r="J3976" s="1" t="s">
        <v>18</v>
      </c>
      <c r="K3976" s="1">
        <f t="shared" si="1"/>
        <v>2023</v>
      </c>
      <c r="L3976" s="1" t="str">
        <f t="shared" si="2"/>
        <v>Dec</v>
      </c>
      <c r="M3976" s="1" t="str">
        <f t="shared" si="3"/>
        <v>Profit</v>
      </c>
    </row>
    <row r="3977" ht="14.25" customHeight="1">
      <c r="A3977" s="1" t="s">
        <v>4011</v>
      </c>
      <c r="B3977" s="2">
        <v>44418.0</v>
      </c>
      <c r="C3977" s="1" t="s">
        <v>20</v>
      </c>
      <c r="D3977" s="1" t="s">
        <v>21</v>
      </c>
      <c r="E3977" s="1" t="s">
        <v>37</v>
      </c>
      <c r="F3977" s="1">
        <v>849.43</v>
      </c>
      <c r="G3977" s="1">
        <v>192.04</v>
      </c>
      <c r="H3977" s="1">
        <v>2.0</v>
      </c>
      <c r="I3977" s="1" t="s">
        <v>23</v>
      </c>
      <c r="J3977" s="1" t="s">
        <v>35</v>
      </c>
      <c r="K3977" s="1">
        <f t="shared" si="1"/>
        <v>2021</v>
      </c>
      <c r="L3977" s="1" t="str">
        <f t="shared" si="2"/>
        <v>Aug</v>
      </c>
      <c r="M3977" s="1" t="str">
        <f t="shared" si="3"/>
        <v>Profit</v>
      </c>
    </row>
    <row r="3978" ht="14.25" customHeight="1">
      <c r="A3978" s="1" t="s">
        <v>4012</v>
      </c>
      <c r="B3978" s="2">
        <v>44991.0</v>
      </c>
      <c r="C3978" s="1" t="s">
        <v>14</v>
      </c>
      <c r="D3978" s="1" t="s">
        <v>27</v>
      </c>
      <c r="E3978" s="1" t="s">
        <v>40</v>
      </c>
      <c r="F3978" s="1">
        <v>507.93</v>
      </c>
      <c r="G3978" s="1">
        <v>10.14</v>
      </c>
      <c r="H3978" s="1">
        <v>10.0</v>
      </c>
      <c r="I3978" s="1" t="s">
        <v>17</v>
      </c>
      <c r="J3978" s="1" t="s">
        <v>38</v>
      </c>
      <c r="K3978" s="1">
        <f t="shared" si="1"/>
        <v>2023</v>
      </c>
      <c r="L3978" s="1" t="str">
        <f t="shared" si="2"/>
        <v>Mar</v>
      </c>
      <c r="M3978" s="1" t="str">
        <f t="shared" si="3"/>
        <v>Profit</v>
      </c>
    </row>
    <row r="3979" ht="14.25" customHeight="1">
      <c r="A3979" s="1" t="s">
        <v>4013</v>
      </c>
      <c r="B3979" s="2">
        <v>44375.0</v>
      </c>
      <c r="C3979" s="1" t="s">
        <v>20</v>
      </c>
      <c r="D3979" s="1" t="s">
        <v>15</v>
      </c>
      <c r="E3979" s="1" t="s">
        <v>16</v>
      </c>
      <c r="F3979" s="1">
        <v>721.45</v>
      </c>
      <c r="G3979" s="1">
        <v>-164.65</v>
      </c>
      <c r="H3979" s="1">
        <v>10.0</v>
      </c>
      <c r="I3979" s="1" t="s">
        <v>23</v>
      </c>
      <c r="J3979" s="1" t="s">
        <v>38</v>
      </c>
      <c r="K3979" s="1">
        <f t="shared" si="1"/>
        <v>2021</v>
      </c>
      <c r="L3979" s="1" t="str">
        <f t="shared" si="2"/>
        <v>Jun</v>
      </c>
      <c r="M3979" s="1" t="str">
        <f t="shared" si="3"/>
        <v>Loss</v>
      </c>
    </row>
    <row r="3980" ht="14.25" customHeight="1">
      <c r="A3980" s="1" t="s">
        <v>4014</v>
      </c>
      <c r="B3980" s="2">
        <v>45184.0</v>
      </c>
      <c r="C3980" s="1" t="s">
        <v>30</v>
      </c>
      <c r="D3980" s="1" t="s">
        <v>21</v>
      </c>
      <c r="E3980" s="1" t="s">
        <v>76</v>
      </c>
      <c r="F3980" s="1">
        <v>222.97</v>
      </c>
      <c r="G3980" s="1">
        <v>-156.13</v>
      </c>
      <c r="H3980" s="1">
        <v>4.0</v>
      </c>
      <c r="I3980" s="1" t="s">
        <v>17</v>
      </c>
      <c r="J3980" s="1" t="s">
        <v>38</v>
      </c>
      <c r="K3980" s="1">
        <f t="shared" si="1"/>
        <v>2023</v>
      </c>
      <c r="L3980" s="1" t="str">
        <f t="shared" si="2"/>
        <v>Sep</v>
      </c>
      <c r="M3980" s="1" t="str">
        <f t="shared" si="3"/>
        <v>Loss</v>
      </c>
    </row>
    <row r="3981" ht="14.25" customHeight="1">
      <c r="A3981" s="1" t="s">
        <v>4015</v>
      </c>
      <c r="B3981" s="2">
        <v>45275.0</v>
      </c>
      <c r="C3981" s="1" t="s">
        <v>26</v>
      </c>
      <c r="D3981" s="1" t="s">
        <v>27</v>
      </c>
      <c r="E3981" s="1" t="s">
        <v>40</v>
      </c>
      <c r="F3981" s="1">
        <v>359.85</v>
      </c>
      <c r="G3981" s="1">
        <v>49.41</v>
      </c>
      <c r="H3981" s="1">
        <v>6.0</v>
      </c>
      <c r="I3981" s="1" t="s">
        <v>17</v>
      </c>
      <c r="J3981" s="1" t="s">
        <v>35</v>
      </c>
      <c r="K3981" s="1">
        <f t="shared" si="1"/>
        <v>2023</v>
      </c>
      <c r="L3981" s="1" t="str">
        <f t="shared" si="2"/>
        <v>Dec</v>
      </c>
      <c r="M3981" s="1" t="str">
        <f t="shared" si="3"/>
        <v>Profit</v>
      </c>
    </row>
    <row r="3982" ht="14.25" customHeight="1">
      <c r="A3982" s="1" t="s">
        <v>4016</v>
      </c>
      <c r="B3982" s="2">
        <v>44569.0</v>
      </c>
      <c r="C3982" s="1" t="s">
        <v>30</v>
      </c>
      <c r="D3982" s="1" t="s">
        <v>15</v>
      </c>
      <c r="E3982" s="1" t="s">
        <v>31</v>
      </c>
      <c r="F3982" s="1">
        <v>87.56</v>
      </c>
      <c r="G3982" s="1">
        <v>-93.86</v>
      </c>
      <c r="H3982" s="1">
        <v>7.0</v>
      </c>
      <c r="I3982" s="1" t="s">
        <v>17</v>
      </c>
      <c r="J3982" s="1" t="s">
        <v>24</v>
      </c>
      <c r="K3982" s="1">
        <f t="shared" si="1"/>
        <v>2022</v>
      </c>
      <c r="L3982" s="1" t="str">
        <f t="shared" si="2"/>
        <v>Jan</v>
      </c>
      <c r="M3982" s="1" t="str">
        <f t="shared" si="3"/>
        <v>Loss</v>
      </c>
    </row>
    <row r="3983" ht="14.25" customHeight="1">
      <c r="A3983" s="1" t="s">
        <v>4017</v>
      </c>
      <c r="B3983" s="2">
        <v>44991.0</v>
      </c>
      <c r="C3983" s="1" t="s">
        <v>26</v>
      </c>
      <c r="D3983" s="1" t="s">
        <v>27</v>
      </c>
      <c r="E3983" s="1" t="s">
        <v>33</v>
      </c>
      <c r="F3983" s="1">
        <v>512.65</v>
      </c>
      <c r="G3983" s="1">
        <v>293.08</v>
      </c>
      <c r="H3983" s="1">
        <v>7.0</v>
      </c>
      <c r="I3983" s="1" t="s">
        <v>17</v>
      </c>
      <c r="J3983" s="1" t="s">
        <v>18</v>
      </c>
      <c r="K3983" s="1">
        <f t="shared" si="1"/>
        <v>2023</v>
      </c>
      <c r="L3983" s="1" t="str">
        <f t="shared" si="2"/>
        <v>Mar</v>
      </c>
      <c r="M3983" s="1" t="str">
        <f t="shared" si="3"/>
        <v>Profit</v>
      </c>
    </row>
    <row r="3984" ht="14.25" customHeight="1">
      <c r="A3984" s="1" t="s">
        <v>4018</v>
      </c>
      <c r="B3984" s="2">
        <v>44550.0</v>
      </c>
      <c r="C3984" s="1" t="s">
        <v>14</v>
      </c>
      <c r="D3984" s="1" t="s">
        <v>21</v>
      </c>
      <c r="E3984" s="1" t="s">
        <v>76</v>
      </c>
      <c r="F3984" s="1">
        <v>896.16</v>
      </c>
      <c r="G3984" s="1">
        <v>208.68</v>
      </c>
      <c r="H3984" s="1">
        <v>6.0</v>
      </c>
      <c r="I3984" s="1" t="s">
        <v>23</v>
      </c>
      <c r="J3984" s="1" t="s">
        <v>24</v>
      </c>
      <c r="K3984" s="1">
        <f t="shared" si="1"/>
        <v>2021</v>
      </c>
      <c r="L3984" s="1" t="str">
        <f t="shared" si="2"/>
        <v>Dec</v>
      </c>
      <c r="M3984" s="1" t="str">
        <f t="shared" si="3"/>
        <v>Profit</v>
      </c>
    </row>
    <row r="3985" ht="14.25" customHeight="1">
      <c r="A3985" s="1" t="s">
        <v>4019</v>
      </c>
      <c r="B3985" s="2">
        <v>45188.0</v>
      </c>
      <c r="C3985" s="1" t="s">
        <v>14</v>
      </c>
      <c r="D3985" s="1" t="s">
        <v>15</v>
      </c>
      <c r="E3985" s="1" t="s">
        <v>16</v>
      </c>
      <c r="F3985" s="1">
        <v>269.53</v>
      </c>
      <c r="G3985" s="1">
        <v>38.99</v>
      </c>
      <c r="H3985" s="1">
        <v>8.0</v>
      </c>
      <c r="I3985" s="1" t="s">
        <v>17</v>
      </c>
      <c r="J3985" s="1" t="s">
        <v>38</v>
      </c>
      <c r="K3985" s="1">
        <f t="shared" si="1"/>
        <v>2023</v>
      </c>
      <c r="L3985" s="1" t="str">
        <f t="shared" si="2"/>
        <v>Sep</v>
      </c>
      <c r="M3985" s="1" t="str">
        <f t="shared" si="3"/>
        <v>Profit</v>
      </c>
    </row>
    <row r="3986" ht="14.25" customHeight="1">
      <c r="A3986" s="1" t="s">
        <v>4020</v>
      </c>
      <c r="B3986" s="2">
        <v>45265.0</v>
      </c>
      <c r="C3986" s="1" t="s">
        <v>20</v>
      </c>
      <c r="D3986" s="1" t="s">
        <v>21</v>
      </c>
      <c r="E3986" s="1" t="s">
        <v>22</v>
      </c>
      <c r="F3986" s="1">
        <v>855.72</v>
      </c>
      <c r="G3986" s="1">
        <v>283.61</v>
      </c>
      <c r="H3986" s="1">
        <v>3.0</v>
      </c>
      <c r="I3986" s="1" t="s">
        <v>17</v>
      </c>
      <c r="J3986" s="1" t="s">
        <v>35</v>
      </c>
      <c r="K3986" s="1">
        <f t="shared" si="1"/>
        <v>2023</v>
      </c>
      <c r="L3986" s="1" t="str">
        <f t="shared" si="2"/>
        <v>Dec</v>
      </c>
      <c r="M3986" s="1" t="str">
        <f t="shared" si="3"/>
        <v>Profit</v>
      </c>
    </row>
    <row r="3987" ht="14.25" customHeight="1">
      <c r="A3987" s="1" t="s">
        <v>4021</v>
      </c>
      <c r="B3987" s="2">
        <v>44775.0</v>
      </c>
      <c r="C3987" s="1" t="s">
        <v>30</v>
      </c>
      <c r="D3987" s="1" t="s">
        <v>15</v>
      </c>
      <c r="E3987" s="1" t="s">
        <v>16</v>
      </c>
      <c r="F3987" s="1">
        <v>77.57</v>
      </c>
      <c r="G3987" s="1">
        <v>257.42</v>
      </c>
      <c r="H3987" s="1">
        <v>9.0</v>
      </c>
      <c r="I3987" s="1" t="s">
        <v>23</v>
      </c>
      <c r="J3987" s="1" t="s">
        <v>18</v>
      </c>
      <c r="K3987" s="1">
        <f t="shared" si="1"/>
        <v>2022</v>
      </c>
      <c r="L3987" s="1" t="str">
        <f t="shared" si="2"/>
        <v>Aug</v>
      </c>
      <c r="M3987" s="1" t="str">
        <f t="shared" si="3"/>
        <v>Profit</v>
      </c>
    </row>
    <row r="3988" ht="14.25" customHeight="1">
      <c r="A3988" s="1" t="s">
        <v>4022</v>
      </c>
      <c r="B3988" s="2">
        <v>45070.0</v>
      </c>
      <c r="C3988" s="1" t="s">
        <v>14</v>
      </c>
      <c r="D3988" s="1" t="s">
        <v>21</v>
      </c>
      <c r="E3988" s="1" t="s">
        <v>22</v>
      </c>
      <c r="F3988" s="1">
        <v>897.63</v>
      </c>
      <c r="G3988" s="1">
        <v>113.96</v>
      </c>
      <c r="H3988" s="1">
        <v>1.0</v>
      </c>
      <c r="I3988" s="1" t="s">
        <v>23</v>
      </c>
      <c r="J3988" s="1" t="s">
        <v>18</v>
      </c>
      <c r="K3988" s="1">
        <f t="shared" si="1"/>
        <v>2023</v>
      </c>
      <c r="L3988" s="1" t="str">
        <f t="shared" si="2"/>
        <v>May</v>
      </c>
      <c r="M3988" s="1" t="str">
        <f t="shared" si="3"/>
        <v>Profit</v>
      </c>
    </row>
    <row r="3989" ht="14.25" customHeight="1">
      <c r="A3989" s="1" t="s">
        <v>4023</v>
      </c>
      <c r="B3989" s="2">
        <v>45090.0</v>
      </c>
      <c r="C3989" s="1" t="s">
        <v>20</v>
      </c>
      <c r="D3989" s="1" t="s">
        <v>15</v>
      </c>
      <c r="E3989" s="1" t="s">
        <v>54</v>
      </c>
      <c r="F3989" s="1">
        <v>819.92</v>
      </c>
      <c r="G3989" s="1">
        <v>-152.07</v>
      </c>
      <c r="H3989" s="1">
        <v>10.0</v>
      </c>
      <c r="I3989" s="1" t="s">
        <v>17</v>
      </c>
      <c r="J3989" s="1" t="s">
        <v>35</v>
      </c>
      <c r="K3989" s="1">
        <f t="shared" si="1"/>
        <v>2023</v>
      </c>
      <c r="L3989" s="1" t="str">
        <f t="shared" si="2"/>
        <v>Jun</v>
      </c>
      <c r="M3989" s="1" t="str">
        <f t="shared" si="3"/>
        <v>Loss</v>
      </c>
    </row>
    <row r="3990" ht="14.25" customHeight="1">
      <c r="A3990" s="1" t="s">
        <v>4024</v>
      </c>
      <c r="B3990" s="2">
        <v>44754.0</v>
      </c>
      <c r="C3990" s="1" t="s">
        <v>30</v>
      </c>
      <c r="D3990" s="1" t="s">
        <v>21</v>
      </c>
      <c r="E3990" s="1" t="s">
        <v>37</v>
      </c>
      <c r="F3990" s="1">
        <v>353.24</v>
      </c>
      <c r="G3990" s="1">
        <v>46.64</v>
      </c>
      <c r="H3990" s="1">
        <v>2.0</v>
      </c>
      <c r="I3990" s="1" t="s">
        <v>34</v>
      </c>
      <c r="J3990" s="1" t="s">
        <v>38</v>
      </c>
      <c r="K3990" s="1">
        <f t="shared" si="1"/>
        <v>2022</v>
      </c>
      <c r="L3990" s="1" t="str">
        <f t="shared" si="2"/>
        <v>Jul</v>
      </c>
      <c r="M3990" s="1" t="str">
        <f t="shared" si="3"/>
        <v>Profit</v>
      </c>
    </row>
    <row r="3991" ht="14.25" customHeight="1">
      <c r="A3991" s="1" t="s">
        <v>4025</v>
      </c>
      <c r="B3991" s="2">
        <v>45232.0</v>
      </c>
      <c r="C3991" s="1" t="s">
        <v>26</v>
      </c>
      <c r="D3991" s="1" t="s">
        <v>15</v>
      </c>
      <c r="E3991" s="1" t="s">
        <v>54</v>
      </c>
      <c r="F3991" s="1">
        <v>281.97</v>
      </c>
      <c r="G3991" s="1">
        <v>257.25</v>
      </c>
      <c r="H3991" s="1">
        <v>6.0</v>
      </c>
      <c r="I3991" s="1" t="s">
        <v>34</v>
      </c>
      <c r="J3991" s="1" t="s">
        <v>24</v>
      </c>
      <c r="K3991" s="1">
        <f t="shared" si="1"/>
        <v>2023</v>
      </c>
      <c r="L3991" s="1" t="str">
        <f t="shared" si="2"/>
        <v>Nov</v>
      </c>
      <c r="M3991" s="1" t="str">
        <f t="shared" si="3"/>
        <v>Profit</v>
      </c>
    </row>
    <row r="3992" ht="14.25" customHeight="1">
      <c r="A3992" s="1" t="s">
        <v>4026</v>
      </c>
      <c r="B3992" s="2">
        <v>44699.0</v>
      </c>
      <c r="C3992" s="1" t="s">
        <v>26</v>
      </c>
      <c r="D3992" s="1" t="s">
        <v>15</v>
      </c>
      <c r="E3992" s="1" t="s">
        <v>54</v>
      </c>
      <c r="F3992" s="1">
        <v>313.18</v>
      </c>
      <c r="G3992" s="1">
        <v>139.05</v>
      </c>
      <c r="H3992" s="1">
        <v>5.0</v>
      </c>
      <c r="I3992" s="1" t="s">
        <v>17</v>
      </c>
      <c r="J3992" s="1" t="s">
        <v>38</v>
      </c>
      <c r="K3992" s="1">
        <f t="shared" si="1"/>
        <v>2022</v>
      </c>
      <c r="L3992" s="1" t="str">
        <f t="shared" si="2"/>
        <v>May</v>
      </c>
      <c r="M3992" s="1" t="str">
        <f t="shared" si="3"/>
        <v>Profit</v>
      </c>
    </row>
    <row r="3993" ht="14.25" customHeight="1">
      <c r="A3993" s="1" t="s">
        <v>4027</v>
      </c>
      <c r="B3993" s="2">
        <v>44901.0</v>
      </c>
      <c r="C3993" s="1" t="s">
        <v>26</v>
      </c>
      <c r="D3993" s="1" t="s">
        <v>21</v>
      </c>
      <c r="E3993" s="1" t="s">
        <v>37</v>
      </c>
      <c r="F3993" s="1">
        <v>718.39</v>
      </c>
      <c r="G3993" s="1">
        <v>-85.22</v>
      </c>
      <c r="H3993" s="1">
        <v>2.0</v>
      </c>
      <c r="I3993" s="1" t="s">
        <v>34</v>
      </c>
      <c r="J3993" s="1" t="s">
        <v>35</v>
      </c>
      <c r="K3993" s="1">
        <f t="shared" si="1"/>
        <v>2022</v>
      </c>
      <c r="L3993" s="1" t="str">
        <f t="shared" si="2"/>
        <v>Dec</v>
      </c>
      <c r="M3993" s="1" t="str">
        <f t="shared" si="3"/>
        <v>Loss</v>
      </c>
    </row>
    <row r="3994" ht="14.25" customHeight="1">
      <c r="A3994" s="1" t="s">
        <v>4028</v>
      </c>
      <c r="B3994" s="2">
        <v>44336.0</v>
      </c>
      <c r="C3994" s="1" t="s">
        <v>14</v>
      </c>
      <c r="D3994" s="1" t="s">
        <v>27</v>
      </c>
      <c r="E3994" s="1" t="s">
        <v>28</v>
      </c>
      <c r="F3994" s="1">
        <v>370.95</v>
      </c>
      <c r="G3994" s="1">
        <v>-141.49</v>
      </c>
      <c r="H3994" s="1">
        <v>1.0</v>
      </c>
      <c r="I3994" s="1" t="s">
        <v>34</v>
      </c>
      <c r="J3994" s="1" t="s">
        <v>24</v>
      </c>
      <c r="K3994" s="1">
        <f t="shared" si="1"/>
        <v>2021</v>
      </c>
      <c r="L3994" s="1" t="str">
        <f t="shared" si="2"/>
        <v>May</v>
      </c>
      <c r="M3994" s="1" t="str">
        <f t="shared" si="3"/>
        <v>Loss</v>
      </c>
    </row>
    <row r="3995" ht="14.25" customHeight="1">
      <c r="A3995" s="1" t="s">
        <v>4029</v>
      </c>
      <c r="B3995" s="2">
        <v>45154.0</v>
      </c>
      <c r="C3995" s="1" t="s">
        <v>14</v>
      </c>
      <c r="D3995" s="1" t="s">
        <v>21</v>
      </c>
      <c r="E3995" s="1" t="s">
        <v>76</v>
      </c>
      <c r="F3995" s="1">
        <v>342.36</v>
      </c>
      <c r="G3995" s="1">
        <v>101.79</v>
      </c>
      <c r="H3995" s="1">
        <v>10.0</v>
      </c>
      <c r="I3995" s="1" t="s">
        <v>17</v>
      </c>
      <c r="J3995" s="1" t="s">
        <v>18</v>
      </c>
      <c r="K3995" s="1">
        <f t="shared" si="1"/>
        <v>2023</v>
      </c>
      <c r="L3995" s="1" t="str">
        <f t="shared" si="2"/>
        <v>Aug</v>
      </c>
      <c r="M3995" s="1" t="str">
        <f t="shared" si="3"/>
        <v>Profit</v>
      </c>
    </row>
    <row r="3996" ht="14.25" customHeight="1">
      <c r="A3996" s="1" t="s">
        <v>4030</v>
      </c>
      <c r="B3996" s="2">
        <v>45251.0</v>
      </c>
      <c r="C3996" s="1" t="s">
        <v>26</v>
      </c>
      <c r="D3996" s="1" t="s">
        <v>27</v>
      </c>
      <c r="E3996" s="1" t="s">
        <v>28</v>
      </c>
      <c r="F3996" s="1">
        <v>881.44</v>
      </c>
      <c r="G3996" s="1">
        <v>194.66</v>
      </c>
      <c r="H3996" s="1">
        <v>10.0</v>
      </c>
      <c r="I3996" s="1" t="s">
        <v>17</v>
      </c>
      <c r="J3996" s="1" t="s">
        <v>24</v>
      </c>
      <c r="K3996" s="1">
        <f t="shared" si="1"/>
        <v>2023</v>
      </c>
      <c r="L3996" s="1" t="str">
        <f t="shared" si="2"/>
        <v>Nov</v>
      </c>
      <c r="M3996" s="1" t="str">
        <f t="shared" si="3"/>
        <v>Profit</v>
      </c>
    </row>
    <row r="3997" ht="14.25" customHeight="1">
      <c r="A3997" s="1" t="s">
        <v>4031</v>
      </c>
      <c r="B3997" s="2">
        <v>44381.0</v>
      </c>
      <c r="C3997" s="1" t="s">
        <v>30</v>
      </c>
      <c r="D3997" s="1" t="s">
        <v>27</v>
      </c>
      <c r="E3997" s="1" t="s">
        <v>33</v>
      </c>
      <c r="F3997" s="1">
        <v>632.01</v>
      </c>
      <c r="G3997" s="1">
        <v>-44.56</v>
      </c>
      <c r="H3997" s="1">
        <v>1.0</v>
      </c>
      <c r="I3997" s="1" t="s">
        <v>34</v>
      </c>
      <c r="J3997" s="1" t="s">
        <v>18</v>
      </c>
      <c r="K3997" s="1">
        <f t="shared" si="1"/>
        <v>2021</v>
      </c>
      <c r="L3997" s="1" t="str">
        <f t="shared" si="2"/>
        <v>Jul</v>
      </c>
      <c r="M3997" s="1" t="str">
        <f t="shared" si="3"/>
        <v>Loss</v>
      </c>
    </row>
    <row r="3998" ht="14.25" customHeight="1">
      <c r="A3998" s="1" t="s">
        <v>4032</v>
      </c>
      <c r="B3998" s="2">
        <v>44487.0</v>
      </c>
      <c r="C3998" s="1" t="s">
        <v>20</v>
      </c>
      <c r="D3998" s="1" t="s">
        <v>15</v>
      </c>
      <c r="E3998" s="1" t="s">
        <v>54</v>
      </c>
      <c r="F3998" s="1">
        <v>630.04</v>
      </c>
      <c r="G3998" s="1">
        <v>23.61</v>
      </c>
      <c r="H3998" s="1">
        <v>8.0</v>
      </c>
      <c r="I3998" s="1" t="s">
        <v>34</v>
      </c>
      <c r="J3998" s="1" t="s">
        <v>18</v>
      </c>
      <c r="K3998" s="1">
        <f t="shared" si="1"/>
        <v>2021</v>
      </c>
      <c r="L3998" s="1" t="str">
        <f t="shared" si="2"/>
        <v>Oct</v>
      </c>
      <c r="M3998" s="1" t="str">
        <f t="shared" si="3"/>
        <v>Profit</v>
      </c>
    </row>
    <row r="3999" ht="14.25" customHeight="1">
      <c r="A3999" s="1" t="s">
        <v>4033</v>
      </c>
      <c r="B3999" s="2">
        <v>44803.0</v>
      </c>
      <c r="C3999" s="1" t="s">
        <v>30</v>
      </c>
      <c r="D3999" s="1" t="s">
        <v>21</v>
      </c>
      <c r="E3999" s="1" t="s">
        <v>37</v>
      </c>
      <c r="F3999" s="1">
        <v>867.8</v>
      </c>
      <c r="G3999" s="1">
        <v>109.89</v>
      </c>
      <c r="H3999" s="1">
        <v>1.0</v>
      </c>
      <c r="I3999" s="1" t="s">
        <v>17</v>
      </c>
      <c r="J3999" s="1" t="s">
        <v>35</v>
      </c>
      <c r="K3999" s="1">
        <f t="shared" si="1"/>
        <v>2022</v>
      </c>
      <c r="L3999" s="1" t="str">
        <f t="shared" si="2"/>
        <v>Aug</v>
      </c>
      <c r="M3999" s="1" t="str">
        <f t="shared" si="3"/>
        <v>Profit</v>
      </c>
    </row>
    <row r="4000" ht="14.25" customHeight="1">
      <c r="A4000" s="1" t="s">
        <v>4034</v>
      </c>
      <c r="B4000" s="2">
        <v>44813.0</v>
      </c>
      <c r="C4000" s="1" t="s">
        <v>20</v>
      </c>
      <c r="D4000" s="1" t="s">
        <v>27</v>
      </c>
      <c r="E4000" s="1" t="s">
        <v>33</v>
      </c>
      <c r="F4000" s="1">
        <v>194.1</v>
      </c>
      <c r="G4000" s="1">
        <v>-62.19</v>
      </c>
      <c r="H4000" s="1">
        <v>1.0</v>
      </c>
      <c r="I4000" s="1" t="s">
        <v>17</v>
      </c>
      <c r="J4000" s="1" t="s">
        <v>38</v>
      </c>
      <c r="K4000" s="1">
        <f t="shared" si="1"/>
        <v>2022</v>
      </c>
      <c r="L4000" s="1" t="str">
        <f t="shared" si="2"/>
        <v>Sep</v>
      </c>
      <c r="M4000" s="1" t="str">
        <f t="shared" si="3"/>
        <v>Loss</v>
      </c>
    </row>
    <row r="4001" ht="14.25" customHeight="1">
      <c r="A4001" s="1" t="s">
        <v>4035</v>
      </c>
      <c r="B4001" s="2">
        <v>44905.0</v>
      </c>
      <c r="C4001" s="1" t="s">
        <v>14</v>
      </c>
      <c r="D4001" s="1" t="s">
        <v>21</v>
      </c>
      <c r="E4001" s="1" t="s">
        <v>22</v>
      </c>
      <c r="F4001" s="1">
        <v>185.53</v>
      </c>
      <c r="G4001" s="1">
        <v>173.09</v>
      </c>
      <c r="H4001" s="1">
        <v>2.0</v>
      </c>
      <c r="I4001" s="1" t="s">
        <v>34</v>
      </c>
      <c r="J4001" s="1" t="s">
        <v>18</v>
      </c>
      <c r="K4001" s="1">
        <f t="shared" si="1"/>
        <v>2022</v>
      </c>
      <c r="L4001" s="1" t="str">
        <f t="shared" si="2"/>
        <v>Dec</v>
      </c>
      <c r="M4001" s="1" t="str">
        <f t="shared" si="3"/>
        <v>Profit</v>
      </c>
    </row>
    <row r="4002" ht="14.25" customHeight="1">
      <c r="A4002" s="1" t="s">
        <v>4036</v>
      </c>
      <c r="B4002" s="2">
        <v>44942.0</v>
      </c>
      <c r="C4002" s="1" t="s">
        <v>20</v>
      </c>
      <c r="D4002" s="1" t="s">
        <v>21</v>
      </c>
      <c r="E4002" s="1" t="s">
        <v>37</v>
      </c>
      <c r="F4002" s="1">
        <v>254.33</v>
      </c>
      <c r="G4002" s="1">
        <v>-101.01</v>
      </c>
      <c r="H4002" s="1">
        <v>7.0</v>
      </c>
      <c r="I4002" s="1" t="s">
        <v>34</v>
      </c>
      <c r="J4002" s="1" t="s">
        <v>38</v>
      </c>
      <c r="K4002" s="1">
        <f t="shared" si="1"/>
        <v>2023</v>
      </c>
      <c r="L4002" s="1" t="str">
        <f t="shared" si="2"/>
        <v>Jan</v>
      </c>
      <c r="M4002" s="1" t="str">
        <f t="shared" si="3"/>
        <v>Loss</v>
      </c>
    </row>
    <row r="4003" ht="14.25" customHeight="1">
      <c r="A4003" s="1" t="s">
        <v>4037</v>
      </c>
      <c r="B4003" s="2">
        <v>44548.0</v>
      </c>
      <c r="C4003" s="1" t="s">
        <v>14</v>
      </c>
      <c r="D4003" s="1" t="s">
        <v>21</v>
      </c>
      <c r="E4003" s="1" t="s">
        <v>37</v>
      </c>
      <c r="F4003" s="1">
        <v>360.15</v>
      </c>
      <c r="G4003" s="1">
        <v>-151.08</v>
      </c>
      <c r="H4003" s="1">
        <v>9.0</v>
      </c>
      <c r="I4003" s="1" t="s">
        <v>34</v>
      </c>
      <c r="J4003" s="1" t="s">
        <v>24</v>
      </c>
      <c r="K4003" s="1">
        <f t="shared" si="1"/>
        <v>2021</v>
      </c>
      <c r="L4003" s="1" t="str">
        <f t="shared" si="2"/>
        <v>Dec</v>
      </c>
      <c r="M4003" s="1" t="str">
        <f t="shared" si="3"/>
        <v>Loss</v>
      </c>
    </row>
    <row r="4004" ht="14.25" customHeight="1">
      <c r="A4004" s="1" t="s">
        <v>4038</v>
      </c>
      <c r="B4004" s="2">
        <v>44907.0</v>
      </c>
      <c r="C4004" s="1" t="s">
        <v>14</v>
      </c>
      <c r="D4004" s="1" t="s">
        <v>27</v>
      </c>
      <c r="E4004" s="1" t="s">
        <v>40</v>
      </c>
      <c r="F4004" s="1">
        <v>553.12</v>
      </c>
      <c r="G4004" s="1">
        <v>-185.47</v>
      </c>
      <c r="H4004" s="1">
        <v>5.0</v>
      </c>
      <c r="I4004" s="1" t="s">
        <v>17</v>
      </c>
      <c r="J4004" s="1" t="s">
        <v>18</v>
      </c>
      <c r="K4004" s="1">
        <f t="shared" si="1"/>
        <v>2022</v>
      </c>
      <c r="L4004" s="1" t="str">
        <f t="shared" si="2"/>
        <v>Dec</v>
      </c>
      <c r="M4004" s="1" t="str">
        <f t="shared" si="3"/>
        <v>Loss</v>
      </c>
    </row>
    <row r="4005" ht="14.25" customHeight="1">
      <c r="A4005" s="1" t="s">
        <v>4039</v>
      </c>
      <c r="B4005" s="2">
        <v>44382.0</v>
      </c>
      <c r="C4005" s="1" t="s">
        <v>30</v>
      </c>
      <c r="D4005" s="1" t="s">
        <v>21</v>
      </c>
      <c r="E4005" s="1" t="s">
        <v>37</v>
      </c>
      <c r="F4005" s="1">
        <v>103.02</v>
      </c>
      <c r="G4005" s="1">
        <v>-86.8</v>
      </c>
      <c r="H4005" s="1">
        <v>1.0</v>
      </c>
      <c r="I4005" s="1" t="s">
        <v>23</v>
      </c>
      <c r="J4005" s="1" t="s">
        <v>24</v>
      </c>
      <c r="K4005" s="1">
        <f t="shared" si="1"/>
        <v>2021</v>
      </c>
      <c r="L4005" s="1" t="str">
        <f t="shared" si="2"/>
        <v>Jul</v>
      </c>
      <c r="M4005" s="1" t="str">
        <f t="shared" si="3"/>
        <v>Loss</v>
      </c>
    </row>
    <row r="4006" ht="14.25" customHeight="1">
      <c r="A4006" s="1" t="s">
        <v>4040</v>
      </c>
      <c r="B4006" s="2">
        <v>44900.0</v>
      </c>
      <c r="C4006" s="1" t="s">
        <v>30</v>
      </c>
      <c r="D4006" s="1" t="s">
        <v>15</v>
      </c>
      <c r="E4006" s="1" t="s">
        <v>31</v>
      </c>
      <c r="F4006" s="1">
        <v>935.97</v>
      </c>
      <c r="G4006" s="1">
        <v>60.3</v>
      </c>
      <c r="H4006" s="1">
        <v>5.0</v>
      </c>
      <c r="I4006" s="1" t="s">
        <v>17</v>
      </c>
      <c r="J4006" s="1" t="s">
        <v>35</v>
      </c>
      <c r="K4006" s="1">
        <f t="shared" si="1"/>
        <v>2022</v>
      </c>
      <c r="L4006" s="1" t="str">
        <f t="shared" si="2"/>
        <v>Dec</v>
      </c>
      <c r="M4006" s="1" t="str">
        <f t="shared" si="3"/>
        <v>Profit</v>
      </c>
    </row>
    <row r="4007" ht="14.25" customHeight="1">
      <c r="A4007" s="1" t="s">
        <v>4041</v>
      </c>
      <c r="B4007" s="2">
        <v>44238.0</v>
      </c>
      <c r="C4007" s="1" t="s">
        <v>26</v>
      </c>
      <c r="D4007" s="1" t="s">
        <v>15</v>
      </c>
      <c r="E4007" s="1" t="s">
        <v>31</v>
      </c>
      <c r="F4007" s="1">
        <v>914.9</v>
      </c>
      <c r="G4007" s="1">
        <v>63.66</v>
      </c>
      <c r="H4007" s="1">
        <v>9.0</v>
      </c>
      <c r="I4007" s="1" t="s">
        <v>17</v>
      </c>
      <c r="J4007" s="1" t="s">
        <v>24</v>
      </c>
      <c r="K4007" s="1">
        <f t="shared" si="1"/>
        <v>2021</v>
      </c>
      <c r="L4007" s="1" t="str">
        <f t="shared" si="2"/>
        <v>Feb</v>
      </c>
      <c r="M4007" s="1" t="str">
        <f t="shared" si="3"/>
        <v>Profit</v>
      </c>
    </row>
    <row r="4008" ht="14.25" customHeight="1">
      <c r="A4008" s="1" t="s">
        <v>4042</v>
      </c>
      <c r="B4008" s="2">
        <v>44453.0</v>
      </c>
      <c r="C4008" s="1" t="s">
        <v>20</v>
      </c>
      <c r="D4008" s="1" t="s">
        <v>21</v>
      </c>
      <c r="E4008" s="1" t="s">
        <v>76</v>
      </c>
      <c r="F4008" s="1">
        <v>479.97</v>
      </c>
      <c r="G4008" s="1">
        <v>-117.57</v>
      </c>
      <c r="H4008" s="1">
        <v>1.0</v>
      </c>
      <c r="I4008" s="1" t="s">
        <v>17</v>
      </c>
      <c r="J4008" s="1" t="s">
        <v>24</v>
      </c>
      <c r="K4008" s="1">
        <f t="shared" si="1"/>
        <v>2021</v>
      </c>
      <c r="L4008" s="1" t="str">
        <f t="shared" si="2"/>
        <v>Sep</v>
      </c>
      <c r="M4008" s="1" t="str">
        <f t="shared" si="3"/>
        <v>Loss</v>
      </c>
    </row>
    <row r="4009" ht="14.25" customHeight="1">
      <c r="A4009" s="1" t="s">
        <v>4043</v>
      </c>
      <c r="B4009" s="2">
        <v>44576.0</v>
      </c>
      <c r="C4009" s="1" t="s">
        <v>20</v>
      </c>
      <c r="D4009" s="1" t="s">
        <v>21</v>
      </c>
      <c r="E4009" s="1" t="s">
        <v>37</v>
      </c>
      <c r="F4009" s="1">
        <v>890.16</v>
      </c>
      <c r="G4009" s="1">
        <v>53.31</v>
      </c>
      <c r="H4009" s="1">
        <v>6.0</v>
      </c>
      <c r="I4009" s="1" t="s">
        <v>23</v>
      </c>
      <c r="J4009" s="1" t="s">
        <v>18</v>
      </c>
      <c r="K4009" s="1">
        <f t="shared" si="1"/>
        <v>2022</v>
      </c>
      <c r="L4009" s="1" t="str">
        <f t="shared" si="2"/>
        <v>Jan</v>
      </c>
      <c r="M4009" s="1" t="str">
        <f t="shared" si="3"/>
        <v>Profit</v>
      </c>
    </row>
    <row r="4010" ht="14.25" customHeight="1">
      <c r="A4010" s="1" t="s">
        <v>4044</v>
      </c>
      <c r="B4010" s="2">
        <v>45015.0</v>
      </c>
      <c r="C4010" s="1" t="s">
        <v>20</v>
      </c>
      <c r="D4010" s="1" t="s">
        <v>21</v>
      </c>
      <c r="E4010" s="1" t="s">
        <v>22</v>
      </c>
      <c r="F4010" s="1">
        <v>342.21</v>
      </c>
      <c r="G4010" s="1">
        <v>-35.9</v>
      </c>
      <c r="H4010" s="1">
        <v>8.0</v>
      </c>
      <c r="I4010" s="1" t="s">
        <v>23</v>
      </c>
      <c r="J4010" s="1" t="s">
        <v>35</v>
      </c>
      <c r="K4010" s="1">
        <f t="shared" si="1"/>
        <v>2023</v>
      </c>
      <c r="L4010" s="1" t="str">
        <f t="shared" si="2"/>
        <v>Mar</v>
      </c>
      <c r="M4010" s="1" t="str">
        <f t="shared" si="3"/>
        <v>Loss</v>
      </c>
    </row>
    <row r="4011" ht="14.25" customHeight="1">
      <c r="A4011" s="1" t="s">
        <v>4045</v>
      </c>
      <c r="B4011" s="2">
        <v>44872.0</v>
      </c>
      <c r="C4011" s="1" t="s">
        <v>26</v>
      </c>
      <c r="D4011" s="1" t="s">
        <v>15</v>
      </c>
      <c r="E4011" s="1" t="s">
        <v>16</v>
      </c>
      <c r="F4011" s="1">
        <v>37.79</v>
      </c>
      <c r="G4011" s="1">
        <v>126.9</v>
      </c>
      <c r="H4011" s="1">
        <v>10.0</v>
      </c>
      <c r="I4011" s="1" t="s">
        <v>23</v>
      </c>
      <c r="J4011" s="1" t="s">
        <v>18</v>
      </c>
      <c r="K4011" s="1">
        <f t="shared" si="1"/>
        <v>2022</v>
      </c>
      <c r="L4011" s="1" t="str">
        <f t="shared" si="2"/>
        <v>Nov</v>
      </c>
      <c r="M4011" s="1" t="str">
        <f t="shared" si="3"/>
        <v>Profit</v>
      </c>
    </row>
    <row r="4012" ht="14.25" customHeight="1">
      <c r="A4012" s="1" t="s">
        <v>4046</v>
      </c>
      <c r="B4012" s="2">
        <v>44537.0</v>
      </c>
      <c r="C4012" s="1" t="s">
        <v>20</v>
      </c>
      <c r="D4012" s="1" t="s">
        <v>27</v>
      </c>
      <c r="E4012" s="1" t="s">
        <v>40</v>
      </c>
      <c r="F4012" s="1">
        <v>945.88</v>
      </c>
      <c r="G4012" s="1">
        <v>259.25</v>
      </c>
      <c r="H4012" s="1">
        <v>5.0</v>
      </c>
      <c r="I4012" s="1" t="s">
        <v>34</v>
      </c>
      <c r="J4012" s="1" t="s">
        <v>18</v>
      </c>
      <c r="K4012" s="1">
        <f t="shared" si="1"/>
        <v>2021</v>
      </c>
      <c r="L4012" s="1" t="str">
        <f t="shared" si="2"/>
        <v>Dec</v>
      </c>
      <c r="M4012" s="1" t="str">
        <f t="shared" si="3"/>
        <v>Profit</v>
      </c>
    </row>
    <row r="4013" ht="14.25" customHeight="1">
      <c r="A4013" s="1" t="s">
        <v>4047</v>
      </c>
      <c r="B4013" s="2">
        <v>45220.0</v>
      </c>
      <c r="C4013" s="1" t="s">
        <v>30</v>
      </c>
      <c r="D4013" s="1" t="s">
        <v>15</v>
      </c>
      <c r="E4013" s="1" t="s">
        <v>16</v>
      </c>
      <c r="F4013" s="1">
        <v>829.06</v>
      </c>
      <c r="G4013" s="1">
        <v>-29.47</v>
      </c>
      <c r="H4013" s="1">
        <v>7.0</v>
      </c>
      <c r="I4013" s="1" t="s">
        <v>17</v>
      </c>
      <c r="J4013" s="1" t="s">
        <v>24</v>
      </c>
      <c r="K4013" s="1">
        <f t="shared" si="1"/>
        <v>2023</v>
      </c>
      <c r="L4013" s="1" t="str">
        <f t="shared" si="2"/>
        <v>Oct</v>
      </c>
      <c r="M4013" s="1" t="str">
        <f t="shared" si="3"/>
        <v>Loss</v>
      </c>
    </row>
    <row r="4014" ht="14.25" customHeight="1">
      <c r="A4014" s="1" t="s">
        <v>4048</v>
      </c>
      <c r="B4014" s="2">
        <v>44466.0</v>
      </c>
      <c r="C4014" s="1" t="s">
        <v>30</v>
      </c>
      <c r="D4014" s="1" t="s">
        <v>21</v>
      </c>
      <c r="E4014" s="1" t="s">
        <v>22</v>
      </c>
      <c r="F4014" s="1">
        <v>88.88</v>
      </c>
      <c r="G4014" s="1">
        <v>49.42</v>
      </c>
      <c r="H4014" s="1">
        <v>6.0</v>
      </c>
      <c r="I4014" s="1" t="s">
        <v>34</v>
      </c>
      <c r="J4014" s="1" t="s">
        <v>24</v>
      </c>
      <c r="K4014" s="1">
        <f t="shared" si="1"/>
        <v>2021</v>
      </c>
      <c r="L4014" s="1" t="str">
        <f t="shared" si="2"/>
        <v>Sep</v>
      </c>
      <c r="M4014" s="1" t="str">
        <f t="shared" si="3"/>
        <v>Profit</v>
      </c>
    </row>
    <row r="4015" ht="14.25" customHeight="1">
      <c r="A4015" s="1" t="s">
        <v>4049</v>
      </c>
      <c r="B4015" s="2">
        <v>44883.0</v>
      </c>
      <c r="C4015" s="1" t="s">
        <v>30</v>
      </c>
      <c r="D4015" s="1" t="s">
        <v>27</v>
      </c>
      <c r="E4015" s="1" t="s">
        <v>28</v>
      </c>
      <c r="F4015" s="1">
        <v>315.32</v>
      </c>
      <c r="G4015" s="1">
        <v>-108.05</v>
      </c>
      <c r="H4015" s="1">
        <v>8.0</v>
      </c>
      <c r="I4015" s="1" t="s">
        <v>23</v>
      </c>
      <c r="J4015" s="1" t="s">
        <v>24</v>
      </c>
      <c r="K4015" s="1">
        <f t="shared" si="1"/>
        <v>2022</v>
      </c>
      <c r="L4015" s="1" t="str">
        <f t="shared" si="2"/>
        <v>Nov</v>
      </c>
      <c r="M4015" s="1" t="str">
        <f t="shared" si="3"/>
        <v>Loss</v>
      </c>
    </row>
    <row r="4016" ht="14.25" customHeight="1">
      <c r="A4016" s="1" t="s">
        <v>4050</v>
      </c>
      <c r="B4016" s="2">
        <v>44265.0</v>
      </c>
      <c r="C4016" s="1" t="s">
        <v>20</v>
      </c>
      <c r="D4016" s="1" t="s">
        <v>21</v>
      </c>
      <c r="E4016" s="1" t="s">
        <v>22</v>
      </c>
      <c r="F4016" s="1">
        <v>246.46</v>
      </c>
      <c r="G4016" s="1">
        <v>267.46</v>
      </c>
      <c r="H4016" s="1">
        <v>3.0</v>
      </c>
      <c r="I4016" s="1" t="s">
        <v>34</v>
      </c>
      <c r="J4016" s="1" t="s">
        <v>18</v>
      </c>
      <c r="K4016" s="1">
        <f t="shared" si="1"/>
        <v>2021</v>
      </c>
      <c r="L4016" s="1" t="str">
        <f t="shared" si="2"/>
        <v>Mar</v>
      </c>
      <c r="M4016" s="1" t="str">
        <f t="shared" si="3"/>
        <v>Profit</v>
      </c>
    </row>
    <row r="4017" ht="14.25" customHeight="1">
      <c r="A4017" s="1" t="s">
        <v>4051</v>
      </c>
      <c r="B4017" s="2">
        <v>44237.0</v>
      </c>
      <c r="C4017" s="1" t="s">
        <v>14</v>
      </c>
      <c r="D4017" s="1" t="s">
        <v>27</v>
      </c>
      <c r="E4017" s="1" t="s">
        <v>28</v>
      </c>
      <c r="F4017" s="1">
        <v>567.46</v>
      </c>
      <c r="G4017" s="1">
        <v>245.98</v>
      </c>
      <c r="H4017" s="1">
        <v>10.0</v>
      </c>
      <c r="I4017" s="1" t="s">
        <v>17</v>
      </c>
      <c r="J4017" s="1" t="s">
        <v>35</v>
      </c>
      <c r="K4017" s="1">
        <f t="shared" si="1"/>
        <v>2021</v>
      </c>
      <c r="L4017" s="1" t="str">
        <f t="shared" si="2"/>
        <v>Feb</v>
      </c>
      <c r="M4017" s="1" t="str">
        <f t="shared" si="3"/>
        <v>Profit</v>
      </c>
    </row>
    <row r="4018" ht="14.25" customHeight="1">
      <c r="A4018" s="1" t="s">
        <v>4052</v>
      </c>
      <c r="B4018" s="2">
        <v>44340.0</v>
      </c>
      <c r="C4018" s="1" t="s">
        <v>26</v>
      </c>
      <c r="D4018" s="1" t="s">
        <v>21</v>
      </c>
      <c r="E4018" s="1" t="s">
        <v>22</v>
      </c>
      <c r="F4018" s="1">
        <v>280.48</v>
      </c>
      <c r="G4018" s="1">
        <v>115.32</v>
      </c>
      <c r="H4018" s="1">
        <v>1.0</v>
      </c>
      <c r="I4018" s="1" t="s">
        <v>23</v>
      </c>
      <c r="J4018" s="1" t="s">
        <v>24</v>
      </c>
      <c r="K4018" s="1">
        <f t="shared" si="1"/>
        <v>2021</v>
      </c>
      <c r="L4018" s="1" t="str">
        <f t="shared" si="2"/>
        <v>May</v>
      </c>
      <c r="M4018" s="1" t="str">
        <f t="shared" si="3"/>
        <v>Profit</v>
      </c>
    </row>
    <row r="4019" ht="14.25" customHeight="1">
      <c r="A4019" s="1" t="s">
        <v>4053</v>
      </c>
      <c r="B4019" s="2">
        <v>45182.0</v>
      </c>
      <c r="C4019" s="1" t="s">
        <v>26</v>
      </c>
      <c r="D4019" s="1" t="s">
        <v>27</v>
      </c>
      <c r="E4019" s="1" t="s">
        <v>28</v>
      </c>
      <c r="F4019" s="1">
        <v>823.84</v>
      </c>
      <c r="G4019" s="1">
        <v>155.65</v>
      </c>
      <c r="H4019" s="1">
        <v>1.0</v>
      </c>
      <c r="I4019" s="1" t="s">
        <v>23</v>
      </c>
      <c r="J4019" s="1" t="s">
        <v>18</v>
      </c>
      <c r="K4019" s="1">
        <f t="shared" si="1"/>
        <v>2023</v>
      </c>
      <c r="L4019" s="1" t="str">
        <f t="shared" si="2"/>
        <v>Sep</v>
      </c>
      <c r="M4019" s="1" t="str">
        <f t="shared" si="3"/>
        <v>Profit</v>
      </c>
    </row>
    <row r="4020" ht="14.25" customHeight="1">
      <c r="A4020" s="1" t="s">
        <v>4054</v>
      </c>
      <c r="B4020" s="2">
        <v>44283.0</v>
      </c>
      <c r="C4020" s="1" t="s">
        <v>26</v>
      </c>
      <c r="D4020" s="1" t="s">
        <v>15</v>
      </c>
      <c r="E4020" s="1" t="s">
        <v>16</v>
      </c>
      <c r="F4020" s="1">
        <v>612.89</v>
      </c>
      <c r="G4020" s="1">
        <v>-80.65</v>
      </c>
      <c r="H4020" s="1">
        <v>10.0</v>
      </c>
      <c r="I4020" s="1" t="s">
        <v>34</v>
      </c>
      <c r="J4020" s="1" t="s">
        <v>38</v>
      </c>
      <c r="K4020" s="1">
        <f t="shared" si="1"/>
        <v>2021</v>
      </c>
      <c r="L4020" s="1" t="str">
        <f t="shared" si="2"/>
        <v>Mar</v>
      </c>
      <c r="M4020" s="1" t="str">
        <f t="shared" si="3"/>
        <v>Loss</v>
      </c>
    </row>
    <row r="4021" ht="14.25" customHeight="1">
      <c r="A4021" s="1" t="s">
        <v>4055</v>
      </c>
      <c r="B4021" s="2">
        <v>44629.0</v>
      </c>
      <c r="C4021" s="1" t="s">
        <v>20</v>
      </c>
      <c r="D4021" s="1" t="s">
        <v>21</v>
      </c>
      <c r="E4021" s="1" t="s">
        <v>76</v>
      </c>
      <c r="F4021" s="1">
        <v>883.4</v>
      </c>
      <c r="G4021" s="1">
        <v>-64.81</v>
      </c>
      <c r="H4021" s="1">
        <v>10.0</v>
      </c>
      <c r="I4021" s="1" t="s">
        <v>34</v>
      </c>
      <c r="J4021" s="1" t="s">
        <v>35</v>
      </c>
      <c r="K4021" s="1">
        <f t="shared" si="1"/>
        <v>2022</v>
      </c>
      <c r="L4021" s="1" t="str">
        <f t="shared" si="2"/>
        <v>Mar</v>
      </c>
      <c r="M4021" s="1" t="str">
        <f t="shared" si="3"/>
        <v>Loss</v>
      </c>
    </row>
    <row r="4022" ht="14.25" customHeight="1">
      <c r="A4022" s="1" t="s">
        <v>4056</v>
      </c>
      <c r="B4022" s="2">
        <v>44990.0</v>
      </c>
      <c r="C4022" s="1" t="s">
        <v>30</v>
      </c>
      <c r="D4022" s="1" t="s">
        <v>15</v>
      </c>
      <c r="E4022" s="1" t="s">
        <v>31</v>
      </c>
      <c r="F4022" s="1">
        <v>664.78</v>
      </c>
      <c r="G4022" s="1">
        <v>5.68</v>
      </c>
      <c r="H4022" s="1">
        <v>8.0</v>
      </c>
      <c r="I4022" s="1" t="s">
        <v>34</v>
      </c>
      <c r="J4022" s="1" t="s">
        <v>38</v>
      </c>
      <c r="K4022" s="1">
        <f t="shared" si="1"/>
        <v>2023</v>
      </c>
      <c r="L4022" s="1" t="str">
        <f t="shared" si="2"/>
        <v>Mar</v>
      </c>
      <c r="M4022" s="1" t="str">
        <f t="shared" si="3"/>
        <v>Profit</v>
      </c>
    </row>
    <row r="4023" ht="14.25" customHeight="1">
      <c r="A4023" s="1" t="s">
        <v>4057</v>
      </c>
      <c r="B4023" s="2">
        <v>45199.0</v>
      </c>
      <c r="C4023" s="1" t="s">
        <v>20</v>
      </c>
      <c r="D4023" s="1" t="s">
        <v>27</v>
      </c>
      <c r="E4023" s="1" t="s">
        <v>33</v>
      </c>
      <c r="F4023" s="1">
        <v>765.23</v>
      </c>
      <c r="G4023" s="1">
        <v>-10.98</v>
      </c>
      <c r="H4023" s="1">
        <v>1.0</v>
      </c>
      <c r="I4023" s="1" t="s">
        <v>34</v>
      </c>
      <c r="J4023" s="1" t="s">
        <v>24</v>
      </c>
      <c r="K4023" s="1">
        <f t="shared" si="1"/>
        <v>2023</v>
      </c>
      <c r="L4023" s="1" t="str">
        <f t="shared" si="2"/>
        <v>Sep</v>
      </c>
      <c r="M4023" s="1" t="str">
        <f t="shared" si="3"/>
        <v>Loss</v>
      </c>
    </row>
    <row r="4024" ht="14.25" customHeight="1">
      <c r="A4024" s="1" t="s">
        <v>4058</v>
      </c>
      <c r="B4024" s="2">
        <v>44514.0</v>
      </c>
      <c r="C4024" s="1" t="s">
        <v>20</v>
      </c>
      <c r="D4024" s="1" t="s">
        <v>27</v>
      </c>
      <c r="E4024" s="1" t="s">
        <v>40</v>
      </c>
      <c r="F4024" s="1">
        <v>328.46</v>
      </c>
      <c r="G4024" s="1">
        <v>-158.6</v>
      </c>
      <c r="H4024" s="1">
        <v>3.0</v>
      </c>
      <c r="I4024" s="1" t="s">
        <v>17</v>
      </c>
      <c r="J4024" s="1" t="s">
        <v>24</v>
      </c>
      <c r="K4024" s="1">
        <f t="shared" si="1"/>
        <v>2021</v>
      </c>
      <c r="L4024" s="1" t="str">
        <f t="shared" si="2"/>
        <v>Nov</v>
      </c>
      <c r="M4024" s="1" t="str">
        <f t="shared" si="3"/>
        <v>Loss</v>
      </c>
    </row>
    <row r="4025" ht="14.25" customHeight="1">
      <c r="A4025" s="1" t="s">
        <v>4059</v>
      </c>
      <c r="B4025" s="2">
        <v>44638.0</v>
      </c>
      <c r="C4025" s="1" t="s">
        <v>30</v>
      </c>
      <c r="D4025" s="1" t="s">
        <v>21</v>
      </c>
      <c r="E4025" s="1" t="s">
        <v>22</v>
      </c>
      <c r="F4025" s="1">
        <v>125.64</v>
      </c>
      <c r="G4025" s="1">
        <v>290.13</v>
      </c>
      <c r="H4025" s="1">
        <v>1.0</v>
      </c>
      <c r="I4025" s="1" t="s">
        <v>23</v>
      </c>
      <c r="J4025" s="1" t="s">
        <v>38</v>
      </c>
      <c r="K4025" s="1">
        <f t="shared" si="1"/>
        <v>2022</v>
      </c>
      <c r="L4025" s="1" t="str">
        <f t="shared" si="2"/>
        <v>Mar</v>
      </c>
      <c r="M4025" s="1" t="str">
        <f t="shared" si="3"/>
        <v>Profit</v>
      </c>
    </row>
    <row r="4026" ht="14.25" customHeight="1">
      <c r="A4026" s="1" t="s">
        <v>4060</v>
      </c>
      <c r="B4026" s="2">
        <v>44510.0</v>
      </c>
      <c r="C4026" s="1" t="s">
        <v>20</v>
      </c>
      <c r="D4026" s="1" t="s">
        <v>21</v>
      </c>
      <c r="E4026" s="1" t="s">
        <v>22</v>
      </c>
      <c r="F4026" s="1">
        <v>454.67</v>
      </c>
      <c r="G4026" s="1">
        <v>41.67</v>
      </c>
      <c r="H4026" s="1">
        <v>6.0</v>
      </c>
      <c r="I4026" s="1" t="s">
        <v>34</v>
      </c>
      <c r="J4026" s="1" t="s">
        <v>35</v>
      </c>
      <c r="K4026" s="1">
        <f t="shared" si="1"/>
        <v>2021</v>
      </c>
      <c r="L4026" s="1" t="str">
        <f t="shared" si="2"/>
        <v>Nov</v>
      </c>
      <c r="M4026" s="1" t="str">
        <f t="shared" si="3"/>
        <v>Profit</v>
      </c>
    </row>
    <row r="4027" ht="14.25" customHeight="1">
      <c r="A4027" s="1" t="s">
        <v>4061</v>
      </c>
      <c r="B4027" s="2">
        <v>44920.0</v>
      </c>
      <c r="C4027" s="1" t="s">
        <v>20</v>
      </c>
      <c r="D4027" s="1" t="s">
        <v>27</v>
      </c>
      <c r="E4027" s="1" t="s">
        <v>28</v>
      </c>
      <c r="F4027" s="1">
        <v>261.85</v>
      </c>
      <c r="G4027" s="1">
        <v>-105.05</v>
      </c>
      <c r="H4027" s="1">
        <v>2.0</v>
      </c>
      <c r="I4027" s="1" t="s">
        <v>17</v>
      </c>
      <c r="J4027" s="1" t="s">
        <v>24</v>
      </c>
      <c r="K4027" s="1">
        <f t="shared" si="1"/>
        <v>2022</v>
      </c>
      <c r="L4027" s="1" t="str">
        <f t="shared" si="2"/>
        <v>Dec</v>
      </c>
      <c r="M4027" s="1" t="str">
        <f t="shared" si="3"/>
        <v>Loss</v>
      </c>
    </row>
    <row r="4028" ht="14.25" customHeight="1">
      <c r="A4028" s="1" t="s">
        <v>4062</v>
      </c>
      <c r="B4028" s="2">
        <v>44630.0</v>
      </c>
      <c r="C4028" s="1" t="s">
        <v>14</v>
      </c>
      <c r="D4028" s="1" t="s">
        <v>27</v>
      </c>
      <c r="E4028" s="1" t="s">
        <v>28</v>
      </c>
      <c r="F4028" s="1">
        <v>904.97</v>
      </c>
      <c r="G4028" s="1">
        <v>126.95</v>
      </c>
      <c r="H4028" s="1">
        <v>4.0</v>
      </c>
      <c r="I4028" s="1" t="s">
        <v>34</v>
      </c>
      <c r="J4028" s="1" t="s">
        <v>24</v>
      </c>
      <c r="K4028" s="1">
        <f t="shared" si="1"/>
        <v>2022</v>
      </c>
      <c r="L4028" s="1" t="str">
        <f t="shared" si="2"/>
        <v>Mar</v>
      </c>
      <c r="M4028" s="1" t="str">
        <f t="shared" si="3"/>
        <v>Profit</v>
      </c>
    </row>
    <row r="4029" ht="14.25" customHeight="1">
      <c r="A4029" s="1" t="s">
        <v>4063</v>
      </c>
      <c r="B4029" s="2">
        <v>44303.0</v>
      </c>
      <c r="C4029" s="1" t="s">
        <v>26</v>
      </c>
      <c r="D4029" s="1" t="s">
        <v>21</v>
      </c>
      <c r="E4029" s="1" t="s">
        <v>76</v>
      </c>
      <c r="F4029" s="1">
        <v>583.44</v>
      </c>
      <c r="G4029" s="1">
        <v>241.09</v>
      </c>
      <c r="H4029" s="1">
        <v>8.0</v>
      </c>
      <c r="I4029" s="1" t="s">
        <v>34</v>
      </c>
      <c r="J4029" s="1" t="s">
        <v>24</v>
      </c>
      <c r="K4029" s="1">
        <f t="shared" si="1"/>
        <v>2021</v>
      </c>
      <c r="L4029" s="1" t="str">
        <f t="shared" si="2"/>
        <v>Apr</v>
      </c>
      <c r="M4029" s="1" t="str">
        <f t="shared" si="3"/>
        <v>Profit</v>
      </c>
    </row>
    <row r="4030" ht="14.25" customHeight="1">
      <c r="A4030" s="1" t="s">
        <v>4064</v>
      </c>
      <c r="B4030" s="2">
        <v>45069.0</v>
      </c>
      <c r="C4030" s="1" t="s">
        <v>26</v>
      </c>
      <c r="D4030" s="1" t="s">
        <v>27</v>
      </c>
      <c r="E4030" s="1" t="s">
        <v>40</v>
      </c>
      <c r="F4030" s="1">
        <v>932.43</v>
      </c>
      <c r="G4030" s="1">
        <v>-92.88</v>
      </c>
      <c r="H4030" s="1">
        <v>6.0</v>
      </c>
      <c r="I4030" s="1" t="s">
        <v>34</v>
      </c>
      <c r="J4030" s="1" t="s">
        <v>38</v>
      </c>
      <c r="K4030" s="1">
        <f t="shared" si="1"/>
        <v>2023</v>
      </c>
      <c r="L4030" s="1" t="str">
        <f t="shared" si="2"/>
        <v>May</v>
      </c>
      <c r="M4030" s="1" t="str">
        <f t="shared" si="3"/>
        <v>Loss</v>
      </c>
    </row>
    <row r="4031" ht="14.25" customHeight="1">
      <c r="A4031" s="1" t="s">
        <v>4065</v>
      </c>
      <c r="B4031" s="2">
        <v>44529.0</v>
      </c>
      <c r="C4031" s="1" t="s">
        <v>30</v>
      </c>
      <c r="D4031" s="1" t="s">
        <v>15</v>
      </c>
      <c r="E4031" s="1" t="s">
        <v>31</v>
      </c>
      <c r="F4031" s="1">
        <v>357.97</v>
      </c>
      <c r="G4031" s="1">
        <v>-66.59</v>
      </c>
      <c r="H4031" s="1">
        <v>10.0</v>
      </c>
      <c r="I4031" s="1" t="s">
        <v>17</v>
      </c>
      <c r="J4031" s="1" t="s">
        <v>38</v>
      </c>
      <c r="K4031" s="1">
        <f t="shared" si="1"/>
        <v>2021</v>
      </c>
      <c r="L4031" s="1" t="str">
        <f t="shared" si="2"/>
        <v>Nov</v>
      </c>
      <c r="M4031" s="1" t="str">
        <f t="shared" si="3"/>
        <v>Loss</v>
      </c>
    </row>
    <row r="4032" ht="14.25" customHeight="1">
      <c r="A4032" s="1" t="s">
        <v>4066</v>
      </c>
      <c r="B4032" s="2">
        <v>44910.0</v>
      </c>
      <c r="C4032" s="1" t="s">
        <v>20</v>
      </c>
      <c r="D4032" s="1" t="s">
        <v>15</v>
      </c>
      <c r="E4032" s="1" t="s">
        <v>16</v>
      </c>
      <c r="F4032" s="1">
        <v>937.24</v>
      </c>
      <c r="G4032" s="1">
        <v>-23.85</v>
      </c>
      <c r="H4032" s="1">
        <v>2.0</v>
      </c>
      <c r="I4032" s="1" t="s">
        <v>34</v>
      </c>
      <c r="J4032" s="1" t="s">
        <v>18</v>
      </c>
      <c r="K4032" s="1">
        <f t="shared" si="1"/>
        <v>2022</v>
      </c>
      <c r="L4032" s="1" t="str">
        <f t="shared" si="2"/>
        <v>Dec</v>
      </c>
      <c r="M4032" s="1" t="str">
        <f t="shared" si="3"/>
        <v>Loss</v>
      </c>
    </row>
    <row r="4033" ht="14.25" customHeight="1">
      <c r="A4033" s="1" t="s">
        <v>4067</v>
      </c>
      <c r="B4033" s="2">
        <v>44619.0</v>
      </c>
      <c r="C4033" s="1" t="s">
        <v>26</v>
      </c>
      <c r="D4033" s="1" t="s">
        <v>15</v>
      </c>
      <c r="E4033" s="1" t="s">
        <v>16</v>
      </c>
      <c r="F4033" s="1">
        <v>816.19</v>
      </c>
      <c r="G4033" s="1">
        <v>195.99</v>
      </c>
      <c r="H4033" s="1">
        <v>1.0</v>
      </c>
      <c r="I4033" s="1" t="s">
        <v>34</v>
      </c>
      <c r="J4033" s="1" t="s">
        <v>35</v>
      </c>
      <c r="K4033" s="1">
        <f t="shared" si="1"/>
        <v>2022</v>
      </c>
      <c r="L4033" s="1" t="str">
        <f t="shared" si="2"/>
        <v>Feb</v>
      </c>
      <c r="M4033" s="1" t="str">
        <f t="shared" si="3"/>
        <v>Profit</v>
      </c>
    </row>
    <row r="4034" ht="14.25" customHeight="1">
      <c r="A4034" s="1" t="s">
        <v>4068</v>
      </c>
      <c r="B4034" s="2">
        <v>44747.0</v>
      </c>
      <c r="C4034" s="1" t="s">
        <v>26</v>
      </c>
      <c r="D4034" s="1" t="s">
        <v>21</v>
      </c>
      <c r="E4034" s="1" t="s">
        <v>76</v>
      </c>
      <c r="F4034" s="1">
        <v>162.18</v>
      </c>
      <c r="G4034" s="1">
        <v>51.49</v>
      </c>
      <c r="H4034" s="1">
        <v>9.0</v>
      </c>
      <c r="I4034" s="1" t="s">
        <v>17</v>
      </c>
      <c r="J4034" s="1" t="s">
        <v>18</v>
      </c>
      <c r="K4034" s="1">
        <f t="shared" si="1"/>
        <v>2022</v>
      </c>
      <c r="L4034" s="1" t="str">
        <f t="shared" si="2"/>
        <v>Jul</v>
      </c>
      <c r="M4034" s="1" t="str">
        <f t="shared" si="3"/>
        <v>Profit</v>
      </c>
    </row>
    <row r="4035" ht="14.25" customHeight="1">
      <c r="A4035" s="1" t="s">
        <v>4069</v>
      </c>
      <c r="B4035" s="2">
        <v>44934.0</v>
      </c>
      <c r="C4035" s="1" t="s">
        <v>30</v>
      </c>
      <c r="D4035" s="1" t="s">
        <v>15</v>
      </c>
      <c r="E4035" s="1" t="s">
        <v>16</v>
      </c>
      <c r="F4035" s="1">
        <v>542.02</v>
      </c>
      <c r="G4035" s="1">
        <v>-116.03</v>
      </c>
      <c r="H4035" s="1">
        <v>9.0</v>
      </c>
      <c r="I4035" s="1" t="s">
        <v>17</v>
      </c>
      <c r="J4035" s="1" t="s">
        <v>24</v>
      </c>
      <c r="K4035" s="1">
        <f t="shared" si="1"/>
        <v>2023</v>
      </c>
      <c r="L4035" s="1" t="str">
        <f t="shared" si="2"/>
        <v>Jan</v>
      </c>
      <c r="M4035" s="1" t="str">
        <f t="shared" si="3"/>
        <v>Loss</v>
      </c>
    </row>
    <row r="4036" ht="14.25" customHeight="1">
      <c r="A4036" s="1" t="s">
        <v>4070</v>
      </c>
      <c r="B4036" s="2">
        <v>44539.0</v>
      </c>
      <c r="C4036" s="1" t="s">
        <v>14</v>
      </c>
      <c r="D4036" s="1" t="s">
        <v>27</v>
      </c>
      <c r="E4036" s="1" t="s">
        <v>28</v>
      </c>
      <c r="F4036" s="1">
        <v>734.61</v>
      </c>
      <c r="G4036" s="1">
        <v>-5.23</v>
      </c>
      <c r="H4036" s="1">
        <v>7.0</v>
      </c>
      <c r="I4036" s="1" t="s">
        <v>17</v>
      </c>
      <c r="J4036" s="1" t="s">
        <v>24</v>
      </c>
      <c r="K4036" s="1">
        <f t="shared" si="1"/>
        <v>2021</v>
      </c>
      <c r="L4036" s="1" t="str">
        <f t="shared" si="2"/>
        <v>Dec</v>
      </c>
      <c r="M4036" s="1" t="str">
        <f t="shared" si="3"/>
        <v>Loss</v>
      </c>
    </row>
    <row r="4037" ht="14.25" customHeight="1">
      <c r="A4037" s="1" t="s">
        <v>4071</v>
      </c>
      <c r="B4037" s="2">
        <v>45003.0</v>
      </c>
      <c r="C4037" s="1" t="s">
        <v>26</v>
      </c>
      <c r="D4037" s="1" t="s">
        <v>27</v>
      </c>
      <c r="E4037" s="1" t="s">
        <v>28</v>
      </c>
      <c r="F4037" s="1">
        <v>939.38</v>
      </c>
      <c r="G4037" s="1">
        <v>266.92</v>
      </c>
      <c r="H4037" s="1">
        <v>6.0</v>
      </c>
      <c r="I4037" s="1" t="s">
        <v>34</v>
      </c>
      <c r="J4037" s="1" t="s">
        <v>18</v>
      </c>
      <c r="K4037" s="1">
        <f t="shared" si="1"/>
        <v>2023</v>
      </c>
      <c r="L4037" s="1" t="str">
        <f t="shared" si="2"/>
        <v>Mar</v>
      </c>
      <c r="M4037" s="1" t="str">
        <f t="shared" si="3"/>
        <v>Profit</v>
      </c>
    </row>
    <row r="4038" ht="14.25" customHeight="1">
      <c r="A4038" s="1" t="s">
        <v>4072</v>
      </c>
      <c r="B4038" s="2">
        <v>44815.0</v>
      </c>
      <c r="C4038" s="1" t="s">
        <v>26</v>
      </c>
      <c r="D4038" s="1" t="s">
        <v>27</v>
      </c>
      <c r="E4038" s="1" t="s">
        <v>28</v>
      </c>
      <c r="F4038" s="1">
        <v>457.39</v>
      </c>
      <c r="G4038" s="1">
        <v>129.96</v>
      </c>
      <c r="H4038" s="1">
        <v>3.0</v>
      </c>
      <c r="I4038" s="1" t="s">
        <v>17</v>
      </c>
      <c r="J4038" s="1" t="s">
        <v>24</v>
      </c>
      <c r="K4038" s="1">
        <f t="shared" si="1"/>
        <v>2022</v>
      </c>
      <c r="L4038" s="1" t="str">
        <f t="shared" si="2"/>
        <v>Sep</v>
      </c>
      <c r="M4038" s="1" t="str">
        <f t="shared" si="3"/>
        <v>Profit</v>
      </c>
    </row>
    <row r="4039" ht="14.25" customHeight="1">
      <c r="A4039" s="1" t="s">
        <v>4073</v>
      </c>
      <c r="B4039" s="2">
        <v>44585.0</v>
      </c>
      <c r="C4039" s="1" t="s">
        <v>30</v>
      </c>
      <c r="D4039" s="1" t="s">
        <v>27</v>
      </c>
      <c r="E4039" s="1" t="s">
        <v>33</v>
      </c>
      <c r="F4039" s="1">
        <v>286.95</v>
      </c>
      <c r="G4039" s="1">
        <v>-75.87</v>
      </c>
      <c r="H4039" s="1">
        <v>6.0</v>
      </c>
      <c r="I4039" s="1" t="s">
        <v>17</v>
      </c>
      <c r="J4039" s="1" t="s">
        <v>38</v>
      </c>
      <c r="K4039" s="1">
        <f t="shared" si="1"/>
        <v>2022</v>
      </c>
      <c r="L4039" s="1" t="str">
        <f t="shared" si="2"/>
        <v>Jan</v>
      </c>
      <c r="M4039" s="1" t="str">
        <f t="shared" si="3"/>
        <v>Loss</v>
      </c>
    </row>
    <row r="4040" ht="14.25" customHeight="1">
      <c r="A4040" s="1" t="s">
        <v>4074</v>
      </c>
      <c r="B4040" s="2">
        <v>44501.0</v>
      </c>
      <c r="C4040" s="1" t="s">
        <v>14</v>
      </c>
      <c r="D4040" s="1" t="s">
        <v>21</v>
      </c>
      <c r="E4040" s="1" t="s">
        <v>22</v>
      </c>
      <c r="F4040" s="1">
        <v>313.26</v>
      </c>
      <c r="G4040" s="1">
        <v>-167.12</v>
      </c>
      <c r="H4040" s="1">
        <v>2.0</v>
      </c>
      <c r="I4040" s="1" t="s">
        <v>23</v>
      </c>
      <c r="J4040" s="1" t="s">
        <v>38</v>
      </c>
      <c r="K4040" s="1">
        <f t="shared" si="1"/>
        <v>2021</v>
      </c>
      <c r="L4040" s="1" t="str">
        <f t="shared" si="2"/>
        <v>Nov</v>
      </c>
      <c r="M4040" s="1" t="str">
        <f t="shared" si="3"/>
        <v>Loss</v>
      </c>
    </row>
    <row r="4041" ht="14.25" customHeight="1">
      <c r="A4041" s="1" t="s">
        <v>4075</v>
      </c>
      <c r="B4041" s="2">
        <v>45050.0</v>
      </c>
      <c r="C4041" s="1" t="s">
        <v>20</v>
      </c>
      <c r="D4041" s="1" t="s">
        <v>21</v>
      </c>
      <c r="E4041" s="1" t="s">
        <v>22</v>
      </c>
      <c r="F4041" s="1">
        <v>367.9</v>
      </c>
      <c r="G4041" s="1">
        <v>-36.96</v>
      </c>
      <c r="H4041" s="1">
        <v>4.0</v>
      </c>
      <c r="I4041" s="1" t="s">
        <v>34</v>
      </c>
      <c r="J4041" s="1" t="s">
        <v>35</v>
      </c>
      <c r="K4041" s="1">
        <f t="shared" si="1"/>
        <v>2023</v>
      </c>
      <c r="L4041" s="1" t="str">
        <f t="shared" si="2"/>
        <v>May</v>
      </c>
      <c r="M4041" s="1" t="str">
        <f t="shared" si="3"/>
        <v>Loss</v>
      </c>
    </row>
    <row r="4042" ht="14.25" customHeight="1">
      <c r="A4042" s="1" t="s">
        <v>4076</v>
      </c>
      <c r="B4042" s="2">
        <v>45228.0</v>
      </c>
      <c r="C4042" s="1" t="s">
        <v>20</v>
      </c>
      <c r="D4042" s="1" t="s">
        <v>27</v>
      </c>
      <c r="E4042" s="1" t="s">
        <v>40</v>
      </c>
      <c r="F4042" s="1">
        <v>489.27</v>
      </c>
      <c r="G4042" s="1">
        <v>186.32</v>
      </c>
      <c r="H4042" s="1">
        <v>3.0</v>
      </c>
      <c r="I4042" s="1" t="s">
        <v>23</v>
      </c>
      <c r="J4042" s="1" t="s">
        <v>35</v>
      </c>
      <c r="K4042" s="1">
        <f t="shared" si="1"/>
        <v>2023</v>
      </c>
      <c r="L4042" s="1" t="str">
        <f t="shared" si="2"/>
        <v>Oct</v>
      </c>
      <c r="M4042" s="1" t="str">
        <f t="shared" si="3"/>
        <v>Profit</v>
      </c>
    </row>
    <row r="4043" ht="14.25" customHeight="1">
      <c r="A4043" s="1" t="s">
        <v>4077</v>
      </c>
      <c r="B4043" s="2">
        <v>45230.0</v>
      </c>
      <c r="C4043" s="1" t="s">
        <v>20</v>
      </c>
      <c r="D4043" s="1" t="s">
        <v>21</v>
      </c>
      <c r="E4043" s="1" t="s">
        <v>22</v>
      </c>
      <c r="F4043" s="1">
        <v>80.84</v>
      </c>
      <c r="G4043" s="1">
        <v>-152.59</v>
      </c>
      <c r="H4043" s="1">
        <v>4.0</v>
      </c>
      <c r="I4043" s="1" t="s">
        <v>34</v>
      </c>
      <c r="J4043" s="1" t="s">
        <v>35</v>
      </c>
      <c r="K4043" s="1">
        <f t="shared" si="1"/>
        <v>2023</v>
      </c>
      <c r="L4043" s="1" t="str">
        <f t="shared" si="2"/>
        <v>Oct</v>
      </c>
      <c r="M4043" s="1" t="str">
        <f t="shared" si="3"/>
        <v>Loss</v>
      </c>
    </row>
    <row r="4044" ht="14.25" customHeight="1">
      <c r="A4044" s="1" t="s">
        <v>4078</v>
      </c>
      <c r="B4044" s="2">
        <v>44657.0</v>
      </c>
      <c r="C4044" s="1" t="s">
        <v>14</v>
      </c>
      <c r="D4044" s="1" t="s">
        <v>27</v>
      </c>
      <c r="E4044" s="1" t="s">
        <v>33</v>
      </c>
      <c r="F4044" s="1">
        <v>176.05</v>
      </c>
      <c r="G4044" s="1">
        <v>-107.56</v>
      </c>
      <c r="H4044" s="1">
        <v>3.0</v>
      </c>
      <c r="I4044" s="1" t="s">
        <v>17</v>
      </c>
      <c r="J4044" s="1" t="s">
        <v>24</v>
      </c>
      <c r="K4044" s="1">
        <f t="shared" si="1"/>
        <v>2022</v>
      </c>
      <c r="L4044" s="1" t="str">
        <f t="shared" si="2"/>
        <v>Apr</v>
      </c>
      <c r="M4044" s="1" t="str">
        <f t="shared" si="3"/>
        <v>Loss</v>
      </c>
    </row>
    <row r="4045" ht="14.25" customHeight="1">
      <c r="A4045" s="1" t="s">
        <v>4079</v>
      </c>
      <c r="B4045" s="2">
        <v>44204.0</v>
      </c>
      <c r="C4045" s="1" t="s">
        <v>14</v>
      </c>
      <c r="D4045" s="1" t="s">
        <v>27</v>
      </c>
      <c r="E4045" s="1" t="s">
        <v>33</v>
      </c>
      <c r="F4045" s="1">
        <v>237.06</v>
      </c>
      <c r="G4045" s="1">
        <v>-109.74</v>
      </c>
      <c r="H4045" s="1">
        <v>2.0</v>
      </c>
      <c r="I4045" s="1" t="s">
        <v>17</v>
      </c>
      <c r="J4045" s="1" t="s">
        <v>38</v>
      </c>
      <c r="K4045" s="1">
        <f t="shared" si="1"/>
        <v>2021</v>
      </c>
      <c r="L4045" s="1" t="str">
        <f t="shared" si="2"/>
        <v>Jan</v>
      </c>
      <c r="M4045" s="1" t="str">
        <f t="shared" si="3"/>
        <v>Loss</v>
      </c>
    </row>
    <row r="4046" ht="14.25" customHeight="1">
      <c r="A4046" s="1" t="s">
        <v>4080</v>
      </c>
      <c r="B4046" s="2">
        <v>45138.0</v>
      </c>
      <c r="C4046" s="1" t="s">
        <v>30</v>
      </c>
      <c r="D4046" s="1" t="s">
        <v>21</v>
      </c>
      <c r="E4046" s="1" t="s">
        <v>76</v>
      </c>
      <c r="F4046" s="1">
        <v>922.94</v>
      </c>
      <c r="G4046" s="1">
        <v>154.66</v>
      </c>
      <c r="H4046" s="1">
        <v>2.0</v>
      </c>
      <c r="I4046" s="1" t="s">
        <v>23</v>
      </c>
      <c r="J4046" s="1" t="s">
        <v>35</v>
      </c>
      <c r="K4046" s="1">
        <f t="shared" si="1"/>
        <v>2023</v>
      </c>
      <c r="L4046" s="1" t="str">
        <f t="shared" si="2"/>
        <v>Jul</v>
      </c>
      <c r="M4046" s="1" t="str">
        <f t="shared" si="3"/>
        <v>Profit</v>
      </c>
    </row>
    <row r="4047" ht="14.25" customHeight="1">
      <c r="A4047" s="1" t="s">
        <v>4081</v>
      </c>
      <c r="B4047" s="2">
        <v>44219.0</v>
      </c>
      <c r="C4047" s="1" t="s">
        <v>26</v>
      </c>
      <c r="D4047" s="1" t="s">
        <v>15</v>
      </c>
      <c r="E4047" s="1" t="s">
        <v>54</v>
      </c>
      <c r="F4047" s="1">
        <v>680.87</v>
      </c>
      <c r="G4047" s="1">
        <v>234.43</v>
      </c>
      <c r="H4047" s="1">
        <v>6.0</v>
      </c>
      <c r="I4047" s="1" t="s">
        <v>23</v>
      </c>
      <c r="J4047" s="1" t="s">
        <v>18</v>
      </c>
      <c r="K4047" s="1">
        <f t="shared" si="1"/>
        <v>2021</v>
      </c>
      <c r="L4047" s="1" t="str">
        <f t="shared" si="2"/>
        <v>Jan</v>
      </c>
      <c r="M4047" s="1" t="str">
        <f t="shared" si="3"/>
        <v>Profit</v>
      </c>
    </row>
    <row r="4048" ht="14.25" customHeight="1">
      <c r="A4048" s="1" t="s">
        <v>4082</v>
      </c>
      <c r="B4048" s="2">
        <v>44771.0</v>
      </c>
      <c r="C4048" s="1" t="s">
        <v>30</v>
      </c>
      <c r="D4048" s="1" t="s">
        <v>15</v>
      </c>
      <c r="E4048" s="1" t="s">
        <v>16</v>
      </c>
      <c r="F4048" s="1">
        <v>301.72</v>
      </c>
      <c r="G4048" s="1">
        <v>-100.92</v>
      </c>
      <c r="H4048" s="1">
        <v>10.0</v>
      </c>
      <c r="I4048" s="1" t="s">
        <v>17</v>
      </c>
      <c r="J4048" s="1" t="s">
        <v>24</v>
      </c>
      <c r="K4048" s="1">
        <f t="shared" si="1"/>
        <v>2022</v>
      </c>
      <c r="L4048" s="1" t="str">
        <f t="shared" si="2"/>
        <v>Jul</v>
      </c>
      <c r="M4048" s="1" t="str">
        <f t="shared" si="3"/>
        <v>Loss</v>
      </c>
    </row>
    <row r="4049" ht="14.25" customHeight="1">
      <c r="A4049" s="1" t="s">
        <v>4083</v>
      </c>
      <c r="B4049" s="2">
        <v>44722.0</v>
      </c>
      <c r="C4049" s="1" t="s">
        <v>20</v>
      </c>
      <c r="D4049" s="1" t="s">
        <v>27</v>
      </c>
      <c r="E4049" s="1" t="s">
        <v>28</v>
      </c>
      <c r="F4049" s="1">
        <v>260.02</v>
      </c>
      <c r="G4049" s="1">
        <v>117.19</v>
      </c>
      <c r="H4049" s="1">
        <v>2.0</v>
      </c>
      <c r="I4049" s="1" t="s">
        <v>17</v>
      </c>
      <c r="J4049" s="1" t="s">
        <v>38</v>
      </c>
      <c r="K4049" s="1">
        <f t="shared" si="1"/>
        <v>2022</v>
      </c>
      <c r="L4049" s="1" t="str">
        <f t="shared" si="2"/>
        <v>Jun</v>
      </c>
      <c r="M4049" s="1" t="str">
        <f t="shared" si="3"/>
        <v>Profit</v>
      </c>
    </row>
    <row r="4050" ht="14.25" customHeight="1">
      <c r="A4050" s="1" t="s">
        <v>4084</v>
      </c>
      <c r="B4050" s="2">
        <v>44480.0</v>
      </c>
      <c r="C4050" s="1" t="s">
        <v>26</v>
      </c>
      <c r="D4050" s="1" t="s">
        <v>15</v>
      </c>
      <c r="E4050" s="1" t="s">
        <v>31</v>
      </c>
      <c r="F4050" s="1">
        <v>30.72</v>
      </c>
      <c r="G4050" s="1">
        <v>80.82</v>
      </c>
      <c r="H4050" s="1">
        <v>3.0</v>
      </c>
      <c r="I4050" s="1" t="s">
        <v>23</v>
      </c>
      <c r="J4050" s="1" t="s">
        <v>35</v>
      </c>
      <c r="K4050" s="1">
        <f t="shared" si="1"/>
        <v>2021</v>
      </c>
      <c r="L4050" s="1" t="str">
        <f t="shared" si="2"/>
        <v>Oct</v>
      </c>
      <c r="M4050" s="1" t="str">
        <f t="shared" si="3"/>
        <v>Profit</v>
      </c>
    </row>
    <row r="4051" ht="14.25" customHeight="1">
      <c r="A4051" s="1" t="s">
        <v>4085</v>
      </c>
      <c r="B4051" s="2">
        <v>44388.0</v>
      </c>
      <c r="C4051" s="1" t="s">
        <v>30</v>
      </c>
      <c r="D4051" s="1" t="s">
        <v>15</v>
      </c>
      <c r="E4051" s="1" t="s">
        <v>31</v>
      </c>
      <c r="F4051" s="1">
        <v>354.29</v>
      </c>
      <c r="G4051" s="1">
        <v>97.61</v>
      </c>
      <c r="H4051" s="1">
        <v>5.0</v>
      </c>
      <c r="I4051" s="1" t="s">
        <v>34</v>
      </c>
      <c r="J4051" s="1" t="s">
        <v>24</v>
      </c>
      <c r="K4051" s="1">
        <f t="shared" si="1"/>
        <v>2021</v>
      </c>
      <c r="L4051" s="1" t="str">
        <f t="shared" si="2"/>
        <v>Jul</v>
      </c>
      <c r="M4051" s="1" t="str">
        <f t="shared" si="3"/>
        <v>Profit</v>
      </c>
    </row>
    <row r="4052" ht="14.25" customHeight="1">
      <c r="A4052" s="1" t="s">
        <v>4086</v>
      </c>
      <c r="B4052" s="2">
        <v>44868.0</v>
      </c>
      <c r="C4052" s="1" t="s">
        <v>14</v>
      </c>
      <c r="D4052" s="1" t="s">
        <v>15</v>
      </c>
      <c r="E4052" s="1" t="s">
        <v>16</v>
      </c>
      <c r="F4052" s="1">
        <v>414.17</v>
      </c>
      <c r="G4052" s="1">
        <v>222.22</v>
      </c>
      <c r="H4052" s="1">
        <v>1.0</v>
      </c>
      <c r="I4052" s="1" t="s">
        <v>23</v>
      </c>
      <c r="J4052" s="1" t="s">
        <v>24</v>
      </c>
      <c r="K4052" s="1">
        <f t="shared" si="1"/>
        <v>2022</v>
      </c>
      <c r="L4052" s="1" t="str">
        <f t="shared" si="2"/>
        <v>Nov</v>
      </c>
      <c r="M4052" s="1" t="str">
        <f t="shared" si="3"/>
        <v>Profit</v>
      </c>
    </row>
    <row r="4053" ht="14.25" customHeight="1">
      <c r="A4053" s="1" t="s">
        <v>4087</v>
      </c>
      <c r="B4053" s="2">
        <v>44637.0</v>
      </c>
      <c r="C4053" s="1" t="s">
        <v>14</v>
      </c>
      <c r="D4053" s="1" t="s">
        <v>21</v>
      </c>
      <c r="E4053" s="1" t="s">
        <v>22</v>
      </c>
      <c r="F4053" s="1">
        <v>687.35</v>
      </c>
      <c r="G4053" s="1">
        <v>151.44</v>
      </c>
      <c r="H4053" s="1">
        <v>6.0</v>
      </c>
      <c r="I4053" s="1" t="s">
        <v>23</v>
      </c>
      <c r="J4053" s="1" t="s">
        <v>38</v>
      </c>
      <c r="K4053" s="1">
        <f t="shared" si="1"/>
        <v>2022</v>
      </c>
      <c r="L4053" s="1" t="str">
        <f t="shared" si="2"/>
        <v>Mar</v>
      </c>
      <c r="M4053" s="1" t="str">
        <f t="shared" si="3"/>
        <v>Profit</v>
      </c>
    </row>
    <row r="4054" ht="14.25" customHeight="1">
      <c r="A4054" s="1" t="s">
        <v>4088</v>
      </c>
      <c r="B4054" s="2">
        <v>44899.0</v>
      </c>
      <c r="C4054" s="1" t="s">
        <v>26</v>
      </c>
      <c r="D4054" s="1" t="s">
        <v>15</v>
      </c>
      <c r="E4054" s="1" t="s">
        <v>31</v>
      </c>
      <c r="F4054" s="1">
        <v>926.97</v>
      </c>
      <c r="G4054" s="1">
        <v>19.6</v>
      </c>
      <c r="H4054" s="1">
        <v>10.0</v>
      </c>
      <c r="I4054" s="1" t="s">
        <v>17</v>
      </c>
      <c r="J4054" s="1" t="s">
        <v>38</v>
      </c>
      <c r="K4054" s="1">
        <f t="shared" si="1"/>
        <v>2022</v>
      </c>
      <c r="L4054" s="1" t="str">
        <f t="shared" si="2"/>
        <v>Dec</v>
      </c>
      <c r="M4054" s="1" t="str">
        <f t="shared" si="3"/>
        <v>Profit</v>
      </c>
    </row>
    <row r="4055" ht="14.25" customHeight="1">
      <c r="A4055" s="1" t="s">
        <v>4089</v>
      </c>
      <c r="B4055" s="2">
        <v>45118.0</v>
      </c>
      <c r="C4055" s="1" t="s">
        <v>26</v>
      </c>
      <c r="D4055" s="1" t="s">
        <v>21</v>
      </c>
      <c r="E4055" s="1" t="s">
        <v>76</v>
      </c>
      <c r="F4055" s="1">
        <v>602.45</v>
      </c>
      <c r="G4055" s="1">
        <v>218.68</v>
      </c>
      <c r="H4055" s="1">
        <v>8.0</v>
      </c>
      <c r="I4055" s="1" t="s">
        <v>23</v>
      </c>
      <c r="J4055" s="1" t="s">
        <v>38</v>
      </c>
      <c r="K4055" s="1">
        <f t="shared" si="1"/>
        <v>2023</v>
      </c>
      <c r="L4055" s="1" t="str">
        <f t="shared" si="2"/>
        <v>Jul</v>
      </c>
      <c r="M4055" s="1" t="str">
        <f t="shared" si="3"/>
        <v>Profit</v>
      </c>
    </row>
    <row r="4056" ht="14.25" customHeight="1">
      <c r="A4056" s="1" t="s">
        <v>4090</v>
      </c>
      <c r="B4056" s="2">
        <v>44730.0</v>
      </c>
      <c r="C4056" s="1" t="s">
        <v>30</v>
      </c>
      <c r="D4056" s="1" t="s">
        <v>21</v>
      </c>
      <c r="E4056" s="1" t="s">
        <v>76</v>
      </c>
      <c r="F4056" s="1">
        <v>939.09</v>
      </c>
      <c r="G4056" s="1">
        <v>25.35</v>
      </c>
      <c r="H4056" s="1">
        <v>9.0</v>
      </c>
      <c r="I4056" s="1" t="s">
        <v>23</v>
      </c>
      <c r="J4056" s="1" t="s">
        <v>18</v>
      </c>
      <c r="K4056" s="1">
        <f t="shared" si="1"/>
        <v>2022</v>
      </c>
      <c r="L4056" s="1" t="str">
        <f t="shared" si="2"/>
        <v>Jun</v>
      </c>
      <c r="M4056" s="1" t="str">
        <f t="shared" si="3"/>
        <v>Profit</v>
      </c>
    </row>
    <row r="4057" ht="14.25" customHeight="1">
      <c r="A4057" s="1" t="s">
        <v>4091</v>
      </c>
      <c r="B4057" s="2">
        <v>45128.0</v>
      </c>
      <c r="C4057" s="1" t="s">
        <v>14</v>
      </c>
      <c r="D4057" s="1" t="s">
        <v>21</v>
      </c>
      <c r="E4057" s="1" t="s">
        <v>22</v>
      </c>
      <c r="F4057" s="1">
        <v>547.24</v>
      </c>
      <c r="G4057" s="1">
        <v>-33.84</v>
      </c>
      <c r="H4057" s="1">
        <v>1.0</v>
      </c>
      <c r="I4057" s="1" t="s">
        <v>17</v>
      </c>
      <c r="J4057" s="1" t="s">
        <v>38</v>
      </c>
      <c r="K4057" s="1">
        <f t="shared" si="1"/>
        <v>2023</v>
      </c>
      <c r="L4057" s="1" t="str">
        <f t="shared" si="2"/>
        <v>Jul</v>
      </c>
      <c r="M4057" s="1" t="str">
        <f t="shared" si="3"/>
        <v>Loss</v>
      </c>
    </row>
    <row r="4058" ht="14.25" customHeight="1">
      <c r="A4058" s="1" t="s">
        <v>4092</v>
      </c>
      <c r="B4058" s="2">
        <v>45055.0</v>
      </c>
      <c r="C4058" s="1" t="s">
        <v>20</v>
      </c>
      <c r="D4058" s="1" t="s">
        <v>27</v>
      </c>
      <c r="E4058" s="1" t="s">
        <v>40</v>
      </c>
      <c r="F4058" s="1">
        <v>255.36</v>
      </c>
      <c r="G4058" s="1">
        <v>-12.33</v>
      </c>
      <c r="H4058" s="1">
        <v>8.0</v>
      </c>
      <c r="I4058" s="1" t="s">
        <v>34</v>
      </c>
      <c r="J4058" s="1" t="s">
        <v>35</v>
      </c>
      <c r="K4058" s="1">
        <f t="shared" si="1"/>
        <v>2023</v>
      </c>
      <c r="L4058" s="1" t="str">
        <f t="shared" si="2"/>
        <v>May</v>
      </c>
      <c r="M4058" s="1" t="str">
        <f t="shared" si="3"/>
        <v>Loss</v>
      </c>
    </row>
    <row r="4059" ht="14.25" customHeight="1">
      <c r="A4059" s="1" t="s">
        <v>4093</v>
      </c>
      <c r="B4059" s="2">
        <v>44801.0</v>
      </c>
      <c r="C4059" s="1" t="s">
        <v>26</v>
      </c>
      <c r="D4059" s="1" t="s">
        <v>15</v>
      </c>
      <c r="E4059" s="1" t="s">
        <v>31</v>
      </c>
      <c r="F4059" s="1">
        <v>478.71</v>
      </c>
      <c r="G4059" s="1">
        <v>81.31</v>
      </c>
      <c r="H4059" s="1">
        <v>6.0</v>
      </c>
      <c r="I4059" s="1" t="s">
        <v>34</v>
      </c>
      <c r="J4059" s="1" t="s">
        <v>24</v>
      </c>
      <c r="K4059" s="1">
        <f t="shared" si="1"/>
        <v>2022</v>
      </c>
      <c r="L4059" s="1" t="str">
        <f t="shared" si="2"/>
        <v>Aug</v>
      </c>
      <c r="M4059" s="1" t="str">
        <f t="shared" si="3"/>
        <v>Profit</v>
      </c>
    </row>
    <row r="4060" ht="14.25" customHeight="1">
      <c r="A4060" s="1" t="s">
        <v>4094</v>
      </c>
      <c r="B4060" s="2">
        <v>45054.0</v>
      </c>
      <c r="C4060" s="1" t="s">
        <v>30</v>
      </c>
      <c r="D4060" s="1" t="s">
        <v>15</v>
      </c>
      <c r="E4060" s="1" t="s">
        <v>16</v>
      </c>
      <c r="F4060" s="1">
        <v>89.52</v>
      </c>
      <c r="G4060" s="1">
        <v>64.58</v>
      </c>
      <c r="H4060" s="1">
        <v>1.0</v>
      </c>
      <c r="I4060" s="1" t="s">
        <v>23</v>
      </c>
      <c r="J4060" s="1" t="s">
        <v>35</v>
      </c>
      <c r="K4060" s="1">
        <f t="shared" si="1"/>
        <v>2023</v>
      </c>
      <c r="L4060" s="1" t="str">
        <f t="shared" si="2"/>
        <v>May</v>
      </c>
      <c r="M4060" s="1" t="str">
        <f t="shared" si="3"/>
        <v>Profit</v>
      </c>
    </row>
    <row r="4061" ht="14.25" customHeight="1">
      <c r="A4061" s="1" t="s">
        <v>4095</v>
      </c>
      <c r="B4061" s="2">
        <v>44857.0</v>
      </c>
      <c r="C4061" s="1" t="s">
        <v>30</v>
      </c>
      <c r="D4061" s="1" t="s">
        <v>15</v>
      </c>
      <c r="E4061" s="1" t="s">
        <v>31</v>
      </c>
      <c r="F4061" s="1">
        <v>435.07</v>
      </c>
      <c r="G4061" s="1">
        <v>-93.47</v>
      </c>
      <c r="H4061" s="1">
        <v>7.0</v>
      </c>
      <c r="I4061" s="1" t="s">
        <v>23</v>
      </c>
      <c r="J4061" s="1" t="s">
        <v>35</v>
      </c>
      <c r="K4061" s="1">
        <f t="shared" si="1"/>
        <v>2022</v>
      </c>
      <c r="L4061" s="1" t="str">
        <f t="shared" si="2"/>
        <v>Oct</v>
      </c>
      <c r="M4061" s="1" t="str">
        <f t="shared" si="3"/>
        <v>Loss</v>
      </c>
    </row>
    <row r="4062" ht="14.25" customHeight="1">
      <c r="A4062" s="1" t="s">
        <v>4096</v>
      </c>
      <c r="B4062" s="2">
        <v>44632.0</v>
      </c>
      <c r="C4062" s="1" t="s">
        <v>14</v>
      </c>
      <c r="D4062" s="1" t="s">
        <v>27</v>
      </c>
      <c r="E4062" s="1" t="s">
        <v>28</v>
      </c>
      <c r="F4062" s="1">
        <v>927.92</v>
      </c>
      <c r="G4062" s="1">
        <v>182.37</v>
      </c>
      <c r="H4062" s="1">
        <v>6.0</v>
      </c>
      <c r="I4062" s="1" t="s">
        <v>34</v>
      </c>
      <c r="J4062" s="1" t="s">
        <v>18</v>
      </c>
      <c r="K4062" s="1">
        <f t="shared" si="1"/>
        <v>2022</v>
      </c>
      <c r="L4062" s="1" t="str">
        <f t="shared" si="2"/>
        <v>Mar</v>
      </c>
      <c r="M4062" s="1" t="str">
        <f t="shared" si="3"/>
        <v>Profit</v>
      </c>
    </row>
    <row r="4063" ht="14.25" customHeight="1">
      <c r="A4063" s="1" t="s">
        <v>4097</v>
      </c>
      <c r="B4063" s="2">
        <v>44940.0</v>
      </c>
      <c r="C4063" s="1" t="s">
        <v>20</v>
      </c>
      <c r="D4063" s="1" t="s">
        <v>27</v>
      </c>
      <c r="E4063" s="1" t="s">
        <v>33</v>
      </c>
      <c r="F4063" s="1">
        <v>747.2</v>
      </c>
      <c r="G4063" s="1">
        <v>-123.18</v>
      </c>
      <c r="H4063" s="1">
        <v>6.0</v>
      </c>
      <c r="I4063" s="1" t="s">
        <v>34</v>
      </c>
      <c r="J4063" s="1" t="s">
        <v>38</v>
      </c>
      <c r="K4063" s="1">
        <f t="shared" si="1"/>
        <v>2023</v>
      </c>
      <c r="L4063" s="1" t="str">
        <f t="shared" si="2"/>
        <v>Jan</v>
      </c>
      <c r="M4063" s="1" t="str">
        <f t="shared" si="3"/>
        <v>Loss</v>
      </c>
    </row>
    <row r="4064" ht="14.25" customHeight="1">
      <c r="A4064" s="1" t="s">
        <v>4098</v>
      </c>
      <c r="B4064" s="2">
        <v>44368.0</v>
      </c>
      <c r="C4064" s="1" t="s">
        <v>14</v>
      </c>
      <c r="D4064" s="1" t="s">
        <v>15</v>
      </c>
      <c r="E4064" s="1" t="s">
        <v>31</v>
      </c>
      <c r="F4064" s="1">
        <v>447.69</v>
      </c>
      <c r="G4064" s="1">
        <v>287.21</v>
      </c>
      <c r="H4064" s="1">
        <v>3.0</v>
      </c>
      <c r="I4064" s="1" t="s">
        <v>34</v>
      </c>
      <c r="J4064" s="1" t="s">
        <v>18</v>
      </c>
      <c r="K4064" s="1">
        <f t="shared" si="1"/>
        <v>2021</v>
      </c>
      <c r="L4064" s="1" t="str">
        <f t="shared" si="2"/>
        <v>Jun</v>
      </c>
      <c r="M4064" s="1" t="str">
        <f t="shared" si="3"/>
        <v>Profit</v>
      </c>
    </row>
    <row r="4065" ht="14.25" customHeight="1">
      <c r="A4065" s="1" t="s">
        <v>4099</v>
      </c>
      <c r="B4065" s="2">
        <v>44563.0</v>
      </c>
      <c r="C4065" s="1" t="s">
        <v>14</v>
      </c>
      <c r="D4065" s="1" t="s">
        <v>27</v>
      </c>
      <c r="E4065" s="1" t="s">
        <v>40</v>
      </c>
      <c r="F4065" s="1">
        <v>919.98</v>
      </c>
      <c r="G4065" s="1">
        <v>-144.47</v>
      </c>
      <c r="H4065" s="1">
        <v>4.0</v>
      </c>
      <c r="I4065" s="1" t="s">
        <v>34</v>
      </c>
      <c r="J4065" s="1" t="s">
        <v>18</v>
      </c>
      <c r="K4065" s="1">
        <f t="shared" si="1"/>
        <v>2022</v>
      </c>
      <c r="L4065" s="1" t="str">
        <f t="shared" si="2"/>
        <v>Jan</v>
      </c>
      <c r="M4065" s="1" t="str">
        <f t="shared" si="3"/>
        <v>Loss</v>
      </c>
    </row>
    <row r="4066" ht="14.25" customHeight="1">
      <c r="A4066" s="1" t="s">
        <v>4100</v>
      </c>
      <c r="B4066" s="2">
        <v>44919.0</v>
      </c>
      <c r="C4066" s="1" t="s">
        <v>20</v>
      </c>
      <c r="D4066" s="1" t="s">
        <v>15</v>
      </c>
      <c r="E4066" s="1" t="s">
        <v>54</v>
      </c>
      <c r="F4066" s="1">
        <v>150.28</v>
      </c>
      <c r="G4066" s="1">
        <v>20.54</v>
      </c>
      <c r="H4066" s="1">
        <v>6.0</v>
      </c>
      <c r="I4066" s="1" t="s">
        <v>17</v>
      </c>
      <c r="J4066" s="1" t="s">
        <v>18</v>
      </c>
      <c r="K4066" s="1">
        <f t="shared" si="1"/>
        <v>2022</v>
      </c>
      <c r="L4066" s="1" t="str">
        <f t="shared" si="2"/>
        <v>Dec</v>
      </c>
      <c r="M4066" s="1" t="str">
        <f t="shared" si="3"/>
        <v>Profit</v>
      </c>
    </row>
    <row r="4067" ht="14.25" customHeight="1">
      <c r="A4067" s="1" t="s">
        <v>4101</v>
      </c>
      <c r="B4067" s="2">
        <v>44312.0</v>
      </c>
      <c r="C4067" s="1" t="s">
        <v>14</v>
      </c>
      <c r="D4067" s="1" t="s">
        <v>27</v>
      </c>
      <c r="E4067" s="1" t="s">
        <v>33</v>
      </c>
      <c r="F4067" s="1">
        <v>469.04</v>
      </c>
      <c r="G4067" s="1">
        <v>127.91</v>
      </c>
      <c r="H4067" s="1">
        <v>3.0</v>
      </c>
      <c r="I4067" s="1" t="s">
        <v>34</v>
      </c>
      <c r="J4067" s="1" t="s">
        <v>18</v>
      </c>
      <c r="K4067" s="1">
        <f t="shared" si="1"/>
        <v>2021</v>
      </c>
      <c r="L4067" s="1" t="str">
        <f t="shared" si="2"/>
        <v>Apr</v>
      </c>
      <c r="M4067" s="1" t="str">
        <f t="shared" si="3"/>
        <v>Profit</v>
      </c>
    </row>
    <row r="4068" ht="14.25" customHeight="1">
      <c r="A4068" s="1" t="s">
        <v>4102</v>
      </c>
      <c r="B4068" s="2">
        <v>44379.0</v>
      </c>
      <c r="C4068" s="1" t="s">
        <v>26</v>
      </c>
      <c r="D4068" s="1" t="s">
        <v>15</v>
      </c>
      <c r="E4068" s="1" t="s">
        <v>16</v>
      </c>
      <c r="F4068" s="1">
        <v>225.2</v>
      </c>
      <c r="G4068" s="1">
        <v>-118.0</v>
      </c>
      <c r="H4068" s="1">
        <v>3.0</v>
      </c>
      <c r="I4068" s="1" t="s">
        <v>34</v>
      </c>
      <c r="J4068" s="1" t="s">
        <v>35</v>
      </c>
      <c r="K4068" s="1">
        <f t="shared" si="1"/>
        <v>2021</v>
      </c>
      <c r="L4068" s="1" t="str">
        <f t="shared" si="2"/>
        <v>Jul</v>
      </c>
      <c r="M4068" s="1" t="str">
        <f t="shared" si="3"/>
        <v>Loss</v>
      </c>
    </row>
    <row r="4069" ht="14.25" customHeight="1">
      <c r="A4069" s="1" t="s">
        <v>4103</v>
      </c>
      <c r="B4069" s="2">
        <v>45127.0</v>
      </c>
      <c r="C4069" s="1" t="s">
        <v>26</v>
      </c>
      <c r="D4069" s="1" t="s">
        <v>21</v>
      </c>
      <c r="E4069" s="1" t="s">
        <v>37</v>
      </c>
      <c r="F4069" s="1">
        <v>952.89</v>
      </c>
      <c r="G4069" s="1">
        <v>-183.01</v>
      </c>
      <c r="H4069" s="1">
        <v>9.0</v>
      </c>
      <c r="I4069" s="1" t="s">
        <v>23</v>
      </c>
      <c r="J4069" s="1" t="s">
        <v>38</v>
      </c>
      <c r="K4069" s="1">
        <f t="shared" si="1"/>
        <v>2023</v>
      </c>
      <c r="L4069" s="1" t="str">
        <f t="shared" si="2"/>
        <v>Jul</v>
      </c>
      <c r="M4069" s="1" t="str">
        <f t="shared" si="3"/>
        <v>Loss</v>
      </c>
    </row>
    <row r="4070" ht="14.25" customHeight="1">
      <c r="A4070" s="1" t="s">
        <v>4104</v>
      </c>
      <c r="B4070" s="2">
        <v>44541.0</v>
      </c>
      <c r="C4070" s="1" t="s">
        <v>14</v>
      </c>
      <c r="D4070" s="1" t="s">
        <v>21</v>
      </c>
      <c r="E4070" s="1" t="s">
        <v>76</v>
      </c>
      <c r="F4070" s="1">
        <v>511.92</v>
      </c>
      <c r="G4070" s="1">
        <v>78.13</v>
      </c>
      <c r="H4070" s="1">
        <v>3.0</v>
      </c>
      <c r="I4070" s="1" t="s">
        <v>23</v>
      </c>
      <c r="J4070" s="1" t="s">
        <v>18</v>
      </c>
      <c r="K4070" s="1">
        <f t="shared" si="1"/>
        <v>2021</v>
      </c>
      <c r="L4070" s="1" t="str">
        <f t="shared" si="2"/>
        <v>Dec</v>
      </c>
      <c r="M4070" s="1" t="str">
        <f t="shared" si="3"/>
        <v>Profit</v>
      </c>
    </row>
    <row r="4071" ht="14.25" customHeight="1">
      <c r="A4071" s="1" t="s">
        <v>4105</v>
      </c>
      <c r="B4071" s="2">
        <v>45248.0</v>
      </c>
      <c r="C4071" s="1" t="s">
        <v>30</v>
      </c>
      <c r="D4071" s="1" t="s">
        <v>15</v>
      </c>
      <c r="E4071" s="1" t="s">
        <v>31</v>
      </c>
      <c r="F4071" s="1">
        <v>89.01</v>
      </c>
      <c r="G4071" s="1">
        <v>-172.85</v>
      </c>
      <c r="H4071" s="1">
        <v>2.0</v>
      </c>
      <c r="I4071" s="1" t="s">
        <v>23</v>
      </c>
      <c r="J4071" s="1" t="s">
        <v>18</v>
      </c>
      <c r="K4071" s="1">
        <f t="shared" si="1"/>
        <v>2023</v>
      </c>
      <c r="L4071" s="1" t="str">
        <f t="shared" si="2"/>
        <v>Nov</v>
      </c>
      <c r="M4071" s="1" t="str">
        <f t="shared" si="3"/>
        <v>Loss</v>
      </c>
    </row>
    <row r="4072" ht="14.25" customHeight="1">
      <c r="A4072" s="1" t="s">
        <v>4106</v>
      </c>
      <c r="B4072" s="2">
        <v>45256.0</v>
      </c>
      <c r="C4072" s="1" t="s">
        <v>14</v>
      </c>
      <c r="D4072" s="1" t="s">
        <v>15</v>
      </c>
      <c r="E4072" s="1" t="s">
        <v>31</v>
      </c>
      <c r="F4072" s="1">
        <v>588.13</v>
      </c>
      <c r="G4072" s="1">
        <v>6.5</v>
      </c>
      <c r="H4072" s="1">
        <v>8.0</v>
      </c>
      <c r="I4072" s="1" t="s">
        <v>17</v>
      </c>
      <c r="J4072" s="1" t="s">
        <v>35</v>
      </c>
      <c r="K4072" s="1">
        <f t="shared" si="1"/>
        <v>2023</v>
      </c>
      <c r="L4072" s="1" t="str">
        <f t="shared" si="2"/>
        <v>Nov</v>
      </c>
      <c r="M4072" s="1" t="str">
        <f t="shared" si="3"/>
        <v>Profit</v>
      </c>
    </row>
    <row r="4073" ht="14.25" customHeight="1">
      <c r="A4073" s="1" t="s">
        <v>4107</v>
      </c>
      <c r="B4073" s="2">
        <v>44313.0</v>
      </c>
      <c r="C4073" s="1" t="s">
        <v>30</v>
      </c>
      <c r="D4073" s="1" t="s">
        <v>15</v>
      </c>
      <c r="E4073" s="1" t="s">
        <v>16</v>
      </c>
      <c r="F4073" s="1">
        <v>109.77</v>
      </c>
      <c r="G4073" s="1">
        <v>-108.06</v>
      </c>
      <c r="H4073" s="1">
        <v>5.0</v>
      </c>
      <c r="I4073" s="1" t="s">
        <v>17</v>
      </c>
      <c r="J4073" s="1" t="s">
        <v>35</v>
      </c>
      <c r="K4073" s="1">
        <f t="shared" si="1"/>
        <v>2021</v>
      </c>
      <c r="L4073" s="1" t="str">
        <f t="shared" si="2"/>
        <v>Apr</v>
      </c>
      <c r="M4073" s="1" t="str">
        <f t="shared" si="3"/>
        <v>Loss</v>
      </c>
    </row>
    <row r="4074" ht="14.25" customHeight="1">
      <c r="A4074" s="1" t="s">
        <v>4108</v>
      </c>
      <c r="B4074" s="2">
        <v>44338.0</v>
      </c>
      <c r="C4074" s="1" t="s">
        <v>30</v>
      </c>
      <c r="D4074" s="1" t="s">
        <v>15</v>
      </c>
      <c r="E4074" s="1" t="s">
        <v>16</v>
      </c>
      <c r="F4074" s="1">
        <v>274.06</v>
      </c>
      <c r="G4074" s="1">
        <v>119.66</v>
      </c>
      <c r="H4074" s="1">
        <v>5.0</v>
      </c>
      <c r="I4074" s="1" t="s">
        <v>23</v>
      </c>
      <c r="J4074" s="1" t="s">
        <v>18</v>
      </c>
      <c r="K4074" s="1">
        <f t="shared" si="1"/>
        <v>2021</v>
      </c>
      <c r="L4074" s="1" t="str">
        <f t="shared" si="2"/>
        <v>May</v>
      </c>
      <c r="M4074" s="1" t="str">
        <f t="shared" si="3"/>
        <v>Profit</v>
      </c>
    </row>
    <row r="4075" ht="14.25" customHeight="1">
      <c r="A4075" s="1" t="s">
        <v>4109</v>
      </c>
      <c r="B4075" s="2">
        <v>44409.0</v>
      </c>
      <c r="C4075" s="1" t="s">
        <v>26</v>
      </c>
      <c r="D4075" s="1" t="s">
        <v>21</v>
      </c>
      <c r="E4075" s="1" t="s">
        <v>76</v>
      </c>
      <c r="F4075" s="1">
        <v>349.02</v>
      </c>
      <c r="G4075" s="1">
        <v>168.08</v>
      </c>
      <c r="H4075" s="1">
        <v>5.0</v>
      </c>
      <c r="I4075" s="1" t="s">
        <v>23</v>
      </c>
      <c r="J4075" s="1" t="s">
        <v>35</v>
      </c>
      <c r="K4075" s="1">
        <f t="shared" si="1"/>
        <v>2021</v>
      </c>
      <c r="L4075" s="1" t="str">
        <f t="shared" si="2"/>
        <v>Aug</v>
      </c>
      <c r="M4075" s="1" t="str">
        <f t="shared" si="3"/>
        <v>Profit</v>
      </c>
    </row>
    <row r="4076" ht="14.25" customHeight="1">
      <c r="A4076" s="1" t="s">
        <v>4110</v>
      </c>
      <c r="B4076" s="2">
        <v>44386.0</v>
      </c>
      <c r="C4076" s="1" t="s">
        <v>26</v>
      </c>
      <c r="D4076" s="1" t="s">
        <v>27</v>
      </c>
      <c r="E4076" s="1" t="s">
        <v>40</v>
      </c>
      <c r="F4076" s="1">
        <v>887.69</v>
      </c>
      <c r="G4076" s="1">
        <v>-46.04</v>
      </c>
      <c r="H4076" s="1">
        <v>6.0</v>
      </c>
      <c r="I4076" s="1" t="s">
        <v>23</v>
      </c>
      <c r="J4076" s="1" t="s">
        <v>35</v>
      </c>
      <c r="K4076" s="1">
        <f t="shared" si="1"/>
        <v>2021</v>
      </c>
      <c r="L4076" s="1" t="str">
        <f t="shared" si="2"/>
        <v>Jul</v>
      </c>
      <c r="M4076" s="1" t="str">
        <f t="shared" si="3"/>
        <v>Loss</v>
      </c>
    </row>
    <row r="4077" ht="14.25" customHeight="1">
      <c r="A4077" s="1" t="s">
        <v>4111</v>
      </c>
      <c r="B4077" s="2">
        <v>44799.0</v>
      </c>
      <c r="C4077" s="1" t="s">
        <v>30</v>
      </c>
      <c r="D4077" s="1" t="s">
        <v>21</v>
      </c>
      <c r="E4077" s="1" t="s">
        <v>76</v>
      </c>
      <c r="F4077" s="1">
        <v>159.72</v>
      </c>
      <c r="G4077" s="1">
        <v>218.39</v>
      </c>
      <c r="H4077" s="1">
        <v>3.0</v>
      </c>
      <c r="I4077" s="1" t="s">
        <v>34</v>
      </c>
      <c r="J4077" s="1" t="s">
        <v>35</v>
      </c>
      <c r="K4077" s="1">
        <f t="shared" si="1"/>
        <v>2022</v>
      </c>
      <c r="L4077" s="1" t="str">
        <f t="shared" si="2"/>
        <v>Aug</v>
      </c>
      <c r="M4077" s="1" t="str">
        <f t="shared" si="3"/>
        <v>Profit</v>
      </c>
    </row>
    <row r="4078" ht="14.25" customHeight="1">
      <c r="A4078" s="1" t="s">
        <v>4112</v>
      </c>
      <c r="B4078" s="2">
        <v>44552.0</v>
      </c>
      <c r="C4078" s="1" t="s">
        <v>26</v>
      </c>
      <c r="D4078" s="1" t="s">
        <v>21</v>
      </c>
      <c r="E4078" s="1" t="s">
        <v>37</v>
      </c>
      <c r="F4078" s="1">
        <v>932.31</v>
      </c>
      <c r="G4078" s="1">
        <v>179.32</v>
      </c>
      <c r="H4078" s="1">
        <v>8.0</v>
      </c>
      <c r="I4078" s="1" t="s">
        <v>17</v>
      </c>
      <c r="J4078" s="1" t="s">
        <v>38</v>
      </c>
      <c r="K4078" s="1">
        <f t="shared" si="1"/>
        <v>2021</v>
      </c>
      <c r="L4078" s="1" t="str">
        <f t="shared" si="2"/>
        <v>Dec</v>
      </c>
      <c r="M4078" s="1" t="str">
        <f t="shared" si="3"/>
        <v>Profit</v>
      </c>
    </row>
    <row r="4079" ht="14.25" customHeight="1">
      <c r="A4079" s="1" t="s">
        <v>4113</v>
      </c>
      <c r="B4079" s="2">
        <v>44626.0</v>
      </c>
      <c r="C4079" s="1" t="s">
        <v>14</v>
      </c>
      <c r="D4079" s="1" t="s">
        <v>27</v>
      </c>
      <c r="E4079" s="1" t="s">
        <v>33</v>
      </c>
      <c r="F4079" s="1">
        <v>652.72</v>
      </c>
      <c r="G4079" s="1">
        <v>-108.64</v>
      </c>
      <c r="H4079" s="1">
        <v>6.0</v>
      </c>
      <c r="I4079" s="1" t="s">
        <v>34</v>
      </c>
      <c r="J4079" s="1" t="s">
        <v>35</v>
      </c>
      <c r="K4079" s="1">
        <f t="shared" si="1"/>
        <v>2022</v>
      </c>
      <c r="L4079" s="1" t="str">
        <f t="shared" si="2"/>
        <v>Mar</v>
      </c>
      <c r="M4079" s="1" t="str">
        <f t="shared" si="3"/>
        <v>Loss</v>
      </c>
    </row>
    <row r="4080" ht="14.25" customHeight="1">
      <c r="A4080" s="1" t="s">
        <v>4114</v>
      </c>
      <c r="B4080" s="2">
        <v>44813.0</v>
      </c>
      <c r="C4080" s="1" t="s">
        <v>14</v>
      </c>
      <c r="D4080" s="1" t="s">
        <v>15</v>
      </c>
      <c r="E4080" s="1" t="s">
        <v>54</v>
      </c>
      <c r="F4080" s="1">
        <v>352.34</v>
      </c>
      <c r="G4080" s="1">
        <v>181.41</v>
      </c>
      <c r="H4080" s="1">
        <v>4.0</v>
      </c>
      <c r="I4080" s="1" t="s">
        <v>23</v>
      </c>
      <c r="J4080" s="1" t="s">
        <v>38</v>
      </c>
      <c r="K4080" s="1">
        <f t="shared" si="1"/>
        <v>2022</v>
      </c>
      <c r="L4080" s="1" t="str">
        <f t="shared" si="2"/>
        <v>Sep</v>
      </c>
      <c r="M4080" s="1" t="str">
        <f t="shared" si="3"/>
        <v>Profit</v>
      </c>
    </row>
    <row r="4081" ht="14.25" customHeight="1">
      <c r="A4081" s="1" t="s">
        <v>4115</v>
      </c>
      <c r="B4081" s="2">
        <v>45249.0</v>
      </c>
      <c r="C4081" s="1" t="s">
        <v>20</v>
      </c>
      <c r="D4081" s="1" t="s">
        <v>15</v>
      </c>
      <c r="E4081" s="1" t="s">
        <v>54</v>
      </c>
      <c r="F4081" s="1">
        <v>428.47</v>
      </c>
      <c r="G4081" s="1">
        <v>36.26</v>
      </c>
      <c r="H4081" s="1">
        <v>7.0</v>
      </c>
      <c r="I4081" s="1" t="s">
        <v>34</v>
      </c>
      <c r="J4081" s="1" t="s">
        <v>38</v>
      </c>
      <c r="K4081" s="1">
        <f t="shared" si="1"/>
        <v>2023</v>
      </c>
      <c r="L4081" s="1" t="str">
        <f t="shared" si="2"/>
        <v>Nov</v>
      </c>
      <c r="M4081" s="1" t="str">
        <f t="shared" si="3"/>
        <v>Profit</v>
      </c>
    </row>
    <row r="4082" ht="14.25" customHeight="1">
      <c r="A4082" s="1" t="s">
        <v>4116</v>
      </c>
      <c r="B4082" s="2">
        <v>45193.0</v>
      </c>
      <c r="C4082" s="1" t="s">
        <v>20</v>
      </c>
      <c r="D4082" s="1" t="s">
        <v>15</v>
      </c>
      <c r="E4082" s="1" t="s">
        <v>31</v>
      </c>
      <c r="F4082" s="1">
        <v>633.55</v>
      </c>
      <c r="G4082" s="1">
        <v>227.17</v>
      </c>
      <c r="H4082" s="1">
        <v>5.0</v>
      </c>
      <c r="I4082" s="1" t="s">
        <v>23</v>
      </c>
      <c r="J4082" s="1" t="s">
        <v>18</v>
      </c>
      <c r="K4082" s="1">
        <f t="shared" si="1"/>
        <v>2023</v>
      </c>
      <c r="L4082" s="1" t="str">
        <f t="shared" si="2"/>
        <v>Sep</v>
      </c>
      <c r="M4082" s="1" t="str">
        <f t="shared" si="3"/>
        <v>Profit</v>
      </c>
    </row>
    <row r="4083" ht="14.25" customHeight="1">
      <c r="A4083" s="1" t="s">
        <v>4117</v>
      </c>
      <c r="B4083" s="2">
        <v>44489.0</v>
      </c>
      <c r="C4083" s="1" t="s">
        <v>30</v>
      </c>
      <c r="D4083" s="1" t="s">
        <v>21</v>
      </c>
      <c r="E4083" s="1" t="s">
        <v>76</v>
      </c>
      <c r="F4083" s="1">
        <v>46.23</v>
      </c>
      <c r="G4083" s="1">
        <v>-130.93</v>
      </c>
      <c r="H4083" s="1">
        <v>6.0</v>
      </c>
      <c r="I4083" s="1" t="s">
        <v>34</v>
      </c>
      <c r="J4083" s="1" t="s">
        <v>24</v>
      </c>
      <c r="K4083" s="1">
        <f t="shared" si="1"/>
        <v>2021</v>
      </c>
      <c r="L4083" s="1" t="str">
        <f t="shared" si="2"/>
        <v>Oct</v>
      </c>
      <c r="M4083" s="1" t="str">
        <f t="shared" si="3"/>
        <v>Loss</v>
      </c>
    </row>
    <row r="4084" ht="14.25" customHeight="1">
      <c r="A4084" s="1" t="s">
        <v>4118</v>
      </c>
      <c r="B4084" s="2">
        <v>44899.0</v>
      </c>
      <c r="C4084" s="1" t="s">
        <v>14</v>
      </c>
      <c r="D4084" s="1" t="s">
        <v>27</v>
      </c>
      <c r="E4084" s="1" t="s">
        <v>33</v>
      </c>
      <c r="F4084" s="1">
        <v>617.95</v>
      </c>
      <c r="G4084" s="1">
        <v>20.34</v>
      </c>
      <c r="H4084" s="1">
        <v>4.0</v>
      </c>
      <c r="I4084" s="1" t="s">
        <v>23</v>
      </c>
      <c r="J4084" s="1" t="s">
        <v>18</v>
      </c>
      <c r="K4084" s="1">
        <f t="shared" si="1"/>
        <v>2022</v>
      </c>
      <c r="L4084" s="1" t="str">
        <f t="shared" si="2"/>
        <v>Dec</v>
      </c>
      <c r="M4084" s="1" t="str">
        <f t="shared" si="3"/>
        <v>Profit</v>
      </c>
    </row>
    <row r="4085" ht="14.25" customHeight="1">
      <c r="A4085" s="1" t="s">
        <v>4119</v>
      </c>
      <c r="B4085" s="2">
        <v>44410.0</v>
      </c>
      <c r="C4085" s="1" t="s">
        <v>20</v>
      </c>
      <c r="D4085" s="1" t="s">
        <v>27</v>
      </c>
      <c r="E4085" s="1" t="s">
        <v>33</v>
      </c>
      <c r="F4085" s="1">
        <v>826.87</v>
      </c>
      <c r="G4085" s="1">
        <v>15.96</v>
      </c>
      <c r="H4085" s="1">
        <v>2.0</v>
      </c>
      <c r="I4085" s="1" t="s">
        <v>34</v>
      </c>
      <c r="J4085" s="1" t="s">
        <v>35</v>
      </c>
      <c r="K4085" s="1">
        <f t="shared" si="1"/>
        <v>2021</v>
      </c>
      <c r="L4085" s="1" t="str">
        <f t="shared" si="2"/>
        <v>Aug</v>
      </c>
      <c r="M4085" s="1" t="str">
        <f t="shared" si="3"/>
        <v>Profit</v>
      </c>
    </row>
    <row r="4086" ht="14.25" customHeight="1">
      <c r="A4086" s="1" t="s">
        <v>4120</v>
      </c>
      <c r="B4086" s="2">
        <v>44386.0</v>
      </c>
      <c r="C4086" s="1" t="s">
        <v>14</v>
      </c>
      <c r="D4086" s="1" t="s">
        <v>27</v>
      </c>
      <c r="E4086" s="1" t="s">
        <v>33</v>
      </c>
      <c r="F4086" s="1">
        <v>218.61</v>
      </c>
      <c r="G4086" s="1">
        <v>-65.6</v>
      </c>
      <c r="H4086" s="1">
        <v>9.0</v>
      </c>
      <c r="I4086" s="1" t="s">
        <v>17</v>
      </c>
      <c r="J4086" s="1" t="s">
        <v>38</v>
      </c>
      <c r="K4086" s="1">
        <f t="shared" si="1"/>
        <v>2021</v>
      </c>
      <c r="L4086" s="1" t="str">
        <f t="shared" si="2"/>
        <v>Jul</v>
      </c>
      <c r="M4086" s="1" t="str">
        <f t="shared" si="3"/>
        <v>Loss</v>
      </c>
    </row>
    <row r="4087" ht="14.25" customHeight="1">
      <c r="A4087" s="1" t="s">
        <v>4121</v>
      </c>
      <c r="B4087" s="2">
        <v>44812.0</v>
      </c>
      <c r="C4087" s="1" t="s">
        <v>26</v>
      </c>
      <c r="D4087" s="1" t="s">
        <v>27</v>
      </c>
      <c r="E4087" s="1" t="s">
        <v>40</v>
      </c>
      <c r="F4087" s="1">
        <v>808.41</v>
      </c>
      <c r="G4087" s="1">
        <v>149.19</v>
      </c>
      <c r="H4087" s="1">
        <v>6.0</v>
      </c>
      <c r="I4087" s="1" t="s">
        <v>17</v>
      </c>
      <c r="J4087" s="1" t="s">
        <v>35</v>
      </c>
      <c r="K4087" s="1">
        <f t="shared" si="1"/>
        <v>2022</v>
      </c>
      <c r="L4087" s="1" t="str">
        <f t="shared" si="2"/>
        <v>Sep</v>
      </c>
      <c r="M4087" s="1" t="str">
        <f t="shared" si="3"/>
        <v>Profit</v>
      </c>
    </row>
    <row r="4088" ht="14.25" customHeight="1">
      <c r="A4088" s="1" t="s">
        <v>4122</v>
      </c>
      <c r="B4088" s="2">
        <v>44388.0</v>
      </c>
      <c r="C4088" s="1" t="s">
        <v>26</v>
      </c>
      <c r="D4088" s="1" t="s">
        <v>15</v>
      </c>
      <c r="E4088" s="1" t="s">
        <v>16</v>
      </c>
      <c r="F4088" s="1">
        <v>481.52</v>
      </c>
      <c r="G4088" s="1">
        <v>-106.29</v>
      </c>
      <c r="H4088" s="1">
        <v>4.0</v>
      </c>
      <c r="I4088" s="1" t="s">
        <v>34</v>
      </c>
      <c r="J4088" s="1" t="s">
        <v>24</v>
      </c>
      <c r="K4088" s="1">
        <f t="shared" si="1"/>
        <v>2021</v>
      </c>
      <c r="L4088" s="1" t="str">
        <f t="shared" si="2"/>
        <v>Jul</v>
      </c>
      <c r="M4088" s="1" t="str">
        <f t="shared" si="3"/>
        <v>Loss</v>
      </c>
    </row>
    <row r="4089" ht="14.25" customHeight="1">
      <c r="A4089" s="1" t="s">
        <v>4123</v>
      </c>
      <c r="B4089" s="2">
        <v>44605.0</v>
      </c>
      <c r="C4089" s="1" t="s">
        <v>26</v>
      </c>
      <c r="D4089" s="1" t="s">
        <v>15</v>
      </c>
      <c r="E4089" s="1" t="s">
        <v>54</v>
      </c>
      <c r="F4089" s="1">
        <v>979.84</v>
      </c>
      <c r="G4089" s="1">
        <v>-59.64</v>
      </c>
      <c r="H4089" s="1">
        <v>6.0</v>
      </c>
      <c r="I4089" s="1" t="s">
        <v>17</v>
      </c>
      <c r="J4089" s="1" t="s">
        <v>24</v>
      </c>
      <c r="K4089" s="1">
        <f t="shared" si="1"/>
        <v>2022</v>
      </c>
      <c r="L4089" s="1" t="str">
        <f t="shared" si="2"/>
        <v>Feb</v>
      </c>
      <c r="M4089" s="1" t="str">
        <f t="shared" si="3"/>
        <v>Loss</v>
      </c>
    </row>
    <row r="4090" ht="14.25" customHeight="1">
      <c r="A4090" s="1" t="s">
        <v>4124</v>
      </c>
      <c r="B4090" s="2">
        <v>45262.0</v>
      </c>
      <c r="C4090" s="1" t="s">
        <v>26</v>
      </c>
      <c r="D4090" s="1" t="s">
        <v>21</v>
      </c>
      <c r="E4090" s="1" t="s">
        <v>22</v>
      </c>
      <c r="F4090" s="1">
        <v>883.05</v>
      </c>
      <c r="G4090" s="1">
        <v>-155.34</v>
      </c>
      <c r="H4090" s="1">
        <v>4.0</v>
      </c>
      <c r="I4090" s="1" t="s">
        <v>17</v>
      </c>
      <c r="J4090" s="1" t="s">
        <v>24</v>
      </c>
      <c r="K4090" s="1">
        <f t="shared" si="1"/>
        <v>2023</v>
      </c>
      <c r="L4090" s="1" t="str">
        <f t="shared" si="2"/>
        <v>Dec</v>
      </c>
      <c r="M4090" s="1" t="str">
        <f t="shared" si="3"/>
        <v>Loss</v>
      </c>
    </row>
    <row r="4091" ht="14.25" customHeight="1">
      <c r="A4091" s="1" t="s">
        <v>4125</v>
      </c>
      <c r="B4091" s="2">
        <v>44876.0</v>
      </c>
      <c r="C4091" s="1" t="s">
        <v>26</v>
      </c>
      <c r="D4091" s="1" t="s">
        <v>21</v>
      </c>
      <c r="E4091" s="1" t="s">
        <v>76</v>
      </c>
      <c r="F4091" s="1">
        <v>484.64</v>
      </c>
      <c r="G4091" s="1">
        <v>187.71</v>
      </c>
      <c r="H4091" s="1">
        <v>3.0</v>
      </c>
      <c r="I4091" s="1" t="s">
        <v>17</v>
      </c>
      <c r="J4091" s="1" t="s">
        <v>18</v>
      </c>
      <c r="K4091" s="1">
        <f t="shared" si="1"/>
        <v>2022</v>
      </c>
      <c r="L4091" s="1" t="str">
        <f t="shared" si="2"/>
        <v>Nov</v>
      </c>
      <c r="M4091" s="1" t="str">
        <f t="shared" si="3"/>
        <v>Profit</v>
      </c>
    </row>
    <row r="4092" ht="14.25" customHeight="1">
      <c r="A4092" s="1" t="s">
        <v>4126</v>
      </c>
      <c r="B4092" s="2">
        <v>45260.0</v>
      </c>
      <c r="C4092" s="1" t="s">
        <v>14</v>
      </c>
      <c r="D4092" s="1" t="s">
        <v>15</v>
      </c>
      <c r="E4092" s="1" t="s">
        <v>16</v>
      </c>
      <c r="F4092" s="1">
        <v>134.81</v>
      </c>
      <c r="G4092" s="1">
        <v>236.46</v>
      </c>
      <c r="H4092" s="1">
        <v>2.0</v>
      </c>
      <c r="I4092" s="1" t="s">
        <v>23</v>
      </c>
      <c r="J4092" s="1" t="s">
        <v>38</v>
      </c>
      <c r="K4092" s="1">
        <f t="shared" si="1"/>
        <v>2023</v>
      </c>
      <c r="L4092" s="1" t="str">
        <f t="shared" si="2"/>
        <v>Nov</v>
      </c>
      <c r="M4092" s="1" t="str">
        <f t="shared" si="3"/>
        <v>Profit</v>
      </c>
    </row>
    <row r="4093" ht="14.25" customHeight="1">
      <c r="A4093" s="1" t="s">
        <v>4127</v>
      </c>
      <c r="B4093" s="2">
        <v>44697.0</v>
      </c>
      <c r="C4093" s="1" t="s">
        <v>20</v>
      </c>
      <c r="D4093" s="1" t="s">
        <v>21</v>
      </c>
      <c r="E4093" s="1" t="s">
        <v>22</v>
      </c>
      <c r="F4093" s="1">
        <v>325.0</v>
      </c>
      <c r="G4093" s="1">
        <v>267.98</v>
      </c>
      <c r="H4093" s="1">
        <v>1.0</v>
      </c>
      <c r="I4093" s="1" t="s">
        <v>34</v>
      </c>
      <c r="J4093" s="1" t="s">
        <v>18</v>
      </c>
      <c r="K4093" s="1">
        <f t="shared" si="1"/>
        <v>2022</v>
      </c>
      <c r="L4093" s="1" t="str">
        <f t="shared" si="2"/>
        <v>May</v>
      </c>
      <c r="M4093" s="1" t="str">
        <f t="shared" si="3"/>
        <v>Profit</v>
      </c>
    </row>
    <row r="4094" ht="14.25" customHeight="1">
      <c r="A4094" s="1" t="s">
        <v>4128</v>
      </c>
      <c r="B4094" s="2">
        <v>44690.0</v>
      </c>
      <c r="C4094" s="1" t="s">
        <v>30</v>
      </c>
      <c r="D4094" s="1" t="s">
        <v>21</v>
      </c>
      <c r="E4094" s="1" t="s">
        <v>37</v>
      </c>
      <c r="F4094" s="1">
        <v>197.36</v>
      </c>
      <c r="G4094" s="1">
        <v>-96.27</v>
      </c>
      <c r="H4094" s="1">
        <v>6.0</v>
      </c>
      <c r="I4094" s="1" t="s">
        <v>23</v>
      </c>
      <c r="J4094" s="1" t="s">
        <v>35</v>
      </c>
      <c r="K4094" s="1">
        <f t="shared" si="1"/>
        <v>2022</v>
      </c>
      <c r="L4094" s="1" t="str">
        <f t="shared" si="2"/>
        <v>May</v>
      </c>
      <c r="M4094" s="1" t="str">
        <f t="shared" si="3"/>
        <v>Loss</v>
      </c>
    </row>
    <row r="4095" ht="14.25" customHeight="1">
      <c r="A4095" s="1" t="s">
        <v>4129</v>
      </c>
      <c r="B4095" s="2">
        <v>45001.0</v>
      </c>
      <c r="C4095" s="1" t="s">
        <v>26</v>
      </c>
      <c r="D4095" s="1" t="s">
        <v>21</v>
      </c>
      <c r="E4095" s="1" t="s">
        <v>22</v>
      </c>
      <c r="F4095" s="1">
        <v>548.26</v>
      </c>
      <c r="G4095" s="1">
        <v>-179.83</v>
      </c>
      <c r="H4095" s="1">
        <v>5.0</v>
      </c>
      <c r="I4095" s="1" t="s">
        <v>23</v>
      </c>
      <c r="J4095" s="1" t="s">
        <v>18</v>
      </c>
      <c r="K4095" s="1">
        <f t="shared" si="1"/>
        <v>2023</v>
      </c>
      <c r="L4095" s="1" t="str">
        <f t="shared" si="2"/>
        <v>Mar</v>
      </c>
      <c r="M4095" s="1" t="str">
        <f t="shared" si="3"/>
        <v>Loss</v>
      </c>
    </row>
    <row r="4096" ht="14.25" customHeight="1">
      <c r="A4096" s="1" t="s">
        <v>4130</v>
      </c>
      <c r="B4096" s="2">
        <v>44728.0</v>
      </c>
      <c r="C4096" s="1" t="s">
        <v>14</v>
      </c>
      <c r="D4096" s="1" t="s">
        <v>27</v>
      </c>
      <c r="E4096" s="1" t="s">
        <v>40</v>
      </c>
      <c r="F4096" s="1">
        <v>806.41</v>
      </c>
      <c r="G4096" s="1">
        <v>6.88</v>
      </c>
      <c r="H4096" s="1">
        <v>2.0</v>
      </c>
      <c r="I4096" s="1" t="s">
        <v>17</v>
      </c>
      <c r="J4096" s="1" t="s">
        <v>35</v>
      </c>
      <c r="K4096" s="1">
        <f t="shared" si="1"/>
        <v>2022</v>
      </c>
      <c r="L4096" s="1" t="str">
        <f t="shared" si="2"/>
        <v>Jun</v>
      </c>
      <c r="M4096" s="1" t="str">
        <f t="shared" si="3"/>
        <v>Profit</v>
      </c>
    </row>
    <row r="4097" ht="14.25" customHeight="1">
      <c r="A4097" s="1" t="s">
        <v>4131</v>
      </c>
      <c r="B4097" s="2">
        <v>44995.0</v>
      </c>
      <c r="C4097" s="1" t="s">
        <v>30</v>
      </c>
      <c r="D4097" s="1" t="s">
        <v>15</v>
      </c>
      <c r="E4097" s="1" t="s">
        <v>16</v>
      </c>
      <c r="F4097" s="1">
        <v>27.81</v>
      </c>
      <c r="G4097" s="1">
        <v>7.88</v>
      </c>
      <c r="H4097" s="1">
        <v>4.0</v>
      </c>
      <c r="I4097" s="1" t="s">
        <v>17</v>
      </c>
      <c r="J4097" s="1" t="s">
        <v>24</v>
      </c>
      <c r="K4097" s="1">
        <f t="shared" si="1"/>
        <v>2023</v>
      </c>
      <c r="L4097" s="1" t="str">
        <f t="shared" si="2"/>
        <v>Mar</v>
      </c>
      <c r="M4097" s="1" t="str">
        <f t="shared" si="3"/>
        <v>Profit</v>
      </c>
    </row>
    <row r="4098" ht="14.25" customHeight="1">
      <c r="A4098" s="1" t="s">
        <v>4132</v>
      </c>
      <c r="B4098" s="2">
        <v>44387.0</v>
      </c>
      <c r="C4098" s="1" t="s">
        <v>26</v>
      </c>
      <c r="D4098" s="1" t="s">
        <v>15</v>
      </c>
      <c r="E4098" s="1" t="s">
        <v>16</v>
      </c>
      <c r="F4098" s="1">
        <v>563.13</v>
      </c>
      <c r="G4098" s="1">
        <v>-101.2</v>
      </c>
      <c r="H4098" s="1">
        <v>8.0</v>
      </c>
      <c r="I4098" s="1" t="s">
        <v>23</v>
      </c>
      <c r="J4098" s="1" t="s">
        <v>24</v>
      </c>
      <c r="K4098" s="1">
        <f t="shared" si="1"/>
        <v>2021</v>
      </c>
      <c r="L4098" s="1" t="str">
        <f t="shared" si="2"/>
        <v>Jul</v>
      </c>
      <c r="M4098" s="1" t="str">
        <f t="shared" si="3"/>
        <v>Loss</v>
      </c>
    </row>
    <row r="4099" ht="14.25" customHeight="1">
      <c r="A4099" s="1" t="s">
        <v>4133</v>
      </c>
      <c r="B4099" s="2">
        <v>44318.0</v>
      </c>
      <c r="C4099" s="1" t="s">
        <v>26</v>
      </c>
      <c r="D4099" s="1" t="s">
        <v>27</v>
      </c>
      <c r="E4099" s="1" t="s">
        <v>28</v>
      </c>
      <c r="F4099" s="1">
        <v>722.25</v>
      </c>
      <c r="G4099" s="1">
        <v>-119.59</v>
      </c>
      <c r="H4099" s="1">
        <v>4.0</v>
      </c>
      <c r="I4099" s="1" t="s">
        <v>23</v>
      </c>
      <c r="J4099" s="1" t="s">
        <v>38</v>
      </c>
      <c r="K4099" s="1">
        <f t="shared" si="1"/>
        <v>2021</v>
      </c>
      <c r="L4099" s="1" t="str">
        <f t="shared" si="2"/>
        <v>May</v>
      </c>
      <c r="M4099" s="1" t="str">
        <f t="shared" si="3"/>
        <v>Loss</v>
      </c>
    </row>
    <row r="4100" ht="14.25" customHeight="1">
      <c r="A4100" s="1" t="s">
        <v>4134</v>
      </c>
      <c r="B4100" s="2">
        <v>44866.0</v>
      </c>
      <c r="C4100" s="1" t="s">
        <v>26</v>
      </c>
      <c r="D4100" s="1" t="s">
        <v>15</v>
      </c>
      <c r="E4100" s="1" t="s">
        <v>54</v>
      </c>
      <c r="F4100" s="1">
        <v>643.47</v>
      </c>
      <c r="G4100" s="1">
        <v>-84.04</v>
      </c>
      <c r="H4100" s="1">
        <v>5.0</v>
      </c>
      <c r="I4100" s="1" t="s">
        <v>23</v>
      </c>
      <c r="J4100" s="1" t="s">
        <v>18</v>
      </c>
      <c r="K4100" s="1">
        <f t="shared" si="1"/>
        <v>2022</v>
      </c>
      <c r="L4100" s="1" t="str">
        <f t="shared" si="2"/>
        <v>Nov</v>
      </c>
      <c r="M4100" s="1" t="str">
        <f t="shared" si="3"/>
        <v>Loss</v>
      </c>
    </row>
    <row r="4101" ht="14.25" customHeight="1">
      <c r="A4101" s="1" t="s">
        <v>4135</v>
      </c>
      <c r="B4101" s="2">
        <v>45025.0</v>
      </c>
      <c r="C4101" s="1" t="s">
        <v>30</v>
      </c>
      <c r="D4101" s="1" t="s">
        <v>27</v>
      </c>
      <c r="E4101" s="1" t="s">
        <v>40</v>
      </c>
      <c r="F4101" s="1">
        <v>388.88</v>
      </c>
      <c r="G4101" s="1">
        <v>257.19</v>
      </c>
      <c r="H4101" s="1">
        <v>9.0</v>
      </c>
      <c r="I4101" s="1" t="s">
        <v>34</v>
      </c>
      <c r="J4101" s="1" t="s">
        <v>24</v>
      </c>
      <c r="K4101" s="1">
        <f t="shared" si="1"/>
        <v>2023</v>
      </c>
      <c r="L4101" s="1" t="str">
        <f t="shared" si="2"/>
        <v>Apr</v>
      </c>
      <c r="M4101" s="1" t="str">
        <f t="shared" si="3"/>
        <v>Profit</v>
      </c>
    </row>
    <row r="4102" ht="14.25" customHeight="1">
      <c r="A4102" s="1" t="s">
        <v>4136</v>
      </c>
      <c r="B4102" s="2">
        <v>44565.0</v>
      </c>
      <c r="C4102" s="1" t="s">
        <v>30</v>
      </c>
      <c r="D4102" s="1" t="s">
        <v>15</v>
      </c>
      <c r="E4102" s="1" t="s">
        <v>54</v>
      </c>
      <c r="F4102" s="1">
        <v>188.9</v>
      </c>
      <c r="G4102" s="1">
        <v>266.39</v>
      </c>
      <c r="H4102" s="1">
        <v>9.0</v>
      </c>
      <c r="I4102" s="1" t="s">
        <v>34</v>
      </c>
      <c r="J4102" s="1" t="s">
        <v>24</v>
      </c>
      <c r="K4102" s="1">
        <f t="shared" si="1"/>
        <v>2022</v>
      </c>
      <c r="L4102" s="1" t="str">
        <f t="shared" si="2"/>
        <v>Jan</v>
      </c>
      <c r="M4102" s="1" t="str">
        <f t="shared" si="3"/>
        <v>Profit</v>
      </c>
    </row>
    <row r="4103" ht="14.25" customHeight="1">
      <c r="A4103" s="1" t="s">
        <v>4137</v>
      </c>
      <c r="B4103" s="2">
        <v>45052.0</v>
      </c>
      <c r="C4103" s="1" t="s">
        <v>20</v>
      </c>
      <c r="D4103" s="1" t="s">
        <v>27</v>
      </c>
      <c r="E4103" s="1" t="s">
        <v>28</v>
      </c>
      <c r="F4103" s="1">
        <v>298.28</v>
      </c>
      <c r="G4103" s="1">
        <v>137.52</v>
      </c>
      <c r="H4103" s="1">
        <v>1.0</v>
      </c>
      <c r="I4103" s="1" t="s">
        <v>23</v>
      </c>
      <c r="J4103" s="1" t="s">
        <v>24</v>
      </c>
      <c r="K4103" s="1">
        <f t="shared" si="1"/>
        <v>2023</v>
      </c>
      <c r="L4103" s="1" t="str">
        <f t="shared" si="2"/>
        <v>May</v>
      </c>
      <c r="M4103" s="1" t="str">
        <f t="shared" si="3"/>
        <v>Profit</v>
      </c>
    </row>
    <row r="4104" ht="14.25" customHeight="1">
      <c r="A4104" s="1" t="s">
        <v>4138</v>
      </c>
      <c r="B4104" s="2">
        <v>44488.0</v>
      </c>
      <c r="C4104" s="1" t="s">
        <v>30</v>
      </c>
      <c r="D4104" s="1" t="s">
        <v>27</v>
      </c>
      <c r="E4104" s="1" t="s">
        <v>40</v>
      </c>
      <c r="F4104" s="1">
        <v>570.43</v>
      </c>
      <c r="G4104" s="1">
        <v>117.96</v>
      </c>
      <c r="H4104" s="1">
        <v>4.0</v>
      </c>
      <c r="I4104" s="1" t="s">
        <v>23</v>
      </c>
      <c r="J4104" s="1" t="s">
        <v>35</v>
      </c>
      <c r="K4104" s="1">
        <f t="shared" si="1"/>
        <v>2021</v>
      </c>
      <c r="L4104" s="1" t="str">
        <f t="shared" si="2"/>
        <v>Oct</v>
      </c>
      <c r="M4104" s="1" t="str">
        <f t="shared" si="3"/>
        <v>Profit</v>
      </c>
    </row>
    <row r="4105" ht="14.25" customHeight="1">
      <c r="A4105" s="1" t="s">
        <v>4139</v>
      </c>
      <c r="B4105" s="2">
        <v>44510.0</v>
      </c>
      <c r="C4105" s="1" t="s">
        <v>20</v>
      </c>
      <c r="D4105" s="1" t="s">
        <v>21</v>
      </c>
      <c r="E4105" s="1" t="s">
        <v>37</v>
      </c>
      <c r="F4105" s="1">
        <v>358.29</v>
      </c>
      <c r="G4105" s="1">
        <v>139.43</v>
      </c>
      <c r="H4105" s="1">
        <v>6.0</v>
      </c>
      <c r="I4105" s="1" t="s">
        <v>23</v>
      </c>
      <c r="J4105" s="1" t="s">
        <v>24</v>
      </c>
      <c r="K4105" s="1">
        <f t="shared" si="1"/>
        <v>2021</v>
      </c>
      <c r="L4105" s="1" t="str">
        <f t="shared" si="2"/>
        <v>Nov</v>
      </c>
      <c r="M4105" s="1" t="str">
        <f t="shared" si="3"/>
        <v>Profit</v>
      </c>
    </row>
    <row r="4106" ht="14.25" customHeight="1">
      <c r="A4106" s="1" t="s">
        <v>4140</v>
      </c>
      <c r="B4106" s="2">
        <v>44763.0</v>
      </c>
      <c r="C4106" s="1" t="s">
        <v>14</v>
      </c>
      <c r="D4106" s="1" t="s">
        <v>27</v>
      </c>
      <c r="E4106" s="1" t="s">
        <v>28</v>
      </c>
      <c r="F4106" s="1">
        <v>680.7</v>
      </c>
      <c r="G4106" s="1">
        <v>52.22</v>
      </c>
      <c r="H4106" s="1">
        <v>2.0</v>
      </c>
      <c r="I4106" s="1" t="s">
        <v>34</v>
      </c>
      <c r="J4106" s="1" t="s">
        <v>24</v>
      </c>
      <c r="K4106" s="1">
        <f t="shared" si="1"/>
        <v>2022</v>
      </c>
      <c r="L4106" s="1" t="str">
        <f t="shared" si="2"/>
        <v>Jul</v>
      </c>
      <c r="M4106" s="1" t="str">
        <f t="shared" si="3"/>
        <v>Profit</v>
      </c>
    </row>
    <row r="4107" ht="14.25" customHeight="1">
      <c r="A4107" s="1" t="s">
        <v>4141</v>
      </c>
      <c r="B4107" s="2">
        <v>44338.0</v>
      </c>
      <c r="C4107" s="1" t="s">
        <v>14</v>
      </c>
      <c r="D4107" s="1" t="s">
        <v>15</v>
      </c>
      <c r="E4107" s="1" t="s">
        <v>31</v>
      </c>
      <c r="F4107" s="1">
        <v>645.23</v>
      </c>
      <c r="G4107" s="1">
        <v>94.67</v>
      </c>
      <c r="H4107" s="1">
        <v>5.0</v>
      </c>
      <c r="I4107" s="1" t="s">
        <v>34</v>
      </c>
      <c r="J4107" s="1" t="s">
        <v>18</v>
      </c>
      <c r="K4107" s="1">
        <f t="shared" si="1"/>
        <v>2021</v>
      </c>
      <c r="L4107" s="1" t="str">
        <f t="shared" si="2"/>
        <v>May</v>
      </c>
      <c r="M4107" s="1" t="str">
        <f t="shared" si="3"/>
        <v>Profit</v>
      </c>
    </row>
    <row r="4108" ht="14.25" customHeight="1">
      <c r="A4108" s="1" t="s">
        <v>4142</v>
      </c>
      <c r="B4108" s="2">
        <v>45026.0</v>
      </c>
      <c r="C4108" s="1" t="s">
        <v>20</v>
      </c>
      <c r="D4108" s="1" t="s">
        <v>21</v>
      </c>
      <c r="E4108" s="1" t="s">
        <v>22</v>
      </c>
      <c r="F4108" s="1">
        <v>636.34</v>
      </c>
      <c r="G4108" s="1">
        <v>-148.01</v>
      </c>
      <c r="H4108" s="1">
        <v>7.0</v>
      </c>
      <c r="I4108" s="1" t="s">
        <v>17</v>
      </c>
      <c r="J4108" s="1" t="s">
        <v>35</v>
      </c>
      <c r="K4108" s="1">
        <f t="shared" si="1"/>
        <v>2023</v>
      </c>
      <c r="L4108" s="1" t="str">
        <f t="shared" si="2"/>
        <v>Apr</v>
      </c>
      <c r="M4108" s="1" t="str">
        <f t="shared" si="3"/>
        <v>Loss</v>
      </c>
    </row>
    <row r="4109" ht="14.25" customHeight="1">
      <c r="A4109" s="1" t="s">
        <v>4143</v>
      </c>
      <c r="B4109" s="2">
        <v>44919.0</v>
      </c>
      <c r="C4109" s="1" t="s">
        <v>20</v>
      </c>
      <c r="D4109" s="1" t="s">
        <v>27</v>
      </c>
      <c r="E4109" s="1" t="s">
        <v>40</v>
      </c>
      <c r="F4109" s="1">
        <v>99.42</v>
      </c>
      <c r="G4109" s="1">
        <v>-138.18</v>
      </c>
      <c r="H4109" s="1">
        <v>3.0</v>
      </c>
      <c r="I4109" s="1" t="s">
        <v>17</v>
      </c>
      <c r="J4109" s="1" t="s">
        <v>38</v>
      </c>
      <c r="K4109" s="1">
        <f t="shared" si="1"/>
        <v>2022</v>
      </c>
      <c r="L4109" s="1" t="str">
        <f t="shared" si="2"/>
        <v>Dec</v>
      </c>
      <c r="M4109" s="1" t="str">
        <f t="shared" si="3"/>
        <v>Loss</v>
      </c>
    </row>
    <row r="4110" ht="14.25" customHeight="1">
      <c r="A4110" s="1" t="s">
        <v>4144</v>
      </c>
      <c r="B4110" s="2">
        <v>44463.0</v>
      </c>
      <c r="C4110" s="1" t="s">
        <v>20</v>
      </c>
      <c r="D4110" s="1" t="s">
        <v>15</v>
      </c>
      <c r="E4110" s="1" t="s">
        <v>16</v>
      </c>
      <c r="F4110" s="1">
        <v>197.34</v>
      </c>
      <c r="G4110" s="1">
        <v>-138.45</v>
      </c>
      <c r="H4110" s="1">
        <v>1.0</v>
      </c>
      <c r="I4110" s="1" t="s">
        <v>17</v>
      </c>
      <c r="J4110" s="1" t="s">
        <v>38</v>
      </c>
      <c r="K4110" s="1">
        <f t="shared" si="1"/>
        <v>2021</v>
      </c>
      <c r="L4110" s="1" t="str">
        <f t="shared" si="2"/>
        <v>Sep</v>
      </c>
      <c r="M4110" s="1" t="str">
        <f t="shared" si="3"/>
        <v>Loss</v>
      </c>
    </row>
    <row r="4111" ht="14.25" customHeight="1">
      <c r="A4111" s="1" t="s">
        <v>4145</v>
      </c>
      <c r="B4111" s="2">
        <v>44636.0</v>
      </c>
      <c r="C4111" s="1" t="s">
        <v>14</v>
      </c>
      <c r="D4111" s="1" t="s">
        <v>27</v>
      </c>
      <c r="E4111" s="1" t="s">
        <v>28</v>
      </c>
      <c r="F4111" s="1">
        <v>867.48</v>
      </c>
      <c r="G4111" s="1">
        <v>-168.1</v>
      </c>
      <c r="H4111" s="1">
        <v>4.0</v>
      </c>
      <c r="I4111" s="1" t="s">
        <v>17</v>
      </c>
      <c r="J4111" s="1" t="s">
        <v>38</v>
      </c>
      <c r="K4111" s="1">
        <f t="shared" si="1"/>
        <v>2022</v>
      </c>
      <c r="L4111" s="1" t="str">
        <f t="shared" si="2"/>
        <v>Mar</v>
      </c>
      <c r="M4111" s="1" t="str">
        <f t="shared" si="3"/>
        <v>Loss</v>
      </c>
    </row>
    <row r="4112" ht="14.25" customHeight="1">
      <c r="A4112" s="1" t="s">
        <v>4146</v>
      </c>
      <c r="B4112" s="2">
        <v>44366.0</v>
      </c>
      <c r="C4112" s="1" t="s">
        <v>30</v>
      </c>
      <c r="D4112" s="1" t="s">
        <v>15</v>
      </c>
      <c r="E4112" s="1" t="s">
        <v>31</v>
      </c>
      <c r="F4112" s="1">
        <v>56.13</v>
      </c>
      <c r="G4112" s="1">
        <v>77.88</v>
      </c>
      <c r="H4112" s="1">
        <v>5.0</v>
      </c>
      <c r="I4112" s="1" t="s">
        <v>34</v>
      </c>
      <c r="J4112" s="1" t="s">
        <v>38</v>
      </c>
      <c r="K4112" s="1">
        <f t="shared" si="1"/>
        <v>2021</v>
      </c>
      <c r="L4112" s="1" t="str">
        <f t="shared" si="2"/>
        <v>Jun</v>
      </c>
      <c r="M4112" s="1" t="str">
        <f t="shared" si="3"/>
        <v>Profit</v>
      </c>
    </row>
    <row r="4113" ht="14.25" customHeight="1">
      <c r="A4113" s="1" t="s">
        <v>4147</v>
      </c>
      <c r="B4113" s="2">
        <v>44481.0</v>
      </c>
      <c r="C4113" s="1" t="s">
        <v>30</v>
      </c>
      <c r="D4113" s="1" t="s">
        <v>15</v>
      </c>
      <c r="E4113" s="1" t="s">
        <v>16</v>
      </c>
      <c r="F4113" s="1">
        <v>605.06</v>
      </c>
      <c r="G4113" s="1">
        <v>33.72</v>
      </c>
      <c r="H4113" s="1">
        <v>2.0</v>
      </c>
      <c r="I4113" s="1" t="s">
        <v>34</v>
      </c>
      <c r="J4113" s="1" t="s">
        <v>35</v>
      </c>
      <c r="K4113" s="1">
        <f t="shared" si="1"/>
        <v>2021</v>
      </c>
      <c r="L4113" s="1" t="str">
        <f t="shared" si="2"/>
        <v>Oct</v>
      </c>
      <c r="M4113" s="1" t="str">
        <f t="shared" si="3"/>
        <v>Profit</v>
      </c>
    </row>
    <row r="4114" ht="14.25" customHeight="1">
      <c r="A4114" s="1" t="s">
        <v>4148</v>
      </c>
      <c r="B4114" s="2">
        <v>44540.0</v>
      </c>
      <c r="C4114" s="1" t="s">
        <v>20</v>
      </c>
      <c r="D4114" s="1" t="s">
        <v>27</v>
      </c>
      <c r="E4114" s="1" t="s">
        <v>28</v>
      </c>
      <c r="F4114" s="1">
        <v>709.49</v>
      </c>
      <c r="G4114" s="1">
        <v>177.97</v>
      </c>
      <c r="H4114" s="1">
        <v>3.0</v>
      </c>
      <c r="I4114" s="1" t="s">
        <v>17</v>
      </c>
      <c r="J4114" s="1" t="s">
        <v>24</v>
      </c>
      <c r="K4114" s="1">
        <f t="shared" si="1"/>
        <v>2021</v>
      </c>
      <c r="L4114" s="1" t="str">
        <f t="shared" si="2"/>
        <v>Dec</v>
      </c>
      <c r="M4114" s="1" t="str">
        <f t="shared" si="3"/>
        <v>Profit</v>
      </c>
    </row>
    <row r="4115" ht="14.25" customHeight="1">
      <c r="A4115" s="1" t="s">
        <v>4149</v>
      </c>
      <c r="B4115" s="2">
        <v>45040.0</v>
      </c>
      <c r="C4115" s="1" t="s">
        <v>26</v>
      </c>
      <c r="D4115" s="1" t="s">
        <v>21</v>
      </c>
      <c r="E4115" s="1" t="s">
        <v>22</v>
      </c>
      <c r="F4115" s="1">
        <v>131.57</v>
      </c>
      <c r="G4115" s="1">
        <v>70.82</v>
      </c>
      <c r="H4115" s="1">
        <v>5.0</v>
      </c>
      <c r="I4115" s="1" t="s">
        <v>17</v>
      </c>
      <c r="J4115" s="1" t="s">
        <v>24</v>
      </c>
      <c r="K4115" s="1">
        <f t="shared" si="1"/>
        <v>2023</v>
      </c>
      <c r="L4115" s="1" t="str">
        <f t="shared" si="2"/>
        <v>Apr</v>
      </c>
      <c r="M4115" s="1" t="str">
        <f t="shared" si="3"/>
        <v>Profit</v>
      </c>
    </row>
    <row r="4116" ht="14.25" customHeight="1">
      <c r="A4116" s="1" t="s">
        <v>4150</v>
      </c>
      <c r="B4116" s="2">
        <v>44421.0</v>
      </c>
      <c r="C4116" s="1" t="s">
        <v>20</v>
      </c>
      <c r="D4116" s="1" t="s">
        <v>27</v>
      </c>
      <c r="E4116" s="1" t="s">
        <v>40</v>
      </c>
      <c r="F4116" s="1">
        <v>419.03</v>
      </c>
      <c r="G4116" s="1">
        <v>-185.07</v>
      </c>
      <c r="H4116" s="1">
        <v>2.0</v>
      </c>
      <c r="I4116" s="1" t="s">
        <v>17</v>
      </c>
      <c r="J4116" s="1" t="s">
        <v>18</v>
      </c>
      <c r="K4116" s="1">
        <f t="shared" si="1"/>
        <v>2021</v>
      </c>
      <c r="L4116" s="1" t="str">
        <f t="shared" si="2"/>
        <v>Aug</v>
      </c>
      <c r="M4116" s="1" t="str">
        <f t="shared" si="3"/>
        <v>Loss</v>
      </c>
    </row>
    <row r="4117" ht="14.25" customHeight="1">
      <c r="A4117" s="1" t="s">
        <v>4151</v>
      </c>
      <c r="B4117" s="2">
        <v>44892.0</v>
      </c>
      <c r="C4117" s="1" t="s">
        <v>20</v>
      </c>
      <c r="D4117" s="1" t="s">
        <v>21</v>
      </c>
      <c r="E4117" s="1" t="s">
        <v>22</v>
      </c>
      <c r="F4117" s="1">
        <v>616.41</v>
      </c>
      <c r="G4117" s="1">
        <v>277.26</v>
      </c>
      <c r="H4117" s="1">
        <v>5.0</v>
      </c>
      <c r="I4117" s="1" t="s">
        <v>34</v>
      </c>
      <c r="J4117" s="1" t="s">
        <v>24</v>
      </c>
      <c r="K4117" s="1">
        <f t="shared" si="1"/>
        <v>2022</v>
      </c>
      <c r="L4117" s="1" t="str">
        <f t="shared" si="2"/>
        <v>Nov</v>
      </c>
      <c r="M4117" s="1" t="str">
        <f t="shared" si="3"/>
        <v>Profit</v>
      </c>
    </row>
    <row r="4118" ht="14.25" customHeight="1">
      <c r="A4118" s="1" t="s">
        <v>4152</v>
      </c>
      <c r="B4118" s="2">
        <v>44688.0</v>
      </c>
      <c r="C4118" s="1" t="s">
        <v>20</v>
      </c>
      <c r="D4118" s="1" t="s">
        <v>21</v>
      </c>
      <c r="E4118" s="1" t="s">
        <v>37</v>
      </c>
      <c r="F4118" s="1">
        <v>511.27</v>
      </c>
      <c r="G4118" s="1">
        <v>-62.41</v>
      </c>
      <c r="H4118" s="1">
        <v>3.0</v>
      </c>
      <c r="I4118" s="1" t="s">
        <v>34</v>
      </c>
      <c r="J4118" s="1" t="s">
        <v>38</v>
      </c>
      <c r="K4118" s="1">
        <f t="shared" si="1"/>
        <v>2022</v>
      </c>
      <c r="L4118" s="1" t="str">
        <f t="shared" si="2"/>
        <v>May</v>
      </c>
      <c r="M4118" s="1" t="str">
        <f t="shared" si="3"/>
        <v>Loss</v>
      </c>
    </row>
    <row r="4119" ht="14.25" customHeight="1">
      <c r="A4119" s="1" t="s">
        <v>4153</v>
      </c>
      <c r="B4119" s="2">
        <v>45272.0</v>
      </c>
      <c r="C4119" s="1" t="s">
        <v>26</v>
      </c>
      <c r="D4119" s="1" t="s">
        <v>15</v>
      </c>
      <c r="E4119" s="1" t="s">
        <v>31</v>
      </c>
      <c r="F4119" s="1">
        <v>283.81</v>
      </c>
      <c r="G4119" s="1">
        <v>284.16</v>
      </c>
      <c r="H4119" s="1">
        <v>8.0</v>
      </c>
      <c r="I4119" s="1" t="s">
        <v>17</v>
      </c>
      <c r="J4119" s="1" t="s">
        <v>35</v>
      </c>
      <c r="K4119" s="1">
        <f t="shared" si="1"/>
        <v>2023</v>
      </c>
      <c r="L4119" s="1" t="str">
        <f t="shared" si="2"/>
        <v>Dec</v>
      </c>
      <c r="M4119" s="1" t="str">
        <f t="shared" si="3"/>
        <v>Profit</v>
      </c>
    </row>
    <row r="4120" ht="14.25" customHeight="1">
      <c r="A4120" s="1" t="s">
        <v>4154</v>
      </c>
      <c r="B4120" s="2">
        <v>45146.0</v>
      </c>
      <c r="C4120" s="1" t="s">
        <v>30</v>
      </c>
      <c r="D4120" s="1" t="s">
        <v>27</v>
      </c>
      <c r="E4120" s="1" t="s">
        <v>28</v>
      </c>
      <c r="F4120" s="1">
        <v>893.99</v>
      </c>
      <c r="G4120" s="1">
        <v>171.15</v>
      </c>
      <c r="H4120" s="1">
        <v>4.0</v>
      </c>
      <c r="I4120" s="1" t="s">
        <v>34</v>
      </c>
      <c r="J4120" s="1" t="s">
        <v>18</v>
      </c>
      <c r="K4120" s="1">
        <f t="shared" si="1"/>
        <v>2023</v>
      </c>
      <c r="L4120" s="1" t="str">
        <f t="shared" si="2"/>
        <v>Aug</v>
      </c>
      <c r="M4120" s="1" t="str">
        <f t="shared" si="3"/>
        <v>Profit</v>
      </c>
    </row>
    <row r="4121" ht="14.25" customHeight="1">
      <c r="A4121" s="1" t="s">
        <v>4155</v>
      </c>
      <c r="B4121" s="2">
        <v>44367.0</v>
      </c>
      <c r="C4121" s="1" t="s">
        <v>26</v>
      </c>
      <c r="D4121" s="1" t="s">
        <v>27</v>
      </c>
      <c r="E4121" s="1" t="s">
        <v>28</v>
      </c>
      <c r="F4121" s="1">
        <v>334.0</v>
      </c>
      <c r="G4121" s="1">
        <v>71.02</v>
      </c>
      <c r="H4121" s="1">
        <v>7.0</v>
      </c>
      <c r="I4121" s="1" t="s">
        <v>17</v>
      </c>
      <c r="J4121" s="1" t="s">
        <v>18</v>
      </c>
      <c r="K4121" s="1">
        <f t="shared" si="1"/>
        <v>2021</v>
      </c>
      <c r="L4121" s="1" t="str">
        <f t="shared" si="2"/>
        <v>Jun</v>
      </c>
      <c r="M4121" s="1" t="str">
        <f t="shared" si="3"/>
        <v>Profit</v>
      </c>
    </row>
    <row r="4122" ht="14.25" customHeight="1">
      <c r="A4122" s="1" t="s">
        <v>4156</v>
      </c>
      <c r="B4122" s="2">
        <v>44721.0</v>
      </c>
      <c r="C4122" s="1" t="s">
        <v>26</v>
      </c>
      <c r="D4122" s="1" t="s">
        <v>15</v>
      </c>
      <c r="E4122" s="1" t="s">
        <v>16</v>
      </c>
      <c r="F4122" s="1">
        <v>195.15</v>
      </c>
      <c r="G4122" s="1">
        <v>188.08</v>
      </c>
      <c r="H4122" s="1">
        <v>7.0</v>
      </c>
      <c r="I4122" s="1" t="s">
        <v>17</v>
      </c>
      <c r="J4122" s="1" t="s">
        <v>35</v>
      </c>
      <c r="K4122" s="1">
        <f t="shared" si="1"/>
        <v>2022</v>
      </c>
      <c r="L4122" s="1" t="str">
        <f t="shared" si="2"/>
        <v>Jun</v>
      </c>
      <c r="M4122" s="1" t="str">
        <f t="shared" si="3"/>
        <v>Profit</v>
      </c>
    </row>
    <row r="4123" ht="14.25" customHeight="1">
      <c r="A4123" s="1" t="s">
        <v>4157</v>
      </c>
      <c r="B4123" s="2">
        <v>44876.0</v>
      </c>
      <c r="C4123" s="1" t="s">
        <v>20</v>
      </c>
      <c r="D4123" s="1" t="s">
        <v>15</v>
      </c>
      <c r="E4123" s="1" t="s">
        <v>16</v>
      </c>
      <c r="F4123" s="1">
        <v>636.76</v>
      </c>
      <c r="G4123" s="1">
        <v>8.02</v>
      </c>
      <c r="H4123" s="1">
        <v>2.0</v>
      </c>
      <c r="I4123" s="1" t="s">
        <v>17</v>
      </c>
      <c r="J4123" s="1" t="s">
        <v>24</v>
      </c>
      <c r="K4123" s="1">
        <f t="shared" si="1"/>
        <v>2022</v>
      </c>
      <c r="L4123" s="1" t="str">
        <f t="shared" si="2"/>
        <v>Nov</v>
      </c>
      <c r="M4123" s="1" t="str">
        <f t="shared" si="3"/>
        <v>Profit</v>
      </c>
    </row>
    <row r="4124" ht="14.25" customHeight="1">
      <c r="A4124" s="1" t="s">
        <v>4158</v>
      </c>
      <c r="B4124" s="2">
        <v>45106.0</v>
      </c>
      <c r="C4124" s="1" t="s">
        <v>30</v>
      </c>
      <c r="D4124" s="1" t="s">
        <v>21</v>
      </c>
      <c r="E4124" s="1" t="s">
        <v>22</v>
      </c>
      <c r="F4124" s="1">
        <v>61.97</v>
      </c>
      <c r="G4124" s="1">
        <v>1.05</v>
      </c>
      <c r="H4124" s="1">
        <v>9.0</v>
      </c>
      <c r="I4124" s="1" t="s">
        <v>23</v>
      </c>
      <c r="J4124" s="1" t="s">
        <v>24</v>
      </c>
      <c r="K4124" s="1">
        <f t="shared" si="1"/>
        <v>2023</v>
      </c>
      <c r="L4124" s="1" t="str">
        <f t="shared" si="2"/>
        <v>Jun</v>
      </c>
      <c r="M4124" s="1" t="str">
        <f t="shared" si="3"/>
        <v>Profit</v>
      </c>
    </row>
    <row r="4125" ht="14.25" customHeight="1">
      <c r="A4125" s="1" t="s">
        <v>4159</v>
      </c>
      <c r="B4125" s="2">
        <v>44546.0</v>
      </c>
      <c r="C4125" s="1" t="s">
        <v>30</v>
      </c>
      <c r="D4125" s="1" t="s">
        <v>15</v>
      </c>
      <c r="E4125" s="1" t="s">
        <v>54</v>
      </c>
      <c r="F4125" s="1">
        <v>183.18</v>
      </c>
      <c r="G4125" s="1">
        <v>-31.62</v>
      </c>
      <c r="H4125" s="1">
        <v>10.0</v>
      </c>
      <c r="I4125" s="1" t="s">
        <v>23</v>
      </c>
      <c r="J4125" s="1" t="s">
        <v>18</v>
      </c>
      <c r="K4125" s="1">
        <f t="shared" si="1"/>
        <v>2021</v>
      </c>
      <c r="L4125" s="1" t="str">
        <f t="shared" si="2"/>
        <v>Dec</v>
      </c>
      <c r="M4125" s="1" t="str">
        <f t="shared" si="3"/>
        <v>Loss</v>
      </c>
    </row>
    <row r="4126" ht="14.25" customHeight="1">
      <c r="A4126" s="1" t="s">
        <v>4160</v>
      </c>
      <c r="B4126" s="2">
        <v>45204.0</v>
      </c>
      <c r="C4126" s="1" t="s">
        <v>20</v>
      </c>
      <c r="D4126" s="1" t="s">
        <v>27</v>
      </c>
      <c r="E4126" s="1" t="s">
        <v>33</v>
      </c>
      <c r="F4126" s="1">
        <v>364.31</v>
      </c>
      <c r="G4126" s="1">
        <v>-142.09</v>
      </c>
      <c r="H4126" s="1">
        <v>2.0</v>
      </c>
      <c r="I4126" s="1" t="s">
        <v>34</v>
      </c>
      <c r="J4126" s="1" t="s">
        <v>24</v>
      </c>
      <c r="K4126" s="1">
        <f t="shared" si="1"/>
        <v>2023</v>
      </c>
      <c r="L4126" s="1" t="str">
        <f t="shared" si="2"/>
        <v>Oct</v>
      </c>
      <c r="M4126" s="1" t="str">
        <f t="shared" si="3"/>
        <v>Loss</v>
      </c>
    </row>
    <row r="4127" ht="14.25" customHeight="1">
      <c r="A4127" s="1" t="s">
        <v>4161</v>
      </c>
      <c r="B4127" s="2">
        <v>44857.0</v>
      </c>
      <c r="C4127" s="1" t="s">
        <v>30</v>
      </c>
      <c r="D4127" s="1" t="s">
        <v>27</v>
      </c>
      <c r="E4127" s="1" t="s">
        <v>28</v>
      </c>
      <c r="F4127" s="1">
        <v>608.57</v>
      </c>
      <c r="G4127" s="1">
        <v>274.33</v>
      </c>
      <c r="H4127" s="1">
        <v>10.0</v>
      </c>
      <c r="I4127" s="1" t="s">
        <v>23</v>
      </c>
      <c r="J4127" s="1" t="s">
        <v>35</v>
      </c>
      <c r="K4127" s="1">
        <f t="shared" si="1"/>
        <v>2022</v>
      </c>
      <c r="L4127" s="1" t="str">
        <f t="shared" si="2"/>
        <v>Oct</v>
      </c>
      <c r="M4127" s="1" t="str">
        <f t="shared" si="3"/>
        <v>Profit</v>
      </c>
    </row>
    <row r="4128" ht="14.25" customHeight="1">
      <c r="A4128" s="1" t="s">
        <v>4162</v>
      </c>
      <c r="B4128" s="2">
        <v>44333.0</v>
      </c>
      <c r="C4128" s="1" t="s">
        <v>14</v>
      </c>
      <c r="D4128" s="1" t="s">
        <v>21</v>
      </c>
      <c r="E4128" s="1" t="s">
        <v>76</v>
      </c>
      <c r="F4128" s="1">
        <v>646.21</v>
      </c>
      <c r="G4128" s="1">
        <v>159.85</v>
      </c>
      <c r="H4128" s="1">
        <v>8.0</v>
      </c>
      <c r="I4128" s="1" t="s">
        <v>34</v>
      </c>
      <c r="J4128" s="1" t="s">
        <v>38</v>
      </c>
      <c r="K4128" s="1">
        <f t="shared" si="1"/>
        <v>2021</v>
      </c>
      <c r="L4128" s="1" t="str">
        <f t="shared" si="2"/>
        <v>May</v>
      </c>
      <c r="M4128" s="1" t="str">
        <f t="shared" si="3"/>
        <v>Profit</v>
      </c>
    </row>
    <row r="4129" ht="14.25" customHeight="1">
      <c r="A4129" s="1" t="s">
        <v>4163</v>
      </c>
      <c r="B4129" s="2">
        <v>45251.0</v>
      </c>
      <c r="C4129" s="1" t="s">
        <v>20</v>
      </c>
      <c r="D4129" s="1" t="s">
        <v>27</v>
      </c>
      <c r="E4129" s="1" t="s">
        <v>28</v>
      </c>
      <c r="F4129" s="1">
        <v>358.53</v>
      </c>
      <c r="G4129" s="1">
        <v>171.69</v>
      </c>
      <c r="H4129" s="1">
        <v>10.0</v>
      </c>
      <c r="I4129" s="1" t="s">
        <v>17</v>
      </c>
      <c r="J4129" s="1" t="s">
        <v>18</v>
      </c>
      <c r="K4129" s="1">
        <f t="shared" si="1"/>
        <v>2023</v>
      </c>
      <c r="L4129" s="1" t="str">
        <f t="shared" si="2"/>
        <v>Nov</v>
      </c>
      <c r="M4129" s="1" t="str">
        <f t="shared" si="3"/>
        <v>Profit</v>
      </c>
    </row>
    <row r="4130" ht="14.25" customHeight="1">
      <c r="A4130" s="1" t="s">
        <v>4164</v>
      </c>
      <c r="B4130" s="2">
        <v>45049.0</v>
      </c>
      <c r="C4130" s="1" t="s">
        <v>20</v>
      </c>
      <c r="D4130" s="1" t="s">
        <v>15</v>
      </c>
      <c r="E4130" s="1" t="s">
        <v>16</v>
      </c>
      <c r="F4130" s="1">
        <v>377.13</v>
      </c>
      <c r="G4130" s="1">
        <v>32.55</v>
      </c>
      <c r="H4130" s="1">
        <v>10.0</v>
      </c>
      <c r="I4130" s="1" t="s">
        <v>17</v>
      </c>
      <c r="J4130" s="1" t="s">
        <v>35</v>
      </c>
      <c r="K4130" s="1">
        <f t="shared" si="1"/>
        <v>2023</v>
      </c>
      <c r="L4130" s="1" t="str">
        <f t="shared" si="2"/>
        <v>May</v>
      </c>
      <c r="M4130" s="1" t="str">
        <f t="shared" si="3"/>
        <v>Profit</v>
      </c>
    </row>
    <row r="4131" ht="14.25" customHeight="1">
      <c r="A4131" s="1" t="s">
        <v>4165</v>
      </c>
      <c r="B4131" s="2">
        <v>44483.0</v>
      </c>
      <c r="C4131" s="1" t="s">
        <v>30</v>
      </c>
      <c r="D4131" s="1" t="s">
        <v>27</v>
      </c>
      <c r="E4131" s="1" t="s">
        <v>33</v>
      </c>
      <c r="F4131" s="1">
        <v>23.59</v>
      </c>
      <c r="G4131" s="1">
        <v>287.58</v>
      </c>
      <c r="H4131" s="1">
        <v>3.0</v>
      </c>
      <c r="I4131" s="1" t="s">
        <v>17</v>
      </c>
      <c r="J4131" s="1" t="s">
        <v>35</v>
      </c>
      <c r="K4131" s="1">
        <f t="shared" si="1"/>
        <v>2021</v>
      </c>
      <c r="L4131" s="1" t="str">
        <f t="shared" si="2"/>
        <v>Oct</v>
      </c>
      <c r="M4131" s="1" t="str">
        <f t="shared" si="3"/>
        <v>Profit</v>
      </c>
    </row>
    <row r="4132" ht="14.25" customHeight="1">
      <c r="A4132" s="1" t="s">
        <v>4166</v>
      </c>
      <c r="B4132" s="2">
        <v>44853.0</v>
      </c>
      <c r="C4132" s="1" t="s">
        <v>26</v>
      </c>
      <c r="D4132" s="1" t="s">
        <v>21</v>
      </c>
      <c r="E4132" s="1" t="s">
        <v>22</v>
      </c>
      <c r="F4132" s="1">
        <v>120.91</v>
      </c>
      <c r="G4132" s="1">
        <v>44.71</v>
      </c>
      <c r="H4132" s="1">
        <v>3.0</v>
      </c>
      <c r="I4132" s="1" t="s">
        <v>17</v>
      </c>
      <c r="J4132" s="1" t="s">
        <v>38</v>
      </c>
      <c r="K4132" s="1">
        <f t="shared" si="1"/>
        <v>2022</v>
      </c>
      <c r="L4132" s="1" t="str">
        <f t="shared" si="2"/>
        <v>Oct</v>
      </c>
      <c r="M4132" s="1" t="str">
        <f t="shared" si="3"/>
        <v>Profit</v>
      </c>
    </row>
    <row r="4133" ht="14.25" customHeight="1">
      <c r="A4133" s="1" t="s">
        <v>4167</v>
      </c>
      <c r="B4133" s="2">
        <v>45229.0</v>
      </c>
      <c r="C4133" s="1" t="s">
        <v>20</v>
      </c>
      <c r="D4133" s="1" t="s">
        <v>15</v>
      </c>
      <c r="E4133" s="1" t="s">
        <v>31</v>
      </c>
      <c r="F4133" s="1">
        <v>331.13</v>
      </c>
      <c r="G4133" s="1">
        <v>178.91</v>
      </c>
      <c r="H4133" s="1">
        <v>1.0</v>
      </c>
      <c r="I4133" s="1" t="s">
        <v>34</v>
      </c>
      <c r="J4133" s="1" t="s">
        <v>35</v>
      </c>
      <c r="K4133" s="1">
        <f t="shared" si="1"/>
        <v>2023</v>
      </c>
      <c r="L4133" s="1" t="str">
        <f t="shared" si="2"/>
        <v>Oct</v>
      </c>
      <c r="M4133" s="1" t="str">
        <f t="shared" si="3"/>
        <v>Profit</v>
      </c>
    </row>
    <row r="4134" ht="14.25" customHeight="1">
      <c r="A4134" s="1" t="s">
        <v>4168</v>
      </c>
      <c r="B4134" s="2">
        <v>44838.0</v>
      </c>
      <c r="C4134" s="1" t="s">
        <v>26</v>
      </c>
      <c r="D4134" s="1" t="s">
        <v>21</v>
      </c>
      <c r="E4134" s="1" t="s">
        <v>37</v>
      </c>
      <c r="F4134" s="1">
        <v>935.36</v>
      </c>
      <c r="G4134" s="1">
        <v>175.74</v>
      </c>
      <c r="H4134" s="1">
        <v>10.0</v>
      </c>
      <c r="I4134" s="1" t="s">
        <v>23</v>
      </c>
      <c r="J4134" s="1" t="s">
        <v>18</v>
      </c>
      <c r="K4134" s="1">
        <f t="shared" si="1"/>
        <v>2022</v>
      </c>
      <c r="L4134" s="1" t="str">
        <f t="shared" si="2"/>
        <v>Oct</v>
      </c>
      <c r="M4134" s="1" t="str">
        <f t="shared" si="3"/>
        <v>Profit</v>
      </c>
    </row>
    <row r="4135" ht="14.25" customHeight="1">
      <c r="A4135" s="1" t="s">
        <v>4169</v>
      </c>
      <c r="B4135" s="2">
        <v>44976.0</v>
      </c>
      <c r="C4135" s="1" t="s">
        <v>14</v>
      </c>
      <c r="D4135" s="1" t="s">
        <v>27</v>
      </c>
      <c r="E4135" s="1" t="s">
        <v>33</v>
      </c>
      <c r="F4135" s="1">
        <v>376.74</v>
      </c>
      <c r="G4135" s="1">
        <v>-29.94</v>
      </c>
      <c r="H4135" s="1">
        <v>7.0</v>
      </c>
      <c r="I4135" s="1" t="s">
        <v>17</v>
      </c>
      <c r="J4135" s="1" t="s">
        <v>18</v>
      </c>
      <c r="K4135" s="1">
        <f t="shared" si="1"/>
        <v>2023</v>
      </c>
      <c r="L4135" s="1" t="str">
        <f t="shared" si="2"/>
        <v>Feb</v>
      </c>
      <c r="M4135" s="1" t="str">
        <f t="shared" si="3"/>
        <v>Loss</v>
      </c>
    </row>
    <row r="4136" ht="14.25" customHeight="1">
      <c r="A4136" s="1" t="s">
        <v>4170</v>
      </c>
      <c r="B4136" s="2">
        <v>45068.0</v>
      </c>
      <c r="C4136" s="1" t="s">
        <v>26</v>
      </c>
      <c r="D4136" s="1" t="s">
        <v>21</v>
      </c>
      <c r="E4136" s="1" t="s">
        <v>76</v>
      </c>
      <c r="F4136" s="1">
        <v>395.12</v>
      </c>
      <c r="G4136" s="1">
        <v>97.54</v>
      </c>
      <c r="H4136" s="1">
        <v>2.0</v>
      </c>
      <c r="I4136" s="1" t="s">
        <v>34</v>
      </c>
      <c r="J4136" s="1" t="s">
        <v>35</v>
      </c>
      <c r="K4136" s="1">
        <f t="shared" si="1"/>
        <v>2023</v>
      </c>
      <c r="L4136" s="1" t="str">
        <f t="shared" si="2"/>
        <v>May</v>
      </c>
      <c r="M4136" s="1" t="str">
        <f t="shared" si="3"/>
        <v>Profit</v>
      </c>
    </row>
    <row r="4137" ht="14.25" customHeight="1">
      <c r="A4137" s="1" t="s">
        <v>4171</v>
      </c>
      <c r="B4137" s="2">
        <v>45097.0</v>
      </c>
      <c r="C4137" s="1" t="s">
        <v>30</v>
      </c>
      <c r="D4137" s="1" t="s">
        <v>21</v>
      </c>
      <c r="E4137" s="1" t="s">
        <v>76</v>
      </c>
      <c r="F4137" s="1">
        <v>764.69</v>
      </c>
      <c r="G4137" s="1">
        <v>9.29</v>
      </c>
      <c r="H4137" s="1">
        <v>5.0</v>
      </c>
      <c r="I4137" s="1" t="s">
        <v>17</v>
      </c>
      <c r="J4137" s="1" t="s">
        <v>38</v>
      </c>
      <c r="K4137" s="1">
        <f t="shared" si="1"/>
        <v>2023</v>
      </c>
      <c r="L4137" s="1" t="str">
        <f t="shared" si="2"/>
        <v>Jun</v>
      </c>
      <c r="M4137" s="1" t="str">
        <f t="shared" si="3"/>
        <v>Profit</v>
      </c>
    </row>
    <row r="4138" ht="14.25" customHeight="1">
      <c r="A4138" s="1" t="s">
        <v>4172</v>
      </c>
      <c r="B4138" s="2">
        <v>44411.0</v>
      </c>
      <c r="C4138" s="1" t="s">
        <v>26</v>
      </c>
      <c r="D4138" s="1" t="s">
        <v>21</v>
      </c>
      <c r="E4138" s="1" t="s">
        <v>76</v>
      </c>
      <c r="F4138" s="1">
        <v>866.92</v>
      </c>
      <c r="G4138" s="1">
        <v>86.09</v>
      </c>
      <c r="H4138" s="1">
        <v>6.0</v>
      </c>
      <c r="I4138" s="1" t="s">
        <v>34</v>
      </c>
      <c r="J4138" s="1" t="s">
        <v>38</v>
      </c>
      <c r="K4138" s="1">
        <f t="shared" si="1"/>
        <v>2021</v>
      </c>
      <c r="L4138" s="1" t="str">
        <f t="shared" si="2"/>
        <v>Aug</v>
      </c>
      <c r="M4138" s="1" t="str">
        <f t="shared" si="3"/>
        <v>Profit</v>
      </c>
    </row>
    <row r="4139" ht="14.25" customHeight="1">
      <c r="A4139" s="1" t="s">
        <v>4173</v>
      </c>
      <c r="B4139" s="2">
        <v>44572.0</v>
      </c>
      <c r="C4139" s="1" t="s">
        <v>26</v>
      </c>
      <c r="D4139" s="1" t="s">
        <v>15</v>
      </c>
      <c r="E4139" s="1" t="s">
        <v>16</v>
      </c>
      <c r="F4139" s="1">
        <v>889.81</v>
      </c>
      <c r="G4139" s="1">
        <v>89.35</v>
      </c>
      <c r="H4139" s="1">
        <v>1.0</v>
      </c>
      <c r="I4139" s="1" t="s">
        <v>23</v>
      </c>
      <c r="J4139" s="1" t="s">
        <v>38</v>
      </c>
      <c r="K4139" s="1">
        <f t="shared" si="1"/>
        <v>2022</v>
      </c>
      <c r="L4139" s="1" t="str">
        <f t="shared" si="2"/>
        <v>Jan</v>
      </c>
      <c r="M4139" s="1" t="str">
        <f t="shared" si="3"/>
        <v>Profit</v>
      </c>
    </row>
    <row r="4140" ht="14.25" customHeight="1">
      <c r="A4140" s="1" t="s">
        <v>4174</v>
      </c>
      <c r="B4140" s="2">
        <v>44937.0</v>
      </c>
      <c r="C4140" s="1" t="s">
        <v>26</v>
      </c>
      <c r="D4140" s="1" t="s">
        <v>21</v>
      </c>
      <c r="E4140" s="1" t="s">
        <v>22</v>
      </c>
      <c r="F4140" s="1">
        <v>365.82</v>
      </c>
      <c r="G4140" s="1">
        <v>252.17</v>
      </c>
      <c r="H4140" s="1">
        <v>1.0</v>
      </c>
      <c r="I4140" s="1" t="s">
        <v>34</v>
      </c>
      <c r="J4140" s="1" t="s">
        <v>24</v>
      </c>
      <c r="K4140" s="1">
        <f t="shared" si="1"/>
        <v>2023</v>
      </c>
      <c r="L4140" s="1" t="str">
        <f t="shared" si="2"/>
        <v>Jan</v>
      </c>
      <c r="M4140" s="1" t="str">
        <f t="shared" si="3"/>
        <v>Profit</v>
      </c>
    </row>
    <row r="4141" ht="14.25" customHeight="1">
      <c r="A4141" s="1" t="s">
        <v>4175</v>
      </c>
      <c r="B4141" s="2">
        <v>45025.0</v>
      </c>
      <c r="C4141" s="1" t="s">
        <v>26</v>
      </c>
      <c r="D4141" s="1" t="s">
        <v>21</v>
      </c>
      <c r="E4141" s="1" t="s">
        <v>76</v>
      </c>
      <c r="F4141" s="1">
        <v>108.53</v>
      </c>
      <c r="G4141" s="1">
        <v>-2.08</v>
      </c>
      <c r="H4141" s="1">
        <v>9.0</v>
      </c>
      <c r="I4141" s="1" t="s">
        <v>34</v>
      </c>
      <c r="J4141" s="1" t="s">
        <v>38</v>
      </c>
      <c r="K4141" s="1">
        <f t="shared" si="1"/>
        <v>2023</v>
      </c>
      <c r="L4141" s="1" t="str">
        <f t="shared" si="2"/>
        <v>Apr</v>
      </c>
      <c r="M4141" s="1" t="str">
        <f t="shared" si="3"/>
        <v>Loss</v>
      </c>
    </row>
    <row r="4142" ht="14.25" customHeight="1">
      <c r="A4142" s="1" t="s">
        <v>4176</v>
      </c>
      <c r="B4142" s="2">
        <v>45048.0</v>
      </c>
      <c r="C4142" s="1" t="s">
        <v>30</v>
      </c>
      <c r="D4142" s="1" t="s">
        <v>27</v>
      </c>
      <c r="E4142" s="1" t="s">
        <v>40</v>
      </c>
      <c r="F4142" s="1">
        <v>175.18</v>
      </c>
      <c r="G4142" s="1">
        <v>-42.99</v>
      </c>
      <c r="H4142" s="1">
        <v>6.0</v>
      </c>
      <c r="I4142" s="1" t="s">
        <v>23</v>
      </c>
      <c r="J4142" s="1" t="s">
        <v>35</v>
      </c>
      <c r="K4142" s="1">
        <f t="shared" si="1"/>
        <v>2023</v>
      </c>
      <c r="L4142" s="1" t="str">
        <f t="shared" si="2"/>
        <v>May</v>
      </c>
      <c r="M4142" s="1" t="str">
        <f t="shared" si="3"/>
        <v>Loss</v>
      </c>
    </row>
    <row r="4143" ht="14.25" customHeight="1">
      <c r="A4143" s="1" t="s">
        <v>4177</v>
      </c>
      <c r="B4143" s="2">
        <v>44630.0</v>
      </c>
      <c r="C4143" s="1" t="s">
        <v>26</v>
      </c>
      <c r="D4143" s="1" t="s">
        <v>21</v>
      </c>
      <c r="E4143" s="1" t="s">
        <v>76</v>
      </c>
      <c r="F4143" s="1">
        <v>490.75</v>
      </c>
      <c r="G4143" s="1">
        <v>-103.98</v>
      </c>
      <c r="H4143" s="1">
        <v>7.0</v>
      </c>
      <c r="I4143" s="1" t="s">
        <v>23</v>
      </c>
      <c r="J4143" s="1" t="s">
        <v>38</v>
      </c>
      <c r="K4143" s="1">
        <f t="shared" si="1"/>
        <v>2022</v>
      </c>
      <c r="L4143" s="1" t="str">
        <f t="shared" si="2"/>
        <v>Mar</v>
      </c>
      <c r="M4143" s="1" t="str">
        <f t="shared" si="3"/>
        <v>Loss</v>
      </c>
    </row>
    <row r="4144" ht="14.25" customHeight="1">
      <c r="A4144" s="1" t="s">
        <v>4178</v>
      </c>
      <c r="B4144" s="2">
        <v>45093.0</v>
      </c>
      <c r="C4144" s="1" t="s">
        <v>26</v>
      </c>
      <c r="D4144" s="1" t="s">
        <v>27</v>
      </c>
      <c r="E4144" s="1" t="s">
        <v>33</v>
      </c>
      <c r="F4144" s="1">
        <v>218.07</v>
      </c>
      <c r="G4144" s="1">
        <v>274.65</v>
      </c>
      <c r="H4144" s="1">
        <v>3.0</v>
      </c>
      <c r="I4144" s="1" t="s">
        <v>23</v>
      </c>
      <c r="J4144" s="1" t="s">
        <v>18</v>
      </c>
      <c r="K4144" s="1">
        <f t="shared" si="1"/>
        <v>2023</v>
      </c>
      <c r="L4144" s="1" t="str">
        <f t="shared" si="2"/>
        <v>Jun</v>
      </c>
      <c r="M4144" s="1" t="str">
        <f t="shared" si="3"/>
        <v>Profit</v>
      </c>
    </row>
    <row r="4145" ht="14.25" customHeight="1">
      <c r="A4145" s="1" t="s">
        <v>4179</v>
      </c>
      <c r="B4145" s="2">
        <v>45279.0</v>
      </c>
      <c r="C4145" s="1" t="s">
        <v>14</v>
      </c>
      <c r="D4145" s="1" t="s">
        <v>27</v>
      </c>
      <c r="E4145" s="1" t="s">
        <v>33</v>
      </c>
      <c r="F4145" s="1">
        <v>559.39</v>
      </c>
      <c r="G4145" s="1">
        <v>65.23</v>
      </c>
      <c r="H4145" s="1">
        <v>10.0</v>
      </c>
      <c r="I4145" s="1" t="s">
        <v>23</v>
      </c>
      <c r="J4145" s="1" t="s">
        <v>35</v>
      </c>
      <c r="K4145" s="1">
        <f t="shared" si="1"/>
        <v>2023</v>
      </c>
      <c r="L4145" s="1" t="str">
        <f t="shared" si="2"/>
        <v>Dec</v>
      </c>
      <c r="M4145" s="1" t="str">
        <f t="shared" si="3"/>
        <v>Profit</v>
      </c>
    </row>
    <row r="4146" ht="14.25" customHeight="1">
      <c r="A4146" s="1" t="s">
        <v>4180</v>
      </c>
      <c r="B4146" s="2">
        <v>44489.0</v>
      </c>
      <c r="C4146" s="1" t="s">
        <v>26</v>
      </c>
      <c r="D4146" s="1" t="s">
        <v>15</v>
      </c>
      <c r="E4146" s="1" t="s">
        <v>31</v>
      </c>
      <c r="F4146" s="1">
        <v>971.08</v>
      </c>
      <c r="G4146" s="1">
        <v>-150.98</v>
      </c>
      <c r="H4146" s="1">
        <v>5.0</v>
      </c>
      <c r="I4146" s="1" t="s">
        <v>23</v>
      </c>
      <c r="J4146" s="1" t="s">
        <v>38</v>
      </c>
      <c r="K4146" s="1">
        <f t="shared" si="1"/>
        <v>2021</v>
      </c>
      <c r="L4146" s="1" t="str">
        <f t="shared" si="2"/>
        <v>Oct</v>
      </c>
      <c r="M4146" s="1" t="str">
        <f t="shared" si="3"/>
        <v>Loss</v>
      </c>
    </row>
    <row r="4147" ht="14.25" customHeight="1">
      <c r="A4147" s="1" t="s">
        <v>4181</v>
      </c>
      <c r="B4147" s="2">
        <v>45123.0</v>
      </c>
      <c r="C4147" s="1" t="s">
        <v>20</v>
      </c>
      <c r="D4147" s="1" t="s">
        <v>27</v>
      </c>
      <c r="E4147" s="1" t="s">
        <v>28</v>
      </c>
      <c r="F4147" s="1">
        <v>522.55</v>
      </c>
      <c r="G4147" s="1">
        <v>-113.36</v>
      </c>
      <c r="H4147" s="1">
        <v>6.0</v>
      </c>
      <c r="I4147" s="1" t="s">
        <v>23</v>
      </c>
      <c r="J4147" s="1" t="s">
        <v>24</v>
      </c>
      <c r="K4147" s="1">
        <f t="shared" si="1"/>
        <v>2023</v>
      </c>
      <c r="L4147" s="1" t="str">
        <f t="shared" si="2"/>
        <v>Jul</v>
      </c>
      <c r="M4147" s="1" t="str">
        <f t="shared" si="3"/>
        <v>Loss</v>
      </c>
    </row>
    <row r="4148" ht="14.25" customHeight="1">
      <c r="A4148" s="1" t="s">
        <v>4182</v>
      </c>
      <c r="B4148" s="2">
        <v>45170.0</v>
      </c>
      <c r="C4148" s="1" t="s">
        <v>30</v>
      </c>
      <c r="D4148" s="1" t="s">
        <v>21</v>
      </c>
      <c r="E4148" s="1" t="s">
        <v>37</v>
      </c>
      <c r="F4148" s="1">
        <v>260.49</v>
      </c>
      <c r="G4148" s="1">
        <v>150.81</v>
      </c>
      <c r="H4148" s="1">
        <v>3.0</v>
      </c>
      <c r="I4148" s="1" t="s">
        <v>23</v>
      </c>
      <c r="J4148" s="1" t="s">
        <v>24</v>
      </c>
      <c r="K4148" s="1">
        <f t="shared" si="1"/>
        <v>2023</v>
      </c>
      <c r="L4148" s="1" t="str">
        <f t="shared" si="2"/>
        <v>Sep</v>
      </c>
      <c r="M4148" s="1" t="str">
        <f t="shared" si="3"/>
        <v>Profit</v>
      </c>
    </row>
    <row r="4149" ht="14.25" customHeight="1">
      <c r="A4149" s="1" t="s">
        <v>4183</v>
      </c>
      <c r="B4149" s="2">
        <v>44663.0</v>
      </c>
      <c r="C4149" s="1" t="s">
        <v>14</v>
      </c>
      <c r="D4149" s="1" t="s">
        <v>27</v>
      </c>
      <c r="E4149" s="1" t="s">
        <v>28</v>
      </c>
      <c r="F4149" s="1">
        <v>245.01</v>
      </c>
      <c r="G4149" s="1">
        <v>-182.25</v>
      </c>
      <c r="H4149" s="1">
        <v>6.0</v>
      </c>
      <c r="I4149" s="1" t="s">
        <v>34</v>
      </c>
      <c r="J4149" s="1" t="s">
        <v>38</v>
      </c>
      <c r="K4149" s="1">
        <f t="shared" si="1"/>
        <v>2022</v>
      </c>
      <c r="L4149" s="1" t="str">
        <f t="shared" si="2"/>
        <v>Apr</v>
      </c>
      <c r="M4149" s="1" t="str">
        <f t="shared" si="3"/>
        <v>Loss</v>
      </c>
    </row>
    <row r="4150" ht="14.25" customHeight="1">
      <c r="A4150" s="1" t="s">
        <v>4184</v>
      </c>
      <c r="B4150" s="2">
        <v>44438.0</v>
      </c>
      <c r="C4150" s="1" t="s">
        <v>20</v>
      </c>
      <c r="D4150" s="1" t="s">
        <v>15</v>
      </c>
      <c r="E4150" s="1" t="s">
        <v>31</v>
      </c>
      <c r="F4150" s="1">
        <v>466.21</v>
      </c>
      <c r="G4150" s="1">
        <v>88.74</v>
      </c>
      <c r="H4150" s="1">
        <v>7.0</v>
      </c>
      <c r="I4150" s="1" t="s">
        <v>17</v>
      </c>
      <c r="J4150" s="1" t="s">
        <v>24</v>
      </c>
      <c r="K4150" s="1">
        <f t="shared" si="1"/>
        <v>2021</v>
      </c>
      <c r="L4150" s="1" t="str">
        <f t="shared" si="2"/>
        <v>Aug</v>
      </c>
      <c r="M4150" s="1" t="str">
        <f t="shared" si="3"/>
        <v>Profit</v>
      </c>
    </row>
    <row r="4151" ht="14.25" customHeight="1">
      <c r="A4151" s="1" t="s">
        <v>4185</v>
      </c>
      <c r="B4151" s="2">
        <v>44670.0</v>
      </c>
      <c r="C4151" s="1" t="s">
        <v>26</v>
      </c>
      <c r="D4151" s="1" t="s">
        <v>15</v>
      </c>
      <c r="E4151" s="1" t="s">
        <v>54</v>
      </c>
      <c r="F4151" s="1">
        <v>742.73</v>
      </c>
      <c r="G4151" s="1">
        <v>71.67</v>
      </c>
      <c r="H4151" s="1">
        <v>6.0</v>
      </c>
      <c r="I4151" s="1" t="s">
        <v>23</v>
      </c>
      <c r="J4151" s="1" t="s">
        <v>35</v>
      </c>
      <c r="K4151" s="1">
        <f t="shared" si="1"/>
        <v>2022</v>
      </c>
      <c r="L4151" s="1" t="str">
        <f t="shared" si="2"/>
        <v>Apr</v>
      </c>
      <c r="M4151" s="1" t="str">
        <f t="shared" si="3"/>
        <v>Profit</v>
      </c>
    </row>
    <row r="4152" ht="14.25" customHeight="1">
      <c r="A4152" s="1" t="s">
        <v>4186</v>
      </c>
      <c r="B4152" s="2">
        <v>44873.0</v>
      </c>
      <c r="C4152" s="1" t="s">
        <v>14</v>
      </c>
      <c r="D4152" s="1" t="s">
        <v>27</v>
      </c>
      <c r="E4152" s="1" t="s">
        <v>33</v>
      </c>
      <c r="F4152" s="1">
        <v>761.93</v>
      </c>
      <c r="G4152" s="1">
        <v>85.17</v>
      </c>
      <c r="H4152" s="1">
        <v>2.0</v>
      </c>
      <c r="I4152" s="1" t="s">
        <v>34</v>
      </c>
      <c r="J4152" s="1" t="s">
        <v>24</v>
      </c>
      <c r="K4152" s="1">
        <f t="shared" si="1"/>
        <v>2022</v>
      </c>
      <c r="L4152" s="1" t="str">
        <f t="shared" si="2"/>
        <v>Nov</v>
      </c>
      <c r="M4152" s="1" t="str">
        <f t="shared" si="3"/>
        <v>Profit</v>
      </c>
    </row>
    <row r="4153" ht="14.25" customHeight="1">
      <c r="A4153" s="1" t="s">
        <v>4187</v>
      </c>
      <c r="B4153" s="2">
        <v>44347.0</v>
      </c>
      <c r="C4153" s="1" t="s">
        <v>26</v>
      </c>
      <c r="D4153" s="1" t="s">
        <v>15</v>
      </c>
      <c r="E4153" s="1" t="s">
        <v>31</v>
      </c>
      <c r="F4153" s="1">
        <v>491.11</v>
      </c>
      <c r="G4153" s="1">
        <v>283.87</v>
      </c>
      <c r="H4153" s="1">
        <v>1.0</v>
      </c>
      <c r="I4153" s="1" t="s">
        <v>17</v>
      </c>
      <c r="J4153" s="1" t="s">
        <v>38</v>
      </c>
      <c r="K4153" s="1">
        <f t="shared" si="1"/>
        <v>2021</v>
      </c>
      <c r="L4153" s="1" t="str">
        <f t="shared" si="2"/>
        <v>May</v>
      </c>
      <c r="M4153" s="1" t="str">
        <f t="shared" si="3"/>
        <v>Profit</v>
      </c>
    </row>
    <row r="4154" ht="14.25" customHeight="1">
      <c r="A4154" s="1" t="s">
        <v>4188</v>
      </c>
      <c r="B4154" s="2">
        <v>44380.0</v>
      </c>
      <c r="C4154" s="1" t="s">
        <v>20</v>
      </c>
      <c r="D4154" s="1" t="s">
        <v>15</v>
      </c>
      <c r="E4154" s="1" t="s">
        <v>54</v>
      </c>
      <c r="F4154" s="1">
        <v>300.07</v>
      </c>
      <c r="G4154" s="1">
        <v>53.07</v>
      </c>
      <c r="H4154" s="1">
        <v>4.0</v>
      </c>
      <c r="I4154" s="1" t="s">
        <v>17</v>
      </c>
      <c r="J4154" s="1" t="s">
        <v>35</v>
      </c>
      <c r="K4154" s="1">
        <f t="shared" si="1"/>
        <v>2021</v>
      </c>
      <c r="L4154" s="1" t="str">
        <f t="shared" si="2"/>
        <v>Jul</v>
      </c>
      <c r="M4154" s="1" t="str">
        <f t="shared" si="3"/>
        <v>Profit</v>
      </c>
    </row>
    <row r="4155" ht="14.25" customHeight="1">
      <c r="A4155" s="1" t="s">
        <v>4189</v>
      </c>
      <c r="B4155" s="2">
        <v>45027.0</v>
      </c>
      <c r="C4155" s="1" t="s">
        <v>30</v>
      </c>
      <c r="D4155" s="1" t="s">
        <v>21</v>
      </c>
      <c r="E4155" s="1" t="s">
        <v>37</v>
      </c>
      <c r="F4155" s="1">
        <v>455.69</v>
      </c>
      <c r="G4155" s="1">
        <v>-180.65</v>
      </c>
      <c r="H4155" s="1">
        <v>7.0</v>
      </c>
      <c r="I4155" s="1" t="s">
        <v>17</v>
      </c>
      <c r="J4155" s="1" t="s">
        <v>35</v>
      </c>
      <c r="K4155" s="1">
        <f t="shared" si="1"/>
        <v>2023</v>
      </c>
      <c r="L4155" s="1" t="str">
        <f t="shared" si="2"/>
        <v>Apr</v>
      </c>
      <c r="M4155" s="1" t="str">
        <f t="shared" si="3"/>
        <v>Loss</v>
      </c>
    </row>
    <row r="4156" ht="14.25" customHeight="1">
      <c r="A4156" s="1" t="s">
        <v>4190</v>
      </c>
      <c r="B4156" s="2">
        <v>44545.0</v>
      </c>
      <c r="C4156" s="1" t="s">
        <v>26</v>
      </c>
      <c r="D4156" s="1" t="s">
        <v>15</v>
      </c>
      <c r="E4156" s="1" t="s">
        <v>16</v>
      </c>
      <c r="F4156" s="1">
        <v>750.84</v>
      </c>
      <c r="G4156" s="1">
        <v>-87.18</v>
      </c>
      <c r="H4156" s="1">
        <v>1.0</v>
      </c>
      <c r="I4156" s="1" t="s">
        <v>34</v>
      </c>
      <c r="J4156" s="1" t="s">
        <v>35</v>
      </c>
      <c r="K4156" s="1">
        <f t="shared" si="1"/>
        <v>2021</v>
      </c>
      <c r="L4156" s="1" t="str">
        <f t="shared" si="2"/>
        <v>Dec</v>
      </c>
      <c r="M4156" s="1" t="str">
        <f t="shared" si="3"/>
        <v>Loss</v>
      </c>
    </row>
    <row r="4157" ht="14.25" customHeight="1">
      <c r="A4157" s="1" t="s">
        <v>4191</v>
      </c>
      <c r="B4157" s="2">
        <v>44701.0</v>
      </c>
      <c r="C4157" s="1" t="s">
        <v>26</v>
      </c>
      <c r="D4157" s="1" t="s">
        <v>21</v>
      </c>
      <c r="E4157" s="1" t="s">
        <v>76</v>
      </c>
      <c r="F4157" s="1">
        <v>477.28</v>
      </c>
      <c r="G4157" s="1">
        <v>45.63</v>
      </c>
      <c r="H4157" s="1">
        <v>9.0</v>
      </c>
      <c r="I4157" s="1" t="s">
        <v>17</v>
      </c>
      <c r="J4157" s="1" t="s">
        <v>18</v>
      </c>
      <c r="K4157" s="1">
        <f t="shared" si="1"/>
        <v>2022</v>
      </c>
      <c r="L4157" s="1" t="str">
        <f t="shared" si="2"/>
        <v>May</v>
      </c>
      <c r="M4157" s="1" t="str">
        <f t="shared" si="3"/>
        <v>Profit</v>
      </c>
    </row>
    <row r="4158" ht="14.25" customHeight="1">
      <c r="A4158" s="1" t="s">
        <v>4192</v>
      </c>
      <c r="B4158" s="2">
        <v>44528.0</v>
      </c>
      <c r="C4158" s="1" t="s">
        <v>14</v>
      </c>
      <c r="D4158" s="1" t="s">
        <v>15</v>
      </c>
      <c r="E4158" s="1" t="s">
        <v>16</v>
      </c>
      <c r="F4158" s="1">
        <v>563.13</v>
      </c>
      <c r="G4158" s="1">
        <v>-142.32</v>
      </c>
      <c r="H4158" s="1">
        <v>3.0</v>
      </c>
      <c r="I4158" s="1" t="s">
        <v>34</v>
      </c>
      <c r="J4158" s="1" t="s">
        <v>18</v>
      </c>
      <c r="K4158" s="1">
        <f t="shared" si="1"/>
        <v>2021</v>
      </c>
      <c r="L4158" s="1" t="str">
        <f t="shared" si="2"/>
        <v>Nov</v>
      </c>
      <c r="M4158" s="1" t="str">
        <f t="shared" si="3"/>
        <v>Loss</v>
      </c>
    </row>
    <row r="4159" ht="14.25" customHeight="1">
      <c r="A4159" s="1" t="s">
        <v>4193</v>
      </c>
      <c r="B4159" s="2">
        <v>45142.0</v>
      </c>
      <c r="C4159" s="1" t="s">
        <v>14</v>
      </c>
      <c r="D4159" s="1" t="s">
        <v>21</v>
      </c>
      <c r="E4159" s="1" t="s">
        <v>37</v>
      </c>
      <c r="F4159" s="1">
        <v>859.97</v>
      </c>
      <c r="G4159" s="1">
        <v>-69.76</v>
      </c>
      <c r="H4159" s="1">
        <v>6.0</v>
      </c>
      <c r="I4159" s="1" t="s">
        <v>34</v>
      </c>
      <c r="J4159" s="1" t="s">
        <v>35</v>
      </c>
      <c r="K4159" s="1">
        <f t="shared" si="1"/>
        <v>2023</v>
      </c>
      <c r="L4159" s="1" t="str">
        <f t="shared" si="2"/>
        <v>Aug</v>
      </c>
      <c r="M4159" s="1" t="str">
        <f t="shared" si="3"/>
        <v>Loss</v>
      </c>
    </row>
    <row r="4160" ht="14.25" customHeight="1">
      <c r="A4160" s="1" t="s">
        <v>4194</v>
      </c>
      <c r="B4160" s="2">
        <v>44391.0</v>
      </c>
      <c r="C4160" s="1" t="s">
        <v>26</v>
      </c>
      <c r="D4160" s="1" t="s">
        <v>27</v>
      </c>
      <c r="E4160" s="1" t="s">
        <v>33</v>
      </c>
      <c r="F4160" s="1">
        <v>44.27</v>
      </c>
      <c r="G4160" s="1">
        <v>-50.35</v>
      </c>
      <c r="H4160" s="1">
        <v>6.0</v>
      </c>
      <c r="I4160" s="1" t="s">
        <v>23</v>
      </c>
      <c r="J4160" s="1" t="s">
        <v>18</v>
      </c>
      <c r="K4160" s="1">
        <f t="shared" si="1"/>
        <v>2021</v>
      </c>
      <c r="L4160" s="1" t="str">
        <f t="shared" si="2"/>
        <v>Jul</v>
      </c>
      <c r="M4160" s="1" t="str">
        <f t="shared" si="3"/>
        <v>Loss</v>
      </c>
    </row>
    <row r="4161" ht="14.25" customHeight="1">
      <c r="A4161" s="1" t="s">
        <v>4195</v>
      </c>
      <c r="B4161" s="2">
        <v>45087.0</v>
      </c>
      <c r="C4161" s="1" t="s">
        <v>26</v>
      </c>
      <c r="D4161" s="1" t="s">
        <v>15</v>
      </c>
      <c r="E4161" s="1" t="s">
        <v>16</v>
      </c>
      <c r="F4161" s="1">
        <v>668.35</v>
      </c>
      <c r="G4161" s="1">
        <v>-35.44</v>
      </c>
      <c r="H4161" s="1">
        <v>9.0</v>
      </c>
      <c r="I4161" s="1" t="s">
        <v>23</v>
      </c>
      <c r="J4161" s="1" t="s">
        <v>38</v>
      </c>
      <c r="K4161" s="1">
        <f t="shared" si="1"/>
        <v>2023</v>
      </c>
      <c r="L4161" s="1" t="str">
        <f t="shared" si="2"/>
        <v>Jun</v>
      </c>
      <c r="M4161" s="1" t="str">
        <f t="shared" si="3"/>
        <v>Loss</v>
      </c>
    </row>
    <row r="4162" ht="14.25" customHeight="1">
      <c r="A4162" s="1" t="s">
        <v>4196</v>
      </c>
      <c r="B4162" s="2">
        <v>44746.0</v>
      </c>
      <c r="C4162" s="1" t="s">
        <v>30</v>
      </c>
      <c r="D4162" s="1" t="s">
        <v>21</v>
      </c>
      <c r="E4162" s="1" t="s">
        <v>37</v>
      </c>
      <c r="F4162" s="1">
        <v>300.49</v>
      </c>
      <c r="G4162" s="1">
        <v>-58.1</v>
      </c>
      <c r="H4162" s="1">
        <v>10.0</v>
      </c>
      <c r="I4162" s="1" t="s">
        <v>23</v>
      </c>
      <c r="J4162" s="1" t="s">
        <v>35</v>
      </c>
      <c r="K4162" s="1">
        <f t="shared" si="1"/>
        <v>2022</v>
      </c>
      <c r="L4162" s="1" t="str">
        <f t="shared" si="2"/>
        <v>Jul</v>
      </c>
      <c r="M4162" s="1" t="str">
        <f t="shared" si="3"/>
        <v>Loss</v>
      </c>
    </row>
    <row r="4163" ht="14.25" customHeight="1">
      <c r="A4163" s="1" t="s">
        <v>4197</v>
      </c>
      <c r="B4163" s="2">
        <v>44510.0</v>
      </c>
      <c r="C4163" s="1" t="s">
        <v>26</v>
      </c>
      <c r="D4163" s="1" t="s">
        <v>27</v>
      </c>
      <c r="E4163" s="1" t="s">
        <v>28</v>
      </c>
      <c r="F4163" s="1">
        <v>111.14</v>
      </c>
      <c r="G4163" s="1">
        <v>-88.63</v>
      </c>
      <c r="H4163" s="1">
        <v>8.0</v>
      </c>
      <c r="I4163" s="1" t="s">
        <v>17</v>
      </c>
      <c r="J4163" s="1" t="s">
        <v>24</v>
      </c>
      <c r="K4163" s="1">
        <f t="shared" si="1"/>
        <v>2021</v>
      </c>
      <c r="L4163" s="1" t="str">
        <f t="shared" si="2"/>
        <v>Nov</v>
      </c>
      <c r="M4163" s="1" t="str">
        <f t="shared" si="3"/>
        <v>Loss</v>
      </c>
    </row>
    <row r="4164" ht="14.25" customHeight="1">
      <c r="A4164" s="1" t="s">
        <v>4198</v>
      </c>
      <c r="B4164" s="2">
        <v>45051.0</v>
      </c>
      <c r="C4164" s="1" t="s">
        <v>30</v>
      </c>
      <c r="D4164" s="1" t="s">
        <v>15</v>
      </c>
      <c r="E4164" s="1" t="s">
        <v>16</v>
      </c>
      <c r="F4164" s="1">
        <v>74.18</v>
      </c>
      <c r="G4164" s="1">
        <v>281.94</v>
      </c>
      <c r="H4164" s="1">
        <v>4.0</v>
      </c>
      <c r="I4164" s="1" t="s">
        <v>34</v>
      </c>
      <c r="J4164" s="1" t="s">
        <v>24</v>
      </c>
      <c r="K4164" s="1">
        <f t="shared" si="1"/>
        <v>2023</v>
      </c>
      <c r="L4164" s="1" t="str">
        <f t="shared" si="2"/>
        <v>May</v>
      </c>
      <c r="M4164" s="1" t="str">
        <f t="shared" si="3"/>
        <v>Profit</v>
      </c>
    </row>
    <row r="4165" ht="14.25" customHeight="1">
      <c r="A4165" s="1" t="s">
        <v>4199</v>
      </c>
      <c r="B4165" s="2">
        <v>44244.0</v>
      </c>
      <c r="C4165" s="1" t="s">
        <v>14</v>
      </c>
      <c r="D4165" s="1" t="s">
        <v>21</v>
      </c>
      <c r="E4165" s="1" t="s">
        <v>22</v>
      </c>
      <c r="F4165" s="1">
        <v>461.46</v>
      </c>
      <c r="G4165" s="1">
        <v>-15.65</v>
      </c>
      <c r="H4165" s="1">
        <v>4.0</v>
      </c>
      <c r="I4165" s="1" t="s">
        <v>23</v>
      </c>
      <c r="J4165" s="1" t="s">
        <v>24</v>
      </c>
      <c r="K4165" s="1">
        <f t="shared" si="1"/>
        <v>2021</v>
      </c>
      <c r="L4165" s="1" t="str">
        <f t="shared" si="2"/>
        <v>Feb</v>
      </c>
      <c r="M4165" s="1" t="str">
        <f t="shared" si="3"/>
        <v>Loss</v>
      </c>
    </row>
    <row r="4166" ht="14.25" customHeight="1">
      <c r="A4166" s="1" t="s">
        <v>4200</v>
      </c>
      <c r="B4166" s="2">
        <v>45282.0</v>
      </c>
      <c r="C4166" s="1" t="s">
        <v>14</v>
      </c>
      <c r="D4166" s="1" t="s">
        <v>21</v>
      </c>
      <c r="E4166" s="1" t="s">
        <v>22</v>
      </c>
      <c r="F4166" s="1">
        <v>824.74</v>
      </c>
      <c r="G4166" s="1">
        <v>146.54</v>
      </c>
      <c r="H4166" s="1">
        <v>7.0</v>
      </c>
      <c r="I4166" s="1" t="s">
        <v>17</v>
      </c>
      <c r="J4166" s="1" t="s">
        <v>18</v>
      </c>
      <c r="K4166" s="1">
        <f t="shared" si="1"/>
        <v>2023</v>
      </c>
      <c r="L4166" s="1" t="str">
        <f t="shared" si="2"/>
        <v>Dec</v>
      </c>
      <c r="M4166" s="1" t="str">
        <f t="shared" si="3"/>
        <v>Profit</v>
      </c>
    </row>
    <row r="4167" ht="14.25" customHeight="1">
      <c r="A4167" s="1" t="s">
        <v>4201</v>
      </c>
      <c r="B4167" s="2">
        <v>44759.0</v>
      </c>
      <c r="C4167" s="1" t="s">
        <v>26</v>
      </c>
      <c r="D4167" s="1" t="s">
        <v>15</v>
      </c>
      <c r="E4167" s="1" t="s">
        <v>31</v>
      </c>
      <c r="F4167" s="1">
        <v>535.35</v>
      </c>
      <c r="G4167" s="1">
        <v>81.36</v>
      </c>
      <c r="H4167" s="1">
        <v>1.0</v>
      </c>
      <c r="I4167" s="1" t="s">
        <v>34</v>
      </c>
      <c r="J4167" s="1" t="s">
        <v>38</v>
      </c>
      <c r="K4167" s="1">
        <f t="shared" si="1"/>
        <v>2022</v>
      </c>
      <c r="L4167" s="1" t="str">
        <f t="shared" si="2"/>
        <v>Jul</v>
      </c>
      <c r="M4167" s="1" t="str">
        <f t="shared" si="3"/>
        <v>Profit</v>
      </c>
    </row>
    <row r="4168" ht="14.25" customHeight="1">
      <c r="A4168" s="1" t="s">
        <v>4202</v>
      </c>
      <c r="B4168" s="2">
        <v>45104.0</v>
      </c>
      <c r="C4168" s="1" t="s">
        <v>14</v>
      </c>
      <c r="D4168" s="1" t="s">
        <v>27</v>
      </c>
      <c r="E4168" s="1" t="s">
        <v>40</v>
      </c>
      <c r="F4168" s="1">
        <v>71.82</v>
      </c>
      <c r="G4168" s="1">
        <v>-87.73</v>
      </c>
      <c r="H4168" s="1">
        <v>6.0</v>
      </c>
      <c r="I4168" s="1" t="s">
        <v>23</v>
      </c>
      <c r="J4168" s="1" t="s">
        <v>35</v>
      </c>
      <c r="K4168" s="1">
        <f t="shared" si="1"/>
        <v>2023</v>
      </c>
      <c r="L4168" s="1" t="str">
        <f t="shared" si="2"/>
        <v>Jun</v>
      </c>
      <c r="M4168" s="1" t="str">
        <f t="shared" si="3"/>
        <v>Loss</v>
      </c>
    </row>
    <row r="4169" ht="14.25" customHeight="1">
      <c r="A4169" s="1" t="s">
        <v>4203</v>
      </c>
      <c r="B4169" s="2">
        <v>44688.0</v>
      </c>
      <c r="C4169" s="1" t="s">
        <v>30</v>
      </c>
      <c r="D4169" s="1" t="s">
        <v>15</v>
      </c>
      <c r="E4169" s="1" t="s">
        <v>54</v>
      </c>
      <c r="F4169" s="1">
        <v>558.39</v>
      </c>
      <c r="G4169" s="1">
        <v>30.07</v>
      </c>
      <c r="H4169" s="1">
        <v>6.0</v>
      </c>
      <c r="I4169" s="1" t="s">
        <v>17</v>
      </c>
      <c r="J4169" s="1" t="s">
        <v>35</v>
      </c>
      <c r="K4169" s="1">
        <f t="shared" si="1"/>
        <v>2022</v>
      </c>
      <c r="L4169" s="1" t="str">
        <f t="shared" si="2"/>
        <v>May</v>
      </c>
      <c r="M4169" s="1" t="str">
        <f t="shared" si="3"/>
        <v>Profit</v>
      </c>
    </row>
    <row r="4170" ht="14.25" customHeight="1">
      <c r="A4170" s="1" t="s">
        <v>4204</v>
      </c>
      <c r="B4170" s="2">
        <v>44659.0</v>
      </c>
      <c r="C4170" s="1" t="s">
        <v>26</v>
      </c>
      <c r="D4170" s="1" t="s">
        <v>15</v>
      </c>
      <c r="E4170" s="1" t="s">
        <v>54</v>
      </c>
      <c r="F4170" s="1">
        <v>127.48</v>
      </c>
      <c r="G4170" s="1">
        <v>-188.4</v>
      </c>
      <c r="H4170" s="1">
        <v>6.0</v>
      </c>
      <c r="I4170" s="1" t="s">
        <v>34</v>
      </c>
      <c r="J4170" s="1" t="s">
        <v>35</v>
      </c>
      <c r="K4170" s="1">
        <f t="shared" si="1"/>
        <v>2022</v>
      </c>
      <c r="L4170" s="1" t="str">
        <f t="shared" si="2"/>
        <v>Apr</v>
      </c>
      <c r="M4170" s="1" t="str">
        <f t="shared" si="3"/>
        <v>Loss</v>
      </c>
    </row>
    <row r="4171" ht="14.25" customHeight="1">
      <c r="A4171" s="1" t="s">
        <v>4205</v>
      </c>
      <c r="B4171" s="2">
        <v>44775.0</v>
      </c>
      <c r="C4171" s="1" t="s">
        <v>26</v>
      </c>
      <c r="D4171" s="1" t="s">
        <v>27</v>
      </c>
      <c r="E4171" s="1" t="s">
        <v>40</v>
      </c>
      <c r="F4171" s="1">
        <v>303.89</v>
      </c>
      <c r="G4171" s="1">
        <v>106.59</v>
      </c>
      <c r="H4171" s="1">
        <v>7.0</v>
      </c>
      <c r="I4171" s="1" t="s">
        <v>23</v>
      </c>
      <c r="J4171" s="1" t="s">
        <v>35</v>
      </c>
      <c r="K4171" s="1">
        <f t="shared" si="1"/>
        <v>2022</v>
      </c>
      <c r="L4171" s="1" t="str">
        <f t="shared" si="2"/>
        <v>Aug</v>
      </c>
      <c r="M4171" s="1" t="str">
        <f t="shared" si="3"/>
        <v>Profit</v>
      </c>
    </row>
    <row r="4172" ht="14.25" customHeight="1">
      <c r="A4172" s="1" t="s">
        <v>4206</v>
      </c>
      <c r="B4172" s="2">
        <v>44205.0</v>
      </c>
      <c r="C4172" s="1" t="s">
        <v>20</v>
      </c>
      <c r="D4172" s="1" t="s">
        <v>15</v>
      </c>
      <c r="E4172" s="1" t="s">
        <v>31</v>
      </c>
      <c r="F4172" s="1">
        <v>956.48</v>
      </c>
      <c r="G4172" s="1">
        <v>50.17</v>
      </c>
      <c r="H4172" s="1">
        <v>1.0</v>
      </c>
      <c r="I4172" s="1" t="s">
        <v>34</v>
      </c>
      <c r="J4172" s="1" t="s">
        <v>35</v>
      </c>
      <c r="K4172" s="1">
        <f t="shared" si="1"/>
        <v>2021</v>
      </c>
      <c r="L4172" s="1" t="str">
        <f t="shared" si="2"/>
        <v>Jan</v>
      </c>
      <c r="M4172" s="1" t="str">
        <f t="shared" si="3"/>
        <v>Profit</v>
      </c>
    </row>
    <row r="4173" ht="14.25" customHeight="1">
      <c r="A4173" s="1" t="s">
        <v>4207</v>
      </c>
      <c r="B4173" s="2">
        <v>44967.0</v>
      </c>
      <c r="C4173" s="1" t="s">
        <v>30</v>
      </c>
      <c r="D4173" s="1" t="s">
        <v>27</v>
      </c>
      <c r="E4173" s="1" t="s">
        <v>28</v>
      </c>
      <c r="F4173" s="1">
        <v>214.08</v>
      </c>
      <c r="G4173" s="1">
        <v>226.1</v>
      </c>
      <c r="H4173" s="1">
        <v>2.0</v>
      </c>
      <c r="I4173" s="1" t="s">
        <v>34</v>
      </c>
      <c r="J4173" s="1" t="s">
        <v>35</v>
      </c>
      <c r="K4173" s="1">
        <f t="shared" si="1"/>
        <v>2023</v>
      </c>
      <c r="L4173" s="1" t="str">
        <f t="shared" si="2"/>
        <v>Feb</v>
      </c>
      <c r="M4173" s="1" t="str">
        <f t="shared" si="3"/>
        <v>Profit</v>
      </c>
    </row>
    <row r="4174" ht="14.25" customHeight="1">
      <c r="A4174" s="1" t="s">
        <v>4208</v>
      </c>
      <c r="B4174" s="2">
        <v>44255.0</v>
      </c>
      <c r="C4174" s="1" t="s">
        <v>26</v>
      </c>
      <c r="D4174" s="1" t="s">
        <v>21</v>
      </c>
      <c r="E4174" s="1" t="s">
        <v>37</v>
      </c>
      <c r="F4174" s="1">
        <v>195.08</v>
      </c>
      <c r="G4174" s="1">
        <v>149.05</v>
      </c>
      <c r="H4174" s="1">
        <v>8.0</v>
      </c>
      <c r="I4174" s="1" t="s">
        <v>17</v>
      </c>
      <c r="J4174" s="1" t="s">
        <v>35</v>
      </c>
      <c r="K4174" s="1">
        <f t="shared" si="1"/>
        <v>2021</v>
      </c>
      <c r="L4174" s="1" t="str">
        <f t="shared" si="2"/>
        <v>Feb</v>
      </c>
      <c r="M4174" s="1" t="str">
        <f t="shared" si="3"/>
        <v>Profit</v>
      </c>
    </row>
    <row r="4175" ht="14.25" customHeight="1">
      <c r="A4175" s="1" t="s">
        <v>4209</v>
      </c>
      <c r="B4175" s="2">
        <v>44881.0</v>
      </c>
      <c r="C4175" s="1" t="s">
        <v>14</v>
      </c>
      <c r="D4175" s="1" t="s">
        <v>21</v>
      </c>
      <c r="E4175" s="1" t="s">
        <v>37</v>
      </c>
      <c r="F4175" s="1">
        <v>272.35</v>
      </c>
      <c r="G4175" s="1">
        <v>-156.01</v>
      </c>
      <c r="H4175" s="1">
        <v>2.0</v>
      </c>
      <c r="I4175" s="1" t="s">
        <v>17</v>
      </c>
      <c r="J4175" s="1" t="s">
        <v>38</v>
      </c>
      <c r="K4175" s="1">
        <f t="shared" si="1"/>
        <v>2022</v>
      </c>
      <c r="L4175" s="1" t="str">
        <f t="shared" si="2"/>
        <v>Nov</v>
      </c>
      <c r="M4175" s="1" t="str">
        <f t="shared" si="3"/>
        <v>Loss</v>
      </c>
    </row>
    <row r="4176" ht="14.25" customHeight="1">
      <c r="A4176" s="1" t="s">
        <v>4210</v>
      </c>
      <c r="B4176" s="2">
        <v>44552.0</v>
      </c>
      <c r="C4176" s="1" t="s">
        <v>30</v>
      </c>
      <c r="D4176" s="1" t="s">
        <v>15</v>
      </c>
      <c r="E4176" s="1" t="s">
        <v>16</v>
      </c>
      <c r="F4176" s="1">
        <v>704.65</v>
      </c>
      <c r="G4176" s="1">
        <v>-108.04</v>
      </c>
      <c r="H4176" s="1">
        <v>4.0</v>
      </c>
      <c r="I4176" s="1" t="s">
        <v>23</v>
      </c>
      <c r="J4176" s="1" t="s">
        <v>18</v>
      </c>
      <c r="K4176" s="1">
        <f t="shared" si="1"/>
        <v>2021</v>
      </c>
      <c r="L4176" s="1" t="str">
        <f t="shared" si="2"/>
        <v>Dec</v>
      </c>
      <c r="M4176" s="1" t="str">
        <f t="shared" si="3"/>
        <v>Loss</v>
      </c>
    </row>
    <row r="4177" ht="14.25" customHeight="1">
      <c r="A4177" s="1" t="s">
        <v>4211</v>
      </c>
      <c r="B4177" s="2">
        <v>44253.0</v>
      </c>
      <c r="C4177" s="1" t="s">
        <v>30</v>
      </c>
      <c r="D4177" s="1" t="s">
        <v>27</v>
      </c>
      <c r="E4177" s="1" t="s">
        <v>40</v>
      </c>
      <c r="F4177" s="1">
        <v>306.47</v>
      </c>
      <c r="G4177" s="1">
        <v>107.78</v>
      </c>
      <c r="H4177" s="1">
        <v>7.0</v>
      </c>
      <c r="I4177" s="1" t="s">
        <v>23</v>
      </c>
      <c r="J4177" s="1" t="s">
        <v>24</v>
      </c>
      <c r="K4177" s="1">
        <f t="shared" si="1"/>
        <v>2021</v>
      </c>
      <c r="L4177" s="1" t="str">
        <f t="shared" si="2"/>
        <v>Feb</v>
      </c>
      <c r="M4177" s="1" t="str">
        <f t="shared" si="3"/>
        <v>Profit</v>
      </c>
    </row>
    <row r="4178" ht="14.25" customHeight="1">
      <c r="A4178" s="1" t="s">
        <v>4212</v>
      </c>
      <c r="B4178" s="2">
        <v>44226.0</v>
      </c>
      <c r="C4178" s="1" t="s">
        <v>26</v>
      </c>
      <c r="D4178" s="1" t="s">
        <v>15</v>
      </c>
      <c r="E4178" s="1" t="s">
        <v>54</v>
      </c>
      <c r="F4178" s="1">
        <v>959.84</v>
      </c>
      <c r="G4178" s="1">
        <v>265.97</v>
      </c>
      <c r="H4178" s="1">
        <v>5.0</v>
      </c>
      <c r="I4178" s="1" t="s">
        <v>34</v>
      </c>
      <c r="J4178" s="1" t="s">
        <v>38</v>
      </c>
      <c r="K4178" s="1">
        <f t="shared" si="1"/>
        <v>2021</v>
      </c>
      <c r="L4178" s="1" t="str">
        <f t="shared" si="2"/>
        <v>Jan</v>
      </c>
      <c r="M4178" s="1" t="str">
        <f t="shared" si="3"/>
        <v>Profit</v>
      </c>
    </row>
    <row r="4179" ht="14.25" customHeight="1">
      <c r="A4179" s="1" t="s">
        <v>4213</v>
      </c>
      <c r="B4179" s="2">
        <v>45246.0</v>
      </c>
      <c r="C4179" s="1" t="s">
        <v>26</v>
      </c>
      <c r="D4179" s="1" t="s">
        <v>15</v>
      </c>
      <c r="E4179" s="1" t="s">
        <v>54</v>
      </c>
      <c r="F4179" s="1">
        <v>792.4</v>
      </c>
      <c r="G4179" s="1">
        <v>-146.46</v>
      </c>
      <c r="H4179" s="1">
        <v>9.0</v>
      </c>
      <c r="I4179" s="1" t="s">
        <v>23</v>
      </c>
      <c r="J4179" s="1" t="s">
        <v>24</v>
      </c>
      <c r="K4179" s="1">
        <f t="shared" si="1"/>
        <v>2023</v>
      </c>
      <c r="L4179" s="1" t="str">
        <f t="shared" si="2"/>
        <v>Nov</v>
      </c>
      <c r="M4179" s="1" t="str">
        <f t="shared" si="3"/>
        <v>Loss</v>
      </c>
    </row>
    <row r="4180" ht="14.25" customHeight="1">
      <c r="A4180" s="1" t="s">
        <v>4214</v>
      </c>
      <c r="B4180" s="2">
        <v>45289.0</v>
      </c>
      <c r="C4180" s="1" t="s">
        <v>14</v>
      </c>
      <c r="D4180" s="1" t="s">
        <v>27</v>
      </c>
      <c r="E4180" s="1" t="s">
        <v>33</v>
      </c>
      <c r="F4180" s="1">
        <v>508.2</v>
      </c>
      <c r="G4180" s="1">
        <v>127.37</v>
      </c>
      <c r="H4180" s="1">
        <v>3.0</v>
      </c>
      <c r="I4180" s="1" t="s">
        <v>17</v>
      </c>
      <c r="J4180" s="1" t="s">
        <v>35</v>
      </c>
      <c r="K4180" s="1">
        <f t="shared" si="1"/>
        <v>2023</v>
      </c>
      <c r="L4180" s="1" t="str">
        <f t="shared" si="2"/>
        <v>Dec</v>
      </c>
      <c r="M4180" s="1" t="str">
        <f t="shared" si="3"/>
        <v>Profit</v>
      </c>
    </row>
    <row r="4181" ht="14.25" customHeight="1">
      <c r="A4181" s="1" t="s">
        <v>4215</v>
      </c>
      <c r="B4181" s="2">
        <v>44699.0</v>
      </c>
      <c r="C4181" s="1" t="s">
        <v>20</v>
      </c>
      <c r="D4181" s="1" t="s">
        <v>27</v>
      </c>
      <c r="E4181" s="1" t="s">
        <v>40</v>
      </c>
      <c r="F4181" s="1">
        <v>263.28</v>
      </c>
      <c r="G4181" s="1">
        <v>285.6</v>
      </c>
      <c r="H4181" s="1">
        <v>3.0</v>
      </c>
      <c r="I4181" s="1" t="s">
        <v>34</v>
      </c>
      <c r="J4181" s="1" t="s">
        <v>35</v>
      </c>
      <c r="K4181" s="1">
        <f t="shared" si="1"/>
        <v>2022</v>
      </c>
      <c r="L4181" s="1" t="str">
        <f t="shared" si="2"/>
        <v>May</v>
      </c>
      <c r="M4181" s="1" t="str">
        <f t="shared" si="3"/>
        <v>Profit</v>
      </c>
    </row>
    <row r="4182" ht="14.25" customHeight="1">
      <c r="A4182" s="1" t="s">
        <v>4216</v>
      </c>
      <c r="B4182" s="2">
        <v>44324.0</v>
      </c>
      <c r="C4182" s="1" t="s">
        <v>30</v>
      </c>
      <c r="D4182" s="1" t="s">
        <v>27</v>
      </c>
      <c r="E4182" s="1" t="s">
        <v>40</v>
      </c>
      <c r="F4182" s="1">
        <v>186.25</v>
      </c>
      <c r="G4182" s="1">
        <v>80.97</v>
      </c>
      <c r="H4182" s="1">
        <v>4.0</v>
      </c>
      <c r="I4182" s="1" t="s">
        <v>17</v>
      </c>
      <c r="J4182" s="1" t="s">
        <v>24</v>
      </c>
      <c r="K4182" s="1">
        <f t="shared" si="1"/>
        <v>2021</v>
      </c>
      <c r="L4182" s="1" t="str">
        <f t="shared" si="2"/>
        <v>May</v>
      </c>
      <c r="M4182" s="1" t="str">
        <f t="shared" si="3"/>
        <v>Profit</v>
      </c>
    </row>
    <row r="4183" ht="14.25" customHeight="1">
      <c r="A4183" s="1" t="s">
        <v>4217</v>
      </c>
      <c r="B4183" s="2">
        <v>45225.0</v>
      </c>
      <c r="C4183" s="1" t="s">
        <v>14</v>
      </c>
      <c r="D4183" s="1" t="s">
        <v>15</v>
      </c>
      <c r="E4183" s="1" t="s">
        <v>16</v>
      </c>
      <c r="F4183" s="1">
        <v>846.32</v>
      </c>
      <c r="G4183" s="1">
        <v>-140.03</v>
      </c>
      <c r="H4183" s="1">
        <v>6.0</v>
      </c>
      <c r="I4183" s="1" t="s">
        <v>23</v>
      </c>
      <c r="J4183" s="1" t="s">
        <v>24</v>
      </c>
      <c r="K4183" s="1">
        <f t="shared" si="1"/>
        <v>2023</v>
      </c>
      <c r="L4183" s="1" t="str">
        <f t="shared" si="2"/>
        <v>Oct</v>
      </c>
      <c r="M4183" s="1" t="str">
        <f t="shared" si="3"/>
        <v>Loss</v>
      </c>
    </row>
    <row r="4184" ht="14.25" customHeight="1">
      <c r="A4184" s="1" t="s">
        <v>4218</v>
      </c>
      <c r="B4184" s="2">
        <v>44750.0</v>
      </c>
      <c r="C4184" s="1" t="s">
        <v>26</v>
      </c>
      <c r="D4184" s="1" t="s">
        <v>27</v>
      </c>
      <c r="E4184" s="1" t="s">
        <v>28</v>
      </c>
      <c r="F4184" s="1">
        <v>688.6</v>
      </c>
      <c r="G4184" s="1">
        <v>284.16</v>
      </c>
      <c r="H4184" s="1">
        <v>2.0</v>
      </c>
      <c r="I4184" s="1" t="s">
        <v>17</v>
      </c>
      <c r="J4184" s="1" t="s">
        <v>38</v>
      </c>
      <c r="K4184" s="1">
        <f t="shared" si="1"/>
        <v>2022</v>
      </c>
      <c r="L4184" s="1" t="str">
        <f t="shared" si="2"/>
        <v>Jul</v>
      </c>
      <c r="M4184" s="1" t="str">
        <f t="shared" si="3"/>
        <v>Profit</v>
      </c>
    </row>
    <row r="4185" ht="14.25" customHeight="1">
      <c r="A4185" s="1" t="s">
        <v>4219</v>
      </c>
      <c r="B4185" s="2">
        <v>45078.0</v>
      </c>
      <c r="C4185" s="1" t="s">
        <v>20</v>
      </c>
      <c r="D4185" s="1" t="s">
        <v>21</v>
      </c>
      <c r="E4185" s="1" t="s">
        <v>37</v>
      </c>
      <c r="F4185" s="1">
        <v>697.02</v>
      </c>
      <c r="G4185" s="1">
        <v>34.9</v>
      </c>
      <c r="H4185" s="1">
        <v>7.0</v>
      </c>
      <c r="I4185" s="1" t="s">
        <v>34</v>
      </c>
      <c r="J4185" s="1" t="s">
        <v>35</v>
      </c>
      <c r="K4185" s="1">
        <f t="shared" si="1"/>
        <v>2023</v>
      </c>
      <c r="L4185" s="1" t="str">
        <f t="shared" si="2"/>
        <v>Jun</v>
      </c>
      <c r="M4185" s="1" t="str">
        <f t="shared" si="3"/>
        <v>Profit</v>
      </c>
    </row>
    <row r="4186" ht="14.25" customHeight="1">
      <c r="A4186" s="1" t="s">
        <v>4220</v>
      </c>
      <c r="B4186" s="2">
        <v>45235.0</v>
      </c>
      <c r="C4186" s="1" t="s">
        <v>30</v>
      </c>
      <c r="D4186" s="1" t="s">
        <v>15</v>
      </c>
      <c r="E4186" s="1" t="s">
        <v>54</v>
      </c>
      <c r="F4186" s="1">
        <v>215.75</v>
      </c>
      <c r="G4186" s="1">
        <v>21.13</v>
      </c>
      <c r="H4186" s="1">
        <v>8.0</v>
      </c>
      <c r="I4186" s="1" t="s">
        <v>34</v>
      </c>
      <c r="J4186" s="1" t="s">
        <v>18</v>
      </c>
      <c r="K4186" s="1">
        <f t="shared" si="1"/>
        <v>2023</v>
      </c>
      <c r="L4186" s="1" t="str">
        <f t="shared" si="2"/>
        <v>Nov</v>
      </c>
      <c r="M4186" s="1" t="str">
        <f t="shared" si="3"/>
        <v>Profit</v>
      </c>
    </row>
    <row r="4187" ht="14.25" customHeight="1">
      <c r="A4187" s="1" t="s">
        <v>4221</v>
      </c>
      <c r="B4187" s="2">
        <v>44891.0</v>
      </c>
      <c r="C4187" s="1" t="s">
        <v>26</v>
      </c>
      <c r="D4187" s="1" t="s">
        <v>27</v>
      </c>
      <c r="E4187" s="1" t="s">
        <v>33</v>
      </c>
      <c r="F4187" s="1">
        <v>138.4</v>
      </c>
      <c r="G4187" s="1">
        <v>131.85</v>
      </c>
      <c r="H4187" s="1">
        <v>8.0</v>
      </c>
      <c r="I4187" s="1" t="s">
        <v>17</v>
      </c>
      <c r="J4187" s="1" t="s">
        <v>35</v>
      </c>
      <c r="K4187" s="1">
        <f t="shared" si="1"/>
        <v>2022</v>
      </c>
      <c r="L4187" s="1" t="str">
        <f t="shared" si="2"/>
        <v>Nov</v>
      </c>
      <c r="M4187" s="1" t="str">
        <f t="shared" si="3"/>
        <v>Profit</v>
      </c>
    </row>
    <row r="4188" ht="14.25" customHeight="1">
      <c r="A4188" s="1" t="s">
        <v>4222</v>
      </c>
      <c r="B4188" s="2">
        <v>44843.0</v>
      </c>
      <c r="C4188" s="1" t="s">
        <v>26</v>
      </c>
      <c r="D4188" s="1" t="s">
        <v>15</v>
      </c>
      <c r="E4188" s="1" t="s">
        <v>31</v>
      </c>
      <c r="F4188" s="1">
        <v>953.5</v>
      </c>
      <c r="G4188" s="1">
        <v>283.37</v>
      </c>
      <c r="H4188" s="1">
        <v>7.0</v>
      </c>
      <c r="I4188" s="1" t="s">
        <v>34</v>
      </c>
      <c r="J4188" s="1" t="s">
        <v>38</v>
      </c>
      <c r="K4188" s="1">
        <f t="shared" si="1"/>
        <v>2022</v>
      </c>
      <c r="L4188" s="1" t="str">
        <f t="shared" si="2"/>
        <v>Oct</v>
      </c>
      <c r="M4188" s="1" t="str">
        <f t="shared" si="3"/>
        <v>Profit</v>
      </c>
    </row>
    <row r="4189" ht="14.25" customHeight="1">
      <c r="A4189" s="1" t="s">
        <v>4223</v>
      </c>
      <c r="B4189" s="2">
        <v>44650.0</v>
      </c>
      <c r="C4189" s="1" t="s">
        <v>20</v>
      </c>
      <c r="D4189" s="1" t="s">
        <v>21</v>
      </c>
      <c r="E4189" s="1" t="s">
        <v>37</v>
      </c>
      <c r="F4189" s="1">
        <v>625.98</v>
      </c>
      <c r="G4189" s="1">
        <v>-56.3</v>
      </c>
      <c r="H4189" s="1">
        <v>4.0</v>
      </c>
      <c r="I4189" s="1" t="s">
        <v>23</v>
      </c>
      <c r="J4189" s="1" t="s">
        <v>18</v>
      </c>
      <c r="K4189" s="1">
        <f t="shared" si="1"/>
        <v>2022</v>
      </c>
      <c r="L4189" s="1" t="str">
        <f t="shared" si="2"/>
        <v>Mar</v>
      </c>
      <c r="M4189" s="1" t="str">
        <f t="shared" si="3"/>
        <v>Loss</v>
      </c>
    </row>
    <row r="4190" ht="14.25" customHeight="1">
      <c r="A4190" s="1" t="s">
        <v>4224</v>
      </c>
      <c r="B4190" s="2">
        <v>44709.0</v>
      </c>
      <c r="C4190" s="1" t="s">
        <v>20</v>
      </c>
      <c r="D4190" s="1" t="s">
        <v>27</v>
      </c>
      <c r="E4190" s="1" t="s">
        <v>40</v>
      </c>
      <c r="F4190" s="1">
        <v>296.51</v>
      </c>
      <c r="G4190" s="1">
        <v>-5.13</v>
      </c>
      <c r="H4190" s="1">
        <v>7.0</v>
      </c>
      <c r="I4190" s="1" t="s">
        <v>34</v>
      </c>
      <c r="J4190" s="1" t="s">
        <v>35</v>
      </c>
      <c r="K4190" s="1">
        <f t="shared" si="1"/>
        <v>2022</v>
      </c>
      <c r="L4190" s="1" t="str">
        <f t="shared" si="2"/>
        <v>May</v>
      </c>
      <c r="M4190" s="1" t="str">
        <f t="shared" si="3"/>
        <v>Loss</v>
      </c>
    </row>
    <row r="4191" ht="14.25" customHeight="1">
      <c r="A4191" s="1" t="s">
        <v>4225</v>
      </c>
      <c r="B4191" s="2">
        <v>44508.0</v>
      </c>
      <c r="C4191" s="1" t="s">
        <v>30</v>
      </c>
      <c r="D4191" s="1" t="s">
        <v>21</v>
      </c>
      <c r="E4191" s="1" t="s">
        <v>76</v>
      </c>
      <c r="F4191" s="1">
        <v>718.29</v>
      </c>
      <c r="G4191" s="1">
        <v>-159.58</v>
      </c>
      <c r="H4191" s="1">
        <v>7.0</v>
      </c>
      <c r="I4191" s="1" t="s">
        <v>17</v>
      </c>
      <c r="J4191" s="1" t="s">
        <v>18</v>
      </c>
      <c r="K4191" s="1">
        <f t="shared" si="1"/>
        <v>2021</v>
      </c>
      <c r="L4191" s="1" t="str">
        <f t="shared" si="2"/>
        <v>Nov</v>
      </c>
      <c r="M4191" s="1" t="str">
        <f t="shared" si="3"/>
        <v>Loss</v>
      </c>
    </row>
    <row r="4192" ht="14.25" customHeight="1">
      <c r="A4192" s="1" t="s">
        <v>4226</v>
      </c>
      <c r="B4192" s="2">
        <v>44553.0</v>
      </c>
      <c r="C4192" s="1" t="s">
        <v>14</v>
      </c>
      <c r="D4192" s="1" t="s">
        <v>21</v>
      </c>
      <c r="E4192" s="1" t="s">
        <v>37</v>
      </c>
      <c r="F4192" s="1">
        <v>104.9</v>
      </c>
      <c r="G4192" s="1">
        <v>200.57</v>
      </c>
      <c r="H4192" s="1">
        <v>9.0</v>
      </c>
      <c r="I4192" s="1" t="s">
        <v>17</v>
      </c>
      <c r="J4192" s="1" t="s">
        <v>18</v>
      </c>
      <c r="K4192" s="1">
        <f t="shared" si="1"/>
        <v>2021</v>
      </c>
      <c r="L4192" s="1" t="str">
        <f t="shared" si="2"/>
        <v>Dec</v>
      </c>
      <c r="M4192" s="1" t="str">
        <f t="shared" si="3"/>
        <v>Profit</v>
      </c>
    </row>
    <row r="4193" ht="14.25" customHeight="1">
      <c r="A4193" s="1" t="s">
        <v>4227</v>
      </c>
      <c r="B4193" s="2">
        <v>44307.0</v>
      </c>
      <c r="C4193" s="1" t="s">
        <v>20</v>
      </c>
      <c r="D4193" s="1" t="s">
        <v>27</v>
      </c>
      <c r="E4193" s="1" t="s">
        <v>28</v>
      </c>
      <c r="F4193" s="1">
        <v>902.21</v>
      </c>
      <c r="G4193" s="1">
        <v>280.3</v>
      </c>
      <c r="H4193" s="1">
        <v>9.0</v>
      </c>
      <c r="I4193" s="1" t="s">
        <v>23</v>
      </c>
      <c r="J4193" s="1" t="s">
        <v>35</v>
      </c>
      <c r="K4193" s="1">
        <f t="shared" si="1"/>
        <v>2021</v>
      </c>
      <c r="L4193" s="1" t="str">
        <f t="shared" si="2"/>
        <v>Apr</v>
      </c>
      <c r="M4193" s="1" t="str">
        <f t="shared" si="3"/>
        <v>Profit</v>
      </c>
    </row>
    <row r="4194" ht="14.25" customHeight="1">
      <c r="A4194" s="1" t="s">
        <v>4228</v>
      </c>
      <c r="B4194" s="2">
        <v>45231.0</v>
      </c>
      <c r="C4194" s="1" t="s">
        <v>30</v>
      </c>
      <c r="D4194" s="1" t="s">
        <v>15</v>
      </c>
      <c r="E4194" s="1" t="s">
        <v>31</v>
      </c>
      <c r="F4194" s="1">
        <v>950.44</v>
      </c>
      <c r="G4194" s="1">
        <v>254.04</v>
      </c>
      <c r="H4194" s="1">
        <v>10.0</v>
      </c>
      <c r="I4194" s="1" t="s">
        <v>17</v>
      </c>
      <c r="J4194" s="1" t="s">
        <v>35</v>
      </c>
      <c r="K4194" s="1">
        <f t="shared" si="1"/>
        <v>2023</v>
      </c>
      <c r="L4194" s="1" t="str">
        <f t="shared" si="2"/>
        <v>Nov</v>
      </c>
      <c r="M4194" s="1" t="str">
        <f t="shared" si="3"/>
        <v>Profit</v>
      </c>
    </row>
    <row r="4195" ht="14.25" customHeight="1">
      <c r="A4195" s="1" t="s">
        <v>4229</v>
      </c>
      <c r="B4195" s="2">
        <v>44761.0</v>
      </c>
      <c r="C4195" s="1" t="s">
        <v>14</v>
      </c>
      <c r="D4195" s="1" t="s">
        <v>15</v>
      </c>
      <c r="E4195" s="1" t="s">
        <v>31</v>
      </c>
      <c r="F4195" s="1">
        <v>873.99</v>
      </c>
      <c r="G4195" s="1">
        <v>153.34</v>
      </c>
      <c r="H4195" s="1">
        <v>8.0</v>
      </c>
      <c r="I4195" s="1" t="s">
        <v>23</v>
      </c>
      <c r="J4195" s="1" t="s">
        <v>35</v>
      </c>
      <c r="K4195" s="1">
        <f t="shared" si="1"/>
        <v>2022</v>
      </c>
      <c r="L4195" s="1" t="str">
        <f t="shared" si="2"/>
        <v>Jul</v>
      </c>
      <c r="M4195" s="1" t="str">
        <f t="shared" si="3"/>
        <v>Profit</v>
      </c>
    </row>
    <row r="4196" ht="14.25" customHeight="1">
      <c r="A4196" s="1" t="s">
        <v>4230</v>
      </c>
      <c r="B4196" s="2">
        <v>45291.0</v>
      </c>
      <c r="C4196" s="1" t="s">
        <v>20</v>
      </c>
      <c r="D4196" s="1" t="s">
        <v>15</v>
      </c>
      <c r="E4196" s="1" t="s">
        <v>54</v>
      </c>
      <c r="F4196" s="1">
        <v>710.51</v>
      </c>
      <c r="G4196" s="1">
        <v>248.16</v>
      </c>
      <c r="H4196" s="1">
        <v>9.0</v>
      </c>
      <c r="I4196" s="1" t="s">
        <v>23</v>
      </c>
      <c r="J4196" s="1" t="s">
        <v>24</v>
      </c>
      <c r="K4196" s="1">
        <f t="shared" si="1"/>
        <v>2023</v>
      </c>
      <c r="L4196" s="1" t="str">
        <f t="shared" si="2"/>
        <v>Dec</v>
      </c>
      <c r="M4196" s="1" t="str">
        <f t="shared" si="3"/>
        <v>Profit</v>
      </c>
    </row>
    <row r="4197" ht="14.25" customHeight="1">
      <c r="A4197" s="1" t="s">
        <v>4231</v>
      </c>
      <c r="B4197" s="2">
        <v>44660.0</v>
      </c>
      <c r="C4197" s="1" t="s">
        <v>14</v>
      </c>
      <c r="D4197" s="1" t="s">
        <v>15</v>
      </c>
      <c r="E4197" s="1" t="s">
        <v>31</v>
      </c>
      <c r="F4197" s="1">
        <v>36.93</v>
      </c>
      <c r="G4197" s="1">
        <v>41.4</v>
      </c>
      <c r="H4197" s="1">
        <v>4.0</v>
      </c>
      <c r="I4197" s="1" t="s">
        <v>17</v>
      </c>
      <c r="J4197" s="1" t="s">
        <v>18</v>
      </c>
      <c r="K4197" s="1">
        <f t="shared" si="1"/>
        <v>2022</v>
      </c>
      <c r="L4197" s="1" t="str">
        <f t="shared" si="2"/>
        <v>Apr</v>
      </c>
      <c r="M4197" s="1" t="str">
        <f t="shared" si="3"/>
        <v>Profit</v>
      </c>
    </row>
    <row r="4198" ht="14.25" customHeight="1">
      <c r="A4198" s="1" t="s">
        <v>4232</v>
      </c>
      <c r="B4198" s="2">
        <v>44744.0</v>
      </c>
      <c r="C4198" s="1" t="s">
        <v>30</v>
      </c>
      <c r="D4198" s="1" t="s">
        <v>15</v>
      </c>
      <c r="E4198" s="1" t="s">
        <v>54</v>
      </c>
      <c r="F4198" s="1">
        <v>284.43</v>
      </c>
      <c r="G4198" s="1">
        <v>275.85</v>
      </c>
      <c r="H4198" s="1">
        <v>1.0</v>
      </c>
      <c r="I4198" s="1" t="s">
        <v>17</v>
      </c>
      <c r="J4198" s="1" t="s">
        <v>24</v>
      </c>
      <c r="K4198" s="1">
        <f t="shared" si="1"/>
        <v>2022</v>
      </c>
      <c r="L4198" s="1" t="str">
        <f t="shared" si="2"/>
        <v>Jul</v>
      </c>
      <c r="M4198" s="1" t="str">
        <f t="shared" si="3"/>
        <v>Profit</v>
      </c>
    </row>
    <row r="4199" ht="14.25" customHeight="1">
      <c r="A4199" s="1" t="s">
        <v>4233</v>
      </c>
      <c r="B4199" s="2">
        <v>44462.0</v>
      </c>
      <c r="C4199" s="1" t="s">
        <v>30</v>
      </c>
      <c r="D4199" s="1" t="s">
        <v>27</v>
      </c>
      <c r="E4199" s="1" t="s">
        <v>28</v>
      </c>
      <c r="F4199" s="1">
        <v>678.27</v>
      </c>
      <c r="G4199" s="1">
        <v>-23.12</v>
      </c>
      <c r="H4199" s="1">
        <v>7.0</v>
      </c>
      <c r="I4199" s="1" t="s">
        <v>17</v>
      </c>
      <c r="J4199" s="1" t="s">
        <v>38</v>
      </c>
      <c r="K4199" s="1">
        <f t="shared" si="1"/>
        <v>2021</v>
      </c>
      <c r="L4199" s="1" t="str">
        <f t="shared" si="2"/>
        <v>Sep</v>
      </c>
      <c r="M4199" s="1" t="str">
        <f t="shared" si="3"/>
        <v>Loss</v>
      </c>
    </row>
    <row r="4200" ht="14.25" customHeight="1">
      <c r="A4200" s="1" t="s">
        <v>4234</v>
      </c>
      <c r="B4200" s="2">
        <v>44857.0</v>
      </c>
      <c r="C4200" s="1" t="s">
        <v>20</v>
      </c>
      <c r="D4200" s="1" t="s">
        <v>21</v>
      </c>
      <c r="E4200" s="1" t="s">
        <v>76</v>
      </c>
      <c r="F4200" s="1">
        <v>314.31</v>
      </c>
      <c r="G4200" s="1">
        <v>70.43</v>
      </c>
      <c r="H4200" s="1">
        <v>6.0</v>
      </c>
      <c r="I4200" s="1" t="s">
        <v>23</v>
      </c>
      <c r="J4200" s="1" t="s">
        <v>38</v>
      </c>
      <c r="K4200" s="1">
        <f t="shared" si="1"/>
        <v>2022</v>
      </c>
      <c r="L4200" s="1" t="str">
        <f t="shared" si="2"/>
        <v>Oct</v>
      </c>
      <c r="M4200" s="1" t="str">
        <f t="shared" si="3"/>
        <v>Profit</v>
      </c>
    </row>
    <row r="4201" ht="14.25" customHeight="1">
      <c r="A4201" s="1" t="s">
        <v>4235</v>
      </c>
      <c r="B4201" s="2">
        <v>44984.0</v>
      </c>
      <c r="C4201" s="1" t="s">
        <v>14</v>
      </c>
      <c r="D4201" s="1" t="s">
        <v>27</v>
      </c>
      <c r="E4201" s="1" t="s">
        <v>40</v>
      </c>
      <c r="F4201" s="1">
        <v>308.34</v>
      </c>
      <c r="G4201" s="1">
        <v>-70.15</v>
      </c>
      <c r="H4201" s="1">
        <v>10.0</v>
      </c>
      <c r="I4201" s="1" t="s">
        <v>23</v>
      </c>
      <c r="J4201" s="1" t="s">
        <v>38</v>
      </c>
      <c r="K4201" s="1">
        <f t="shared" si="1"/>
        <v>2023</v>
      </c>
      <c r="L4201" s="1" t="str">
        <f t="shared" si="2"/>
        <v>Feb</v>
      </c>
      <c r="M4201" s="1" t="str">
        <f t="shared" si="3"/>
        <v>Loss</v>
      </c>
    </row>
    <row r="4202" ht="14.25" customHeight="1">
      <c r="A4202" s="1" t="s">
        <v>4236</v>
      </c>
      <c r="B4202" s="2">
        <v>44380.0</v>
      </c>
      <c r="C4202" s="1" t="s">
        <v>26</v>
      </c>
      <c r="D4202" s="1" t="s">
        <v>27</v>
      </c>
      <c r="E4202" s="1" t="s">
        <v>40</v>
      </c>
      <c r="F4202" s="1">
        <v>992.96</v>
      </c>
      <c r="G4202" s="1">
        <v>99.48</v>
      </c>
      <c r="H4202" s="1">
        <v>9.0</v>
      </c>
      <c r="I4202" s="1" t="s">
        <v>17</v>
      </c>
      <c r="J4202" s="1" t="s">
        <v>24</v>
      </c>
      <c r="K4202" s="1">
        <f t="shared" si="1"/>
        <v>2021</v>
      </c>
      <c r="L4202" s="1" t="str">
        <f t="shared" si="2"/>
        <v>Jul</v>
      </c>
      <c r="M4202" s="1" t="str">
        <f t="shared" si="3"/>
        <v>Profit</v>
      </c>
    </row>
    <row r="4203" ht="14.25" customHeight="1">
      <c r="A4203" s="1" t="s">
        <v>4237</v>
      </c>
      <c r="B4203" s="2">
        <v>44695.0</v>
      </c>
      <c r="C4203" s="1" t="s">
        <v>20</v>
      </c>
      <c r="D4203" s="1" t="s">
        <v>15</v>
      </c>
      <c r="E4203" s="1" t="s">
        <v>16</v>
      </c>
      <c r="F4203" s="1">
        <v>60.66</v>
      </c>
      <c r="G4203" s="1">
        <v>-74.35</v>
      </c>
      <c r="H4203" s="1">
        <v>5.0</v>
      </c>
      <c r="I4203" s="1" t="s">
        <v>34</v>
      </c>
      <c r="J4203" s="1" t="s">
        <v>35</v>
      </c>
      <c r="K4203" s="1">
        <f t="shared" si="1"/>
        <v>2022</v>
      </c>
      <c r="L4203" s="1" t="str">
        <f t="shared" si="2"/>
        <v>May</v>
      </c>
      <c r="M4203" s="1" t="str">
        <f t="shared" si="3"/>
        <v>Loss</v>
      </c>
    </row>
    <row r="4204" ht="14.25" customHeight="1">
      <c r="A4204" s="1" t="s">
        <v>4238</v>
      </c>
      <c r="B4204" s="2">
        <v>44694.0</v>
      </c>
      <c r="C4204" s="1" t="s">
        <v>26</v>
      </c>
      <c r="D4204" s="1" t="s">
        <v>15</v>
      </c>
      <c r="E4204" s="1" t="s">
        <v>31</v>
      </c>
      <c r="F4204" s="1">
        <v>446.52</v>
      </c>
      <c r="G4204" s="1">
        <v>260.59</v>
      </c>
      <c r="H4204" s="1">
        <v>8.0</v>
      </c>
      <c r="I4204" s="1" t="s">
        <v>23</v>
      </c>
      <c r="J4204" s="1" t="s">
        <v>38</v>
      </c>
      <c r="K4204" s="1">
        <f t="shared" si="1"/>
        <v>2022</v>
      </c>
      <c r="L4204" s="1" t="str">
        <f t="shared" si="2"/>
        <v>May</v>
      </c>
      <c r="M4204" s="1" t="str">
        <f t="shared" si="3"/>
        <v>Profit</v>
      </c>
    </row>
    <row r="4205" ht="14.25" customHeight="1">
      <c r="A4205" s="1" t="s">
        <v>4239</v>
      </c>
      <c r="B4205" s="2">
        <v>44278.0</v>
      </c>
      <c r="C4205" s="1" t="s">
        <v>26</v>
      </c>
      <c r="D4205" s="1" t="s">
        <v>21</v>
      </c>
      <c r="E4205" s="1" t="s">
        <v>22</v>
      </c>
      <c r="F4205" s="1">
        <v>67.87</v>
      </c>
      <c r="G4205" s="1">
        <v>225.56</v>
      </c>
      <c r="H4205" s="1">
        <v>3.0</v>
      </c>
      <c r="I4205" s="1" t="s">
        <v>17</v>
      </c>
      <c r="J4205" s="1" t="s">
        <v>38</v>
      </c>
      <c r="K4205" s="1">
        <f t="shared" si="1"/>
        <v>2021</v>
      </c>
      <c r="L4205" s="1" t="str">
        <f t="shared" si="2"/>
        <v>Mar</v>
      </c>
      <c r="M4205" s="1" t="str">
        <f t="shared" si="3"/>
        <v>Profit</v>
      </c>
    </row>
    <row r="4206" ht="14.25" customHeight="1">
      <c r="A4206" s="1" t="s">
        <v>4240</v>
      </c>
      <c r="B4206" s="2">
        <v>44788.0</v>
      </c>
      <c r="C4206" s="1" t="s">
        <v>30</v>
      </c>
      <c r="D4206" s="1" t="s">
        <v>21</v>
      </c>
      <c r="E4206" s="1" t="s">
        <v>37</v>
      </c>
      <c r="F4206" s="1">
        <v>881.38</v>
      </c>
      <c r="G4206" s="1">
        <v>279.66</v>
      </c>
      <c r="H4206" s="1">
        <v>5.0</v>
      </c>
      <c r="I4206" s="1" t="s">
        <v>23</v>
      </c>
      <c r="J4206" s="1" t="s">
        <v>18</v>
      </c>
      <c r="K4206" s="1">
        <f t="shared" si="1"/>
        <v>2022</v>
      </c>
      <c r="L4206" s="1" t="str">
        <f t="shared" si="2"/>
        <v>Aug</v>
      </c>
      <c r="M4206" s="1" t="str">
        <f t="shared" si="3"/>
        <v>Profit</v>
      </c>
    </row>
    <row r="4207" ht="14.25" customHeight="1">
      <c r="A4207" s="1" t="s">
        <v>4241</v>
      </c>
      <c r="B4207" s="2">
        <v>44793.0</v>
      </c>
      <c r="C4207" s="1" t="s">
        <v>14</v>
      </c>
      <c r="D4207" s="1" t="s">
        <v>27</v>
      </c>
      <c r="E4207" s="1" t="s">
        <v>33</v>
      </c>
      <c r="F4207" s="1">
        <v>933.15</v>
      </c>
      <c r="G4207" s="1">
        <v>-144.52</v>
      </c>
      <c r="H4207" s="1">
        <v>3.0</v>
      </c>
      <c r="I4207" s="1" t="s">
        <v>17</v>
      </c>
      <c r="J4207" s="1" t="s">
        <v>24</v>
      </c>
      <c r="K4207" s="1">
        <f t="shared" si="1"/>
        <v>2022</v>
      </c>
      <c r="L4207" s="1" t="str">
        <f t="shared" si="2"/>
        <v>Aug</v>
      </c>
      <c r="M4207" s="1" t="str">
        <f t="shared" si="3"/>
        <v>Loss</v>
      </c>
    </row>
    <row r="4208" ht="14.25" customHeight="1">
      <c r="A4208" s="1" t="s">
        <v>4242</v>
      </c>
      <c r="B4208" s="2">
        <v>44499.0</v>
      </c>
      <c r="C4208" s="1" t="s">
        <v>20</v>
      </c>
      <c r="D4208" s="1" t="s">
        <v>15</v>
      </c>
      <c r="E4208" s="1" t="s">
        <v>54</v>
      </c>
      <c r="F4208" s="1">
        <v>823.54</v>
      </c>
      <c r="G4208" s="1">
        <v>-179.38</v>
      </c>
      <c r="H4208" s="1">
        <v>5.0</v>
      </c>
      <c r="I4208" s="1" t="s">
        <v>34</v>
      </c>
      <c r="J4208" s="1" t="s">
        <v>18</v>
      </c>
      <c r="K4208" s="1">
        <f t="shared" si="1"/>
        <v>2021</v>
      </c>
      <c r="L4208" s="1" t="str">
        <f t="shared" si="2"/>
        <v>Oct</v>
      </c>
      <c r="M4208" s="1" t="str">
        <f t="shared" si="3"/>
        <v>Loss</v>
      </c>
    </row>
    <row r="4209" ht="14.25" customHeight="1">
      <c r="A4209" s="1" t="s">
        <v>4243</v>
      </c>
      <c r="B4209" s="2">
        <v>45178.0</v>
      </c>
      <c r="C4209" s="1" t="s">
        <v>20</v>
      </c>
      <c r="D4209" s="1" t="s">
        <v>21</v>
      </c>
      <c r="E4209" s="1" t="s">
        <v>76</v>
      </c>
      <c r="F4209" s="1">
        <v>838.81</v>
      </c>
      <c r="G4209" s="1">
        <v>229.25</v>
      </c>
      <c r="H4209" s="1">
        <v>5.0</v>
      </c>
      <c r="I4209" s="1" t="s">
        <v>23</v>
      </c>
      <c r="J4209" s="1" t="s">
        <v>18</v>
      </c>
      <c r="K4209" s="1">
        <f t="shared" si="1"/>
        <v>2023</v>
      </c>
      <c r="L4209" s="1" t="str">
        <f t="shared" si="2"/>
        <v>Sep</v>
      </c>
      <c r="M4209" s="1" t="str">
        <f t="shared" si="3"/>
        <v>Profit</v>
      </c>
    </row>
    <row r="4210" ht="14.25" customHeight="1">
      <c r="A4210" s="1" t="s">
        <v>4244</v>
      </c>
      <c r="B4210" s="2">
        <v>44902.0</v>
      </c>
      <c r="C4210" s="1" t="s">
        <v>30</v>
      </c>
      <c r="D4210" s="1" t="s">
        <v>15</v>
      </c>
      <c r="E4210" s="1" t="s">
        <v>54</v>
      </c>
      <c r="F4210" s="1">
        <v>469.89</v>
      </c>
      <c r="G4210" s="1">
        <v>264.65</v>
      </c>
      <c r="H4210" s="1">
        <v>3.0</v>
      </c>
      <c r="I4210" s="1" t="s">
        <v>23</v>
      </c>
      <c r="J4210" s="1" t="s">
        <v>38</v>
      </c>
      <c r="K4210" s="1">
        <f t="shared" si="1"/>
        <v>2022</v>
      </c>
      <c r="L4210" s="1" t="str">
        <f t="shared" si="2"/>
        <v>Dec</v>
      </c>
      <c r="M4210" s="1" t="str">
        <f t="shared" si="3"/>
        <v>Profit</v>
      </c>
    </row>
    <row r="4211" ht="14.25" customHeight="1">
      <c r="A4211" s="1" t="s">
        <v>4245</v>
      </c>
      <c r="B4211" s="2">
        <v>44811.0</v>
      </c>
      <c r="C4211" s="1" t="s">
        <v>30</v>
      </c>
      <c r="D4211" s="1" t="s">
        <v>27</v>
      </c>
      <c r="E4211" s="1" t="s">
        <v>33</v>
      </c>
      <c r="F4211" s="1">
        <v>48.47</v>
      </c>
      <c r="G4211" s="1">
        <v>291.43</v>
      </c>
      <c r="H4211" s="1">
        <v>10.0</v>
      </c>
      <c r="I4211" s="1" t="s">
        <v>17</v>
      </c>
      <c r="J4211" s="1" t="s">
        <v>35</v>
      </c>
      <c r="K4211" s="1">
        <f t="shared" si="1"/>
        <v>2022</v>
      </c>
      <c r="L4211" s="1" t="str">
        <f t="shared" si="2"/>
        <v>Sep</v>
      </c>
      <c r="M4211" s="1" t="str">
        <f t="shared" si="3"/>
        <v>Profit</v>
      </c>
    </row>
    <row r="4212" ht="14.25" customHeight="1">
      <c r="A4212" s="1" t="s">
        <v>4246</v>
      </c>
      <c r="B4212" s="2">
        <v>44452.0</v>
      </c>
      <c r="C4212" s="1" t="s">
        <v>26</v>
      </c>
      <c r="D4212" s="1" t="s">
        <v>15</v>
      </c>
      <c r="E4212" s="1" t="s">
        <v>54</v>
      </c>
      <c r="F4212" s="1">
        <v>265.18</v>
      </c>
      <c r="G4212" s="1">
        <v>191.55</v>
      </c>
      <c r="H4212" s="1">
        <v>6.0</v>
      </c>
      <c r="I4212" s="1" t="s">
        <v>34</v>
      </c>
      <c r="J4212" s="1" t="s">
        <v>18</v>
      </c>
      <c r="K4212" s="1">
        <f t="shared" si="1"/>
        <v>2021</v>
      </c>
      <c r="L4212" s="1" t="str">
        <f t="shared" si="2"/>
        <v>Sep</v>
      </c>
      <c r="M4212" s="1" t="str">
        <f t="shared" si="3"/>
        <v>Profit</v>
      </c>
    </row>
    <row r="4213" ht="14.25" customHeight="1">
      <c r="A4213" s="1" t="s">
        <v>4247</v>
      </c>
      <c r="B4213" s="2">
        <v>44830.0</v>
      </c>
      <c r="C4213" s="1" t="s">
        <v>26</v>
      </c>
      <c r="D4213" s="1" t="s">
        <v>15</v>
      </c>
      <c r="E4213" s="1" t="s">
        <v>54</v>
      </c>
      <c r="F4213" s="1">
        <v>975.79</v>
      </c>
      <c r="G4213" s="1">
        <v>-40.4</v>
      </c>
      <c r="H4213" s="1">
        <v>8.0</v>
      </c>
      <c r="I4213" s="1" t="s">
        <v>17</v>
      </c>
      <c r="J4213" s="1" t="s">
        <v>24</v>
      </c>
      <c r="K4213" s="1">
        <f t="shared" si="1"/>
        <v>2022</v>
      </c>
      <c r="L4213" s="1" t="str">
        <f t="shared" si="2"/>
        <v>Sep</v>
      </c>
      <c r="M4213" s="1" t="str">
        <f t="shared" si="3"/>
        <v>Loss</v>
      </c>
    </row>
    <row r="4214" ht="14.25" customHeight="1">
      <c r="A4214" s="1" t="s">
        <v>4248</v>
      </c>
      <c r="B4214" s="2">
        <v>45246.0</v>
      </c>
      <c r="C4214" s="1" t="s">
        <v>30</v>
      </c>
      <c r="D4214" s="1" t="s">
        <v>27</v>
      </c>
      <c r="E4214" s="1" t="s">
        <v>40</v>
      </c>
      <c r="F4214" s="1">
        <v>23.28</v>
      </c>
      <c r="G4214" s="1">
        <v>137.85</v>
      </c>
      <c r="H4214" s="1">
        <v>8.0</v>
      </c>
      <c r="I4214" s="1" t="s">
        <v>23</v>
      </c>
      <c r="J4214" s="1" t="s">
        <v>38</v>
      </c>
      <c r="K4214" s="1">
        <f t="shared" si="1"/>
        <v>2023</v>
      </c>
      <c r="L4214" s="1" t="str">
        <f t="shared" si="2"/>
        <v>Nov</v>
      </c>
      <c r="M4214" s="1" t="str">
        <f t="shared" si="3"/>
        <v>Profit</v>
      </c>
    </row>
    <row r="4215" ht="14.25" customHeight="1">
      <c r="A4215" s="1" t="s">
        <v>4249</v>
      </c>
      <c r="B4215" s="2">
        <v>44972.0</v>
      </c>
      <c r="C4215" s="1" t="s">
        <v>14</v>
      </c>
      <c r="D4215" s="1" t="s">
        <v>15</v>
      </c>
      <c r="E4215" s="1" t="s">
        <v>54</v>
      </c>
      <c r="F4215" s="1">
        <v>273.12</v>
      </c>
      <c r="G4215" s="1">
        <v>93.96</v>
      </c>
      <c r="H4215" s="1">
        <v>7.0</v>
      </c>
      <c r="I4215" s="1" t="s">
        <v>17</v>
      </c>
      <c r="J4215" s="1" t="s">
        <v>38</v>
      </c>
      <c r="K4215" s="1">
        <f t="shared" si="1"/>
        <v>2023</v>
      </c>
      <c r="L4215" s="1" t="str">
        <f t="shared" si="2"/>
        <v>Feb</v>
      </c>
      <c r="M4215" s="1" t="str">
        <f t="shared" si="3"/>
        <v>Profit</v>
      </c>
    </row>
    <row r="4216" ht="14.25" customHeight="1">
      <c r="A4216" s="1" t="s">
        <v>4250</v>
      </c>
      <c r="B4216" s="2">
        <v>44357.0</v>
      </c>
      <c r="C4216" s="1" t="s">
        <v>20</v>
      </c>
      <c r="D4216" s="1" t="s">
        <v>27</v>
      </c>
      <c r="E4216" s="1" t="s">
        <v>33</v>
      </c>
      <c r="F4216" s="1">
        <v>268.41</v>
      </c>
      <c r="G4216" s="1">
        <v>69.79</v>
      </c>
      <c r="H4216" s="1">
        <v>10.0</v>
      </c>
      <c r="I4216" s="1" t="s">
        <v>23</v>
      </c>
      <c r="J4216" s="1" t="s">
        <v>35</v>
      </c>
      <c r="K4216" s="1">
        <f t="shared" si="1"/>
        <v>2021</v>
      </c>
      <c r="L4216" s="1" t="str">
        <f t="shared" si="2"/>
        <v>Jun</v>
      </c>
      <c r="M4216" s="1" t="str">
        <f t="shared" si="3"/>
        <v>Profit</v>
      </c>
    </row>
    <row r="4217" ht="14.25" customHeight="1">
      <c r="A4217" s="1" t="s">
        <v>4251</v>
      </c>
      <c r="B4217" s="2">
        <v>45020.0</v>
      </c>
      <c r="C4217" s="1" t="s">
        <v>14</v>
      </c>
      <c r="D4217" s="1" t="s">
        <v>27</v>
      </c>
      <c r="E4217" s="1" t="s">
        <v>40</v>
      </c>
      <c r="F4217" s="1">
        <v>549.04</v>
      </c>
      <c r="G4217" s="1">
        <v>109.67</v>
      </c>
      <c r="H4217" s="1">
        <v>9.0</v>
      </c>
      <c r="I4217" s="1" t="s">
        <v>23</v>
      </c>
      <c r="J4217" s="1" t="s">
        <v>38</v>
      </c>
      <c r="K4217" s="1">
        <f t="shared" si="1"/>
        <v>2023</v>
      </c>
      <c r="L4217" s="1" t="str">
        <f t="shared" si="2"/>
        <v>Apr</v>
      </c>
      <c r="M4217" s="1" t="str">
        <f t="shared" si="3"/>
        <v>Profit</v>
      </c>
    </row>
    <row r="4218" ht="14.25" customHeight="1">
      <c r="A4218" s="1" t="s">
        <v>4252</v>
      </c>
      <c r="B4218" s="2">
        <v>44978.0</v>
      </c>
      <c r="C4218" s="1" t="s">
        <v>26</v>
      </c>
      <c r="D4218" s="1" t="s">
        <v>21</v>
      </c>
      <c r="E4218" s="1" t="s">
        <v>76</v>
      </c>
      <c r="F4218" s="1">
        <v>63.68</v>
      </c>
      <c r="G4218" s="1">
        <v>170.61</v>
      </c>
      <c r="H4218" s="1">
        <v>9.0</v>
      </c>
      <c r="I4218" s="1" t="s">
        <v>23</v>
      </c>
      <c r="J4218" s="1" t="s">
        <v>38</v>
      </c>
      <c r="K4218" s="1">
        <f t="shared" si="1"/>
        <v>2023</v>
      </c>
      <c r="L4218" s="1" t="str">
        <f t="shared" si="2"/>
        <v>Feb</v>
      </c>
      <c r="M4218" s="1" t="str">
        <f t="shared" si="3"/>
        <v>Profit</v>
      </c>
    </row>
    <row r="4219" ht="14.25" customHeight="1">
      <c r="A4219" s="1" t="s">
        <v>4253</v>
      </c>
      <c r="B4219" s="2">
        <v>44230.0</v>
      </c>
      <c r="C4219" s="1" t="s">
        <v>20</v>
      </c>
      <c r="D4219" s="1" t="s">
        <v>15</v>
      </c>
      <c r="E4219" s="1" t="s">
        <v>54</v>
      </c>
      <c r="F4219" s="1">
        <v>312.41</v>
      </c>
      <c r="G4219" s="1">
        <v>-199.87</v>
      </c>
      <c r="H4219" s="1">
        <v>4.0</v>
      </c>
      <c r="I4219" s="1" t="s">
        <v>23</v>
      </c>
      <c r="J4219" s="1" t="s">
        <v>38</v>
      </c>
      <c r="K4219" s="1">
        <f t="shared" si="1"/>
        <v>2021</v>
      </c>
      <c r="L4219" s="1" t="str">
        <f t="shared" si="2"/>
        <v>Feb</v>
      </c>
      <c r="M4219" s="1" t="str">
        <f t="shared" si="3"/>
        <v>Loss</v>
      </c>
    </row>
    <row r="4220" ht="14.25" customHeight="1">
      <c r="A4220" s="1" t="s">
        <v>4254</v>
      </c>
      <c r="B4220" s="2">
        <v>45091.0</v>
      </c>
      <c r="C4220" s="1" t="s">
        <v>30</v>
      </c>
      <c r="D4220" s="1" t="s">
        <v>27</v>
      </c>
      <c r="E4220" s="1" t="s">
        <v>40</v>
      </c>
      <c r="F4220" s="1">
        <v>565.56</v>
      </c>
      <c r="G4220" s="1">
        <v>-94.42</v>
      </c>
      <c r="H4220" s="1">
        <v>8.0</v>
      </c>
      <c r="I4220" s="1" t="s">
        <v>34</v>
      </c>
      <c r="J4220" s="1" t="s">
        <v>24</v>
      </c>
      <c r="K4220" s="1">
        <f t="shared" si="1"/>
        <v>2023</v>
      </c>
      <c r="L4220" s="1" t="str">
        <f t="shared" si="2"/>
        <v>Jun</v>
      </c>
      <c r="M4220" s="1" t="str">
        <f t="shared" si="3"/>
        <v>Loss</v>
      </c>
    </row>
    <row r="4221" ht="14.25" customHeight="1">
      <c r="A4221" s="1" t="s">
        <v>4255</v>
      </c>
      <c r="B4221" s="2">
        <v>44895.0</v>
      </c>
      <c r="C4221" s="1" t="s">
        <v>26</v>
      </c>
      <c r="D4221" s="1" t="s">
        <v>15</v>
      </c>
      <c r="E4221" s="1" t="s">
        <v>54</v>
      </c>
      <c r="F4221" s="1">
        <v>138.47</v>
      </c>
      <c r="G4221" s="1">
        <v>-157.73</v>
      </c>
      <c r="H4221" s="1">
        <v>1.0</v>
      </c>
      <c r="I4221" s="1" t="s">
        <v>23</v>
      </c>
      <c r="J4221" s="1" t="s">
        <v>35</v>
      </c>
      <c r="K4221" s="1">
        <f t="shared" si="1"/>
        <v>2022</v>
      </c>
      <c r="L4221" s="1" t="str">
        <f t="shared" si="2"/>
        <v>Nov</v>
      </c>
      <c r="M4221" s="1" t="str">
        <f t="shared" si="3"/>
        <v>Loss</v>
      </c>
    </row>
    <row r="4222" ht="14.25" customHeight="1">
      <c r="A4222" s="1" t="s">
        <v>4256</v>
      </c>
      <c r="B4222" s="2">
        <v>45142.0</v>
      </c>
      <c r="C4222" s="1" t="s">
        <v>20</v>
      </c>
      <c r="D4222" s="1" t="s">
        <v>21</v>
      </c>
      <c r="E4222" s="1" t="s">
        <v>37</v>
      </c>
      <c r="F4222" s="1">
        <v>298.09</v>
      </c>
      <c r="G4222" s="1">
        <v>-143.51</v>
      </c>
      <c r="H4222" s="1">
        <v>9.0</v>
      </c>
      <c r="I4222" s="1" t="s">
        <v>34</v>
      </c>
      <c r="J4222" s="1" t="s">
        <v>35</v>
      </c>
      <c r="K4222" s="1">
        <f t="shared" si="1"/>
        <v>2023</v>
      </c>
      <c r="L4222" s="1" t="str">
        <f t="shared" si="2"/>
        <v>Aug</v>
      </c>
      <c r="M4222" s="1" t="str">
        <f t="shared" si="3"/>
        <v>Loss</v>
      </c>
    </row>
    <row r="4223" ht="14.25" customHeight="1">
      <c r="A4223" s="1" t="s">
        <v>4257</v>
      </c>
      <c r="B4223" s="2">
        <v>44716.0</v>
      </c>
      <c r="C4223" s="1" t="s">
        <v>20</v>
      </c>
      <c r="D4223" s="1" t="s">
        <v>27</v>
      </c>
      <c r="E4223" s="1" t="s">
        <v>33</v>
      </c>
      <c r="F4223" s="1">
        <v>398.44</v>
      </c>
      <c r="G4223" s="1">
        <v>-135.71</v>
      </c>
      <c r="H4223" s="1">
        <v>2.0</v>
      </c>
      <c r="I4223" s="1" t="s">
        <v>23</v>
      </c>
      <c r="J4223" s="1" t="s">
        <v>38</v>
      </c>
      <c r="K4223" s="1">
        <f t="shared" si="1"/>
        <v>2022</v>
      </c>
      <c r="L4223" s="1" t="str">
        <f t="shared" si="2"/>
        <v>Jun</v>
      </c>
      <c r="M4223" s="1" t="str">
        <f t="shared" si="3"/>
        <v>Loss</v>
      </c>
    </row>
    <row r="4224" ht="14.25" customHeight="1">
      <c r="A4224" s="1" t="s">
        <v>4258</v>
      </c>
      <c r="B4224" s="2">
        <v>44577.0</v>
      </c>
      <c r="C4224" s="1" t="s">
        <v>30</v>
      </c>
      <c r="D4224" s="1" t="s">
        <v>21</v>
      </c>
      <c r="E4224" s="1" t="s">
        <v>76</v>
      </c>
      <c r="F4224" s="1">
        <v>608.47</v>
      </c>
      <c r="G4224" s="1">
        <v>158.58</v>
      </c>
      <c r="H4224" s="1">
        <v>2.0</v>
      </c>
      <c r="I4224" s="1" t="s">
        <v>34</v>
      </c>
      <c r="J4224" s="1" t="s">
        <v>35</v>
      </c>
      <c r="K4224" s="1">
        <f t="shared" si="1"/>
        <v>2022</v>
      </c>
      <c r="L4224" s="1" t="str">
        <f t="shared" si="2"/>
        <v>Jan</v>
      </c>
      <c r="M4224" s="1" t="str">
        <f t="shared" si="3"/>
        <v>Profit</v>
      </c>
    </row>
    <row r="4225" ht="14.25" customHeight="1">
      <c r="A4225" s="1" t="s">
        <v>4259</v>
      </c>
      <c r="B4225" s="2">
        <v>44959.0</v>
      </c>
      <c r="C4225" s="1" t="s">
        <v>20</v>
      </c>
      <c r="D4225" s="1" t="s">
        <v>15</v>
      </c>
      <c r="E4225" s="1" t="s">
        <v>16</v>
      </c>
      <c r="F4225" s="1">
        <v>456.76</v>
      </c>
      <c r="G4225" s="1">
        <v>5.27</v>
      </c>
      <c r="H4225" s="1">
        <v>7.0</v>
      </c>
      <c r="I4225" s="1" t="s">
        <v>34</v>
      </c>
      <c r="J4225" s="1" t="s">
        <v>38</v>
      </c>
      <c r="K4225" s="1">
        <f t="shared" si="1"/>
        <v>2023</v>
      </c>
      <c r="L4225" s="1" t="str">
        <f t="shared" si="2"/>
        <v>Feb</v>
      </c>
      <c r="M4225" s="1" t="str">
        <f t="shared" si="3"/>
        <v>Profit</v>
      </c>
    </row>
    <row r="4226" ht="14.25" customHeight="1">
      <c r="A4226" s="1" t="s">
        <v>4260</v>
      </c>
      <c r="B4226" s="2">
        <v>44656.0</v>
      </c>
      <c r="C4226" s="1" t="s">
        <v>14</v>
      </c>
      <c r="D4226" s="1" t="s">
        <v>27</v>
      </c>
      <c r="E4226" s="1" t="s">
        <v>40</v>
      </c>
      <c r="F4226" s="1">
        <v>252.97</v>
      </c>
      <c r="G4226" s="1">
        <v>-167.87</v>
      </c>
      <c r="H4226" s="1">
        <v>2.0</v>
      </c>
      <c r="I4226" s="1" t="s">
        <v>34</v>
      </c>
      <c r="J4226" s="1" t="s">
        <v>38</v>
      </c>
      <c r="K4226" s="1">
        <f t="shared" si="1"/>
        <v>2022</v>
      </c>
      <c r="L4226" s="1" t="str">
        <f t="shared" si="2"/>
        <v>Apr</v>
      </c>
      <c r="M4226" s="1" t="str">
        <f t="shared" si="3"/>
        <v>Loss</v>
      </c>
    </row>
    <row r="4227" ht="14.25" customHeight="1">
      <c r="A4227" s="1" t="s">
        <v>4261</v>
      </c>
      <c r="B4227" s="2">
        <v>44974.0</v>
      </c>
      <c r="C4227" s="1" t="s">
        <v>26</v>
      </c>
      <c r="D4227" s="1" t="s">
        <v>27</v>
      </c>
      <c r="E4227" s="1" t="s">
        <v>40</v>
      </c>
      <c r="F4227" s="1">
        <v>701.84</v>
      </c>
      <c r="G4227" s="1">
        <v>109.63</v>
      </c>
      <c r="H4227" s="1">
        <v>9.0</v>
      </c>
      <c r="I4227" s="1" t="s">
        <v>34</v>
      </c>
      <c r="J4227" s="1" t="s">
        <v>18</v>
      </c>
      <c r="K4227" s="1">
        <f t="shared" si="1"/>
        <v>2023</v>
      </c>
      <c r="L4227" s="1" t="str">
        <f t="shared" si="2"/>
        <v>Feb</v>
      </c>
      <c r="M4227" s="1" t="str">
        <f t="shared" si="3"/>
        <v>Profit</v>
      </c>
    </row>
    <row r="4228" ht="14.25" customHeight="1">
      <c r="A4228" s="1" t="s">
        <v>4262</v>
      </c>
      <c r="B4228" s="2">
        <v>44568.0</v>
      </c>
      <c r="C4228" s="1" t="s">
        <v>30</v>
      </c>
      <c r="D4228" s="1" t="s">
        <v>21</v>
      </c>
      <c r="E4228" s="1" t="s">
        <v>76</v>
      </c>
      <c r="F4228" s="1">
        <v>332.24</v>
      </c>
      <c r="G4228" s="1">
        <v>-137.68</v>
      </c>
      <c r="H4228" s="1">
        <v>4.0</v>
      </c>
      <c r="I4228" s="1" t="s">
        <v>34</v>
      </c>
      <c r="J4228" s="1" t="s">
        <v>18</v>
      </c>
      <c r="K4228" s="1">
        <f t="shared" si="1"/>
        <v>2022</v>
      </c>
      <c r="L4228" s="1" t="str">
        <f t="shared" si="2"/>
        <v>Jan</v>
      </c>
      <c r="M4228" s="1" t="str">
        <f t="shared" si="3"/>
        <v>Loss</v>
      </c>
    </row>
    <row r="4229" ht="14.25" customHeight="1">
      <c r="A4229" s="1" t="s">
        <v>4263</v>
      </c>
      <c r="B4229" s="2">
        <v>45229.0</v>
      </c>
      <c r="C4229" s="1" t="s">
        <v>20</v>
      </c>
      <c r="D4229" s="1" t="s">
        <v>27</v>
      </c>
      <c r="E4229" s="1" t="s">
        <v>28</v>
      </c>
      <c r="F4229" s="1">
        <v>472.39</v>
      </c>
      <c r="G4229" s="1">
        <v>153.91</v>
      </c>
      <c r="H4229" s="1">
        <v>2.0</v>
      </c>
      <c r="I4229" s="1" t="s">
        <v>17</v>
      </c>
      <c r="J4229" s="1" t="s">
        <v>18</v>
      </c>
      <c r="K4229" s="1">
        <f t="shared" si="1"/>
        <v>2023</v>
      </c>
      <c r="L4229" s="1" t="str">
        <f t="shared" si="2"/>
        <v>Oct</v>
      </c>
      <c r="M4229" s="1" t="str">
        <f t="shared" si="3"/>
        <v>Profit</v>
      </c>
    </row>
    <row r="4230" ht="14.25" customHeight="1">
      <c r="A4230" s="1" t="s">
        <v>4264</v>
      </c>
      <c r="B4230" s="2">
        <v>44561.0</v>
      </c>
      <c r="C4230" s="1" t="s">
        <v>26</v>
      </c>
      <c r="D4230" s="1" t="s">
        <v>21</v>
      </c>
      <c r="E4230" s="1" t="s">
        <v>22</v>
      </c>
      <c r="F4230" s="1">
        <v>346.31</v>
      </c>
      <c r="G4230" s="1">
        <v>-81.32</v>
      </c>
      <c r="H4230" s="1">
        <v>1.0</v>
      </c>
      <c r="I4230" s="1" t="s">
        <v>23</v>
      </c>
      <c r="J4230" s="1" t="s">
        <v>38</v>
      </c>
      <c r="K4230" s="1">
        <f t="shared" si="1"/>
        <v>2021</v>
      </c>
      <c r="L4230" s="1" t="str">
        <f t="shared" si="2"/>
        <v>Dec</v>
      </c>
      <c r="M4230" s="1" t="str">
        <f t="shared" si="3"/>
        <v>Loss</v>
      </c>
    </row>
    <row r="4231" ht="14.25" customHeight="1">
      <c r="A4231" s="1" t="s">
        <v>4265</v>
      </c>
      <c r="B4231" s="2">
        <v>44763.0</v>
      </c>
      <c r="C4231" s="1" t="s">
        <v>14</v>
      </c>
      <c r="D4231" s="1" t="s">
        <v>15</v>
      </c>
      <c r="E4231" s="1" t="s">
        <v>16</v>
      </c>
      <c r="F4231" s="1">
        <v>901.25</v>
      </c>
      <c r="G4231" s="1">
        <v>-197.61</v>
      </c>
      <c r="H4231" s="1">
        <v>4.0</v>
      </c>
      <c r="I4231" s="1" t="s">
        <v>17</v>
      </c>
      <c r="J4231" s="1" t="s">
        <v>38</v>
      </c>
      <c r="K4231" s="1">
        <f t="shared" si="1"/>
        <v>2022</v>
      </c>
      <c r="L4231" s="1" t="str">
        <f t="shared" si="2"/>
        <v>Jul</v>
      </c>
      <c r="M4231" s="1" t="str">
        <f t="shared" si="3"/>
        <v>Loss</v>
      </c>
    </row>
    <row r="4232" ht="14.25" customHeight="1">
      <c r="A4232" s="1" t="s">
        <v>4266</v>
      </c>
      <c r="B4232" s="2">
        <v>44960.0</v>
      </c>
      <c r="C4232" s="1" t="s">
        <v>20</v>
      </c>
      <c r="D4232" s="1" t="s">
        <v>27</v>
      </c>
      <c r="E4232" s="1" t="s">
        <v>33</v>
      </c>
      <c r="F4232" s="1">
        <v>530.94</v>
      </c>
      <c r="G4232" s="1">
        <v>265.91</v>
      </c>
      <c r="H4232" s="1">
        <v>7.0</v>
      </c>
      <c r="I4232" s="1" t="s">
        <v>34</v>
      </c>
      <c r="J4232" s="1" t="s">
        <v>38</v>
      </c>
      <c r="K4232" s="1">
        <f t="shared" si="1"/>
        <v>2023</v>
      </c>
      <c r="L4232" s="1" t="str">
        <f t="shared" si="2"/>
        <v>Feb</v>
      </c>
      <c r="M4232" s="1" t="str">
        <f t="shared" si="3"/>
        <v>Profit</v>
      </c>
    </row>
    <row r="4233" ht="14.25" customHeight="1">
      <c r="A4233" s="1" t="s">
        <v>4267</v>
      </c>
      <c r="B4233" s="2">
        <v>44541.0</v>
      </c>
      <c r="C4233" s="1" t="s">
        <v>20</v>
      </c>
      <c r="D4233" s="1" t="s">
        <v>27</v>
      </c>
      <c r="E4233" s="1" t="s">
        <v>33</v>
      </c>
      <c r="F4233" s="1">
        <v>901.54</v>
      </c>
      <c r="G4233" s="1">
        <v>281.64</v>
      </c>
      <c r="H4233" s="1">
        <v>10.0</v>
      </c>
      <c r="I4233" s="1" t="s">
        <v>17</v>
      </c>
      <c r="J4233" s="1" t="s">
        <v>24</v>
      </c>
      <c r="K4233" s="1">
        <f t="shared" si="1"/>
        <v>2021</v>
      </c>
      <c r="L4233" s="1" t="str">
        <f t="shared" si="2"/>
        <v>Dec</v>
      </c>
      <c r="M4233" s="1" t="str">
        <f t="shared" si="3"/>
        <v>Profit</v>
      </c>
    </row>
    <row r="4234" ht="14.25" customHeight="1">
      <c r="A4234" s="1" t="s">
        <v>4268</v>
      </c>
      <c r="B4234" s="2">
        <v>45216.0</v>
      </c>
      <c r="C4234" s="1" t="s">
        <v>20</v>
      </c>
      <c r="D4234" s="1" t="s">
        <v>27</v>
      </c>
      <c r="E4234" s="1" t="s">
        <v>28</v>
      </c>
      <c r="F4234" s="1">
        <v>881.11</v>
      </c>
      <c r="G4234" s="1">
        <v>10.09</v>
      </c>
      <c r="H4234" s="1">
        <v>5.0</v>
      </c>
      <c r="I4234" s="1" t="s">
        <v>17</v>
      </c>
      <c r="J4234" s="1" t="s">
        <v>35</v>
      </c>
      <c r="K4234" s="1">
        <f t="shared" si="1"/>
        <v>2023</v>
      </c>
      <c r="L4234" s="1" t="str">
        <f t="shared" si="2"/>
        <v>Oct</v>
      </c>
      <c r="M4234" s="1" t="str">
        <f t="shared" si="3"/>
        <v>Profit</v>
      </c>
    </row>
    <row r="4235" ht="14.25" customHeight="1">
      <c r="A4235" s="1" t="s">
        <v>4269</v>
      </c>
      <c r="B4235" s="2">
        <v>44840.0</v>
      </c>
      <c r="C4235" s="1" t="s">
        <v>20</v>
      </c>
      <c r="D4235" s="1" t="s">
        <v>27</v>
      </c>
      <c r="E4235" s="1" t="s">
        <v>40</v>
      </c>
      <c r="F4235" s="1">
        <v>83.4</v>
      </c>
      <c r="G4235" s="1">
        <v>185.86</v>
      </c>
      <c r="H4235" s="1">
        <v>4.0</v>
      </c>
      <c r="I4235" s="1" t="s">
        <v>23</v>
      </c>
      <c r="J4235" s="1" t="s">
        <v>38</v>
      </c>
      <c r="K4235" s="1">
        <f t="shared" si="1"/>
        <v>2022</v>
      </c>
      <c r="L4235" s="1" t="str">
        <f t="shared" si="2"/>
        <v>Oct</v>
      </c>
      <c r="M4235" s="1" t="str">
        <f t="shared" si="3"/>
        <v>Profit</v>
      </c>
    </row>
    <row r="4236" ht="14.25" customHeight="1">
      <c r="A4236" s="1" t="s">
        <v>4270</v>
      </c>
      <c r="B4236" s="2">
        <v>44386.0</v>
      </c>
      <c r="C4236" s="1" t="s">
        <v>30</v>
      </c>
      <c r="D4236" s="1" t="s">
        <v>27</v>
      </c>
      <c r="E4236" s="1" t="s">
        <v>40</v>
      </c>
      <c r="F4236" s="1">
        <v>459.63</v>
      </c>
      <c r="G4236" s="1">
        <v>-13.89</v>
      </c>
      <c r="H4236" s="1">
        <v>3.0</v>
      </c>
      <c r="I4236" s="1" t="s">
        <v>17</v>
      </c>
      <c r="J4236" s="1" t="s">
        <v>18</v>
      </c>
      <c r="K4236" s="1">
        <f t="shared" si="1"/>
        <v>2021</v>
      </c>
      <c r="L4236" s="1" t="str">
        <f t="shared" si="2"/>
        <v>Jul</v>
      </c>
      <c r="M4236" s="1" t="str">
        <f t="shared" si="3"/>
        <v>Loss</v>
      </c>
    </row>
    <row r="4237" ht="14.25" customHeight="1">
      <c r="A4237" s="1" t="s">
        <v>4271</v>
      </c>
      <c r="B4237" s="2">
        <v>44256.0</v>
      </c>
      <c r="C4237" s="1" t="s">
        <v>14</v>
      </c>
      <c r="D4237" s="1" t="s">
        <v>15</v>
      </c>
      <c r="E4237" s="1" t="s">
        <v>16</v>
      </c>
      <c r="F4237" s="1">
        <v>912.72</v>
      </c>
      <c r="G4237" s="1">
        <v>109.21</v>
      </c>
      <c r="H4237" s="1">
        <v>10.0</v>
      </c>
      <c r="I4237" s="1" t="s">
        <v>23</v>
      </c>
      <c r="J4237" s="1" t="s">
        <v>35</v>
      </c>
      <c r="K4237" s="1">
        <f t="shared" si="1"/>
        <v>2021</v>
      </c>
      <c r="L4237" s="1" t="str">
        <f t="shared" si="2"/>
        <v>Mar</v>
      </c>
      <c r="M4237" s="1" t="str">
        <f t="shared" si="3"/>
        <v>Profit</v>
      </c>
    </row>
    <row r="4238" ht="14.25" customHeight="1">
      <c r="A4238" s="1" t="s">
        <v>4272</v>
      </c>
      <c r="B4238" s="2">
        <v>44868.0</v>
      </c>
      <c r="C4238" s="1" t="s">
        <v>20</v>
      </c>
      <c r="D4238" s="1" t="s">
        <v>15</v>
      </c>
      <c r="E4238" s="1" t="s">
        <v>31</v>
      </c>
      <c r="F4238" s="1">
        <v>795.19</v>
      </c>
      <c r="G4238" s="1">
        <v>-10.2</v>
      </c>
      <c r="H4238" s="1">
        <v>2.0</v>
      </c>
      <c r="I4238" s="1" t="s">
        <v>34</v>
      </c>
      <c r="J4238" s="1" t="s">
        <v>35</v>
      </c>
      <c r="K4238" s="1">
        <f t="shared" si="1"/>
        <v>2022</v>
      </c>
      <c r="L4238" s="1" t="str">
        <f t="shared" si="2"/>
        <v>Nov</v>
      </c>
      <c r="M4238" s="1" t="str">
        <f t="shared" si="3"/>
        <v>Loss</v>
      </c>
    </row>
    <row r="4239" ht="14.25" customHeight="1">
      <c r="A4239" s="1" t="s">
        <v>4273</v>
      </c>
      <c r="B4239" s="2">
        <v>44388.0</v>
      </c>
      <c r="C4239" s="1" t="s">
        <v>26</v>
      </c>
      <c r="D4239" s="1" t="s">
        <v>27</v>
      </c>
      <c r="E4239" s="1" t="s">
        <v>28</v>
      </c>
      <c r="F4239" s="1">
        <v>837.7</v>
      </c>
      <c r="G4239" s="1">
        <v>-31.99</v>
      </c>
      <c r="H4239" s="1">
        <v>6.0</v>
      </c>
      <c r="I4239" s="1" t="s">
        <v>23</v>
      </c>
      <c r="J4239" s="1" t="s">
        <v>24</v>
      </c>
      <c r="K4239" s="1">
        <f t="shared" si="1"/>
        <v>2021</v>
      </c>
      <c r="L4239" s="1" t="str">
        <f t="shared" si="2"/>
        <v>Jul</v>
      </c>
      <c r="M4239" s="1" t="str">
        <f t="shared" si="3"/>
        <v>Loss</v>
      </c>
    </row>
    <row r="4240" ht="14.25" customHeight="1">
      <c r="A4240" s="1" t="s">
        <v>4274</v>
      </c>
      <c r="B4240" s="2">
        <v>44661.0</v>
      </c>
      <c r="C4240" s="1" t="s">
        <v>26</v>
      </c>
      <c r="D4240" s="1" t="s">
        <v>27</v>
      </c>
      <c r="E4240" s="1" t="s">
        <v>40</v>
      </c>
      <c r="F4240" s="1">
        <v>228.15</v>
      </c>
      <c r="G4240" s="1">
        <v>-199.1</v>
      </c>
      <c r="H4240" s="1">
        <v>5.0</v>
      </c>
      <c r="I4240" s="1" t="s">
        <v>34</v>
      </c>
      <c r="J4240" s="1" t="s">
        <v>38</v>
      </c>
      <c r="K4240" s="1">
        <f t="shared" si="1"/>
        <v>2022</v>
      </c>
      <c r="L4240" s="1" t="str">
        <f t="shared" si="2"/>
        <v>Apr</v>
      </c>
      <c r="M4240" s="1" t="str">
        <f t="shared" si="3"/>
        <v>Loss</v>
      </c>
    </row>
    <row r="4241" ht="14.25" customHeight="1">
      <c r="A4241" s="1" t="s">
        <v>4275</v>
      </c>
      <c r="B4241" s="2">
        <v>44960.0</v>
      </c>
      <c r="C4241" s="1" t="s">
        <v>26</v>
      </c>
      <c r="D4241" s="1" t="s">
        <v>27</v>
      </c>
      <c r="E4241" s="1" t="s">
        <v>40</v>
      </c>
      <c r="F4241" s="1">
        <v>918.84</v>
      </c>
      <c r="G4241" s="1">
        <v>-54.81</v>
      </c>
      <c r="H4241" s="1">
        <v>4.0</v>
      </c>
      <c r="I4241" s="1" t="s">
        <v>23</v>
      </c>
      <c r="J4241" s="1" t="s">
        <v>35</v>
      </c>
      <c r="K4241" s="1">
        <f t="shared" si="1"/>
        <v>2023</v>
      </c>
      <c r="L4241" s="1" t="str">
        <f t="shared" si="2"/>
        <v>Feb</v>
      </c>
      <c r="M4241" s="1" t="str">
        <f t="shared" si="3"/>
        <v>Loss</v>
      </c>
    </row>
    <row r="4242" ht="14.25" customHeight="1">
      <c r="A4242" s="1" t="s">
        <v>4276</v>
      </c>
      <c r="B4242" s="2">
        <v>44490.0</v>
      </c>
      <c r="C4242" s="1" t="s">
        <v>20</v>
      </c>
      <c r="D4242" s="1" t="s">
        <v>15</v>
      </c>
      <c r="E4242" s="1" t="s">
        <v>54</v>
      </c>
      <c r="F4242" s="1">
        <v>576.22</v>
      </c>
      <c r="G4242" s="1">
        <v>-25.5</v>
      </c>
      <c r="H4242" s="1">
        <v>10.0</v>
      </c>
      <c r="I4242" s="1" t="s">
        <v>34</v>
      </c>
      <c r="J4242" s="1" t="s">
        <v>35</v>
      </c>
      <c r="K4242" s="1">
        <f t="shared" si="1"/>
        <v>2021</v>
      </c>
      <c r="L4242" s="1" t="str">
        <f t="shared" si="2"/>
        <v>Oct</v>
      </c>
      <c r="M4242" s="1" t="str">
        <f t="shared" si="3"/>
        <v>Loss</v>
      </c>
    </row>
    <row r="4243" ht="14.25" customHeight="1">
      <c r="A4243" s="1" t="s">
        <v>4277</v>
      </c>
      <c r="B4243" s="2">
        <v>45061.0</v>
      </c>
      <c r="C4243" s="1" t="s">
        <v>20</v>
      </c>
      <c r="D4243" s="1" t="s">
        <v>15</v>
      </c>
      <c r="E4243" s="1" t="s">
        <v>31</v>
      </c>
      <c r="F4243" s="1">
        <v>809.08</v>
      </c>
      <c r="G4243" s="1">
        <v>145.96</v>
      </c>
      <c r="H4243" s="1">
        <v>6.0</v>
      </c>
      <c r="I4243" s="1" t="s">
        <v>17</v>
      </c>
      <c r="J4243" s="1" t="s">
        <v>38</v>
      </c>
      <c r="K4243" s="1">
        <f t="shared" si="1"/>
        <v>2023</v>
      </c>
      <c r="L4243" s="1" t="str">
        <f t="shared" si="2"/>
        <v>May</v>
      </c>
      <c r="M4243" s="1" t="str">
        <f t="shared" si="3"/>
        <v>Profit</v>
      </c>
    </row>
    <row r="4244" ht="14.25" customHeight="1">
      <c r="A4244" s="1" t="s">
        <v>4278</v>
      </c>
      <c r="B4244" s="2">
        <v>44482.0</v>
      </c>
      <c r="C4244" s="1" t="s">
        <v>14</v>
      </c>
      <c r="D4244" s="1" t="s">
        <v>15</v>
      </c>
      <c r="E4244" s="1" t="s">
        <v>31</v>
      </c>
      <c r="F4244" s="1">
        <v>716.79</v>
      </c>
      <c r="G4244" s="1">
        <v>243.18</v>
      </c>
      <c r="H4244" s="1">
        <v>5.0</v>
      </c>
      <c r="I4244" s="1" t="s">
        <v>23</v>
      </c>
      <c r="J4244" s="1" t="s">
        <v>18</v>
      </c>
      <c r="K4244" s="1">
        <f t="shared" si="1"/>
        <v>2021</v>
      </c>
      <c r="L4244" s="1" t="str">
        <f t="shared" si="2"/>
        <v>Oct</v>
      </c>
      <c r="M4244" s="1" t="str">
        <f t="shared" si="3"/>
        <v>Profit</v>
      </c>
    </row>
    <row r="4245" ht="14.25" customHeight="1">
      <c r="A4245" s="1" t="s">
        <v>4279</v>
      </c>
      <c r="B4245" s="2">
        <v>44625.0</v>
      </c>
      <c r="C4245" s="1" t="s">
        <v>14</v>
      </c>
      <c r="D4245" s="1" t="s">
        <v>15</v>
      </c>
      <c r="E4245" s="1" t="s">
        <v>16</v>
      </c>
      <c r="F4245" s="1">
        <v>568.4</v>
      </c>
      <c r="G4245" s="1">
        <v>1.44</v>
      </c>
      <c r="H4245" s="1">
        <v>8.0</v>
      </c>
      <c r="I4245" s="1" t="s">
        <v>23</v>
      </c>
      <c r="J4245" s="1" t="s">
        <v>35</v>
      </c>
      <c r="K4245" s="1">
        <f t="shared" si="1"/>
        <v>2022</v>
      </c>
      <c r="L4245" s="1" t="str">
        <f t="shared" si="2"/>
        <v>Mar</v>
      </c>
      <c r="M4245" s="1" t="str">
        <f t="shared" si="3"/>
        <v>Profit</v>
      </c>
    </row>
    <row r="4246" ht="14.25" customHeight="1">
      <c r="A4246" s="1" t="s">
        <v>4280</v>
      </c>
      <c r="B4246" s="2">
        <v>44548.0</v>
      </c>
      <c r="C4246" s="1" t="s">
        <v>26</v>
      </c>
      <c r="D4246" s="1" t="s">
        <v>21</v>
      </c>
      <c r="E4246" s="1" t="s">
        <v>76</v>
      </c>
      <c r="F4246" s="1">
        <v>575.12</v>
      </c>
      <c r="G4246" s="1">
        <v>184.72</v>
      </c>
      <c r="H4246" s="1">
        <v>2.0</v>
      </c>
      <c r="I4246" s="1" t="s">
        <v>23</v>
      </c>
      <c r="J4246" s="1" t="s">
        <v>38</v>
      </c>
      <c r="K4246" s="1">
        <f t="shared" si="1"/>
        <v>2021</v>
      </c>
      <c r="L4246" s="1" t="str">
        <f t="shared" si="2"/>
        <v>Dec</v>
      </c>
      <c r="M4246" s="1" t="str">
        <f t="shared" si="3"/>
        <v>Profit</v>
      </c>
    </row>
    <row r="4247" ht="14.25" customHeight="1">
      <c r="A4247" s="1" t="s">
        <v>4281</v>
      </c>
      <c r="B4247" s="2">
        <v>44888.0</v>
      </c>
      <c r="C4247" s="1" t="s">
        <v>14</v>
      </c>
      <c r="D4247" s="1" t="s">
        <v>15</v>
      </c>
      <c r="E4247" s="1" t="s">
        <v>54</v>
      </c>
      <c r="F4247" s="1">
        <v>211.96</v>
      </c>
      <c r="G4247" s="1">
        <v>-117.26</v>
      </c>
      <c r="H4247" s="1">
        <v>6.0</v>
      </c>
      <c r="I4247" s="1" t="s">
        <v>23</v>
      </c>
      <c r="J4247" s="1" t="s">
        <v>24</v>
      </c>
      <c r="K4247" s="1">
        <f t="shared" si="1"/>
        <v>2022</v>
      </c>
      <c r="L4247" s="1" t="str">
        <f t="shared" si="2"/>
        <v>Nov</v>
      </c>
      <c r="M4247" s="1" t="str">
        <f t="shared" si="3"/>
        <v>Loss</v>
      </c>
    </row>
    <row r="4248" ht="14.25" customHeight="1">
      <c r="A4248" s="1" t="s">
        <v>4282</v>
      </c>
      <c r="B4248" s="2">
        <v>45075.0</v>
      </c>
      <c r="C4248" s="1" t="s">
        <v>26</v>
      </c>
      <c r="D4248" s="1" t="s">
        <v>21</v>
      </c>
      <c r="E4248" s="1" t="s">
        <v>22</v>
      </c>
      <c r="F4248" s="1">
        <v>954.99</v>
      </c>
      <c r="G4248" s="1">
        <v>109.26</v>
      </c>
      <c r="H4248" s="1">
        <v>2.0</v>
      </c>
      <c r="I4248" s="1" t="s">
        <v>34</v>
      </c>
      <c r="J4248" s="1" t="s">
        <v>38</v>
      </c>
      <c r="K4248" s="1">
        <f t="shared" si="1"/>
        <v>2023</v>
      </c>
      <c r="L4248" s="1" t="str">
        <f t="shared" si="2"/>
        <v>May</v>
      </c>
      <c r="M4248" s="1" t="str">
        <f t="shared" si="3"/>
        <v>Profit</v>
      </c>
    </row>
    <row r="4249" ht="14.25" customHeight="1">
      <c r="A4249" s="1" t="s">
        <v>4283</v>
      </c>
      <c r="B4249" s="2">
        <v>44675.0</v>
      </c>
      <c r="C4249" s="1" t="s">
        <v>14</v>
      </c>
      <c r="D4249" s="1" t="s">
        <v>15</v>
      </c>
      <c r="E4249" s="1" t="s">
        <v>31</v>
      </c>
      <c r="F4249" s="1">
        <v>188.83</v>
      </c>
      <c r="G4249" s="1">
        <v>-195.84</v>
      </c>
      <c r="H4249" s="1">
        <v>1.0</v>
      </c>
      <c r="I4249" s="1" t="s">
        <v>34</v>
      </c>
      <c r="J4249" s="1" t="s">
        <v>35</v>
      </c>
      <c r="K4249" s="1">
        <f t="shared" si="1"/>
        <v>2022</v>
      </c>
      <c r="L4249" s="1" t="str">
        <f t="shared" si="2"/>
        <v>Apr</v>
      </c>
      <c r="M4249" s="1" t="str">
        <f t="shared" si="3"/>
        <v>Loss</v>
      </c>
    </row>
    <row r="4250" ht="14.25" customHeight="1">
      <c r="A4250" s="1" t="s">
        <v>4284</v>
      </c>
      <c r="B4250" s="2">
        <v>44416.0</v>
      </c>
      <c r="C4250" s="1" t="s">
        <v>26</v>
      </c>
      <c r="D4250" s="1" t="s">
        <v>15</v>
      </c>
      <c r="E4250" s="1" t="s">
        <v>16</v>
      </c>
      <c r="F4250" s="1">
        <v>384.05</v>
      </c>
      <c r="G4250" s="1">
        <v>-120.17</v>
      </c>
      <c r="H4250" s="1">
        <v>5.0</v>
      </c>
      <c r="I4250" s="1" t="s">
        <v>34</v>
      </c>
      <c r="J4250" s="1" t="s">
        <v>24</v>
      </c>
      <c r="K4250" s="1">
        <f t="shared" si="1"/>
        <v>2021</v>
      </c>
      <c r="L4250" s="1" t="str">
        <f t="shared" si="2"/>
        <v>Aug</v>
      </c>
      <c r="M4250" s="1" t="str">
        <f t="shared" si="3"/>
        <v>Loss</v>
      </c>
    </row>
    <row r="4251" ht="14.25" customHeight="1">
      <c r="A4251" s="1" t="s">
        <v>4285</v>
      </c>
      <c r="B4251" s="2">
        <v>44611.0</v>
      </c>
      <c r="C4251" s="1" t="s">
        <v>20</v>
      </c>
      <c r="D4251" s="1" t="s">
        <v>27</v>
      </c>
      <c r="E4251" s="1" t="s">
        <v>33</v>
      </c>
      <c r="F4251" s="1">
        <v>439.54</v>
      </c>
      <c r="G4251" s="1">
        <v>-62.71</v>
      </c>
      <c r="H4251" s="1">
        <v>4.0</v>
      </c>
      <c r="I4251" s="1" t="s">
        <v>17</v>
      </c>
      <c r="J4251" s="1" t="s">
        <v>18</v>
      </c>
      <c r="K4251" s="1">
        <f t="shared" si="1"/>
        <v>2022</v>
      </c>
      <c r="L4251" s="1" t="str">
        <f t="shared" si="2"/>
        <v>Feb</v>
      </c>
      <c r="M4251" s="1" t="str">
        <f t="shared" si="3"/>
        <v>Loss</v>
      </c>
    </row>
    <row r="4252" ht="14.25" customHeight="1">
      <c r="A4252" s="1" t="s">
        <v>4286</v>
      </c>
      <c r="B4252" s="2">
        <v>44943.0</v>
      </c>
      <c r="C4252" s="1" t="s">
        <v>20</v>
      </c>
      <c r="D4252" s="1" t="s">
        <v>15</v>
      </c>
      <c r="E4252" s="1" t="s">
        <v>16</v>
      </c>
      <c r="F4252" s="1">
        <v>738.96</v>
      </c>
      <c r="G4252" s="1">
        <v>123.7</v>
      </c>
      <c r="H4252" s="1">
        <v>2.0</v>
      </c>
      <c r="I4252" s="1" t="s">
        <v>34</v>
      </c>
      <c r="J4252" s="1" t="s">
        <v>18</v>
      </c>
      <c r="K4252" s="1">
        <f t="shared" si="1"/>
        <v>2023</v>
      </c>
      <c r="L4252" s="1" t="str">
        <f t="shared" si="2"/>
        <v>Jan</v>
      </c>
      <c r="M4252" s="1" t="str">
        <f t="shared" si="3"/>
        <v>Profit</v>
      </c>
    </row>
    <row r="4253" ht="14.25" customHeight="1">
      <c r="A4253" s="1" t="s">
        <v>4287</v>
      </c>
      <c r="B4253" s="2">
        <v>44429.0</v>
      </c>
      <c r="C4253" s="1" t="s">
        <v>20</v>
      </c>
      <c r="D4253" s="1" t="s">
        <v>27</v>
      </c>
      <c r="E4253" s="1" t="s">
        <v>33</v>
      </c>
      <c r="F4253" s="1">
        <v>798.68</v>
      </c>
      <c r="G4253" s="1">
        <v>241.54</v>
      </c>
      <c r="H4253" s="1">
        <v>6.0</v>
      </c>
      <c r="I4253" s="1" t="s">
        <v>34</v>
      </c>
      <c r="J4253" s="1" t="s">
        <v>38</v>
      </c>
      <c r="K4253" s="1">
        <f t="shared" si="1"/>
        <v>2021</v>
      </c>
      <c r="L4253" s="1" t="str">
        <f t="shared" si="2"/>
        <v>Aug</v>
      </c>
      <c r="M4253" s="1" t="str">
        <f t="shared" si="3"/>
        <v>Profit</v>
      </c>
    </row>
    <row r="4254" ht="14.25" customHeight="1">
      <c r="A4254" s="1" t="s">
        <v>4288</v>
      </c>
      <c r="B4254" s="2">
        <v>45036.0</v>
      </c>
      <c r="C4254" s="1" t="s">
        <v>14</v>
      </c>
      <c r="D4254" s="1" t="s">
        <v>15</v>
      </c>
      <c r="E4254" s="1" t="s">
        <v>16</v>
      </c>
      <c r="F4254" s="1">
        <v>312.66</v>
      </c>
      <c r="G4254" s="1">
        <v>-80.79</v>
      </c>
      <c r="H4254" s="1">
        <v>8.0</v>
      </c>
      <c r="I4254" s="1" t="s">
        <v>34</v>
      </c>
      <c r="J4254" s="1" t="s">
        <v>38</v>
      </c>
      <c r="K4254" s="1">
        <f t="shared" si="1"/>
        <v>2023</v>
      </c>
      <c r="L4254" s="1" t="str">
        <f t="shared" si="2"/>
        <v>Apr</v>
      </c>
      <c r="M4254" s="1" t="str">
        <f t="shared" si="3"/>
        <v>Loss</v>
      </c>
    </row>
    <row r="4255" ht="14.25" customHeight="1">
      <c r="A4255" s="1" t="s">
        <v>4289</v>
      </c>
      <c r="B4255" s="2">
        <v>44716.0</v>
      </c>
      <c r="C4255" s="1" t="s">
        <v>26</v>
      </c>
      <c r="D4255" s="1" t="s">
        <v>21</v>
      </c>
      <c r="E4255" s="1" t="s">
        <v>22</v>
      </c>
      <c r="F4255" s="1">
        <v>735.53</v>
      </c>
      <c r="G4255" s="1">
        <v>281.59</v>
      </c>
      <c r="H4255" s="1">
        <v>10.0</v>
      </c>
      <c r="I4255" s="1" t="s">
        <v>17</v>
      </c>
      <c r="J4255" s="1" t="s">
        <v>24</v>
      </c>
      <c r="K4255" s="1">
        <f t="shared" si="1"/>
        <v>2022</v>
      </c>
      <c r="L4255" s="1" t="str">
        <f t="shared" si="2"/>
        <v>Jun</v>
      </c>
      <c r="M4255" s="1" t="str">
        <f t="shared" si="3"/>
        <v>Profit</v>
      </c>
    </row>
    <row r="4256" ht="14.25" customHeight="1">
      <c r="A4256" s="1" t="s">
        <v>4290</v>
      </c>
      <c r="B4256" s="2">
        <v>44603.0</v>
      </c>
      <c r="C4256" s="1" t="s">
        <v>26</v>
      </c>
      <c r="D4256" s="1" t="s">
        <v>21</v>
      </c>
      <c r="E4256" s="1" t="s">
        <v>22</v>
      </c>
      <c r="F4256" s="1">
        <v>581.11</v>
      </c>
      <c r="G4256" s="1">
        <v>-44.25</v>
      </c>
      <c r="H4256" s="1">
        <v>7.0</v>
      </c>
      <c r="I4256" s="1" t="s">
        <v>34</v>
      </c>
      <c r="J4256" s="1" t="s">
        <v>38</v>
      </c>
      <c r="K4256" s="1">
        <f t="shared" si="1"/>
        <v>2022</v>
      </c>
      <c r="L4256" s="1" t="str">
        <f t="shared" si="2"/>
        <v>Feb</v>
      </c>
      <c r="M4256" s="1" t="str">
        <f t="shared" si="3"/>
        <v>Loss</v>
      </c>
    </row>
    <row r="4257" ht="14.25" customHeight="1">
      <c r="A4257" s="1" t="s">
        <v>4291</v>
      </c>
      <c r="B4257" s="2">
        <v>45261.0</v>
      </c>
      <c r="C4257" s="1" t="s">
        <v>14</v>
      </c>
      <c r="D4257" s="1" t="s">
        <v>15</v>
      </c>
      <c r="E4257" s="1" t="s">
        <v>31</v>
      </c>
      <c r="F4257" s="1">
        <v>217.69</v>
      </c>
      <c r="G4257" s="1">
        <v>252.05</v>
      </c>
      <c r="H4257" s="1">
        <v>3.0</v>
      </c>
      <c r="I4257" s="1" t="s">
        <v>23</v>
      </c>
      <c r="J4257" s="1" t="s">
        <v>35</v>
      </c>
      <c r="K4257" s="1">
        <f t="shared" si="1"/>
        <v>2023</v>
      </c>
      <c r="L4257" s="1" t="str">
        <f t="shared" si="2"/>
        <v>Dec</v>
      </c>
      <c r="M4257" s="1" t="str">
        <f t="shared" si="3"/>
        <v>Profit</v>
      </c>
    </row>
    <row r="4258" ht="14.25" customHeight="1">
      <c r="A4258" s="1" t="s">
        <v>4292</v>
      </c>
      <c r="B4258" s="2">
        <v>44858.0</v>
      </c>
      <c r="C4258" s="1" t="s">
        <v>20</v>
      </c>
      <c r="D4258" s="1" t="s">
        <v>27</v>
      </c>
      <c r="E4258" s="1" t="s">
        <v>40</v>
      </c>
      <c r="F4258" s="1">
        <v>982.57</v>
      </c>
      <c r="G4258" s="1">
        <v>-120.64</v>
      </c>
      <c r="H4258" s="1">
        <v>1.0</v>
      </c>
      <c r="I4258" s="1" t="s">
        <v>34</v>
      </c>
      <c r="J4258" s="1" t="s">
        <v>18</v>
      </c>
      <c r="K4258" s="1">
        <f t="shared" si="1"/>
        <v>2022</v>
      </c>
      <c r="L4258" s="1" t="str">
        <f t="shared" si="2"/>
        <v>Oct</v>
      </c>
      <c r="M4258" s="1" t="str">
        <f t="shared" si="3"/>
        <v>Loss</v>
      </c>
    </row>
    <row r="4259" ht="14.25" customHeight="1">
      <c r="A4259" s="1" t="s">
        <v>4293</v>
      </c>
      <c r="B4259" s="2">
        <v>44422.0</v>
      </c>
      <c r="C4259" s="1" t="s">
        <v>30</v>
      </c>
      <c r="D4259" s="1" t="s">
        <v>21</v>
      </c>
      <c r="E4259" s="1" t="s">
        <v>37</v>
      </c>
      <c r="F4259" s="1">
        <v>64.82</v>
      </c>
      <c r="G4259" s="1">
        <v>1.93</v>
      </c>
      <c r="H4259" s="1">
        <v>10.0</v>
      </c>
      <c r="I4259" s="1" t="s">
        <v>23</v>
      </c>
      <c r="J4259" s="1" t="s">
        <v>18</v>
      </c>
      <c r="K4259" s="1">
        <f t="shared" si="1"/>
        <v>2021</v>
      </c>
      <c r="L4259" s="1" t="str">
        <f t="shared" si="2"/>
        <v>Aug</v>
      </c>
      <c r="M4259" s="1" t="str">
        <f t="shared" si="3"/>
        <v>Profit</v>
      </c>
    </row>
    <row r="4260" ht="14.25" customHeight="1">
      <c r="A4260" s="1" t="s">
        <v>4294</v>
      </c>
      <c r="B4260" s="2">
        <v>44411.0</v>
      </c>
      <c r="C4260" s="1" t="s">
        <v>20</v>
      </c>
      <c r="D4260" s="1" t="s">
        <v>15</v>
      </c>
      <c r="E4260" s="1" t="s">
        <v>16</v>
      </c>
      <c r="F4260" s="1">
        <v>652.1</v>
      </c>
      <c r="G4260" s="1">
        <v>83.84</v>
      </c>
      <c r="H4260" s="1">
        <v>3.0</v>
      </c>
      <c r="I4260" s="1" t="s">
        <v>17</v>
      </c>
      <c r="J4260" s="1" t="s">
        <v>18</v>
      </c>
      <c r="K4260" s="1">
        <f t="shared" si="1"/>
        <v>2021</v>
      </c>
      <c r="L4260" s="1" t="str">
        <f t="shared" si="2"/>
        <v>Aug</v>
      </c>
      <c r="M4260" s="1" t="str">
        <f t="shared" si="3"/>
        <v>Profit</v>
      </c>
    </row>
    <row r="4261" ht="14.25" customHeight="1">
      <c r="A4261" s="1" t="s">
        <v>4295</v>
      </c>
      <c r="B4261" s="2">
        <v>44389.0</v>
      </c>
      <c r="C4261" s="1" t="s">
        <v>26</v>
      </c>
      <c r="D4261" s="1" t="s">
        <v>15</v>
      </c>
      <c r="E4261" s="1" t="s">
        <v>54</v>
      </c>
      <c r="F4261" s="1">
        <v>310.71</v>
      </c>
      <c r="G4261" s="1">
        <v>226.24</v>
      </c>
      <c r="H4261" s="1">
        <v>6.0</v>
      </c>
      <c r="I4261" s="1" t="s">
        <v>34</v>
      </c>
      <c r="J4261" s="1" t="s">
        <v>18</v>
      </c>
      <c r="K4261" s="1">
        <f t="shared" si="1"/>
        <v>2021</v>
      </c>
      <c r="L4261" s="1" t="str">
        <f t="shared" si="2"/>
        <v>Jul</v>
      </c>
      <c r="M4261" s="1" t="str">
        <f t="shared" si="3"/>
        <v>Profit</v>
      </c>
    </row>
    <row r="4262" ht="14.25" customHeight="1">
      <c r="A4262" s="1" t="s">
        <v>4296</v>
      </c>
      <c r="B4262" s="2">
        <v>44821.0</v>
      </c>
      <c r="C4262" s="1" t="s">
        <v>26</v>
      </c>
      <c r="D4262" s="1" t="s">
        <v>21</v>
      </c>
      <c r="E4262" s="1" t="s">
        <v>37</v>
      </c>
      <c r="F4262" s="1">
        <v>334.52</v>
      </c>
      <c r="G4262" s="1">
        <v>54.91</v>
      </c>
      <c r="H4262" s="1">
        <v>8.0</v>
      </c>
      <c r="I4262" s="1" t="s">
        <v>17</v>
      </c>
      <c r="J4262" s="1" t="s">
        <v>18</v>
      </c>
      <c r="K4262" s="1">
        <f t="shared" si="1"/>
        <v>2022</v>
      </c>
      <c r="L4262" s="1" t="str">
        <f t="shared" si="2"/>
        <v>Sep</v>
      </c>
      <c r="M4262" s="1" t="str">
        <f t="shared" si="3"/>
        <v>Profit</v>
      </c>
    </row>
    <row r="4263" ht="14.25" customHeight="1">
      <c r="A4263" s="1" t="s">
        <v>4297</v>
      </c>
      <c r="B4263" s="2">
        <v>44290.0</v>
      </c>
      <c r="C4263" s="1" t="s">
        <v>20</v>
      </c>
      <c r="D4263" s="1" t="s">
        <v>27</v>
      </c>
      <c r="E4263" s="1" t="s">
        <v>28</v>
      </c>
      <c r="F4263" s="1">
        <v>680.72</v>
      </c>
      <c r="G4263" s="1">
        <v>-135.46</v>
      </c>
      <c r="H4263" s="1">
        <v>6.0</v>
      </c>
      <c r="I4263" s="1" t="s">
        <v>17</v>
      </c>
      <c r="J4263" s="1" t="s">
        <v>35</v>
      </c>
      <c r="K4263" s="1">
        <f t="shared" si="1"/>
        <v>2021</v>
      </c>
      <c r="L4263" s="1" t="str">
        <f t="shared" si="2"/>
        <v>Apr</v>
      </c>
      <c r="M4263" s="1" t="str">
        <f t="shared" si="3"/>
        <v>Loss</v>
      </c>
    </row>
    <row r="4264" ht="14.25" customHeight="1">
      <c r="A4264" s="1" t="s">
        <v>4298</v>
      </c>
      <c r="B4264" s="2">
        <v>44890.0</v>
      </c>
      <c r="C4264" s="1" t="s">
        <v>20</v>
      </c>
      <c r="D4264" s="1" t="s">
        <v>15</v>
      </c>
      <c r="E4264" s="1" t="s">
        <v>16</v>
      </c>
      <c r="F4264" s="1">
        <v>912.67</v>
      </c>
      <c r="G4264" s="1">
        <v>64.52</v>
      </c>
      <c r="H4264" s="1">
        <v>5.0</v>
      </c>
      <c r="I4264" s="1" t="s">
        <v>34</v>
      </c>
      <c r="J4264" s="1" t="s">
        <v>38</v>
      </c>
      <c r="K4264" s="1">
        <f t="shared" si="1"/>
        <v>2022</v>
      </c>
      <c r="L4264" s="1" t="str">
        <f t="shared" si="2"/>
        <v>Nov</v>
      </c>
      <c r="M4264" s="1" t="str">
        <f t="shared" si="3"/>
        <v>Profit</v>
      </c>
    </row>
    <row r="4265" ht="14.25" customHeight="1">
      <c r="A4265" s="1" t="s">
        <v>4299</v>
      </c>
      <c r="B4265" s="2">
        <v>44365.0</v>
      </c>
      <c r="C4265" s="1" t="s">
        <v>30</v>
      </c>
      <c r="D4265" s="1" t="s">
        <v>15</v>
      </c>
      <c r="E4265" s="1" t="s">
        <v>16</v>
      </c>
      <c r="F4265" s="1">
        <v>734.01</v>
      </c>
      <c r="G4265" s="1">
        <v>181.92</v>
      </c>
      <c r="H4265" s="1">
        <v>7.0</v>
      </c>
      <c r="I4265" s="1" t="s">
        <v>17</v>
      </c>
      <c r="J4265" s="1" t="s">
        <v>35</v>
      </c>
      <c r="K4265" s="1">
        <f t="shared" si="1"/>
        <v>2021</v>
      </c>
      <c r="L4265" s="1" t="str">
        <f t="shared" si="2"/>
        <v>Jun</v>
      </c>
      <c r="M4265" s="1" t="str">
        <f t="shared" si="3"/>
        <v>Profit</v>
      </c>
    </row>
    <row r="4266" ht="14.25" customHeight="1">
      <c r="A4266" s="1" t="s">
        <v>4300</v>
      </c>
      <c r="B4266" s="2">
        <v>44762.0</v>
      </c>
      <c r="C4266" s="1" t="s">
        <v>14</v>
      </c>
      <c r="D4266" s="1" t="s">
        <v>27</v>
      </c>
      <c r="E4266" s="1" t="s">
        <v>28</v>
      </c>
      <c r="F4266" s="1">
        <v>593.57</v>
      </c>
      <c r="G4266" s="1">
        <v>-157.13</v>
      </c>
      <c r="H4266" s="1">
        <v>6.0</v>
      </c>
      <c r="I4266" s="1" t="s">
        <v>23</v>
      </c>
      <c r="J4266" s="1" t="s">
        <v>24</v>
      </c>
      <c r="K4266" s="1">
        <f t="shared" si="1"/>
        <v>2022</v>
      </c>
      <c r="L4266" s="1" t="str">
        <f t="shared" si="2"/>
        <v>Jul</v>
      </c>
      <c r="M4266" s="1" t="str">
        <f t="shared" si="3"/>
        <v>Loss</v>
      </c>
    </row>
    <row r="4267" ht="14.25" customHeight="1">
      <c r="A4267" s="1" t="s">
        <v>4301</v>
      </c>
      <c r="B4267" s="2">
        <v>44238.0</v>
      </c>
      <c r="C4267" s="1" t="s">
        <v>14</v>
      </c>
      <c r="D4267" s="1" t="s">
        <v>21</v>
      </c>
      <c r="E4267" s="1" t="s">
        <v>22</v>
      </c>
      <c r="F4267" s="1">
        <v>402.74</v>
      </c>
      <c r="G4267" s="1">
        <v>3.5</v>
      </c>
      <c r="H4267" s="1">
        <v>7.0</v>
      </c>
      <c r="I4267" s="1" t="s">
        <v>17</v>
      </c>
      <c r="J4267" s="1" t="s">
        <v>24</v>
      </c>
      <c r="K4267" s="1">
        <f t="shared" si="1"/>
        <v>2021</v>
      </c>
      <c r="L4267" s="1" t="str">
        <f t="shared" si="2"/>
        <v>Feb</v>
      </c>
      <c r="M4267" s="1" t="str">
        <f t="shared" si="3"/>
        <v>Profit</v>
      </c>
    </row>
    <row r="4268" ht="14.25" customHeight="1">
      <c r="A4268" s="1" t="s">
        <v>4302</v>
      </c>
      <c r="B4268" s="2">
        <v>44923.0</v>
      </c>
      <c r="C4268" s="1" t="s">
        <v>26</v>
      </c>
      <c r="D4268" s="1" t="s">
        <v>27</v>
      </c>
      <c r="E4268" s="1" t="s">
        <v>28</v>
      </c>
      <c r="F4268" s="1">
        <v>527.89</v>
      </c>
      <c r="G4268" s="1">
        <v>-119.87</v>
      </c>
      <c r="H4268" s="1">
        <v>4.0</v>
      </c>
      <c r="I4268" s="1" t="s">
        <v>23</v>
      </c>
      <c r="J4268" s="1" t="s">
        <v>35</v>
      </c>
      <c r="K4268" s="1">
        <f t="shared" si="1"/>
        <v>2022</v>
      </c>
      <c r="L4268" s="1" t="str">
        <f t="shared" si="2"/>
        <v>Dec</v>
      </c>
      <c r="M4268" s="1" t="str">
        <f t="shared" si="3"/>
        <v>Loss</v>
      </c>
    </row>
    <row r="4269" ht="14.25" customHeight="1">
      <c r="A4269" s="1" t="s">
        <v>4303</v>
      </c>
      <c r="B4269" s="2">
        <v>44543.0</v>
      </c>
      <c r="C4269" s="1" t="s">
        <v>26</v>
      </c>
      <c r="D4269" s="1" t="s">
        <v>15</v>
      </c>
      <c r="E4269" s="1" t="s">
        <v>31</v>
      </c>
      <c r="F4269" s="1">
        <v>441.1</v>
      </c>
      <c r="G4269" s="1">
        <v>94.94</v>
      </c>
      <c r="H4269" s="1">
        <v>8.0</v>
      </c>
      <c r="I4269" s="1" t="s">
        <v>23</v>
      </c>
      <c r="J4269" s="1" t="s">
        <v>35</v>
      </c>
      <c r="K4269" s="1">
        <f t="shared" si="1"/>
        <v>2021</v>
      </c>
      <c r="L4269" s="1" t="str">
        <f t="shared" si="2"/>
        <v>Dec</v>
      </c>
      <c r="M4269" s="1" t="str">
        <f t="shared" si="3"/>
        <v>Profit</v>
      </c>
    </row>
    <row r="4270" ht="14.25" customHeight="1">
      <c r="A4270" s="1" t="s">
        <v>4304</v>
      </c>
      <c r="B4270" s="2">
        <v>44980.0</v>
      </c>
      <c r="C4270" s="1" t="s">
        <v>14</v>
      </c>
      <c r="D4270" s="1" t="s">
        <v>15</v>
      </c>
      <c r="E4270" s="1" t="s">
        <v>54</v>
      </c>
      <c r="F4270" s="1">
        <v>272.39</v>
      </c>
      <c r="G4270" s="1">
        <v>233.19</v>
      </c>
      <c r="H4270" s="1">
        <v>1.0</v>
      </c>
      <c r="I4270" s="1" t="s">
        <v>34</v>
      </c>
      <c r="J4270" s="1" t="s">
        <v>38</v>
      </c>
      <c r="K4270" s="1">
        <f t="shared" si="1"/>
        <v>2023</v>
      </c>
      <c r="L4270" s="1" t="str">
        <f t="shared" si="2"/>
        <v>Feb</v>
      </c>
      <c r="M4270" s="1" t="str">
        <f t="shared" si="3"/>
        <v>Profit</v>
      </c>
    </row>
    <row r="4271" ht="14.25" customHeight="1">
      <c r="A4271" s="1" t="s">
        <v>4305</v>
      </c>
      <c r="B4271" s="2">
        <v>44787.0</v>
      </c>
      <c r="C4271" s="1" t="s">
        <v>20</v>
      </c>
      <c r="D4271" s="1" t="s">
        <v>15</v>
      </c>
      <c r="E4271" s="1" t="s">
        <v>31</v>
      </c>
      <c r="F4271" s="1">
        <v>523.41</v>
      </c>
      <c r="G4271" s="1">
        <v>-170.19</v>
      </c>
      <c r="H4271" s="1">
        <v>8.0</v>
      </c>
      <c r="I4271" s="1" t="s">
        <v>17</v>
      </c>
      <c r="J4271" s="1" t="s">
        <v>38</v>
      </c>
      <c r="K4271" s="1">
        <f t="shared" si="1"/>
        <v>2022</v>
      </c>
      <c r="L4271" s="1" t="str">
        <f t="shared" si="2"/>
        <v>Aug</v>
      </c>
      <c r="M4271" s="1" t="str">
        <f t="shared" si="3"/>
        <v>Loss</v>
      </c>
    </row>
    <row r="4272" ht="14.25" customHeight="1">
      <c r="A4272" s="1" t="s">
        <v>4306</v>
      </c>
      <c r="B4272" s="2">
        <v>45051.0</v>
      </c>
      <c r="C4272" s="1" t="s">
        <v>14</v>
      </c>
      <c r="D4272" s="1" t="s">
        <v>27</v>
      </c>
      <c r="E4272" s="1" t="s">
        <v>40</v>
      </c>
      <c r="F4272" s="1">
        <v>606.27</v>
      </c>
      <c r="G4272" s="1">
        <v>-125.36</v>
      </c>
      <c r="H4272" s="1">
        <v>2.0</v>
      </c>
      <c r="I4272" s="1" t="s">
        <v>23</v>
      </c>
      <c r="J4272" s="1" t="s">
        <v>18</v>
      </c>
      <c r="K4272" s="1">
        <f t="shared" si="1"/>
        <v>2023</v>
      </c>
      <c r="L4272" s="1" t="str">
        <f t="shared" si="2"/>
        <v>May</v>
      </c>
      <c r="M4272" s="1" t="str">
        <f t="shared" si="3"/>
        <v>Loss</v>
      </c>
    </row>
    <row r="4273" ht="14.25" customHeight="1">
      <c r="A4273" s="1" t="s">
        <v>4307</v>
      </c>
      <c r="B4273" s="2">
        <v>44453.0</v>
      </c>
      <c r="C4273" s="1" t="s">
        <v>14</v>
      </c>
      <c r="D4273" s="1" t="s">
        <v>15</v>
      </c>
      <c r="E4273" s="1" t="s">
        <v>54</v>
      </c>
      <c r="F4273" s="1">
        <v>235.2</v>
      </c>
      <c r="G4273" s="1">
        <v>286.27</v>
      </c>
      <c r="H4273" s="1">
        <v>2.0</v>
      </c>
      <c r="I4273" s="1" t="s">
        <v>23</v>
      </c>
      <c r="J4273" s="1" t="s">
        <v>38</v>
      </c>
      <c r="K4273" s="1">
        <f t="shared" si="1"/>
        <v>2021</v>
      </c>
      <c r="L4273" s="1" t="str">
        <f t="shared" si="2"/>
        <v>Sep</v>
      </c>
      <c r="M4273" s="1" t="str">
        <f t="shared" si="3"/>
        <v>Profit</v>
      </c>
    </row>
    <row r="4274" ht="14.25" customHeight="1">
      <c r="A4274" s="1" t="s">
        <v>4308</v>
      </c>
      <c r="B4274" s="2">
        <v>45140.0</v>
      </c>
      <c r="C4274" s="1" t="s">
        <v>14</v>
      </c>
      <c r="D4274" s="1" t="s">
        <v>15</v>
      </c>
      <c r="E4274" s="1" t="s">
        <v>31</v>
      </c>
      <c r="F4274" s="1">
        <v>407.44</v>
      </c>
      <c r="G4274" s="1">
        <v>-106.49</v>
      </c>
      <c r="H4274" s="1">
        <v>9.0</v>
      </c>
      <c r="I4274" s="1" t="s">
        <v>23</v>
      </c>
      <c r="J4274" s="1" t="s">
        <v>38</v>
      </c>
      <c r="K4274" s="1">
        <f t="shared" si="1"/>
        <v>2023</v>
      </c>
      <c r="L4274" s="1" t="str">
        <f t="shared" si="2"/>
        <v>Aug</v>
      </c>
      <c r="M4274" s="1" t="str">
        <f t="shared" si="3"/>
        <v>Loss</v>
      </c>
    </row>
    <row r="4275" ht="14.25" customHeight="1">
      <c r="A4275" s="1" t="s">
        <v>4309</v>
      </c>
      <c r="B4275" s="2">
        <v>45157.0</v>
      </c>
      <c r="C4275" s="1" t="s">
        <v>30</v>
      </c>
      <c r="D4275" s="1" t="s">
        <v>21</v>
      </c>
      <c r="E4275" s="1" t="s">
        <v>37</v>
      </c>
      <c r="F4275" s="1">
        <v>601.05</v>
      </c>
      <c r="G4275" s="1">
        <v>139.08</v>
      </c>
      <c r="H4275" s="1">
        <v>9.0</v>
      </c>
      <c r="I4275" s="1" t="s">
        <v>17</v>
      </c>
      <c r="J4275" s="1" t="s">
        <v>24</v>
      </c>
      <c r="K4275" s="1">
        <f t="shared" si="1"/>
        <v>2023</v>
      </c>
      <c r="L4275" s="1" t="str">
        <f t="shared" si="2"/>
        <v>Aug</v>
      </c>
      <c r="M4275" s="1" t="str">
        <f t="shared" si="3"/>
        <v>Profit</v>
      </c>
    </row>
    <row r="4276" ht="14.25" customHeight="1">
      <c r="A4276" s="1" t="s">
        <v>4310</v>
      </c>
      <c r="B4276" s="2">
        <v>44245.0</v>
      </c>
      <c r="C4276" s="1" t="s">
        <v>30</v>
      </c>
      <c r="D4276" s="1" t="s">
        <v>21</v>
      </c>
      <c r="E4276" s="1" t="s">
        <v>22</v>
      </c>
      <c r="F4276" s="1">
        <v>279.01</v>
      </c>
      <c r="G4276" s="1">
        <v>19.18</v>
      </c>
      <c r="H4276" s="1">
        <v>9.0</v>
      </c>
      <c r="I4276" s="1" t="s">
        <v>23</v>
      </c>
      <c r="J4276" s="1" t="s">
        <v>18</v>
      </c>
      <c r="K4276" s="1">
        <f t="shared" si="1"/>
        <v>2021</v>
      </c>
      <c r="L4276" s="1" t="str">
        <f t="shared" si="2"/>
        <v>Feb</v>
      </c>
      <c r="M4276" s="1" t="str">
        <f t="shared" si="3"/>
        <v>Profit</v>
      </c>
    </row>
    <row r="4277" ht="14.25" customHeight="1">
      <c r="A4277" s="1" t="s">
        <v>4311</v>
      </c>
      <c r="B4277" s="2">
        <v>44553.0</v>
      </c>
      <c r="C4277" s="1" t="s">
        <v>30</v>
      </c>
      <c r="D4277" s="1" t="s">
        <v>21</v>
      </c>
      <c r="E4277" s="1" t="s">
        <v>76</v>
      </c>
      <c r="F4277" s="1">
        <v>655.79</v>
      </c>
      <c r="G4277" s="1">
        <v>-171.64</v>
      </c>
      <c r="H4277" s="1">
        <v>6.0</v>
      </c>
      <c r="I4277" s="1" t="s">
        <v>17</v>
      </c>
      <c r="J4277" s="1" t="s">
        <v>38</v>
      </c>
      <c r="K4277" s="1">
        <f t="shared" si="1"/>
        <v>2021</v>
      </c>
      <c r="L4277" s="1" t="str">
        <f t="shared" si="2"/>
        <v>Dec</v>
      </c>
      <c r="M4277" s="1" t="str">
        <f t="shared" si="3"/>
        <v>Loss</v>
      </c>
    </row>
    <row r="4278" ht="14.25" customHeight="1">
      <c r="A4278" s="1" t="s">
        <v>4312</v>
      </c>
      <c r="B4278" s="2">
        <v>44551.0</v>
      </c>
      <c r="C4278" s="1" t="s">
        <v>26</v>
      </c>
      <c r="D4278" s="1" t="s">
        <v>27</v>
      </c>
      <c r="E4278" s="1" t="s">
        <v>28</v>
      </c>
      <c r="F4278" s="1">
        <v>712.45</v>
      </c>
      <c r="G4278" s="1">
        <v>94.98</v>
      </c>
      <c r="H4278" s="1">
        <v>8.0</v>
      </c>
      <c r="I4278" s="1" t="s">
        <v>34</v>
      </c>
      <c r="J4278" s="1" t="s">
        <v>38</v>
      </c>
      <c r="K4278" s="1">
        <f t="shared" si="1"/>
        <v>2021</v>
      </c>
      <c r="L4278" s="1" t="str">
        <f t="shared" si="2"/>
        <v>Dec</v>
      </c>
      <c r="M4278" s="1" t="str">
        <f t="shared" si="3"/>
        <v>Profit</v>
      </c>
    </row>
    <row r="4279" ht="14.25" customHeight="1">
      <c r="A4279" s="1" t="s">
        <v>4313</v>
      </c>
      <c r="B4279" s="2">
        <v>44810.0</v>
      </c>
      <c r="C4279" s="1" t="s">
        <v>20</v>
      </c>
      <c r="D4279" s="1" t="s">
        <v>21</v>
      </c>
      <c r="E4279" s="1" t="s">
        <v>37</v>
      </c>
      <c r="F4279" s="1">
        <v>808.7</v>
      </c>
      <c r="G4279" s="1">
        <v>200.87</v>
      </c>
      <c r="H4279" s="1">
        <v>9.0</v>
      </c>
      <c r="I4279" s="1" t="s">
        <v>34</v>
      </c>
      <c r="J4279" s="1" t="s">
        <v>24</v>
      </c>
      <c r="K4279" s="1">
        <f t="shared" si="1"/>
        <v>2022</v>
      </c>
      <c r="L4279" s="1" t="str">
        <f t="shared" si="2"/>
        <v>Sep</v>
      </c>
      <c r="M4279" s="1" t="str">
        <f t="shared" si="3"/>
        <v>Profit</v>
      </c>
    </row>
    <row r="4280" ht="14.25" customHeight="1">
      <c r="A4280" s="1" t="s">
        <v>4314</v>
      </c>
      <c r="B4280" s="2">
        <v>44760.0</v>
      </c>
      <c r="C4280" s="1" t="s">
        <v>14</v>
      </c>
      <c r="D4280" s="1" t="s">
        <v>21</v>
      </c>
      <c r="E4280" s="1" t="s">
        <v>22</v>
      </c>
      <c r="F4280" s="1">
        <v>220.29</v>
      </c>
      <c r="G4280" s="1">
        <v>93.81</v>
      </c>
      <c r="H4280" s="1">
        <v>6.0</v>
      </c>
      <c r="I4280" s="1" t="s">
        <v>23</v>
      </c>
      <c r="J4280" s="1" t="s">
        <v>18</v>
      </c>
      <c r="K4280" s="1">
        <f t="shared" si="1"/>
        <v>2022</v>
      </c>
      <c r="L4280" s="1" t="str">
        <f t="shared" si="2"/>
        <v>Jul</v>
      </c>
      <c r="M4280" s="1" t="str">
        <f t="shared" si="3"/>
        <v>Profit</v>
      </c>
    </row>
    <row r="4281" ht="14.25" customHeight="1">
      <c r="A4281" s="1" t="s">
        <v>4315</v>
      </c>
      <c r="B4281" s="2">
        <v>45013.0</v>
      </c>
      <c r="C4281" s="1" t="s">
        <v>20</v>
      </c>
      <c r="D4281" s="1" t="s">
        <v>21</v>
      </c>
      <c r="E4281" s="1" t="s">
        <v>76</v>
      </c>
      <c r="F4281" s="1">
        <v>806.33</v>
      </c>
      <c r="G4281" s="1">
        <v>-62.36</v>
      </c>
      <c r="H4281" s="1">
        <v>6.0</v>
      </c>
      <c r="I4281" s="1" t="s">
        <v>23</v>
      </c>
      <c r="J4281" s="1" t="s">
        <v>35</v>
      </c>
      <c r="K4281" s="1">
        <f t="shared" si="1"/>
        <v>2023</v>
      </c>
      <c r="L4281" s="1" t="str">
        <f t="shared" si="2"/>
        <v>Mar</v>
      </c>
      <c r="M4281" s="1" t="str">
        <f t="shared" si="3"/>
        <v>Loss</v>
      </c>
    </row>
    <row r="4282" ht="14.25" customHeight="1">
      <c r="A4282" s="1" t="s">
        <v>4316</v>
      </c>
      <c r="B4282" s="2">
        <v>45068.0</v>
      </c>
      <c r="C4282" s="1" t="s">
        <v>20</v>
      </c>
      <c r="D4282" s="1" t="s">
        <v>15</v>
      </c>
      <c r="E4282" s="1" t="s">
        <v>31</v>
      </c>
      <c r="F4282" s="1">
        <v>449.82</v>
      </c>
      <c r="G4282" s="1">
        <v>13.78</v>
      </c>
      <c r="H4282" s="1">
        <v>6.0</v>
      </c>
      <c r="I4282" s="1" t="s">
        <v>34</v>
      </c>
      <c r="J4282" s="1" t="s">
        <v>24</v>
      </c>
      <c r="K4282" s="1">
        <f t="shared" si="1"/>
        <v>2023</v>
      </c>
      <c r="L4282" s="1" t="str">
        <f t="shared" si="2"/>
        <v>May</v>
      </c>
      <c r="M4282" s="1" t="str">
        <f t="shared" si="3"/>
        <v>Profit</v>
      </c>
    </row>
    <row r="4283" ht="14.25" customHeight="1">
      <c r="A4283" s="1" t="s">
        <v>4317</v>
      </c>
      <c r="B4283" s="2">
        <v>44902.0</v>
      </c>
      <c r="C4283" s="1" t="s">
        <v>30</v>
      </c>
      <c r="D4283" s="1" t="s">
        <v>27</v>
      </c>
      <c r="E4283" s="1" t="s">
        <v>40</v>
      </c>
      <c r="F4283" s="1">
        <v>739.97</v>
      </c>
      <c r="G4283" s="1">
        <v>33.85</v>
      </c>
      <c r="H4283" s="1">
        <v>6.0</v>
      </c>
      <c r="I4283" s="1" t="s">
        <v>17</v>
      </c>
      <c r="J4283" s="1" t="s">
        <v>38</v>
      </c>
      <c r="K4283" s="1">
        <f t="shared" si="1"/>
        <v>2022</v>
      </c>
      <c r="L4283" s="1" t="str">
        <f t="shared" si="2"/>
        <v>Dec</v>
      </c>
      <c r="M4283" s="1" t="str">
        <f t="shared" si="3"/>
        <v>Profit</v>
      </c>
    </row>
    <row r="4284" ht="14.25" customHeight="1">
      <c r="A4284" s="1" t="s">
        <v>4318</v>
      </c>
      <c r="B4284" s="2">
        <v>44744.0</v>
      </c>
      <c r="C4284" s="1" t="s">
        <v>26</v>
      </c>
      <c r="D4284" s="1" t="s">
        <v>21</v>
      </c>
      <c r="E4284" s="1" t="s">
        <v>37</v>
      </c>
      <c r="F4284" s="1">
        <v>328.11</v>
      </c>
      <c r="G4284" s="1">
        <v>-93.59</v>
      </c>
      <c r="H4284" s="1">
        <v>3.0</v>
      </c>
      <c r="I4284" s="1" t="s">
        <v>34</v>
      </c>
      <c r="J4284" s="1" t="s">
        <v>18</v>
      </c>
      <c r="K4284" s="1">
        <f t="shared" si="1"/>
        <v>2022</v>
      </c>
      <c r="L4284" s="1" t="str">
        <f t="shared" si="2"/>
        <v>Jul</v>
      </c>
      <c r="M4284" s="1" t="str">
        <f t="shared" si="3"/>
        <v>Loss</v>
      </c>
    </row>
    <row r="4285" ht="14.25" customHeight="1">
      <c r="A4285" s="1" t="s">
        <v>4319</v>
      </c>
      <c r="B4285" s="2">
        <v>44263.0</v>
      </c>
      <c r="C4285" s="1" t="s">
        <v>30</v>
      </c>
      <c r="D4285" s="1" t="s">
        <v>27</v>
      </c>
      <c r="E4285" s="1" t="s">
        <v>33</v>
      </c>
      <c r="F4285" s="1">
        <v>46.42</v>
      </c>
      <c r="G4285" s="1">
        <v>-19.4</v>
      </c>
      <c r="H4285" s="1">
        <v>10.0</v>
      </c>
      <c r="I4285" s="1" t="s">
        <v>17</v>
      </c>
      <c r="J4285" s="1" t="s">
        <v>38</v>
      </c>
      <c r="K4285" s="1">
        <f t="shared" si="1"/>
        <v>2021</v>
      </c>
      <c r="L4285" s="1" t="str">
        <f t="shared" si="2"/>
        <v>Mar</v>
      </c>
      <c r="M4285" s="1" t="str">
        <f t="shared" si="3"/>
        <v>Loss</v>
      </c>
    </row>
    <row r="4286" ht="14.25" customHeight="1">
      <c r="A4286" s="1" t="s">
        <v>4320</v>
      </c>
      <c r="B4286" s="2">
        <v>44665.0</v>
      </c>
      <c r="C4286" s="1" t="s">
        <v>20</v>
      </c>
      <c r="D4286" s="1" t="s">
        <v>27</v>
      </c>
      <c r="E4286" s="1" t="s">
        <v>40</v>
      </c>
      <c r="F4286" s="1">
        <v>796.12</v>
      </c>
      <c r="G4286" s="1">
        <v>-194.61</v>
      </c>
      <c r="H4286" s="1">
        <v>2.0</v>
      </c>
      <c r="I4286" s="1" t="s">
        <v>34</v>
      </c>
      <c r="J4286" s="1" t="s">
        <v>35</v>
      </c>
      <c r="K4286" s="1">
        <f t="shared" si="1"/>
        <v>2022</v>
      </c>
      <c r="L4286" s="1" t="str">
        <f t="shared" si="2"/>
        <v>Apr</v>
      </c>
      <c r="M4286" s="1" t="str">
        <f t="shared" si="3"/>
        <v>Loss</v>
      </c>
    </row>
    <row r="4287" ht="14.25" customHeight="1">
      <c r="A4287" s="1" t="s">
        <v>4321</v>
      </c>
      <c r="B4287" s="2">
        <v>44911.0</v>
      </c>
      <c r="C4287" s="1" t="s">
        <v>20</v>
      </c>
      <c r="D4287" s="1" t="s">
        <v>27</v>
      </c>
      <c r="E4287" s="1" t="s">
        <v>40</v>
      </c>
      <c r="F4287" s="1">
        <v>528.82</v>
      </c>
      <c r="G4287" s="1">
        <v>-157.31</v>
      </c>
      <c r="H4287" s="1">
        <v>8.0</v>
      </c>
      <c r="I4287" s="1" t="s">
        <v>17</v>
      </c>
      <c r="J4287" s="1" t="s">
        <v>38</v>
      </c>
      <c r="K4287" s="1">
        <f t="shared" si="1"/>
        <v>2022</v>
      </c>
      <c r="L4287" s="1" t="str">
        <f t="shared" si="2"/>
        <v>Dec</v>
      </c>
      <c r="M4287" s="1" t="str">
        <f t="shared" si="3"/>
        <v>Loss</v>
      </c>
    </row>
    <row r="4288" ht="14.25" customHeight="1">
      <c r="A4288" s="1" t="s">
        <v>4322</v>
      </c>
      <c r="B4288" s="2">
        <v>45218.0</v>
      </c>
      <c r="C4288" s="1" t="s">
        <v>30</v>
      </c>
      <c r="D4288" s="1" t="s">
        <v>27</v>
      </c>
      <c r="E4288" s="1" t="s">
        <v>28</v>
      </c>
      <c r="F4288" s="1">
        <v>692.49</v>
      </c>
      <c r="G4288" s="1">
        <v>85.5</v>
      </c>
      <c r="H4288" s="1">
        <v>5.0</v>
      </c>
      <c r="I4288" s="1" t="s">
        <v>17</v>
      </c>
      <c r="J4288" s="1" t="s">
        <v>38</v>
      </c>
      <c r="K4288" s="1">
        <f t="shared" si="1"/>
        <v>2023</v>
      </c>
      <c r="L4288" s="1" t="str">
        <f t="shared" si="2"/>
        <v>Oct</v>
      </c>
      <c r="M4288" s="1" t="str">
        <f t="shared" si="3"/>
        <v>Profit</v>
      </c>
    </row>
    <row r="4289" ht="14.25" customHeight="1">
      <c r="A4289" s="1" t="s">
        <v>4323</v>
      </c>
      <c r="B4289" s="2">
        <v>44996.0</v>
      </c>
      <c r="C4289" s="1" t="s">
        <v>14</v>
      </c>
      <c r="D4289" s="1" t="s">
        <v>15</v>
      </c>
      <c r="E4289" s="1" t="s">
        <v>16</v>
      </c>
      <c r="F4289" s="1">
        <v>715.28</v>
      </c>
      <c r="G4289" s="1">
        <v>-172.7</v>
      </c>
      <c r="H4289" s="1">
        <v>6.0</v>
      </c>
      <c r="I4289" s="1" t="s">
        <v>34</v>
      </c>
      <c r="J4289" s="1" t="s">
        <v>24</v>
      </c>
      <c r="K4289" s="1">
        <f t="shared" si="1"/>
        <v>2023</v>
      </c>
      <c r="L4289" s="1" t="str">
        <f t="shared" si="2"/>
        <v>Mar</v>
      </c>
      <c r="M4289" s="1" t="str">
        <f t="shared" si="3"/>
        <v>Loss</v>
      </c>
    </row>
    <row r="4290" ht="14.25" customHeight="1">
      <c r="A4290" s="1" t="s">
        <v>4324</v>
      </c>
      <c r="B4290" s="2">
        <v>45261.0</v>
      </c>
      <c r="C4290" s="1" t="s">
        <v>20</v>
      </c>
      <c r="D4290" s="1" t="s">
        <v>21</v>
      </c>
      <c r="E4290" s="1" t="s">
        <v>76</v>
      </c>
      <c r="F4290" s="1">
        <v>428.82</v>
      </c>
      <c r="G4290" s="1">
        <v>-138.03</v>
      </c>
      <c r="H4290" s="1">
        <v>1.0</v>
      </c>
      <c r="I4290" s="1" t="s">
        <v>34</v>
      </c>
      <c r="J4290" s="1" t="s">
        <v>38</v>
      </c>
      <c r="K4290" s="1">
        <f t="shared" si="1"/>
        <v>2023</v>
      </c>
      <c r="L4290" s="1" t="str">
        <f t="shared" si="2"/>
        <v>Dec</v>
      </c>
      <c r="M4290" s="1" t="str">
        <f t="shared" si="3"/>
        <v>Loss</v>
      </c>
    </row>
    <row r="4291" ht="14.25" customHeight="1">
      <c r="A4291" s="1" t="s">
        <v>4325</v>
      </c>
      <c r="B4291" s="2">
        <v>45234.0</v>
      </c>
      <c r="C4291" s="1" t="s">
        <v>30</v>
      </c>
      <c r="D4291" s="1" t="s">
        <v>27</v>
      </c>
      <c r="E4291" s="1" t="s">
        <v>28</v>
      </c>
      <c r="F4291" s="1">
        <v>980.77</v>
      </c>
      <c r="G4291" s="1">
        <v>-94.92</v>
      </c>
      <c r="H4291" s="1">
        <v>5.0</v>
      </c>
      <c r="I4291" s="1" t="s">
        <v>34</v>
      </c>
      <c r="J4291" s="1" t="s">
        <v>18</v>
      </c>
      <c r="K4291" s="1">
        <f t="shared" si="1"/>
        <v>2023</v>
      </c>
      <c r="L4291" s="1" t="str">
        <f t="shared" si="2"/>
        <v>Nov</v>
      </c>
      <c r="M4291" s="1" t="str">
        <f t="shared" si="3"/>
        <v>Loss</v>
      </c>
    </row>
    <row r="4292" ht="14.25" customHeight="1">
      <c r="A4292" s="1" t="s">
        <v>4326</v>
      </c>
      <c r="B4292" s="2">
        <v>44347.0</v>
      </c>
      <c r="C4292" s="1" t="s">
        <v>20</v>
      </c>
      <c r="D4292" s="1" t="s">
        <v>27</v>
      </c>
      <c r="E4292" s="1" t="s">
        <v>28</v>
      </c>
      <c r="F4292" s="1">
        <v>221.4</v>
      </c>
      <c r="G4292" s="1">
        <v>4.66</v>
      </c>
      <c r="H4292" s="1">
        <v>3.0</v>
      </c>
      <c r="I4292" s="1" t="s">
        <v>23</v>
      </c>
      <c r="J4292" s="1" t="s">
        <v>18</v>
      </c>
      <c r="K4292" s="1">
        <f t="shared" si="1"/>
        <v>2021</v>
      </c>
      <c r="L4292" s="1" t="str">
        <f t="shared" si="2"/>
        <v>May</v>
      </c>
      <c r="M4292" s="1" t="str">
        <f t="shared" si="3"/>
        <v>Profit</v>
      </c>
    </row>
    <row r="4293" ht="14.25" customHeight="1">
      <c r="A4293" s="1" t="s">
        <v>4327</v>
      </c>
      <c r="B4293" s="2">
        <v>45168.0</v>
      </c>
      <c r="C4293" s="1" t="s">
        <v>30</v>
      </c>
      <c r="D4293" s="1" t="s">
        <v>15</v>
      </c>
      <c r="E4293" s="1" t="s">
        <v>16</v>
      </c>
      <c r="F4293" s="1">
        <v>573.73</v>
      </c>
      <c r="G4293" s="1">
        <v>-21.07</v>
      </c>
      <c r="H4293" s="1">
        <v>9.0</v>
      </c>
      <c r="I4293" s="1" t="s">
        <v>23</v>
      </c>
      <c r="J4293" s="1" t="s">
        <v>35</v>
      </c>
      <c r="K4293" s="1">
        <f t="shared" si="1"/>
        <v>2023</v>
      </c>
      <c r="L4293" s="1" t="str">
        <f t="shared" si="2"/>
        <v>Aug</v>
      </c>
      <c r="M4293" s="1" t="str">
        <f t="shared" si="3"/>
        <v>Loss</v>
      </c>
    </row>
    <row r="4294" ht="14.25" customHeight="1">
      <c r="A4294" s="1" t="s">
        <v>4328</v>
      </c>
      <c r="B4294" s="2">
        <v>45274.0</v>
      </c>
      <c r="C4294" s="1" t="s">
        <v>30</v>
      </c>
      <c r="D4294" s="1" t="s">
        <v>21</v>
      </c>
      <c r="E4294" s="1" t="s">
        <v>22</v>
      </c>
      <c r="F4294" s="1">
        <v>180.69</v>
      </c>
      <c r="G4294" s="1">
        <v>29.65</v>
      </c>
      <c r="H4294" s="1">
        <v>7.0</v>
      </c>
      <c r="I4294" s="1" t="s">
        <v>23</v>
      </c>
      <c r="J4294" s="1" t="s">
        <v>38</v>
      </c>
      <c r="K4294" s="1">
        <f t="shared" si="1"/>
        <v>2023</v>
      </c>
      <c r="L4294" s="1" t="str">
        <f t="shared" si="2"/>
        <v>Dec</v>
      </c>
      <c r="M4294" s="1" t="str">
        <f t="shared" si="3"/>
        <v>Profit</v>
      </c>
    </row>
    <row r="4295" ht="14.25" customHeight="1">
      <c r="A4295" s="1" t="s">
        <v>4329</v>
      </c>
      <c r="B4295" s="2">
        <v>44814.0</v>
      </c>
      <c r="C4295" s="1" t="s">
        <v>20</v>
      </c>
      <c r="D4295" s="1" t="s">
        <v>21</v>
      </c>
      <c r="E4295" s="1" t="s">
        <v>37</v>
      </c>
      <c r="F4295" s="1">
        <v>667.03</v>
      </c>
      <c r="G4295" s="1">
        <v>235.37</v>
      </c>
      <c r="H4295" s="1">
        <v>2.0</v>
      </c>
      <c r="I4295" s="1" t="s">
        <v>34</v>
      </c>
      <c r="J4295" s="1" t="s">
        <v>38</v>
      </c>
      <c r="K4295" s="1">
        <f t="shared" si="1"/>
        <v>2022</v>
      </c>
      <c r="L4295" s="1" t="str">
        <f t="shared" si="2"/>
        <v>Sep</v>
      </c>
      <c r="M4295" s="1" t="str">
        <f t="shared" si="3"/>
        <v>Profit</v>
      </c>
    </row>
    <row r="4296" ht="14.25" customHeight="1">
      <c r="A4296" s="1" t="s">
        <v>4330</v>
      </c>
      <c r="B4296" s="2">
        <v>44663.0</v>
      </c>
      <c r="C4296" s="1" t="s">
        <v>26</v>
      </c>
      <c r="D4296" s="1" t="s">
        <v>15</v>
      </c>
      <c r="E4296" s="1" t="s">
        <v>54</v>
      </c>
      <c r="F4296" s="1">
        <v>491.56</v>
      </c>
      <c r="G4296" s="1">
        <v>65.97</v>
      </c>
      <c r="H4296" s="1">
        <v>6.0</v>
      </c>
      <c r="I4296" s="1" t="s">
        <v>23</v>
      </c>
      <c r="J4296" s="1" t="s">
        <v>18</v>
      </c>
      <c r="K4296" s="1">
        <f t="shared" si="1"/>
        <v>2022</v>
      </c>
      <c r="L4296" s="1" t="str">
        <f t="shared" si="2"/>
        <v>Apr</v>
      </c>
      <c r="M4296" s="1" t="str">
        <f t="shared" si="3"/>
        <v>Profit</v>
      </c>
    </row>
    <row r="4297" ht="14.25" customHeight="1">
      <c r="A4297" s="1" t="s">
        <v>4331</v>
      </c>
      <c r="B4297" s="2">
        <v>45231.0</v>
      </c>
      <c r="C4297" s="1" t="s">
        <v>26</v>
      </c>
      <c r="D4297" s="1" t="s">
        <v>21</v>
      </c>
      <c r="E4297" s="1" t="s">
        <v>22</v>
      </c>
      <c r="F4297" s="1">
        <v>896.61</v>
      </c>
      <c r="G4297" s="1">
        <v>298.22</v>
      </c>
      <c r="H4297" s="1">
        <v>8.0</v>
      </c>
      <c r="I4297" s="1" t="s">
        <v>34</v>
      </c>
      <c r="J4297" s="1" t="s">
        <v>24</v>
      </c>
      <c r="K4297" s="1">
        <f t="shared" si="1"/>
        <v>2023</v>
      </c>
      <c r="L4297" s="1" t="str">
        <f t="shared" si="2"/>
        <v>Nov</v>
      </c>
      <c r="M4297" s="1" t="str">
        <f t="shared" si="3"/>
        <v>Profit</v>
      </c>
    </row>
    <row r="4298" ht="14.25" customHeight="1">
      <c r="A4298" s="1" t="s">
        <v>4332</v>
      </c>
      <c r="B4298" s="2">
        <v>44750.0</v>
      </c>
      <c r="C4298" s="1" t="s">
        <v>14</v>
      </c>
      <c r="D4298" s="1" t="s">
        <v>27</v>
      </c>
      <c r="E4298" s="1" t="s">
        <v>33</v>
      </c>
      <c r="F4298" s="1">
        <v>105.16</v>
      </c>
      <c r="G4298" s="1">
        <v>-157.2</v>
      </c>
      <c r="H4298" s="1">
        <v>5.0</v>
      </c>
      <c r="I4298" s="1" t="s">
        <v>34</v>
      </c>
      <c r="J4298" s="1" t="s">
        <v>35</v>
      </c>
      <c r="K4298" s="1">
        <f t="shared" si="1"/>
        <v>2022</v>
      </c>
      <c r="L4298" s="1" t="str">
        <f t="shared" si="2"/>
        <v>Jul</v>
      </c>
      <c r="M4298" s="1" t="str">
        <f t="shared" si="3"/>
        <v>Loss</v>
      </c>
    </row>
    <row r="4299" ht="14.25" customHeight="1">
      <c r="A4299" s="1" t="s">
        <v>4333</v>
      </c>
      <c r="B4299" s="2">
        <v>45061.0</v>
      </c>
      <c r="C4299" s="1" t="s">
        <v>20</v>
      </c>
      <c r="D4299" s="1" t="s">
        <v>15</v>
      </c>
      <c r="E4299" s="1" t="s">
        <v>16</v>
      </c>
      <c r="F4299" s="1">
        <v>191.73</v>
      </c>
      <c r="G4299" s="1">
        <v>-149.18</v>
      </c>
      <c r="H4299" s="1">
        <v>2.0</v>
      </c>
      <c r="I4299" s="1" t="s">
        <v>17</v>
      </c>
      <c r="J4299" s="1" t="s">
        <v>18</v>
      </c>
      <c r="K4299" s="1">
        <f t="shared" si="1"/>
        <v>2023</v>
      </c>
      <c r="L4299" s="1" t="str">
        <f t="shared" si="2"/>
        <v>May</v>
      </c>
      <c r="M4299" s="1" t="str">
        <f t="shared" si="3"/>
        <v>Loss</v>
      </c>
    </row>
    <row r="4300" ht="14.25" customHeight="1">
      <c r="A4300" s="1" t="s">
        <v>4334</v>
      </c>
      <c r="B4300" s="2">
        <v>44326.0</v>
      </c>
      <c r="C4300" s="1" t="s">
        <v>20</v>
      </c>
      <c r="D4300" s="1" t="s">
        <v>21</v>
      </c>
      <c r="E4300" s="1" t="s">
        <v>22</v>
      </c>
      <c r="F4300" s="1">
        <v>307.55</v>
      </c>
      <c r="G4300" s="1">
        <v>6.25</v>
      </c>
      <c r="H4300" s="1">
        <v>9.0</v>
      </c>
      <c r="I4300" s="1" t="s">
        <v>23</v>
      </c>
      <c r="J4300" s="1" t="s">
        <v>38</v>
      </c>
      <c r="K4300" s="1">
        <f t="shared" si="1"/>
        <v>2021</v>
      </c>
      <c r="L4300" s="1" t="str">
        <f t="shared" si="2"/>
        <v>May</v>
      </c>
      <c r="M4300" s="1" t="str">
        <f t="shared" si="3"/>
        <v>Profit</v>
      </c>
    </row>
    <row r="4301" ht="14.25" customHeight="1">
      <c r="A4301" s="1" t="s">
        <v>4335</v>
      </c>
      <c r="B4301" s="2">
        <v>44738.0</v>
      </c>
      <c r="C4301" s="1" t="s">
        <v>26</v>
      </c>
      <c r="D4301" s="1" t="s">
        <v>27</v>
      </c>
      <c r="E4301" s="1" t="s">
        <v>33</v>
      </c>
      <c r="F4301" s="1">
        <v>671.17</v>
      </c>
      <c r="G4301" s="1">
        <v>48.74</v>
      </c>
      <c r="H4301" s="1">
        <v>6.0</v>
      </c>
      <c r="I4301" s="1" t="s">
        <v>17</v>
      </c>
      <c r="J4301" s="1" t="s">
        <v>18</v>
      </c>
      <c r="K4301" s="1">
        <f t="shared" si="1"/>
        <v>2022</v>
      </c>
      <c r="L4301" s="1" t="str">
        <f t="shared" si="2"/>
        <v>Jun</v>
      </c>
      <c r="M4301" s="1" t="str">
        <f t="shared" si="3"/>
        <v>Profit</v>
      </c>
    </row>
    <row r="4302" ht="14.25" customHeight="1">
      <c r="A4302" s="1" t="s">
        <v>4336</v>
      </c>
      <c r="B4302" s="2">
        <v>44398.0</v>
      </c>
      <c r="C4302" s="1" t="s">
        <v>26</v>
      </c>
      <c r="D4302" s="1" t="s">
        <v>21</v>
      </c>
      <c r="E4302" s="1" t="s">
        <v>37</v>
      </c>
      <c r="F4302" s="1">
        <v>168.3</v>
      </c>
      <c r="G4302" s="1">
        <v>133.53</v>
      </c>
      <c r="H4302" s="1">
        <v>9.0</v>
      </c>
      <c r="I4302" s="1" t="s">
        <v>23</v>
      </c>
      <c r="J4302" s="1" t="s">
        <v>18</v>
      </c>
      <c r="K4302" s="1">
        <f t="shared" si="1"/>
        <v>2021</v>
      </c>
      <c r="L4302" s="1" t="str">
        <f t="shared" si="2"/>
        <v>Jul</v>
      </c>
      <c r="M4302" s="1" t="str">
        <f t="shared" si="3"/>
        <v>Profit</v>
      </c>
    </row>
    <row r="4303" ht="14.25" customHeight="1">
      <c r="A4303" s="1" t="s">
        <v>4337</v>
      </c>
      <c r="B4303" s="2">
        <v>45096.0</v>
      </c>
      <c r="C4303" s="1" t="s">
        <v>20</v>
      </c>
      <c r="D4303" s="1" t="s">
        <v>15</v>
      </c>
      <c r="E4303" s="1" t="s">
        <v>54</v>
      </c>
      <c r="F4303" s="1">
        <v>947.87</v>
      </c>
      <c r="G4303" s="1">
        <v>-67.37</v>
      </c>
      <c r="H4303" s="1">
        <v>8.0</v>
      </c>
      <c r="I4303" s="1" t="s">
        <v>23</v>
      </c>
      <c r="J4303" s="1" t="s">
        <v>24</v>
      </c>
      <c r="K4303" s="1">
        <f t="shared" si="1"/>
        <v>2023</v>
      </c>
      <c r="L4303" s="1" t="str">
        <f t="shared" si="2"/>
        <v>Jun</v>
      </c>
      <c r="M4303" s="1" t="str">
        <f t="shared" si="3"/>
        <v>Loss</v>
      </c>
    </row>
    <row r="4304" ht="14.25" customHeight="1">
      <c r="A4304" s="1" t="s">
        <v>4338</v>
      </c>
      <c r="B4304" s="2">
        <v>45267.0</v>
      </c>
      <c r="C4304" s="1" t="s">
        <v>20</v>
      </c>
      <c r="D4304" s="1" t="s">
        <v>21</v>
      </c>
      <c r="E4304" s="1" t="s">
        <v>76</v>
      </c>
      <c r="F4304" s="1">
        <v>136.89</v>
      </c>
      <c r="G4304" s="1">
        <v>16.58</v>
      </c>
      <c r="H4304" s="1">
        <v>6.0</v>
      </c>
      <c r="I4304" s="1" t="s">
        <v>34</v>
      </c>
      <c r="J4304" s="1" t="s">
        <v>35</v>
      </c>
      <c r="K4304" s="1">
        <f t="shared" si="1"/>
        <v>2023</v>
      </c>
      <c r="L4304" s="1" t="str">
        <f t="shared" si="2"/>
        <v>Dec</v>
      </c>
      <c r="M4304" s="1" t="str">
        <f t="shared" si="3"/>
        <v>Profit</v>
      </c>
    </row>
    <row r="4305" ht="14.25" customHeight="1">
      <c r="A4305" s="1" t="s">
        <v>4339</v>
      </c>
      <c r="B4305" s="2">
        <v>44443.0</v>
      </c>
      <c r="C4305" s="1" t="s">
        <v>14</v>
      </c>
      <c r="D4305" s="1" t="s">
        <v>27</v>
      </c>
      <c r="E4305" s="1" t="s">
        <v>40</v>
      </c>
      <c r="F4305" s="1">
        <v>486.05</v>
      </c>
      <c r="G4305" s="1">
        <v>190.09</v>
      </c>
      <c r="H4305" s="1">
        <v>5.0</v>
      </c>
      <c r="I4305" s="1" t="s">
        <v>17</v>
      </c>
      <c r="J4305" s="1" t="s">
        <v>18</v>
      </c>
      <c r="K4305" s="1">
        <f t="shared" si="1"/>
        <v>2021</v>
      </c>
      <c r="L4305" s="1" t="str">
        <f t="shared" si="2"/>
        <v>Sep</v>
      </c>
      <c r="M4305" s="1" t="str">
        <f t="shared" si="3"/>
        <v>Profit</v>
      </c>
    </row>
    <row r="4306" ht="14.25" customHeight="1">
      <c r="A4306" s="1" t="s">
        <v>4340</v>
      </c>
      <c r="B4306" s="2">
        <v>45215.0</v>
      </c>
      <c r="C4306" s="1" t="s">
        <v>30</v>
      </c>
      <c r="D4306" s="1" t="s">
        <v>21</v>
      </c>
      <c r="E4306" s="1" t="s">
        <v>22</v>
      </c>
      <c r="F4306" s="1">
        <v>937.43</v>
      </c>
      <c r="G4306" s="1">
        <v>-103.37</v>
      </c>
      <c r="H4306" s="1">
        <v>7.0</v>
      </c>
      <c r="I4306" s="1" t="s">
        <v>34</v>
      </c>
      <c r="J4306" s="1" t="s">
        <v>38</v>
      </c>
      <c r="K4306" s="1">
        <f t="shared" si="1"/>
        <v>2023</v>
      </c>
      <c r="L4306" s="1" t="str">
        <f t="shared" si="2"/>
        <v>Oct</v>
      </c>
      <c r="M4306" s="1" t="str">
        <f t="shared" si="3"/>
        <v>Loss</v>
      </c>
    </row>
    <row r="4307" ht="14.25" customHeight="1">
      <c r="A4307" s="1" t="s">
        <v>4341</v>
      </c>
      <c r="B4307" s="2">
        <v>44822.0</v>
      </c>
      <c r="C4307" s="1" t="s">
        <v>26</v>
      </c>
      <c r="D4307" s="1" t="s">
        <v>21</v>
      </c>
      <c r="E4307" s="1" t="s">
        <v>22</v>
      </c>
      <c r="F4307" s="1">
        <v>77.47</v>
      </c>
      <c r="G4307" s="1">
        <v>-7.44</v>
      </c>
      <c r="H4307" s="1">
        <v>8.0</v>
      </c>
      <c r="I4307" s="1" t="s">
        <v>23</v>
      </c>
      <c r="J4307" s="1" t="s">
        <v>38</v>
      </c>
      <c r="K4307" s="1">
        <f t="shared" si="1"/>
        <v>2022</v>
      </c>
      <c r="L4307" s="1" t="str">
        <f t="shared" si="2"/>
        <v>Sep</v>
      </c>
      <c r="M4307" s="1" t="str">
        <f t="shared" si="3"/>
        <v>Loss</v>
      </c>
    </row>
    <row r="4308" ht="14.25" customHeight="1">
      <c r="A4308" s="1" t="s">
        <v>4342</v>
      </c>
      <c r="B4308" s="2">
        <v>44797.0</v>
      </c>
      <c r="C4308" s="1" t="s">
        <v>20</v>
      </c>
      <c r="D4308" s="1" t="s">
        <v>15</v>
      </c>
      <c r="E4308" s="1" t="s">
        <v>54</v>
      </c>
      <c r="F4308" s="1">
        <v>245.63</v>
      </c>
      <c r="G4308" s="1">
        <v>48.61</v>
      </c>
      <c r="H4308" s="1">
        <v>5.0</v>
      </c>
      <c r="I4308" s="1" t="s">
        <v>17</v>
      </c>
      <c r="J4308" s="1" t="s">
        <v>35</v>
      </c>
      <c r="K4308" s="1">
        <f t="shared" si="1"/>
        <v>2022</v>
      </c>
      <c r="L4308" s="1" t="str">
        <f t="shared" si="2"/>
        <v>Aug</v>
      </c>
      <c r="M4308" s="1" t="str">
        <f t="shared" si="3"/>
        <v>Profit</v>
      </c>
    </row>
    <row r="4309" ht="14.25" customHeight="1">
      <c r="A4309" s="1" t="s">
        <v>4343</v>
      </c>
      <c r="B4309" s="2">
        <v>44843.0</v>
      </c>
      <c r="C4309" s="1" t="s">
        <v>30</v>
      </c>
      <c r="D4309" s="1" t="s">
        <v>27</v>
      </c>
      <c r="E4309" s="1" t="s">
        <v>40</v>
      </c>
      <c r="F4309" s="1">
        <v>388.85</v>
      </c>
      <c r="G4309" s="1">
        <v>-69.06</v>
      </c>
      <c r="H4309" s="1">
        <v>8.0</v>
      </c>
      <c r="I4309" s="1" t="s">
        <v>17</v>
      </c>
      <c r="J4309" s="1" t="s">
        <v>24</v>
      </c>
      <c r="K4309" s="1">
        <f t="shared" si="1"/>
        <v>2022</v>
      </c>
      <c r="L4309" s="1" t="str">
        <f t="shared" si="2"/>
        <v>Oct</v>
      </c>
      <c r="M4309" s="1" t="str">
        <f t="shared" si="3"/>
        <v>Loss</v>
      </c>
    </row>
    <row r="4310" ht="14.25" customHeight="1">
      <c r="A4310" s="1" t="s">
        <v>4344</v>
      </c>
      <c r="B4310" s="2">
        <v>44470.0</v>
      </c>
      <c r="C4310" s="1" t="s">
        <v>30</v>
      </c>
      <c r="D4310" s="1" t="s">
        <v>15</v>
      </c>
      <c r="E4310" s="1" t="s">
        <v>54</v>
      </c>
      <c r="F4310" s="1">
        <v>901.31</v>
      </c>
      <c r="G4310" s="1">
        <v>237.73</v>
      </c>
      <c r="H4310" s="1">
        <v>2.0</v>
      </c>
      <c r="I4310" s="1" t="s">
        <v>34</v>
      </c>
      <c r="J4310" s="1" t="s">
        <v>24</v>
      </c>
      <c r="K4310" s="1">
        <f t="shared" si="1"/>
        <v>2021</v>
      </c>
      <c r="L4310" s="1" t="str">
        <f t="shared" si="2"/>
        <v>Oct</v>
      </c>
      <c r="M4310" s="1" t="str">
        <f t="shared" si="3"/>
        <v>Profit</v>
      </c>
    </row>
    <row r="4311" ht="14.25" customHeight="1">
      <c r="A4311" s="1" t="s">
        <v>4345</v>
      </c>
      <c r="B4311" s="2">
        <v>44288.0</v>
      </c>
      <c r="C4311" s="1" t="s">
        <v>30</v>
      </c>
      <c r="D4311" s="1" t="s">
        <v>15</v>
      </c>
      <c r="E4311" s="1" t="s">
        <v>31</v>
      </c>
      <c r="F4311" s="1">
        <v>896.08</v>
      </c>
      <c r="G4311" s="1">
        <v>291.54</v>
      </c>
      <c r="H4311" s="1">
        <v>7.0</v>
      </c>
      <c r="I4311" s="1" t="s">
        <v>34</v>
      </c>
      <c r="J4311" s="1" t="s">
        <v>18</v>
      </c>
      <c r="K4311" s="1">
        <f t="shared" si="1"/>
        <v>2021</v>
      </c>
      <c r="L4311" s="1" t="str">
        <f t="shared" si="2"/>
        <v>Apr</v>
      </c>
      <c r="M4311" s="1" t="str">
        <f t="shared" si="3"/>
        <v>Profit</v>
      </c>
    </row>
    <row r="4312" ht="14.25" customHeight="1">
      <c r="A4312" s="1" t="s">
        <v>4346</v>
      </c>
      <c r="B4312" s="2">
        <v>44294.0</v>
      </c>
      <c r="C4312" s="1" t="s">
        <v>20</v>
      </c>
      <c r="D4312" s="1" t="s">
        <v>27</v>
      </c>
      <c r="E4312" s="1" t="s">
        <v>28</v>
      </c>
      <c r="F4312" s="1">
        <v>659.69</v>
      </c>
      <c r="G4312" s="1">
        <v>-121.19</v>
      </c>
      <c r="H4312" s="1">
        <v>4.0</v>
      </c>
      <c r="I4312" s="1" t="s">
        <v>23</v>
      </c>
      <c r="J4312" s="1" t="s">
        <v>18</v>
      </c>
      <c r="K4312" s="1">
        <f t="shared" si="1"/>
        <v>2021</v>
      </c>
      <c r="L4312" s="1" t="str">
        <f t="shared" si="2"/>
        <v>Apr</v>
      </c>
      <c r="M4312" s="1" t="str">
        <f t="shared" si="3"/>
        <v>Loss</v>
      </c>
    </row>
    <row r="4313" ht="14.25" customHeight="1">
      <c r="A4313" s="1" t="s">
        <v>4347</v>
      </c>
      <c r="B4313" s="2">
        <v>44635.0</v>
      </c>
      <c r="C4313" s="1" t="s">
        <v>14</v>
      </c>
      <c r="D4313" s="1" t="s">
        <v>15</v>
      </c>
      <c r="E4313" s="1" t="s">
        <v>16</v>
      </c>
      <c r="F4313" s="1">
        <v>567.75</v>
      </c>
      <c r="G4313" s="1">
        <v>95.66</v>
      </c>
      <c r="H4313" s="1">
        <v>4.0</v>
      </c>
      <c r="I4313" s="1" t="s">
        <v>23</v>
      </c>
      <c r="J4313" s="1" t="s">
        <v>38</v>
      </c>
      <c r="K4313" s="1">
        <f t="shared" si="1"/>
        <v>2022</v>
      </c>
      <c r="L4313" s="1" t="str">
        <f t="shared" si="2"/>
        <v>Mar</v>
      </c>
      <c r="M4313" s="1" t="str">
        <f t="shared" si="3"/>
        <v>Profit</v>
      </c>
    </row>
    <row r="4314" ht="14.25" customHeight="1">
      <c r="A4314" s="1" t="s">
        <v>4348</v>
      </c>
      <c r="B4314" s="2">
        <v>44830.0</v>
      </c>
      <c r="C4314" s="1" t="s">
        <v>30</v>
      </c>
      <c r="D4314" s="1" t="s">
        <v>21</v>
      </c>
      <c r="E4314" s="1" t="s">
        <v>22</v>
      </c>
      <c r="F4314" s="1">
        <v>809.38</v>
      </c>
      <c r="G4314" s="1">
        <v>186.05</v>
      </c>
      <c r="H4314" s="1">
        <v>9.0</v>
      </c>
      <c r="I4314" s="1" t="s">
        <v>34</v>
      </c>
      <c r="J4314" s="1" t="s">
        <v>24</v>
      </c>
      <c r="K4314" s="1">
        <f t="shared" si="1"/>
        <v>2022</v>
      </c>
      <c r="L4314" s="1" t="str">
        <f t="shared" si="2"/>
        <v>Sep</v>
      </c>
      <c r="M4314" s="1" t="str">
        <f t="shared" si="3"/>
        <v>Profit</v>
      </c>
    </row>
    <row r="4315" ht="14.25" customHeight="1">
      <c r="A4315" s="1" t="s">
        <v>4349</v>
      </c>
      <c r="B4315" s="2">
        <v>44642.0</v>
      </c>
      <c r="C4315" s="1" t="s">
        <v>30</v>
      </c>
      <c r="D4315" s="1" t="s">
        <v>15</v>
      </c>
      <c r="E4315" s="1" t="s">
        <v>31</v>
      </c>
      <c r="F4315" s="1">
        <v>639.63</v>
      </c>
      <c r="G4315" s="1">
        <v>99.91</v>
      </c>
      <c r="H4315" s="1">
        <v>2.0</v>
      </c>
      <c r="I4315" s="1" t="s">
        <v>34</v>
      </c>
      <c r="J4315" s="1" t="s">
        <v>35</v>
      </c>
      <c r="K4315" s="1">
        <f t="shared" si="1"/>
        <v>2022</v>
      </c>
      <c r="L4315" s="1" t="str">
        <f t="shared" si="2"/>
        <v>Mar</v>
      </c>
      <c r="M4315" s="1" t="str">
        <f t="shared" si="3"/>
        <v>Profit</v>
      </c>
    </row>
    <row r="4316" ht="14.25" customHeight="1">
      <c r="A4316" s="1" t="s">
        <v>4350</v>
      </c>
      <c r="B4316" s="2">
        <v>44525.0</v>
      </c>
      <c r="C4316" s="1" t="s">
        <v>30</v>
      </c>
      <c r="D4316" s="1" t="s">
        <v>27</v>
      </c>
      <c r="E4316" s="1" t="s">
        <v>28</v>
      </c>
      <c r="F4316" s="1">
        <v>412.15</v>
      </c>
      <c r="G4316" s="1">
        <v>64.71</v>
      </c>
      <c r="H4316" s="1">
        <v>9.0</v>
      </c>
      <c r="I4316" s="1" t="s">
        <v>23</v>
      </c>
      <c r="J4316" s="1" t="s">
        <v>24</v>
      </c>
      <c r="K4316" s="1">
        <f t="shared" si="1"/>
        <v>2021</v>
      </c>
      <c r="L4316" s="1" t="str">
        <f t="shared" si="2"/>
        <v>Nov</v>
      </c>
      <c r="M4316" s="1" t="str">
        <f t="shared" si="3"/>
        <v>Profit</v>
      </c>
    </row>
    <row r="4317" ht="14.25" customHeight="1">
      <c r="A4317" s="1" t="s">
        <v>4351</v>
      </c>
      <c r="B4317" s="2">
        <v>44277.0</v>
      </c>
      <c r="C4317" s="1" t="s">
        <v>30</v>
      </c>
      <c r="D4317" s="1" t="s">
        <v>21</v>
      </c>
      <c r="E4317" s="1" t="s">
        <v>37</v>
      </c>
      <c r="F4317" s="1">
        <v>339.94</v>
      </c>
      <c r="G4317" s="1">
        <v>105.19</v>
      </c>
      <c r="H4317" s="1">
        <v>5.0</v>
      </c>
      <c r="I4317" s="1" t="s">
        <v>17</v>
      </c>
      <c r="J4317" s="1" t="s">
        <v>38</v>
      </c>
      <c r="K4317" s="1">
        <f t="shared" si="1"/>
        <v>2021</v>
      </c>
      <c r="L4317" s="1" t="str">
        <f t="shared" si="2"/>
        <v>Mar</v>
      </c>
      <c r="M4317" s="1" t="str">
        <f t="shared" si="3"/>
        <v>Profit</v>
      </c>
    </row>
    <row r="4318" ht="14.25" customHeight="1">
      <c r="A4318" s="1" t="s">
        <v>4352</v>
      </c>
      <c r="B4318" s="2">
        <v>44852.0</v>
      </c>
      <c r="C4318" s="1" t="s">
        <v>20</v>
      </c>
      <c r="D4318" s="1" t="s">
        <v>15</v>
      </c>
      <c r="E4318" s="1" t="s">
        <v>54</v>
      </c>
      <c r="F4318" s="1">
        <v>188.93</v>
      </c>
      <c r="G4318" s="1">
        <v>168.26</v>
      </c>
      <c r="H4318" s="1">
        <v>2.0</v>
      </c>
      <c r="I4318" s="1" t="s">
        <v>23</v>
      </c>
      <c r="J4318" s="1" t="s">
        <v>38</v>
      </c>
      <c r="K4318" s="1">
        <f t="shared" si="1"/>
        <v>2022</v>
      </c>
      <c r="L4318" s="1" t="str">
        <f t="shared" si="2"/>
        <v>Oct</v>
      </c>
      <c r="M4318" s="1" t="str">
        <f t="shared" si="3"/>
        <v>Profit</v>
      </c>
    </row>
    <row r="4319" ht="14.25" customHeight="1">
      <c r="A4319" s="1" t="s">
        <v>4353</v>
      </c>
      <c r="B4319" s="2">
        <v>44354.0</v>
      </c>
      <c r="C4319" s="1" t="s">
        <v>30</v>
      </c>
      <c r="D4319" s="1" t="s">
        <v>27</v>
      </c>
      <c r="E4319" s="1" t="s">
        <v>28</v>
      </c>
      <c r="F4319" s="1">
        <v>172.75</v>
      </c>
      <c r="G4319" s="1">
        <v>-196.51</v>
      </c>
      <c r="H4319" s="1">
        <v>2.0</v>
      </c>
      <c r="I4319" s="1" t="s">
        <v>34</v>
      </c>
      <c r="J4319" s="1" t="s">
        <v>18</v>
      </c>
      <c r="K4319" s="1">
        <f t="shared" si="1"/>
        <v>2021</v>
      </c>
      <c r="L4319" s="1" t="str">
        <f t="shared" si="2"/>
        <v>Jun</v>
      </c>
      <c r="M4319" s="1" t="str">
        <f t="shared" si="3"/>
        <v>Loss</v>
      </c>
    </row>
    <row r="4320" ht="14.25" customHeight="1">
      <c r="A4320" s="1" t="s">
        <v>4354</v>
      </c>
      <c r="B4320" s="2">
        <v>44659.0</v>
      </c>
      <c r="C4320" s="1" t="s">
        <v>26</v>
      </c>
      <c r="D4320" s="1" t="s">
        <v>21</v>
      </c>
      <c r="E4320" s="1" t="s">
        <v>37</v>
      </c>
      <c r="F4320" s="1">
        <v>601.37</v>
      </c>
      <c r="G4320" s="1">
        <v>252.74</v>
      </c>
      <c r="H4320" s="1">
        <v>7.0</v>
      </c>
      <c r="I4320" s="1" t="s">
        <v>34</v>
      </c>
      <c r="J4320" s="1" t="s">
        <v>18</v>
      </c>
      <c r="K4320" s="1">
        <f t="shared" si="1"/>
        <v>2022</v>
      </c>
      <c r="L4320" s="1" t="str">
        <f t="shared" si="2"/>
        <v>Apr</v>
      </c>
      <c r="M4320" s="1" t="str">
        <f t="shared" si="3"/>
        <v>Profit</v>
      </c>
    </row>
    <row r="4321" ht="14.25" customHeight="1">
      <c r="A4321" s="1" t="s">
        <v>4355</v>
      </c>
      <c r="B4321" s="2">
        <v>44595.0</v>
      </c>
      <c r="C4321" s="1" t="s">
        <v>14</v>
      </c>
      <c r="D4321" s="1" t="s">
        <v>21</v>
      </c>
      <c r="E4321" s="1" t="s">
        <v>76</v>
      </c>
      <c r="F4321" s="1">
        <v>172.0</v>
      </c>
      <c r="G4321" s="1">
        <v>156.84</v>
      </c>
      <c r="H4321" s="1">
        <v>1.0</v>
      </c>
      <c r="I4321" s="1" t="s">
        <v>34</v>
      </c>
      <c r="J4321" s="1" t="s">
        <v>24</v>
      </c>
      <c r="K4321" s="1">
        <f t="shared" si="1"/>
        <v>2022</v>
      </c>
      <c r="L4321" s="1" t="str">
        <f t="shared" si="2"/>
        <v>Feb</v>
      </c>
      <c r="M4321" s="1" t="str">
        <f t="shared" si="3"/>
        <v>Profit</v>
      </c>
    </row>
    <row r="4322" ht="14.25" customHeight="1">
      <c r="A4322" s="1" t="s">
        <v>4356</v>
      </c>
      <c r="B4322" s="2">
        <v>44203.0</v>
      </c>
      <c r="C4322" s="1" t="s">
        <v>26</v>
      </c>
      <c r="D4322" s="1" t="s">
        <v>21</v>
      </c>
      <c r="E4322" s="1" t="s">
        <v>76</v>
      </c>
      <c r="F4322" s="1">
        <v>808.16</v>
      </c>
      <c r="G4322" s="1">
        <v>85.73</v>
      </c>
      <c r="H4322" s="1">
        <v>6.0</v>
      </c>
      <c r="I4322" s="1" t="s">
        <v>34</v>
      </c>
      <c r="J4322" s="1" t="s">
        <v>38</v>
      </c>
      <c r="K4322" s="1">
        <f t="shared" si="1"/>
        <v>2021</v>
      </c>
      <c r="L4322" s="1" t="str">
        <f t="shared" si="2"/>
        <v>Jan</v>
      </c>
      <c r="M4322" s="1" t="str">
        <f t="shared" si="3"/>
        <v>Profit</v>
      </c>
    </row>
    <row r="4323" ht="14.25" customHeight="1">
      <c r="A4323" s="1" t="s">
        <v>4357</v>
      </c>
      <c r="B4323" s="2">
        <v>44897.0</v>
      </c>
      <c r="C4323" s="1" t="s">
        <v>14</v>
      </c>
      <c r="D4323" s="1" t="s">
        <v>15</v>
      </c>
      <c r="E4323" s="1" t="s">
        <v>54</v>
      </c>
      <c r="F4323" s="1">
        <v>704.13</v>
      </c>
      <c r="G4323" s="1">
        <v>268.93</v>
      </c>
      <c r="H4323" s="1">
        <v>3.0</v>
      </c>
      <c r="I4323" s="1" t="s">
        <v>34</v>
      </c>
      <c r="J4323" s="1" t="s">
        <v>35</v>
      </c>
      <c r="K4323" s="1">
        <f t="shared" si="1"/>
        <v>2022</v>
      </c>
      <c r="L4323" s="1" t="str">
        <f t="shared" si="2"/>
        <v>Dec</v>
      </c>
      <c r="M4323" s="1" t="str">
        <f t="shared" si="3"/>
        <v>Profit</v>
      </c>
    </row>
    <row r="4324" ht="14.25" customHeight="1">
      <c r="A4324" s="1" t="s">
        <v>4358</v>
      </c>
      <c r="B4324" s="2">
        <v>44468.0</v>
      </c>
      <c r="C4324" s="1" t="s">
        <v>20</v>
      </c>
      <c r="D4324" s="1" t="s">
        <v>21</v>
      </c>
      <c r="E4324" s="1" t="s">
        <v>76</v>
      </c>
      <c r="F4324" s="1">
        <v>181.7</v>
      </c>
      <c r="G4324" s="1">
        <v>78.51</v>
      </c>
      <c r="H4324" s="1">
        <v>6.0</v>
      </c>
      <c r="I4324" s="1" t="s">
        <v>17</v>
      </c>
      <c r="J4324" s="1" t="s">
        <v>35</v>
      </c>
      <c r="K4324" s="1">
        <f t="shared" si="1"/>
        <v>2021</v>
      </c>
      <c r="L4324" s="1" t="str">
        <f t="shared" si="2"/>
        <v>Sep</v>
      </c>
      <c r="M4324" s="1" t="str">
        <f t="shared" si="3"/>
        <v>Profit</v>
      </c>
    </row>
    <row r="4325" ht="14.25" customHeight="1">
      <c r="A4325" s="1" t="s">
        <v>4359</v>
      </c>
      <c r="B4325" s="2">
        <v>44392.0</v>
      </c>
      <c r="C4325" s="1" t="s">
        <v>30</v>
      </c>
      <c r="D4325" s="1" t="s">
        <v>27</v>
      </c>
      <c r="E4325" s="1" t="s">
        <v>33</v>
      </c>
      <c r="F4325" s="1">
        <v>730.1</v>
      </c>
      <c r="G4325" s="1">
        <v>71.66</v>
      </c>
      <c r="H4325" s="1">
        <v>6.0</v>
      </c>
      <c r="I4325" s="1" t="s">
        <v>23</v>
      </c>
      <c r="J4325" s="1" t="s">
        <v>38</v>
      </c>
      <c r="K4325" s="1">
        <f t="shared" si="1"/>
        <v>2021</v>
      </c>
      <c r="L4325" s="1" t="str">
        <f t="shared" si="2"/>
        <v>Jul</v>
      </c>
      <c r="M4325" s="1" t="str">
        <f t="shared" si="3"/>
        <v>Profit</v>
      </c>
    </row>
    <row r="4326" ht="14.25" customHeight="1">
      <c r="A4326" s="1" t="s">
        <v>4360</v>
      </c>
      <c r="B4326" s="2">
        <v>44935.0</v>
      </c>
      <c r="C4326" s="1" t="s">
        <v>30</v>
      </c>
      <c r="D4326" s="1" t="s">
        <v>15</v>
      </c>
      <c r="E4326" s="1" t="s">
        <v>31</v>
      </c>
      <c r="F4326" s="1">
        <v>783.63</v>
      </c>
      <c r="G4326" s="1">
        <v>146.48</v>
      </c>
      <c r="H4326" s="1">
        <v>5.0</v>
      </c>
      <c r="I4326" s="1" t="s">
        <v>23</v>
      </c>
      <c r="J4326" s="1" t="s">
        <v>24</v>
      </c>
      <c r="K4326" s="1">
        <f t="shared" si="1"/>
        <v>2023</v>
      </c>
      <c r="L4326" s="1" t="str">
        <f t="shared" si="2"/>
        <v>Jan</v>
      </c>
      <c r="M4326" s="1" t="str">
        <f t="shared" si="3"/>
        <v>Profit</v>
      </c>
    </row>
    <row r="4327" ht="14.25" customHeight="1">
      <c r="A4327" s="1" t="s">
        <v>4361</v>
      </c>
      <c r="B4327" s="2">
        <v>45160.0</v>
      </c>
      <c r="C4327" s="1" t="s">
        <v>26</v>
      </c>
      <c r="D4327" s="1" t="s">
        <v>15</v>
      </c>
      <c r="E4327" s="1" t="s">
        <v>54</v>
      </c>
      <c r="F4327" s="1">
        <v>102.41</v>
      </c>
      <c r="G4327" s="1">
        <v>110.26</v>
      </c>
      <c r="H4327" s="1">
        <v>4.0</v>
      </c>
      <c r="I4327" s="1" t="s">
        <v>23</v>
      </c>
      <c r="J4327" s="1" t="s">
        <v>18</v>
      </c>
      <c r="K4327" s="1">
        <f t="shared" si="1"/>
        <v>2023</v>
      </c>
      <c r="L4327" s="1" t="str">
        <f t="shared" si="2"/>
        <v>Aug</v>
      </c>
      <c r="M4327" s="1" t="str">
        <f t="shared" si="3"/>
        <v>Profit</v>
      </c>
    </row>
    <row r="4328" ht="14.25" customHeight="1">
      <c r="A4328" s="1" t="s">
        <v>4362</v>
      </c>
      <c r="B4328" s="2">
        <v>44984.0</v>
      </c>
      <c r="C4328" s="1" t="s">
        <v>14</v>
      </c>
      <c r="D4328" s="1" t="s">
        <v>27</v>
      </c>
      <c r="E4328" s="1" t="s">
        <v>28</v>
      </c>
      <c r="F4328" s="1">
        <v>256.25</v>
      </c>
      <c r="G4328" s="1">
        <v>-130.95</v>
      </c>
      <c r="H4328" s="1">
        <v>9.0</v>
      </c>
      <c r="I4328" s="1" t="s">
        <v>34</v>
      </c>
      <c r="J4328" s="1" t="s">
        <v>35</v>
      </c>
      <c r="K4328" s="1">
        <f t="shared" si="1"/>
        <v>2023</v>
      </c>
      <c r="L4328" s="1" t="str">
        <f t="shared" si="2"/>
        <v>Feb</v>
      </c>
      <c r="M4328" s="1" t="str">
        <f t="shared" si="3"/>
        <v>Loss</v>
      </c>
    </row>
    <row r="4329" ht="14.25" customHeight="1">
      <c r="A4329" s="1" t="s">
        <v>4363</v>
      </c>
      <c r="B4329" s="2">
        <v>45185.0</v>
      </c>
      <c r="C4329" s="1" t="s">
        <v>26</v>
      </c>
      <c r="D4329" s="1" t="s">
        <v>27</v>
      </c>
      <c r="E4329" s="1" t="s">
        <v>40</v>
      </c>
      <c r="F4329" s="1">
        <v>665.78</v>
      </c>
      <c r="G4329" s="1">
        <v>23.47</v>
      </c>
      <c r="H4329" s="1">
        <v>10.0</v>
      </c>
      <c r="I4329" s="1" t="s">
        <v>23</v>
      </c>
      <c r="J4329" s="1" t="s">
        <v>35</v>
      </c>
      <c r="K4329" s="1">
        <f t="shared" si="1"/>
        <v>2023</v>
      </c>
      <c r="L4329" s="1" t="str">
        <f t="shared" si="2"/>
        <v>Sep</v>
      </c>
      <c r="M4329" s="1" t="str">
        <f t="shared" si="3"/>
        <v>Profit</v>
      </c>
    </row>
    <row r="4330" ht="14.25" customHeight="1">
      <c r="A4330" s="1" t="s">
        <v>4364</v>
      </c>
      <c r="B4330" s="2">
        <v>44707.0</v>
      </c>
      <c r="C4330" s="1" t="s">
        <v>14</v>
      </c>
      <c r="D4330" s="1" t="s">
        <v>21</v>
      </c>
      <c r="E4330" s="1" t="s">
        <v>22</v>
      </c>
      <c r="F4330" s="1">
        <v>783.74</v>
      </c>
      <c r="G4330" s="1">
        <v>-147.54</v>
      </c>
      <c r="H4330" s="1">
        <v>1.0</v>
      </c>
      <c r="I4330" s="1" t="s">
        <v>17</v>
      </c>
      <c r="J4330" s="1" t="s">
        <v>38</v>
      </c>
      <c r="K4330" s="1">
        <f t="shared" si="1"/>
        <v>2022</v>
      </c>
      <c r="L4330" s="1" t="str">
        <f t="shared" si="2"/>
        <v>May</v>
      </c>
      <c r="M4330" s="1" t="str">
        <f t="shared" si="3"/>
        <v>Loss</v>
      </c>
    </row>
    <row r="4331" ht="14.25" customHeight="1">
      <c r="A4331" s="1" t="s">
        <v>4365</v>
      </c>
      <c r="B4331" s="2">
        <v>44577.0</v>
      </c>
      <c r="C4331" s="1" t="s">
        <v>14</v>
      </c>
      <c r="D4331" s="1" t="s">
        <v>15</v>
      </c>
      <c r="E4331" s="1" t="s">
        <v>16</v>
      </c>
      <c r="F4331" s="1">
        <v>217.78</v>
      </c>
      <c r="G4331" s="1">
        <v>267.25</v>
      </c>
      <c r="H4331" s="1">
        <v>5.0</v>
      </c>
      <c r="I4331" s="1" t="s">
        <v>17</v>
      </c>
      <c r="J4331" s="1" t="s">
        <v>24</v>
      </c>
      <c r="K4331" s="1">
        <f t="shared" si="1"/>
        <v>2022</v>
      </c>
      <c r="L4331" s="1" t="str">
        <f t="shared" si="2"/>
        <v>Jan</v>
      </c>
      <c r="M4331" s="1" t="str">
        <f t="shared" si="3"/>
        <v>Profit</v>
      </c>
    </row>
    <row r="4332" ht="14.25" customHeight="1">
      <c r="A4332" s="1" t="s">
        <v>4366</v>
      </c>
      <c r="B4332" s="2">
        <v>44705.0</v>
      </c>
      <c r="C4332" s="1" t="s">
        <v>20</v>
      </c>
      <c r="D4332" s="1" t="s">
        <v>21</v>
      </c>
      <c r="E4332" s="1" t="s">
        <v>76</v>
      </c>
      <c r="F4332" s="1">
        <v>831.52</v>
      </c>
      <c r="G4332" s="1">
        <v>-79.2</v>
      </c>
      <c r="H4332" s="1">
        <v>9.0</v>
      </c>
      <c r="I4332" s="1" t="s">
        <v>34</v>
      </c>
      <c r="J4332" s="1" t="s">
        <v>24</v>
      </c>
      <c r="K4332" s="1">
        <f t="shared" si="1"/>
        <v>2022</v>
      </c>
      <c r="L4332" s="1" t="str">
        <f t="shared" si="2"/>
        <v>May</v>
      </c>
      <c r="M4332" s="1" t="str">
        <f t="shared" si="3"/>
        <v>Loss</v>
      </c>
    </row>
    <row r="4333" ht="14.25" customHeight="1">
      <c r="A4333" s="1" t="s">
        <v>4367</v>
      </c>
      <c r="B4333" s="2">
        <v>45195.0</v>
      </c>
      <c r="C4333" s="1" t="s">
        <v>14</v>
      </c>
      <c r="D4333" s="1" t="s">
        <v>15</v>
      </c>
      <c r="E4333" s="1" t="s">
        <v>54</v>
      </c>
      <c r="F4333" s="1">
        <v>71.79</v>
      </c>
      <c r="G4333" s="1">
        <v>183.18</v>
      </c>
      <c r="H4333" s="1">
        <v>4.0</v>
      </c>
      <c r="I4333" s="1" t="s">
        <v>34</v>
      </c>
      <c r="J4333" s="1" t="s">
        <v>24</v>
      </c>
      <c r="K4333" s="1">
        <f t="shared" si="1"/>
        <v>2023</v>
      </c>
      <c r="L4333" s="1" t="str">
        <f t="shared" si="2"/>
        <v>Sep</v>
      </c>
      <c r="M4333" s="1" t="str">
        <f t="shared" si="3"/>
        <v>Profit</v>
      </c>
    </row>
    <row r="4334" ht="14.25" customHeight="1">
      <c r="A4334" s="1" t="s">
        <v>4368</v>
      </c>
      <c r="B4334" s="2">
        <v>45233.0</v>
      </c>
      <c r="C4334" s="1" t="s">
        <v>14</v>
      </c>
      <c r="D4334" s="1" t="s">
        <v>27</v>
      </c>
      <c r="E4334" s="1" t="s">
        <v>28</v>
      </c>
      <c r="F4334" s="1">
        <v>428.48</v>
      </c>
      <c r="G4334" s="1">
        <v>-190.68</v>
      </c>
      <c r="H4334" s="1">
        <v>4.0</v>
      </c>
      <c r="I4334" s="1" t="s">
        <v>34</v>
      </c>
      <c r="J4334" s="1" t="s">
        <v>18</v>
      </c>
      <c r="K4334" s="1">
        <f t="shared" si="1"/>
        <v>2023</v>
      </c>
      <c r="L4334" s="1" t="str">
        <f t="shared" si="2"/>
        <v>Nov</v>
      </c>
      <c r="M4334" s="1" t="str">
        <f t="shared" si="3"/>
        <v>Loss</v>
      </c>
    </row>
    <row r="4335" ht="14.25" customHeight="1">
      <c r="A4335" s="1" t="s">
        <v>4369</v>
      </c>
      <c r="B4335" s="2">
        <v>45047.0</v>
      </c>
      <c r="C4335" s="1" t="s">
        <v>20</v>
      </c>
      <c r="D4335" s="1" t="s">
        <v>15</v>
      </c>
      <c r="E4335" s="1" t="s">
        <v>31</v>
      </c>
      <c r="F4335" s="1">
        <v>720.77</v>
      </c>
      <c r="G4335" s="1">
        <v>121.09</v>
      </c>
      <c r="H4335" s="1">
        <v>8.0</v>
      </c>
      <c r="I4335" s="1" t="s">
        <v>23</v>
      </c>
      <c r="J4335" s="1" t="s">
        <v>24</v>
      </c>
      <c r="K4335" s="1">
        <f t="shared" si="1"/>
        <v>2023</v>
      </c>
      <c r="L4335" s="1" t="str">
        <f t="shared" si="2"/>
        <v>May</v>
      </c>
      <c r="M4335" s="1" t="str">
        <f t="shared" si="3"/>
        <v>Profit</v>
      </c>
    </row>
    <row r="4336" ht="14.25" customHeight="1">
      <c r="A4336" s="1" t="s">
        <v>4370</v>
      </c>
      <c r="B4336" s="2">
        <v>44264.0</v>
      </c>
      <c r="C4336" s="1" t="s">
        <v>14</v>
      </c>
      <c r="D4336" s="1" t="s">
        <v>21</v>
      </c>
      <c r="E4336" s="1" t="s">
        <v>76</v>
      </c>
      <c r="F4336" s="1">
        <v>800.2</v>
      </c>
      <c r="G4336" s="1">
        <v>93.68</v>
      </c>
      <c r="H4336" s="1">
        <v>9.0</v>
      </c>
      <c r="I4336" s="1" t="s">
        <v>34</v>
      </c>
      <c r="J4336" s="1" t="s">
        <v>24</v>
      </c>
      <c r="K4336" s="1">
        <f t="shared" si="1"/>
        <v>2021</v>
      </c>
      <c r="L4336" s="1" t="str">
        <f t="shared" si="2"/>
        <v>Mar</v>
      </c>
      <c r="M4336" s="1" t="str">
        <f t="shared" si="3"/>
        <v>Profit</v>
      </c>
    </row>
    <row r="4337" ht="14.25" customHeight="1">
      <c r="A4337" s="1" t="s">
        <v>4371</v>
      </c>
      <c r="B4337" s="2">
        <v>44875.0</v>
      </c>
      <c r="C4337" s="1" t="s">
        <v>20</v>
      </c>
      <c r="D4337" s="1" t="s">
        <v>27</v>
      </c>
      <c r="E4337" s="1" t="s">
        <v>33</v>
      </c>
      <c r="F4337" s="1">
        <v>942.52</v>
      </c>
      <c r="G4337" s="1">
        <v>-136.86</v>
      </c>
      <c r="H4337" s="1">
        <v>8.0</v>
      </c>
      <c r="I4337" s="1" t="s">
        <v>34</v>
      </c>
      <c r="J4337" s="1" t="s">
        <v>35</v>
      </c>
      <c r="K4337" s="1">
        <f t="shared" si="1"/>
        <v>2022</v>
      </c>
      <c r="L4337" s="1" t="str">
        <f t="shared" si="2"/>
        <v>Nov</v>
      </c>
      <c r="M4337" s="1" t="str">
        <f t="shared" si="3"/>
        <v>Loss</v>
      </c>
    </row>
    <row r="4338" ht="14.25" customHeight="1">
      <c r="A4338" s="1" t="s">
        <v>4372</v>
      </c>
      <c r="B4338" s="2">
        <v>44986.0</v>
      </c>
      <c r="C4338" s="1" t="s">
        <v>14</v>
      </c>
      <c r="D4338" s="1" t="s">
        <v>21</v>
      </c>
      <c r="E4338" s="1" t="s">
        <v>37</v>
      </c>
      <c r="F4338" s="1">
        <v>915.35</v>
      </c>
      <c r="G4338" s="1">
        <v>48.23</v>
      </c>
      <c r="H4338" s="1">
        <v>1.0</v>
      </c>
      <c r="I4338" s="1" t="s">
        <v>23</v>
      </c>
      <c r="J4338" s="1" t="s">
        <v>18</v>
      </c>
      <c r="K4338" s="1">
        <f t="shared" si="1"/>
        <v>2023</v>
      </c>
      <c r="L4338" s="1" t="str">
        <f t="shared" si="2"/>
        <v>Mar</v>
      </c>
      <c r="M4338" s="1" t="str">
        <f t="shared" si="3"/>
        <v>Profit</v>
      </c>
    </row>
    <row r="4339" ht="14.25" customHeight="1">
      <c r="A4339" s="1" t="s">
        <v>4373</v>
      </c>
      <c r="B4339" s="2">
        <v>44954.0</v>
      </c>
      <c r="C4339" s="1" t="s">
        <v>20</v>
      </c>
      <c r="D4339" s="1" t="s">
        <v>15</v>
      </c>
      <c r="E4339" s="1" t="s">
        <v>16</v>
      </c>
      <c r="F4339" s="1">
        <v>295.54</v>
      </c>
      <c r="G4339" s="1">
        <v>-158.18</v>
      </c>
      <c r="H4339" s="1">
        <v>9.0</v>
      </c>
      <c r="I4339" s="1" t="s">
        <v>34</v>
      </c>
      <c r="J4339" s="1" t="s">
        <v>24</v>
      </c>
      <c r="K4339" s="1">
        <f t="shared" si="1"/>
        <v>2023</v>
      </c>
      <c r="L4339" s="1" t="str">
        <f t="shared" si="2"/>
        <v>Jan</v>
      </c>
      <c r="M4339" s="1" t="str">
        <f t="shared" si="3"/>
        <v>Loss</v>
      </c>
    </row>
    <row r="4340" ht="14.25" customHeight="1">
      <c r="A4340" s="1" t="s">
        <v>4374</v>
      </c>
      <c r="B4340" s="2">
        <v>44596.0</v>
      </c>
      <c r="C4340" s="1" t="s">
        <v>26</v>
      </c>
      <c r="D4340" s="1" t="s">
        <v>15</v>
      </c>
      <c r="E4340" s="1" t="s">
        <v>54</v>
      </c>
      <c r="F4340" s="1">
        <v>461.04</v>
      </c>
      <c r="G4340" s="1">
        <v>65.44</v>
      </c>
      <c r="H4340" s="1">
        <v>2.0</v>
      </c>
      <c r="I4340" s="1" t="s">
        <v>23</v>
      </c>
      <c r="J4340" s="1" t="s">
        <v>35</v>
      </c>
      <c r="K4340" s="1">
        <f t="shared" si="1"/>
        <v>2022</v>
      </c>
      <c r="L4340" s="1" t="str">
        <f t="shared" si="2"/>
        <v>Feb</v>
      </c>
      <c r="M4340" s="1" t="str">
        <f t="shared" si="3"/>
        <v>Profit</v>
      </c>
    </row>
    <row r="4341" ht="14.25" customHeight="1">
      <c r="A4341" s="1" t="s">
        <v>4375</v>
      </c>
      <c r="B4341" s="2">
        <v>44353.0</v>
      </c>
      <c r="C4341" s="1" t="s">
        <v>20</v>
      </c>
      <c r="D4341" s="1" t="s">
        <v>21</v>
      </c>
      <c r="E4341" s="1" t="s">
        <v>37</v>
      </c>
      <c r="F4341" s="1">
        <v>854.45</v>
      </c>
      <c r="G4341" s="1">
        <v>-114.22</v>
      </c>
      <c r="H4341" s="1">
        <v>5.0</v>
      </c>
      <c r="I4341" s="1" t="s">
        <v>23</v>
      </c>
      <c r="J4341" s="1" t="s">
        <v>24</v>
      </c>
      <c r="K4341" s="1">
        <f t="shared" si="1"/>
        <v>2021</v>
      </c>
      <c r="L4341" s="1" t="str">
        <f t="shared" si="2"/>
        <v>Jun</v>
      </c>
      <c r="M4341" s="1" t="str">
        <f t="shared" si="3"/>
        <v>Loss</v>
      </c>
    </row>
    <row r="4342" ht="14.25" customHeight="1">
      <c r="A4342" s="1" t="s">
        <v>4376</v>
      </c>
      <c r="B4342" s="2">
        <v>44962.0</v>
      </c>
      <c r="C4342" s="1" t="s">
        <v>14</v>
      </c>
      <c r="D4342" s="1" t="s">
        <v>27</v>
      </c>
      <c r="E4342" s="1" t="s">
        <v>28</v>
      </c>
      <c r="F4342" s="1">
        <v>176.84</v>
      </c>
      <c r="G4342" s="1">
        <v>210.78</v>
      </c>
      <c r="H4342" s="1">
        <v>2.0</v>
      </c>
      <c r="I4342" s="1" t="s">
        <v>23</v>
      </c>
      <c r="J4342" s="1" t="s">
        <v>35</v>
      </c>
      <c r="K4342" s="1">
        <f t="shared" si="1"/>
        <v>2023</v>
      </c>
      <c r="L4342" s="1" t="str">
        <f t="shared" si="2"/>
        <v>Feb</v>
      </c>
      <c r="M4342" s="1" t="str">
        <f t="shared" si="3"/>
        <v>Profit</v>
      </c>
    </row>
    <row r="4343" ht="14.25" customHeight="1">
      <c r="A4343" s="1" t="s">
        <v>4377</v>
      </c>
      <c r="B4343" s="2">
        <v>44743.0</v>
      </c>
      <c r="C4343" s="1" t="s">
        <v>26</v>
      </c>
      <c r="D4343" s="1" t="s">
        <v>15</v>
      </c>
      <c r="E4343" s="1" t="s">
        <v>54</v>
      </c>
      <c r="F4343" s="1">
        <v>331.06</v>
      </c>
      <c r="G4343" s="1">
        <v>125.27</v>
      </c>
      <c r="H4343" s="1">
        <v>3.0</v>
      </c>
      <c r="I4343" s="1" t="s">
        <v>23</v>
      </c>
      <c r="J4343" s="1" t="s">
        <v>24</v>
      </c>
      <c r="K4343" s="1">
        <f t="shared" si="1"/>
        <v>2022</v>
      </c>
      <c r="L4343" s="1" t="str">
        <f t="shared" si="2"/>
        <v>Jul</v>
      </c>
      <c r="M4343" s="1" t="str">
        <f t="shared" si="3"/>
        <v>Profit</v>
      </c>
    </row>
    <row r="4344" ht="14.25" customHeight="1">
      <c r="A4344" s="1" t="s">
        <v>4378</v>
      </c>
      <c r="B4344" s="2">
        <v>44686.0</v>
      </c>
      <c r="C4344" s="1" t="s">
        <v>30</v>
      </c>
      <c r="D4344" s="1" t="s">
        <v>15</v>
      </c>
      <c r="E4344" s="1" t="s">
        <v>16</v>
      </c>
      <c r="F4344" s="1">
        <v>787.35</v>
      </c>
      <c r="G4344" s="1">
        <v>-130.07</v>
      </c>
      <c r="H4344" s="1">
        <v>4.0</v>
      </c>
      <c r="I4344" s="1" t="s">
        <v>17</v>
      </c>
      <c r="J4344" s="1" t="s">
        <v>24</v>
      </c>
      <c r="K4344" s="1">
        <f t="shared" si="1"/>
        <v>2022</v>
      </c>
      <c r="L4344" s="1" t="str">
        <f t="shared" si="2"/>
        <v>May</v>
      </c>
      <c r="M4344" s="1" t="str">
        <f t="shared" si="3"/>
        <v>Loss</v>
      </c>
    </row>
    <row r="4345" ht="14.25" customHeight="1">
      <c r="A4345" s="1" t="s">
        <v>4379</v>
      </c>
      <c r="B4345" s="2">
        <v>45070.0</v>
      </c>
      <c r="C4345" s="1" t="s">
        <v>30</v>
      </c>
      <c r="D4345" s="1" t="s">
        <v>27</v>
      </c>
      <c r="E4345" s="1" t="s">
        <v>40</v>
      </c>
      <c r="F4345" s="1">
        <v>673.18</v>
      </c>
      <c r="G4345" s="1">
        <v>257.39</v>
      </c>
      <c r="H4345" s="1">
        <v>1.0</v>
      </c>
      <c r="I4345" s="1" t="s">
        <v>17</v>
      </c>
      <c r="J4345" s="1" t="s">
        <v>35</v>
      </c>
      <c r="K4345" s="1">
        <f t="shared" si="1"/>
        <v>2023</v>
      </c>
      <c r="L4345" s="1" t="str">
        <f t="shared" si="2"/>
        <v>May</v>
      </c>
      <c r="M4345" s="1" t="str">
        <f t="shared" si="3"/>
        <v>Profit</v>
      </c>
    </row>
    <row r="4346" ht="14.25" customHeight="1">
      <c r="A4346" s="1" t="s">
        <v>4380</v>
      </c>
      <c r="B4346" s="2">
        <v>45002.0</v>
      </c>
      <c r="C4346" s="1" t="s">
        <v>14</v>
      </c>
      <c r="D4346" s="1" t="s">
        <v>15</v>
      </c>
      <c r="E4346" s="1" t="s">
        <v>31</v>
      </c>
      <c r="F4346" s="1">
        <v>670.57</v>
      </c>
      <c r="G4346" s="1">
        <v>246.48</v>
      </c>
      <c r="H4346" s="1">
        <v>3.0</v>
      </c>
      <c r="I4346" s="1" t="s">
        <v>34</v>
      </c>
      <c r="J4346" s="1" t="s">
        <v>18</v>
      </c>
      <c r="K4346" s="1">
        <f t="shared" si="1"/>
        <v>2023</v>
      </c>
      <c r="L4346" s="1" t="str">
        <f t="shared" si="2"/>
        <v>Mar</v>
      </c>
      <c r="M4346" s="1" t="str">
        <f t="shared" si="3"/>
        <v>Profit</v>
      </c>
    </row>
    <row r="4347" ht="14.25" customHeight="1">
      <c r="A4347" s="1" t="s">
        <v>4381</v>
      </c>
      <c r="B4347" s="2">
        <v>45162.0</v>
      </c>
      <c r="C4347" s="1" t="s">
        <v>30</v>
      </c>
      <c r="D4347" s="1" t="s">
        <v>27</v>
      </c>
      <c r="E4347" s="1" t="s">
        <v>33</v>
      </c>
      <c r="F4347" s="1">
        <v>548.99</v>
      </c>
      <c r="G4347" s="1">
        <v>17.45</v>
      </c>
      <c r="H4347" s="1">
        <v>2.0</v>
      </c>
      <c r="I4347" s="1" t="s">
        <v>34</v>
      </c>
      <c r="J4347" s="1" t="s">
        <v>24</v>
      </c>
      <c r="K4347" s="1">
        <f t="shared" si="1"/>
        <v>2023</v>
      </c>
      <c r="L4347" s="1" t="str">
        <f t="shared" si="2"/>
        <v>Aug</v>
      </c>
      <c r="M4347" s="1" t="str">
        <f t="shared" si="3"/>
        <v>Profit</v>
      </c>
    </row>
    <row r="4348" ht="14.25" customHeight="1">
      <c r="A4348" s="1" t="s">
        <v>4382</v>
      </c>
      <c r="B4348" s="2">
        <v>44676.0</v>
      </c>
      <c r="C4348" s="1" t="s">
        <v>14</v>
      </c>
      <c r="D4348" s="1" t="s">
        <v>15</v>
      </c>
      <c r="E4348" s="1" t="s">
        <v>16</v>
      </c>
      <c r="F4348" s="1">
        <v>996.73</v>
      </c>
      <c r="G4348" s="1">
        <v>-172.39</v>
      </c>
      <c r="H4348" s="1">
        <v>5.0</v>
      </c>
      <c r="I4348" s="1" t="s">
        <v>34</v>
      </c>
      <c r="J4348" s="1" t="s">
        <v>18</v>
      </c>
      <c r="K4348" s="1">
        <f t="shared" si="1"/>
        <v>2022</v>
      </c>
      <c r="L4348" s="1" t="str">
        <f t="shared" si="2"/>
        <v>Apr</v>
      </c>
      <c r="M4348" s="1" t="str">
        <f t="shared" si="3"/>
        <v>Loss</v>
      </c>
    </row>
    <row r="4349" ht="14.25" customHeight="1">
      <c r="A4349" s="1" t="s">
        <v>4383</v>
      </c>
      <c r="B4349" s="2">
        <v>44979.0</v>
      </c>
      <c r="C4349" s="1" t="s">
        <v>20</v>
      </c>
      <c r="D4349" s="1" t="s">
        <v>21</v>
      </c>
      <c r="E4349" s="1" t="s">
        <v>37</v>
      </c>
      <c r="F4349" s="1">
        <v>626.51</v>
      </c>
      <c r="G4349" s="1">
        <v>-143.57</v>
      </c>
      <c r="H4349" s="1">
        <v>9.0</v>
      </c>
      <c r="I4349" s="1" t="s">
        <v>34</v>
      </c>
      <c r="J4349" s="1" t="s">
        <v>24</v>
      </c>
      <c r="K4349" s="1">
        <f t="shared" si="1"/>
        <v>2023</v>
      </c>
      <c r="L4349" s="1" t="str">
        <f t="shared" si="2"/>
        <v>Feb</v>
      </c>
      <c r="M4349" s="1" t="str">
        <f t="shared" si="3"/>
        <v>Loss</v>
      </c>
    </row>
    <row r="4350" ht="14.25" customHeight="1">
      <c r="A4350" s="1" t="s">
        <v>4384</v>
      </c>
      <c r="B4350" s="2">
        <v>44922.0</v>
      </c>
      <c r="C4350" s="1" t="s">
        <v>20</v>
      </c>
      <c r="D4350" s="1" t="s">
        <v>21</v>
      </c>
      <c r="E4350" s="1" t="s">
        <v>22</v>
      </c>
      <c r="F4350" s="1">
        <v>490.98</v>
      </c>
      <c r="G4350" s="1">
        <v>-122.36</v>
      </c>
      <c r="H4350" s="1">
        <v>6.0</v>
      </c>
      <c r="I4350" s="1" t="s">
        <v>23</v>
      </c>
      <c r="J4350" s="1" t="s">
        <v>24</v>
      </c>
      <c r="K4350" s="1">
        <f t="shared" si="1"/>
        <v>2022</v>
      </c>
      <c r="L4350" s="1" t="str">
        <f t="shared" si="2"/>
        <v>Dec</v>
      </c>
      <c r="M4350" s="1" t="str">
        <f t="shared" si="3"/>
        <v>Loss</v>
      </c>
    </row>
    <row r="4351" ht="14.25" customHeight="1">
      <c r="A4351" s="1" t="s">
        <v>4385</v>
      </c>
      <c r="B4351" s="2">
        <v>44449.0</v>
      </c>
      <c r="C4351" s="1" t="s">
        <v>14</v>
      </c>
      <c r="D4351" s="1" t="s">
        <v>27</v>
      </c>
      <c r="E4351" s="1" t="s">
        <v>28</v>
      </c>
      <c r="F4351" s="1">
        <v>590.62</v>
      </c>
      <c r="G4351" s="1">
        <v>43.77</v>
      </c>
      <c r="H4351" s="1">
        <v>8.0</v>
      </c>
      <c r="I4351" s="1" t="s">
        <v>17</v>
      </c>
      <c r="J4351" s="1" t="s">
        <v>38</v>
      </c>
      <c r="K4351" s="1">
        <f t="shared" si="1"/>
        <v>2021</v>
      </c>
      <c r="L4351" s="1" t="str">
        <f t="shared" si="2"/>
        <v>Sep</v>
      </c>
      <c r="M4351" s="1" t="str">
        <f t="shared" si="3"/>
        <v>Profit</v>
      </c>
    </row>
    <row r="4352" ht="14.25" customHeight="1">
      <c r="A4352" s="1" t="s">
        <v>4386</v>
      </c>
      <c r="B4352" s="2">
        <v>44644.0</v>
      </c>
      <c r="C4352" s="1" t="s">
        <v>14</v>
      </c>
      <c r="D4352" s="1" t="s">
        <v>21</v>
      </c>
      <c r="E4352" s="1" t="s">
        <v>22</v>
      </c>
      <c r="F4352" s="1">
        <v>810.96</v>
      </c>
      <c r="G4352" s="1">
        <v>60.09</v>
      </c>
      <c r="H4352" s="1">
        <v>8.0</v>
      </c>
      <c r="I4352" s="1" t="s">
        <v>23</v>
      </c>
      <c r="J4352" s="1" t="s">
        <v>18</v>
      </c>
      <c r="K4352" s="1">
        <f t="shared" si="1"/>
        <v>2022</v>
      </c>
      <c r="L4352" s="1" t="str">
        <f t="shared" si="2"/>
        <v>Mar</v>
      </c>
      <c r="M4352" s="1" t="str">
        <f t="shared" si="3"/>
        <v>Profit</v>
      </c>
    </row>
    <row r="4353" ht="14.25" customHeight="1">
      <c r="A4353" s="1" t="s">
        <v>4387</v>
      </c>
      <c r="B4353" s="2">
        <v>45136.0</v>
      </c>
      <c r="C4353" s="1" t="s">
        <v>14</v>
      </c>
      <c r="D4353" s="1" t="s">
        <v>21</v>
      </c>
      <c r="E4353" s="1" t="s">
        <v>76</v>
      </c>
      <c r="F4353" s="1">
        <v>185.11</v>
      </c>
      <c r="G4353" s="1">
        <v>78.76</v>
      </c>
      <c r="H4353" s="1">
        <v>1.0</v>
      </c>
      <c r="I4353" s="1" t="s">
        <v>23</v>
      </c>
      <c r="J4353" s="1" t="s">
        <v>38</v>
      </c>
      <c r="K4353" s="1">
        <f t="shared" si="1"/>
        <v>2023</v>
      </c>
      <c r="L4353" s="1" t="str">
        <f t="shared" si="2"/>
        <v>Jul</v>
      </c>
      <c r="M4353" s="1" t="str">
        <f t="shared" si="3"/>
        <v>Profit</v>
      </c>
    </row>
    <row r="4354" ht="14.25" customHeight="1">
      <c r="A4354" s="1" t="s">
        <v>4388</v>
      </c>
      <c r="B4354" s="2">
        <v>44473.0</v>
      </c>
      <c r="C4354" s="1" t="s">
        <v>20</v>
      </c>
      <c r="D4354" s="1" t="s">
        <v>21</v>
      </c>
      <c r="E4354" s="1" t="s">
        <v>76</v>
      </c>
      <c r="F4354" s="1">
        <v>882.86</v>
      </c>
      <c r="G4354" s="1">
        <v>221.61</v>
      </c>
      <c r="H4354" s="1">
        <v>2.0</v>
      </c>
      <c r="I4354" s="1" t="s">
        <v>34</v>
      </c>
      <c r="J4354" s="1" t="s">
        <v>18</v>
      </c>
      <c r="K4354" s="1">
        <f t="shared" si="1"/>
        <v>2021</v>
      </c>
      <c r="L4354" s="1" t="str">
        <f t="shared" si="2"/>
        <v>Oct</v>
      </c>
      <c r="M4354" s="1" t="str">
        <f t="shared" si="3"/>
        <v>Profit</v>
      </c>
    </row>
    <row r="4355" ht="14.25" customHeight="1">
      <c r="A4355" s="1" t="s">
        <v>4389</v>
      </c>
      <c r="B4355" s="2">
        <v>44307.0</v>
      </c>
      <c r="C4355" s="1" t="s">
        <v>20</v>
      </c>
      <c r="D4355" s="1" t="s">
        <v>21</v>
      </c>
      <c r="E4355" s="1" t="s">
        <v>22</v>
      </c>
      <c r="F4355" s="1">
        <v>227.21</v>
      </c>
      <c r="G4355" s="1">
        <v>150.13</v>
      </c>
      <c r="H4355" s="1">
        <v>4.0</v>
      </c>
      <c r="I4355" s="1" t="s">
        <v>23</v>
      </c>
      <c r="J4355" s="1" t="s">
        <v>18</v>
      </c>
      <c r="K4355" s="1">
        <f t="shared" si="1"/>
        <v>2021</v>
      </c>
      <c r="L4355" s="1" t="str">
        <f t="shared" si="2"/>
        <v>Apr</v>
      </c>
      <c r="M4355" s="1" t="str">
        <f t="shared" si="3"/>
        <v>Profit</v>
      </c>
    </row>
    <row r="4356" ht="14.25" customHeight="1">
      <c r="A4356" s="1" t="s">
        <v>4390</v>
      </c>
      <c r="B4356" s="2">
        <v>44941.0</v>
      </c>
      <c r="C4356" s="1" t="s">
        <v>26</v>
      </c>
      <c r="D4356" s="1" t="s">
        <v>15</v>
      </c>
      <c r="E4356" s="1" t="s">
        <v>54</v>
      </c>
      <c r="F4356" s="1">
        <v>243.86</v>
      </c>
      <c r="G4356" s="1">
        <v>-156.39</v>
      </c>
      <c r="H4356" s="1">
        <v>5.0</v>
      </c>
      <c r="I4356" s="1" t="s">
        <v>23</v>
      </c>
      <c r="J4356" s="1" t="s">
        <v>35</v>
      </c>
      <c r="K4356" s="1">
        <f t="shared" si="1"/>
        <v>2023</v>
      </c>
      <c r="L4356" s="1" t="str">
        <f t="shared" si="2"/>
        <v>Jan</v>
      </c>
      <c r="M4356" s="1" t="str">
        <f t="shared" si="3"/>
        <v>Loss</v>
      </c>
    </row>
    <row r="4357" ht="14.25" customHeight="1">
      <c r="A4357" s="1" t="s">
        <v>4391</v>
      </c>
      <c r="B4357" s="2">
        <v>44809.0</v>
      </c>
      <c r="C4357" s="1" t="s">
        <v>20</v>
      </c>
      <c r="D4357" s="1" t="s">
        <v>15</v>
      </c>
      <c r="E4357" s="1" t="s">
        <v>16</v>
      </c>
      <c r="F4357" s="1">
        <v>736.6</v>
      </c>
      <c r="G4357" s="1">
        <v>117.77</v>
      </c>
      <c r="H4357" s="1">
        <v>3.0</v>
      </c>
      <c r="I4357" s="1" t="s">
        <v>17</v>
      </c>
      <c r="J4357" s="1" t="s">
        <v>38</v>
      </c>
      <c r="K4357" s="1">
        <f t="shared" si="1"/>
        <v>2022</v>
      </c>
      <c r="L4357" s="1" t="str">
        <f t="shared" si="2"/>
        <v>Sep</v>
      </c>
      <c r="M4357" s="1" t="str">
        <f t="shared" si="3"/>
        <v>Profit</v>
      </c>
    </row>
    <row r="4358" ht="14.25" customHeight="1">
      <c r="A4358" s="1" t="s">
        <v>4392</v>
      </c>
      <c r="B4358" s="2">
        <v>45183.0</v>
      </c>
      <c r="C4358" s="1" t="s">
        <v>14</v>
      </c>
      <c r="D4358" s="1" t="s">
        <v>21</v>
      </c>
      <c r="E4358" s="1" t="s">
        <v>76</v>
      </c>
      <c r="F4358" s="1">
        <v>657.18</v>
      </c>
      <c r="G4358" s="1">
        <v>104.47</v>
      </c>
      <c r="H4358" s="1">
        <v>3.0</v>
      </c>
      <c r="I4358" s="1" t="s">
        <v>17</v>
      </c>
      <c r="J4358" s="1" t="s">
        <v>24</v>
      </c>
      <c r="K4358" s="1">
        <f t="shared" si="1"/>
        <v>2023</v>
      </c>
      <c r="L4358" s="1" t="str">
        <f t="shared" si="2"/>
        <v>Sep</v>
      </c>
      <c r="M4358" s="1" t="str">
        <f t="shared" si="3"/>
        <v>Profit</v>
      </c>
    </row>
    <row r="4359" ht="14.25" customHeight="1">
      <c r="A4359" s="1" t="s">
        <v>4393</v>
      </c>
      <c r="B4359" s="2">
        <v>44621.0</v>
      </c>
      <c r="C4359" s="1" t="s">
        <v>20</v>
      </c>
      <c r="D4359" s="1" t="s">
        <v>15</v>
      </c>
      <c r="E4359" s="1" t="s">
        <v>31</v>
      </c>
      <c r="F4359" s="1">
        <v>304.7</v>
      </c>
      <c r="G4359" s="1">
        <v>235.42</v>
      </c>
      <c r="H4359" s="1">
        <v>9.0</v>
      </c>
      <c r="I4359" s="1" t="s">
        <v>23</v>
      </c>
      <c r="J4359" s="1" t="s">
        <v>18</v>
      </c>
      <c r="K4359" s="1">
        <f t="shared" si="1"/>
        <v>2022</v>
      </c>
      <c r="L4359" s="1" t="str">
        <f t="shared" si="2"/>
        <v>Mar</v>
      </c>
      <c r="M4359" s="1" t="str">
        <f t="shared" si="3"/>
        <v>Profit</v>
      </c>
    </row>
    <row r="4360" ht="14.25" customHeight="1">
      <c r="A4360" s="1" t="s">
        <v>4394</v>
      </c>
      <c r="B4360" s="2">
        <v>44289.0</v>
      </c>
      <c r="C4360" s="1" t="s">
        <v>26</v>
      </c>
      <c r="D4360" s="1" t="s">
        <v>27</v>
      </c>
      <c r="E4360" s="1" t="s">
        <v>40</v>
      </c>
      <c r="F4360" s="1">
        <v>978.2</v>
      </c>
      <c r="G4360" s="1">
        <v>21.54</v>
      </c>
      <c r="H4360" s="1">
        <v>10.0</v>
      </c>
      <c r="I4360" s="1" t="s">
        <v>23</v>
      </c>
      <c r="J4360" s="1" t="s">
        <v>18</v>
      </c>
      <c r="K4360" s="1">
        <f t="shared" si="1"/>
        <v>2021</v>
      </c>
      <c r="L4360" s="1" t="str">
        <f t="shared" si="2"/>
        <v>Apr</v>
      </c>
      <c r="M4360" s="1" t="str">
        <f t="shared" si="3"/>
        <v>Profit</v>
      </c>
    </row>
    <row r="4361" ht="14.25" customHeight="1">
      <c r="A4361" s="1" t="s">
        <v>4395</v>
      </c>
      <c r="B4361" s="2">
        <v>44443.0</v>
      </c>
      <c r="C4361" s="1" t="s">
        <v>20</v>
      </c>
      <c r="D4361" s="1" t="s">
        <v>15</v>
      </c>
      <c r="E4361" s="1" t="s">
        <v>16</v>
      </c>
      <c r="F4361" s="1">
        <v>559.8</v>
      </c>
      <c r="G4361" s="1">
        <v>88.26</v>
      </c>
      <c r="H4361" s="1">
        <v>9.0</v>
      </c>
      <c r="I4361" s="1" t="s">
        <v>17</v>
      </c>
      <c r="J4361" s="1" t="s">
        <v>18</v>
      </c>
      <c r="K4361" s="1">
        <f t="shared" si="1"/>
        <v>2021</v>
      </c>
      <c r="L4361" s="1" t="str">
        <f t="shared" si="2"/>
        <v>Sep</v>
      </c>
      <c r="M4361" s="1" t="str">
        <f t="shared" si="3"/>
        <v>Profit</v>
      </c>
    </row>
    <row r="4362" ht="14.25" customHeight="1">
      <c r="A4362" s="1" t="s">
        <v>4396</v>
      </c>
      <c r="B4362" s="2">
        <v>44280.0</v>
      </c>
      <c r="C4362" s="1" t="s">
        <v>20</v>
      </c>
      <c r="D4362" s="1" t="s">
        <v>27</v>
      </c>
      <c r="E4362" s="1" t="s">
        <v>40</v>
      </c>
      <c r="F4362" s="1">
        <v>522.92</v>
      </c>
      <c r="G4362" s="1">
        <v>91.93</v>
      </c>
      <c r="H4362" s="1">
        <v>3.0</v>
      </c>
      <c r="I4362" s="1" t="s">
        <v>23</v>
      </c>
      <c r="J4362" s="1" t="s">
        <v>18</v>
      </c>
      <c r="K4362" s="1">
        <f t="shared" si="1"/>
        <v>2021</v>
      </c>
      <c r="L4362" s="1" t="str">
        <f t="shared" si="2"/>
        <v>Mar</v>
      </c>
      <c r="M4362" s="1" t="str">
        <f t="shared" si="3"/>
        <v>Profit</v>
      </c>
    </row>
    <row r="4363" ht="14.25" customHeight="1">
      <c r="A4363" s="1" t="s">
        <v>4397</v>
      </c>
      <c r="B4363" s="2">
        <v>44261.0</v>
      </c>
      <c r="C4363" s="1" t="s">
        <v>30</v>
      </c>
      <c r="D4363" s="1" t="s">
        <v>27</v>
      </c>
      <c r="E4363" s="1" t="s">
        <v>40</v>
      </c>
      <c r="F4363" s="1">
        <v>70.9</v>
      </c>
      <c r="G4363" s="1">
        <v>-53.82</v>
      </c>
      <c r="H4363" s="1">
        <v>3.0</v>
      </c>
      <c r="I4363" s="1" t="s">
        <v>34</v>
      </c>
      <c r="J4363" s="1" t="s">
        <v>18</v>
      </c>
      <c r="K4363" s="1">
        <f t="shared" si="1"/>
        <v>2021</v>
      </c>
      <c r="L4363" s="1" t="str">
        <f t="shared" si="2"/>
        <v>Mar</v>
      </c>
      <c r="M4363" s="1" t="str">
        <f t="shared" si="3"/>
        <v>Loss</v>
      </c>
    </row>
    <row r="4364" ht="14.25" customHeight="1">
      <c r="A4364" s="1" t="s">
        <v>4398</v>
      </c>
      <c r="B4364" s="2">
        <v>44795.0</v>
      </c>
      <c r="C4364" s="1" t="s">
        <v>26</v>
      </c>
      <c r="D4364" s="1" t="s">
        <v>21</v>
      </c>
      <c r="E4364" s="1" t="s">
        <v>22</v>
      </c>
      <c r="F4364" s="1">
        <v>540.86</v>
      </c>
      <c r="G4364" s="1">
        <v>234.6</v>
      </c>
      <c r="H4364" s="1">
        <v>10.0</v>
      </c>
      <c r="I4364" s="1" t="s">
        <v>17</v>
      </c>
      <c r="J4364" s="1" t="s">
        <v>24</v>
      </c>
      <c r="K4364" s="1">
        <f t="shared" si="1"/>
        <v>2022</v>
      </c>
      <c r="L4364" s="1" t="str">
        <f t="shared" si="2"/>
        <v>Aug</v>
      </c>
      <c r="M4364" s="1" t="str">
        <f t="shared" si="3"/>
        <v>Profit</v>
      </c>
    </row>
    <row r="4365" ht="14.25" customHeight="1">
      <c r="A4365" s="1" t="s">
        <v>4399</v>
      </c>
      <c r="B4365" s="2">
        <v>45139.0</v>
      </c>
      <c r="C4365" s="1" t="s">
        <v>14</v>
      </c>
      <c r="D4365" s="1" t="s">
        <v>21</v>
      </c>
      <c r="E4365" s="1" t="s">
        <v>22</v>
      </c>
      <c r="F4365" s="1">
        <v>617.02</v>
      </c>
      <c r="G4365" s="1">
        <v>68.77</v>
      </c>
      <c r="H4365" s="1">
        <v>2.0</v>
      </c>
      <c r="I4365" s="1" t="s">
        <v>17</v>
      </c>
      <c r="J4365" s="1" t="s">
        <v>38</v>
      </c>
      <c r="K4365" s="1">
        <f t="shared" si="1"/>
        <v>2023</v>
      </c>
      <c r="L4365" s="1" t="str">
        <f t="shared" si="2"/>
        <v>Aug</v>
      </c>
      <c r="M4365" s="1" t="str">
        <f t="shared" si="3"/>
        <v>Profit</v>
      </c>
    </row>
    <row r="4366" ht="14.25" customHeight="1">
      <c r="A4366" s="1" t="s">
        <v>4400</v>
      </c>
      <c r="B4366" s="2">
        <v>44684.0</v>
      </c>
      <c r="C4366" s="1" t="s">
        <v>14</v>
      </c>
      <c r="D4366" s="1" t="s">
        <v>27</v>
      </c>
      <c r="E4366" s="1" t="s">
        <v>28</v>
      </c>
      <c r="F4366" s="1">
        <v>931.7</v>
      </c>
      <c r="G4366" s="1">
        <v>-104.93</v>
      </c>
      <c r="H4366" s="1">
        <v>8.0</v>
      </c>
      <c r="I4366" s="1" t="s">
        <v>23</v>
      </c>
      <c r="J4366" s="1" t="s">
        <v>18</v>
      </c>
      <c r="K4366" s="1">
        <f t="shared" si="1"/>
        <v>2022</v>
      </c>
      <c r="L4366" s="1" t="str">
        <f t="shared" si="2"/>
        <v>May</v>
      </c>
      <c r="M4366" s="1" t="str">
        <f t="shared" si="3"/>
        <v>Loss</v>
      </c>
    </row>
    <row r="4367" ht="14.25" customHeight="1">
      <c r="A4367" s="1" t="s">
        <v>4401</v>
      </c>
      <c r="B4367" s="2">
        <v>44469.0</v>
      </c>
      <c r="C4367" s="1" t="s">
        <v>20</v>
      </c>
      <c r="D4367" s="1" t="s">
        <v>27</v>
      </c>
      <c r="E4367" s="1" t="s">
        <v>40</v>
      </c>
      <c r="F4367" s="1">
        <v>979.29</v>
      </c>
      <c r="G4367" s="1">
        <v>-86.8</v>
      </c>
      <c r="H4367" s="1">
        <v>3.0</v>
      </c>
      <c r="I4367" s="1" t="s">
        <v>23</v>
      </c>
      <c r="J4367" s="1" t="s">
        <v>35</v>
      </c>
      <c r="K4367" s="1">
        <f t="shared" si="1"/>
        <v>2021</v>
      </c>
      <c r="L4367" s="1" t="str">
        <f t="shared" si="2"/>
        <v>Sep</v>
      </c>
      <c r="M4367" s="1" t="str">
        <f t="shared" si="3"/>
        <v>Loss</v>
      </c>
    </row>
    <row r="4368" ht="14.25" customHeight="1">
      <c r="A4368" s="1" t="s">
        <v>4402</v>
      </c>
      <c r="B4368" s="2">
        <v>44521.0</v>
      </c>
      <c r="C4368" s="1" t="s">
        <v>30</v>
      </c>
      <c r="D4368" s="1" t="s">
        <v>21</v>
      </c>
      <c r="E4368" s="1" t="s">
        <v>76</v>
      </c>
      <c r="F4368" s="1">
        <v>266.69</v>
      </c>
      <c r="G4368" s="1">
        <v>241.69</v>
      </c>
      <c r="H4368" s="1">
        <v>9.0</v>
      </c>
      <c r="I4368" s="1" t="s">
        <v>17</v>
      </c>
      <c r="J4368" s="1" t="s">
        <v>35</v>
      </c>
      <c r="K4368" s="1">
        <f t="shared" si="1"/>
        <v>2021</v>
      </c>
      <c r="L4368" s="1" t="str">
        <f t="shared" si="2"/>
        <v>Nov</v>
      </c>
      <c r="M4368" s="1" t="str">
        <f t="shared" si="3"/>
        <v>Profit</v>
      </c>
    </row>
    <row r="4369" ht="14.25" customHeight="1">
      <c r="A4369" s="1" t="s">
        <v>4403</v>
      </c>
      <c r="B4369" s="2">
        <v>44885.0</v>
      </c>
      <c r="C4369" s="1" t="s">
        <v>14</v>
      </c>
      <c r="D4369" s="1" t="s">
        <v>27</v>
      </c>
      <c r="E4369" s="1" t="s">
        <v>33</v>
      </c>
      <c r="F4369" s="1">
        <v>174.53</v>
      </c>
      <c r="G4369" s="1">
        <v>-45.16</v>
      </c>
      <c r="H4369" s="1">
        <v>7.0</v>
      </c>
      <c r="I4369" s="1" t="s">
        <v>34</v>
      </c>
      <c r="J4369" s="1" t="s">
        <v>24</v>
      </c>
      <c r="K4369" s="1">
        <f t="shared" si="1"/>
        <v>2022</v>
      </c>
      <c r="L4369" s="1" t="str">
        <f t="shared" si="2"/>
        <v>Nov</v>
      </c>
      <c r="M4369" s="1" t="str">
        <f t="shared" si="3"/>
        <v>Loss</v>
      </c>
    </row>
    <row r="4370" ht="14.25" customHeight="1">
      <c r="A4370" s="1" t="s">
        <v>4404</v>
      </c>
      <c r="B4370" s="2">
        <v>44295.0</v>
      </c>
      <c r="C4370" s="1" t="s">
        <v>14</v>
      </c>
      <c r="D4370" s="1" t="s">
        <v>27</v>
      </c>
      <c r="E4370" s="1" t="s">
        <v>33</v>
      </c>
      <c r="F4370" s="1">
        <v>162.96</v>
      </c>
      <c r="G4370" s="1">
        <v>50.71</v>
      </c>
      <c r="H4370" s="1">
        <v>4.0</v>
      </c>
      <c r="I4370" s="1" t="s">
        <v>17</v>
      </c>
      <c r="J4370" s="1" t="s">
        <v>18</v>
      </c>
      <c r="K4370" s="1">
        <f t="shared" si="1"/>
        <v>2021</v>
      </c>
      <c r="L4370" s="1" t="str">
        <f t="shared" si="2"/>
        <v>Apr</v>
      </c>
      <c r="M4370" s="1" t="str">
        <f t="shared" si="3"/>
        <v>Profit</v>
      </c>
    </row>
    <row r="4371" ht="14.25" customHeight="1">
      <c r="A4371" s="1" t="s">
        <v>4405</v>
      </c>
      <c r="B4371" s="2">
        <v>44314.0</v>
      </c>
      <c r="C4371" s="1" t="s">
        <v>20</v>
      </c>
      <c r="D4371" s="1" t="s">
        <v>15</v>
      </c>
      <c r="E4371" s="1" t="s">
        <v>16</v>
      </c>
      <c r="F4371" s="1">
        <v>241.43</v>
      </c>
      <c r="G4371" s="1">
        <v>272.85</v>
      </c>
      <c r="H4371" s="1">
        <v>6.0</v>
      </c>
      <c r="I4371" s="1" t="s">
        <v>23</v>
      </c>
      <c r="J4371" s="1" t="s">
        <v>24</v>
      </c>
      <c r="K4371" s="1">
        <f t="shared" si="1"/>
        <v>2021</v>
      </c>
      <c r="L4371" s="1" t="str">
        <f t="shared" si="2"/>
        <v>Apr</v>
      </c>
      <c r="M4371" s="1" t="str">
        <f t="shared" si="3"/>
        <v>Profit</v>
      </c>
    </row>
    <row r="4372" ht="14.25" customHeight="1">
      <c r="A4372" s="1" t="s">
        <v>4406</v>
      </c>
      <c r="B4372" s="2">
        <v>45221.0</v>
      </c>
      <c r="C4372" s="1" t="s">
        <v>30</v>
      </c>
      <c r="D4372" s="1" t="s">
        <v>15</v>
      </c>
      <c r="E4372" s="1" t="s">
        <v>16</v>
      </c>
      <c r="F4372" s="1">
        <v>491.89</v>
      </c>
      <c r="G4372" s="1">
        <v>-1.79</v>
      </c>
      <c r="H4372" s="1">
        <v>8.0</v>
      </c>
      <c r="I4372" s="1" t="s">
        <v>34</v>
      </c>
      <c r="J4372" s="1" t="s">
        <v>24</v>
      </c>
      <c r="K4372" s="1">
        <f t="shared" si="1"/>
        <v>2023</v>
      </c>
      <c r="L4372" s="1" t="str">
        <f t="shared" si="2"/>
        <v>Oct</v>
      </c>
      <c r="M4372" s="1" t="str">
        <f t="shared" si="3"/>
        <v>Loss</v>
      </c>
    </row>
    <row r="4373" ht="14.25" customHeight="1">
      <c r="A4373" s="1" t="s">
        <v>4407</v>
      </c>
      <c r="B4373" s="2">
        <v>44505.0</v>
      </c>
      <c r="C4373" s="1" t="s">
        <v>30</v>
      </c>
      <c r="D4373" s="1" t="s">
        <v>21</v>
      </c>
      <c r="E4373" s="1" t="s">
        <v>22</v>
      </c>
      <c r="F4373" s="1">
        <v>195.35</v>
      </c>
      <c r="G4373" s="1">
        <v>49.47</v>
      </c>
      <c r="H4373" s="1">
        <v>5.0</v>
      </c>
      <c r="I4373" s="1" t="s">
        <v>34</v>
      </c>
      <c r="J4373" s="1" t="s">
        <v>24</v>
      </c>
      <c r="K4373" s="1">
        <f t="shared" si="1"/>
        <v>2021</v>
      </c>
      <c r="L4373" s="1" t="str">
        <f t="shared" si="2"/>
        <v>Nov</v>
      </c>
      <c r="M4373" s="1" t="str">
        <f t="shared" si="3"/>
        <v>Profit</v>
      </c>
    </row>
    <row r="4374" ht="14.25" customHeight="1">
      <c r="A4374" s="1" t="s">
        <v>4408</v>
      </c>
      <c r="B4374" s="2">
        <v>45132.0</v>
      </c>
      <c r="C4374" s="1" t="s">
        <v>30</v>
      </c>
      <c r="D4374" s="1" t="s">
        <v>27</v>
      </c>
      <c r="E4374" s="1" t="s">
        <v>33</v>
      </c>
      <c r="F4374" s="1">
        <v>473.06</v>
      </c>
      <c r="G4374" s="1">
        <v>126.23</v>
      </c>
      <c r="H4374" s="1">
        <v>5.0</v>
      </c>
      <c r="I4374" s="1" t="s">
        <v>34</v>
      </c>
      <c r="J4374" s="1" t="s">
        <v>38</v>
      </c>
      <c r="K4374" s="1">
        <f t="shared" si="1"/>
        <v>2023</v>
      </c>
      <c r="L4374" s="1" t="str">
        <f t="shared" si="2"/>
        <v>Jul</v>
      </c>
      <c r="M4374" s="1" t="str">
        <f t="shared" si="3"/>
        <v>Profit</v>
      </c>
    </row>
    <row r="4375" ht="14.25" customHeight="1">
      <c r="A4375" s="1" t="s">
        <v>4409</v>
      </c>
      <c r="B4375" s="2">
        <v>44940.0</v>
      </c>
      <c r="C4375" s="1" t="s">
        <v>20</v>
      </c>
      <c r="D4375" s="1" t="s">
        <v>21</v>
      </c>
      <c r="E4375" s="1" t="s">
        <v>22</v>
      </c>
      <c r="F4375" s="1">
        <v>773.96</v>
      </c>
      <c r="G4375" s="1">
        <v>191.49</v>
      </c>
      <c r="H4375" s="1">
        <v>10.0</v>
      </c>
      <c r="I4375" s="1" t="s">
        <v>23</v>
      </c>
      <c r="J4375" s="1" t="s">
        <v>24</v>
      </c>
      <c r="K4375" s="1">
        <f t="shared" si="1"/>
        <v>2023</v>
      </c>
      <c r="L4375" s="1" t="str">
        <f t="shared" si="2"/>
        <v>Jan</v>
      </c>
      <c r="M4375" s="1" t="str">
        <f t="shared" si="3"/>
        <v>Profit</v>
      </c>
    </row>
    <row r="4376" ht="14.25" customHeight="1">
      <c r="A4376" s="1" t="s">
        <v>4410</v>
      </c>
      <c r="B4376" s="2">
        <v>44933.0</v>
      </c>
      <c r="C4376" s="1" t="s">
        <v>20</v>
      </c>
      <c r="D4376" s="1" t="s">
        <v>15</v>
      </c>
      <c r="E4376" s="1" t="s">
        <v>54</v>
      </c>
      <c r="F4376" s="1">
        <v>230.47</v>
      </c>
      <c r="G4376" s="1">
        <v>-5.49</v>
      </c>
      <c r="H4376" s="1">
        <v>2.0</v>
      </c>
      <c r="I4376" s="1" t="s">
        <v>34</v>
      </c>
      <c r="J4376" s="1" t="s">
        <v>24</v>
      </c>
      <c r="K4376" s="1">
        <f t="shared" si="1"/>
        <v>2023</v>
      </c>
      <c r="L4376" s="1" t="str">
        <f t="shared" si="2"/>
        <v>Jan</v>
      </c>
      <c r="M4376" s="1" t="str">
        <f t="shared" si="3"/>
        <v>Loss</v>
      </c>
    </row>
    <row r="4377" ht="14.25" customHeight="1">
      <c r="A4377" s="1" t="s">
        <v>4411</v>
      </c>
      <c r="B4377" s="2">
        <v>44206.0</v>
      </c>
      <c r="C4377" s="1" t="s">
        <v>14</v>
      </c>
      <c r="D4377" s="1" t="s">
        <v>15</v>
      </c>
      <c r="E4377" s="1" t="s">
        <v>54</v>
      </c>
      <c r="F4377" s="1">
        <v>247.71</v>
      </c>
      <c r="G4377" s="1">
        <v>106.01</v>
      </c>
      <c r="H4377" s="1">
        <v>2.0</v>
      </c>
      <c r="I4377" s="1" t="s">
        <v>23</v>
      </c>
      <c r="J4377" s="1" t="s">
        <v>24</v>
      </c>
      <c r="K4377" s="1">
        <f t="shared" si="1"/>
        <v>2021</v>
      </c>
      <c r="L4377" s="1" t="str">
        <f t="shared" si="2"/>
        <v>Jan</v>
      </c>
      <c r="M4377" s="1" t="str">
        <f t="shared" si="3"/>
        <v>Profit</v>
      </c>
    </row>
    <row r="4378" ht="14.25" customHeight="1">
      <c r="A4378" s="1" t="s">
        <v>4412</v>
      </c>
      <c r="B4378" s="2">
        <v>44916.0</v>
      </c>
      <c r="C4378" s="1" t="s">
        <v>30</v>
      </c>
      <c r="D4378" s="1" t="s">
        <v>27</v>
      </c>
      <c r="E4378" s="1" t="s">
        <v>33</v>
      </c>
      <c r="F4378" s="1">
        <v>187.01</v>
      </c>
      <c r="G4378" s="1">
        <v>282.03</v>
      </c>
      <c r="H4378" s="1">
        <v>8.0</v>
      </c>
      <c r="I4378" s="1" t="s">
        <v>17</v>
      </c>
      <c r="J4378" s="1" t="s">
        <v>35</v>
      </c>
      <c r="K4378" s="1">
        <f t="shared" si="1"/>
        <v>2022</v>
      </c>
      <c r="L4378" s="1" t="str">
        <f t="shared" si="2"/>
        <v>Dec</v>
      </c>
      <c r="M4378" s="1" t="str">
        <f t="shared" si="3"/>
        <v>Profit</v>
      </c>
    </row>
    <row r="4379" ht="14.25" customHeight="1">
      <c r="A4379" s="1" t="s">
        <v>4413</v>
      </c>
      <c r="B4379" s="2">
        <v>45109.0</v>
      </c>
      <c r="C4379" s="1" t="s">
        <v>26</v>
      </c>
      <c r="D4379" s="1" t="s">
        <v>15</v>
      </c>
      <c r="E4379" s="1" t="s">
        <v>16</v>
      </c>
      <c r="F4379" s="1">
        <v>641.83</v>
      </c>
      <c r="G4379" s="1">
        <v>56.31</v>
      </c>
      <c r="H4379" s="1">
        <v>5.0</v>
      </c>
      <c r="I4379" s="1" t="s">
        <v>17</v>
      </c>
      <c r="J4379" s="1" t="s">
        <v>35</v>
      </c>
      <c r="K4379" s="1">
        <f t="shared" si="1"/>
        <v>2023</v>
      </c>
      <c r="L4379" s="1" t="str">
        <f t="shared" si="2"/>
        <v>Jul</v>
      </c>
      <c r="M4379" s="1" t="str">
        <f t="shared" si="3"/>
        <v>Profit</v>
      </c>
    </row>
    <row r="4380" ht="14.25" customHeight="1">
      <c r="A4380" s="1" t="s">
        <v>4414</v>
      </c>
      <c r="B4380" s="2">
        <v>44282.0</v>
      </c>
      <c r="C4380" s="1" t="s">
        <v>20</v>
      </c>
      <c r="D4380" s="1" t="s">
        <v>15</v>
      </c>
      <c r="E4380" s="1" t="s">
        <v>16</v>
      </c>
      <c r="F4380" s="1">
        <v>472.9</v>
      </c>
      <c r="G4380" s="1">
        <v>129.88</v>
      </c>
      <c r="H4380" s="1">
        <v>4.0</v>
      </c>
      <c r="I4380" s="1" t="s">
        <v>17</v>
      </c>
      <c r="J4380" s="1" t="s">
        <v>35</v>
      </c>
      <c r="K4380" s="1">
        <f t="shared" si="1"/>
        <v>2021</v>
      </c>
      <c r="L4380" s="1" t="str">
        <f t="shared" si="2"/>
        <v>Mar</v>
      </c>
      <c r="M4380" s="1" t="str">
        <f t="shared" si="3"/>
        <v>Profit</v>
      </c>
    </row>
    <row r="4381" ht="14.25" customHeight="1">
      <c r="A4381" s="1" t="s">
        <v>4415</v>
      </c>
      <c r="B4381" s="2">
        <v>45188.0</v>
      </c>
      <c r="C4381" s="1" t="s">
        <v>20</v>
      </c>
      <c r="D4381" s="1" t="s">
        <v>15</v>
      </c>
      <c r="E4381" s="1" t="s">
        <v>16</v>
      </c>
      <c r="F4381" s="1">
        <v>221.68</v>
      </c>
      <c r="G4381" s="1">
        <v>119.33</v>
      </c>
      <c r="H4381" s="1">
        <v>9.0</v>
      </c>
      <c r="I4381" s="1" t="s">
        <v>17</v>
      </c>
      <c r="J4381" s="1" t="s">
        <v>38</v>
      </c>
      <c r="K4381" s="1">
        <f t="shared" si="1"/>
        <v>2023</v>
      </c>
      <c r="L4381" s="1" t="str">
        <f t="shared" si="2"/>
        <v>Sep</v>
      </c>
      <c r="M4381" s="1" t="str">
        <f t="shared" si="3"/>
        <v>Profit</v>
      </c>
    </row>
    <row r="4382" ht="14.25" customHeight="1">
      <c r="A4382" s="1" t="s">
        <v>4416</v>
      </c>
      <c r="B4382" s="2">
        <v>44547.0</v>
      </c>
      <c r="C4382" s="1" t="s">
        <v>14</v>
      </c>
      <c r="D4382" s="1" t="s">
        <v>21</v>
      </c>
      <c r="E4382" s="1" t="s">
        <v>22</v>
      </c>
      <c r="F4382" s="1">
        <v>660.91</v>
      </c>
      <c r="G4382" s="1">
        <v>153.03</v>
      </c>
      <c r="H4382" s="1">
        <v>6.0</v>
      </c>
      <c r="I4382" s="1" t="s">
        <v>34</v>
      </c>
      <c r="J4382" s="1" t="s">
        <v>24</v>
      </c>
      <c r="K4382" s="1">
        <f t="shared" si="1"/>
        <v>2021</v>
      </c>
      <c r="L4382" s="1" t="str">
        <f t="shared" si="2"/>
        <v>Dec</v>
      </c>
      <c r="M4382" s="1" t="str">
        <f t="shared" si="3"/>
        <v>Profit</v>
      </c>
    </row>
    <row r="4383" ht="14.25" customHeight="1">
      <c r="A4383" s="1" t="s">
        <v>4417</v>
      </c>
      <c r="B4383" s="2">
        <v>44302.0</v>
      </c>
      <c r="C4383" s="1" t="s">
        <v>26</v>
      </c>
      <c r="D4383" s="1" t="s">
        <v>27</v>
      </c>
      <c r="E4383" s="1" t="s">
        <v>40</v>
      </c>
      <c r="F4383" s="1">
        <v>514.56</v>
      </c>
      <c r="G4383" s="1">
        <v>276.71</v>
      </c>
      <c r="H4383" s="1">
        <v>3.0</v>
      </c>
      <c r="I4383" s="1" t="s">
        <v>17</v>
      </c>
      <c r="J4383" s="1" t="s">
        <v>24</v>
      </c>
      <c r="K4383" s="1">
        <f t="shared" si="1"/>
        <v>2021</v>
      </c>
      <c r="L4383" s="1" t="str">
        <f t="shared" si="2"/>
        <v>Apr</v>
      </c>
      <c r="M4383" s="1" t="str">
        <f t="shared" si="3"/>
        <v>Profit</v>
      </c>
    </row>
    <row r="4384" ht="14.25" customHeight="1">
      <c r="A4384" s="1" t="s">
        <v>4418</v>
      </c>
      <c r="B4384" s="2">
        <v>44279.0</v>
      </c>
      <c r="C4384" s="1" t="s">
        <v>14</v>
      </c>
      <c r="D4384" s="1" t="s">
        <v>21</v>
      </c>
      <c r="E4384" s="1" t="s">
        <v>76</v>
      </c>
      <c r="F4384" s="1">
        <v>993.11</v>
      </c>
      <c r="G4384" s="1">
        <v>95.73</v>
      </c>
      <c r="H4384" s="1">
        <v>10.0</v>
      </c>
      <c r="I4384" s="1" t="s">
        <v>23</v>
      </c>
      <c r="J4384" s="1" t="s">
        <v>38</v>
      </c>
      <c r="K4384" s="1">
        <f t="shared" si="1"/>
        <v>2021</v>
      </c>
      <c r="L4384" s="1" t="str">
        <f t="shared" si="2"/>
        <v>Mar</v>
      </c>
      <c r="M4384" s="1" t="str">
        <f t="shared" si="3"/>
        <v>Profit</v>
      </c>
    </row>
    <row r="4385" ht="14.25" customHeight="1">
      <c r="A4385" s="1" t="s">
        <v>4419</v>
      </c>
      <c r="B4385" s="2">
        <v>44406.0</v>
      </c>
      <c r="C4385" s="1" t="s">
        <v>14</v>
      </c>
      <c r="D4385" s="1" t="s">
        <v>15</v>
      </c>
      <c r="E4385" s="1" t="s">
        <v>54</v>
      </c>
      <c r="F4385" s="1">
        <v>844.91</v>
      </c>
      <c r="G4385" s="1">
        <v>126.86</v>
      </c>
      <c r="H4385" s="1">
        <v>5.0</v>
      </c>
      <c r="I4385" s="1" t="s">
        <v>17</v>
      </c>
      <c r="J4385" s="1" t="s">
        <v>18</v>
      </c>
      <c r="K4385" s="1">
        <f t="shared" si="1"/>
        <v>2021</v>
      </c>
      <c r="L4385" s="1" t="str">
        <f t="shared" si="2"/>
        <v>Jul</v>
      </c>
      <c r="M4385" s="1" t="str">
        <f t="shared" si="3"/>
        <v>Profit</v>
      </c>
    </row>
    <row r="4386" ht="14.25" customHeight="1">
      <c r="A4386" s="1" t="s">
        <v>4420</v>
      </c>
      <c r="B4386" s="2">
        <v>45172.0</v>
      </c>
      <c r="C4386" s="1" t="s">
        <v>14</v>
      </c>
      <c r="D4386" s="1" t="s">
        <v>27</v>
      </c>
      <c r="E4386" s="1" t="s">
        <v>40</v>
      </c>
      <c r="F4386" s="1">
        <v>95.58</v>
      </c>
      <c r="G4386" s="1">
        <v>191.17</v>
      </c>
      <c r="H4386" s="1">
        <v>6.0</v>
      </c>
      <c r="I4386" s="1" t="s">
        <v>23</v>
      </c>
      <c r="J4386" s="1" t="s">
        <v>18</v>
      </c>
      <c r="K4386" s="1">
        <f t="shared" si="1"/>
        <v>2023</v>
      </c>
      <c r="L4386" s="1" t="str">
        <f t="shared" si="2"/>
        <v>Sep</v>
      </c>
      <c r="M4386" s="1" t="str">
        <f t="shared" si="3"/>
        <v>Profit</v>
      </c>
    </row>
    <row r="4387" ht="14.25" customHeight="1">
      <c r="A4387" s="1" t="s">
        <v>4421</v>
      </c>
      <c r="B4387" s="2">
        <v>44290.0</v>
      </c>
      <c r="C4387" s="1" t="s">
        <v>14</v>
      </c>
      <c r="D4387" s="1" t="s">
        <v>15</v>
      </c>
      <c r="E4387" s="1" t="s">
        <v>54</v>
      </c>
      <c r="F4387" s="1">
        <v>552.08</v>
      </c>
      <c r="G4387" s="1">
        <v>289.64</v>
      </c>
      <c r="H4387" s="1">
        <v>9.0</v>
      </c>
      <c r="I4387" s="1" t="s">
        <v>34</v>
      </c>
      <c r="J4387" s="1" t="s">
        <v>18</v>
      </c>
      <c r="K4387" s="1">
        <f t="shared" si="1"/>
        <v>2021</v>
      </c>
      <c r="L4387" s="1" t="str">
        <f t="shared" si="2"/>
        <v>Apr</v>
      </c>
      <c r="M4387" s="1" t="str">
        <f t="shared" si="3"/>
        <v>Profit</v>
      </c>
    </row>
    <row r="4388" ht="14.25" customHeight="1">
      <c r="A4388" s="1" t="s">
        <v>4422</v>
      </c>
      <c r="B4388" s="2">
        <v>44251.0</v>
      </c>
      <c r="C4388" s="1" t="s">
        <v>20</v>
      </c>
      <c r="D4388" s="1" t="s">
        <v>21</v>
      </c>
      <c r="E4388" s="1" t="s">
        <v>37</v>
      </c>
      <c r="F4388" s="1">
        <v>645.02</v>
      </c>
      <c r="G4388" s="1">
        <v>-41.19</v>
      </c>
      <c r="H4388" s="1">
        <v>9.0</v>
      </c>
      <c r="I4388" s="1" t="s">
        <v>34</v>
      </c>
      <c r="J4388" s="1" t="s">
        <v>35</v>
      </c>
      <c r="K4388" s="1">
        <f t="shared" si="1"/>
        <v>2021</v>
      </c>
      <c r="L4388" s="1" t="str">
        <f t="shared" si="2"/>
        <v>Feb</v>
      </c>
      <c r="M4388" s="1" t="str">
        <f t="shared" si="3"/>
        <v>Loss</v>
      </c>
    </row>
    <row r="4389" ht="14.25" customHeight="1">
      <c r="A4389" s="1" t="s">
        <v>4423</v>
      </c>
      <c r="B4389" s="2">
        <v>45205.0</v>
      </c>
      <c r="C4389" s="1" t="s">
        <v>14</v>
      </c>
      <c r="D4389" s="1" t="s">
        <v>27</v>
      </c>
      <c r="E4389" s="1" t="s">
        <v>40</v>
      </c>
      <c r="F4389" s="1">
        <v>354.9</v>
      </c>
      <c r="G4389" s="1">
        <v>55.22</v>
      </c>
      <c r="H4389" s="1">
        <v>10.0</v>
      </c>
      <c r="I4389" s="1" t="s">
        <v>34</v>
      </c>
      <c r="J4389" s="1" t="s">
        <v>24</v>
      </c>
      <c r="K4389" s="1">
        <f t="shared" si="1"/>
        <v>2023</v>
      </c>
      <c r="L4389" s="1" t="str">
        <f t="shared" si="2"/>
        <v>Oct</v>
      </c>
      <c r="M4389" s="1" t="str">
        <f t="shared" si="3"/>
        <v>Profit</v>
      </c>
    </row>
    <row r="4390" ht="14.25" customHeight="1">
      <c r="A4390" s="1" t="s">
        <v>4424</v>
      </c>
      <c r="B4390" s="2">
        <v>45140.0</v>
      </c>
      <c r="C4390" s="1" t="s">
        <v>14</v>
      </c>
      <c r="D4390" s="1" t="s">
        <v>15</v>
      </c>
      <c r="E4390" s="1" t="s">
        <v>31</v>
      </c>
      <c r="F4390" s="1">
        <v>108.49</v>
      </c>
      <c r="G4390" s="1">
        <v>278.77</v>
      </c>
      <c r="H4390" s="1">
        <v>10.0</v>
      </c>
      <c r="I4390" s="1" t="s">
        <v>17</v>
      </c>
      <c r="J4390" s="1" t="s">
        <v>24</v>
      </c>
      <c r="K4390" s="1">
        <f t="shared" si="1"/>
        <v>2023</v>
      </c>
      <c r="L4390" s="1" t="str">
        <f t="shared" si="2"/>
        <v>Aug</v>
      </c>
      <c r="M4390" s="1" t="str">
        <f t="shared" si="3"/>
        <v>Profit</v>
      </c>
    </row>
    <row r="4391" ht="14.25" customHeight="1">
      <c r="A4391" s="1" t="s">
        <v>4425</v>
      </c>
      <c r="B4391" s="2">
        <v>45198.0</v>
      </c>
      <c r="C4391" s="1" t="s">
        <v>30</v>
      </c>
      <c r="D4391" s="1" t="s">
        <v>21</v>
      </c>
      <c r="E4391" s="1" t="s">
        <v>22</v>
      </c>
      <c r="F4391" s="1">
        <v>25.63</v>
      </c>
      <c r="G4391" s="1">
        <v>-30.77</v>
      </c>
      <c r="H4391" s="1">
        <v>3.0</v>
      </c>
      <c r="I4391" s="1" t="s">
        <v>23</v>
      </c>
      <c r="J4391" s="1" t="s">
        <v>18</v>
      </c>
      <c r="K4391" s="1">
        <f t="shared" si="1"/>
        <v>2023</v>
      </c>
      <c r="L4391" s="1" t="str">
        <f t="shared" si="2"/>
        <v>Sep</v>
      </c>
      <c r="M4391" s="1" t="str">
        <f t="shared" si="3"/>
        <v>Loss</v>
      </c>
    </row>
    <row r="4392" ht="14.25" customHeight="1">
      <c r="A4392" s="1" t="s">
        <v>4426</v>
      </c>
      <c r="B4392" s="2">
        <v>45217.0</v>
      </c>
      <c r="C4392" s="1" t="s">
        <v>14</v>
      </c>
      <c r="D4392" s="1" t="s">
        <v>21</v>
      </c>
      <c r="E4392" s="1" t="s">
        <v>22</v>
      </c>
      <c r="F4392" s="1">
        <v>897.93</v>
      </c>
      <c r="G4392" s="1">
        <v>-166.13</v>
      </c>
      <c r="H4392" s="1">
        <v>9.0</v>
      </c>
      <c r="I4392" s="1" t="s">
        <v>34</v>
      </c>
      <c r="J4392" s="1" t="s">
        <v>38</v>
      </c>
      <c r="K4392" s="1">
        <f t="shared" si="1"/>
        <v>2023</v>
      </c>
      <c r="L4392" s="1" t="str">
        <f t="shared" si="2"/>
        <v>Oct</v>
      </c>
      <c r="M4392" s="1" t="str">
        <f t="shared" si="3"/>
        <v>Loss</v>
      </c>
    </row>
    <row r="4393" ht="14.25" customHeight="1">
      <c r="A4393" s="1" t="s">
        <v>4427</v>
      </c>
      <c r="B4393" s="2">
        <v>45091.0</v>
      </c>
      <c r="C4393" s="1" t="s">
        <v>30</v>
      </c>
      <c r="D4393" s="1" t="s">
        <v>21</v>
      </c>
      <c r="E4393" s="1" t="s">
        <v>76</v>
      </c>
      <c r="F4393" s="1">
        <v>668.01</v>
      </c>
      <c r="G4393" s="1">
        <v>276.64</v>
      </c>
      <c r="H4393" s="1">
        <v>9.0</v>
      </c>
      <c r="I4393" s="1" t="s">
        <v>34</v>
      </c>
      <c r="J4393" s="1" t="s">
        <v>35</v>
      </c>
      <c r="K4393" s="1">
        <f t="shared" si="1"/>
        <v>2023</v>
      </c>
      <c r="L4393" s="1" t="str">
        <f t="shared" si="2"/>
        <v>Jun</v>
      </c>
      <c r="M4393" s="1" t="str">
        <f t="shared" si="3"/>
        <v>Profit</v>
      </c>
    </row>
    <row r="4394" ht="14.25" customHeight="1">
      <c r="A4394" s="1" t="s">
        <v>4428</v>
      </c>
      <c r="B4394" s="2">
        <v>45049.0</v>
      </c>
      <c r="C4394" s="1" t="s">
        <v>30</v>
      </c>
      <c r="D4394" s="1" t="s">
        <v>21</v>
      </c>
      <c r="E4394" s="1" t="s">
        <v>76</v>
      </c>
      <c r="F4394" s="1">
        <v>129.95</v>
      </c>
      <c r="G4394" s="1">
        <v>126.12</v>
      </c>
      <c r="H4394" s="1">
        <v>3.0</v>
      </c>
      <c r="I4394" s="1" t="s">
        <v>17</v>
      </c>
      <c r="J4394" s="1" t="s">
        <v>18</v>
      </c>
      <c r="K4394" s="1">
        <f t="shared" si="1"/>
        <v>2023</v>
      </c>
      <c r="L4394" s="1" t="str">
        <f t="shared" si="2"/>
        <v>May</v>
      </c>
      <c r="M4394" s="1" t="str">
        <f t="shared" si="3"/>
        <v>Profit</v>
      </c>
    </row>
    <row r="4395" ht="14.25" customHeight="1">
      <c r="A4395" s="1" t="s">
        <v>4429</v>
      </c>
      <c r="B4395" s="2">
        <v>44430.0</v>
      </c>
      <c r="C4395" s="1" t="s">
        <v>20</v>
      </c>
      <c r="D4395" s="1" t="s">
        <v>15</v>
      </c>
      <c r="E4395" s="1" t="s">
        <v>54</v>
      </c>
      <c r="F4395" s="1">
        <v>86.43</v>
      </c>
      <c r="G4395" s="1">
        <v>-145.92</v>
      </c>
      <c r="H4395" s="1">
        <v>10.0</v>
      </c>
      <c r="I4395" s="1" t="s">
        <v>23</v>
      </c>
      <c r="J4395" s="1" t="s">
        <v>38</v>
      </c>
      <c r="K4395" s="1">
        <f t="shared" si="1"/>
        <v>2021</v>
      </c>
      <c r="L4395" s="1" t="str">
        <f t="shared" si="2"/>
        <v>Aug</v>
      </c>
      <c r="M4395" s="1" t="str">
        <f t="shared" si="3"/>
        <v>Loss</v>
      </c>
    </row>
    <row r="4396" ht="14.25" customHeight="1">
      <c r="A4396" s="1" t="s">
        <v>4430</v>
      </c>
      <c r="B4396" s="2">
        <v>45285.0</v>
      </c>
      <c r="C4396" s="1" t="s">
        <v>20</v>
      </c>
      <c r="D4396" s="1" t="s">
        <v>15</v>
      </c>
      <c r="E4396" s="1" t="s">
        <v>16</v>
      </c>
      <c r="F4396" s="1">
        <v>223.01</v>
      </c>
      <c r="G4396" s="1">
        <v>44.12</v>
      </c>
      <c r="H4396" s="1">
        <v>6.0</v>
      </c>
      <c r="I4396" s="1" t="s">
        <v>34</v>
      </c>
      <c r="J4396" s="1" t="s">
        <v>35</v>
      </c>
      <c r="K4396" s="1">
        <f t="shared" si="1"/>
        <v>2023</v>
      </c>
      <c r="L4396" s="1" t="str">
        <f t="shared" si="2"/>
        <v>Dec</v>
      </c>
      <c r="M4396" s="1" t="str">
        <f t="shared" si="3"/>
        <v>Profit</v>
      </c>
    </row>
    <row r="4397" ht="14.25" customHeight="1">
      <c r="A4397" s="1" t="s">
        <v>4431</v>
      </c>
      <c r="B4397" s="2">
        <v>44799.0</v>
      </c>
      <c r="C4397" s="1" t="s">
        <v>20</v>
      </c>
      <c r="D4397" s="1" t="s">
        <v>21</v>
      </c>
      <c r="E4397" s="1" t="s">
        <v>76</v>
      </c>
      <c r="F4397" s="1">
        <v>185.1</v>
      </c>
      <c r="G4397" s="1">
        <v>-37.59</v>
      </c>
      <c r="H4397" s="1">
        <v>5.0</v>
      </c>
      <c r="I4397" s="1" t="s">
        <v>34</v>
      </c>
      <c r="J4397" s="1" t="s">
        <v>35</v>
      </c>
      <c r="K4397" s="1">
        <f t="shared" si="1"/>
        <v>2022</v>
      </c>
      <c r="L4397" s="1" t="str">
        <f t="shared" si="2"/>
        <v>Aug</v>
      </c>
      <c r="M4397" s="1" t="str">
        <f t="shared" si="3"/>
        <v>Loss</v>
      </c>
    </row>
    <row r="4398" ht="14.25" customHeight="1">
      <c r="A4398" s="1" t="s">
        <v>4432</v>
      </c>
      <c r="B4398" s="2">
        <v>45259.0</v>
      </c>
      <c r="C4398" s="1" t="s">
        <v>30</v>
      </c>
      <c r="D4398" s="1" t="s">
        <v>21</v>
      </c>
      <c r="E4398" s="1" t="s">
        <v>37</v>
      </c>
      <c r="F4398" s="1">
        <v>525.66</v>
      </c>
      <c r="G4398" s="1">
        <v>118.66</v>
      </c>
      <c r="H4398" s="1">
        <v>4.0</v>
      </c>
      <c r="I4398" s="1" t="s">
        <v>23</v>
      </c>
      <c r="J4398" s="1" t="s">
        <v>18</v>
      </c>
      <c r="K4398" s="1">
        <f t="shared" si="1"/>
        <v>2023</v>
      </c>
      <c r="L4398" s="1" t="str">
        <f t="shared" si="2"/>
        <v>Nov</v>
      </c>
      <c r="M4398" s="1" t="str">
        <f t="shared" si="3"/>
        <v>Profit</v>
      </c>
    </row>
    <row r="4399" ht="14.25" customHeight="1">
      <c r="A4399" s="1" t="s">
        <v>4433</v>
      </c>
      <c r="B4399" s="2">
        <v>44738.0</v>
      </c>
      <c r="C4399" s="1" t="s">
        <v>26</v>
      </c>
      <c r="D4399" s="1" t="s">
        <v>15</v>
      </c>
      <c r="E4399" s="1" t="s">
        <v>31</v>
      </c>
      <c r="F4399" s="1">
        <v>648.35</v>
      </c>
      <c r="G4399" s="1">
        <v>102.37</v>
      </c>
      <c r="H4399" s="1">
        <v>1.0</v>
      </c>
      <c r="I4399" s="1" t="s">
        <v>17</v>
      </c>
      <c r="J4399" s="1" t="s">
        <v>24</v>
      </c>
      <c r="K4399" s="1">
        <f t="shared" si="1"/>
        <v>2022</v>
      </c>
      <c r="L4399" s="1" t="str">
        <f t="shared" si="2"/>
        <v>Jun</v>
      </c>
      <c r="M4399" s="1" t="str">
        <f t="shared" si="3"/>
        <v>Profit</v>
      </c>
    </row>
    <row r="4400" ht="14.25" customHeight="1">
      <c r="A4400" s="1" t="s">
        <v>4434</v>
      </c>
      <c r="B4400" s="2">
        <v>44442.0</v>
      </c>
      <c r="C4400" s="1" t="s">
        <v>20</v>
      </c>
      <c r="D4400" s="1" t="s">
        <v>15</v>
      </c>
      <c r="E4400" s="1" t="s">
        <v>54</v>
      </c>
      <c r="F4400" s="1">
        <v>979.87</v>
      </c>
      <c r="G4400" s="1">
        <v>-12.17</v>
      </c>
      <c r="H4400" s="1">
        <v>3.0</v>
      </c>
      <c r="I4400" s="1" t="s">
        <v>17</v>
      </c>
      <c r="J4400" s="1" t="s">
        <v>38</v>
      </c>
      <c r="K4400" s="1">
        <f t="shared" si="1"/>
        <v>2021</v>
      </c>
      <c r="L4400" s="1" t="str">
        <f t="shared" si="2"/>
        <v>Sep</v>
      </c>
      <c r="M4400" s="1" t="str">
        <f t="shared" si="3"/>
        <v>Loss</v>
      </c>
    </row>
    <row r="4401" ht="14.25" customHeight="1">
      <c r="A4401" s="1" t="s">
        <v>4435</v>
      </c>
      <c r="B4401" s="2">
        <v>45023.0</v>
      </c>
      <c r="C4401" s="1" t="s">
        <v>30</v>
      </c>
      <c r="D4401" s="1" t="s">
        <v>27</v>
      </c>
      <c r="E4401" s="1" t="s">
        <v>33</v>
      </c>
      <c r="F4401" s="1">
        <v>570.62</v>
      </c>
      <c r="G4401" s="1">
        <v>296.49</v>
      </c>
      <c r="H4401" s="1">
        <v>9.0</v>
      </c>
      <c r="I4401" s="1" t="s">
        <v>17</v>
      </c>
      <c r="J4401" s="1" t="s">
        <v>38</v>
      </c>
      <c r="K4401" s="1">
        <f t="shared" si="1"/>
        <v>2023</v>
      </c>
      <c r="L4401" s="1" t="str">
        <f t="shared" si="2"/>
        <v>Apr</v>
      </c>
      <c r="M4401" s="1" t="str">
        <f t="shared" si="3"/>
        <v>Profit</v>
      </c>
    </row>
    <row r="4402" ht="14.25" customHeight="1">
      <c r="A4402" s="1" t="s">
        <v>4436</v>
      </c>
      <c r="B4402" s="2">
        <v>45023.0</v>
      </c>
      <c r="C4402" s="1" t="s">
        <v>14</v>
      </c>
      <c r="D4402" s="1" t="s">
        <v>27</v>
      </c>
      <c r="E4402" s="1" t="s">
        <v>33</v>
      </c>
      <c r="F4402" s="1">
        <v>63.55</v>
      </c>
      <c r="G4402" s="1">
        <v>-62.94</v>
      </c>
      <c r="H4402" s="1">
        <v>5.0</v>
      </c>
      <c r="I4402" s="1" t="s">
        <v>34</v>
      </c>
      <c r="J4402" s="1" t="s">
        <v>24</v>
      </c>
      <c r="K4402" s="1">
        <f t="shared" si="1"/>
        <v>2023</v>
      </c>
      <c r="L4402" s="1" t="str">
        <f t="shared" si="2"/>
        <v>Apr</v>
      </c>
      <c r="M4402" s="1" t="str">
        <f t="shared" si="3"/>
        <v>Loss</v>
      </c>
    </row>
    <row r="4403" ht="14.25" customHeight="1">
      <c r="A4403" s="1" t="s">
        <v>4437</v>
      </c>
      <c r="B4403" s="2">
        <v>44403.0</v>
      </c>
      <c r="C4403" s="1" t="s">
        <v>26</v>
      </c>
      <c r="D4403" s="1" t="s">
        <v>15</v>
      </c>
      <c r="E4403" s="1" t="s">
        <v>54</v>
      </c>
      <c r="F4403" s="1">
        <v>281.56</v>
      </c>
      <c r="G4403" s="1">
        <v>5.06</v>
      </c>
      <c r="H4403" s="1">
        <v>7.0</v>
      </c>
      <c r="I4403" s="1" t="s">
        <v>34</v>
      </c>
      <c r="J4403" s="1" t="s">
        <v>38</v>
      </c>
      <c r="K4403" s="1">
        <f t="shared" si="1"/>
        <v>2021</v>
      </c>
      <c r="L4403" s="1" t="str">
        <f t="shared" si="2"/>
        <v>Jul</v>
      </c>
      <c r="M4403" s="1" t="str">
        <f t="shared" si="3"/>
        <v>Profit</v>
      </c>
    </row>
    <row r="4404" ht="14.25" customHeight="1">
      <c r="A4404" s="1" t="s">
        <v>4438</v>
      </c>
      <c r="B4404" s="2">
        <v>44845.0</v>
      </c>
      <c r="C4404" s="1" t="s">
        <v>26</v>
      </c>
      <c r="D4404" s="1" t="s">
        <v>21</v>
      </c>
      <c r="E4404" s="1" t="s">
        <v>37</v>
      </c>
      <c r="F4404" s="1">
        <v>229.7</v>
      </c>
      <c r="G4404" s="1">
        <v>-34.23</v>
      </c>
      <c r="H4404" s="1">
        <v>10.0</v>
      </c>
      <c r="I4404" s="1" t="s">
        <v>23</v>
      </c>
      <c r="J4404" s="1" t="s">
        <v>38</v>
      </c>
      <c r="K4404" s="1">
        <f t="shared" si="1"/>
        <v>2022</v>
      </c>
      <c r="L4404" s="1" t="str">
        <f t="shared" si="2"/>
        <v>Oct</v>
      </c>
      <c r="M4404" s="1" t="str">
        <f t="shared" si="3"/>
        <v>Loss</v>
      </c>
    </row>
    <row r="4405" ht="14.25" customHeight="1">
      <c r="A4405" s="1" t="s">
        <v>4439</v>
      </c>
      <c r="B4405" s="2">
        <v>44665.0</v>
      </c>
      <c r="C4405" s="1" t="s">
        <v>26</v>
      </c>
      <c r="D4405" s="1" t="s">
        <v>15</v>
      </c>
      <c r="E4405" s="1" t="s">
        <v>31</v>
      </c>
      <c r="F4405" s="1">
        <v>146.36</v>
      </c>
      <c r="G4405" s="1">
        <v>20.23</v>
      </c>
      <c r="H4405" s="1">
        <v>2.0</v>
      </c>
      <c r="I4405" s="1" t="s">
        <v>17</v>
      </c>
      <c r="J4405" s="1" t="s">
        <v>18</v>
      </c>
      <c r="K4405" s="1">
        <f t="shared" si="1"/>
        <v>2022</v>
      </c>
      <c r="L4405" s="1" t="str">
        <f t="shared" si="2"/>
        <v>Apr</v>
      </c>
      <c r="M4405" s="1" t="str">
        <f t="shared" si="3"/>
        <v>Profit</v>
      </c>
    </row>
    <row r="4406" ht="14.25" customHeight="1">
      <c r="A4406" s="1" t="s">
        <v>4440</v>
      </c>
      <c r="B4406" s="2">
        <v>44534.0</v>
      </c>
      <c r="C4406" s="1" t="s">
        <v>30</v>
      </c>
      <c r="D4406" s="1" t="s">
        <v>27</v>
      </c>
      <c r="E4406" s="1" t="s">
        <v>40</v>
      </c>
      <c r="F4406" s="1">
        <v>978.54</v>
      </c>
      <c r="G4406" s="1">
        <v>10.41</v>
      </c>
      <c r="H4406" s="1">
        <v>8.0</v>
      </c>
      <c r="I4406" s="1" t="s">
        <v>17</v>
      </c>
      <c r="J4406" s="1" t="s">
        <v>38</v>
      </c>
      <c r="K4406" s="1">
        <f t="shared" si="1"/>
        <v>2021</v>
      </c>
      <c r="L4406" s="1" t="str">
        <f t="shared" si="2"/>
        <v>Dec</v>
      </c>
      <c r="M4406" s="1" t="str">
        <f t="shared" si="3"/>
        <v>Profit</v>
      </c>
    </row>
    <row r="4407" ht="14.25" customHeight="1">
      <c r="A4407" s="1" t="s">
        <v>4441</v>
      </c>
      <c r="B4407" s="2">
        <v>44618.0</v>
      </c>
      <c r="C4407" s="1" t="s">
        <v>30</v>
      </c>
      <c r="D4407" s="1" t="s">
        <v>21</v>
      </c>
      <c r="E4407" s="1" t="s">
        <v>22</v>
      </c>
      <c r="F4407" s="1">
        <v>31.39</v>
      </c>
      <c r="G4407" s="1">
        <v>256.25</v>
      </c>
      <c r="H4407" s="1">
        <v>4.0</v>
      </c>
      <c r="I4407" s="1" t="s">
        <v>34</v>
      </c>
      <c r="J4407" s="1" t="s">
        <v>24</v>
      </c>
      <c r="K4407" s="1">
        <f t="shared" si="1"/>
        <v>2022</v>
      </c>
      <c r="L4407" s="1" t="str">
        <f t="shared" si="2"/>
        <v>Feb</v>
      </c>
      <c r="M4407" s="1" t="str">
        <f t="shared" si="3"/>
        <v>Profit</v>
      </c>
    </row>
    <row r="4408" ht="14.25" customHeight="1">
      <c r="A4408" s="1" t="s">
        <v>4442</v>
      </c>
      <c r="B4408" s="2">
        <v>44799.0</v>
      </c>
      <c r="C4408" s="1" t="s">
        <v>30</v>
      </c>
      <c r="D4408" s="1" t="s">
        <v>15</v>
      </c>
      <c r="E4408" s="1" t="s">
        <v>16</v>
      </c>
      <c r="F4408" s="1">
        <v>867.93</v>
      </c>
      <c r="G4408" s="1">
        <v>235.94</v>
      </c>
      <c r="H4408" s="1">
        <v>4.0</v>
      </c>
      <c r="I4408" s="1" t="s">
        <v>23</v>
      </c>
      <c r="J4408" s="1" t="s">
        <v>24</v>
      </c>
      <c r="K4408" s="1">
        <f t="shared" si="1"/>
        <v>2022</v>
      </c>
      <c r="L4408" s="1" t="str">
        <f t="shared" si="2"/>
        <v>Aug</v>
      </c>
      <c r="M4408" s="1" t="str">
        <f t="shared" si="3"/>
        <v>Profit</v>
      </c>
    </row>
    <row r="4409" ht="14.25" customHeight="1">
      <c r="A4409" s="1" t="s">
        <v>4443</v>
      </c>
      <c r="B4409" s="2">
        <v>44248.0</v>
      </c>
      <c r="C4409" s="1" t="s">
        <v>20</v>
      </c>
      <c r="D4409" s="1" t="s">
        <v>15</v>
      </c>
      <c r="E4409" s="1" t="s">
        <v>54</v>
      </c>
      <c r="F4409" s="1">
        <v>655.87</v>
      </c>
      <c r="G4409" s="1">
        <v>19.29</v>
      </c>
      <c r="H4409" s="1">
        <v>2.0</v>
      </c>
      <c r="I4409" s="1" t="s">
        <v>23</v>
      </c>
      <c r="J4409" s="1" t="s">
        <v>18</v>
      </c>
      <c r="K4409" s="1">
        <f t="shared" si="1"/>
        <v>2021</v>
      </c>
      <c r="L4409" s="1" t="str">
        <f t="shared" si="2"/>
        <v>Feb</v>
      </c>
      <c r="M4409" s="1" t="str">
        <f t="shared" si="3"/>
        <v>Profit</v>
      </c>
    </row>
    <row r="4410" ht="14.25" customHeight="1">
      <c r="A4410" s="1" t="s">
        <v>4444</v>
      </c>
      <c r="B4410" s="2">
        <v>44201.0</v>
      </c>
      <c r="C4410" s="1" t="s">
        <v>26</v>
      </c>
      <c r="D4410" s="1" t="s">
        <v>21</v>
      </c>
      <c r="E4410" s="1" t="s">
        <v>22</v>
      </c>
      <c r="F4410" s="1">
        <v>185.17</v>
      </c>
      <c r="G4410" s="1">
        <v>-135.28</v>
      </c>
      <c r="H4410" s="1">
        <v>3.0</v>
      </c>
      <c r="I4410" s="1" t="s">
        <v>23</v>
      </c>
      <c r="J4410" s="1" t="s">
        <v>35</v>
      </c>
      <c r="K4410" s="1">
        <f t="shared" si="1"/>
        <v>2021</v>
      </c>
      <c r="L4410" s="1" t="str">
        <f t="shared" si="2"/>
        <v>Jan</v>
      </c>
      <c r="M4410" s="1" t="str">
        <f t="shared" si="3"/>
        <v>Loss</v>
      </c>
    </row>
    <row r="4411" ht="14.25" customHeight="1">
      <c r="A4411" s="1" t="s">
        <v>4445</v>
      </c>
      <c r="B4411" s="2">
        <v>44843.0</v>
      </c>
      <c r="C4411" s="1" t="s">
        <v>20</v>
      </c>
      <c r="D4411" s="1" t="s">
        <v>27</v>
      </c>
      <c r="E4411" s="1" t="s">
        <v>28</v>
      </c>
      <c r="F4411" s="1">
        <v>839.46</v>
      </c>
      <c r="G4411" s="1">
        <v>103.2</v>
      </c>
      <c r="H4411" s="1">
        <v>8.0</v>
      </c>
      <c r="I4411" s="1" t="s">
        <v>34</v>
      </c>
      <c r="J4411" s="1" t="s">
        <v>38</v>
      </c>
      <c r="K4411" s="1">
        <f t="shared" si="1"/>
        <v>2022</v>
      </c>
      <c r="L4411" s="1" t="str">
        <f t="shared" si="2"/>
        <v>Oct</v>
      </c>
      <c r="M4411" s="1" t="str">
        <f t="shared" si="3"/>
        <v>Profit</v>
      </c>
    </row>
    <row r="4412" ht="14.25" customHeight="1">
      <c r="A4412" s="1" t="s">
        <v>4446</v>
      </c>
      <c r="B4412" s="2">
        <v>44915.0</v>
      </c>
      <c r="C4412" s="1" t="s">
        <v>14</v>
      </c>
      <c r="D4412" s="1" t="s">
        <v>21</v>
      </c>
      <c r="E4412" s="1" t="s">
        <v>76</v>
      </c>
      <c r="F4412" s="1">
        <v>235.69</v>
      </c>
      <c r="G4412" s="1">
        <v>78.15</v>
      </c>
      <c r="H4412" s="1">
        <v>8.0</v>
      </c>
      <c r="I4412" s="1" t="s">
        <v>34</v>
      </c>
      <c r="J4412" s="1" t="s">
        <v>35</v>
      </c>
      <c r="K4412" s="1">
        <f t="shared" si="1"/>
        <v>2022</v>
      </c>
      <c r="L4412" s="1" t="str">
        <f t="shared" si="2"/>
        <v>Dec</v>
      </c>
      <c r="M4412" s="1" t="str">
        <f t="shared" si="3"/>
        <v>Profit</v>
      </c>
    </row>
    <row r="4413" ht="14.25" customHeight="1">
      <c r="A4413" s="1" t="s">
        <v>4447</v>
      </c>
      <c r="B4413" s="2">
        <v>44967.0</v>
      </c>
      <c r="C4413" s="1" t="s">
        <v>20</v>
      </c>
      <c r="D4413" s="1" t="s">
        <v>15</v>
      </c>
      <c r="E4413" s="1" t="s">
        <v>31</v>
      </c>
      <c r="F4413" s="1">
        <v>662.08</v>
      </c>
      <c r="G4413" s="1">
        <v>295.31</v>
      </c>
      <c r="H4413" s="1">
        <v>3.0</v>
      </c>
      <c r="I4413" s="1" t="s">
        <v>17</v>
      </c>
      <c r="J4413" s="1" t="s">
        <v>24</v>
      </c>
      <c r="K4413" s="1">
        <f t="shared" si="1"/>
        <v>2023</v>
      </c>
      <c r="L4413" s="1" t="str">
        <f t="shared" si="2"/>
        <v>Feb</v>
      </c>
      <c r="M4413" s="1" t="str">
        <f t="shared" si="3"/>
        <v>Profit</v>
      </c>
    </row>
    <row r="4414" ht="14.25" customHeight="1">
      <c r="A4414" s="1" t="s">
        <v>4448</v>
      </c>
      <c r="B4414" s="2">
        <v>44963.0</v>
      </c>
      <c r="C4414" s="1" t="s">
        <v>26</v>
      </c>
      <c r="D4414" s="1" t="s">
        <v>15</v>
      </c>
      <c r="E4414" s="1" t="s">
        <v>54</v>
      </c>
      <c r="F4414" s="1">
        <v>133.6</v>
      </c>
      <c r="G4414" s="1">
        <v>-101.1</v>
      </c>
      <c r="H4414" s="1">
        <v>3.0</v>
      </c>
      <c r="I4414" s="1" t="s">
        <v>17</v>
      </c>
      <c r="J4414" s="1" t="s">
        <v>38</v>
      </c>
      <c r="K4414" s="1">
        <f t="shared" si="1"/>
        <v>2023</v>
      </c>
      <c r="L4414" s="1" t="str">
        <f t="shared" si="2"/>
        <v>Feb</v>
      </c>
      <c r="M4414" s="1" t="str">
        <f t="shared" si="3"/>
        <v>Loss</v>
      </c>
    </row>
    <row r="4415" ht="14.25" customHeight="1">
      <c r="A4415" s="1" t="s">
        <v>4449</v>
      </c>
      <c r="B4415" s="2">
        <v>44955.0</v>
      </c>
      <c r="C4415" s="1" t="s">
        <v>26</v>
      </c>
      <c r="D4415" s="1" t="s">
        <v>15</v>
      </c>
      <c r="E4415" s="1" t="s">
        <v>54</v>
      </c>
      <c r="F4415" s="1">
        <v>203.71</v>
      </c>
      <c r="G4415" s="1">
        <v>147.16</v>
      </c>
      <c r="H4415" s="1">
        <v>8.0</v>
      </c>
      <c r="I4415" s="1" t="s">
        <v>23</v>
      </c>
      <c r="J4415" s="1" t="s">
        <v>18</v>
      </c>
      <c r="K4415" s="1">
        <f t="shared" si="1"/>
        <v>2023</v>
      </c>
      <c r="L4415" s="1" t="str">
        <f t="shared" si="2"/>
        <v>Jan</v>
      </c>
      <c r="M4415" s="1" t="str">
        <f t="shared" si="3"/>
        <v>Profit</v>
      </c>
    </row>
    <row r="4416" ht="14.25" customHeight="1">
      <c r="A4416" s="1" t="s">
        <v>4450</v>
      </c>
      <c r="B4416" s="2">
        <v>44810.0</v>
      </c>
      <c r="C4416" s="1" t="s">
        <v>26</v>
      </c>
      <c r="D4416" s="1" t="s">
        <v>15</v>
      </c>
      <c r="E4416" s="1" t="s">
        <v>31</v>
      </c>
      <c r="F4416" s="1">
        <v>489.91</v>
      </c>
      <c r="G4416" s="1">
        <v>268.36</v>
      </c>
      <c r="H4416" s="1">
        <v>6.0</v>
      </c>
      <c r="I4416" s="1" t="s">
        <v>34</v>
      </c>
      <c r="J4416" s="1" t="s">
        <v>35</v>
      </c>
      <c r="K4416" s="1">
        <f t="shared" si="1"/>
        <v>2022</v>
      </c>
      <c r="L4416" s="1" t="str">
        <f t="shared" si="2"/>
        <v>Sep</v>
      </c>
      <c r="M4416" s="1" t="str">
        <f t="shared" si="3"/>
        <v>Profit</v>
      </c>
    </row>
    <row r="4417" ht="14.25" customHeight="1">
      <c r="A4417" s="1" t="s">
        <v>4451</v>
      </c>
      <c r="B4417" s="2">
        <v>44319.0</v>
      </c>
      <c r="C4417" s="1" t="s">
        <v>26</v>
      </c>
      <c r="D4417" s="1" t="s">
        <v>27</v>
      </c>
      <c r="E4417" s="1" t="s">
        <v>40</v>
      </c>
      <c r="F4417" s="1">
        <v>201.26</v>
      </c>
      <c r="G4417" s="1">
        <v>-92.81</v>
      </c>
      <c r="H4417" s="1">
        <v>5.0</v>
      </c>
      <c r="I4417" s="1" t="s">
        <v>34</v>
      </c>
      <c r="J4417" s="1" t="s">
        <v>18</v>
      </c>
      <c r="K4417" s="1">
        <f t="shared" si="1"/>
        <v>2021</v>
      </c>
      <c r="L4417" s="1" t="str">
        <f t="shared" si="2"/>
        <v>May</v>
      </c>
      <c r="M4417" s="1" t="str">
        <f t="shared" si="3"/>
        <v>Loss</v>
      </c>
    </row>
    <row r="4418" ht="14.25" customHeight="1">
      <c r="A4418" s="1" t="s">
        <v>4452</v>
      </c>
      <c r="B4418" s="2">
        <v>44414.0</v>
      </c>
      <c r="C4418" s="1" t="s">
        <v>26</v>
      </c>
      <c r="D4418" s="1" t="s">
        <v>21</v>
      </c>
      <c r="E4418" s="1" t="s">
        <v>37</v>
      </c>
      <c r="F4418" s="1">
        <v>430.63</v>
      </c>
      <c r="G4418" s="1">
        <v>76.9</v>
      </c>
      <c r="H4418" s="1">
        <v>10.0</v>
      </c>
      <c r="I4418" s="1" t="s">
        <v>23</v>
      </c>
      <c r="J4418" s="1" t="s">
        <v>38</v>
      </c>
      <c r="K4418" s="1">
        <f t="shared" si="1"/>
        <v>2021</v>
      </c>
      <c r="L4418" s="1" t="str">
        <f t="shared" si="2"/>
        <v>Aug</v>
      </c>
      <c r="M4418" s="1" t="str">
        <f t="shared" si="3"/>
        <v>Profit</v>
      </c>
    </row>
    <row r="4419" ht="14.25" customHeight="1">
      <c r="A4419" s="1" t="s">
        <v>4453</v>
      </c>
      <c r="B4419" s="2">
        <v>44787.0</v>
      </c>
      <c r="C4419" s="1" t="s">
        <v>30</v>
      </c>
      <c r="D4419" s="1" t="s">
        <v>21</v>
      </c>
      <c r="E4419" s="1" t="s">
        <v>76</v>
      </c>
      <c r="F4419" s="1">
        <v>326.66</v>
      </c>
      <c r="G4419" s="1">
        <v>111.73</v>
      </c>
      <c r="H4419" s="1">
        <v>6.0</v>
      </c>
      <c r="I4419" s="1" t="s">
        <v>23</v>
      </c>
      <c r="J4419" s="1" t="s">
        <v>38</v>
      </c>
      <c r="K4419" s="1">
        <f t="shared" si="1"/>
        <v>2022</v>
      </c>
      <c r="L4419" s="1" t="str">
        <f t="shared" si="2"/>
        <v>Aug</v>
      </c>
      <c r="M4419" s="1" t="str">
        <f t="shared" si="3"/>
        <v>Profit</v>
      </c>
    </row>
    <row r="4420" ht="14.25" customHeight="1">
      <c r="A4420" s="1" t="s">
        <v>4454</v>
      </c>
      <c r="B4420" s="2">
        <v>44227.0</v>
      </c>
      <c r="C4420" s="1" t="s">
        <v>14</v>
      </c>
      <c r="D4420" s="1" t="s">
        <v>21</v>
      </c>
      <c r="E4420" s="1" t="s">
        <v>22</v>
      </c>
      <c r="F4420" s="1">
        <v>373.57</v>
      </c>
      <c r="G4420" s="1">
        <v>264.31</v>
      </c>
      <c r="H4420" s="1">
        <v>6.0</v>
      </c>
      <c r="I4420" s="1" t="s">
        <v>34</v>
      </c>
      <c r="J4420" s="1" t="s">
        <v>24</v>
      </c>
      <c r="K4420" s="1">
        <f t="shared" si="1"/>
        <v>2021</v>
      </c>
      <c r="L4420" s="1" t="str">
        <f t="shared" si="2"/>
        <v>Jan</v>
      </c>
      <c r="M4420" s="1" t="str">
        <f t="shared" si="3"/>
        <v>Profit</v>
      </c>
    </row>
    <row r="4421" ht="14.25" customHeight="1">
      <c r="A4421" s="1" t="s">
        <v>4455</v>
      </c>
      <c r="B4421" s="2">
        <v>44744.0</v>
      </c>
      <c r="C4421" s="1" t="s">
        <v>30</v>
      </c>
      <c r="D4421" s="1" t="s">
        <v>15</v>
      </c>
      <c r="E4421" s="1" t="s">
        <v>16</v>
      </c>
      <c r="F4421" s="1">
        <v>466.63</v>
      </c>
      <c r="G4421" s="1">
        <v>-59.77</v>
      </c>
      <c r="H4421" s="1">
        <v>8.0</v>
      </c>
      <c r="I4421" s="1" t="s">
        <v>34</v>
      </c>
      <c r="J4421" s="1" t="s">
        <v>38</v>
      </c>
      <c r="K4421" s="1">
        <f t="shared" si="1"/>
        <v>2022</v>
      </c>
      <c r="L4421" s="1" t="str">
        <f t="shared" si="2"/>
        <v>Jul</v>
      </c>
      <c r="M4421" s="1" t="str">
        <f t="shared" si="3"/>
        <v>Loss</v>
      </c>
    </row>
    <row r="4422" ht="14.25" customHeight="1">
      <c r="A4422" s="1" t="s">
        <v>4456</v>
      </c>
      <c r="B4422" s="2">
        <v>45129.0</v>
      </c>
      <c r="C4422" s="1" t="s">
        <v>26</v>
      </c>
      <c r="D4422" s="1" t="s">
        <v>15</v>
      </c>
      <c r="E4422" s="1" t="s">
        <v>54</v>
      </c>
      <c r="F4422" s="1">
        <v>449.94</v>
      </c>
      <c r="G4422" s="1">
        <v>249.16</v>
      </c>
      <c r="H4422" s="1">
        <v>4.0</v>
      </c>
      <c r="I4422" s="1" t="s">
        <v>23</v>
      </c>
      <c r="J4422" s="1" t="s">
        <v>38</v>
      </c>
      <c r="K4422" s="1">
        <f t="shared" si="1"/>
        <v>2023</v>
      </c>
      <c r="L4422" s="1" t="str">
        <f t="shared" si="2"/>
        <v>Jul</v>
      </c>
      <c r="M4422" s="1" t="str">
        <f t="shared" si="3"/>
        <v>Profit</v>
      </c>
    </row>
    <row r="4423" ht="14.25" customHeight="1">
      <c r="A4423" s="1" t="s">
        <v>4457</v>
      </c>
      <c r="B4423" s="2">
        <v>44715.0</v>
      </c>
      <c r="C4423" s="1" t="s">
        <v>20</v>
      </c>
      <c r="D4423" s="1" t="s">
        <v>21</v>
      </c>
      <c r="E4423" s="1" t="s">
        <v>76</v>
      </c>
      <c r="F4423" s="1">
        <v>359.88</v>
      </c>
      <c r="G4423" s="1">
        <v>58.85</v>
      </c>
      <c r="H4423" s="1">
        <v>2.0</v>
      </c>
      <c r="I4423" s="1" t="s">
        <v>23</v>
      </c>
      <c r="J4423" s="1" t="s">
        <v>38</v>
      </c>
      <c r="K4423" s="1">
        <f t="shared" si="1"/>
        <v>2022</v>
      </c>
      <c r="L4423" s="1" t="str">
        <f t="shared" si="2"/>
        <v>Jun</v>
      </c>
      <c r="M4423" s="1" t="str">
        <f t="shared" si="3"/>
        <v>Profit</v>
      </c>
    </row>
    <row r="4424" ht="14.25" customHeight="1">
      <c r="A4424" s="1" t="s">
        <v>4458</v>
      </c>
      <c r="B4424" s="2">
        <v>44419.0</v>
      </c>
      <c r="C4424" s="1" t="s">
        <v>30</v>
      </c>
      <c r="D4424" s="1" t="s">
        <v>27</v>
      </c>
      <c r="E4424" s="1" t="s">
        <v>33</v>
      </c>
      <c r="F4424" s="1">
        <v>249.34</v>
      </c>
      <c r="G4424" s="1">
        <v>281.64</v>
      </c>
      <c r="H4424" s="1">
        <v>3.0</v>
      </c>
      <c r="I4424" s="1" t="s">
        <v>23</v>
      </c>
      <c r="J4424" s="1" t="s">
        <v>38</v>
      </c>
      <c r="K4424" s="1">
        <f t="shared" si="1"/>
        <v>2021</v>
      </c>
      <c r="L4424" s="1" t="str">
        <f t="shared" si="2"/>
        <v>Aug</v>
      </c>
      <c r="M4424" s="1" t="str">
        <f t="shared" si="3"/>
        <v>Profit</v>
      </c>
    </row>
    <row r="4425" ht="14.25" customHeight="1">
      <c r="A4425" s="1" t="s">
        <v>4459</v>
      </c>
      <c r="B4425" s="2">
        <v>44447.0</v>
      </c>
      <c r="C4425" s="1" t="s">
        <v>20</v>
      </c>
      <c r="D4425" s="1" t="s">
        <v>27</v>
      </c>
      <c r="E4425" s="1" t="s">
        <v>33</v>
      </c>
      <c r="F4425" s="1">
        <v>921.38</v>
      </c>
      <c r="G4425" s="1">
        <v>-26.44</v>
      </c>
      <c r="H4425" s="1">
        <v>9.0</v>
      </c>
      <c r="I4425" s="1" t="s">
        <v>34</v>
      </c>
      <c r="J4425" s="1" t="s">
        <v>24</v>
      </c>
      <c r="K4425" s="1">
        <f t="shared" si="1"/>
        <v>2021</v>
      </c>
      <c r="L4425" s="1" t="str">
        <f t="shared" si="2"/>
        <v>Sep</v>
      </c>
      <c r="M4425" s="1" t="str">
        <f t="shared" si="3"/>
        <v>Loss</v>
      </c>
    </row>
    <row r="4426" ht="14.25" customHeight="1">
      <c r="A4426" s="1" t="s">
        <v>4460</v>
      </c>
      <c r="B4426" s="2">
        <v>45048.0</v>
      </c>
      <c r="C4426" s="1" t="s">
        <v>14</v>
      </c>
      <c r="D4426" s="1" t="s">
        <v>27</v>
      </c>
      <c r="E4426" s="1" t="s">
        <v>40</v>
      </c>
      <c r="F4426" s="1">
        <v>955.55</v>
      </c>
      <c r="G4426" s="1">
        <v>-196.82</v>
      </c>
      <c r="H4426" s="1">
        <v>1.0</v>
      </c>
      <c r="I4426" s="1" t="s">
        <v>34</v>
      </c>
      <c r="J4426" s="1" t="s">
        <v>35</v>
      </c>
      <c r="K4426" s="1">
        <f t="shared" si="1"/>
        <v>2023</v>
      </c>
      <c r="L4426" s="1" t="str">
        <f t="shared" si="2"/>
        <v>May</v>
      </c>
      <c r="M4426" s="1" t="str">
        <f t="shared" si="3"/>
        <v>Loss</v>
      </c>
    </row>
    <row r="4427" ht="14.25" customHeight="1">
      <c r="A4427" s="1" t="s">
        <v>4461</v>
      </c>
      <c r="B4427" s="2">
        <v>44955.0</v>
      </c>
      <c r="C4427" s="1" t="s">
        <v>26</v>
      </c>
      <c r="D4427" s="1" t="s">
        <v>15</v>
      </c>
      <c r="E4427" s="1" t="s">
        <v>16</v>
      </c>
      <c r="F4427" s="1">
        <v>593.48</v>
      </c>
      <c r="G4427" s="1">
        <v>176.18</v>
      </c>
      <c r="H4427" s="1">
        <v>3.0</v>
      </c>
      <c r="I4427" s="1" t="s">
        <v>23</v>
      </c>
      <c r="J4427" s="1" t="s">
        <v>18</v>
      </c>
      <c r="K4427" s="1">
        <f t="shared" si="1"/>
        <v>2023</v>
      </c>
      <c r="L4427" s="1" t="str">
        <f t="shared" si="2"/>
        <v>Jan</v>
      </c>
      <c r="M4427" s="1" t="str">
        <f t="shared" si="3"/>
        <v>Profit</v>
      </c>
    </row>
    <row r="4428" ht="14.25" customHeight="1">
      <c r="A4428" s="1" t="s">
        <v>4462</v>
      </c>
      <c r="B4428" s="2">
        <v>45279.0</v>
      </c>
      <c r="C4428" s="1" t="s">
        <v>26</v>
      </c>
      <c r="D4428" s="1" t="s">
        <v>27</v>
      </c>
      <c r="E4428" s="1" t="s">
        <v>40</v>
      </c>
      <c r="F4428" s="1">
        <v>927.4</v>
      </c>
      <c r="G4428" s="1">
        <v>-5.03</v>
      </c>
      <c r="H4428" s="1">
        <v>6.0</v>
      </c>
      <c r="I4428" s="1" t="s">
        <v>23</v>
      </c>
      <c r="J4428" s="1" t="s">
        <v>18</v>
      </c>
      <c r="K4428" s="1">
        <f t="shared" si="1"/>
        <v>2023</v>
      </c>
      <c r="L4428" s="1" t="str">
        <f t="shared" si="2"/>
        <v>Dec</v>
      </c>
      <c r="M4428" s="1" t="str">
        <f t="shared" si="3"/>
        <v>Loss</v>
      </c>
    </row>
    <row r="4429" ht="14.25" customHeight="1">
      <c r="A4429" s="1" t="s">
        <v>4463</v>
      </c>
      <c r="B4429" s="2">
        <v>44449.0</v>
      </c>
      <c r="C4429" s="1" t="s">
        <v>14</v>
      </c>
      <c r="D4429" s="1" t="s">
        <v>15</v>
      </c>
      <c r="E4429" s="1" t="s">
        <v>31</v>
      </c>
      <c r="F4429" s="1">
        <v>919.85</v>
      </c>
      <c r="G4429" s="1">
        <v>-154.24</v>
      </c>
      <c r="H4429" s="1">
        <v>2.0</v>
      </c>
      <c r="I4429" s="1" t="s">
        <v>34</v>
      </c>
      <c r="J4429" s="1" t="s">
        <v>38</v>
      </c>
      <c r="K4429" s="1">
        <f t="shared" si="1"/>
        <v>2021</v>
      </c>
      <c r="L4429" s="1" t="str">
        <f t="shared" si="2"/>
        <v>Sep</v>
      </c>
      <c r="M4429" s="1" t="str">
        <f t="shared" si="3"/>
        <v>Loss</v>
      </c>
    </row>
    <row r="4430" ht="14.25" customHeight="1">
      <c r="A4430" s="1" t="s">
        <v>4464</v>
      </c>
      <c r="B4430" s="2">
        <v>45259.0</v>
      </c>
      <c r="C4430" s="1" t="s">
        <v>14</v>
      </c>
      <c r="D4430" s="1" t="s">
        <v>21</v>
      </c>
      <c r="E4430" s="1" t="s">
        <v>37</v>
      </c>
      <c r="F4430" s="1">
        <v>386.65</v>
      </c>
      <c r="G4430" s="1">
        <v>22.03</v>
      </c>
      <c r="H4430" s="1">
        <v>5.0</v>
      </c>
      <c r="I4430" s="1" t="s">
        <v>23</v>
      </c>
      <c r="J4430" s="1" t="s">
        <v>18</v>
      </c>
      <c r="K4430" s="1">
        <f t="shared" si="1"/>
        <v>2023</v>
      </c>
      <c r="L4430" s="1" t="str">
        <f t="shared" si="2"/>
        <v>Nov</v>
      </c>
      <c r="M4430" s="1" t="str">
        <f t="shared" si="3"/>
        <v>Profit</v>
      </c>
    </row>
    <row r="4431" ht="14.25" customHeight="1">
      <c r="A4431" s="1" t="s">
        <v>4465</v>
      </c>
      <c r="B4431" s="2">
        <v>45054.0</v>
      </c>
      <c r="C4431" s="1" t="s">
        <v>30</v>
      </c>
      <c r="D4431" s="1" t="s">
        <v>21</v>
      </c>
      <c r="E4431" s="1" t="s">
        <v>76</v>
      </c>
      <c r="F4431" s="1">
        <v>283.34</v>
      </c>
      <c r="G4431" s="1">
        <v>-71.2</v>
      </c>
      <c r="H4431" s="1">
        <v>10.0</v>
      </c>
      <c r="I4431" s="1" t="s">
        <v>17</v>
      </c>
      <c r="J4431" s="1" t="s">
        <v>18</v>
      </c>
      <c r="K4431" s="1">
        <f t="shared" si="1"/>
        <v>2023</v>
      </c>
      <c r="L4431" s="1" t="str">
        <f t="shared" si="2"/>
        <v>May</v>
      </c>
      <c r="M4431" s="1" t="str">
        <f t="shared" si="3"/>
        <v>Loss</v>
      </c>
    </row>
    <row r="4432" ht="14.25" customHeight="1">
      <c r="A4432" s="1" t="s">
        <v>4466</v>
      </c>
      <c r="B4432" s="2">
        <v>45208.0</v>
      </c>
      <c r="C4432" s="1" t="s">
        <v>26</v>
      </c>
      <c r="D4432" s="1" t="s">
        <v>15</v>
      </c>
      <c r="E4432" s="1" t="s">
        <v>54</v>
      </c>
      <c r="F4432" s="1">
        <v>644.43</v>
      </c>
      <c r="G4432" s="1">
        <v>48.2</v>
      </c>
      <c r="H4432" s="1">
        <v>10.0</v>
      </c>
      <c r="I4432" s="1" t="s">
        <v>23</v>
      </c>
      <c r="J4432" s="1" t="s">
        <v>24</v>
      </c>
      <c r="K4432" s="1">
        <f t="shared" si="1"/>
        <v>2023</v>
      </c>
      <c r="L4432" s="1" t="str">
        <f t="shared" si="2"/>
        <v>Oct</v>
      </c>
      <c r="M4432" s="1" t="str">
        <f t="shared" si="3"/>
        <v>Profit</v>
      </c>
    </row>
    <row r="4433" ht="14.25" customHeight="1">
      <c r="A4433" s="1" t="s">
        <v>4467</v>
      </c>
      <c r="B4433" s="2">
        <v>45008.0</v>
      </c>
      <c r="C4433" s="1" t="s">
        <v>14</v>
      </c>
      <c r="D4433" s="1" t="s">
        <v>27</v>
      </c>
      <c r="E4433" s="1" t="s">
        <v>33</v>
      </c>
      <c r="F4433" s="1">
        <v>393.96</v>
      </c>
      <c r="G4433" s="1">
        <v>93.9</v>
      </c>
      <c r="H4433" s="1">
        <v>10.0</v>
      </c>
      <c r="I4433" s="1" t="s">
        <v>23</v>
      </c>
      <c r="J4433" s="1" t="s">
        <v>35</v>
      </c>
      <c r="K4433" s="1">
        <f t="shared" si="1"/>
        <v>2023</v>
      </c>
      <c r="L4433" s="1" t="str">
        <f t="shared" si="2"/>
        <v>Mar</v>
      </c>
      <c r="M4433" s="1" t="str">
        <f t="shared" si="3"/>
        <v>Profit</v>
      </c>
    </row>
    <row r="4434" ht="14.25" customHeight="1">
      <c r="A4434" s="1" t="s">
        <v>4468</v>
      </c>
      <c r="B4434" s="2">
        <v>44989.0</v>
      </c>
      <c r="C4434" s="1" t="s">
        <v>14</v>
      </c>
      <c r="D4434" s="1" t="s">
        <v>15</v>
      </c>
      <c r="E4434" s="1" t="s">
        <v>54</v>
      </c>
      <c r="F4434" s="1">
        <v>900.29</v>
      </c>
      <c r="G4434" s="1">
        <v>170.14</v>
      </c>
      <c r="H4434" s="1">
        <v>10.0</v>
      </c>
      <c r="I4434" s="1" t="s">
        <v>34</v>
      </c>
      <c r="J4434" s="1" t="s">
        <v>18</v>
      </c>
      <c r="K4434" s="1">
        <f t="shared" si="1"/>
        <v>2023</v>
      </c>
      <c r="L4434" s="1" t="str">
        <f t="shared" si="2"/>
        <v>Mar</v>
      </c>
      <c r="M4434" s="1" t="str">
        <f t="shared" si="3"/>
        <v>Profit</v>
      </c>
    </row>
    <row r="4435" ht="14.25" customHeight="1">
      <c r="A4435" s="1" t="s">
        <v>4469</v>
      </c>
      <c r="B4435" s="2">
        <v>45267.0</v>
      </c>
      <c r="C4435" s="1" t="s">
        <v>14</v>
      </c>
      <c r="D4435" s="1" t="s">
        <v>15</v>
      </c>
      <c r="E4435" s="1" t="s">
        <v>54</v>
      </c>
      <c r="F4435" s="1">
        <v>821.86</v>
      </c>
      <c r="G4435" s="1">
        <v>-16.39</v>
      </c>
      <c r="H4435" s="1">
        <v>7.0</v>
      </c>
      <c r="I4435" s="1" t="s">
        <v>17</v>
      </c>
      <c r="J4435" s="1" t="s">
        <v>24</v>
      </c>
      <c r="K4435" s="1">
        <f t="shared" si="1"/>
        <v>2023</v>
      </c>
      <c r="L4435" s="1" t="str">
        <f t="shared" si="2"/>
        <v>Dec</v>
      </c>
      <c r="M4435" s="1" t="str">
        <f t="shared" si="3"/>
        <v>Loss</v>
      </c>
    </row>
    <row r="4436" ht="14.25" customHeight="1">
      <c r="A4436" s="1" t="s">
        <v>4470</v>
      </c>
      <c r="B4436" s="2">
        <v>45012.0</v>
      </c>
      <c r="C4436" s="1" t="s">
        <v>20</v>
      </c>
      <c r="D4436" s="1" t="s">
        <v>15</v>
      </c>
      <c r="E4436" s="1" t="s">
        <v>16</v>
      </c>
      <c r="F4436" s="1">
        <v>688.6</v>
      </c>
      <c r="G4436" s="1">
        <v>186.44</v>
      </c>
      <c r="H4436" s="1">
        <v>3.0</v>
      </c>
      <c r="I4436" s="1" t="s">
        <v>34</v>
      </c>
      <c r="J4436" s="1" t="s">
        <v>38</v>
      </c>
      <c r="K4436" s="1">
        <f t="shared" si="1"/>
        <v>2023</v>
      </c>
      <c r="L4436" s="1" t="str">
        <f t="shared" si="2"/>
        <v>Mar</v>
      </c>
      <c r="M4436" s="1" t="str">
        <f t="shared" si="3"/>
        <v>Profit</v>
      </c>
    </row>
    <row r="4437" ht="14.25" customHeight="1">
      <c r="A4437" s="1" t="s">
        <v>4471</v>
      </c>
      <c r="B4437" s="2">
        <v>44431.0</v>
      </c>
      <c r="C4437" s="1" t="s">
        <v>20</v>
      </c>
      <c r="D4437" s="1" t="s">
        <v>27</v>
      </c>
      <c r="E4437" s="1" t="s">
        <v>28</v>
      </c>
      <c r="F4437" s="1">
        <v>43.74</v>
      </c>
      <c r="G4437" s="1">
        <v>89.11</v>
      </c>
      <c r="H4437" s="1">
        <v>6.0</v>
      </c>
      <c r="I4437" s="1" t="s">
        <v>17</v>
      </c>
      <c r="J4437" s="1" t="s">
        <v>18</v>
      </c>
      <c r="K4437" s="1">
        <f t="shared" si="1"/>
        <v>2021</v>
      </c>
      <c r="L4437" s="1" t="str">
        <f t="shared" si="2"/>
        <v>Aug</v>
      </c>
      <c r="M4437" s="1" t="str">
        <f t="shared" si="3"/>
        <v>Profit</v>
      </c>
    </row>
    <row r="4438" ht="14.25" customHeight="1">
      <c r="A4438" s="1" t="s">
        <v>4472</v>
      </c>
      <c r="B4438" s="2">
        <v>44844.0</v>
      </c>
      <c r="C4438" s="1" t="s">
        <v>30</v>
      </c>
      <c r="D4438" s="1" t="s">
        <v>27</v>
      </c>
      <c r="E4438" s="1" t="s">
        <v>28</v>
      </c>
      <c r="F4438" s="1">
        <v>822.91</v>
      </c>
      <c r="G4438" s="1">
        <v>-137.44</v>
      </c>
      <c r="H4438" s="1">
        <v>2.0</v>
      </c>
      <c r="I4438" s="1" t="s">
        <v>34</v>
      </c>
      <c r="J4438" s="1" t="s">
        <v>18</v>
      </c>
      <c r="K4438" s="1">
        <f t="shared" si="1"/>
        <v>2022</v>
      </c>
      <c r="L4438" s="1" t="str">
        <f t="shared" si="2"/>
        <v>Oct</v>
      </c>
      <c r="M4438" s="1" t="str">
        <f t="shared" si="3"/>
        <v>Loss</v>
      </c>
    </row>
    <row r="4439" ht="14.25" customHeight="1">
      <c r="A4439" s="1" t="s">
        <v>4473</v>
      </c>
      <c r="B4439" s="2">
        <v>44890.0</v>
      </c>
      <c r="C4439" s="1" t="s">
        <v>30</v>
      </c>
      <c r="D4439" s="1" t="s">
        <v>21</v>
      </c>
      <c r="E4439" s="1" t="s">
        <v>22</v>
      </c>
      <c r="F4439" s="1">
        <v>986.71</v>
      </c>
      <c r="G4439" s="1">
        <v>223.94</v>
      </c>
      <c r="H4439" s="1">
        <v>6.0</v>
      </c>
      <c r="I4439" s="1" t="s">
        <v>17</v>
      </c>
      <c r="J4439" s="1" t="s">
        <v>35</v>
      </c>
      <c r="K4439" s="1">
        <f t="shared" si="1"/>
        <v>2022</v>
      </c>
      <c r="L4439" s="1" t="str">
        <f t="shared" si="2"/>
        <v>Nov</v>
      </c>
      <c r="M4439" s="1" t="str">
        <f t="shared" si="3"/>
        <v>Profit</v>
      </c>
    </row>
    <row r="4440" ht="14.25" customHeight="1">
      <c r="A4440" s="1" t="s">
        <v>4474</v>
      </c>
      <c r="B4440" s="2">
        <v>45008.0</v>
      </c>
      <c r="C4440" s="1" t="s">
        <v>14</v>
      </c>
      <c r="D4440" s="1" t="s">
        <v>15</v>
      </c>
      <c r="E4440" s="1" t="s">
        <v>54</v>
      </c>
      <c r="F4440" s="1">
        <v>33.87</v>
      </c>
      <c r="G4440" s="1">
        <v>-131.15</v>
      </c>
      <c r="H4440" s="1">
        <v>4.0</v>
      </c>
      <c r="I4440" s="1" t="s">
        <v>34</v>
      </c>
      <c r="J4440" s="1" t="s">
        <v>35</v>
      </c>
      <c r="K4440" s="1">
        <f t="shared" si="1"/>
        <v>2023</v>
      </c>
      <c r="L4440" s="1" t="str">
        <f t="shared" si="2"/>
        <v>Mar</v>
      </c>
      <c r="M4440" s="1" t="str">
        <f t="shared" si="3"/>
        <v>Loss</v>
      </c>
    </row>
    <row r="4441" ht="14.25" customHeight="1">
      <c r="A4441" s="1" t="s">
        <v>4475</v>
      </c>
      <c r="B4441" s="2">
        <v>45091.0</v>
      </c>
      <c r="C4441" s="1" t="s">
        <v>14</v>
      </c>
      <c r="D4441" s="1" t="s">
        <v>27</v>
      </c>
      <c r="E4441" s="1" t="s">
        <v>33</v>
      </c>
      <c r="F4441" s="1">
        <v>791.02</v>
      </c>
      <c r="G4441" s="1">
        <v>-75.11</v>
      </c>
      <c r="H4441" s="1">
        <v>1.0</v>
      </c>
      <c r="I4441" s="1" t="s">
        <v>17</v>
      </c>
      <c r="J4441" s="1" t="s">
        <v>35</v>
      </c>
      <c r="K4441" s="1">
        <f t="shared" si="1"/>
        <v>2023</v>
      </c>
      <c r="L4441" s="1" t="str">
        <f t="shared" si="2"/>
        <v>Jun</v>
      </c>
      <c r="M4441" s="1" t="str">
        <f t="shared" si="3"/>
        <v>Loss</v>
      </c>
    </row>
    <row r="4442" ht="14.25" customHeight="1">
      <c r="A4442" s="1" t="s">
        <v>4476</v>
      </c>
      <c r="B4442" s="2">
        <v>45159.0</v>
      </c>
      <c r="C4442" s="1" t="s">
        <v>14</v>
      </c>
      <c r="D4442" s="1" t="s">
        <v>27</v>
      </c>
      <c r="E4442" s="1" t="s">
        <v>33</v>
      </c>
      <c r="F4442" s="1">
        <v>174.56</v>
      </c>
      <c r="G4442" s="1">
        <v>-168.19</v>
      </c>
      <c r="H4442" s="1">
        <v>5.0</v>
      </c>
      <c r="I4442" s="1" t="s">
        <v>23</v>
      </c>
      <c r="J4442" s="1" t="s">
        <v>18</v>
      </c>
      <c r="K4442" s="1">
        <f t="shared" si="1"/>
        <v>2023</v>
      </c>
      <c r="L4442" s="1" t="str">
        <f t="shared" si="2"/>
        <v>Aug</v>
      </c>
      <c r="M4442" s="1" t="str">
        <f t="shared" si="3"/>
        <v>Loss</v>
      </c>
    </row>
    <row r="4443" ht="14.25" customHeight="1">
      <c r="A4443" s="1" t="s">
        <v>4477</v>
      </c>
      <c r="B4443" s="2">
        <v>45201.0</v>
      </c>
      <c r="C4443" s="1" t="s">
        <v>30</v>
      </c>
      <c r="D4443" s="1" t="s">
        <v>15</v>
      </c>
      <c r="E4443" s="1" t="s">
        <v>16</v>
      </c>
      <c r="F4443" s="1">
        <v>576.42</v>
      </c>
      <c r="G4443" s="1">
        <v>-57.31</v>
      </c>
      <c r="H4443" s="1">
        <v>1.0</v>
      </c>
      <c r="I4443" s="1" t="s">
        <v>34</v>
      </c>
      <c r="J4443" s="1" t="s">
        <v>18</v>
      </c>
      <c r="K4443" s="1">
        <f t="shared" si="1"/>
        <v>2023</v>
      </c>
      <c r="L4443" s="1" t="str">
        <f t="shared" si="2"/>
        <v>Oct</v>
      </c>
      <c r="M4443" s="1" t="str">
        <f t="shared" si="3"/>
        <v>Loss</v>
      </c>
    </row>
    <row r="4444" ht="14.25" customHeight="1">
      <c r="A4444" s="1" t="s">
        <v>4478</v>
      </c>
      <c r="B4444" s="2">
        <v>44338.0</v>
      </c>
      <c r="C4444" s="1" t="s">
        <v>14</v>
      </c>
      <c r="D4444" s="1" t="s">
        <v>21</v>
      </c>
      <c r="E4444" s="1" t="s">
        <v>37</v>
      </c>
      <c r="F4444" s="1">
        <v>493.68</v>
      </c>
      <c r="G4444" s="1">
        <v>240.19</v>
      </c>
      <c r="H4444" s="1">
        <v>5.0</v>
      </c>
      <c r="I4444" s="1" t="s">
        <v>23</v>
      </c>
      <c r="J4444" s="1" t="s">
        <v>35</v>
      </c>
      <c r="K4444" s="1">
        <f t="shared" si="1"/>
        <v>2021</v>
      </c>
      <c r="L4444" s="1" t="str">
        <f t="shared" si="2"/>
        <v>May</v>
      </c>
      <c r="M4444" s="1" t="str">
        <f t="shared" si="3"/>
        <v>Profit</v>
      </c>
    </row>
    <row r="4445" ht="14.25" customHeight="1">
      <c r="A4445" s="1" t="s">
        <v>4479</v>
      </c>
      <c r="B4445" s="2">
        <v>45253.0</v>
      </c>
      <c r="C4445" s="1" t="s">
        <v>14</v>
      </c>
      <c r="D4445" s="1" t="s">
        <v>27</v>
      </c>
      <c r="E4445" s="1" t="s">
        <v>40</v>
      </c>
      <c r="F4445" s="1">
        <v>824.99</v>
      </c>
      <c r="G4445" s="1">
        <v>-102.55</v>
      </c>
      <c r="H4445" s="1">
        <v>10.0</v>
      </c>
      <c r="I4445" s="1" t="s">
        <v>23</v>
      </c>
      <c r="J4445" s="1" t="s">
        <v>35</v>
      </c>
      <c r="K4445" s="1">
        <f t="shared" si="1"/>
        <v>2023</v>
      </c>
      <c r="L4445" s="1" t="str">
        <f t="shared" si="2"/>
        <v>Nov</v>
      </c>
      <c r="M4445" s="1" t="str">
        <f t="shared" si="3"/>
        <v>Loss</v>
      </c>
    </row>
    <row r="4446" ht="14.25" customHeight="1">
      <c r="A4446" s="1" t="s">
        <v>4480</v>
      </c>
      <c r="B4446" s="2">
        <v>44859.0</v>
      </c>
      <c r="C4446" s="1" t="s">
        <v>30</v>
      </c>
      <c r="D4446" s="1" t="s">
        <v>21</v>
      </c>
      <c r="E4446" s="1" t="s">
        <v>22</v>
      </c>
      <c r="F4446" s="1">
        <v>562.55</v>
      </c>
      <c r="G4446" s="1">
        <v>-169.63</v>
      </c>
      <c r="H4446" s="1">
        <v>7.0</v>
      </c>
      <c r="I4446" s="1" t="s">
        <v>23</v>
      </c>
      <c r="J4446" s="1" t="s">
        <v>18</v>
      </c>
      <c r="K4446" s="1">
        <f t="shared" si="1"/>
        <v>2022</v>
      </c>
      <c r="L4446" s="1" t="str">
        <f t="shared" si="2"/>
        <v>Oct</v>
      </c>
      <c r="M4446" s="1" t="str">
        <f t="shared" si="3"/>
        <v>Loss</v>
      </c>
    </row>
    <row r="4447" ht="14.25" customHeight="1">
      <c r="A4447" s="1" t="s">
        <v>4481</v>
      </c>
      <c r="B4447" s="2">
        <v>45138.0</v>
      </c>
      <c r="C4447" s="1" t="s">
        <v>14</v>
      </c>
      <c r="D4447" s="1" t="s">
        <v>27</v>
      </c>
      <c r="E4447" s="1" t="s">
        <v>40</v>
      </c>
      <c r="F4447" s="1">
        <v>941.78</v>
      </c>
      <c r="G4447" s="1">
        <v>-8.1</v>
      </c>
      <c r="H4447" s="1">
        <v>3.0</v>
      </c>
      <c r="I4447" s="1" t="s">
        <v>34</v>
      </c>
      <c r="J4447" s="1" t="s">
        <v>24</v>
      </c>
      <c r="K4447" s="1">
        <f t="shared" si="1"/>
        <v>2023</v>
      </c>
      <c r="L4447" s="1" t="str">
        <f t="shared" si="2"/>
        <v>Jul</v>
      </c>
      <c r="M4447" s="1" t="str">
        <f t="shared" si="3"/>
        <v>Loss</v>
      </c>
    </row>
    <row r="4448" ht="14.25" customHeight="1">
      <c r="A4448" s="1" t="s">
        <v>4482</v>
      </c>
      <c r="B4448" s="2">
        <v>45051.0</v>
      </c>
      <c r="C4448" s="1" t="s">
        <v>20</v>
      </c>
      <c r="D4448" s="1" t="s">
        <v>27</v>
      </c>
      <c r="E4448" s="1" t="s">
        <v>28</v>
      </c>
      <c r="F4448" s="1">
        <v>347.92</v>
      </c>
      <c r="G4448" s="1">
        <v>-186.76</v>
      </c>
      <c r="H4448" s="1">
        <v>6.0</v>
      </c>
      <c r="I4448" s="1" t="s">
        <v>23</v>
      </c>
      <c r="J4448" s="1" t="s">
        <v>18</v>
      </c>
      <c r="K4448" s="1">
        <f t="shared" si="1"/>
        <v>2023</v>
      </c>
      <c r="L4448" s="1" t="str">
        <f t="shared" si="2"/>
        <v>May</v>
      </c>
      <c r="M4448" s="1" t="str">
        <f t="shared" si="3"/>
        <v>Loss</v>
      </c>
    </row>
    <row r="4449" ht="14.25" customHeight="1">
      <c r="A4449" s="1" t="s">
        <v>4483</v>
      </c>
      <c r="B4449" s="2">
        <v>44400.0</v>
      </c>
      <c r="C4449" s="1" t="s">
        <v>14</v>
      </c>
      <c r="D4449" s="1" t="s">
        <v>15</v>
      </c>
      <c r="E4449" s="1" t="s">
        <v>31</v>
      </c>
      <c r="F4449" s="1">
        <v>357.9</v>
      </c>
      <c r="G4449" s="1">
        <v>255.92</v>
      </c>
      <c r="H4449" s="1">
        <v>8.0</v>
      </c>
      <c r="I4449" s="1" t="s">
        <v>23</v>
      </c>
      <c r="J4449" s="1" t="s">
        <v>24</v>
      </c>
      <c r="K4449" s="1">
        <f t="shared" si="1"/>
        <v>2021</v>
      </c>
      <c r="L4449" s="1" t="str">
        <f t="shared" si="2"/>
        <v>Jul</v>
      </c>
      <c r="M4449" s="1" t="str">
        <f t="shared" si="3"/>
        <v>Profit</v>
      </c>
    </row>
    <row r="4450" ht="14.25" customHeight="1">
      <c r="A4450" s="1" t="s">
        <v>4484</v>
      </c>
      <c r="B4450" s="2">
        <v>44885.0</v>
      </c>
      <c r="C4450" s="1" t="s">
        <v>14</v>
      </c>
      <c r="D4450" s="1" t="s">
        <v>15</v>
      </c>
      <c r="E4450" s="1" t="s">
        <v>54</v>
      </c>
      <c r="F4450" s="1">
        <v>723.67</v>
      </c>
      <c r="G4450" s="1">
        <v>-8.93</v>
      </c>
      <c r="H4450" s="1">
        <v>9.0</v>
      </c>
      <c r="I4450" s="1" t="s">
        <v>17</v>
      </c>
      <c r="J4450" s="1" t="s">
        <v>38</v>
      </c>
      <c r="K4450" s="1">
        <f t="shared" si="1"/>
        <v>2022</v>
      </c>
      <c r="L4450" s="1" t="str">
        <f t="shared" si="2"/>
        <v>Nov</v>
      </c>
      <c r="M4450" s="1" t="str">
        <f t="shared" si="3"/>
        <v>Loss</v>
      </c>
    </row>
    <row r="4451" ht="14.25" customHeight="1">
      <c r="A4451" s="1" t="s">
        <v>4485</v>
      </c>
      <c r="B4451" s="2">
        <v>45149.0</v>
      </c>
      <c r="C4451" s="1" t="s">
        <v>20</v>
      </c>
      <c r="D4451" s="1" t="s">
        <v>15</v>
      </c>
      <c r="E4451" s="1" t="s">
        <v>54</v>
      </c>
      <c r="F4451" s="1">
        <v>176.61</v>
      </c>
      <c r="G4451" s="1">
        <v>-174.65</v>
      </c>
      <c r="H4451" s="1">
        <v>10.0</v>
      </c>
      <c r="I4451" s="1" t="s">
        <v>34</v>
      </c>
      <c r="J4451" s="1" t="s">
        <v>35</v>
      </c>
      <c r="K4451" s="1">
        <f t="shared" si="1"/>
        <v>2023</v>
      </c>
      <c r="L4451" s="1" t="str">
        <f t="shared" si="2"/>
        <v>Aug</v>
      </c>
      <c r="M4451" s="1" t="str">
        <f t="shared" si="3"/>
        <v>Loss</v>
      </c>
    </row>
    <row r="4452" ht="14.25" customHeight="1">
      <c r="A4452" s="1" t="s">
        <v>4486</v>
      </c>
      <c r="B4452" s="2">
        <v>45190.0</v>
      </c>
      <c r="C4452" s="1" t="s">
        <v>30</v>
      </c>
      <c r="D4452" s="1" t="s">
        <v>21</v>
      </c>
      <c r="E4452" s="1" t="s">
        <v>37</v>
      </c>
      <c r="F4452" s="1">
        <v>563.59</v>
      </c>
      <c r="G4452" s="1">
        <v>25.41</v>
      </c>
      <c r="H4452" s="1">
        <v>3.0</v>
      </c>
      <c r="I4452" s="1" t="s">
        <v>34</v>
      </c>
      <c r="J4452" s="1" t="s">
        <v>38</v>
      </c>
      <c r="K4452" s="1">
        <f t="shared" si="1"/>
        <v>2023</v>
      </c>
      <c r="L4452" s="1" t="str">
        <f t="shared" si="2"/>
        <v>Sep</v>
      </c>
      <c r="M4452" s="1" t="str">
        <f t="shared" si="3"/>
        <v>Profit</v>
      </c>
    </row>
    <row r="4453" ht="14.25" customHeight="1">
      <c r="A4453" s="1" t="s">
        <v>4487</v>
      </c>
      <c r="B4453" s="2">
        <v>45214.0</v>
      </c>
      <c r="C4453" s="1" t="s">
        <v>20</v>
      </c>
      <c r="D4453" s="1" t="s">
        <v>21</v>
      </c>
      <c r="E4453" s="1" t="s">
        <v>37</v>
      </c>
      <c r="F4453" s="1">
        <v>579.7</v>
      </c>
      <c r="G4453" s="1">
        <v>247.1</v>
      </c>
      <c r="H4453" s="1">
        <v>3.0</v>
      </c>
      <c r="I4453" s="1" t="s">
        <v>17</v>
      </c>
      <c r="J4453" s="1" t="s">
        <v>24</v>
      </c>
      <c r="K4453" s="1">
        <f t="shared" si="1"/>
        <v>2023</v>
      </c>
      <c r="L4453" s="1" t="str">
        <f t="shared" si="2"/>
        <v>Oct</v>
      </c>
      <c r="M4453" s="1" t="str">
        <f t="shared" si="3"/>
        <v>Profit</v>
      </c>
    </row>
    <row r="4454" ht="14.25" customHeight="1">
      <c r="A4454" s="1" t="s">
        <v>4488</v>
      </c>
      <c r="B4454" s="2">
        <v>45163.0</v>
      </c>
      <c r="C4454" s="1" t="s">
        <v>14</v>
      </c>
      <c r="D4454" s="1" t="s">
        <v>27</v>
      </c>
      <c r="E4454" s="1" t="s">
        <v>40</v>
      </c>
      <c r="F4454" s="1">
        <v>522.58</v>
      </c>
      <c r="G4454" s="1">
        <v>-88.94</v>
      </c>
      <c r="H4454" s="1">
        <v>5.0</v>
      </c>
      <c r="I4454" s="1" t="s">
        <v>17</v>
      </c>
      <c r="J4454" s="1" t="s">
        <v>35</v>
      </c>
      <c r="K4454" s="1">
        <f t="shared" si="1"/>
        <v>2023</v>
      </c>
      <c r="L4454" s="1" t="str">
        <f t="shared" si="2"/>
        <v>Aug</v>
      </c>
      <c r="M4454" s="1" t="str">
        <f t="shared" si="3"/>
        <v>Loss</v>
      </c>
    </row>
    <row r="4455" ht="14.25" customHeight="1">
      <c r="A4455" s="1" t="s">
        <v>4489</v>
      </c>
      <c r="B4455" s="2">
        <v>45108.0</v>
      </c>
      <c r="C4455" s="1" t="s">
        <v>20</v>
      </c>
      <c r="D4455" s="1" t="s">
        <v>15</v>
      </c>
      <c r="E4455" s="1" t="s">
        <v>54</v>
      </c>
      <c r="F4455" s="1">
        <v>706.9</v>
      </c>
      <c r="G4455" s="1">
        <v>-169.31</v>
      </c>
      <c r="H4455" s="1">
        <v>6.0</v>
      </c>
      <c r="I4455" s="1" t="s">
        <v>34</v>
      </c>
      <c r="J4455" s="1" t="s">
        <v>18</v>
      </c>
      <c r="K4455" s="1">
        <f t="shared" si="1"/>
        <v>2023</v>
      </c>
      <c r="L4455" s="1" t="str">
        <f t="shared" si="2"/>
        <v>Jul</v>
      </c>
      <c r="M4455" s="1" t="str">
        <f t="shared" si="3"/>
        <v>Loss</v>
      </c>
    </row>
    <row r="4456" ht="14.25" customHeight="1">
      <c r="A4456" s="1" t="s">
        <v>4490</v>
      </c>
      <c r="B4456" s="2">
        <v>45010.0</v>
      </c>
      <c r="C4456" s="1" t="s">
        <v>30</v>
      </c>
      <c r="D4456" s="1" t="s">
        <v>21</v>
      </c>
      <c r="E4456" s="1" t="s">
        <v>22</v>
      </c>
      <c r="F4456" s="1">
        <v>816.83</v>
      </c>
      <c r="G4456" s="1">
        <v>-163.29</v>
      </c>
      <c r="H4456" s="1">
        <v>2.0</v>
      </c>
      <c r="I4456" s="1" t="s">
        <v>34</v>
      </c>
      <c r="J4456" s="1" t="s">
        <v>38</v>
      </c>
      <c r="K4456" s="1">
        <f t="shared" si="1"/>
        <v>2023</v>
      </c>
      <c r="L4456" s="1" t="str">
        <f t="shared" si="2"/>
        <v>Mar</v>
      </c>
      <c r="M4456" s="1" t="str">
        <f t="shared" si="3"/>
        <v>Loss</v>
      </c>
    </row>
    <row r="4457" ht="14.25" customHeight="1">
      <c r="A4457" s="1" t="s">
        <v>4491</v>
      </c>
      <c r="B4457" s="2">
        <v>44625.0</v>
      </c>
      <c r="C4457" s="1" t="s">
        <v>30</v>
      </c>
      <c r="D4457" s="1" t="s">
        <v>21</v>
      </c>
      <c r="E4457" s="1" t="s">
        <v>22</v>
      </c>
      <c r="F4457" s="1">
        <v>605.62</v>
      </c>
      <c r="G4457" s="1">
        <v>4.24</v>
      </c>
      <c r="H4457" s="1">
        <v>1.0</v>
      </c>
      <c r="I4457" s="1" t="s">
        <v>17</v>
      </c>
      <c r="J4457" s="1" t="s">
        <v>24</v>
      </c>
      <c r="K4457" s="1">
        <f t="shared" si="1"/>
        <v>2022</v>
      </c>
      <c r="L4457" s="1" t="str">
        <f t="shared" si="2"/>
        <v>Mar</v>
      </c>
      <c r="M4457" s="1" t="str">
        <f t="shared" si="3"/>
        <v>Profit</v>
      </c>
    </row>
    <row r="4458" ht="14.25" customHeight="1">
      <c r="A4458" s="1" t="s">
        <v>4492</v>
      </c>
      <c r="B4458" s="2">
        <v>45034.0</v>
      </c>
      <c r="C4458" s="1" t="s">
        <v>14</v>
      </c>
      <c r="D4458" s="1" t="s">
        <v>15</v>
      </c>
      <c r="E4458" s="1" t="s">
        <v>16</v>
      </c>
      <c r="F4458" s="1">
        <v>259.44</v>
      </c>
      <c r="G4458" s="1">
        <v>179.86</v>
      </c>
      <c r="H4458" s="1">
        <v>7.0</v>
      </c>
      <c r="I4458" s="1" t="s">
        <v>34</v>
      </c>
      <c r="J4458" s="1" t="s">
        <v>38</v>
      </c>
      <c r="K4458" s="1">
        <f t="shared" si="1"/>
        <v>2023</v>
      </c>
      <c r="L4458" s="1" t="str">
        <f t="shared" si="2"/>
        <v>Apr</v>
      </c>
      <c r="M4458" s="1" t="str">
        <f t="shared" si="3"/>
        <v>Profit</v>
      </c>
    </row>
    <row r="4459" ht="14.25" customHeight="1">
      <c r="A4459" s="1" t="s">
        <v>4493</v>
      </c>
      <c r="B4459" s="2">
        <v>45037.0</v>
      </c>
      <c r="C4459" s="1" t="s">
        <v>14</v>
      </c>
      <c r="D4459" s="1" t="s">
        <v>21</v>
      </c>
      <c r="E4459" s="1" t="s">
        <v>76</v>
      </c>
      <c r="F4459" s="1">
        <v>783.73</v>
      </c>
      <c r="G4459" s="1">
        <v>121.68</v>
      </c>
      <c r="H4459" s="1">
        <v>2.0</v>
      </c>
      <c r="I4459" s="1" t="s">
        <v>34</v>
      </c>
      <c r="J4459" s="1" t="s">
        <v>38</v>
      </c>
      <c r="K4459" s="1">
        <f t="shared" si="1"/>
        <v>2023</v>
      </c>
      <c r="L4459" s="1" t="str">
        <f t="shared" si="2"/>
        <v>Apr</v>
      </c>
      <c r="M4459" s="1" t="str">
        <f t="shared" si="3"/>
        <v>Profit</v>
      </c>
    </row>
    <row r="4460" ht="14.25" customHeight="1">
      <c r="A4460" s="1" t="s">
        <v>4494</v>
      </c>
      <c r="B4460" s="2">
        <v>44302.0</v>
      </c>
      <c r="C4460" s="1" t="s">
        <v>20</v>
      </c>
      <c r="D4460" s="1" t="s">
        <v>15</v>
      </c>
      <c r="E4460" s="1" t="s">
        <v>54</v>
      </c>
      <c r="F4460" s="1">
        <v>434.71</v>
      </c>
      <c r="G4460" s="1">
        <v>-68.66</v>
      </c>
      <c r="H4460" s="1">
        <v>8.0</v>
      </c>
      <c r="I4460" s="1" t="s">
        <v>34</v>
      </c>
      <c r="J4460" s="1" t="s">
        <v>35</v>
      </c>
      <c r="K4460" s="1">
        <f t="shared" si="1"/>
        <v>2021</v>
      </c>
      <c r="L4460" s="1" t="str">
        <f t="shared" si="2"/>
        <v>Apr</v>
      </c>
      <c r="M4460" s="1" t="str">
        <f t="shared" si="3"/>
        <v>Loss</v>
      </c>
    </row>
    <row r="4461" ht="14.25" customHeight="1">
      <c r="A4461" s="1" t="s">
        <v>4495</v>
      </c>
      <c r="B4461" s="2">
        <v>44869.0</v>
      </c>
      <c r="C4461" s="1" t="s">
        <v>20</v>
      </c>
      <c r="D4461" s="1" t="s">
        <v>21</v>
      </c>
      <c r="E4461" s="1" t="s">
        <v>37</v>
      </c>
      <c r="F4461" s="1">
        <v>184.02</v>
      </c>
      <c r="G4461" s="1">
        <v>115.12</v>
      </c>
      <c r="H4461" s="1">
        <v>10.0</v>
      </c>
      <c r="I4461" s="1" t="s">
        <v>17</v>
      </c>
      <c r="J4461" s="1" t="s">
        <v>24</v>
      </c>
      <c r="K4461" s="1">
        <f t="shared" si="1"/>
        <v>2022</v>
      </c>
      <c r="L4461" s="1" t="str">
        <f t="shared" si="2"/>
        <v>Nov</v>
      </c>
      <c r="M4461" s="1" t="str">
        <f t="shared" si="3"/>
        <v>Profit</v>
      </c>
    </row>
    <row r="4462" ht="14.25" customHeight="1">
      <c r="A4462" s="1" t="s">
        <v>4496</v>
      </c>
      <c r="B4462" s="2">
        <v>44673.0</v>
      </c>
      <c r="C4462" s="1" t="s">
        <v>14</v>
      </c>
      <c r="D4462" s="1" t="s">
        <v>27</v>
      </c>
      <c r="E4462" s="1" t="s">
        <v>33</v>
      </c>
      <c r="F4462" s="1">
        <v>924.62</v>
      </c>
      <c r="G4462" s="1">
        <v>-165.67</v>
      </c>
      <c r="H4462" s="1">
        <v>7.0</v>
      </c>
      <c r="I4462" s="1" t="s">
        <v>34</v>
      </c>
      <c r="J4462" s="1" t="s">
        <v>18</v>
      </c>
      <c r="K4462" s="1">
        <f t="shared" si="1"/>
        <v>2022</v>
      </c>
      <c r="L4462" s="1" t="str">
        <f t="shared" si="2"/>
        <v>Apr</v>
      </c>
      <c r="M4462" s="1" t="str">
        <f t="shared" si="3"/>
        <v>Loss</v>
      </c>
    </row>
    <row r="4463" ht="14.25" customHeight="1">
      <c r="A4463" s="1" t="s">
        <v>4497</v>
      </c>
      <c r="B4463" s="2">
        <v>45085.0</v>
      </c>
      <c r="C4463" s="1" t="s">
        <v>14</v>
      </c>
      <c r="D4463" s="1" t="s">
        <v>15</v>
      </c>
      <c r="E4463" s="1" t="s">
        <v>31</v>
      </c>
      <c r="F4463" s="1">
        <v>178.0</v>
      </c>
      <c r="G4463" s="1">
        <v>83.77</v>
      </c>
      <c r="H4463" s="1">
        <v>6.0</v>
      </c>
      <c r="I4463" s="1" t="s">
        <v>34</v>
      </c>
      <c r="J4463" s="1" t="s">
        <v>18</v>
      </c>
      <c r="K4463" s="1">
        <f t="shared" si="1"/>
        <v>2023</v>
      </c>
      <c r="L4463" s="1" t="str">
        <f t="shared" si="2"/>
        <v>Jun</v>
      </c>
      <c r="M4463" s="1" t="str">
        <f t="shared" si="3"/>
        <v>Profit</v>
      </c>
    </row>
    <row r="4464" ht="14.25" customHeight="1">
      <c r="A4464" s="1" t="s">
        <v>4498</v>
      </c>
      <c r="B4464" s="2">
        <v>44315.0</v>
      </c>
      <c r="C4464" s="1" t="s">
        <v>26</v>
      </c>
      <c r="D4464" s="1" t="s">
        <v>27</v>
      </c>
      <c r="E4464" s="1" t="s">
        <v>28</v>
      </c>
      <c r="F4464" s="1">
        <v>553.18</v>
      </c>
      <c r="G4464" s="1">
        <v>-57.94</v>
      </c>
      <c r="H4464" s="1">
        <v>8.0</v>
      </c>
      <c r="I4464" s="1" t="s">
        <v>23</v>
      </c>
      <c r="J4464" s="1" t="s">
        <v>24</v>
      </c>
      <c r="K4464" s="1">
        <f t="shared" si="1"/>
        <v>2021</v>
      </c>
      <c r="L4464" s="1" t="str">
        <f t="shared" si="2"/>
        <v>Apr</v>
      </c>
      <c r="M4464" s="1" t="str">
        <f t="shared" si="3"/>
        <v>Loss</v>
      </c>
    </row>
    <row r="4465" ht="14.25" customHeight="1">
      <c r="A4465" s="1" t="s">
        <v>4499</v>
      </c>
      <c r="B4465" s="2">
        <v>44759.0</v>
      </c>
      <c r="C4465" s="1" t="s">
        <v>14</v>
      </c>
      <c r="D4465" s="1" t="s">
        <v>15</v>
      </c>
      <c r="E4465" s="1" t="s">
        <v>16</v>
      </c>
      <c r="F4465" s="1">
        <v>495.64</v>
      </c>
      <c r="G4465" s="1">
        <v>114.58</v>
      </c>
      <c r="H4465" s="1">
        <v>5.0</v>
      </c>
      <c r="I4465" s="1" t="s">
        <v>23</v>
      </c>
      <c r="J4465" s="1" t="s">
        <v>35</v>
      </c>
      <c r="K4465" s="1">
        <f t="shared" si="1"/>
        <v>2022</v>
      </c>
      <c r="L4465" s="1" t="str">
        <f t="shared" si="2"/>
        <v>Jul</v>
      </c>
      <c r="M4465" s="1" t="str">
        <f t="shared" si="3"/>
        <v>Profit</v>
      </c>
    </row>
    <row r="4466" ht="14.25" customHeight="1">
      <c r="A4466" s="1" t="s">
        <v>4500</v>
      </c>
      <c r="B4466" s="2">
        <v>44864.0</v>
      </c>
      <c r="C4466" s="1" t="s">
        <v>30</v>
      </c>
      <c r="D4466" s="1" t="s">
        <v>27</v>
      </c>
      <c r="E4466" s="1" t="s">
        <v>40</v>
      </c>
      <c r="F4466" s="1">
        <v>704.54</v>
      </c>
      <c r="G4466" s="1">
        <v>155.22</v>
      </c>
      <c r="H4466" s="1">
        <v>4.0</v>
      </c>
      <c r="I4466" s="1" t="s">
        <v>17</v>
      </c>
      <c r="J4466" s="1" t="s">
        <v>18</v>
      </c>
      <c r="K4466" s="1">
        <f t="shared" si="1"/>
        <v>2022</v>
      </c>
      <c r="L4466" s="1" t="str">
        <f t="shared" si="2"/>
        <v>Oct</v>
      </c>
      <c r="M4466" s="1" t="str">
        <f t="shared" si="3"/>
        <v>Profit</v>
      </c>
    </row>
    <row r="4467" ht="14.25" customHeight="1">
      <c r="A4467" s="1" t="s">
        <v>4501</v>
      </c>
      <c r="B4467" s="2">
        <v>44522.0</v>
      </c>
      <c r="C4467" s="1" t="s">
        <v>14</v>
      </c>
      <c r="D4467" s="1" t="s">
        <v>27</v>
      </c>
      <c r="E4467" s="1" t="s">
        <v>33</v>
      </c>
      <c r="F4467" s="1">
        <v>979.45</v>
      </c>
      <c r="G4467" s="1">
        <v>-162.04</v>
      </c>
      <c r="H4467" s="1">
        <v>1.0</v>
      </c>
      <c r="I4467" s="1" t="s">
        <v>17</v>
      </c>
      <c r="J4467" s="1" t="s">
        <v>24</v>
      </c>
      <c r="K4467" s="1">
        <f t="shared" si="1"/>
        <v>2021</v>
      </c>
      <c r="L4467" s="1" t="str">
        <f t="shared" si="2"/>
        <v>Nov</v>
      </c>
      <c r="M4467" s="1" t="str">
        <f t="shared" si="3"/>
        <v>Loss</v>
      </c>
    </row>
    <row r="4468" ht="14.25" customHeight="1">
      <c r="A4468" s="1" t="s">
        <v>4502</v>
      </c>
      <c r="B4468" s="2">
        <v>45249.0</v>
      </c>
      <c r="C4468" s="1" t="s">
        <v>20</v>
      </c>
      <c r="D4468" s="1" t="s">
        <v>15</v>
      </c>
      <c r="E4468" s="1" t="s">
        <v>31</v>
      </c>
      <c r="F4468" s="1">
        <v>777.44</v>
      </c>
      <c r="G4468" s="1">
        <v>157.13</v>
      </c>
      <c r="H4468" s="1">
        <v>2.0</v>
      </c>
      <c r="I4468" s="1" t="s">
        <v>23</v>
      </c>
      <c r="J4468" s="1" t="s">
        <v>18</v>
      </c>
      <c r="K4468" s="1">
        <f t="shared" si="1"/>
        <v>2023</v>
      </c>
      <c r="L4468" s="1" t="str">
        <f t="shared" si="2"/>
        <v>Nov</v>
      </c>
      <c r="M4468" s="1" t="str">
        <f t="shared" si="3"/>
        <v>Profit</v>
      </c>
    </row>
    <row r="4469" ht="14.25" customHeight="1">
      <c r="A4469" s="1" t="s">
        <v>4503</v>
      </c>
      <c r="B4469" s="2">
        <v>45153.0</v>
      </c>
      <c r="C4469" s="1" t="s">
        <v>26</v>
      </c>
      <c r="D4469" s="1" t="s">
        <v>21</v>
      </c>
      <c r="E4469" s="1" t="s">
        <v>37</v>
      </c>
      <c r="F4469" s="1">
        <v>896.37</v>
      </c>
      <c r="G4469" s="1">
        <v>-95.08</v>
      </c>
      <c r="H4469" s="1">
        <v>7.0</v>
      </c>
      <c r="I4469" s="1" t="s">
        <v>17</v>
      </c>
      <c r="J4469" s="1" t="s">
        <v>35</v>
      </c>
      <c r="K4469" s="1">
        <f t="shared" si="1"/>
        <v>2023</v>
      </c>
      <c r="L4469" s="1" t="str">
        <f t="shared" si="2"/>
        <v>Aug</v>
      </c>
      <c r="M4469" s="1" t="str">
        <f t="shared" si="3"/>
        <v>Loss</v>
      </c>
    </row>
    <row r="4470" ht="14.25" customHeight="1">
      <c r="A4470" s="1" t="s">
        <v>4504</v>
      </c>
      <c r="B4470" s="2">
        <v>44973.0</v>
      </c>
      <c r="C4470" s="1" t="s">
        <v>30</v>
      </c>
      <c r="D4470" s="1" t="s">
        <v>21</v>
      </c>
      <c r="E4470" s="1" t="s">
        <v>37</v>
      </c>
      <c r="F4470" s="1">
        <v>665.2</v>
      </c>
      <c r="G4470" s="1">
        <v>242.39</v>
      </c>
      <c r="H4470" s="1">
        <v>8.0</v>
      </c>
      <c r="I4470" s="1" t="s">
        <v>17</v>
      </c>
      <c r="J4470" s="1" t="s">
        <v>24</v>
      </c>
      <c r="K4470" s="1">
        <f t="shared" si="1"/>
        <v>2023</v>
      </c>
      <c r="L4470" s="1" t="str">
        <f t="shared" si="2"/>
        <v>Feb</v>
      </c>
      <c r="M4470" s="1" t="str">
        <f t="shared" si="3"/>
        <v>Profit</v>
      </c>
    </row>
    <row r="4471" ht="14.25" customHeight="1">
      <c r="A4471" s="1" t="s">
        <v>4505</v>
      </c>
      <c r="B4471" s="2">
        <v>44869.0</v>
      </c>
      <c r="C4471" s="1" t="s">
        <v>30</v>
      </c>
      <c r="D4471" s="1" t="s">
        <v>21</v>
      </c>
      <c r="E4471" s="1" t="s">
        <v>76</v>
      </c>
      <c r="F4471" s="1">
        <v>508.06</v>
      </c>
      <c r="G4471" s="1">
        <v>-37.76</v>
      </c>
      <c r="H4471" s="1">
        <v>9.0</v>
      </c>
      <c r="I4471" s="1" t="s">
        <v>34</v>
      </c>
      <c r="J4471" s="1" t="s">
        <v>35</v>
      </c>
      <c r="K4471" s="1">
        <f t="shared" si="1"/>
        <v>2022</v>
      </c>
      <c r="L4471" s="1" t="str">
        <f t="shared" si="2"/>
        <v>Nov</v>
      </c>
      <c r="M4471" s="1" t="str">
        <f t="shared" si="3"/>
        <v>Loss</v>
      </c>
    </row>
    <row r="4472" ht="14.25" customHeight="1">
      <c r="A4472" s="1" t="s">
        <v>4506</v>
      </c>
      <c r="B4472" s="2">
        <v>44956.0</v>
      </c>
      <c r="C4472" s="1" t="s">
        <v>14</v>
      </c>
      <c r="D4472" s="1" t="s">
        <v>15</v>
      </c>
      <c r="E4472" s="1" t="s">
        <v>31</v>
      </c>
      <c r="F4472" s="1">
        <v>239.49</v>
      </c>
      <c r="G4472" s="1">
        <v>286.46</v>
      </c>
      <c r="H4472" s="1">
        <v>1.0</v>
      </c>
      <c r="I4472" s="1" t="s">
        <v>17</v>
      </c>
      <c r="J4472" s="1" t="s">
        <v>35</v>
      </c>
      <c r="K4472" s="1">
        <f t="shared" si="1"/>
        <v>2023</v>
      </c>
      <c r="L4472" s="1" t="str">
        <f t="shared" si="2"/>
        <v>Jan</v>
      </c>
      <c r="M4472" s="1" t="str">
        <f t="shared" si="3"/>
        <v>Profit</v>
      </c>
    </row>
    <row r="4473" ht="14.25" customHeight="1">
      <c r="A4473" s="1" t="s">
        <v>4507</v>
      </c>
      <c r="B4473" s="2">
        <v>45247.0</v>
      </c>
      <c r="C4473" s="1" t="s">
        <v>30</v>
      </c>
      <c r="D4473" s="1" t="s">
        <v>15</v>
      </c>
      <c r="E4473" s="1" t="s">
        <v>54</v>
      </c>
      <c r="F4473" s="1">
        <v>82.99</v>
      </c>
      <c r="G4473" s="1">
        <v>-24.75</v>
      </c>
      <c r="H4473" s="1">
        <v>9.0</v>
      </c>
      <c r="I4473" s="1" t="s">
        <v>34</v>
      </c>
      <c r="J4473" s="1" t="s">
        <v>38</v>
      </c>
      <c r="K4473" s="1">
        <f t="shared" si="1"/>
        <v>2023</v>
      </c>
      <c r="L4473" s="1" t="str">
        <f t="shared" si="2"/>
        <v>Nov</v>
      </c>
      <c r="M4473" s="1" t="str">
        <f t="shared" si="3"/>
        <v>Loss</v>
      </c>
    </row>
    <row r="4474" ht="14.25" customHeight="1">
      <c r="A4474" s="1" t="s">
        <v>4508</v>
      </c>
      <c r="B4474" s="2">
        <v>44552.0</v>
      </c>
      <c r="C4474" s="1" t="s">
        <v>20</v>
      </c>
      <c r="D4474" s="1" t="s">
        <v>27</v>
      </c>
      <c r="E4474" s="1" t="s">
        <v>33</v>
      </c>
      <c r="F4474" s="1">
        <v>887.65</v>
      </c>
      <c r="G4474" s="1">
        <v>-1.07</v>
      </c>
      <c r="H4474" s="1">
        <v>1.0</v>
      </c>
      <c r="I4474" s="1" t="s">
        <v>17</v>
      </c>
      <c r="J4474" s="1" t="s">
        <v>24</v>
      </c>
      <c r="K4474" s="1">
        <f t="shared" si="1"/>
        <v>2021</v>
      </c>
      <c r="L4474" s="1" t="str">
        <f t="shared" si="2"/>
        <v>Dec</v>
      </c>
      <c r="M4474" s="1" t="str">
        <f t="shared" si="3"/>
        <v>Loss</v>
      </c>
    </row>
    <row r="4475" ht="14.25" customHeight="1">
      <c r="A4475" s="1" t="s">
        <v>4509</v>
      </c>
      <c r="B4475" s="2">
        <v>44370.0</v>
      </c>
      <c r="C4475" s="1" t="s">
        <v>14</v>
      </c>
      <c r="D4475" s="1" t="s">
        <v>21</v>
      </c>
      <c r="E4475" s="1" t="s">
        <v>22</v>
      </c>
      <c r="F4475" s="1">
        <v>421.48</v>
      </c>
      <c r="G4475" s="1">
        <v>-51.98</v>
      </c>
      <c r="H4475" s="1">
        <v>5.0</v>
      </c>
      <c r="I4475" s="1" t="s">
        <v>34</v>
      </c>
      <c r="J4475" s="1" t="s">
        <v>38</v>
      </c>
      <c r="K4475" s="1">
        <f t="shared" si="1"/>
        <v>2021</v>
      </c>
      <c r="L4475" s="1" t="str">
        <f t="shared" si="2"/>
        <v>Jun</v>
      </c>
      <c r="M4475" s="1" t="str">
        <f t="shared" si="3"/>
        <v>Loss</v>
      </c>
    </row>
    <row r="4476" ht="14.25" customHeight="1">
      <c r="A4476" s="1" t="s">
        <v>4510</v>
      </c>
      <c r="B4476" s="2">
        <v>45288.0</v>
      </c>
      <c r="C4476" s="1" t="s">
        <v>30</v>
      </c>
      <c r="D4476" s="1" t="s">
        <v>27</v>
      </c>
      <c r="E4476" s="1" t="s">
        <v>40</v>
      </c>
      <c r="F4476" s="1">
        <v>702.1</v>
      </c>
      <c r="G4476" s="1">
        <v>184.94</v>
      </c>
      <c r="H4476" s="1">
        <v>3.0</v>
      </c>
      <c r="I4476" s="1" t="s">
        <v>17</v>
      </c>
      <c r="J4476" s="1" t="s">
        <v>18</v>
      </c>
      <c r="K4476" s="1">
        <f t="shared" si="1"/>
        <v>2023</v>
      </c>
      <c r="L4476" s="1" t="str">
        <f t="shared" si="2"/>
        <v>Dec</v>
      </c>
      <c r="M4476" s="1" t="str">
        <f t="shared" si="3"/>
        <v>Profit</v>
      </c>
    </row>
    <row r="4477" ht="14.25" customHeight="1">
      <c r="A4477" s="1" t="s">
        <v>4511</v>
      </c>
      <c r="B4477" s="2">
        <v>44471.0</v>
      </c>
      <c r="C4477" s="1" t="s">
        <v>14</v>
      </c>
      <c r="D4477" s="1" t="s">
        <v>15</v>
      </c>
      <c r="E4477" s="1" t="s">
        <v>54</v>
      </c>
      <c r="F4477" s="1">
        <v>167.46</v>
      </c>
      <c r="G4477" s="1">
        <v>140.36</v>
      </c>
      <c r="H4477" s="1">
        <v>1.0</v>
      </c>
      <c r="I4477" s="1" t="s">
        <v>23</v>
      </c>
      <c r="J4477" s="1" t="s">
        <v>18</v>
      </c>
      <c r="K4477" s="1">
        <f t="shared" si="1"/>
        <v>2021</v>
      </c>
      <c r="L4477" s="1" t="str">
        <f t="shared" si="2"/>
        <v>Oct</v>
      </c>
      <c r="M4477" s="1" t="str">
        <f t="shared" si="3"/>
        <v>Profit</v>
      </c>
    </row>
    <row r="4478" ht="14.25" customHeight="1">
      <c r="A4478" s="1" t="s">
        <v>4512</v>
      </c>
      <c r="B4478" s="2">
        <v>45197.0</v>
      </c>
      <c r="C4478" s="1" t="s">
        <v>26</v>
      </c>
      <c r="D4478" s="1" t="s">
        <v>21</v>
      </c>
      <c r="E4478" s="1" t="s">
        <v>37</v>
      </c>
      <c r="F4478" s="1">
        <v>820.86</v>
      </c>
      <c r="G4478" s="1">
        <v>2.63</v>
      </c>
      <c r="H4478" s="1">
        <v>2.0</v>
      </c>
      <c r="I4478" s="1" t="s">
        <v>34</v>
      </c>
      <c r="J4478" s="1" t="s">
        <v>38</v>
      </c>
      <c r="K4478" s="1">
        <f t="shared" si="1"/>
        <v>2023</v>
      </c>
      <c r="L4478" s="1" t="str">
        <f t="shared" si="2"/>
        <v>Sep</v>
      </c>
      <c r="M4478" s="1" t="str">
        <f t="shared" si="3"/>
        <v>Profit</v>
      </c>
    </row>
    <row r="4479" ht="14.25" customHeight="1">
      <c r="A4479" s="1" t="s">
        <v>4513</v>
      </c>
      <c r="B4479" s="2">
        <v>44759.0</v>
      </c>
      <c r="C4479" s="1" t="s">
        <v>26</v>
      </c>
      <c r="D4479" s="1" t="s">
        <v>27</v>
      </c>
      <c r="E4479" s="1" t="s">
        <v>33</v>
      </c>
      <c r="F4479" s="1">
        <v>769.73</v>
      </c>
      <c r="G4479" s="1">
        <v>-52.84</v>
      </c>
      <c r="H4479" s="1">
        <v>5.0</v>
      </c>
      <c r="I4479" s="1" t="s">
        <v>23</v>
      </c>
      <c r="J4479" s="1" t="s">
        <v>38</v>
      </c>
      <c r="K4479" s="1">
        <f t="shared" si="1"/>
        <v>2022</v>
      </c>
      <c r="L4479" s="1" t="str">
        <f t="shared" si="2"/>
        <v>Jul</v>
      </c>
      <c r="M4479" s="1" t="str">
        <f t="shared" si="3"/>
        <v>Loss</v>
      </c>
    </row>
    <row r="4480" ht="14.25" customHeight="1">
      <c r="A4480" s="1" t="s">
        <v>4514</v>
      </c>
      <c r="B4480" s="2">
        <v>44776.0</v>
      </c>
      <c r="C4480" s="1" t="s">
        <v>14</v>
      </c>
      <c r="D4480" s="1" t="s">
        <v>21</v>
      </c>
      <c r="E4480" s="1" t="s">
        <v>22</v>
      </c>
      <c r="F4480" s="1">
        <v>867.83</v>
      </c>
      <c r="G4480" s="1">
        <v>164.46</v>
      </c>
      <c r="H4480" s="1">
        <v>6.0</v>
      </c>
      <c r="I4480" s="1" t="s">
        <v>34</v>
      </c>
      <c r="J4480" s="1" t="s">
        <v>38</v>
      </c>
      <c r="K4480" s="1">
        <f t="shared" si="1"/>
        <v>2022</v>
      </c>
      <c r="L4480" s="1" t="str">
        <f t="shared" si="2"/>
        <v>Aug</v>
      </c>
      <c r="M4480" s="1" t="str">
        <f t="shared" si="3"/>
        <v>Profit</v>
      </c>
    </row>
    <row r="4481" ht="14.25" customHeight="1">
      <c r="A4481" s="1" t="s">
        <v>4515</v>
      </c>
      <c r="B4481" s="2">
        <v>44890.0</v>
      </c>
      <c r="C4481" s="1" t="s">
        <v>20</v>
      </c>
      <c r="D4481" s="1" t="s">
        <v>21</v>
      </c>
      <c r="E4481" s="1" t="s">
        <v>76</v>
      </c>
      <c r="F4481" s="1">
        <v>144.38</v>
      </c>
      <c r="G4481" s="1">
        <v>206.11</v>
      </c>
      <c r="H4481" s="1">
        <v>2.0</v>
      </c>
      <c r="I4481" s="1" t="s">
        <v>34</v>
      </c>
      <c r="J4481" s="1" t="s">
        <v>24</v>
      </c>
      <c r="K4481" s="1">
        <f t="shared" si="1"/>
        <v>2022</v>
      </c>
      <c r="L4481" s="1" t="str">
        <f t="shared" si="2"/>
        <v>Nov</v>
      </c>
      <c r="M4481" s="1" t="str">
        <f t="shared" si="3"/>
        <v>Profit</v>
      </c>
    </row>
    <row r="4482" ht="14.25" customHeight="1">
      <c r="A4482" s="1" t="s">
        <v>4516</v>
      </c>
      <c r="B4482" s="2">
        <v>44528.0</v>
      </c>
      <c r="C4482" s="1" t="s">
        <v>14</v>
      </c>
      <c r="D4482" s="1" t="s">
        <v>27</v>
      </c>
      <c r="E4482" s="1" t="s">
        <v>40</v>
      </c>
      <c r="F4482" s="1">
        <v>505.43</v>
      </c>
      <c r="G4482" s="1">
        <v>238.47</v>
      </c>
      <c r="H4482" s="1">
        <v>6.0</v>
      </c>
      <c r="I4482" s="1" t="s">
        <v>17</v>
      </c>
      <c r="J4482" s="1" t="s">
        <v>38</v>
      </c>
      <c r="K4482" s="1">
        <f t="shared" si="1"/>
        <v>2021</v>
      </c>
      <c r="L4482" s="1" t="str">
        <f t="shared" si="2"/>
        <v>Nov</v>
      </c>
      <c r="M4482" s="1" t="str">
        <f t="shared" si="3"/>
        <v>Profit</v>
      </c>
    </row>
    <row r="4483" ht="14.25" customHeight="1">
      <c r="A4483" s="1" t="s">
        <v>4517</v>
      </c>
      <c r="B4483" s="2">
        <v>44385.0</v>
      </c>
      <c r="C4483" s="1" t="s">
        <v>14</v>
      </c>
      <c r="D4483" s="1" t="s">
        <v>21</v>
      </c>
      <c r="E4483" s="1" t="s">
        <v>37</v>
      </c>
      <c r="F4483" s="1">
        <v>919.97</v>
      </c>
      <c r="G4483" s="1">
        <v>-173.02</v>
      </c>
      <c r="H4483" s="1">
        <v>8.0</v>
      </c>
      <c r="I4483" s="1" t="s">
        <v>17</v>
      </c>
      <c r="J4483" s="1" t="s">
        <v>24</v>
      </c>
      <c r="K4483" s="1">
        <f t="shared" si="1"/>
        <v>2021</v>
      </c>
      <c r="L4483" s="1" t="str">
        <f t="shared" si="2"/>
        <v>Jul</v>
      </c>
      <c r="M4483" s="1" t="str">
        <f t="shared" si="3"/>
        <v>Loss</v>
      </c>
    </row>
    <row r="4484" ht="14.25" customHeight="1">
      <c r="A4484" s="1" t="s">
        <v>4518</v>
      </c>
      <c r="B4484" s="2">
        <v>45223.0</v>
      </c>
      <c r="C4484" s="1" t="s">
        <v>30</v>
      </c>
      <c r="D4484" s="1" t="s">
        <v>27</v>
      </c>
      <c r="E4484" s="1" t="s">
        <v>40</v>
      </c>
      <c r="F4484" s="1">
        <v>379.04</v>
      </c>
      <c r="G4484" s="1">
        <v>256.05</v>
      </c>
      <c r="H4484" s="1">
        <v>10.0</v>
      </c>
      <c r="I4484" s="1" t="s">
        <v>17</v>
      </c>
      <c r="J4484" s="1" t="s">
        <v>18</v>
      </c>
      <c r="K4484" s="1">
        <f t="shared" si="1"/>
        <v>2023</v>
      </c>
      <c r="L4484" s="1" t="str">
        <f t="shared" si="2"/>
        <v>Oct</v>
      </c>
      <c r="M4484" s="1" t="str">
        <f t="shared" si="3"/>
        <v>Profit</v>
      </c>
    </row>
    <row r="4485" ht="14.25" customHeight="1">
      <c r="A4485" s="1" t="s">
        <v>4519</v>
      </c>
      <c r="B4485" s="2">
        <v>45260.0</v>
      </c>
      <c r="C4485" s="1" t="s">
        <v>30</v>
      </c>
      <c r="D4485" s="1" t="s">
        <v>15</v>
      </c>
      <c r="E4485" s="1" t="s">
        <v>54</v>
      </c>
      <c r="F4485" s="1">
        <v>467.75</v>
      </c>
      <c r="G4485" s="1">
        <v>106.69</v>
      </c>
      <c r="H4485" s="1">
        <v>5.0</v>
      </c>
      <c r="I4485" s="1" t="s">
        <v>34</v>
      </c>
      <c r="J4485" s="1" t="s">
        <v>35</v>
      </c>
      <c r="K4485" s="1">
        <f t="shared" si="1"/>
        <v>2023</v>
      </c>
      <c r="L4485" s="1" t="str">
        <f t="shared" si="2"/>
        <v>Nov</v>
      </c>
      <c r="M4485" s="1" t="str">
        <f t="shared" si="3"/>
        <v>Profit</v>
      </c>
    </row>
    <row r="4486" ht="14.25" customHeight="1">
      <c r="A4486" s="1" t="s">
        <v>4520</v>
      </c>
      <c r="B4486" s="2">
        <v>45026.0</v>
      </c>
      <c r="C4486" s="1" t="s">
        <v>26</v>
      </c>
      <c r="D4486" s="1" t="s">
        <v>21</v>
      </c>
      <c r="E4486" s="1" t="s">
        <v>22</v>
      </c>
      <c r="F4486" s="1">
        <v>640.16</v>
      </c>
      <c r="G4486" s="1">
        <v>268.97</v>
      </c>
      <c r="H4486" s="1">
        <v>4.0</v>
      </c>
      <c r="I4486" s="1" t="s">
        <v>17</v>
      </c>
      <c r="J4486" s="1" t="s">
        <v>38</v>
      </c>
      <c r="K4486" s="1">
        <f t="shared" si="1"/>
        <v>2023</v>
      </c>
      <c r="L4486" s="1" t="str">
        <f t="shared" si="2"/>
        <v>Apr</v>
      </c>
      <c r="M4486" s="1" t="str">
        <f t="shared" si="3"/>
        <v>Profit</v>
      </c>
    </row>
    <row r="4487" ht="14.25" customHeight="1">
      <c r="A4487" s="1" t="s">
        <v>4521</v>
      </c>
      <c r="B4487" s="2">
        <v>44269.0</v>
      </c>
      <c r="C4487" s="1" t="s">
        <v>14</v>
      </c>
      <c r="D4487" s="1" t="s">
        <v>27</v>
      </c>
      <c r="E4487" s="1" t="s">
        <v>33</v>
      </c>
      <c r="F4487" s="1">
        <v>228.36</v>
      </c>
      <c r="G4487" s="1">
        <v>-171.12</v>
      </c>
      <c r="H4487" s="1">
        <v>6.0</v>
      </c>
      <c r="I4487" s="1" t="s">
        <v>34</v>
      </c>
      <c r="J4487" s="1" t="s">
        <v>38</v>
      </c>
      <c r="K4487" s="1">
        <f t="shared" si="1"/>
        <v>2021</v>
      </c>
      <c r="L4487" s="1" t="str">
        <f t="shared" si="2"/>
        <v>Mar</v>
      </c>
      <c r="M4487" s="1" t="str">
        <f t="shared" si="3"/>
        <v>Loss</v>
      </c>
    </row>
    <row r="4488" ht="14.25" customHeight="1">
      <c r="A4488" s="1" t="s">
        <v>4522</v>
      </c>
      <c r="B4488" s="2">
        <v>44332.0</v>
      </c>
      <c r="C4488" s="1" t="s">
        <v>26</v>
      </c>
      <c r="D4488" s="1" t="s">
        <v>21</v>
      </c>
      <c r="E4488" s="1" t="s">
        <v>22</v>
      </c>
      <c r="F4488" s="1">
        <v>349.02</v>
      </c>
      <c r="G4488" s="1">
        <v>291.24</v>
      </c>
      <c r="H4488" s="1">
        <v>3.0</v>
      </c>
      <c r="I4488" s="1" t="s">
        <v>23</v>
      </c>
      <c r="J4488" s="1" t="s">
        <v>35</v>
      </c>
      <c r="K4488" s="1">
        <f t="shared" si="1"/>
        <v>2021</v>
      </c>
      <c r="L4488" s="1" t="str">
        <f t="shared" si="2"/>
        <v>May</v>
      </c>
      <c r="M4488" s="1" t="str">
        <f t="shared" si="3"/>
        <v>Profit</v>
      </c>
    </row>
    <row r="4489" ht="14.25" customHeight="1">
      <c r="A4489" s="1" t="s">
        <v>4523</v>
      </c>
      <c r="B4489" s="2">
        <v>44399.0</v>
      </c>
      <c r="C4489" s="1" t="s">
        <v>26</v>
      </c>
      <c r="D4489" s="1" t="s">
        <v>27</v>
      </c>
      <c r="E4489" s="1" t="s">
        <v>28</v>
      </c>
      <c r="F4489" s="1">
        <v>154.46</v>
      </c>
      <c r="G4489" s="1">
        <v>-24.11</v>
      </c>
      <c r="H4489" s="1">
        <v>6.0</v>
      </c>
      <c r="I4489" s="1" t="s">
        <v>23</v>
      </c>
      <c r="J4489" s="1" t="s">
        <v>18</v>
      </c>
      <c r="K4489" s="1">
        <f t="shared" si="1"/>
        <v>2021</v>
      </c>
      <c r="L4489" s="1" t="str">
        <f t="shared" si="2"/>
        <v>Jul</v>
      </c>
      <c r="M4489" s="1" t="str">
        <f t="shared" si="3"/>
        <v>Loss</v>
      </c>
    </row>
    <row r="4490" ht="14.25" customHeight="1">
      <c r="A4490" s="1" t="s">
        <v>4524</v>
      </c>
      <c r="B4490" s="2">
        <v>44814.0</v>
      </c>
      <c r="C4490" s="1" t="s">
        <v>14</v>
      </c>
      <c r="D4490" s="1" t="s">
        <v>21</v>
      </c>
      <c r="E4490" s="1" t="s">
        <v>37</v>
      </c>
      <c r="F4490" s="1">
        <v>302.32</v>
      </c>
      <c r="G4490" s="1">
        <v>151.54</v>
      </c>
      <c r="H4490" s="1">
        <v>10.0</v>
      </c>
      <c r="I4490" s="1" t="s">
        <v>34</v>
      </c>
      <c r="J4490" s="1" t="s">
        <v>38</v>
      </c>
      <c r="K4490" s="1">
        <f t="shared" si="1"/>
        <v>2022</v>
      </c>
      <c r="L4490" s="1" t="str">
        <f t="shared" si="2"/>
        <v>Sep</v>
      </c>
      <c r="M4490" s="1" t="str">
        <f t="shared" si="3"/>
        <v>Profit</v>
      </c>
    </row>
    <row r="4491" ht="14.25" customHeight="1">
      <c r="A4491" s="1" t="s">
        <v>4525</v>
      </c>
      <c r="B4491" s="2">
        <v>44761.0</v>
      </c>
      <c r="C4491" s="1" t="s">
        <v>20</v>
      </c>
      <c r="D4491" s="1" t="s">
        <v>21</v>
      </c>
      <c r="E4491" s="1" t="s">
        <v>22</v>
      </c>
      <c r="F4491" s="1">
        <v>233.93</v>
      </c>
      <c r="G4491" s="1">
        <v>231.21</v>
      </c>
      <c r="H4491" s="1">
        <v>7.0</v>
      </c>
      <c r="I4491" s="1" t="s">
        <v>34</v>
      </c>
      <c r="J4491" s="1" t="s">
        <v>24</v>
      </c>
      <c r="K4491" s="1">
        <f t="shared" si="1"/>
        <v>2022</v>
      </c>
      <c r="L4491" s="1" t="str">
        <f t="shared" si="2"/>
        <v>Jul</v>
      </c>
      <c r="M4491" s="1" t="str">
        <f t="shared" si="3"/>
        <v>Profit</v>
      </c>
    </row>
    <row r="4492" ht="14.25" customHeight="1">
      <c r="A4492" s="1" t="s">
        <v>4526</v>
      </c>
      <c r="B4492" s="2">
        <v>44260.0</v>
      </c>
      <c r="C4492" s="1" t="s">
        <v>20</v>
      </c>
      <c r="D4492" s="1" t="s">
        <v>15</v>
      </c>
      <c r="E4492" s="1" t="s">
        <v>31</v>
      </c>
      <c r="F4492" s="1">
        <v>202.0</v>
      </c>
      <c r="G4492" s="1">
        <v>180.97</v>
      </c>
      <c r="H4492" s="1">
        <v>5.0</v>
      </c>
      <c r="I4492" s="1" t="s">
        <v>34</v>
      </c>
      <c r="J4492" s="1" t="s">
        <v>18</v>
      </c>
      <c r="K4492" s="1">
        <f t="shared" si="1"/>
        <v>2021</v>
      </c>
      <c r="L4492" s="1" t="str">
        <f t="shared" si="2"/>
        <v>Mar</v>
      </c>
      <c r="M4492" s="1" t="str">
        <f t="shared" si="3"/>
        <v>Profit</v>
      </c>
    </row>
    <row r="4493" ht="14.25" customHeight="1">
      <c r="A4493" s="1" t="s">
        <v>4527</v>
      </c>
      <c r="B4493" s="2">
        <v>44468.0</v>
      </c>
      <c r="C4493" s="1" t="s">
        <v>30</v>
      </c>
      <c r="D4493" s="1" t="s">
        <v>27</v>
      </c>
      <c r="E4493" s="1" t="s">
        <v>28</v>
      </c>
      <c r="F4493" s="1">
        <v>945.53</v>
      </c>
      <c r="G4493" s="1">
        <v>174.12</v>
      </c>
      <c r="H4493" s="1">
        <v>8.0</v>
      </c>
      <c r="I4493" s="1" t="s">
        <v>17</v>
      </c>
      <c r="J4493" s="1" t="s">
        <v>35</v>
      </c>
      <c r="K4493" s="1">
        <f t="shared" si="1"/>
        <v>2021</v>
      </c>
      <c r="L4493" s="1" t="str">
        <f t="shared" si="2"/>
        <v>Sep</v>
      </c>
      <c r="M4493" s="1" t="str">
        <f t="shared" si="3"/>
        <v>Profit</v>
      </c>
    </row>
    <row r="4494" ht="14.25" customHeight="1">
      <c r="A4494" s="1" t="s">
        <v>4528</v>
      </c>
      <c r="B4494" s="2">
        <v>44739.0</v>
      </c>
      <c r="C4494" s="1" t="s">
        <v>30</v>
      </c>
      <c r="D4494" s="1" t="s">
        <v>21</v>
      </c>
      <c r="E4494" s="1" t="s">
        <v>22</v>
      </c>
      <c r="F4494" s="1">
        <v>386.22</v>
      </c>
      <c r="G4494" s="1">
        <v>-186.36</v>
      </c>
      <c r="H4494" s="1">
        <v>9.0</v>
      </c>
      <c r="I4494" s="1" t="s">
        <v>17</v>
      </c>
      <c r="J4494" s="1" t="s">
        <v>35</v>
      </c>
      <c r="K4494" s="1">
        <f t="shared" si="1"/>
        <v>2022</v>
      </c>
      <c r="L4494" s="1" t="str">
        <f t="shared" si="2"/>
        <v>Jun</v>
      </c>
      <c r="M4494" s="1" t="str">
        <f t="shared" si="3"/>
        <v>Loss</v>
      </c>
    </row>
    <row r="4495" ht="14.25" customHeight="1">
      <c r="A4495" s="1" t="s">
        <v>4529</v>
      </c>
      <c r="B4495" s="2">
        <v>44818.0</v>
      </c>
      <c r="C4495" s="1" t="s">
        <v>30</v>
      </c>
      <c r="D4495" s="1" t="s">
        <v>27</v>
      </c>
      <c r="E4495" s="1" t="s">
        <v>33</v>
      </c>
      <c r="F4495" s="1">
        <v>778.48</v>
      </c>
      <c r="G4495" s="1">
        <v>28.37</v>
      </c>
      <c r="H4495" s="1">
        <v>9.0</v>
      </c>
      <c r="I4495" s="1" t="s">
        <v>23</v>
      </c>
      <c r="J4495" s="1" t="s">
        <v>18</v>
      </c>
      <c r="K4495" s="1">
        <f t="shared" si="1"/>
        <v>2022</v>
      </c>
      <c r="L4495" s="1" t="str">
        <f t="shared" si="2"/>
        <v>Sep</v>
      </c>
      <c r="M4495" s="1" t="str">
        <f t="shared" si="3"/>
        <v>Profit</v>
      </c>
    </row>
    <row r="4496" ht="14.25" customHeight="1">
      <c r="A4496" s="1" t="s">
        <v>4530</v>
      </c>
      <c r="B4496" s="2">
        <v>44817.0</v>
      </c>
      <c r="C4496" s="1" t="s">
        <v>20</v>
      </c>
      <c r="D4496" s="1" t="s">
        <v>27</v>
      </c>
      <c r="E4496" s="1" t="s">
        <v>28</v>
      </c>
      <c r="F4496" s="1">
        <v>686.95</v>
      </c>
      <c r="G4496" s="1">
        <v>95.71</v>
      </c>
      <c r="H4496" s="1">
        <v>4.0</v>
      </c>
      <c r="I4496" s="1" t="s">
        <v>34</v>
      </c>
      <c r="J4496" s="1" t="s">
        <v>24</v>
      </c>
      <c r="K4496" s="1">
        <f t="shared" si="1"/>
        <v>2022</v>
      </c>
      <c r="L4496" s="1" t="str">
        <f t="shared" si="2"/>
        <v>Sep</v>
      </c>
      <c r="M4496" s="1" t="str">
        <f t="shared" si="3"/>
        <v>Profit</v>
      </c>
    </row>
    <row r="4497" ht="14.25" customHeight="1">
      <c r="A4497" s="1" t="s">
        <v>4531</v>
      </c>
      <c r="B4497" s="2">
        <v>45020.0</v>
      </c>
      <c r="C4497" s="1" t="s">
        <v>30</v>
      </c>
      <c r="D4497" s="1" t="s">
        <v>15</v>
      </c>
      <c r="E4497" s="1" t="s">
        <v>16</v>
      </c>
      <c r="F4497" s="1">
        <v>830.95</v>
      </c>
      <c r="G4497" s="1">
        <v>76.19</v>
      </c>
      <c r="H4497" s="1">
        <v>1.0</v>
      </c>
      <c r="I4497" s="1" t="s">
        <v>17</v>
      </c>
      <c r="J4497" s="1" t="s">
        <v>18</v>
      </c>
      <c r="K4497" s="1">
        <f t="shared" si="1"/>
        <v>2023</v>
      </c>
      <c r="L4497" s="1" t="str">
        <f t="shared" si="2"/>
        <v>Apr</v>
      </c>
      <c r="M4497" s="1" t="str">
        <f t="shared" si="3"/>
        <v>Profit</v>
      </c>
    </row>
    <row r="4498" ht="14.25" customHeight="1">
      <c r="A4498" s="1" t="s">
        <v>4532</v>
      </c>
      <c r="B4498" s="2">
        <v>45277.0</v>
      </c>
      <c r="C4498" s="1" t="s">
        <v>20</v>
      </c>
      <c r="D4498" s="1" t="s">
        <v>21</v>
      </c>
      <c r="E4498" s="1" t="s">
        <v>76</v>
      </c>
      <c r="F4498" s="1">
        <v>918.47</v>
      </c>
      <c r="G4498" s="1">
        <v>137.28</v>
      </c>
      <c r="H4498" s="1">
        <v>2.0</v>
      </c>
      <c r="I4498" s="1" t="s">
        <v>17</v>
      </c>
      <c r="J4498" s="1" t="s">
        <v>18</v>
      </c>
      <c r="K4498" s="1">
        <f t="shared" si="1"/>
        <v>2023</v>
      </c>
      <c r="L4498" s="1" t="str">
        <f t="shared" si="2"/>
        <v>Dec</v>
      </c>
      <c r="M4498" s="1" t="str">
        <f t="shared" si="3"/>
        <v>Profit</v>
      </c>
    </row>
    <row r="4499" ht="14.25" customHeight="1">
      <c r="A4499" s="1" t="s">
        <v>4533</v>
      </c>
      <c r="B4499" s="2">
        <v>44971.0</v>
      </c>
      <c r="C4499" s="1" t="s">
        <v>30</v>
      </c>
      <c r="D4499" s="1" t="s">
        <v>21</v>
      </c>
      <c r="E4499" s="1" t="s">
        <v>22</v>
      </c>
      <c r="F4499" s="1">
        <v>460.4</v>
      </c>
      <c r="G4499" s="1">
        <v>46.84</v>
      </c>
      <c r="H4499" s="1">
        <v>8.0</v>
      </c>
      <c r="I4499" s="1" t="s">
        <v>23</v>
      </c>
      <c r="J4499" s="1" t="s">
        <v>38</v>
      </c>
      <c r="K4499" s="1">
        <f t="shared" si="1"/>
        <v>2023</v>
      </c>
      <c r="L4499" s="1" t="str">
        <f t="shared" si="2"/>
        <v>Feb</v>
      </c>
      <c r="M4499" s="1" t="str">
        <f t="shared" si="3"/>
        <v>Profit</v>
      </c>
    </row>
    <row r="4500" ht="14.25" customHeight="1">
      <c r="A4500" s="1" t="s">
        <v>4534</v>
      </c>
      <c r="B4500" s="2">
        <v>44910.0</v>
      </c>
      <c r="C4500" s="1" t="s">
        <v>14</v>
      </c>
      <c r="D4500" s="1" t="s">
        <v>27</v>
      </c>
      <c r="E4500" s="1" t="s">
        <v>40</v>
      </c>
      <c r="F4500" s="1">
        <v>785.08</v>
      </c>
      <c r="G4500" s="1">
        <v>65.39</v>
      </c>
      <c r="H4500" s="1">
        <v>3.0</v>
      </c>
      <c r="I4500" s="1" t="s">
        <v>23</v>
      </c>
      <c r="J4500" s="1" t="s">
        <v>38</v>
      </c>
      <c r="K4500" s="1">
        <f t="shared" si="1"/>
        <v>2022</v>
      </c>
      <c r="L4500" s="1" t="str">
        <f t="shared" si="2"/>
        <v>Dec</v>
      </c>
      <c r="M4500" s="1" t="str">
        <f t="shared" si="3"/>
        <v>Profit</v>
      </c>
    </row>
    <row r="4501" ht="14.25" customHeight="1">
      <c r="A4501" s="1" t="s">
        <v>4535</v>
      </c>
      <c r="B4501" s="2">
        <v>44700.0</v>
      </c>
      <c r="C4501" s="1" t="s">
        <v>30</v>
      </c>
      <c r="D4501" s="1" t="s">
        <v>15</v>
      </c>
      <c r="E4501" s="1" t="s">
        <v>31</v>
      </c>
      <c r="F4501" s="1">
        <v>240.67</v>
      </c>
      <c r="G4501" s="1">
        <v>164.94</v>
      </c>
      <c r="H4501" s="1">
        <v>4.0</v>
      </c>
      <c r="I4501" s="1" t="s">
        <v>34</v>
      </c>
      <c r="J4501" s="1" t="s">
        <v>35</v>
      </c>
      <c r="K4501" s="1">
        <f t="shared" si="1"/>
        <v>2022</v>
      </c>
      <c r="L4501" s="1" t="str">
        <f t="shared" si="2"/>
        <v>May</v>
      </c>
      <c r="M4501" s="1" t="str">
        <f t="shared" si="3"/>
        <v>Profit</v>
      </c>
    </row>
    <row r="4502" ht="14.25" customHeight="1">
      <c r="A4502" s="1" t="s">
        <v>4536</v>
      </c>
      <c r="B4502" s="2">
        <v>44722.0</v>
      </c>
      <c r="C4502" s="1" t="s">
        <v>14</v>
      </c>
      <c r="D4502" s="1" t="s">
        <v>21</v>
      </c>
      <c r="E4502" s="1" t="s">
        <v>76</v>
      </c>
      <c r="F4502" s="1">
        <v>381.15</v>
      </c>
      <c r="G4502" s="1">
        <v>276.59</v>
      </c>
      <c r="H4502" s="1">
        <v>5.0</v>
      </c>
      <c r="I4502" s="1" t="s">
        <v>34</v>
      </c>
      <c r="J4502" s="1" t="s">
        <v>24</v>
      </c>
      <c r="K4502" s="1">
        <f t="shared" si="1"/>
        <v>2022</v>
      </c>
      <c r="L4502" s="1" t="str">
        <f t="shared" si="2"/>
        <v>Jun</v>
      </c>
      <c r="M4502" s="1" t="str">
        <f t="shared" si="3"/>
        <v>Profit</v>
      </c>
    </row>
    <row r="4503" ht="14.25" customHeight="1">
      <c r="A4503" s="1" t="s">
        <v>4537</v>
      </c>
      <c r="B4503" s="2">
        <v>44489.0</v>
      </c>
      <c r="C4503" s="1" t="s">
        <v>30</v>
      </c>
      <c r="D4503" s="1" t="s">
        <v>21</v>
      </c>
      <c r="E4503" s="1" t="s">
        <v>22</v>
      </c>
      <c r="F4503" s="1">
        <v>307.89</v>
      </c>
      <c r="G4503" s="1">
        <v>180.42</v>
      </c>
      <c r="H4503" s="1">
        <v>1.0</v>
      </c>
      <c r="I4503" s="1" t="s">
        <v>17</v>
      </c>
      <c r="J4503" s="1" t="s">
        <v>35</v>
      </c>
      <c r="K4503" s="1">
        <f t="shared" si="1"/>
        <v>2021</v>
      </c>
      <c r="L4503" s="1" t="str">
        <f t="shared" si="2"/>
        <v>Oct</v>
      </c>
      <c r="M4503" s="1" t="str">
        <f t="shared" si="3"/>
        <v>Profit</v>
      </c>
    </row>
    <row r="4504" ht="14.25" customHeight="1">
      <c r="A4504" s="1" t="s">
        <v>4538</v>
      </c>
      <c r="B4504" s="2">
        <v>44807.0</v>
      </c>
      <c r="C4504" s="1" t="s">
        <v>20</v>
      </c>
      <c r="D4504" s="1" t="s">
        <v>21</v>
      </c>
      <c r="E4504" s="1" t="s">
        <v>76</v>
      </c>
      <c r="F4504" s="1">
        <v>734.89</v>
      </c>
      <c r="G4504" s="1">
        <v>155.66</v>
      </c>
      <c r="H4504" s="1">
        <v>10.0</v>
      </c>
      <c r="I4504" s="1" t="s">
        <v>17</v>
      </c>
      <c r="J4504" s="1" t="s">
        <v>24</v>
      </c>
      <c r="K4504" s="1">
        <f t="shared" si="1"/>
        <v>2022</v>
      </c>
      <c r="L4504" s="1" t="str">
        <f t="shared" si="2"/>
        <v>Sep</v>
      </c>
      <c r="M4504" s="1" t="str">
        <f t="shared" si="3"/>
        <v>Profit</v>
      </c>
    </row>
    <row r="4505" ht="14.25" customHeight="1">
      <c r="A4505" s="1" t="s">
        <v>4539</v>
      </c>
      <c r="B4505" s="2">
        <v>44621.0</v>
      </c>
      <c r="C4505" s="1" t="s">
        <v>14</v>
      </c>
      <c r="D4505" s="1" t="s">
        <v>15</v>
      </c>
      <c r="E4505" s="1" t="s">
        <v>31</v>
      </c>
      <c r="F4505" s="1">
        <v>500.16</v>
      </c>
      <c r="G4505" s="1">
        <v>-40.33</v>
      </c>
      <c r="H4505" s="1">
        <v>1.0</v>
      </c>
      <c r="I4505" s="1" t="s">
        <v>34</v>
      </c>
      <c r="J4505" s="1" t="s">
        <v>24</v>
      </c>
      <c r="K4505" s="1">
        <f t="shared" si="1"/>
        <v>2022</v>
      </c>
      <c r="L4505" s="1" t="str">
        <f t="shared" si="2"/>
        <v>Mar</v>
      </c>
      <c r="M4505" s="1" t="str">
        <f t="shared" si="3"/>
        <v>Loss</v>
      </c>
    </row>
    <row r="4506" ht="14.25" customHeight="1">
      <c r="A4506" s="1" t="s">
        <v>4540</v>
      </c>
      <c r="B4506" s="2">
        <v>44729.0</v>
      </c>
      <c r="C4506" s="1" t="s">
        <v>14</v>
      </c>
      <c r="D4506" s="1" t="s">
        <v>27</v>
      </c>
      <c r="E4506" s="1" t="s">
        <v>28</v>
      </c>
      <c r="F4506" s="1">
        <v>574.22</v>
      </c>
      <c r="G4506" s="1">
        <v>97.96</v>
      </c>
      <c r="H4506" s="1">
        <v>9.0</v>
      </c>
      <c r="I4506" s="1" t="s">
        <v>17</v>
      </c>
      <c r="J4506" s="1" t="s">
        <v>18</v>
      </c>
      <c r="K4506" s="1">
        <f t="shared" si="1"/>
        <v>2022</v>
      </c>
      <c r="L4506" s="1" t="str">
        <f t="shared" si="2"/>
        <v>Jun</v>
      </c>
      <c r="M4506" s="1" t="str">
        <f t="shared" si="3"/>
        <v>Profit</v>
      </c>
    </row>
    <row r="4507" ht="14.25" customHeight="1">
      <c r="A4507" s="1" t="s">
        <v>4541</v>
      </c>
      <c r="B4507" s="2">
        <v>44286.0</v>
      </c>
      <c r="C4507" s="1" t="s">
        <v>30</v>
      </c>
      <c r="D4507" s="1" t="s">
        <v>21</v>
      </c>
      <c r="E4507" s="1" t="s">
        <v>76</v>
      </c>
      <c r="F4507" s="1">
        <v>83.96</v>
      </c>
      <c r="G4507" s="1">
        <v>279.97</v>
      </c>
      <c r="H4507" s="1">
        <v>2.0</v>
      </c>
      <c r="I4507" s="1" t="s">
        <v>34</v>
      </c>
      <c r="J4507" s="1" t="s">
        <v>18</v>
      </c>
      <c r="K4507" s="1">
        <f t="shared" si="1"/>
        <v>2021</v>
      </c>
      <c r="L4507" s="1" t="str">
        <f t="shared" si="2"/>
        <v>Mar</v>
      </c>
      <c r="M4507" s="1" t="str">
        <f t="shared" si="3"/>
        <v>Profit</v>
      </c>
    </row>
    <row r="4508" ht="14.25" customHeight="1">
      <c r="A4508" s="1" t="s">
        <v>4542</v>
      </c>
      <c r="B4508" s="2">
        <v>44392.0</v>
      </c>
      <c r="C4508" s="1" t="s">
        <v>14</v>
      </c>
      <c r="D4508" s="1" t="s">
        <v>15</v>
      </c>
      <c r="E4508" s="1" t="s">
        <v>16</v>
      </c>
      <c r="F4508" s="1">
        <v>312.1</v>
      </c>
      <c r="G4508" s="1">
        <v>271.63</v>
      </c>
      <c r="H4508" s="1">
        <v>10.0</v>
      </c>
      <c r="I4508" s="1" t="s">
        <v>34</v>
      </c>
      <c r="J4508" s="1" t="s">
        <v>38</v>
      </c>
      <c r="K4508" s="1">
        <f t="shared" si="1"/>
        <v>2021</v>
      </c>
      <c r="L4508" s="1" t="str">
        <f t="shared" si="2"/>
        <v>Jul</v>
      </c>
      <c r="M4508" s="1" t="str">
        <f t="shared" si="3"/>
        <v>Profit</v>
      </c>
    </row>
    <row r="4509" ht="14.25" customHeight="1">
      <c r="A4509" s="1" t="s">
        <v>4543</v>
      </c>
      <c r="B4509" s="2">
        <v>44323.0</v>
      </c>
      <c r="C4509" s="1" t="s">
        <v>26</v>
      </c>
      <c r="D4509" s="1" t="s">
        <v>15</v>
      </c>
      <c r="E4509" s="1" t="s">
        <v>54</v>
      </c>
      <c r="F4509" s="1">
        <v>814.31</v>
      </c>
      <c r="G4509" s="1">
        <v>-118.38</v>
      </c>
      <c r="H4509" s="1">
        <v>5.0</v>
      </c>
      <c r="I4509" s="1" t="s">
        <v>23</v>
      </c>
      <c r="J4509" s="1" t="s">
        <v>35</v>
      </c>
      <c r="K4509" s="1">
        <f t="shared" si="1"/>
        <v>2021</v>
      </c>
      <c r="L4509" s="1" t="str">
        <f t="shared" si="2"/>
        <v>May</v>
      </c>
      <c r="M4509" s="1" t="str">
        <f t="shared" si="3"/>
        <v>Loss</v>
      </c>
    </row>
    <row r="4510" ht="14.25" customHeight="1">
      <c r="A4510" s="1" t="s">
        <v>4544</v>
      </c>
      <c r="B4510" s="2">
        <v>44764.0</v>
      </c>
      <c r="C4510" s="1" t="s">
        <v>30</v>
      </c>
      <c r="D4510" s="1" t="s">
        <v>15</v>
      </c>
      <c r="E4510" s="1" t="s">
        <v>54</v>
      </c>
      <c r="F4510" s="1">
        <v>619.96</v>
      </c>
      <c r="G4510" s="1">
        <v>184.48</v>
      </c>
      <c r="H4510" s="1">
        <v>1.0</v>
      </c>
      <c r="I4510" s="1" t="s">
        <v>34</v>
      </c>
      <c r="J4510" s="1" t="s">
        <v>18</v>
      </c>
      <c r="K4510" s="1">
        <f t="shared" si="1"/>
        <v>2022</v>
      </c>
      <c r="L4510" s="1" t="str">
        <f t="shared" si="2"/>
        <v>Jul</v>
      </c>
      <c r="M4510" s="1" t="str">
        <f t="shared" si="3"/>
        <v>Profit</v>
      </c>
    </row>
    <row r="4511" ht="14.25" customHeight="1">
      <c r="A4511" s="1" t="s">
        <v>4545</v>
      </c>
      <c r="B4511" s="2">
        <v>44471.0</v>
      </c>
      <c r="C4511" s="1" t="s">
        <v>20</v>
      </c>
      <c r="D4511" s="1" t="s">
        <v>21</v>
      </c>
      <c r="E4511" s="1" t="s">
        <v>37</v>
      </c>
      <c r="F4511" s="1">
        <v>60.96</v>
      </c>
      <c r="G4511" s="1">
        <v>131.33</v>
      </c>
      <c r="H4511" s="1">
        <v>8.0</v>
      </c>
      <c r="I4511" s="1" t="s">
        <v>34</v>
      </c>
      <c r="J4511" s="1" t="s">
        <v>18</v>
      </c>
      <c r="K4511" s="1">
        <f t="shared" si="1"/>
        <v>2021</v>
      </c>
      <c r="L4511" s="1" t="str">
        <f t="shared" si="2"/>
        <v>Oct</v>
      </c>
      <c r="M4511" s="1" t="str">
        <f t="shared" si="3"/>
        <v>Profit</v>
      </c>
    </row>
    <row r="4512" ht="14.25" customHeight="1">
      <c r="A4512" s="1" t="s">
        <v>4546</v>
      </c>
      <c r="B4512" s="2">
        <v>44444.0</v>
      </c>
      <c r="C4512" s="1" t="s">
        <v>26</v>
      </c>
      <c r="D4512" s="1" t="s">
        <v>21</v>
      </c>
      <c r="E4512" s="1" t="s">
        <v>22</v>
      </c>
      <c r="F4512" s="1">
        <v>203.46</v>
      </c>
      <c r="G4512" s="1">
        <v>250.28</v>
      </c>
      <c r="H4512" s="1">
        <v>8.0</v>
      </c>
      <c r="I4512" s="1" t="s">
        <v>34</v>
      </c>
      <c r="J4512" s="1" t="s">
        <v>35</v>
      </c>
      <c r="K4512" s="1">
        <f t="shared" si="1"/>
        <v>2021</v>
      </c>
      <c r="L4512" s="1" t="str">
        <f t="shared" si="2"/>
        <v>Sep</v>
      </c>
      <c r="M4512" s="1" t="str">
        <f t="shared" si="3"/>
        <v>Profit</v>
      </c>
    </row>
    <row r="4513" ht="14.25" customHeight="1">
      <c r="A4513" s="1" t="s">
        <v>4547</v>
      </c>
      <c r="B4513" s="2">
        <v>44856.0</v>
      </c>
      <c r="C4513" s="1" t="s">
        <v>20</v>
      </c>
      <c r="D4513" s="1" t="s">
        <v>27</v>
      </c>
      <c r="E4513" s="1" t="s">
        <v>28</v>
      </c>
      <c r="F4513" s="1">
        <v>110.78</v>
      </c>
      <c r="G4513" s="1">
        <v>132.63</v>
      </c>
      <c r="H4513" s="1">
        <v>9.0</v>
      </c>
      <c r="I4513" s="1" t="s">
        <v>34</v>
      </c>
      <c r="J4513" s="1" t="s">
        <v>38</v>
      </c>
      <c r="K4513" s="1">
        <f t="shared" si="1"/>
        <v>2022</v>
      </c>
      <c r="L4513" s="1" t="str">
        <f t="shared" si="2"/>
        <v>Oct</v>
      </c>
      <c r="M4513" s="1" t="str">
        <f t="shared" si="3"/>
        <v>Profit</v>
      </c>
    </row>
    <row r="4514" ht="14.25" customHeight="1">
      <c r="A4514" s="1" t="s">
        <v>4548</v>
      </c>
      <c r="B4514" s="2">
        <v>44901.0</v>
      </c>
      <c r="C4514" s="1" t="s">
        <v>20</v>
      </c>
      <c r="D4514" s="1" t="s">
        <v>15</v>
      </c>
      <c r="E4514" s="1" t="s">
        <v>54</v>
      </c>
      <c r="F4514" s="1">
        <v>582.14</v>
      </c>
      <c r="G4514" s="1">
        <v>216.13</v>
      </c>
      <c r="H4514" s="1">
        <v>7.0</v>
      </c>
      <c r="I4514" s="1" t="s">
        <v>17</v>
      </c>
      <c r="J4514" s="1" t="s">
        <v>38</v>
      </c>
      <c r="K4514" s="1">
        <f t="shared" si="1"/>
        <v>2022</v>
      </c>
      <c r="L4514" s="1" t="str">
        <f t="shared" si="2"/>
        <v>Dec</v>
      </c>
      <c r="M4514" s="1" t="str">
        <f t="shared" si="3"/>
        <v>Profit</v>
      </c>
    </row>
    <row r="4515" ht="14.25" customHeight="1">
      <c r="A4515" s="1" t="s">
        <v>4549</v>
      </c>
      <c r="B4515" s="2">
        <v>44225.0</v>
      </c>
      <c r="C4515" s="1" t="s">
        <v>20</v>
      </c>
      <c r="D4515" s="1" t="s">
        <v>27</v>
      </c>
      <c r="E4515" s="1" t="s">
        <v>40</v>
      </c>
      <c r="F4515" s="1">
        <v>502.58</v>
      </c>
      <c r="G4515" s="1">
        <v>-79.4</v>
      </c>
      <c r="H4515" s="1">
        <v>2.0</v>
      </c>
      <c r="I4515" s="1" t="s">
        <v>23</v>
      </c>
      <c r="J4515" s="1" t="s">
        <v>38</v>
      </c>
      <c r="K4515" s="1">
        <f t="shared" si="1"/>
        <v>2021</v>
      </c>
      <c r="L4515" s="1" t="str">
        <f t="shared" si="2"/>
        <v>Jan</v>
      </c>
      <c r="M4515" s="1" t="str">
        <f t="shared" si="3"/>
        <v>Loss</v>
      </c>
    </row>
    <row r="4516" ht="14.25" customHeight="1">
      <c r="A4516" s="1" t="s">
        <v>4550</v>
      </c>
      <c r="B4516" s="2">
        <v>44432.0</v>
      </c>
      <c r="C4516" s="1" t="s">
        <v>14</v>
      </c>
      <c r="D4516" s="1" t="s">
        <v>21</v>
      </c>
      <c r="E4516" s="1" t="s">
        <v>37</v>
      </c>
      <c r="F4516" s="1">
        <v>431.13</v>
      </c>
      <c r="G4516" s="1">
        <v>82.77</v>
      </c>
      <c r="H4516" s="1">
        <v>2.0</v>
      </c>
      <c r="I4516" s="1" t="s">
        <v>34</v>
      </c>
      <c r="J4516" s="1" t="s">
        <v>38</v>
      </c>
      <c r="K4516" s="1">
        <f t="shared" si="1"/>
        <v>2021</v>
      </c>
      <c r="L4516" s="1" t="str">
        <f t="shared" si="2"/>
        <v>Aug</v>
      </c>
      <c r="M4516" s="1" t="str">
        <f t="shared" si="3"/>
        <v>Profit</v>
      </c>
    </row>
    <row r="4517" ht="14.25" customHeight="1">
      <c r="A4517" s="1" t="s">
        <v>4551</v>
      </c>
      <c r="B4517" s="2">
        <v>44999.0</v>
      </c>
      <c r="C4517" s="1" t="s">
        <v>20</v>
      </c>
      <c r="D4517" s="1" t="s">
        <v>15</v>
      </c>
      <c r="E4517" s="1" t="s">
        <v>16</v>
      </c>
      <c r="F4517" s="1">
        <v>246.02</v>
      </c>
      <c r="G4517" s="1">
        <v>-85.99</v>
      </c>
      <c r="H4517" s="1">
        <v>4.0</v>
      </c>
      <c r="I4517" s="1" t="s">
        <v>23</v>
      </c>
      <c r="J4517" s="1" t="s">
        <v>24</v>
      </c>
      <c r="K4517" s="1">
        <f t="shared" si="1"/>
        <v>2023</v>
      </c>
      <c r="L4517" s="1" t="str">
        <f t="shared" si="2"/>
        <v>Mar</v>
      </c>
      <c r="M4517" s="1" t="str">
        <f t="shared" si="3"/>
        <v>Loss</v>
      </c>
    </row>
    <row r="4518" ht="14.25" customHeight="1">
      <c r="A4518" s="1" t="s">
        <v>4552</v>
      </c>
      <c r="B4518" s="2">
        <v>45065.0</v>
      </c>
      <c r="C4518" s="1" t="s">
        <v>20</v>
      </c>
      <c r="D4518" s="1" t="s">
        <v>27</v>
      </c>
      <c r="E4518" s="1" t="s">
        <v>28</v>
      </c>
      <c r="F4518" s="1">
        <v>409.67</v>
      </c>
      <c r="G4518" s="1">
        <v>-152.27</v>
      </c>
      <c r="H4518" s="1">
        <v>1.0</v>
      </c>
      <c r="I4518" s="1" t="s">
        <v>23</v>
      </c>
      <c r="J4518" s="1" t="s">
        <v>38</v>
      </c>
      <c r="K4518" s="1">
        <f t="shared" si="1"/>
        <v>2023</v>
      </c>
      <c r="L4518" s="1" t="str">
        <f t="shared" si="2"/>
        <v>May</v>
      </c>
      <c r="M4518" s="1" t="str">
        <f t="shared" si="3"/>
        <v>Loss</v>
      </c>
    </row>
    <row r="4519" ht="14.25" customHeight="1">
      <c r="A4519" s="1" t="s">
        <v>4553</v>
      </c>
      <c r="B4519" s="2">
        <v>44917.0</v>
      </c>
      <c r="C4519" s="1" t="s">
        <v>14</v>
      </c>
      <c r="D4519" s="1" t="s">
        <v>15</v>
      </c>
      <c r="E4519" s="1" t="s">
        <v>31</v>
      </c>
      <c r="F4519" s="1">
        <v>598.13</v>
      </c>
      <c r="G4519" s="1">
        <v>107.47</v>
      </c>
      <c r="H4519" s="1">
        <v>4.0</v>
      </c>
      <c r="I4519" s="1" t="s">
        <v>17</v>
      </c>
      <c r="J4519" s="1" t="s">
        <v>18</v>
      </c>
      <c r="K4519" s="1">
        <f t="shared" si="1"/>
        <v>2022</v>
      </c>
      <c r="L4519" s="1" t="str">
        <f t="shared" si="2"/>
        <v>Dec</v>
      </c>
      <c r="M4519" s="1" t="str">
        <f t="shared" si="3"/>
        <v>Profit</v>
      </c>
    </row>
    <row r="4520" ht="14.25" customHeight="1">
      <c r="A4520" s="1" t="s">
        <v>4554</v>
      </c>
      <c r="B4520" s="2">
        <v>45291.0</v>
      </c>
      <c r="C4520" s="1" t="s">
        <v>14</v>
      </c>
      <c r="D4520" s="1" t="s">
        <v>27</v>
      </c>
      <c r="E4520" s="1" t="s">
        <v>40</v>
      </c>
      <c r="F4520" s="1">
        <v>969.29</v>
      </c>
      <c r="G4520" s="1">
        <v>55.79</v>
      </c>
      <c r="H4520" s="1">
        <v>5.0</v>
      </c>
      <c r="I4520" s="1" t="s">
        <v>23</v>
      </c>
      <c r="J4520" s="1" t="s">
        <v>38</v>
      </c>
      <c r="K4520" s="1">
        <f t="shared" si="1"/>
        <v>2023</v>
      </c>
      <c r="L4520" s="1" t="str">
        <f t="shared" si="2"/>
        <v>Dec</v>
      </c>
      <c r="M4520" s="1" t="str">
        <f t="shared" si="3"/>
        <v>Profit</v>
      </c>
    </row>
    <row r="4521" ht="14.25" customHeight="1">
      <c r="A4521" s="1" t="s">
        <v>4555</v>
      </c>
      <c r="B4521" s="2">
        <v>44749.0</v>
      </c>
      <c r="C4521" s="1" t="s">
        <v>30</v>
      </c>
      <c r="D4521" s="1" t="s">
        <v>15</v>
      </c>
      <c r="E4521" s="1" t="s">
        <v>54</v>
      </c>
      <c r="F4521" s="1">
        <v>652.99</v>
      </c>
      <c r="G4521" s="1">
        <v>130.94</v>
      </c>
      <c r="H4521" s="1">
        <v>9.0</v>
      </c>
      <c r="I4521" s="1" t="s">
        <v>17</v>
      </c>
      <c r="J4521" s="1" t="s">
        <v>18</v>
      </c>
      <c r="K4521" s="1">
        <f t="shared" si="1"/>
        <v>2022</v>
      </c>
      <c r="L4521" s="1" t="str">
        <f t="shared" si="2"/>
        <v>Jul</v>
      </c>
      <c r="M4521" s="1" t="str">
        <f t="shared" si="3"/>
        <v>Profit</v>
      </c>
    </row>
    <row r="4522" ht="14.25" customHeight="1">
      <c r="A4522" s="1" t="s">
        <v>4556</v>
      </c>
      <c r="B4522" s="2">
        <v>45258.0</v>
      </c>
      <c r="C4522" s="1" t="s">
        <v>26</v>
      </c>
      <c r="D4522" s="1" t="s">
        <v>27</v>
      </c>
      <c r="E4522" s="1" t="s">
        <v>33</v>
      </c>
      <c r="F4522" s="1">
        <v>509.32</v>
      </c>
      <c r="G4522" s="1">
        <v>199.13</v>
      </c>
      <c r="H4522" s="1">
        <v>9.0</v>
      </c>
      <c r="I4522" s="1" t="s">
        <v>17</v>
      </c>
      <c r="J4522" s="1" t="s">
        <v>35</v>
      </c>
      <c r="K4522" s="1">
        <f t="shared" si="1"/>
        <v>2023</v>
      </c>
      <c r="L4522" s="1" t="str">
        <f t="shared" si="2"/>
        <v>Nov</v>
      </c>
      <c r="M4522" s="1" t="str">
        <f t="shared" si="3"/>
        <v>Profit</v>
      </c>
    </row>
    <row r="4523" ht="14.25" customHeight="1">
      <c r="A4523" s="1" t="s">
        <v>4557</v>
      </c>
      <c r="B4523" s="2">
        <v>44471.0</v>
      </c>
      <c r="C4523" s="1" t="s">
        <v>20</v>
      </c>
      <c r="D4523" s="1" t="s">
        <v>27</v>
      </c>
      <c r="E4523" s="1" t="s">
        <v>40</v>
      </c>
      <c r="F4523" s="1">
        <v>54.37</v>
      </c>
      <c r="G4523" s="1">
        <v>20.72</v>
      </c>
      <c r="H4523" s="1">
        <v>9.0</v>
      </c>
      <c r="I4523" s="1" t="s">
        <v>23</v>
      </c>
      <c r="J4523" s="1" t="s">
        <v>24</v>
      </c>
      <c r="K4523" s="1">
        <f t="shared" si="1"/>
        <v>2021</v>
      </c>
      <c r="L4523" s="1" t="str">
        <f t="shared" si="2"/>
        <v>Oct</v>
      </c>
      <c r="M4523" s="1" t="str">
        <f t="shared" si="3"/>
        <v>Profit</v>
      </c>
    </row>
    <row r="4524" ht="14.25" customHeight="1">
      <c r="A4524" s="1" t="s">
        <v>4558</v>
      </c>
      <c r="B4524" s="2">
        <v>45149.0</v>
      </c>
      <c r="C4524" s="1" t="s">
        <v>26</v>
      </c>
      <c r="D4524" s="1" t="s">
        <v>21</v>
      </c>
      <c r="E4524" s="1" t="s">
        <v>22</v>
      </c>
      <c r="F4524" s="1">
        <v>316.91</v>
      </c>
      <c r="G4524" s="1">
        <v>275.29</v>
      </c>
      <c r="H4524" s="1">
        <v>5.0</v>
      </c>
      <c r="I4524" s="1" t="s">
        <v>23</v>
      </c>
      <c r="J4524" s="1" t="s">
        <v>18</v>
      </c>
      <c r="K4524" s="1">
        <f t="shared" si="1"/>
        <v>2023</v>
      </c>
      <c r="L4524" s="1" t="str">
        <f t="shared" si="2"/>
        <v>Aug</v>
      </c>
      <c r="M4524" s="1" t="str">
        <f t="shared" si="3"/>
        <v>Profit</v>
      </c>
    </row>
    <row r="4525" ht="14.25" customHeight="1">
      <c r="A4525" s="1" t="s">
        <v>4559</v>
      </c>
      <c r="B4525" s="2">
        <v>44213.0</v>
      </c>
      <c r="C4525" s="1" t="s">
        <v>20</v>
      </c>
      <c r="D4525" s="1" t="s">
        <v>15</v>
      </c>
      <c r="E4525" s="1" t="s">
        <v>54</v>
      </c>
      <c r="F4525" s="1">
        <v>216.99</v>
      </c>
      <c r="G4525" s="1">
        <v>-190.57</v>
      </c>
      <c r="H4525" s="1">
        <v>10.0</v>
      </c>
      <c r="I4525" s="1" t="s">
        <v>34</v>
      </c>
      <c r="J4525" s="1" t="s">
        <v>24</v>
      </c>
      <c r="K4525" s="1">
        <f t="shared" si="1"/>
        <v>2021</v>
      </c>
      <c r="L4525" s="1" t="str">
        <f t="shared" si="2"/>
        <v>Jan</v>
      </c>
      <c r="M4525" s="1" t="str">
        <f t="shared" si="3"/>
        <v>Loss</v>
      </c>
    </row>
    <row r="4526" ht="14.25" customHeight="1">
      <c r="A4526" s="1" t="s">
        <v>4560</v>
      </c>
      <c r="B4526" s="2">
        <v>45032.0</v>
      </c>
      <c r="C4526" s="1" t="s">
        <v>20</v>
      </c>
      <c r="D4526" s="1" t="s">
        <v>15</v>
      </c>
      <c r="E4526" s="1" t="s">
        <v>31</v>
      </c>
      <c r="F4526" s="1">
        <v>830.56</v>
      </c>
      <c r="G4526" s="1">
        <v>124.12</v>
      </c>
      <c r="H4526" s="1">
        <v>6.0</v>
      </c>
      <c r="I4526" s="1" t="s">
        <v>23</v>
      </c>
      <c r="J4526" s="1" t="s">
        <v>18</v>
      </c>
      <c r="K4526" s="1">
        <f t="shared" si="1"/>
        <v>2023</v>
      </c>
      <c r="L4526" s="1" t="str">
        <f t="shared" si="2"/>
        <v>Apr</v>
      </c>
      <c r="M4526" s="1" t="str">
        <f t="shared" si="3"/>
        <v>Profit</v>
      </c>
    </row>
    <row r="4527" ht="14.25" customHeight="1">
      <c r="A4527" s="1" t="s">
        <v>4561</v>
      </c>
      <c r="B4527" s="2">
        <v>44235.0</v>
      </c>
      <c r="C4527" s="1" t="s">
        <v>14</v>
      </c>
      <c r="D4527" s="1" t="s">
        <v>21</v>
      </c>
      <c r="E4527" s="1" t="s">
        <v>76</v>
      </c>
      <c r="F4527" s="1">
        <v>404.6</v>
      </c>
      <c r="G4527" s="1">
        <v>55.71</v>
      </c>
      <c r="H4527" s="1">
        <v>9.0</v>
      </c>
      <c r="I4527" s="1" t="s">
        <v>34</v>
      </c>
      <c r="J4527" s="1" t="s">
        <v>24</v>
      </c>
      <c r="K4527" s="1">
        <f t="shared" si="1"/>
        <v>2021</v>
      </c>
      <c r="L4527" s="1" t="str">
        <f t="shared" si="2"/>
        <v>Feb</v>
      </c>
      <c r="M4527" s="1" t="str">
        <f t="shared" si="3"/>
        <v>Profit</v>
      </c>
    </row>
    <row r="4528" ht="14.25" customHeight="1">
      <c r="A4528" s="1" t="s">
        <v>4562</v>
      </c>
      <c r="B4528" s="2">
        <v>44372.0</v>
      </c>
      <c r="C4528" s="1" t="s">
        <v>26</v>
      </c>
      <c r="D4528" s="1" t="s">
        <v>27</v>
      </c>
      <c r="E4528" s="1" t="s">
        <v>33</v>
      </c>
      <c r="F4528" s="1">
        <v>812.59</v>
      </c>
      <c r="G4528" s="1">
        <v>-39.6</v>
      </c>
      <c r="H4528" s="1">
        <v>2.0</v>
      </c>
      <c r="I4528" s="1" t="s">
        <v>17</v>
      </c>
      <c r="J4528" s="1" t="s">
        <v>35</v>
      </c>
      <c r="K4528" s="1">
        <f t="shared" si="1"/>
        <v>2021</v>
      </c>
      <c r="L4528" s="1" t="str">
        <f t="shared" si="2"/>
        <v>Jun</v>
      </c>
      <c r="M4528" s="1" t="str">
        <f t="shared" si="3"/>
        <v>Loss</v>
      </c>
    </row>
    <row r="4529" ht="14.25" customHeight="1">
      <c r="A4529" s="1" t="s">
        <v>4563</v>
      </c>
      <c r="B4529" s="2">
        <v>45174.0</v>
      </c>
      <c r="C4529" s="1" t="s">
        <v>30</v>
      </c>
      <c r="D4529" s="1" t="s">
        <v>27</v>
      </c>
      <c r="E4529" s="1" t="s">
        <v>33</v>
      </c>
      <c r="F4529" s="1">
        <v>764.53</v>
      </c>
      <c r="G4529" s="1">
        <v>-17.04</v>
      </c>
      <c r="H4529" s="1">
        <v>2.0</v>
      </c>
      <c r="I4529" s="1" t="s">
        <v>17</v>
      </c>
      <c r="J4529" s="1" t="s">
        <v>35</v>
      </c>
      <c r="K4529" s="1">
        <f t="shared" si="1"/>
        <v>2023</v>
      </c>
      <c r="L4529" s="1" t="str">
        <f t="shared" si="2"/>
        <v>Sep</v>
      </c>
      <c r="M4529" s="1" t="str">
        <f t="shared" si="3"/>
        <v>Loss</v>
      </c>
    </row>
    <row r="4530" ht="14.25" customHeight="1">
      <c r="A4530" s="1" t="s">
        <v>4564</v>
      </c>
      <c r="B4530" s="2">
        <v>44845.0</v>
      </c>
      <c r="C4530" s="1" t="s">
        <v>14</v>
      </c>
      <c r="D4530" s="1" t="s">
        <v>21</v>
      </c>
      <c r="E4530" s="1" t="s">
        <v>76</v>
      </c>
      <c r="F4530" s="1">
        <v>167.89</v>
      </c>
      <c r="G4530" s="1">
        <v>-186.39</v>
      </c>
      <c r="H4530" s="1">
        <v>7.0</v>
      </c>
      <c r="I4530" s="1" t="s">
        <v>23</v>
      </c>
      <c r="J4530" s="1" t="s">
        <v>38</v>
      </c>
      <c r="K4530" s="1">
        <f t="shared" si="1"/>
        <v>2022</v>
      </c>
      <c r="L4530" s="1" t="str">
        <f t="shared" si="2"/>
        <v>Oct</v>
      </c>
      <c r="M4530" s="1" t="str">
        <f t="shared" si="3"/>
        <v>Loss</v>
      </c>
    </row>
    <row r="4531" ht="14.25" customHeight="1">
      <c r="A4531" s="1" t="s">
        <v>4565</v>
      </c>
      <c r="B4531" s="2">
        <v>44207.0</v>
      </c>
      <c r="C4531" s="1" t="s">
        <v>30</v>
      </c>
      <c r="D4531" s="1" t="s">
        <v>15</v>
      </c>
      <c r="E4531" s="1" t="s">
        <v>16</v>
      </c>
      <c r="F4531" s="1">
        <v>581.38</v>
      </c>
      <c r="G4531" s="1">
        <v>250.55</v>
      </c>
      <c r="H4531" s="1">
        <v>7.0</v>
      </c>
      <c r="I4531" s="1" t="s">
        <v>23</v>
      </c>
      <c r="J4531" s="1" t="s">
        <v>24</v>
      </c>
      <c r="K4531" s="1">
        <f t="shared" si="1"/>
        <v>2021</v>
      </c>
      <c r="L4531" s="1" t="str">
        <f t="shared" si="2"/>
        <v>Jan</v>
      </c>
      <c r="M4531" s="1" t="str">
        <f t="shared" si="3"/>
        <v>Profit</v>
      </c>
    </row>
    <row r="4532" ht="14.25" customHeight="1">
      <c r="A4532" s="1" t="s">
        <v>4566</v>
      </c>
      <c r="B4532" s="2">
        <v>44827.0</v>
      </c>
      <c r="C4532" s="1" t="s">
        <v>26</v>
      </c>
      <c r="D4532" s="1" t="s">
        <v>27</v>
      </c>
      <c r="E4532" s="1" t="s">
        <v>33</v>
      </c>
      <c r="F4532" s="1">
        <v>436.38</v>
      </c>
      <c r="G4532" s="1">
        <v>-30.26</v>
      </c>
      <c r="H4532" s="1">
        <v>5.0</v>
      </c>
      <c r="I4532" s="1" t="s">
        <v>17</v>
      </c>
      <c r="J4532" s="1" t="s">
        <v>24</v>
      </c>
      <c r="K4532" s="1">
        <f t="shared" si="1"/>
        <v>2022</v>
      </c>
      <c r="L4532" s="1" t="str">
        <f t="shared" si="2"/>
        <v>Sep</v>
      </c>
      <c r="M4532" s="1" t="str">
        <f t="shared" si="3"/>
        <v>Loss</v>
      </c>
    </row>
    <row r="4533" ht="14.25" customHeight="1">
      <c r="A4533" s="1" t="s">
        <v>4567</v>
      </c>
      <c r="B4533" s="2">
        <v>44532.0</v>
      </c>
      <c r="C4533" s="1" t="s">
        <v>14</v>
      </c>
      <c r="D4533" s="1" t="s">
        <v>15</v>
      </c>
      <c r="E4533" s="1" t="s">
        <v>31</v>
      </c>
      <c r="F4533" s="1">
        <v>92.09</v>
      </c>
      <c r="G4533" s="1">
        <v>-186.16</v>
      </c>
      <c r="H4533" s="1">
        <v>3.0</v>
      </c>
      <c r="I4533" s="1" t="s">
        <v>17</v>
      </c>
      <c r="J4533" s="1" t="s">
        <v>38</v>
      </c>
      <c r="K4533" s="1">
        <f t="shared" si="1"/>
        <v>2021</v>
      </c>
      <c r="L4533" s="1" t="str">
        <f t="shared" si="2"/>
        <v>Dec</v>
      </c>
      <c r="M4533" s="1" t="str">
        <f t="shared" si="3"/>
        <v>Loss</v>
      </c>
    </row>
    <row r="4534" ht="14.25" customHeight="1">
      <c r="A4534" s="1" t="s">
        <v>4568</v>
      </c>
      <c r="B4534" s="2">
        <v>44365.0</v>
      </c>
      <c r="C4534" s="1" t="s">
        <v>26</v>
      </c>
      <c r="D4534" s="1" t="s">
        <v>21</v>
      </c>
      <c r="E4534" s="1" t="s">
        <v>37</v>
      </c>
      <c r="F4534" s="1">
        <v>991.85</v>
      </c>
      <c r="G4534" s="1">
        <v>41.5</v>
      </c>
      <c r="H4534" s="1">
        <v>1.0</v>
      </c>
      <c r="I4534" s="1" t="s">
        <v>34</v>
      </c>
      <c r="J4534" s="1" t="s">
        <v>18</v>
      </c>
      <c r="K4534" s="1">
        <f t="shared" si="1"/>
        <v>2021</v>
      </c>
      <c r="L4534" s="1" t="str">
        <f t="shared" si="2"/>
        <v>Jun</v>
      </c>
      <c r="M4534" s="1" t="str">
        <f t="shared" si="3"/>
        <v>Profit</v>
      </c>
    </row>
    <row r="4535" ht="14.25" customHeight="1">
      <c r="A4535" s="1" t="s">
        <v>4569</v>
      </c>
      <c r="B4535" s="2">
        <v>45151.0</v>
      </c>
      <c r="C4535" s="1" t="s">
        <v>14</v>
      </c>
      <c r="D4535" s="1" t="s">
        <v>27</v>
      </c>
      <c r="E4535" s="1" t="s">
        <v>28</v>
      </c>
      <c r="F4535" s="1">
        <v>170.21</v>
      </c>
      <c r="G4535" s="1">
        <v>-28.79</v>
      </c>
      <c r="H4535" s="1">
        <v>4.0</v>
      </c>
      <c r="I4535" s="1" t="s">
        <v>17</v>
      </c>
      <c r="J4535" s="1" t="s">
        <v>35</v>
      </c>
      <c r="K4535" s="1">
        <f t="shared" si="1"/>
        <v>2023</v>
      </c>
      <c r="L4535" s="1" t="str">
        <f t="shared" si="2"/>
        <v>Aug</v>
      </c>
      <c r="M4535" s="1" t="str">
        <f t="shared" si="3"/>
        <v>Loss</v>
      </c>
    </row>
    <row r="4536" ht="14.25" customHeight="1">
      <c r="A4536" s="1" t="s">
        <v>4570</v>
      </c>
      <c r="B4536" s="2">
        <v>44721.0</v>
      </c>
      <c r="C4536" s="1" t="s">
        <v>26</v>
      </c>
      <c r="D4536" s="1" t="s">
        <v>27</v>
      </c>
      <c r="E4536" s="1" t="s">
        <v>40</v>
      </c>
      <c r="F4536" s="1">
        <v>975.89</v>
      </c>
      <c r="G4536" s="1">
        <v>179.09</v>
      </c>
      <c r="H4536" s="1">
        <v>2.0</v>
      </c>
      <c r="I4536" s="1" t="s">
        <v>17</v>
      </c>
      <c r="J4536" s="1" t="s">
        <v>18</v>
      </c>
      <c r="K4536" s="1">
        <f t="shared" si="1"/>
        <v>2022</v>
      </c>
      <c r="L4536" s="1" t="str">
        <f t="shared" si="2"/>
        <v>Jun</v>
      </c>
      <c r="M4536" s="1" t="str">
        <f t="shared" si="3"/>
        <v>Profit</v>
      </c>
    </row>
    <row r="4537" ht="14.25" customHeight="1">
      <c r="A4537" s="1" t="s">
        <v>4571</v>
      </c>
      <c r="B4537" s="2">
        <v>44717.0</v>
      </c>
      <c r="C4537" s="1" t="s">
        <v>14</v>
      </c>
      <c r="D4537" s="1" t="s">
        <v>21</v>
      </c>
      <c r="E4537" s="1" t="s">
        <v>76</v>
      </c>
      <c r="F4537" s="1">
        <v>268.25</v>
      </c>
      <c r="G4537" s="1">
        <v>266.14</v>
      </c>
      <c r="H4537" s="1">
        <v>5.0</v>
      </c>
      <c r="I4537" s="1" t="s">
        <v>23</v>
      </c>
      <c r="J4537" s="1" t="s">
        <v>18</v>
      </c>
      <c r="K4537" s="1">
        <f t="shared" si="1"/>
        <v>2022</v>
      </c>
      <c r="L4537" s="1" t="str">
        <f t="shared" si="2"/>
        <v>Jun</v>
      </c>
      <c r="M4537" s="1" t="str">
        <f t="shared" si="3"/>
        <v>Profit</v>
      </c>
    </row>
    <row r="4538" ht="14.25" customHeight="1">
      <c r="A4538" s="1" t="s">
        <v>4572</v>
      </c>
      <c r="B4538" s="2">
        <v>44458.0</v>
      </c>
      <c r="C4538" s="1" t="s">
        <v>14</v>
      </c>
      <c r="D4538" s="1" t="s">
        <v>21</v>
      </c>
      <c r="E4538" s="1" t="s">
        <v>22</v>
      </c>
      <c r="F4538" s="1">
        <v>375.64</v>
      </c>
      <c r="G4538" s="1">
        <v>140.12</v>
      </c>
      <c r="H4538" s="1">
        <v>3.0</v>
      </c>
      <c r="I4538" s="1" t="s">
        <v>23</v>
      </c>
      <c r="J4538" s="1" t="s">
        <v>38</v>
      </c>
      <c r="K4538" s="1">
        <f t="shared" si="1"/>
        <v>2021</v>
      </c>
      <c r="L4538" s="1" t="str">
        <f t="shared" si="2"/>
        <v>Sep</v>
      </c>
      <c r="M4538" s="1" t="str">
        <f t="shared" si="3"/>
        <v>Profit</v>
      </c>
    </row>
    <row r="4539" ht="14.25" customHeight="1">
      <c r="A4539" s="1" t="s">
        <v>4573</v>
      </c>
      <c r="B4539" s="2">
        <v>44807.0</v>
      </c>
      <c r="C4539" s="1" t="s">
        <v>14</v>
      </c>
      <c r="D4539" s="1" t="s">
        <v>21</v>
      </c>
      <c r="E4539" s="1" t="s">
        <v>22</v>
      </c>
      <c r="F4539" s="1">
        <v>243.14</v>
      </c>
      <c r="G4539" s="1">
        <v>284.85</v>
      </c>
      <c r="H4539" s="1">
        <v>1.0</v>
      </c>
      <c r="I4539" s="1" t="s">
        <v>17</v>
      </c>
      <c r="J4539" s="1" t="s">
        <v>35</v>
      </c>
      <c r="K4539" s="1">
        <f t="shared" si="1"/>
        <v>2022</v>
      </c>
      <c r="L4539" s="1" t="str">
        <f t="shared" si="2"/>
        <v>Sep</v>
      </c>
      <c r="M4539" s="1" t="str">
        <f t="shared" si="3"/>
        <v>Profit</v>
      </c>
    </row>
    <row r="4540" ht="14.25" customHeight="1">
      <c r="A4540" s="1" t="s">
        <v>4574</v>
      </c>
      <c r="B4540" s="2">
        <v>44996.0</v>
      </c>
      <c r="C4540" s="1" t="s">
        <v>14</v>
      </c>
      <c r="D4540" s="1" t="s">
        <v>21</v>
      </c>
      <c r="E4540" s="1" t="s">
        <v>37</v>
      </c>
      <c r="F4540" s="1">
        <v>385.89</v>
      </c>
      <c r="G4540" s="1">
        <v>-34.27</v>
      </c>
      <c r="H4540" s="1">
        <v>1.0</v>
      </c>
      <c r="I4540" s="1" t="s">
        <v>34</v>
      </c>
      <c r="J4540" s="1" t="s">
        <v>18</v>
      </c>
      <c r="K4540" s="1">
        <f t="shared" si="1"/>
        <v>2023</v>
      </c>
      <c r="L4540" s="1" t="str">
        <f t="shared" si="2"/>
        <v>Mar</v>
      </c>
      <c r="M4540" s="1" t="str">
        <f t="shared" si="3"/>
        <v>Loss</v>
      </c>
    </row>
    <row r="4541" ht="14.25" customHeight="1">
      <c r="A4541" s="1" t="s">
        <v>4575</v>
      </c>
      <c r="B4541" s="2">
        <v>45244.0</v>
      </c>
      <c r="C4541" s="1" t="s">
        <v>20</v>
      </c>
      <c r="D4541" s="1" t="s">
        <v>27</v>
      </c>
      <c r="E4541" s="1" t="s">
        <v>40</v>
      </c>
      <c r="F4541" s="1">
        <v>969.78</v>
      </c>
      <c r="G4541" s="1">
        <v>64.86</v>
      </c>
      <c r="H4541" s="1">
        <v>8.0</v>
      </c>
      <c r="I4541" s="1" t="s">
        <v>17</v>
      </c>
      <c r="J4541" s="1" t="s">
        <v>18</v>
      </c>
      <c r="K4541" s="1">
        <f t="shared" si="1"/>
        <v>2023</v>
      </c>
      <c r="L4541" s="1" t="str">
        <f t="shared" si="2"/>
        <v>Nov</v>
      </c>
      <c r="M4541" s="1" t="str">
        <f t="shared" si="3"/>
        <v>Profit</v>
      </c>
    </row>
    <row r="4542" ht="14.25" customHeight="1">
      <c r="A4542" s="1" t="s">
        <v>4576</v>
      </c>
      <c r="B4542" s="2">
        <v>44461.0</v>
      </c>
      <c r="C4542" s="1" t="s">
        <v>26</v>
      </c>
      <c r="D4542" s="1" t="s">
        <v>27</v>
      </c>
      <c r="E4542" s="1" t="s">
        <v>28</v>
      </c>
      <c r="F4542" s="1">
        <v>486.74</v>
      </c>
      <c r="G4542" s="1">
        <v>225.89</v>
      </c>
      <c r="H4542" s="1">
        <v>2.0</v>
      </c>
      <c r="I4542" s="1" t="s">
        <v>34</v>
      </c>
      <c r="J4542" s="1" t="s">
        <v>38</v>
      </c>
      <c r="K4542" s="1">
        <f t="shared" si="1"/>
        <v>2021</v>
      </c>
      <c r="L4542" s="1" t="str">
        <f t="shared" si="2"/>
        <v>Sep</v>
      </c>
      <c r="M4542" s="1" t="str">
        <f t="shared" si="3"/>
        <v>Profit</v>
      </c>
    </row>
    <row r="4543" ht="14.25" customHeight="1">
      <c r="A4543" s="1" t="s">
        <v>4577</v>
      </c>
      <c r="B4543" s="2">
        <v>45006.0</v>
      </c>
      <c r="C4543" s="1" t="s">
        <v>14</v>
      </c>
      <c r="D4543" s="1" t="s">
        <v>27</v>
      </c>
      <c r="E4543" s="1" t="s">
        <v>40</v>
      </c>
      <c r="F4543" s="1">
        <v>778.72</v>
      </c>
      <c r="G4543" s="1">
        <v>145.02</v>
      </c>
      <c r="H4543" s="1">
        <v>2.0</v>
      </c>
      <c r="I4543" s="1" t="s">
        <v>17</v>
      </c>
      <c r="J4543" s="1" t="s">
        <v>38</v>
      </c>
      <c r="K4543" s="1">
        <f t="shared" si="1"/>
        <v>2023</v>
      </c>
      <c r="L4543" s="1" t="str">
        <f t="shared" si="2"/>
        <v>Mar</v>
      </c>
      <c r="M4543" s="1" t="str">
        <f t="shared" si="3"/>
        <v>Profit</v>
      </c>
    </row>
    <row r="4544" ht="14.25" customHeight="1">
      <c r="A4544" s="1" t="s">
        <v>4578</v>
      </c>
      <c r="B4544" s="2">
        <v>44590.0</v>
      </c>
      <c r="C4544" s="1" t="s">
        <v>26</v>
      </c>
      <c r="D4544" s="1" t="s">
        <v>21</v>
      </c>
      <c r="E4544" s="1" t="s">
        <v>76</v>
      </c>
      <c r="F4544" s="1">
        <v>629.29</v>
      </c>
      <c r="G4544" s="1">
        <v>-129.08</v>
      </c>
      <c r="H4544" s="1">
        <v>6.0</v>
      </c>
      <c r="I4544" s="1" t="s">
        <v>34</v>
      </c>
      <c r="J4544" s="1" t="s">
        <v>24</v>
      </c>
      <c r="K4544" s="1">
        <f t="shared" si="1"/>
        <v>2022</v>
      </c>
      <c r="L4544" s="1" t="str">
        <f t="shared" si="2"/>
        <v>Jan</v>
      </c>
      <c r="M4544" s="1" t="str">
        <f t="shared" si="3"/>
        <v>Loss</v>
      </c>
    </row>
    <row r="4545" ht="14.25" customHeight="1">
      <c r="A4545" s="1" t="s">
        <v>4579</v>
      </c>
      <c r="B4545" s="2">
        <v>45171.0</v>
      </c>
      <c r="C4545" s="1" t="s">
        <v>26</v>
      </c>
      <c r="D4545" s="1" t="s">
        <v>21</v>
      </c>
      <c r="E4545" s="1" t="s">
        <v>37</v>
      </c>
      <c r="F4545" s="1">
        <v>955.23</v>
      </c>
      <c r="G4545" s="1">
        <v>-89.63</v>
      </c>
      <c r="H4545" s="1">
        <v>7.0</v>
      </c>
      <c r="I4545" s="1" t="s">
        <v>34</v>
      </c>
      <c r="J4545" s="1" t="s">
        <v>38</v>
      </c>
      <c r="K4545" s="1">
        <f t="shared" si="1"/>
        <v>2023</v>
      </c>
      <c r="L4545" s="1" t="str">
        <f t="shared" si="2"/>
        <v>Sep</v>
      </c>
      <c r="M4545" s="1" t="str">
        <f t="shared" si="3"/>
        <v>Loss</v>
      </c>
    </row>
    <row r="4546" ht="14.25" customHeight="1">
      <c r="A4546" s="1" t="s">
        <v>4580</v>
      </c>
      <c r="B4546" s="2">
        <v>44729.0</v>
      </c>
      <c r="C4546" s="1" t="s">
        <v>26</v>
      </c>
      <c r="D4546" s="1" t="s">
        <v>27</v>
      </c>
      <c r="E4546" s="1" t="s">
        <v>33</v>
      </c>
      <c r="F4546" s="1">
        <v>869.31</v>
      </c>
      <c r="G4546" s="1">
        <v>252.77</v>
      </c>
      <c r="H4546" s="1">
        <v>6.0</v>
      </c>
      <c r="I4546" s="1" t="s">
        <v>17</v>
      </c>
      <c r="J4546" s="1" t="s">
        <v>35</v>
      </c>
      <c r="K4546" s="1">
        <f t="shared" si="1"/>
        <v>2022</v>
      </c>
      <c r="L4546" s="1" t="str">
        <f t="shared" si="2"/>
        <v>Jun</v>
      </c>
      <c r="M4546" s="1" t="str">
        <f t="shared" si="3"/>
        <v>Profit</v>
      </c>
    </row>
    <row r="4547" ht="14.25" customHeight="1">
      <c r="A4547" s="1" t="s">
        <v>4581</v>
      </c>
      <c r="B4547" s="2">
        <v>45202.0</v>
      </c>
      <c r="C4547" s="1" t="s">
        <v>14</v>
      </c>
      <c r="D4547" s="1" t="s">
        <v>27</v>
      </c>
      <c r="E4547" s="1" t="s">
        <v>28</v>
      </c>
      <c r="F4547" s="1">
        <v>857.36</v>
      </c>
      <c r="G4547" s="1">
        <v>282.09</v>
      </c>
      <c r="H4547" s="1">
        <v>2.0</v>
      </c>
      <c r="I4547" s="1" t="s">
        <v>17</v>
      </c>
      <c r="J4547" s="1" t="s">
        <v>18</v>
      </c>
      <c r="K4547" s="1">
        <f t="shared" si="1"/>
        <v>2023</v>
      </c>
      <c r="L4547" s="1" t="str">
        <f t="shared" si="2"/>
        <v>Oct</v>
      </c>
      <c r="M4547" s="1" t="str">
        <f t="shared" si="3"/>
        <v>Profit</v>
      </c>
    </row>
    <row r="4548" ht="14.25" customHeight="1">
      <c r="A4548" s="1" t="s">
        <v>4582</v>
      </c>
      <c r="B4548" s="2">
        <v>45224.0</v>
      </c>
      <c r="C4548" s="1" t="s">
        <v>26</v>
      </c>
      <c r="D4548" s="1" t="s">
        <v>21</v>
      </c>
      <c r="E4548" s="1" t="s">
        <v>22</v>
      </c>
      <c r="F4548" s="1">
        <v>959.18</v>
      </c>
      <c r="G4548" s="1">
        <v>-152.64</v>
      </c>
      <c r="H4548" s="1">
        <v>5.0</v>
      </c>
      <c r="I4548" s="1" t="s">
        <v>17</v>
      </c>
      <c r="J4548" s="1" t="s">
        <v>38</v>
      </c>
      <c r="K4548" s="1">
        <f t="shared" si="1"/>
        <v>2023</v>
      </c>
      <c r="L4548" s="1" t="str">
        <f t="shared" si="2"/>
        <v>Oct</v>
      </c>
      <c r="M4548" s="1" t="str">
        <f t="shared" si="3"/>
        <v>Loss</v>
      </c>
    </row>
    <row r="4549" ht="14.25" customHeight="1">
      <c r="A4549" s="1" t="s">
        <v>4583</v>
      </c>
      <c r="B4549" s="2">
        <v>44944.0</v>
      </c>
      <c r="C4549" s="1" t="s">
        <v>30</v>
      </c>
      <c r="D4549" s="1" t="s">
        <v>21</v>
      </c>
      <c r="E4549" s="1" t="s">
        <v>76</v>
      </c>
      <c r="F4549" s="1">
        <v>22.29</v>
      </c>
      <c r="G4549" s="1">
        <v>298.74</v>
      </c>
      <c r="H4549" s="1">
        <v>2.0</v>
      </c>
      <c r="I4549" s="1" t="s">
        <v>17</v>
      </c>
      <c r="J4549" s="1" t="s">
        <v>38</v>
      </c>
      <c r="K4549" s="1">
        <f t="shared" si="1"/>
        <v>2023</v>
      </c>
      <c r="L4549" s="1" t="str">
        <f t="shared" si="2"/>
        <v>Jan</v>
      </c>
      <c r="M4549" s="1" t="str">
        <f t="shared" si="3"/>
        <v>Profit</v>
      </c>
    </row>
    <row r="4550" ht="14.25" customHeight="1">
      <c r="A4550" s="1" t="s">
        <v>4584</v>
      </c>
      <c r="B4550" s="2">
        <v>44598.0</v>
      </c>
      <c r="C4550" s="1" t="s">
        <v>26</v>
      </c>
      <c r="D4550" s="1" t="s">
        <v>15</v>
      </c>
      <c r="E4550" s="1" t="s">
        <v>31</v>
      </c>
      <c r="F4550" s="1">
        <v>715.66</v>
      </c>
      <c r="G4550" s="1">
        <v>61.72</v>
      </c>
      <c r="H4550" s="1">
        <v>2.0</v>
      </c>
      <c r="I4550" s="1" t="s">
        <v>23</v>
      </c>
      <c r="J4550" s="1" t="s">
        <v>35</v>
      </c>
      <c r="K4550" s="1">
        <f t="shared" si="1"/>
        <v>2022</v>
      </c>
      <c r="L4550" s="1" t="str">
        <f t="shared" si="2"/>
        <v>Feb</v>
      </c>
      <c r="M4550" s="1" t="str">
        <f t="shared" si="3"/>
        <v>Profit</v>
      </c>
    </row>
    <row r="4551" ht="14.25" customHeight="1">
      <c r="A4551" s="1" t="s">
        <v>4585</v>
      </c>
      <c r="B4551" s="2">
        <v>44777.0</v>
      </c>
      <c r="C4551" s="1" t="s">
        <v>26</v>
      </c>
      <c r="D4551" s="1" t="s">
        <v>15</v>
      </c>
      <c r="E4551" s="1" t="s">
        <v>31</v>
      </c>
      <c r="F4551" s="1">
        <v>182.23</v>
      </c>
      <c r="G4551" s="1">
        <v>6.6</v>
      </c>
      <c r="H4551" s="1">
        <v>5.0</v>
      </c>
      <c r="I4551" s="1" t="s">
        <v>34</v>
      </c>
      <c r="J4551" s="1" t="s">
        <v>38</v>
      </c>
      <c r="K4551" s="1">
        <f t="shared" si="1"/>
        <v>2022</v>
      </c>
      <c r="L4551" s="1" t="str">
        <f t="shared" si="2"/>
        <v>Aug</v>
      </c>
      <c r="M4551" s="1" t="str">
        <f t="shared" si="3"/>
        <v>Profit</v>
      </c>
    </row>
    <row r="4552" ht="14.25" customHeight="1">
      <c r="A4552" s="1" t="s">
        <v>4586</v>
      </c>
      <c r="B4552" s="2">
        <v>44277.0</v>
      </c>
      <c r="C4552" s="1" t="s">
        <v>20</v>
      </c>
      <c r="D4552" s="1" t="s">
        <v>15</v>
      </c>
      <c r="E4552" s="1" t="s">
        <v>31</v>
      </c>
      <c r="F4552" s="1">
        <v>741.6</v>
      </c>
      <c r="G4552" s="1">
        <v>223.3</v>
      </c>
      <c r="H4552" s="1">
        <v>3.0</v>
      </c>
      <c r="I4552" s="1" t="s">
        <v>34</v>
      </c>
      <c r="J4552" s="1" t="s">
        <v>18</v>
      </c>
      <c r="K4552" s="1">
        <f t="shared" si="1"/>
        <v>2021</v>
      </c>
      <c r="L4552" s="1" t="str">
        <f t="shared" si="2"/>
        <v>Mar</v>
      </c>
      <c r="M4552" s="1" t="str">
        <f t="shared" si="3"/>
        <v>Profit</v>
      </c>
    </row>
    <row r="4553" ht="14.25" customHeight="1">
      <c r="A4553" s="1" t="s">
        <v>4587</v>
      </c>
      <c r="B4553" s="2">
        <v>45038.0</v>
      </c>
      <c r="C4553" s="1" t="s">
        <v>14</v>
      </c>
      <c r="D4553" s="1" t="s">
        <v>27</v>
      </c>
      <c r="E4553" s="1" t="s">
        <v>28</v>
      </c>
      <c r="F4553" s="1">
        <v>361.34</v>
      </c>
      <c r="G4553" s="1">
        <v>14.54</v>
      </c>
      <c r="H4553" s="1">
        <v>1.0</v>
      </c>
      <c r="I4553" s="1" t="s">
        <v>23</v>
      </c>
      <c r="J4553" s="1" t="s">
        <v>18</v>
      </c>
      <c r="K4553" s="1">
        <f t="shared" si="1"/>
        <v>2023</v>
      </c>
      <c r="L4553" s="1" t="str">
        <f t="shared" si="2"/>
        <v>Apr</v>
      </c>
      <c r="M4553" s="1" t="str">
        <f t="shared" si="3"/>
        <v>Profit</v>
      </c>
    </row>
    <row r="4554" ht="14.25" customHeight="1">
      <c r="A4554" s="1" t="s">
        <v>4588</v>
      </c>
      <c r="B4554" s="2">
        <v>45077.0</v>
      </c>
      <c r="C4554" s="1" t="s">
        <v>26</v>
      </c>
      <c r="D4554" s="1" t="s">
        <v>27</v>
      </c>
      <c r="E4554" s="1" t="s">
        <v>40</v>
      </c>
      <c r="F4554" s="1">
        <v>622.87</v>
      </c>
      <c r="G4554" s="1">
        <v>1.62</v>
      </c>
      <c r="H4554" s="1">
        <v>3.0</v>
      </c>
      <c r="I4554" s="1" t="s">
        <v>23</v>
      </c>
      <c r="J4554" s="1" t="s">
        <v>24</v>
      </c>
      <c r="K4554" s="1">
        <f t="shared" si="1"/>
        <v>2023</v>
      </c>
      <c r="L4554" s="1" t="str">
        <f t="shared" si="2"/>
        <v>May</v>
      </c>
      <c r="M4554" s="1" t="str">
        <f t="shared" si="3"/>
        <v>Profit</v>
      </c>
    </row>
    <row r="4555" ht="14.25" customHeight="1">
      <c r="A4555" s="1" t="s">
        <v>4589</v>
      </c>
      <c r="B4555" s="2">
        <v>44476.0</v>
      </c>
      <c r="C4555" s="1" t="s">
        <v>30</v>
      </c>
      <c r="D4555" s="1" t="s">
        <v>27</v>
      </c>
      <c r="E4555" s="1" t="s">
        <v>33</v>
      </c>
      <c r="F4555" s="1">
        <v>503.16</v>
      </c>
      <c r="G4555" s="1">
        <v>17.39</v>
      </c>
      <c r="H4555" s="1">
        <v>9.0</v>
      </c>
      <c r="I4555" s="1" t="s">
        <v>23</v>
      </c>
      <c r="J4555" s="1" t="s">
        <v>38</v>
      </c>
      <c r="K4555" s="1">
        <f t="shared" si="1"/>
        <v>2021</v>
      </c>
      <c r="L4555" s="1" t="str">
        <f t="shared" si="2"/>
        <v>Oct</v>
      </c>
      <c r="M4555" s="1" t="str">
        <f t="shared" si="3"/>
        <v>Profit</v>
      </c>
    </row>
    <row r="4556" ht="14.25" customHeight="1">
      <c r="A4556" s="1" t="s">
        <v>4590</v>
      </c>
      <c r="B4556" s="2">
        <v>44509.0</v>
      </c>
      <c r="C4556" s="1" t="s">
        <v>14</v>
      </c>
      <c r="D4556" s="1" t="s">
        <v>27</v>
      </c>
      <c r="E4556" s="1" t="s">
        <v>33</v>
      </c>
      <c r="F4556" s="1">
        <v>22.05</v>
      </c>
      <c r="G4556" s="1">
        <v>46.21</v>
      </c>
      <c r="H4556" s="1">
        <v>10.0</v>
      </c>
      <c r="I4556" s="1" t="s">
        <v>34</v>
      </c>
      <c r="J4556" s="1" t="s">
        <v>35</v>
      </c>
      <c r="K4556" s="1">
        <f t="shared" si="1"/>
        <v>2021</v>
      </c>
      <c r="L4556" s="1" t="str">
        <f t="shared" si="2"/>
        <v>Nov</v>
      </c>
      <c r="M4556" s="1" t="str">
        <f t="shared" si="3"/>
        <v>Profit</v>
      </c>
    </row>
    <row r="4557" ht="14.25" customHeight="1">
      <c r="A4557" s="1" t="s">
        <v>4591</v>
      </c>
      <c r="B4557" s="2">
        <v>44889.0</v>
      </c>
      <c r="C4557" s="1" t="s">
        <v>26</v>
      </c>
      <c r="D4557" s="1" t="s">
        <v>27</v>
      </c>
      <c r="E4557" s="1" t="s">
        <v>33</v>
      </c>
      <c r="F4557" s="1">
        <v>185.54</v>
      </c>
      <c r="G4557" s="1">
        <v>-45.31</v>
      </c>
      <c r="H4557" s="1">
        <v>7.0</v>
      </c>
      <c r="I4557" s="1" t="s">
        <v>34</v>
      </c>
      <c r="J4557" s="1" t="s">
        <v>35</v>
      </c>
      <c r="K4557" s="1">
        <f t="shared" si="1"/>
        <v>2022</v>
      </c>
      <c r="L4557" s="1" t="str">
        <f t="shared" si="2"/>
        <v>Nov</v>
      </c>
      <c r="M4557" s="1" t="str">
        <f t="shared" si="3"/>
        <v>Loss</v>
      </c>
    </row>
    <row r="4558" ht="14.25" customHeight="1">
      <c r="A4558" s="1" t="s">
        <v>4592</v>
      </c>
      <c r="B4558" s="2">
        <v>45041.0</v>
      </c>
      <c r="C4558" s="1" t="s">
        <v>30</v>
      </c>
      <c r="D4558" s="1" t="s">
        <v>15</v>
      </c>
      <c r="E4558" s="1" t="s">
        <v>16</v>
      </c>
      <c r="F4558" s="1">
        <v>599.95</v>
      </c>
      <c r="G4558" s="1">
        <v>-60.75</v>
      </c>
      <c r="H4558" s="1">
        <v>9.0</v>
      </c>
      <c r="I4558" s="1" t="s">
        <v>34</v>
      </c>
      <c r="J4558" s="1" t="s">
        <v>18</v>
      </c>
      <c r="K4558" s="1">
        <f t="shared" si="1"/>
        <v>2023</v>
      </c>
      <c r="L4558" s="1" t="str">
        <f t="shared" si="2"/>
        <v>Apr</v>
      </c>
      <c r="M4558" s="1" t="str">
        <f t="shared" si="3"/>
        <v>Loss</v>
      </c>
    </row>
    <row r="4559" ht="14.25" customHeight="1">
      <c r="A4559" s="1" t="s">
        <v>4593</v>
      </c>
      <c r="B4559" s="2">
        <v>44232.0</v>
      </c>
      <c r="C4559" s="1" t="s">
        <v>20</v>
      </c>
      <c r="D4559" s="1" t="s">
        <v>21</v>
      </c>
      <c r="E4559" s="1" t="s">
        <v>37</v>
      </c>
      <c r="F4559" s="1">
        <v>741.52</v>
      </c>
      <c r="G4559" s="1">
        <v>169.46</v>
      </c>
      <c r="H4559" s="1">
        <v>5.0</v>
      </c>
      <c r="I4559" s="1" t="s">
        <v>17</v>
      </c>
      <c r="J4559" s="1" t="s">
        <v>38</v>
      </c>
      <c r="K4559" s="1">
        <f t="shared" si="1"/>
        <v>2021</v>
      </c>
      <c r="L4559" s="1" t="str">
        <f t="shared" si="2"/>
        <v>Feb</v>
      </c>
      <c r="M4559" s="1" t="str">
        <f t="shared" si="3"/>
        <v>Profit</v>
      </c>
    </row>
    <row r="4560" ht="14.25" customHeight="1">
      <c r="A4560" s="1" t="s">
        <v>4594</v>
      </c>
      <c r="B4560" s="2">
        <v>45089.0</v>
      </c>
      <c r="C4560" s="1" t="s">
        <v>14</v>
      </c>
      <c r="D4560" s="1" t="s">
        <v>21</v>
      </c>
      <c r="E4560" s="1" t="s">
        <v>37</v>
      </c>
      <c r="F4560" s="1">
        <v>30.42</v>
      </c>
      <c r="G4560" s="1">
        <v>122.53</v>
      </c>
      <c r="H4560" s="1">
        <v>3.0</v>
      </c>
      <c r="I4560" s="1" t="s">
        <v>23</v>
      </c>
      <c r="J4560" s="1" t="s">
        <v>35</v>
      </c>
      <c r="K4560" s="1">
        <f t="shared" si="1"/>
        <v>2023</v>
      </c>
      <c r="L4560" s="1" t="str">
        <f t="shared" si="2"/>
        <v>Jun</v>
      </c>
      <c r="M4560" s="1" t="str">
        <f t="shared" si="3"/>
        <v>Profit</v>
      </c>
    </row>
    <row r="4561" ht="14.25" customHeight="1">
      <c r="A4561" s="1" t="s">
        <v>4595</v>
      </c>
      <c r="B4561" s="2">
        <v>44661.0</v>
      </c>
      <c r="C4561" s="1" t="s">
        <v>26</v>
      </c>
      <c r="D4561" s="1" t="s">
        <v>21</v>
      </c>
      <c r="E4561" s="1" t="s">
        <v>37</v>
      </c>
      <c r="F4561" s="1">
        <v>27.69</v>
      </c>
      <c r="G4561" s="1">
        <v>59.67</v>
      </c>
      <c r="H4561" s="1">
        <v>9.0</v>
      </c>
      <c r="I4561" s="1" t="s">
        <v>17</v>
      </c>
      <c r="J4561" s="1" t="s">
        <v>24</v>
      </c>
      <c r="K4561" s="1">
        <f t="shared" si="1"/>
        <v>2022</v>
      </c>
      <c r="L4561" s="1" t="str">
        <f t="shared" si="2"/>
        <v>Apr</v>
      </c>
      <c r="M4561" s="1" t="str">
        <f t="shared" si="3"/>
        <v>Profit</v>
      </c>
    </row>
    <row r="4562" ht="14.25" customHeight="1">
      <c r="A4562" s="1" t="s">
        <v>4596</v>
      </c>
      <c r="B4562" s="2">
        <v>44567.0</v>
      </c>
      <c r="C4562" s="1" t="s">
        <v>30</v>
      </c>
      <c r="D4562" s="1" t="s">
        <v>15</v>
      </c>
      <c r="E4562" s="1" t="s">
        <v>31</v>
      </c>
      <c r="F4562" s="1">
        <v>573.03</v>
      </c>
      <c r="G4562" s="1">
        <v>70.48</v>
      </c>
      <c r="H4562" s="1">
        <v>5.0</v>
      </c>
      <c r="I4562" s="1" t="s">
        <v>34</v>
      </c>
      <c r="J4562" s="1" t="s">
        <v>18</v>
      </c>
      <c r="K4562" s="1">
        <f t="shared" si="1"/>
        <v>2022</v>
      </c>
      <c r="L4562" s="1" t="str">
        <f t="shared" si="2"/>
        <v>Jan</v>
      </c>
      <c r="M4562" s="1" t="str">
        <f t="shared" si="3"/>
        <v>Profit</v>
      </c>
    </row>
    <row r="4563" ht="14.25" customHeight="1">
      <c r="A4563" s="1" t="s">
        <v>4597</v>
      </c>
      <c r="B4563" s="2">
        <v>44688.0</v>
      </c>
      <c r="C4563" s="1" t="s">
        <v>20</v>
      </c>
      <c r="D4563" s="1" t="s">
        <v>21</v>
      </c>
      <c r="E4563" s="1" t="s">
        <v>76</v>
      </c>
      <c r="F4563" s="1">
        <v>785.06</v>
      </c>
      <c r="G4563" s="1">
        <v>190.2</v>
      </c>
      <c r="H4563" s="1">
        <v>2.0</v>
      </c>
      <c r="I4563" s="1" t="s">
        <v>34</v>
      </c>
      <c r="J4563" s="1" t="s">
        <v>35</v>
      </c>
      <c r="K4563" s="1">
        <f t="shared" si="1"/>
        <v>2022</v>
      </c>
      <c r="L4563" s="1" t="str">
        <f t="shared" si="2"/>
        <v>May</v>
      </c>
      <c r="M4563" s="1" t="str">
        <f t="shared" si="3"/>
        <v>Profit</v>
      </c>
    </row>
    <row r="4564" ht="14.25" customHeight="1">
      <c r="A4564" s="1" t="s">
        <v>4598</v>
      </c>
      <c r="B4564" s="2">
        <v>44407.0</v>
      </c>
      <c r="C4564" s="1" t="s">
        <v>30</v>
      </c>
      <c r="D4564" s="1" t="s">
        <v>21</v>
      </c>
      <c r="E4564" s="1" t="s">
        <v>37</v>
      </c>
      <c r="F4564" s="1">
        <v>389.03</v>
      </c>
      <c r="G4564" s="1">
        <v>221.11</v>
      </c>
      <c r="H4564" s="1">
        <v>3.0</v>
      </c>
      <c r="I4564" s="1" t="s">
        <v>17</v>
      </c>
      <c r="J4564" s="1" t="s">
        <v>24</v>
      </c>
      <c r="K4564" s="1">
        <f t="shared" si="1"/>
        <v>2021</v>
      </c>
      <c r="L4564" s="1" t="str">
        <f t="shared" si="2"/>
        <v>Jul</v>
      </c>
      <c r="M4564" s="1" t="str">
        <f t="shared" si="3"/>
        <v>Profit</v>
      </c>
    </row>
    <row r="4565" ht="14.25" customHeight="1">
      <c r="A4565" s="1" t="s">
        <v>4599</v>
      </c>
      <c r="B4565" s="2">
        <v>45113.0</v>
      </c>
      <c r="C4565" s="1" t="s">
        <v>14</v>
      </c>
      <c r="D4565" s="1" t="s">
        <v>27</v>
      </c>
      <c r="E4565" s="1" t="s">
        <v>28</v>
      </c>
      <c r="F4565" s="1">
        <v>264.68</v>
      </c>
      <c r="G4565" s="1">
        <v>42.41</v>
      </c>
      <c r="H4565" s="1">
        <v>6.0</v>
      </c>
      <c r="I4565" s="1" t="s">
        <v>17</v>
      </c>
      <c r="J4565" s="1" t="s">
        <v>18</v>
      </c>
      <c r="K4565" s="1">
        <f t="shared" si="1"/>
        <v>2023</v>
      </c>
      <c r="L4565" s="1" t="str">
        <f t="shared" si="2"/>
        <v>Jul</v>
      </c>
      <c r="M4565" s="1" t="str">
        <f t="shared" si="3"/>
        <v>Profit</v>
      </c>
    </row>
    <row r="4566" ht="14.25" customHeight="1">
      <c r="A4566" s="1" t="s">
        <v>4600</v>
      </c>
      <c r="B4566" s="2">
        <v>44210.0</v>
      </c>
      <c r="C4566" s="1" t="s">
        <v>30</v>
      </c>
      <c r="D4566" s="1" t="s">
        <v>27</v>
      </c>
      <c r="E4566" s="1" t="s">
        <v>33</v>
      </c>
      <c r="F4566" s="1">
        <v>74.65</v>
      </c>
      <c r="G4566" s="1">
        <v>-118.19</v>
      </c>
      <c r="H4566" s="1">
        <v>3.0</v>
      </c>
      <c r="I4566" s="1" t="s">
        <v>17</v>
      </c>
      <c r="J4566" s="1" t="s">
        <v>18</v>
      </c>
      <c r="K4566" s="1">
        <f t="shared" si="1"/>
        <v>2021</v>
      </c>
      <c r="L4566" s="1" t="str">
        <f t="shared" si="2"/>
        <v>Jan</v>
      </c>
      <c r="M4566" s="1" t="str">
        <f t="shared" si="3"/>
        <v>Loss</v>
      </c>
    </row>
    <row r="4567" ht="14.25" customHeight="1">
      <c r="A4567" s="1" t="s">
        <v>4601</v>
      </c>
      <c r="B4567" s="2">
        <v>44627.0</v>
      </c>
      <c r="C4567" s="1" t="s">
        <v>30</v>
      </c>
      <c r="D4567" s="1" t="s">
        <v>21</v>
      </c>
      <c r="E4567" s="1" t="s">
        <v>22</v>
      </c>
      <c r="F4567" s="1">
        <v>327.14</v>
      </c>
      <c r="G4567" s="1">
        <v>185.95</v>
      </c>
      <c r="H4567" s="1">
        <v>2.0</v>
      </c>
      <c r="I4567" s="1" t="s">
        <v>17</v>
      </c>
      <c r="J4567" s="1" t="s">
        <v>24</v>
      </c>
      <c r="K4567" s="1">
        <f t="shared" si="1"/>
        <v>2022</v>
      </c>
      <c r="L4567" s="1" t="str">
        <f t="shared" si="2"/>
        <v>Mar</v>
      </c>
      <c r="M4567" s="1" t="str">
        <f t="shared" si="3"/>
        <v>Profit</v>
      </c>
    </row>
    <row r="4568" ht="14.25" customHeight="1">
      <c r="A4568" s="1" t="s">
        <v>4602</v>
      </c>
      <c r="B4568" s="2">
        <v>45063.0</v>
      </c>
      <c r="C4568" s="1" t="s">
        <v>14</v>
      </c>
      <c r="D4568" s="1" t="s">
        <v>27</v>
      </c>
      <c r="E4568" s="1" t="s">
        <v>40</v>
      </c>
      <c r="F4568" s="1">
        <v>420.72</v>
      </c>
      <c r="G4568" s="1">
        <v>9.43</v>
      </c>
      <c r="H4568" s="1">
        <v>5.0</v>
      </c>
      <c r="I4568" s="1" t="s">
        <v>34</v>
      </c>
      <c r="J4568" s="1" t="s">
        <v>24</v>
      </c>
      <c r="K4568" s="1">
        <f t="shared" si="1"/>
        <v>2023</v>
      </c>
      <c r="L4568" s="1" t="str">
        <f t="shared" si="2"/>
        <v>May</v>
      </c>
      <c r="M4568" s="1" t="str">
        <f t="shared" si="3"/>
        <v>Profit</v>
      </c>
    </row>
    <row r="4569" ht="14.25" customHeight="1">
      <c r="A4569" s="1" t="s">
        <v>4603</v>
      </c>
      <c r="B4569" s="2">
        <v>44660.0</v>
      </c>
      <c r="C4569" s="1" t="s">
        <v>20</v>
      </c>
      <c r="D4569" s="1" t="s">
        <v>27</v>
      </c>
      <c r="E4569" s="1" t="s">
        <v>28</v>
      </c>
      <c r="F4569" s="1">
        <v>740.1</v>
      </c>
      <c r="G4569" s="1">
        <v>169.75</v>
      </c>
      <c r="H4569" s="1">
        <v>5.0</v>
      </c>
      <c r="I4569" s="1" t="s">
        <v>34</v>
      </c>
      <c r="J4569" s="1" t="s">
        <v>38</v>
      </c>
      <c r="K4569" s="1">
        <f t="shared" si="1"/>
        <v>2022</v>
      </c>
      <c r="L4569" s="1" t="str">
        <f t="shared" si="2"/>
        <v>Apr</v>
      </c>
      <c r="M4569" s="1" t="str">
        <f t="shared" si="3"/>
        <v>Profit</v>
      </c>
    </row>
    <row r="4570" ht="14.25" customHeight="1">
      <c r="A4570" s="1" t="s">
        <v>4604</v>
      </c>
      <c r="B4570" s="2">
        <v>44847.0</v>
      </c>
      <c r="C4570" s="1" t="s">
        <v>20</v>
      </c>
      <c r="D4570" s="1" t="s">
        <v>21</v>
      </c>
      <c r="E4570" s="1" t="s">
        <v>22</v>
      </c>
      <c r="F4570" s="1">
        <v>203.6</v>
      </c>
      <c r="G4570" s="1">
        <v>145.37</v>
      </c>
      <c r="H4570" s="1">
        <v>7.0</v>
      </c>
      <c r="I4570" s="1" t="s">
        <v>17</v>
      </c>
      <c r="J4570" s="1" t="s">
        <v>24</v>
      </c>
      <c r="K4570" s="1">
        <f t="shared" si="1"/>
        <v>2022</v>
      </c>
      <c r="L4570" s="1" t="str">
        <f t="shared" si="2"/>
        <v>Oct</v>
      </c>
      <c r="M4570" s="1" t="str">
        <f t="shared" si="3"/>
        <v>Profit</v>
      </c>
    </row>
    <row r="4571" ht="14.25" customHeight="1">
      <c r="A4571" s="1" t="s">
        <v>4605</v>
      </c>
      <c r="B4571" s="2">
        <v>44766.0</v>
      </c>
      <c r="C4571" s="1" t="s">
        <v>26</v>
      </c>
      <c r="D4571" s="1" t="s">
        <v>27</v>
      </c>
      <c r="E4571" s="1" t="s">
        <v>40</v>
      </c>
      <c r="F4571" s="1">
        <v>285.56</v>
      </c>
      <c r="G4571" s="1">
        <v>-6.17</v>
      </c>
      <c r="H4571" s="1">
        <v>8.0</v>
      </c>
      <c r="I4571" s="1" t="s">
        <v>23</v>
      </c>
      <c r="J4571" s="1" t="s">
        <v>18</v>
      </c>
      <c r="K4571" s="1">
        <f t="shared" si="1"/>
        <v>2022</v>
      </c>
      <c r="L4571" s="1" t="str">
        <f t="shared" si="2"/>
        <v>Jul</v>
      </c>
      <c r="M4571" s="1" t="str">
        <f t="shared" si="3"/>
        <v>Loss</v>
      </c>
    </row>
    <row r="4572" ht="14.25" customHeight="1">
      <c r="A4572" s="1" t="s">
        <v>4606</v>
      </c>
      <c r="B4572" s="2">
        <v>45230.0</v>
      </c>
      <c r="C4572" s="1" t="s">
        <v>14</v>
      </c>
      <c r="D4572" s="1" t="s">
        <v>21</v>
      </c>
      <c r="E4572" s="1" t="s">
        <v>37</v>
      </c>
      <c r="F4572" s="1">
        <v>151.09</v>
      </c>
      <c r="G4572" s="1">
        <v>-123.02</v>
      </c>
      <c r="H4572" s="1">
        <v>10.0</v>
      </c>
      <c r="I4572" s="1" t="s">
        <v>23</v>
      </c>
      <c r="J4572" s="1" t="s">
        <v>24</v>
      </c>
      <c r="K4572" s="1">
        <f t="shared" si="1"/>
        <v>2023</v>
      </c>
      <c r="L4572" s="1" t="str">
        <f t="shared" si="2"/>
        <v>Oct</v>
      </c>
      <c r="M4572" s="1" t="str">
        <f t="shared" si="3"/>
        <v>Loss</v>
      </c>
    </row>
    <row r="4573" ht="14.25" customHeight="1">
      <c r="A4573" s="1" t="s">
        <v>4607</v>
      </c>
      <c r="B4573" s="2">
        <v>45071.0</v>
      </c>
      <c r="C4573" s="1" t="s">
        <v>26</v>
      </c>
      <c r="D4573" s="1" t="s">
        <v>15</v>
      </c>
      <c r="E4573" s="1" t="s">
        <v>54</v>
      </c>
      <c r="F4573" s="1">
        <v>644.7</v>
      </c>
      <c r="G4573" s="1">
        <v>122.46</v>
      </c>
      <c r="H4573" s="1">
        <v>4.0</v>
      </c>
      <c r="I4573" s="1" t="s">
        <v>17</v>
      </c>
      <c r="J4573" s="1" t="s">
        <v>24</v>
      </c>
      <c r="K4573" s="1">
        <f t="shared" si="1"/>
        <v>2023</v>
      </c>
      <c r="L4573" s="1" t="str">
        <f t="shared" si="2"/>
        <v>May</v>
      </c>
      <c r="M4573" s="1" t="str">
        <f t="shared" si="3"/>
        <v>Profit</v>
      </c>
    </row>
    <row r="4574" ht="14.25" customHeight="1">
      <c r="A4574" s="1" t="s">
        <v>4608</v>
      </c>
      <c r="B4574" s="2">
        <v>45287.0</v>
      </c>
      <c r="C4574" s="1" t="s">
        <v>14</v>
      </c>
      <c r="D4574" s="1" t="s">
        <v>15</v>
      </c>
      <c r="E4574" s="1" t="s">
        <v>54</v>
      </c>
      <c r="F4574" s="1">
        <v>243.75</v>
      </c>
      <c r="G4574" s="1">
        <v>263.68</v>
      </c>
      <c r="H4574" s="1">
        <v>8.0</v>
      </c>
      <c r="I4574" s="1" t="s">
        <v>34</v>
      </c>
      <c r="J4574" s="1" t="s">
        <v>24</v>
      </c>
      <c r="K4574" s="1">
        <f t="shared" si="1"/>
        <v>2023</v>
      </c>
      <c r="L4574" s="1" t="str">
        <f t="shared" si="2"/>
        <v>Dec</v>
      </c>
      <c r="M4574" s="1" t="str">
        <f t="shared" si="3"/>
        <v>Profit</v>
      </c>
    </row>
    <row r="4575" ht="14.25" customHeight="1">
      <c r="A4575" s="1" t="s">
        <v>4609</v>
      </c>
      <c r="B4575" s="2">
        <v>45162.0</v>
      </c>
      <c r="C4575" s="1" t="s">
        <v>26</v>
      </c>
      <c r="D4575" s="1" t="s">
        <v>15</v>
      </c>
      <c r="E4575" s="1" t="s">
        <v>16</v>
      </c>
      <c r="F4575" s="1">
        <v>336.41</v>
      </c>
      <c r="G4575" s="1">
        <v>-44.32</v>
      </c>
      <c r="H4575" s="1">
        <v>10.0</v>
      </c>
      <c r="I4575" s="1" t="s">
        <v>34</v>
      </c>
      <c r="J4575" s="1" t="s">
        <v>24</v>
      </c>
      <c r="K4575" s="1">
        <f t="shared" si="1"/>
        <v>2023</v>
      </c>
      <c r="L4575" s="1" t="str">
        <f t="shared" si="2"/>
        <v>Aug</v>
      </c>
      <c r="M4575" s="1" t="str">
        <f t="shared" si="3"/>
        <v>Loss</v>
      </c>
    </row>
    <row r="4576" ht="14.25" customHeight="1">
      <c r="A4576" s="1" t="s">
        <v>4610</v>
      </c>
      <c r="B4576" s="2">
        <v>44506.0</v>
      </c>
      <c r="C4576" s="1" t="s">
        <v>20</v>
      </c>
      <c r="D4576" s="1" t="s">
        <v>15</v>
      </c>
      <c r="E4576" s="1" t="s">
        <v>16</v>
      </c>
      <c r="F4576" s="1">
        <v>33.88</v>
      </c>
      <c r="G4576" s="1">
        <v>-76.36</v>
      </c>
      <c r="H4576" s="1">
        <v>6.0</v>
      </c>
      <c r="I4576" s="1" t="s">
        <v>23</v>
      </c>
      <c r="J4576" s="1" t="s">
        <v>35</v>
      </c>
      <c r="K4576" s="1">
        <f t="shared" si="1"/>
        <v>2021</v>
      </c>
      <c r="L4576" s="1" t="str">
        <f t="shared" si="2"/>
        <v>Nov</v>
      </c>
      <c r="M4576" s="1" t="str">
        <f t="shared" si="3"/>
        <v>Loss</v>
      </c>
    </row>
    <row r="4577" ht="14.25" customHeight="1">
      <c r="A4577" s="1" t="s">
        <v>4611</v>
      </c>
      <c r="B4577" s="2">
        <v>44630.0</v>
      </c>
      <c r="C4577" s="1" t="s">
        <v>20</v>
      </c>
      <c r="D4577" s="1" t="s">
        <v>27</v>
      </c>
      <c r="E4577" s="1" t="s">
        <v>28</v>
      </c>
      <c r="F4577" s="1">
        <v>649.39</v>
      </c>
      <c r="G4577" s="1">
        <v>-96.56</v>
      </c>
      <c r="H4577" s="1">
        <v>5.0</v>
      </c>
      <c r="I4577" s="1" t="s">
        <v>17</v>
      </c>
      <c r="J4577" s="1" t="s">
        <v>24</v>
      </c>
      <c r="K4577" s="1">
        <f t="shared" si="1"/>
        <v>2022</v>
      </c>
      <c r="L4577" s="1" t="str">
        <f t="shared" si="2"/>
        <v>Mar</v>
      </c>
      <c r="M4577" s="1" t="str">
        <f t="shared" si="3"/>
        <v>Loss</v>
      </c>
    </row>
    <row r="4578" ht="14.25" customHeight="1">
      <c r="A4578" s="1" t="s">
        <v>4612</v>
      </c>
      <c r="B4578" s="2">
        <v>44621.0</v>
      </c>
      <c r="C4578" s="1" t="s">
        <v>30</v>
      </c>
      <c r="D4578" s="1" t="s">
        <v>27</v>
      </c>
      <c r="E4578" s="1" t="s">
        <v>28</v>
      </c>
      <c r="F4578" s="1">
        <v>609.63</v>
      </c>
      <c r="G4578" s="1">
        <v>84.85</v>
      </c>
      <c r="H4578" s="1">
        <v>1.0</v>
      </c>
      <c r="I4578" s="1" t="s">
        <v>34</v>
      </c>
      <c r="J4578" s="1" t="s">
        <v>38</v>
      </c>
      <c r="K4578" s="1">
        <f t="shared" si="1"/>
        <v>2022</v>
      </c>
      <c r="L4578" s="1" t="str">
        <f t="shared" si="2"/>
        <v>Mar</v>
      </c>
      <c r="M4578" s="1" t="str">
        <f t="shared" si="3"/>
        <v>Profit</v>
      </c>
    </row>
    <row r="4579" ht="14.25" customHeight="1">
      <c r="A4579" s="1" t="s">
        <v>4613</v>
      </c>
      <c r="B4579" s="2">
        <v>44453.0</v>
      </c>
      <c r="C4579" s="1" t="s">
        <v>20</v>
      </c>
      <c r="D4579" s="1" t="s">
        <v>27</v>
      </c>
      <c r="E4579" s="1" t="s">
        <v>40</v>
      </c>
      <c r="F4579" s="1">
        <v>237.43</v>
      </c>
      <c r="G4579" s="1">
        <v>256.42</v>
      </c>
      <c r="H4579" s="1">
        <v>4.0</v>
      </c>
      <c r="I4579" s="1" t="s">
        <v>23</v>
      </c>
      <c r="J4579" s="1" t="s">
        <v>24</v>
      </c>
      <c r="K4579" s="1">
        <f t="shared" si="1"/>
        <v>2021</v>
      </c>
      <c r="L4579" s="1" t="str">
        <f t="shared" si="2"/>
        <v>Sep</v>
      </c>
      <c r="M4579" s="1" t="str">
        <f t="shared" si="3"/>
        <v>Profit</v>
      </c>
    </row>
    <row r="4580" ht="14.25" customHeight="1">
      <c r="A4580" s="1" t="s">
        <v>4614</v>
      </c>
      <c r="B4580" s="2">
        <v>44465.0</v>
      </c>
      <c r="C4580" s="1" t="s">
        <v>20</v>
      </c>
      <c r="D4580" s="1" t="s">
        <v>15</v>
      </c>
      <c r="E4580" s="1" t="s">
        <v>54</v>
      </c>
      <c r="F4580" s="1">
        <v>956.49</v>
      </c>
      <c r="G4580" s="1">
        <v>-185.08</v>
      </c>
      <c r="H4580" s="1">
        <v>7.0</v>
      </c>
      <c r="I4580" s="1" t="s">
        <v>17</v>
      </c>
      <c r="J4580" s="1" t="s">
        <v>38</v>
      </c>
      <c r="K4580" s="1">
        <f t="shared" si="1"/>
        <v>2021</v>
      </c>
      <c r="L4580" s="1" t="str">
        <f t="shared" si="2"/>
        <v>Sep</v>
      </c>
      <c r="M4580" s="1" t="str">
        <f t="shared" si="3"/>
        <v>Loss</v>
      </c>
    </row>
    <row r="4581" ht="14.25" customHeight="1">
      <c r="A4581" s="1" t="s">
        <v>4615</v>
      </c>
      <c r="B4581" s="2">
        <v>44699.0</v>
      </c>
      <c r="C4581" s="1" t="s">
        <v>14</v>
      </c>
      <c r="D4581" s="1" t="s">
        <v>21</v>
      </c>
      <c r="E4581" s="1" t="s">
        <v>76</v>
      </c>
      <c r="F4581" s="1">
        <v>578.55</v>
      </c>
      <c r="G4581" s="1">
        <v>283.36</v>
      </c>
      <c r="H4581" s="1">
        <v>10.0</v>
      </c>
      <c r="I4581" s="1" t="s">
        <v>17</v>
      </c>
      <c r="J4581" s="1" t="s">
        <v>38</v>
      </c>
      <c r="K4581" s="1">
        <f t="shared" si="1"/>
        <v>2022</v>
      </c>
      <c r="L4581" s="1" t="str">
        <f t="shared" si="2"/>
        <v>May</v>
      </c>
      <c r="M4581" s="1" t="str">
        <f t="shared" si="3"/>
        <v>Profit</v>
      </c>
    </row>
    <row r="4582" ht="14.25" customHeight="1">
      <c r="A4582" s="1" t="s">
        <v>4616</v>
      </c>
      <c r="B4582" s="2">
        <v>44591.0</v>
      </c>
      <c r="C4582" s="1" t="s">
        <v>20</v>
      </c>
      <c r="D4582" s="1" t="s">
        <v>21</v>
      </c>
      <c r="E4582" s="1" t="s">
        <v>22</v>
      </c>
      <c r="F4582" s="1">
        <v>897.79</v>
      </c>
      <c r="G4582" s="1">
        <v>-74.62</v>
      </c>
      <c r="H4582" s="1">
        <v>9.0</v>
      </c>
      <c r="I4582" s="1" t="s">
        <v>23</v>
      </c>
      <c r="J4582" s="1" t="s">
        <v>24</v>
      </c>
      <c r="K4582" s="1">
        <f t="shared" si="1"/>
        <v>2022</v>
      </c>
      <c r="L4582" s="1" t="str">
        <f t="shared" si="2"/>
        <v>Jan</v>
      </c>
      <c r="M4582" s="1" t="str">
        <f t="shared" si="3"/>
        <v>Loss</v>
      </c>
    </row>
    <row r="4583" ht="14.25" customHeight="1">
      <c r="A4583" s="1" t="s">
        <v>4617</v>
      </c>
      <c r="B4583" s="2">
        <v>44693.0</v>
      </c>
      <c r="C4583" s="1" t="s">
        <v>26</v>
      </c>
      <c r="D4583" s="1" t="s">
        <v>21</v>
      </c>
      <c r="E4583" s="1" t="s">
        <v>76</v>
      </c>
      <c r="F4583" s="1">
        <v>859.91</v>
      </c>
      <c r="G4583" s="1">
        <v>-80.03</v>
      </c>
      <c r="H4583" s="1">
        <v>6.0</v>
      </c>
      <c r="I4583" s="1" t="s">
        <v>34</v>
      </c>
      <c r="J4583" s="1" t="s">
        <v>24</v>
      </c>
      <c r="K4583" s="1">
        <f t="shared" si="1"/>
        <v>2022</v>
      </c>
      <c r="L4583" s="1" t="str">
        <f t="shared" si="2"/>
        <v>May</v>
      </c>
      <c r="M4583" s="1" t="str">
        <f t="shared" si="3"/>
        <v>Loss</v>
      </c>
    </row>
    <row r="4584" ht="14.25" customHeight="1">
      <c r="A4584" s="1" t="s">
        <v>4618</v>
      </c>
      <c r="B4584" s="2">
        <v>44654.0</v>
      </c>
      <c r="C4584" s="1" t="s">
        <v>30</v>
      </c>
      <c r="D4584" s="1" t="s">
        <v>27</v>
      </c>
      <c r="E4584" s="1" t="s">
        <v>40</v>
      </c>
      <c r="F4584" s="1">
        <v>420.65</v>
      </c>
      <c r="G4584" s="1">
        <v>187.06</v>
      </c>
      <c r="H4584" s="1">
        <v>6.0</v>
      </c>
      <c r="I4584" s="1" t="s">
        <v>34</v>
      </c>
      <c r="J4584" s="1" t="s">
        <v>35</v>
      </c>
      <c r="K4584" s="1">
        <f t="shared" si="1"/>
        <v>2022</v>
      </c>
      <c r="L4584" s="1" t="str">
        <f t="shared" si="2"/>
        <v>Apr</v>
      </c>
      <c r="M4584" s="1" t="str">
        <f t="shared" si="3"/>
        <v>Profit</v>
      </c>
    </row>
    <row r="4585" ht="14.25" customHeight="1">
      <c r="A4585" s="1" t="s">
        <v>4619</v>
      </c>
      <c r="B4585" s="2">
        <v>44983.0</v>
      </c>
      <c r="C4585" s="1" t="s">
        <v>14</v>
      </c>
      <c r="D4585" s="1" t="s">
        <v>15</v>
      </c>
      <c r="E4585" s="1" t="s">
        <v>54</v>
      </c>
      <c r="F4585" s="1">
        <v>617.04</v>
      </c>
      <c r="G4585" s="1">
        <v>120.0</v>
      </c>
      <c r="H4585" s="1">
        <v>5.0</v>
      </c>
      <c r="I4585" s="1" t="s">
        <v>34</v>
      </c>
      <c r="J4585" s="1" t="s">
        <v>18</v>
      </c>
      <c r="K4585" s="1">
        <f t="shared" si="1"/>
        <v>2023</v>
      </c>
      <c r="L4585" s="1" t="str">
        <f t="shared" si="2"/>
        <v>Feb</v>
      </c>
      <c r="M4585" s="1" t="str">
        <f t="shared" si="3"/>
        <v>Profit</v>
      </c>
    </row>
    <row r="4586" ht="14.25" customHeight="1">
      <c r="A4586" s="1" t="s">
        <v>4620</v>
      </c>
      <c r="B4586" s="2">
        <v>45228.0</v>
      </c>
      <c r="C4586" s="1" t="s">
        <v>14</v>
      </c>
      <c r="D4586" s="1" t="s">
        <v>15</v>
      </c>
      <c r="E4586" s="1" t="s">
        <v>54</v>
      </c>
      <c r="F4586" s="1">
        <v>968.59</v>
      </c>
      <c r="G4586" s="1">
        <v>59.85</v>
      </c>
      <c r="H4586" s="1">
        <v>10.0</v>
      </c>
      <c r="I4586" s="1" t="s">
        <v>17</v>
      </c>
      <c r="J4586" s="1" t="s">
        <v>24</v>
      </c>
      <c r="K4586" s="1">
        <f t="shared" si="1"/>
        <v>2023</v>
      </c>
      <c r="L4586" s="1" t="str">
        <f t="shared" si="2"/>
        <v>Oct</v>
      </c>
      <c r="M4586" s="1" t="str">
        <f t="shared" si="3"/>
        <v>Profit</v>
      </c>
    </row>
    <row r="4587" ht="14.25" customHeight="1">
      <c r="A4587" s="1" t="s">
        <v>4621</v>
      </c>
      <c r="B4587" s="2">
        <v>44527.0</v>
      </c>
      <c r="C4587" s="1" t="s">
        <v>26</v>
      </c>
      <c r="D4587" s="1" t="s">
        <v>15</v>
      </c>
      <c r="E4587" s="1" t="s">
        <v>54</v>
      </c>
      <c r="F4587" s="1">
        <v>934.38</v>
      </c>
      <c r="G4587" s="1">
        <v>-79.34</v>
      </c>
      <c r="H4587" s="1">
        <v>8.0</v>
      </c>
      <c r="I4587" s="1" t="s">
        <v>23</v>
      </c>
      <c r="J4587" s="1" t="s">
        <v>18</v>
      </c>
      <c r="K4587" s="1">
        <f t="shared" si="1"/>
        <v>2021</v>
      </c>
      <c r="L4587" s="1" t="str">
        <f t="shared" si="2"/>
        <v>Nov</v>
      </c>
      <c r="M4587" s="1" t="str">
        <f t="shared" si="3"/>
        <v>Loss</v>
      </c>
    </row>
    <row r="4588" ht="14.25" customHeight="1">
      <c r="A4588" s="1" t="s">
        <v>4622</v>
      </c>
      <c r="B4588" s="2">
        <v>44440.0</v>
      </c>
      <c r="C4588" s="1" t="s">
        <v>26</v>
      </c>
      <c r="D4588" s="1" t="s">
        <v>15</v>
      </c>
      <c r="E4588" s="1" t="s">
        <v>54</v>
      </c>
      <c r="F4588" s="1">
        <v>677.31</v>
      </c>
      <c r="G4588" s="1">
        <v>225.0</v>
      </c>
      <c r="H4588" s="1">
        <v>8.0</v>
      </c>
      <c r="I4588" s="1" t="s">
        <v>34</v>
      </c>
      <c r="J4588" s="1" t="s">
        <v>24</v>
      </c>
      <c r="K4588" s="1">
        <f t="shared" si="1"/>
        <v>2021</v>
      </c>
      <c r="L4588" s="1" t="str">
        <f t="shared" si="2"/>
        <v>Sep</v>
      </c>
      <c r="M4588" s="1" t="str">
        <f t="shared" si="3"/>
        <v>Profit</v>
      </c>
    </row>
    <row r="4589" ht="14.25" customHeight="1">
      <c r="A4589" s="1" t="s">
        <v>4623</v>
      </c>
      <c r="B4589" s="2">
        <v>45193.0</v>
      </c>
      <c r="C4589" s="1" t="s">
        <v>26</v>
      </c>
      <c r="D4589" s="1" t="s">
        <v>15</v>
      </c>
      <c r="E4589" s="1" t="s">
        <v>16</v>
      </c>
      <c r="F4589" s="1">
        <v>450.98</v>
      </c>
      <c r="G4589" s="1">
        <v>229.51</v>
      </c>
      <c r="H4589" s="1">
        <v>5.0</v>
      </c>
      <c r="I4589" s="1" t="s">
        <v>34</v>
      </c>
      <c r="J4589" s="1" t="s">
        <v>35</v>
      </c>
      <c r="K4589" s="1">
        <f t="shared" si="1"/>
        <v>2023</v>
      </c>
      <c r="L4589" s="1" t="str">
        <f t="shared" si="2"/>
        <v>Sep</v>
      </c>
      <c r="M4589" s="1" t="str">
        <f t="shared" si="3"/>
        <v>Profit</v>
      </c>
    </row>
    <row r="4590" ht="14.25" customHeight="1">
      <c r="A4590" s="1" t="s">
        <v>4624</v>
      </c>
      <c r="B4590" s="2">
        <v>44838.0</v>
      </c>
      <c r="C4590" s="1" t="s">
        <v>14</v>
      </c>
      <c r="D4590" s="1" t="s">
        <v>27</v>
      </c>
      <c r="E4590" s="1" t="s">
        <v>28</v>
      </c>
      <c r="F4590" s="1">
        <v>306.91</v>
      </c>
      <c r="G4590" s="1">
        <v>-163.39</v>
      </c>
      <c r="H4590" s="1">
        <v>6.0</v>
      </c>
      <c r="I4590" s="1" t="s">
        <v>23</v>
      </c>
      <c r="J4590" s="1" t="s">
        <v>38</v>
      </c>
      <c r="K4590" s="1">
        <f t="shared" si="1"/>
        <v>2022</v>
      </c>
      <c r="L4590" s="1" t="str">
        <f t="shared" si="2"/>
        <v>Oct</v>
      </c>
      <c r="M4590" s="1" t="str">
        <f t="shared" si="3"/>
        <v>Loss</v>
      </c>
    </row>
    <row r="4591" ht="14.25" customHeight="1">
      <c r="A4591" s="1" t="s">
        <v>4625</v>
      </c>
      <c r="B4591" s="2">
        <v>44858.0</v>
      </c>
      <c r="C4591" s="1" t="s">
        <v>26</v>
      </c>
      <c r="D4591" s="1" t="s">
        <v>15</v>
      </c>
      <c r="E4591" s="1" t="s">
        <v>54</v>
      </c>
      <c r="F4591" s="1">
        <v>474.24</v>
      </c>
      <c r="G4591" s="1">
        <v>203.81</v>
      </c>
      <c r="H4591" s="1">
        <v>1.0</v>
      </c>
      <c r="I4591" s="1" t="s">
        <v>17</v>
      </c>
      <c r="J4591" s="1" t="s">
        <v>38</v>
      </c>
      <c r="K4591" s="1">
        <f t="shared" si="1"/>
        <v>2022</v>
      </c>
      <c r="L4591" s="1" t="str">
        <f t="shared" si="2"/>
        <v>Oct</v>
      </c>
      <c r="M4591" s="1" t="str">
        <f t="shared" si="3"/>
        <v>Profit</v>
      </c>
    </row>
    <row r="4592" ht="14.25" customHeight="1">
      <c r="A4592" s="1" t="s">
        <v>4626</v>
      </c>
      <c r="B4592" s="2">
        <v>44473.0</v>
      </c>
      <c r="C4592" s="1" t="s">
        <v>14</v>
      </c>
      <c r="D4592" s="1" t="s">
        <v>21</v>
      </c>
      <c r="E4592" s="1" t="s">
        <v>76</v>
      </c>
      <c r="F4592" s="1">
        <v>42.5</v>
      </c>
      <c r="G4592" s="1">
        <v>-72.18</v>
      </c>
      <c r="H4592" s="1">
        <v>7.0</v>
      </c>
      <c r="I4592" s="1" t="s">
        <v>34</v>
      </c>
      <c r="J4592" s="1" t="s">
        <v>38</v>
      </c>
      <c r="K4592" s="1">
        <f t="shared" si="1"/>
        <v>2021</v>
      </c>
      <c r="L4592" s="1" t="str">
        <f t="shared" si="2"/>
        <v>Oct</v>
      </c>
      <c r="M4592" s="1" t="str">
        <f t="shared" si="3"/>
        <v>Loss</v>
      </c>
    </row>
    <row r="4593" ht="14.25" customHeight="1">
      <c r="A4593" s="1" t="s">
        <v>4627</v>
      </c>
      <c r="B4593" s="2">
        <v>44603.0</v>
      </c>
      <c r="C4593" s="1" t="s">
        <v>14</v>
      </c>
      <c r="D4593" s="1" t="s">
        <v>15</v>
      </c>
      <c r="E4593" s="1" t="s">
        <v>31</v>
      </c>
      <c r="F4593" s="1">
        <v>513.15</v>
      </c>
      <c r="G4593" s="1">
        <v>119.22</v>
      </c>
      <c r="H4593" s="1">
        <v>4.0</v>
      </c>
      <c r="I4593" s="1" t="s">
        <v>23</v>
      </c>
      <c r="J4593" s="1" t="s">
        <v>38</v>
      </c>
      <c r="K4593" s="1">
        <f t="shared" si="1"/>
        <v>2022</v>
      </c>
      <c r="L4593" s="1" t="str">
        <f t="shared" si="2"/>
        <v>Feb</v>
      </c>
      <c r="M4593" s="1" t="str">
        <f t="shared" si="3"/>
        <v>Profit</v>
      </c>
    </row>
    <row r="4594" ht="14.25" customHeight="1">
      <c r="A4594" s="1" t="s">
        <v>4628</v>
      </c>
      <c r="B4594" s="2">
        <v>44433.0</v>
      </c>
      <c r="C4594" s="1" t="s">
        <v>26</v>
      </c>
      <c r="D4594" s="1" t="s">
        <v>15</v>
      </c>
      <c r="E4594" s="1" t="s">
        <v>31</v>
      </c>
      <c r="F4594" s="1">
        <v>219.85</v>
      </c>
      <c r="G4594" s="1">
        <v>141.53</v>
      </c>
      <c r="H4594" s="1">
        <v>9.0</v>
      </c>
      <c r="I4594" s="1" t="s">
        <v>23</v>
      </c>
      <c r="J4594" s="1" t="s">
        <v>35</v>
      </c>
      <c r="K4594" s="1">
        <f t="shared" si="1"/>
        <v>2021</v>
      </c>
      <c r="L4594" s="1" t="str">
        <f t="shared" si="2"/>
        <v>Aug</v>
      </c>
      <c r="M4594" s="1" t="str">
        <f t="shared" si="3"/>
        <v>Profit</v>
      </c>
    </row>
    <row r="4595" ht="14.25" customHeight="1">
      <c r="A4595" s="1" t="s">
        <v>4629</v>
      </c>
      <c r="B4595" s="2">
        <v>44202.0</v>
      </c>
      <c r="C4595" s="1" t="s">
        <v>26</v>
      </c>
      <c r="D4595" s="1" t="s">
        <v>27</v>
      </c>
      <c r="E4595" s="1" t="s">
        <v>40</v>
      </c>
      <c r="F4595" s="1">
        <v>414.83</v>
      </c>
      <c r="G4595" s="1">
        <v>133.31</v>
      </c>
      <c r="H4595" s="1">
        <v>7.0</v>
      </c>
      <c r="I4595" s="1" t="s">
        <v>17</v>
      </c>
      <c r="J4595" s="1" t="s">
        <v>18</v>
      </c>
      <c r="K4595" s="1">
        <f t="shared" si="1"/>
        <v>2021</v>
      </c>
      <c r="L4595" s="1" t="str">
        <f t="shared" si="2"/>
        <v>Jan</v>
      </c>
      <c r="M4595" s="1" t="str">
        <f t="shared" si="3"/>
        <v>Profit</v>
      </c>
    </row>
    <row r="4596" ht="14.25" customHeight="1">
      <c r="A4596" s="1" t="s">
        <v>4630</v>
      </c>
      <c r="B4596" s="2">
        <v>45243.0</v>
      </c>
      <c r="C4596" s="1" t="s">
        <v>14</v>
      </c>
      <c r="D4596" s="1" t="s">
        <v>15</v>
      </c>
      <c r="E4596" s="1" t="s">
        <v>31</v>
      </c>
      <c r="F4596" s="1">
        <v>106.66</v>
      </c>
      <c r="G4596" s="1">
        <v>-38.99</v>
      </c>
      <c r="H4596" s="1">
        <v>8.0</v>
      </c>
      <c r="I4596" s="1" t="s">
        <v>17</v>
      </c>
      <c r="J4596" s="1" t="s">
        <v>18</v>
      </c>
      <c r="K4596" s="1">
        <f t="shared" si="1"/>
        <v>2023</v>
      </c>
      <c r="L4596" s="1" t="str">
        <f t="shared" si="2"/>
        <v>Nov</v>
      </c>
      <c r="M4596" s="1" t="str">
        <f t="shared" si="3"/>
        <v>Loss</v>
      </c>
    </row>
    <row r="4597" ht="14.25" customHeight="1">
      <c r="A4597" s="1" t="s">
        <v>4631</v>
      </c>
      <c r="B4597" s="2">
        <v>44531.0</v>
      </c>
      <c r="C4597" s="1" t="s">
        <v>30</v>
      </c>
      <c r="D4597" s="1" t="s">
        <v>15</v>
      </c>
      <c r="E4597" s="1" t="s">
        <v>16</v>
      </c>
      <c r="F4597" s="1">
        <v>995.1</v>
      </c>
      <c r="G4597" s="1">
        <v>58.64</v>
      </c>
      <c r="H4597" s="1">
        <v>6.0</v>
      </c>
      <c r="I4597" s="1" t="s">
        <v>17</v>
      </c>
      <c r="J4597" s="1" t="s">
        <v>24</v>
      </c>
      <c r="K4597" s="1">
        <f t="shared" si="1"/>
        <v>2021</v>
      </c>
      <c r="L4597" s="1" t="str">
        <f t="shared" si="2"/>
        <v>Dec</v>
      </c>
      <c r="M4597" s="1" t="str">
        <f t="shared" si="3"/>
        <v>Profit</v>
      </c>
    </row>
    <row r="4598" ht="14.25" customHeight="1">
      <c r="A4598" s="1" t="s">
        <v>4632</v>
      </c>
      <c r="B4598" s="2">
        <v>44945.0</v>
      </c>
      <c r="C4598" s="1" t="s">
        <v>30</v>
      </c>
      <c r="D4598" s="1" t="s">
        <v>27</v>
      </c>
      <c r="E4598" s="1" t="s">
        <v>28</v>
      </c>
      <c r="F4598" s="1">
        <v>846.43</v>
      </c>
      <c r="G4598" s="1">
        <v>-155.92</v>
      </c>
      <c r="H4598" s="1">
        <v>5.0</v>
      </c>
      <c r="I4598" s="1" t="s">
        <v>17</v>
      </c>
      <c r="J4598" s="1" t="s">
        <v>38</v>
      </c>
      <c r="K4598" s="1">
        <f t="shared" si="1"/>
        <v>2023</v>
      </c>
      <c r="L4598" s="1" t="str">
        <f t="shared" si="2"/>
        <v>Jan</v>
      </c>
      <c r="M4598" s="1" t="str">
        <f t="shared" si="3"/>
        <v>Loss</v>
      </c>
    </row>
    <row r="4599" ht="14.25" customHeight="1">
      <c r="A4599" s="1" t="s">
        <v>4633</v>
      </c>
      <c r="B4599" s="2">
        <v>44671.0</v>
      </c>
      <c r="C4599" s="1" t="s">
        <v>14</v>
      </c>
      <c r="D4599" s="1" t="s">
        <v>21</v>
      </c>
      <c r="E4599" s="1" t="s">
        <v>76</v>
      </c>
      <c r="F4599" s="1">
        <v>262.89</v>
      </c>
      <c r="G4599" s="1">
        <v>-18.45</v>
      </c>
      <c r="H4599" s="1">
        <v>4.0</v>
      </c>
      <c r="I4599" s="1" t="s">
        <v>34</v>
      </c>
      <c r="J4599" s="1" t="s">
        <v>18</v>
      </c>
      <c r="K4599" s="1">
        <f t="shared" si="1"/>
        <v>2022</v>
      </c>
      <c r="L4599" s="1" t="str">
        <f t="shared" si="2"/>
        <v>Apr</v>
      </c>
      <c r="M4599" s="1" t="str">
        <f t="shared" si="3"/>
        <v>Loss</v>
      </c>
    </row>
    <row r="4600" ht="14.25" customHeight="1">
      <c r="A4600" s="1" t="s">
        <v>4634</v>
      </c>
      <c r="B4600" s="2">
        <v>44422.0</v>
      </c>
      <c r="C4600" s="1" t="s">
        <v>20</v>
      </c>
      <c r="D4600" s="1" t="s">
        <v>15</v>
      </c>
      <c r="E4600" s="1" t="s">
        <v>16</v>
      </c>
      <c r="F4600" s="1">
        <v>119.18</v>
      </c>
      <c r="G4600" s="1">
        <v>287.12</v>
      </c>
      <c r="H4600" s="1">
        <v>5.0</v>
      </c>
      <c r="I4600" s="1" t="s">
        <v>23</v>
      </c>
      <c r="J4600" s="1" t="s">
        <v>18</v>
      </c>
      <c r="K4600" s="1">
        <f t="shared" si="1"/>
        <v>2021</v>
      </c>
      <c r="L4600" s="1" t="str">
        <f t="shared" si="2"/>
        <v>Aug</v>
      </c>
      <c r="M4600" s="1" t="str">
        <f t="shared" si="3"/>
        <v>Profit</v>
      </c>
    </row>
    <row r="4601" ht="14.25" customHeight="1">
      <c r="A4601" s="1" t="s">
        <v>4635</v>
      </c>
      <c r="B4601" s="2">
        <v>44893.0</v>
      </c>
      <c r="C4601" s="1" t="s">
        <v>30</v>
      </c>
      <c r="D4601" s="1" t="s">
        <v>15</v>
      </c>
      <c r="E4601" s="1" t="s">
        <v>16</v>
      </c>
      <c r="F4601" s="1">
        <v>269.96</v>
      </c>
      <c r="G4601" s="1">
        <v>192.21</v>
      </c>
      <c r="H4601" s="1">
        <v>5.0</v>
      </c>
      <c r="I4601" s="1" t="s">
        <v>17</v>
      </c>
      <c r="J4601" s="1" t="s">
        <v>35</v>
      </c>
      <c r="K4601" s="1">
        <f t="shared" si="1"/>
        <v>2022</v>
      </c>
      <c r="L4601" s="1" t="str">
        <f t="shared" si="2"/>
        <v>Nov</v>
      </c>
      <c r="M4601" s="1" t="str">
        <f t="shared" si="3"/>
        <v>Profit</v>
      </c>
    </row>
    <row r="4602" ht="14.25" customHeight="1">
      <c r="A4602" s="1" t="s">
        <v>4636</v>
      </c>
      <c r="B4602" s="2">
        <v>44317.0</v>
      </c>
      <c r="C4602" s="1" t="s">
        <v>20</v>
      </c>
      <c r="D4602" s="1" t="s">
        <v>15</v>
      </c>
      <c r="E4602" s="1" t="s">
        <v>31</v>
      </c>
      <c r="F4602" s="1">
        <v>268.06</v>
      </c>
      <c r="G4602" s="1">
        <v>-133.53</v>
      </c>
      <c r="H4602" s="1">
        <v>6.0</v>
      </c>
      <c r="I4602" s="1" t="s">
        <v>23</v>
      </c>
      <c r="J4602" s="1" t="s">
        <v>38</v>
      </c>
      <c r="K4602" s="1">
        <f t="shared" si="1"/>
        <v>2021</v>
      </c>
      <c r="L4602" s="1" t="str">
        <f t="shared" si="2"/>
        <v>May</v>
      </c>
      <c r="M4602" s="1" t="str">
        <f t="shared" si="3"/>
        <v>Loss</v>
      </c>
    </row>
    <row r="4603" ht="14.25" customHeight="1">
      <c r="A4603" s="1" t="s">
        <v>4637</v>
      </c>
      <c r="B4603" s="2">
        <v>44735.0</v>
      </c>
      <c r="C4603" s="1" t="s">
        <v>26</v>
      </c>
      <c r="D4603" s="1" t="s">
        <v>15</v>
      </c>
      <c r="E4603" s="1" t="s">
        <v>31</v>
      </c>
      <c r="F4603" s="1">
        <v>339.89</v>
      </c>
      <c r="G4603" s="1">
        <v>108.02</v>
      </c>
      <c r="H4603" s="1">
        <v>1.0</v>
      </c>
      <c r="I4603" s="1" t="s">
        <v>17</v>
      </c>
      <c r="J4603" s="1" t="s">
        <v>24</v>
      </c>
      <c r="K4603" s="1">
        <f t="shared" si="1"/>
        <v>2022</v>
      </c>
      <c r="L4603" s="1" t="str">
        <f t="shared" si="2"/>
        <v>Jun</v>
      </c>
      <c r="M4603" s="1" t="str">
        <f t="shared" si="3"/>
        <v>Profit</v>
      </c>
    </row>
    <row r="4604" ht="14.25" customHeight="1">
      <c r="A4604" s="1" t="s">
        <v>4638</v>
      </c>
      <c r="B4604" s="2">
        <v>45232.0</v>
      </c>
      <c r="C4604" s="1" t="s">
        <v>30</v>
      </c>
      <c r="D4604" s="1" t="s">
        <v>21</v>
      </c>
      <c r="E4604" s="1" t="s">
        <v>22</v>
      </c>
      <c r="F4604" s="1">
        <v>722.66</v>
      </c>
      <c r="G4604" s="1">
        <v>34.43</v>
      </c>
      <c r="H4604" s="1">
        <v>5.0</v>
      </c>
      <c r="I4604" s="1" t="s">
        <v>17</v>
      </c>
      <c r="J4604" s="1" t="s">
        <v>38</v>
      </c>
      <c r="K4604" s="1">
        <f t="shared" si="1"/>
        <v>2023</v>
      </c>
      <c r="L4604" s="1" t="str">
        <f t="shared" si="2"/>
        <v>Nov</v>
      </c>
      <c r="M4604" s="1" t="str">
        <f t="shared" si="3"/>
        <v>Profit</v>
      </c>
    </row>
    <row r="4605" ht="14.25" customHeight="1">
      <c r="A4605" s="1" t="s">
        <v>4639</v>
      </c>
      <c r="B4605" s="2">
        <v>44930.0</v>
      </c>
      <c r="C4605" s="1" t="s">
        <v>30</v>
      </c>
      <c r="D4605" s="1" t="s">
        <v>27</v>
      </c>
      <c r="E4605" s="1" t="s">
        <v>33</v>
      </c>
      <c r="F4605" s="1">
        <v>837.23</v>
      </c>
      <c r="G4605" s="1">
        <v>119.42</v>
      </c>
      <c r="H4605" s="1">
        <v>2.0</v>
      </c>
      <c r="I4605" s="1" t="s">
        <v>23</v>
      </c>
      <c r="J4605" s="1" t="s">
        <v>38</v>
      </c>
      <c r="K4605" s="1">
        <f t="shared" si="1"/>
        <v>2023</v>
      </c>
      <c r="L4605" s="1" t="str">
        <f t="shared" si="2"/>
        <v>Jan</v>
      </c>
      <c r="M4605" s="1" t="str">
        <f t="shared" si="3"/>
        <v>Profit</v>
      </c>
    </row>
    <row r="4606" ht="14.25" customHeight="1">
      <c r="A4606" s="1" t="s">
        <v>4640</v>
      </c>
      <c r="B4606" s="2">
        <v>44320.0</v>
      </c>
      <c r="C4606" s="1" t="s">
        <v>20</v>
      </c>
      <c r="D4606" s="1" t="s">
        <v>21</v>
      </c>
      <c r="E4606" s="1" t="s">
        <v>22</v>
      </c>
      <c r="F4606" s="1">
        <v>552.48</v>
      </c>
      <c r="G4606" s="1">
        <v>-26.57</v>
      </c>
      <c r="H4606" s="1">
        <v>8.0</v>
      </c>
      <c r="I4606" s="1" t="s">
        <v>23</v>
      </c>
      <c r="J4606" s="1" t="s">
        <v>38</v>
      </c>
      <c r="K4606" s="1">
        <f t="shared" si="1"/>
        <v>2021</v>
      </c>
      <c r="L4606" s="1" t="str">
        <f t="shared" si="2"/>
        <v>May</v>
      </c>
      <c r="M4606" s="1" t="str">
        <f t="shared" si="3"/>
        <v>Loss</v>
      </c>
    </row>
    <row r="4607" ht="14.25" customHeight="1">
      <c r="A4607" s="1" t="s">
        <v>4641</v>
      </c>
      <c r="B4607" s="2">
        <v>44960.0</v>
      </c>
      <c r="C4607" s="1" t="s">
        <v>20</v>
      </c>
      <c r="D4607" s="1" t="s">
        <v>27</v>
      </c>
      <c r="E4607" s="1" t="s">
        <v>28</v>
      </c>
      <c r="F4607" s="1">
        <v>153.08</v>
      </c>
      <c r="G4607" s="1">
        <v>227.69</v>
      </c>
      <c r="H4607" s="1">
        <v>3.0</v>
      </c>
      <c r="I4607" s="1" t="s">
        <v>34</v>
      </c>
      <c r="J4607" s="1" t="s">
        <v>24</v>
      </c>
      <c r="K4607" s="1">
        <f t="shared" si="1"/>
        <v>2023</v>
      </c>
      <c r="L4607" s="1" t="str">
        <f t="shared" si="2"/>
        <v>Feb</v>
      </c>
      <c r="M4607" s="1" t="str">
        <f t="shared" si="3"/>
        <v>Profit</v>
      </c>
    </row>
    <row r="4608" ht="14.25" customHeight="1">
      <c r="A4608" s="1" t="s">
        <v>4642</v>
      </c>
      <c r="B4608" s="2">
        <v>44584.0</v>
      </c>
      <c r="C4608" s="1" t="s">
        <v>30</v>
      </c>
      <c r="D4608" s="1" t="s">
        <v>15</v>
      </c>
      <c r="E4608" s="1" t="s">
        <v>54</v>
      </c>
      <c r="F4608" s="1">
        <v>422.4</v>
      </c>
      <c r="G4608" s="1">
        <v>101.15</v>
      </c>
      <c r="H4608" s="1">
        <v>3.0</v>
      </c>
      <c r="I4608" s="1" t="s">
        <v>17</v>
      </c>
      <c r="J4608" s="1" t="s">
        <v>18</v>
      </c>
      <c r="K4608" s="1">
        <f t="shared" si="1"/>
        <v>2022</v>
      </c>
      <c r="L4608" s="1" t="str">
        <f t="shared" si="2"/>
        <v>Jan</v>
      </c>
      <c r="M4608" s="1" t="str">
        <f t="shared" si="3"/>
        <v>Profit</v>
      </c>
    </row>
    <row r="4609" ht="14.25" customHeight="1">
      <c r="A4609" s="1" t="s">
        <v>4643</v>
      </c>
      <c r="B4609" s="2">
        <v>45042.0</v>
      </c>
      <c r="C4609" s="1" t="s">
        <v>20</v>
      </c>
      <c r="D4609" s="1" t="s">
        <v>15</v>
      </c>
      <c r="E4609" s="1" t="s">
        <v>54</v>
      </c>
      <c r="F4609" s="1">
        <v>946.93</v>
      </c>
      <c r="G4609" s="1">
        <v>-99.57</v>
      </c>
      <c r="H4609" s="1">
        <v>4.0</v>
      </c>
      <c r="I4609" s="1" t="s">
        <v>23</v>
      </c>
      <c r="J4609" s="1" t="s">
        <v>35</v>
      </c>
      <c r="K4609" s="1">
        <f t="shared" si="1"/>
        <v>2023</v>
      </c>
      <c r="L4609" s="1" t="str">
        <f t="shared" si="2"/>
        <v>Apr</v>
      </c>
      <c r="M4609" s="1" t="str">
        <f t="shared" si="3"/>
        <v>Loss</v>
      </c>
    </row>
    <row r="4610" ht="14.25" customHeight="1">
      <c r="A4610" s="1" t="s">
        <v>4644</v>
      </c>
      <c r="B4610" s="2">
        <v>45066.0</v>
      </c>
      <c r="C4610" s="1" t="s">
        <v>26</v>
      </c>
      <c r="D4610" s="1" t="s">
        <v>15</v>
      </c>
      <c r="E4610" s="1" t="s">
        <v>54</v>
      </c>
      <c r="F4610" s="1">
        <v>213.41</v>
      </c>
      <c r="G4610" s="1">
        <v>96.96</v>
      </c>
      <c r="H4610" s="1">
        <v>1.0</v>
      </c>
      <c r="I4610" s="1" t="s">
        <v>23</v>
      </c>
      <c r="J4610" s="1" t="s">
        <v>38</v>
      </c>
      <c r="K4610" s="1">
        <f t="shared" si="1"/>
        <v>2023</v>
      </c>
      <c r="L4610" s="1" t="str">
        <f t="shared" si="2"/>
        <v>May</v>
      </c>
      <c r="M4610" s="1" t="str">
        <f t="shared" si="3"/>
        <v>Profit</v>
      </c>
    </row>
    <row r="4611" ht="14.25" customHeight="1">
      <c r="A4611" s="1" t="s">
        <v>4645</v>
      </c>
      <c r="B4611" s="2">
        <v>44263.0</v>
      </c>
      <c r="C4611" s="1" t="s">
        <v>20</v>
      </c>
      <c r="D4611" s="1" t="s">
        <v>15</v>
      </c>
      <c r="E4611" s="1" t="s">
        <v>31</v>
      </c>
      <c r="F4611" s="1">
        <v>706.05</v>
      </c>
      <c r="G4611" s="1">
        <v>119.39</v>
      </c>
      <c r="H4611" s="1">
        <v>2.0</v>
      </c>
      <c r="I4611" s="1" t="s">
        <v>23</v>
      </c>
      <c r="J4611" s="1" t="s">
        <v>35</v>
      </c>
      <c r="K4611" s="1">
        <f t="shared" si="1"/>
        <v>2021</v>
      </c>
      <c r="L4611" s="1" t="str">
        <f t="shared" si="2"/>
        <v>Mar</v>
      </c>
      <c r="M4611" s="1" t="str">
        <f t="shared" si="3"/>
        <v>Profit</v>
      </c>
    </row>
    <row r="4612" ht="14.25" customHeight="1">
      <c r="A4612" s="1" t="s">
        <v>4646</v>
      </c>
      <c r="B4612" s="2">
        <v>44441.0</v>
      </c>
      <c r="C4612" s="1" t="s">
        <v>14</v>
      </c>
      <c r="D4612" s="1" t="s">
        <v>27</v>
      </c>
      <c r="E4612" s="1" t="s">
        <v>33</v>
      </c>
      <c r="F4612" s="1">
        <v>584.78</v>
      </c>
      <c r="G4612" s="1">
        <v>172.48</v>
      </c>
      <c r="H4612" s="1">
        <v>6.0</v>
      </c>
      <c r="I4612" s="1" t="s">
        <v>17</v>
      </c>
      <c r="J4612" s="1" t="s">
        <v>38</v>
      </c>
      <c r="K4612" s="1">
        <f t="shared" si="1"/>
        <v>2021</v>
      </c>
      <c r="L4612" s="1" t="str">
        <f t="shared" si="2"/>
        <v>Sep</v>
      </c>
      <c r="M4612" s="1" t="str">
        <f t="shared" si="3"/>
        <v>Profit</v>
      </c>
    </row>
    <row r="4613" ht="14.25" customHeight="1">
      <c r="A4613" s="1" t="s">
        <v>4647</v>
      </c>
      <c r="B4613" s="2">
        <v>44443.0</v>
      </c>
      <c r="C4613" s="1" t="s">
        <v>20</v>
      </c>
      <c r="D4613" s="1" t="s">
        <v>27</v>
      </c>
      <c r="E4613" s="1" t="s">
        <v>40</v>
      </c>
      <c r="F4613" s="1">
        <v>699.49</v>
      </c>
      <c r="G4613" s="1">
        <v>240.23</v>
      </c>
      <c r="H4613" s="1">
        <v>3.0</v>
      </c>
      <c r="I4613" s="1" t="s">
        <v>23</v>
      </c>
      <c r="J4613" s="1" t="s">
        <v>38</v>
      </c>
      <c r="K4613" s="1">
        <f t="shared" si="1"/>
        <v>2021</v>
      </c>
      <c r="L4613" s="1" t="str">
        <f t="shared" si="2"/>
        <v>Sep</v>
      </c>
      <c r="M4613" s="1" t="str">
        <f t="shared" si="3"/>
        <v>Profit</v>
      </c>
    </row>
    <row r="4614" ht="14.25" customHeight="1">
      <c r="A4614" s="1" t="s">
        <v>4648</v>
      </c>
      <c r="B4614" s="2">
        <v>44551.0</v>
      </c>
      <c r="C4614" s="1" t="s">
        <v>14</v>
      </c>
      <c r="D4614" s="1" t="s">
        <v>15</v>
      </c>
      <c r="E4614" s="1" t="s">
        <v>16</v>
      </c>
      <c r="F4614" s="1">
        <v>228.55</v>
      </c>
      <c r="G4614" s="1">
        <v>153.77</v>
      </c>
      <c r="H4614" s="1">
        <v>4.0</v>
      </c>
      <c r="I4614" s="1" t="s">
        <v>17</v>
      </c>
      <c r="J4614" s="1" t="s">
        <v>38</v>
      </c>
      <c r="K4614" s="1">
        <f t="shared" si="1"/>
        <v>2021</v>
      </c>
      <c r="L4614" s="1" t="str">
        <f t="shared" si="2"/>
        <v>Dec</v>
      </c>
      <c r="M4614" s="1" t="str">
        <f t="shared" si="3"/>
        <v>Profit</v>
      </c>
    </row>
    <row r="4615" ht="14.25" customHeight="1">
      <c r="A4615" s="1" t="s">
        <v>4649</v>
      </c>
      <c r="B4615" s="2">
        <v>44596.0</v>
      </c>
      <c r="C4615" s="1" t="s">
        <v>30</v>
      </c>
      <c r="D4615" s="1" t="s">
        <v>27</v>
      </c>
      <c r="E4615" s="1" t="s">
        <v>33</v>
      </c>
      <c r="F4615" s="1">
        <v>726.79</v>
      </c>
      <c r="G4615" s="1">
        <v>234.12</v>
      </c>
      <c r="H4615" s="1">
        <v>5.0</v>
      </c>
      <c r="I4615" s="1" t="s">
        <v>17</v>
      </c>
      <c r="J4615" s="1" t="s">
        <v>18</v>
      </c>
      <c r="K4615" s="1">
        <f t="shared" si="1"/>
        <v>2022</v>
      </c>
      <c r="L4615" s="1" t="str">
        <f t="shared" si="2"/>
        <v>Feb</v>
      </c>
      <c r="M4615" s="1" t="str">
        <f t="shared" si="3"/>
        <v>Profit</v>
      </c>
    </row>
    <row r="4616" ht="14.25" customHeight="1">
      <c r="A4616" s="1" t="s">
        <v>4650</v>
      </c>
      <c r="B4616" s="2">
        <v>44682.0</v>
      </c>
      <c r="C4616" s="1" t="s">
        <v>30</v>
      </c>
      <c r="D4616" s="1" t="s">
        <v>15</v>
      </c>
      <c r="E4616" s="1" t="s">
        <v>54</v>
      </c>
      <c r="F4616" s="1">
        <v>220.07</v>
      </c>
      <c r="G4616" s="1">
        <v>299.97</v>
      </c>
      <c r="H4616" s="1">
        <v>10.0</v>
      </c>
      <c r="I4616" s="1" t="s">
        <v>34</v>
      </c>
      <c r="J4616" s="1" t="s">
        <v>38</v>
      </c>
      <c r="K4616" s="1">
        <f t="shared" si="1"/>
        <v>2022</v>
      </c>
      <c r="L4616" s="1" t="str">
        <f t="shared" si="2"/>
        <v>May</v>
      </c>
      <c r="M4616" s="1" t="str">
        <f t="shared" si="3"/>
        <v>Profit</v>
      </c>
    </row>
    <row r="4617" ht="14.25" customHeight="1">
      <c r="A4617" s="1" t="s">
        <v>4651</v>
      </c>
      <c r="B4617" s="2">
        <v>45177.0</v>
      </c>
      <c r="C4617" s="1" t="s">
        <v>26</v>
      </c>
      <c r="D4617" s="1" t="s">
        <v>27</v>
      </c>
      <c r="E4617" s="1" t="s">
        <v>40</v>
      </c>
      <c r="F4617" s="1">
        <v>781.37</v>
      </c>
      <c r="G4617" s="1">
        <v>179.03</v>
      </c>
      <c r="H4617" s="1">
        <v>9.0</v>
      </c>
      <c r="I4617" s="1" t="s">
        <v>17</v>
      </c>
      <c r="J4617" s="1" t="s">
        <v>35</v>
      </c>
      <c r="K4617" s="1">
        <f t="shared" si="1"/>
        <v>2023</v>
      </c>
      <c r="L4617" s="1" t="str">
        <f t="shared" si="2"/>
        <v>Sep</v>
      </c>
      <c r="M4617" s="1" t="str">
        <f t="shared" si="3"/>
        <v>Profit</v>
      </c>
    </row>
    <row r="4618" ht="14.25" customHeight="1">
      <c r="A4618" s="1" t="s">
        <v>4652</v>
      </c>
      <c r="B4618" s="2">
        <v>44644.0</v>
      </c>
      <c r="C4618" s="1" t="s">
        <v>30</v>
      </c>
      <c r="D4618" s="1" t="s">
        <v>21</v>
      </c>
      <c r="E4618" s="1" t="s">
        <v>37</v>
      </c>
      <c r="F4618" s="1">
        <v>921.77</v>
      </c>
      <c r="G4618" s="1">
        <v>-197.63</v>
      </c>
      <c r="H4618" s="1">
        <v>7.0</v>
      </c>
      <c r="I4618" s="1" t="s">
        <v>23</v>
      </c>
      <c r="J4618" s="1" t="s">
        <v>35</v>
      </c>
      <c r="K4618" s="1">
        <f t="shared" si="1"/>
        <v>2022</v>
      </c>
      <c r="L4618" s="1" t="str">
        <f t="shared" si="2"/>
        <v>Mar</v>
      </c>
      <c r="M4618" s="1" t="str">
        <f t="shared" si="3"/>
        <v>Loss</v>
      </c>
    </row>
    <row r="4619" ht="14.25" customHeight="1">
      <c r="A4619" s="1" t="s">
        <v>4653</v>
      </c>
      <c r="B4619" s="2">
        <v>44480.0</v>
      </c>
      <c r="C4619" s="1" t="s">
        <v>20</v>
      </c>
      <c r="D4619" s="1" t="s">
        <v>21</v>
      </c>
      <c r="E4619" s="1" t="s">
        <v>37</v>
      </c>
      <c r="F4619" s="1">
        <v>676.45</v>
      </c>
      <c r="G4619" s="1">
        <v>174.6</v>
      </c>
      <c r="H4619" s="1">
        <v>1.0</v>
      </c>
      <c r="I4619" s="1" t="s">
        <v>17</v>
      </c>
      <c r="J4619" s="1" t="s">
        <v>35</v>
      </c>
      <c r="K4619" s="1">
        <f t="shared" si="1"/>
        <v>2021</v>
      </c>
      <c r="L4619" s="1" t="str">
        <f t="shared" si="2"/>
        <v>Oct</v>
      </c>
      <c r="M4619" s="1" t="str">
        <f t="shared" si="3"/>
        <v>Profit</v>
      </c>
    </row>
    <row r="4620" ht="14.25" customHeight="1">
      <c r="A4620" s="1" t="s">
        <v>4654</v>
      </c>
      <c r="B4620" s="2">
        <v>45037.0</v>
      </c>
      <c r="C4620" s="1" t="s">
        <v>14</v>
      </c>
      <c r="D4620" s="1" t="s">
        <v>27</v>
      </c>
      <c r="E4620" s="1" t="s">
        <v>28</v>
      </c>
      <c r="F4620" s="1">
        <v>805.34</v>
      </c>
      <c r="G4620" s="1">
        <v>102.05</v>
      </c>
      <c r="H4620" s="1">
        <v>5.0</v>
      </c>
      <c r="I4620" s="1" t="s">
        <v>34</v>
      </c>
      <c r="J4620" s="1" t="s">
        <v>35</v>
      </c>
      <c r="K4620" s="1">
        <f t="shared" si="1"/>
        <v>2023</v>
      </c>
      <c r="L4620" s="1" t="str">
        <f t="shared" si="2"/>
        <v>Apr</v>
      </c>
      <c r="M4620" s="1" t="str">
        <f t="shared" si="3"/>
        <v>Profit</v>
      </c>
    </row>
    <row r="4621" ht="14.25" customHeight="1">
      <c r="A4621" s="1" t="s">
        <v>4655</v>
      </c>
      <c r="B4621" s="2">
        <v>44424.0</v>
      </c>
      <c r="C4621" s="1" t="s">
        <v>26</v>
      </c>
      <c r="D4621" s="1" t="s">
        <v>21</v>
      </c>
      <c r="E4621" s="1" t="s">
        <v>76</v>
      </c>
      <c r="F4621" s="1">
        <v>546.52</v>
      </c>
      <c r="G4621" s="1">
        <v>-181.25</v>
      </c>
      <c r="H4621" s="1">
        <v>1.0</v>
      </c>
      <c r="I4621" s="1" t="s">
        <v>23</v>
      </c>
      <c r="J4621" s="1" t="s">
        <v>35</v>
      </c>
      <c r="K4621" s="1">
        <f t="shared" si="1"/>
        <v>2021</v>
      </c>
      <c r="L4621" s="1" t="str">
        <f t="shared" si="2"/>
        <v>Aug</v>
      </c>
      <c r="M4621" s="1" t="str">
        <f t="shared" si="3"/>
        <v>Loss</v>
      </c>
    </row>
    <row r="4622" ht="14.25" customHeight="1">
      <c r="A4622" s="1" t="s">
        <v>4656</v>
      </c>
      <c r="B4622" s="2">
        <v>45215.0</v>
      </c>
      <c r="C4622" s="1" t="s">
        <v>30</v>
      </c>
      <c r="D4622" s="1" t="s">
        <v>15</v>
      </c>
      <c r="E4622" s="1" t="s">
        <v>16</v>
      </c>
      <c r="F4622" s="1">
        <v>982.9</v>
      </c>
      <c r="G4622" s="1">
        <v>7.54</v>
      </c>
      <c r="H4622" s="1">
        <v>10.0</v>
      </c>
      <c r="I4622" s="1" t="s">
        <v>17</v>
      </c>
      <c r="J4622" s="1" t="s">
        <v>24</v>
      </c>
      <c r="K4622" s="1">
        <f t="shared" si="1"/>
        <v>2023</v>
      </c>
      <c r="L4622" s="1" t="str">
        <f t="shared" si="2"/>
        <v>Oct</v>
      </c>
      <c r="M4622" s="1" t="str">
        <f t="shared" si="3"/>
        <v>Profit</v>
      </c>
    </row>
    <row r="4623" ht="14.25" customHeight="1">
      <c r="A4623" s="1" t="s">
        <v>4657</v>
      </c>
      <c r="B4623" s="2">
        <v>45025.0</v>
      </c>
      <c r="C4623" s="1" t="s">
        <v>20</v>
      </c>
      <c r="D4623" s="1" t="s">
        <v>21</v>
      </c>
      <c r="E4623" s="1" t="s">
        <v>22</v>
      </c>
      <c r="F4623" s="1">
        <v>483.82</v>
      </c>
      <c r="G4623" s="1">
        <v>256.13</v>
      </c>
      <c r="H4623" s="1">
        <v>9.0</v>
      </c>
      <c r="I4623" s="1" t="s">
        <v>17</v>
      </c>
      <c r="J4623" s="1" t="s">
        <v>35</v>
      </c>
      <c r="K4623" s="1">
        <f t="shared" si="1"/>
        <v>2023</v>
      </c>
      <c r="L4623" s="1" t="str">
        <f t="shared" si="2"/>
        <v>Apr</v>
      </c>
      <c r="M4623" s="1" t="str">
        <f t="shared" si="3"/>
        <v>Profit</v>
      </c>
    </row>
    <row r="4624" ht="14.25" customHeight="1">
      <c r="A4624" s="1" t="s">
        <v>4658</v>
      </c>
      <c r="B4624" s="2">
        <v>45252.0</v>
      </c>
      <c r="C4624" s="1" t="s">
        <v>30</v>
      </c>
      <c r="D4624" s="1" t="s">
        <v>27</v>
      </c>
      <c r="E4624" s="1" t="s">
        <v>28</v>
      </c>
      <c r="F4624" s="1">
        <v>178.68</v>
      </c>
      <c r="G4624" s="1">
        <v>-56.96</v>
      </c>
      <c r="H4624" s="1">
        <v>1.0</v>
      </c>
      <c r="I4624" s="1" t="s">
        <v>17</v>
      </c>
      <c r="J4624" s="1" t="s">
        <v>35</v>
      </c>
      <c r="K4624" s="1">
        <f t="shared" si="1"/>
        <v>2023</v>
      </c>
      <c r="L4624" s="1" t="str">
        <f t="shared" si="2"/>
        <v>Nov</v>
      </c>
      <c r="M4624" s="1" t="str">
        <f t="shared" si="3"/>
        <v>Loss</v>
      </c>
    </row>
    <row r="4625" ht="14.25" customHeight="1">
      <c r="A4625" s="1" t="s">
        <v>4659</v>
      </c>
      <c r="B4625" s="2">
        <v>44230.0</v>
      </c>
      <c r="C4625" s="1" t="s">
        <v>20</v>
      </c>
      <c r="D4625" s="1" t="s">
        <v>27</v>
      </c>
      <c r="E4625" s="1" t="s">
        <v>28</v>
      </c>
      <c r="F4625" s="1">
        <v>275.81</v>
      </c>
      <c r="G4625" s="1">
        <v>129.5</v>
      </c>
      <c r="H4625" s="1">
        <v>7.0</v>
      </c>
      <c r="I4625" s="1" t="s">
        <v>17</v>
      </c>
      <c r="J4625" s="1" t="s">
        <v>24</v>
      </c>
      <c r="K4625" s="1">
        <f t="shared" si="1"/>
        <v>2021</v>
      </c>
      <c r="L4625" s="1" t="str">
        <f t="shared" si="2"/>
        <v>Feb</v>
      </c>
      <c r="M4625" s="1" t="str">
        <f t="shared" si="3"/>
        <v>Profit</v>
      </c>
    </row>
    <row r="4626" ht="14.25" customHeight="1">
      <c r="A4626" s="1" t="s">
        <v>4660</v>
      </c>
      <c r="B4626" s="2">
        <v>44579.0</v>
      </c>
      <c r="C4626" s="1" t="s">
        <v>20</v>
      </c>
      <c r="D4626" s="1" t="s">
        <v>27</v>
      </c>
      <c r="E4626" s="1" t="s">
        <v>28</v>
      </c>
      <c r="F4626" s="1">
        <v>922.58</v>
      </c>
      <c r="G4626" s="1">
        <v>51.17</v>
      </c>
      <c r="H4626" s="1">
        <v>10.0</v>
      </c>
      <c r="I4626" s="1" t="s">
        <v>17</v>
      </c>
      <c r="J4626" s="1" t="s">
        <v>38</v>
      </c>
      <c r="K4626" s="1">
        <f t="shared" si="1"/>
        <v>2022</v>
      </c>
      <c r="L4626" s="1" t="str">
        <f t="shared" si="2"/>
        <v>Jan</v>
      </c>
      <c r="M4626" s="1" t="str">
        <f t="shared" si="3"/>
        <v>Profit</v>
      </c>
    </row>
    <row r="4627" ht="14.25" customHeight="1">
      <c r="A4627" s="1" t="s">
        <v>4661</v>
      </c>
      <c r="B4627" s="2">
        <v>44477.0</v>
      </c>
      <c r="C4627" s="1" t="s">
        <v>30</v>
      </c>
      <c r="D4627" s="1" t="s">
        <v>15</v>
      </c>
      <c r="E4627" s="1" t="s">
        <v>54</v>
      </c>
      <c r="F4627" s="1">
        <v>621.15</v>
      </c>
      <c r="G4627" s="1">
        <v>-90.44</v>
      </c>
      <c r="H4627" s="1">
        <v>4.0</v>
      </c>
      <c r="I4627" s="1" t="s">
        <v>23</v>
      </c>
      <c r="J4627" s="1" t="s">
        <v>35</v>
      </c>
      <c r="K4627" s="1">
        <f t="shared" si="1"/>
        <v>2021</v>
      </c>
      <c r="L4627" s="1" t="str">
        <f t="shared" si="2"/>
        <v>Oct</v>
      </c>
      <c r="M4627" s="1" t="str">
        <f t="shared" si="3"/>
        <v>Loss</v>
      </c>
    </row>
    <row r="4628" ht="14.25" customHeight="1">
      <c r="A4628" s="1" t="s">
        <v>4662</v>
      </c>
      <c r="B4628" s="2">
        <v>44334.0</v>
      </c>
      <c r="C4628" s="1" t="s">
        <v>20</v>
      </c>
      <c r="D4628" s="1" t="s">
        <v>27</v>
      </c>
      <c r="E4628" s="1" t="s">
        <v>40</v>
      </c>
      <c r="F4628" s="1">
        <v>680.58</v>
      </c>
      <c r="G4628" s="1">
        <v>-22.59</v>
      </c>
      <c r="H4628" s="1">
        <v>1.0</v>
      </c>
      <c r="I4628" s="1" t="s">
        <v>23</v>
      </c>
      <c r="J4628" s="1" t="s">
        <v>38</v>
      </c>
      <c r="K4628" s="1">
        <f t="shared" si="1"/>
        <v>2021</v>
      </c>
      <c r="L4628" s="1" t="str">
        <f t="shared" si="2"/>
        <v>May</v>
      </c>
      <c r="M4628" s="1" t="str">
        <f t="shared" si="3"/>
        <v>Loss</v>
      </c>
    </row>
    <row r="4629" ht="14.25" customHeight="1">
      <c r="A4629" s="1" t="s">
        <v>4663</v>
      </c>
      <c r="B4629" s="2">
        <v>45289.0</v>
      </c>
      <c r="C4629" s="1" t="s">
        <v>14</v>
      </c>
      <c r="D4629" s="1" t="s">
        <v>15</v>
      </c>
      <c r="E4629" s="1" t="s">
        <v>54</v>
      </c>
      <c r="F4629" s="1">
        <v>799.76</v>
      </c>
      <c r="G4629" s="1">
        <v>264.09</v>
      </c>
      <c r="H4629" s="1">
        <v>2.0</v>
      </c>
      <c r="I4629" s="1" t="s">
        <v>34</v>
      </c>
      <c r="J4629" s="1" t="s">
        <v>38</v>
      </c>
      <c r="K4629" s="1">
        <f t="shared" si="1"/>
        <v>2023</v>
      </c>
      <c r="L4629" s="1" t="str">
        <f t="shared" si="2"/>
        <v>Dec</v>
      </c>
      <c r="M4629" s="1" t="str">
        <f t="shared" si="3"/>
        <v>Profit</v>
      </c>
    </row>
    <row r="4630" ht="14.25" customHeight="1">
      <c r="A4630" s="1" t="s">
        <v>4664</v>
      </c>
      <c r="B4630" s="2">
        <v>44866.0</v>
      </c>
      <c r="C4630" s="1" t="s">
        <v>30</v>
      </c>
      <c r="D4630" s="1" t="s">
        <v>15</v>
      </c>
      <c r="E4630" s="1" t="s">
        <v>54</v>
      </c>
      <c r="F4630" s="1">
        <v>645.12</v>
      </c>
      <c r="G4630" s="1">
        <v>54.35</v>
      </c>
      <c r="H4630" s="1">
        <v>8.0</v>
      </c>
      <c r="I4630" s="1" t="s">
        <v>17</v>
      </c>
      <c r="J4630" s="1" t="s">
        <v>24</v>
      </c>
      <c r="K4630" s="1">
        <f t="shared" si="1"/>
        <v>2022</v>
      </c>
      <c r="L4630" s="1" t="str">
        <f t="shared" si="2"/>
        <v>Nov</v>
      </c>
      <c r="M4630" s="1" t="str">
        <f t="shared" si="3"/>
        <v>Profit</v>
      </c>
    </row>
    <row r="4631" ht="14.25" customHeight="1">
      <c r="A4631" s="1" t="s">
        <v>4665</v>
      </c>
      <c r="B4631" s="2">
        <v>44515.0</v>
      </c>
      <c r="C4631" s="1" t="s">
        <v>30</v>
      </c>
      <c r="D4631" s="1" t="s">
        <v>27</v>
      </c>
      <c r="E4631" s="1" t="s">
        <v>28</v>
      </c>
      <c r="F4631" s="1">
        <v>657.06</v>
      </c>
      <c r="G4631" s="1">
        <v>-64.74</v>
      </c>
      <c r="H4631" s="1">
        <v>7.0</v>
      </c>
      <c r="I4631" s="1" t="s">
        <v>17</v>
      </c>
      <c r="J4631" s="1" t="s">
        <v>24</v>
      </c>
      <c r="K4631" s="1">
        <f t="shared" si="1"/>
        <v>2021</v>
      </c>
      <c r="L4631" s="1" t="str">
        <f t="shared" si="2"/>
        <v>Nov</v>
      </c>
      <c r="M4631" s="1" t="str">
        <f t="shared" si="3"/>
        <v>Loss</v>
      </c>
    </row>
    <row r="4632" ht="14.25" customHeight="1">
      <c r="A4632" s="1" t="s">
        <v>4666</v>
      </c>
      <c r="B4632" s="2">
        <v>44853.0</v>
      </c>
      <c r="C4632" s="1" t="s">
        <v>30</v>
      </c>
      <c r="D4632" s="1" t="s">
        <v>15</v>
      </c>
      <c r="E4632" s="1" t="s">
        <v>16</v>
      </c>
      <c r="F4632" s="1">
        <v>961.47</v>
      </c>
      <c r="G4632" s="1">
        <v>-89.26</v>
      </c>
      <c r="H4632" s="1">
        <v>6.0</v>
      </c>
      <c r="I4632" s="1" t="s">
        <v>23</v>
      </c>
      <c r="J4632" s="1" t="s">
        <v>18</v>
      </c>
      <c r="K4632" s="1">
        <f t="shared" si="1"/>
        <v>2022</v>
      </c>
      <c r="L4632" s="1" t="str">
        <f t="shared" si="2"/>
        <v>Oct</v>
      </c>
      <c r="M4632" s="1" t="str">
        <f t="shared" si="3"/>
        <v>Loss</v>
      </c>
    </row>
    <row r="4633" ht="14.25" customHeight="1">
      <c r="A4633" s="1" t="s">
        <v>4667</v>
      </c>
      <c r="B4633" s="2">
        <v>44674.0</v>
      </c>
      <c r="C4633" s="1" t="s">
        <v>14</v>
      </c>
      <c r="D4633" s="1" t="s">
        <v>27</v>
      </c>
      <c r="E4633" s="1" t="s">
        <v>33</v>
      </c>
      <c r="F4633" s="1">
        <v>538.45</v>
      </c>
      <c r="G4633" s="1">
        <v>-174.52</v>
      </c>
      <c r="H4633" s="1">
        <v>6.0</v>
      </c>
      <c r="I4633" s="1" t="s">
        <v>34</v>
      </c>
      <c r="J4633" s="1" t="s">
        <v>24</v>
      </c>
      <c r="K4633" s="1">
        <f t="shared" si="1"/>
        <v>2022</v>
      </c>
      <c r="L4633" s="1" t="str">
        <f t="shared" si="2"/>
        <v>Apr</v>
      </c>
      <c r="M4633" s="1" t="str">
        <f t="shared" si="3"/>
        <v>Loss</v>
      </c>
    </row>
    <row r="4634" ht="14.25" customHeight="1">
      <c r="A4634" s="1" t="s">
        <v>4668</v>
      </c>
      <c r="B4634" s="2">
        <v>44969.0</v>
      </c>
      <c r="C4634" s="1" t="s">
        <v>20</v>
      </c>
      <c r="D4634" s="1" t="s">
        <v>27</v>
      </c>
      <c r="E4634" s="1" t="s">
        <v>28</v>
      </c>
      <c r="F4634" s="1">
        <v>519.73</v>
      </c>
      <c r="G4634" s="1">
        <v>-154.42</v>
      </c>
      <c r="H4634" s="1">
        <v>7.0</v>
      </c>
      <c r="I4634" s="1" t="s">
        <v>17</v>
      </c>
      <c r="J4634" s="1" t="s">
        <v>38</v>
      </c>
      <c r="K4634" s="1">
        <f t="shared" si="1"/>
        <v>2023</v>
      </c>
      <c r="L4634" s="1" t="str">
        <f t="shared" si="2"/>
        <v>Feb</v>
      </c>
      <c r="M4634" s="1" t="str">
        <f t="shared" si="3"/>
        <v>Loss</v>
      </c>
    </row>
    <row r="4635" ht="14.25" customHeight="1">
      <c r="A4635" s="1" t="s">
        <v>4669</v>
      </c>
      <c r="B4635" s="2">
        <v>45212.0</v>
      </c>
      <c r="C4635" s="1" t="s">
        <v>26</v>
      </c>
      <c r="D4635" s="1" t="s">
        <v>15</v>
      </c>
      <c r="E4635" s="1" t="s">
        <v>31</v>
      </c>
      <c r="F4635" s="1">
        <v>783.79</v>
      </c>
      <c r="G4635" s="1">
        <v>-84.05</v>
      </c>
      <c r="H4635" s="1">
        <v>8.0</v>
      </c>
      <c r="I4635" s="1" t="s">
        <v>23</v>
      </c>
      <c r="J4635" s="1" t="s">
        <v>24</v>
      </c>
      <c r="K4635" s="1">
        <f t="shared" si="1"/>
        <v>2023</v>
      </c>
      <c r="L4635" s="1" t="str">
        <f t="shared" si="2"/>
        <v>Oct</v>
      </c>
      <c r="M4635" s="1" t="str">
        <f t="shared" si="3"/>
        <v>Loss</v>
      </c>
    </row>
    <row r="4636" ht="14.25" customHeight="1">
      <c r="A4636" s="1" t="s">
        <v>4670</v>
      </c>
      <c r="B4636" s="2">
        <v>44768.0</v>
      </c>
      <c r="C4636" s="1" t="s">
        <v>26</v>
      </c>
      <c r="D4636" s="1" t="s">
        <v>15</v>
      </c>
      <c r="E4636" s="1" t="s">
        <v>54</v>
      </c>
      <c r="F4636" s="1">
        <v>445.19</v>
      </c>
      <c r="G4636" s="1">
        <v>93.86</v>
      </c>
      <c r="H4636" s="1">
        <v>4.0</v>
      </c>
      <c r="I4636" s="1" t="s">
        <v>17</v>
      </c>
      <c r="J4636" s="1" t="s">
        <v>24</v>
      </c>
      <c r="K4636" s="1">
        <f t="shared" si="1"/>
        <v>2022</v>
      </c>
      <c r="L4636" s="1" t="str">
        <f t="shared" si="2"/>
        <v>Jul</v>
      </c>
      <c r="M4636" s="1" t="str">
        <f t="shared" si="3"/>
        <v>Profit</v>
      </c>
    </row>
    <row r="4637" ht="14.25" customHeight="1">
      <c r="A4637" s="1" t="s">
        <v>4671</v>
      </c>
      <c r="B4637" s="2">
        <v>44703.0</v>
      </c>
      <c r="C4637" s="1" t="s">
        <v>26</v>
      </c>
      <c r="D4637" s="1" t="s">
        <v>21</v>
      </c>
      <c r="E4637" s="1" t="s">
        <v>37</v>
      </c>
      <c r="F4637" s="1">
        <v>467.47</v>
      </c>
      <c r="G4637" s="1">
        <v>-96.17</v>
      </c>
      <c r="H4637" s="1">
        <v>3.0</v>
      </c>
      <c r="I4637" s="1" t="s">
        <v>34</v>
      </c>
      <c r="J4637" s="1" t="s">
        <v>38</v>
      </c>
      <c r="K4637" s="1">
        <f t="shared" si="1"/>
        <v>2022</v>
      </c>
      <c r="L4637" s="1" t="str">
        <f t="shared" si="2"/>
        <v>May</v>
      </c>
      <c r="M4637" s="1" t="str">
        <f t="shared" si="3"/>
        <v>Loss</v>
      </c>
    </row>
    <row r="4638" ht="14.25" customHeight="1">
      <c r="A4638" s="1" t="s">
        <v>4672</v>
      </c>
      <c r="B4638" s="2">
        <v>44813.0</v>
      </c>
      <c r="C4638" s="1" t="s">
        <v>26</v>
      </c>
      <c r="D4638" s="1" t="s">
        <v>27</v>
      </c>
      <c r="E4638" s="1" t="s">
        <v>33</v>
      </c>
      <c r="F4638" s="1">
        <v>790.29</v>
      </c>
      <c r="G4638" s="1">
        <v>197.62</v>
      </c>
      <c r="H4638" s="1">
        <v>2.0</v>
      </c>
      <c r="I4638" s="1" t="s">
        <v>17</v>
      </c>
      <c r="J4638" s="1" t="s">
        <v>18</v>
      </c>
      <c r="K4638" s="1">
        <f t="shared" si="1"/>
        <v>2022</v>
      </c>
      <c r="L4638" s="1" t="str">
        <f t="shared" si="2"/>
        <v>Sep</v>
      </c>
      <c r="M4638" s="1" t="str">
        <f t="shared" si="3"/>
        <v>Profit</v>
      </c>
    </row>
    <row r="4639" ht="14.25" customHeight="1">
      <c r="A4639" s="1" t="s">
        <v>4673</v>
      </c>
      <c r="B4639" s="2">
        <v>44885.0</v>
      </c>
      <c r="C4639" s="1" t="s">
        <v>20</v>
      </c>
      <c r="D4639" s="1" t="s">
        <v>21</v>
      </c>
      <c r="E4639" s="1" t="s">
        <v>76</v>
      </c>
      <c r="F4639" s="1">
        <v>528.41</v>
      </c>
      <c r="G4639" s="1">
        <v>-105.71</v>
      </c>
      <c r="H4639" s="1">
        <v>2.0</v>
      </c>
      <c r="I4639" s="1" t="s">
        <v>34</v>
      </c>
      <c r="J4639" s="1" t="s">
        <v>35</v>
      </c>
      <c r="K4639" s="1">
        <f t="shared" si="1"/>
        <v>2022</v>
      </c>
      <c r="L4639" s="1" t="str">
        <f t="shared" si="2"/>
        <v>Nov</v>
      </c>
      <c r="M4639" s="1" t="str">
        <f t="shared" si="3"/>
        <v>Loss</v>
      </c>
    </row>
    <row r="4640" ht="14.25" customHeight="1">
      <c r="A4640" s="1" t="s">
        <v>4674</v>
      </c>
      <c r="B4640" s="2">
        <v>44478.0</v>
      </c>
      <c r="C4640" s="1" t="s">
        <v>30</v>
      </c>
      <c r="D4640" s="1" t="s">
        <v>15</v>
      </c>
      <c r="E4640" s="1" t="s">
        <v>54</v>
      </c>
      <c r="F4640" s="1">
        <v>83.15</v>
      </c>
      <c r="G4640" s="1">
        <v>214.52</v>
      </c>
      <c r="H4640" s="1">
        <v>8.0</v>
      </c>
      <c r="I4640" s="1" t="s">
        <v>17</v>
      </c>
      <c r="J4640" s="1" t="s">
        <v>18</v>
      </c>
      <c r="K4640" s="1">
        <f t="shared" si="1"/>
        <v>2021</v>
      </c>
      <c r="L4640" s="1" t="str">
        <f t="shared" si="2"/>
        <v>Oct</v>
      </c>
      <c r="M4640" s="1" t="str">
        <f t="shared" si="3"/>
        <v>Profit</v>
      </c>
    </row>
    <row r="4641" ht="14.25" customHeight="1">
      <c r="A4641" s="1" t="s">
        <v>4675</v>
      </c>
      <c r="B4641" s="2">
        <v>45271.0</v>
      </c>
      <c r="C4641" s="1" t="s">
        <v>14</v>
      </c>
      <c r="D4641" s="1" t="s">
        <v>15</v>
      </c>
      <c r="E4641" s="1" t="s">
        <v>31</v>
      </c>
      <c r="F4641" s="1">
        <v>194.33</v>
      </c>
      <c r="G4641" s="1">
        <v>-187.14</v>
      </c>
      <c r="H4641" s="1">
        <v>7.0</v>
      </c>
      <c r="I4641" s="1" t="s">
        <v>23</v>
      </c>
      <c r="J4641" s="1" t="s">
        <v>38</v>
      </c>
      <c r="K4641" s="1">
        <f t="shared" si="1"/>
        <v>2023</v>
      </c>
      <c r="L4641" s="1" t="str">
        <f t="shared" si="2"/>
        <v>Dec</v>
      </c>
      <c r="M4641" s="1" t="str">
        <f t="shared" si="3"/>
        <v>Loss</v>
      </c>
    </row>
    <row r="4642" ht="14.25" customHeight="1">
      <c r="A4642" s="1" t="s">
        <v>4676</v>
      </c>
      <c r="B4642" s="2">
        <v>44825.0</v>
      </c>
      <c r="C4642" s="1" t="s">
        <v>30</v>
      </c>
      <c r="D4642" s="1" t="s">
        <v>21</v>
      </c>
      <c r="E4642" s="1" t="s">
        <v>22</v>
      </c>
      <c r="F4642" s="1">
        <v>842.54</v>
      </c>
      <c r="G4642" s="1">
        <v>66.33</v>
      </c>
      <c r="H4642" s="1">
        <v>4.0</v>
      </c>
      <c r="I4642" s="1" t="s">
        <v>34</v>
      </c>
      <c r="J4642" s="1" t="s">
        <v>18</v>
      </c>
      <c r="K4642" s="1">
        <f t="shared" si="1"/>
        <v>2022</v>
      </c>
      <c r="L4642" s="1" t="str">
        <f t="shared" si="2"/>
        <v>Sep</v>
      </c>
      <c r="M4642" s="1" t="str">
        <f t="shared" si="3"/>
        <v>Profit</v>
      </c>
    </row>
    <row r="4643" ht="14.25" customHeight="1">
      <c r="A4643" s="1" t="s">
        <v>4677</v>
      </c>
      <c r="B4643" s="2">
        <v>44478.0</v>
      </c>
      <c r="C4643" s="1" t="s">
        <v>30</v>
      </c>
      <c r="D4643" s="1" t="s">
        <v>21</v>
      </c>
      <c r="E4643" s="1" t="s">
        <v>76</v>
      </c>
      <c r="F4643" s="1">
        <v>722.72</v>
      </c>
      <c r="G4643" s="1">
        <v>-3.01</v>
      </c>
      <c r="H4643" s="1">
        <v>7.0</v>
      </c>
      <c r="I4643" s="1" t="s">
        <v>34</v>
      </c>
      <c r="J4643" s="1" t="s">
        <v>38</v>
      </c>
      <c r="K4643" s="1">
        <f t="shared" si="1"/>
        <v>2021</v>
      </c>
      <c r="L4643" s="1" t="str">
        <f t="shared" si="2"/>
        <v>Oct</v>
      </c>
      <c r="M4643" s="1" t="str">
        <f t="shared" si="3"/>
        <v>Loss</v>
      </c>
    </row>
    <row r="4644" ht="14.25" customHeight="1">
      <c r="A4644" s="1" t="s">
        <v>4678</v>
      </c>
      <c r="B4644" s="2">
        <v>44959.0</v>
      </c>
      <c r="C4644" s="1" t="s">
        <v>30</v>
      </c>
      <c r="D4644" s="1" t="s">
        <v>27</v>
      </c>
      <c r="E4644" s="1" t="s">
        <v>28</v>
      </c>
      <c r="F4644" s="1">
        <v>131.81</v>
      </c>
      <c r="G4644" s="1">
        <v>56.14</v>
      </c>
      <c r="H4644" s="1">
        <v>5.0</v>
      </c>
      <c r="I4644" s="1" t="s">
        <v>17</v>
      </c>
      <c r="J4644" s="1" t="s">
        <v>24</v>
      </c>
      <c r="K4644" s="1">
        <f t="shared" si="1"/>
        <v>2023</v>
      </c>
      <c r="L4644" s="1" t="str">
        <f t="shared" si="2"/>
        <v>Feb</v>
      </c>
      <c r="M4644" s="1" t="str">
        <f t="shared" si="3"/>
        <v>Profit</v>
      </c>
    </row>
    <row r="4645" ht="14.25" customHeight="1">
      <c r="A4645" s="1" t="s">
        <v>4679</v>
      </c>
      <c r="B4645" s="2">
        <v>44343.0</v>
      </c>
      <c r="C4645" s="1" t="s">
        <v>20</v>
      </c>
      <c r="D4645" s="1" t="s">
        <v>15</v>
      </c>
      <c r="E4645" s="1" t="s">
        <v>31</v>
      </c>
      <c r="F4645" s="1">
        <v>488.26</v>
      </c>
      <c r="G4645" s="1">
        <v>224.93</v>
      </c>
      <c r="H4645" s="1">
        <v>1.0</v>
      </c>
      <c r="I4645" s="1" t="s">
        <v>34</v>
      </c>
      <c r="J4645" s="1" t="s">
        <v>38</v>
      </c>
      <c r="K4645" s="1">
        <f t="shared" si="1"/>
        <v>2021</v>
      </c>
      <c r="L4645" s="1" t="str">
        <f t="shared" si="2"/>
        <v>May</v>
      </c>
      <c r="M4645" s="1" t="str">
        <f t="shared" si="3"/>
        <v>Profit</v>
      </c>
    </row>
    <row r="4646" ht="14.25" customHeight="1">
      <c r="A4646" s="1" t="s">
        <v>4680</v>
      </c>
      <c r="B4646" s="2">
        <v>44795.0</v>
      </c>
      <c r="C4646" s="1" t="s">
        <v>20</v>
      </c>
      <c r="D4646" s="1" t="s">
        <v>21</v>
      </c>
      <c r="E4646" s="1" t="s">
        <v>76</v>
      </c>
      <c r="F4646" s="1">
        <v>282.74</v>
      </c>
      <c r="G4646" s="1">
        <v>-169.92</v>
      </c>
      <c r="H4646" s="1">
        <v>10.0</v>
      </c>
      <c r="I4646" s="1" t="s">
        <v>23</v>
      </c>
      <c r="J4646" s="1" t="s">
        <v>24</v>
      </c>
      <c r="K4646" s="1">
        <f t="shared" si="1"/>
        <v>2022</v>
      </c>
      <c r="L4646" s="1" t="str">
        <f t="shared" si="2"/>
        <v>Aug</v>
      </c>
      <c r="M4646" s="1" t="str">
        <f t="shared" si="3"/>
        <v>Loss</v>
      </c>
    </row>
    <row r="4647" ht="14.25" customHeight="1">
      <c r="A4647" s="1" t="s">
        <v>4681</v>
      </c>
      <c r="B4647" s="2">
        <v>44471.0</v>
      </c>
      <c r="C4647" s="1" t="s">
        <v>14</v>
      </c>
      <c r="D4647" s="1" t="s">
        <v>21</v>
      </c>
      <c r="E4647" s="1" t="s">
        <v>22</v>
      </c>
      <c r="F4647" s="1">
        <v>506.57</v>
      </c>
      <c r="G4647" s="1">
        <v>58.86</v>
      </c>
      <c r="H4647" s="1">
        <v>10.0</v>
      </c>
      <c r="I4647" s="1" t="s">
        <v>34</v>
      </c>
      <c r="J4647" s="1" t="s">
        <v>35</v>
      </c>
      <c r="K4647" s="1">
        <f t="shared" si="1"/>
        <v>2021</v>
      </c>
      <c r="L4647" s="1" t="str">
        <f t="shared" si="2"/>
        <v>Oct</v>
      </c>
      <c r="M4647" s="1" t="str">
        <f t="shared" si="3"/>
        <v>Profit</v>
      </c>
    </row>
    <row r="4648" ht="14.25" customHeight="1">
      <c r="A4648" s="1" t="s">
        <v>4682</v>
      </c>
      <c r="B4648" s="2">
        <v>44594.0</v>
      </c>
      <c r="C4648" s="1" t="s">
        <v>26</v>
      </c>
      <c r="D4648" s="1" t="s">
        <v>27</v>
      </c>
      <c r="E4648" s="1" t="s">
        <v>40</v>
      </c>
      <c r="F4648" s="1">
        <v>605.1</v>
      </c>
      <c r="G4648" s="1">
        <v>-102.96</v>
      </c>
      <c r="H4648" s="1">
        <v>2.0</v>
      </c>
      <c r="I4648" s="1" t="s">
        <v>34</v>
      </c>
      <c r="J4648" s="1" t="s">
        <v>38</v>
      </c>
      <c r="K4648" s="1">
        <f t="shared" si="1"/>
        <v>2022</v>
      </c>
      <c r="L4648" s="1" t="str">
        <f t="shared" si="2"/>
        <v>Feb</v>
      </c>
      <c r="M4648" s="1" t="str">
        <f t="shared" si="3"/>
        <v>Loss</v>
      </c>
    </row>
    <row r="4649" ht="14.25" customHeight="1">
      <c r="A4649" s="1" t="s">
        <v>4683</v>
      </c>
      <c r="B4649" s="2">
        <v>44738.0</v>
      </c>
      <c r="C4649" s="1" t="s">
        <v>30</v>
      </c>
      <c r="D4649" s="1" t="s">
        <v>15</v>
      </c>
      <c r="E4649" s="1" t="s">
        <v>16</v>
      </c>
      <c r="F4649" s="1">
        <v>341.22</v>
      </c>
      <c r="G4649" s="1">
        <v>-146.21</v>
      </c>
      <c r="H4649" s="1">
        <v>10.0</v>
      </c>
      <c r="I4649" s="1" t="s">
        <v>23</v>
      </c>
      <c r="J4649" s="1" t="s">
        <v>38</v>
      </c>
      <c r="K4649" s="1">
        <f t="shared" si="1"/>
        <v>2022</v>
      </c>
      <c r="L4649" s="1" t="str">
        <f t="shared" si="2"/>
        <v>Jun</v>
      </c>
      <c r="M4649" s="1" t="str">
        <f t="shared" si="3"/>
        <v>Loss</v>
      </c>
    </row>
    <row r="4650" ht="14.25" customHeight="1">
      <c r="A4650" s="1" t="s">
        <v>4684</v>
      </c>
      <c r="B4650" s="2">
        <v>45031.0</v>
      </c>
      <c r="C4650" s="1" t="s">
        <v>14</v>
      </c>
      <c r="D4650" s="1" t="s">
        <v>27</v>
      </c>
      <c r="E4650" s="1" t="s">
        <v>40</v>
      </c>
      <c r="F4650" s="1">
        <v>680.98</v>
      </c>
      <c r="G4650" s="1">
        <v>160.29</v>
      </c>
      <c r="H4650" s="1">
        <v>7.0</v>
      </c>
      <c r="I4650" s="1" t="s">
        <v>17</v>
      </c>
      <c r="J4650" s="1" t="s">
        <v>35</v>
      </c>
      <c r="K4650" s="1">
        <f t="shared" si="1"/>
        <v>2023</v>
      </c>
      <c r="L4650" s="1" t="str">
        <f t="shared" si="2"/>
        <v>Apr</v>
      </c>
      <c r="M4650" s="1" t="str">
        <f t="shared" si="3"/>
        <v>Profit</v>
      </c>
    </row>
    <row r="4651" ht="14.25" customHeight="1">
      <c r="A4651" s="1" t="s">
        <v>4685</v>
      </c>
      <c r="B4651" s="2">
        <v>44774.0</v>
      </c>
      <c r="C4651" s="1" t="s">
        <v>26</v>
      </c>
      <c r="D4651" s="1" t="s">
        <v>15</v>
      </c>
      <c r="E4651" s="1" t="s">
        <v>16</v>
      </c>
      <c r="F4651" s="1">
        <v>729.54</v>
      </c>
      <c r="G4651" s="1">
        <v>-95.05</v>
      </c>
      <c r="H4651" s="1">
        <v>3.0</v>
      </c>
      <c r="I4651" s="1" t="s">
        <v>17</v>
      </c>
      <c r="J4651" s="1" t="s">
        <v>38</v>
      </c>
      <c r="K4651" s="1">
        <f t="shared" si="1"/>
        <v>2022</v>
      </c>
      <c r="L4651" s="1" t="str">
        <f t="shared" si="2"/>
        <v>Aug</v>
      </c>
      <c r="M4651" s="1" t="str">
        <f t="shared" si="3"/>
        <v>Loss</v>
      </c>
    </row>
    <row r="4652" ht="14.25" customHeight="1">
      <c r="A4652" s="1" t="s">
        <v>4686</v>
      </c>
      <c r="B4652" s="2">
        <v>44754.0</v>
      </c>
      <c r="C4652" s="1" t="s">
        <v>14</v>
      </c>
      <c r="D4652" s="1" t="s">
        <v>21</v>
      </c>
      <c r="E4652" s="1" t="s">
        <v>76</v>
      </c>
      <c r="F4652" s="1">
        <v>617.2</v>
      </c>
      <c r="G4652" s="1">
        <v>68.74</v>
      </c>
      <c r="H4652" s="1">
        <v>3.0</v>
      </c>
      <c r="I4652" s="1" t="s">
        <v>34</v>
      </c>
      <c r="J4652" s="1" t="s">
        <v>24</v>
      </c>
      <c r="K4652" s="1">
        <f t="shared" si="1"/>
        <v>2022</v>
      </c>
      <c r="L4652" s="1" t="str">
        <f t="shared" si="2"/>
        <v>Jul</v>
      </c>
      <c r="M4652" s="1" t="str">
        <f t="shared" si="3"/>
        <v>Profit</v>
      </c>
    </row>
    <row r="4653" ht="14.25" customHeight="1">
      <c r="A4653" s="1" t="s">
        <v>4687</v>
      </c>
      <c r="B4653" s="2">
        <v>44253.0</v>
      </c>
      <c r="C4653" s="1" t="s">
        <v>30</v>
      </c>
      <c r="D4653" s="1" t="s">
        <v>15</v>
      </c>
      <c r="E4653" s="1" t="s">
        <v>16</v>
      </c>
      <c r="F4653" s="1">
        <v>860.08</v>
      </c>
      <c r="G4653" s="1">
        <v>101.13</v>
      </c>
      <c r="H4653" s="1">
        <v>8.0</v>
      </c>
      <c r="I4653" s="1" t="s">
        <v>17</v>
      </c>
      <c r="J4653" s="1" t="s">
        <v>18</v>
      </c>
      <c r="K4653" s="1">
        <f t="shared" si="1"/>
        <v>2021</v>
      </c>
      <c r="L4653" s="1" t="str">
        <f t="shared" si="2"/>
        <v>Feb</v>
      </c>
      <c r="M4653" s="1" t="str">
        <f t="shared" si="3"/>
        <v>Profit</v>
      </c>
    </row>
    <row r="4654" ht="14.25" customHeight="1">
      <c r="A4654" s="1" t="s">
        <v>4688</v>
      </c>
      <c r="B4654" s="2">
        <v>44604.0</v>
      </c>
      <c r="C4654" s="1" t="s">
        <v>26</v>
      </c>
      <c r="D4654" s="1" t="s">
        <v>21</v>
      </c>
      <c r="E4654" s="1" t="s">
        <v>37</v>
      </c>
      <c r="F4654" s="1">
        <v>561.83</v>
      </c>
      <c r="G4654" s="1">
        <v>170.87</v>
      </c>
      <c r="H4654" s="1">
        <v>8.0</v>
      </c>
      <c r="I4654" s="1" t="s">
        <v>17</v>
      </c>
      <c r="J4654" s="1" t="s">
        <v>18</v>
      </c>
      <c r="K4654" s="1">
        <f t="shared" si="1"/>
        <v>2022</v>
      </c>
      <c r="L4654" s="1" t="str">
        <f t="shared" si="2"/>
        <v>Feb</v>
      </c>
      <c r="M4654" s="1" t="str">
        <f t="shared" si="3"/>
        <v>Profit</v>
      </c>
    </row>
    <row r="4655" ht="14.25" customHeight="1">
      <c r="A4655" s="1" t="s">
        <v>4689</v>
      </c>
      <c r="B4655" s="2">
        <v>44797.0</v>
      </c>
      <c r="C4655" s="1" t="s">
        <v>14</v>
      </c>
      <c r="D4655" s="1" t="s">
        <v>15</v>
      </c>
      <c r="E4655" s="1" t="s">
        <v>54</v>
      </c>
      <c r="F4655" s="1">
        <v>396.66</v>
      </c>
      <c r="G4655" s="1">
        <v>-103.25</v>
      </c>
      <c r="H4655" s="1">
        <v>1.0</v>
      </c>
      <c r="I4655" s="1" t="s">
        <v>17</v>
      </c>
      <c r="J4655" s="1" t="s">
        <v>35</v>
      </c>
      <c r="K4655" s="1">
        <f t="shared" si="1"/>
        <v>2022</v>
      </c>
      <c r="L4655" s="1" t="str">
        <f t="shared" si="2"/>
        <v>Aug</v>
      </c>
      <c r="M4655" s="1" t="str">
        <f t="shared" si="3"/>
        <v>Loss</v>
      </c>
    </row>
    <row r="4656" ht="14.25" customHeight="1">
      <c r="A4656" s="1" t="s">
        <v>4690</v>
      </c>
      <c r="B4656" s="2">
        <v>44258.0</v>
      </c>
      <c r="C4656" s="1" t="s">
        <v>14</v>
      </c>
      <c r="D4656" s="1" t="s">
        <v>15</v>
      </c>
      <c r="E4656" s="1" t="s">
        <v>16</v>
      </c>
      <c r="F4656" s="1">
        <v>376.36</v>
      </c>
      <c r="G4656" s="1">
        <v>38.97</v>
      </c>
      <c r="H4656" s="1">
        <v>4.0</v>
      </c>
      <c r="I4656" s="1" t="s">
        <v>23</v>
      </c>
      <c r="J4656" s="1" t="s">
        <v>18</v>
      </c>
      <c r="K4656" s="1">
        <f t="shared" si="1"/>
        <v>2021</v>
      </c>
      <c r="L4656" s="1" t="str">
        <f t="shared" si="2"/>
        <v>Mar</v>
      </c>
      <c r="M4656" s="1" t="str">
        <f t="shared" si="3"/>
        <v>Profit</v>
      </c>
    </row>
    <row r="4657" ht="14.25" customHeight="1">
      <c r="A4657" s="1" t="s">
        <v>4691</v>
      </c>
      <c r="B4657" s="2">
        <v>44364.0</v>
      </c>
      <c r="C4657" s="1" t="s">
        <v>26</v>
      </c>
      <c r="D4657" s="1" t="s">
        <v>27</v>
      </c>
      <c r="E4657" s="1" t="s">
        <v>28</v>
      </c>
      <c r="F4657" s="1">
        <v>516.19</v>
      </c>
      <c r="G4657" s="1">
        <v>-0.36</v>
      </c>
      <c r="H4657" s="1">
        <v>5.0</v>
      </c>
      <c r="I4657" s="1" t="s">
        <v>34</v>
      </c>
      <c r="J4657" s="1" t="s">
        <v>35</v>
      </c>
      <c r="K4657" s="1">
        <f t="shared" si="1"/>
        <v>2021</v>
      </c>
      <c r="L4657" s="1" t="str">
        <f t="shared" si="2"/>
        <v>Jun</v>
      </c>
      <c r="M4657" s="1" t="str">
        <f t="shared" si="3"/>
        <v>Loss</v>
      </c>
    </row>
    <row r="4658" ht="14.25" customHeight="1">
      <c r="A4658" s="1" t="s">
        <v>4692</v>
      </c>
      <c r="B4658" s="2">
        <v>44304.0</v>
      </c>
      <c r="C4658" s="1" t="s">
        <v>30</v>
      </c>
      <c r="D4658" s="1" t="s">
        <v>27</v>
      </c>
      <c r="E4658" s="1" t="s">
        <v>33</v>
      </c>
      <c r="F4658" s="1">
        <v>391.22</v>
      </c>
      <c r="G4658" s="1">
        <v>-60.2</v>
      </c>
      <c r="H4658" s="1">
        <v>2.0</v>
      </c>
      <c r="I4658" s="1" t="s">
        <v>34</v>
      </c>
      <c r="J4658" s="1" t="s">
        <v>24</v>
      </c>
      <c r="K4658" s="1">
        <f t="shared" si="1"/>
        <v>2021</v>
      </c>
      <c r="L4658" s="1" t="str">
        <f t="shared" si="2"/>
        <v>Apr</v>
      </c>
      <c r="M4658" s="1" t="str">
        <f t="shared" si="3"/>
        <v>Loss</v>
      </c>
    </row>
    <row r="4659" ht="14.25" customHeight="1">
      <c r="A4659" s="1" t="s">
        <v>4693</v>
      </c>
      <c r="B4659" s="2">
        <v>44944.0</v>
      </c>
      <c r="C4659" s="1" t="s">
        <v>30</v>
      </c>
      <c r="D4659" s="1" t="s">
        <v>27</v>
      </c>
      <c r="E4659" s="1" t="s">
        <v>40</v>
      </c>
      <c r="F4659" s="1">
        <v>436.66</v>
      </c>
      <c r="G4659" s="1">
        <v>-74.57</v>
      </c>
      <c r="H4659" s="1">
        <v>10.0</v>
      </c>
      <c r="I4659" s="1" t="s">
        <v>23</v>
      </c>
      <c r="J4659" s="1" t="s">
        <v>35</v>
      </c>
      <c r="K4659" s="1">
        <f t="shared" si="1"/>
        <v>2023</v>
      </c>
      <c r="L4659" s="1" t="str">
        <f t="shared" si="2"/>
        <v>Jan</v>
      </c>
      <c r="M4659" s="1" t="str">
        <f t="shared" si="3"/>
        <v>Loss</v>
      </c>
    </row>
    <row r="4660" ht="14.25" customHeight="1">
      <c r="A4660" s="1" t="s">
        <v>4694</v>
      </c>
      <c r="B4660" s="2">
        <v>44293.0</v>
      </c>
      <c r="C4660" s="1" t="s">
        <v>26</v>
      </c>
      <c r="D4660" s="1" t="s">
        <v>15</v>
      </c>
      <c r="E4660" s="1" t="s">
        <v>16</v>
      </c>
      <c r="F4660" s="1">
        <v>905.45</v>
      </c>
      <c r="G4660" s="1">
        <v>-68.06</v>
      </c>
      <c r="H4660" s="1">
        <v>9.0</v>
      </c>
      <c r="I4660" s="1" t="s">
        <v>34</v>
      </c>
      <c r="J4660" s="1" t="s">
        <v>35</v>
      </c>
      <c r="K4660" s="1">
        <f t="shared" si="1"/>
        <v>2021</v>
      </c>
      <c r="L4660" s="1" t="str">
        <f t="shared" si="2"/>
        <v>Apr</v>
      </c>
      <c r="M4660" s="1" t="str">
        <f t="shared" si="3"/>
        <v>Loss</v>
      </c>
    </row>
    <row r="4661" ht="14.25" customHeight="1">
      <c r="A4661" s="1" t="s">
        <v>4695</v>
      </c>
      <c r="B4661" s="2">
        <v>45006.0</v>
      </c>
      <c r="C4661" s="1" t="s">
        <v>30</v>
      </c>
      <c r="D4661" s="1" t="s">
        <v>21</v>
      </c>
      <c r="E4661" s="1" t="s">
        <v>37</v>
      </c>
      <c r="F4661" s="1">
        <v>695.9</v>
      </c>
      <c r="G4661" s="1">
        <v>-102.68</v>
      </c>
      <c r="H4661" s="1">
        <v>1.0</v>
      </c>
      <c r="I4661" s="1" t="s">
        <v>34</v>
      </c>
      <c r="J4661" s="1" t="s">
        <v>35</v>
      </c>
      <c r="K4661" s="1">
        <f t="shared" si="1"/>
        <v>2023</v>
      </c>
      <c r="L4661" s="1" t="str">
        <f t="shared" si="2"/>
        <v>Mar</v>
      </c>
      <c r="M4661" s="1" t="str">
        <f t="shared" si="3"/>
        <v>Loss</v>
      </c>
    </row>
    <row r="4662" ht="14.25" customHeight="1">
      <c r="A4662" s="1" t="s">
        <v>4696</v>
      </c>
      <c r="B4662" s="2">
        <v>45105.0</v>
      </c>
      <c r="C4662" s="1" t="s">
        <v>20</v>
      </c>
      <c r="D4662" s="1" t="s">
        <v>15</v>
      </c>
      <c r="E4662" s="1" t="s">
        <v>54</v>
      </c>
      <c r="F4662" s="1">
        <v>783.5</v>
      </c>
      <c r="G4662" s="1">
        <v>5.71</v>
      </c>
      <c r="H4662" s="1">
        <v>7.0</v>
      </c>
      <c r="I4662" s="1" t="s">
        <v>17</v>
      </c>
      <c r="J4662" s="1" t="s">
        <v>18</v>
      </c>
      <c r="K4662" s="1">
        <f t="shared" si="1"/>
        <v>2023</v>
      </c>
      <c r="L4662" s="1" t="str">
        <f t="shared" si="2"/>
        <v>Jun</v>
      </c>
      <c r="M4662" s="1" t="str">
        <f t="shared" si="3"/>
        <v>Profit</v>
      </c>
    </row>
    <row r="4663" ht="14.25" customHeight="1">
      <c r="A4663" s="1" t="s">
        <v>4697</v>
      </c>
      <c r="B4663" s="2">
        <v>44561.0</v>
      </c>
      <c r="C4663" s="1" t="s">
        <v>26</v>
      </c>
      <c r="D4663" s="1" t="s">
        <v>21</v>
      </c>
      <c r="E4663" s="1" t="s">
        <v>22</v>
      </c>
      <c r="F4663" s="1">
        <v>62.28</v>
      </c>
      <c r="G4663" s="1">
        <v>36.19</v>
      </c>
      <c r="H4663" s="1">
        <v>6.0</v>
      </c>
      <c r="I4663" s="1" t="s">
        <v>34</v>
      </c>
      <c r="J4663" s="1" t="s">
        <v>18</v>
      </c>
      <c r="K4663" s="1">
        <f t="shared" si="1"/>
        <v>2021</v>
      </c>
      <c r="L4663" s="1" t="str">
        <f t="shared" si="2"/>
        <v>Dec</v>
      </c>
      <c r="M4663" s="1" t="str">
        <f t="shared" si="3"/>
        <v>Profit</v>
      </c>
    </row>
    <row r="4664" ht="14.25" customHeight="1">
      <c r="A4664" s="1" t="s">
        <v>4698</v>
      </c>
      <c r="B4664" s="2">
        <v>44492.0</v>
      </c>
      <c r="C4664" s="1" t="s">
        <v>30</v>
      </c>
      <c r="D4664" s="1" t="s">
        <v>21</v>
      </c>
      <c r="E4664" s="1" t="s">
        <v>37</v>
      </c>
      <c r="F4664" s="1">
        <v>48.93</v>
      </c>
      <c r="G4664" s="1">
        <v>166.95</v>
      </c>
      <c r="H4664" s="1">
        <v>7.0</v>
      </c>
      <c r="I4664" s="1" t="s">
        <v>34</v>
      </c>
      <c r="J4664" s="1" t="s">
        <v>18</v>
      </c>
      <c r="K4664" s="1">
        <f t="shared" si="1"/>
        <v>2021</v>
      </c>
      <c r="L4664" s="1" t="str">
        <f t="shared" si="2"/>
        <v>Oct</v>
      </c>
      <c r="M4664" s="1" t="str">
        <f t="shared" si="3"/>
        <v>Profit</v>
      </c>
    </row>
    <row r="4665" ht="14.25" customHeight="1">
      <c r="A4665" s="1" t="s">
        <v>4699</v>
      </c>
      <c r="B4665" s="2">
        <v>44302.0</v>
      </c>
      <c r="C4665" s="1" t="s">
        <v>26</v>
      </c>
      <c r="D4665" s="1" t="s">
        <v>21</v>
      </c>
      <c r="E4665" s="1" t="s">
        <v>37</v>
      </c>
      <c r="F4665" s="1">
        <v>814.99</v>
      </c>
      <c r="G4665" s="1">
        <v>-20.67</v>
      </c>
      <c r="H4665" s="1">
        <v>1.0</v>
      </c>
      <c r="I4665" s="1" t="s">
        <v>23</v>
      </c>
      <c r="J4665" s="1" t="s">
        <v>18</v>
      </c>
      <c r="K4665" s="1">
        <f t="shared" si="1"/>
        <v>2021</v>
      </c>
      <c r="L4665" s="1" t="str">
        <f t="shared" si="2"/>
        <v>Apr</v>
      </c>
      <c r="M4665" s="1" t="str">
        <f t="shared" si="3"/>
        <v>Loss</v>
      </c>
    </row>
    <row r="4666" ht="14.25" customHeight="1">
      <c r="A4666" s="1" t="s">
        <v>4700</v>
      </c>
      <c r="B4666" s="2">
        <v>44331.0</v>
      </c>
      <c r="C4666" s="1" t="s">
        <v>30</v>
      </c>
      <c r="D4666" s="1" t="s">
        <v>15</v>
      </c>
      <c r="E4666" s="1" t="s">
        <v>16</v>
      </c>
      <c r="F4666" s="1">
        <v>699.49</v>
      </c>
      <c r="G4666" s="1">
        <v>224.98</v>
      </c>
      <c r="H4666" s="1">
        <v>5.0</v>
      </c>
      <c r="I4666" s="1" t="s">
        <v>17</v>
      </c>
      <c r="J4666" s="1" t="s">
        <v>24</v>
      </c>
      <c r="K4666" s="1">
        <f t="shared" si="1"/>
        <v>2021</v>
      </c>
      <c r="L4666" s="1" t="str">
        <f t="shared" si="2"/>
        <v>May</v>
      </c>
      <c r="M4666" s="1" t="str">
        <f t="shared" si="3"/>
        <v>Profit</v>
      </c>
    </row>
    <row r="4667" ht="14.25" customHeight="1">
      <c r="A4667" s="1" t="s">
        <v>4701</v>
      </c>
      <c r="B4667" s="2">
        <v>44570.0</v>
      </c>
      <c r="C4667" s="1" t="s">
        <v>26</v>
      </c>
      <c r="D4667" s="1" t="s">
        <v>21</v>
      </c>
      <c r="E4667" s="1" t="s">
        <v>37</v>
      </c>
      <c r="F4667" s="1">
        <v>220.46</v>
      </c>
      <c r="G4667" s="1">
        <v>134.44</v>
      </c>
      <c r="H4667" s="1">
        <v>3.0</v>
      </c>
      <c r="I4667" s="1" t="s">
        <v>17</v>
      </c>
      <c r="J4667" s="1" t="s">
        <v>24</v>
      </c>
      <c r="K4667" s="1">
        <f t="shared" si="1"/>
        <v>2022</v>
      </c>
      <c r="L4667" s="1" t="str">
        <f t="shared" si="2"/>
        <v>Jan</v>
      </c>
      <c r="M4667" s="1" t="str">
        <f t="shared" si="3"/>
        <v>Profit</v>
      </c>
    </row>
    <row r="4668" ht="14.25" customHeight="1">
      <c r="A4668" s="1" t="s">
        <v>4702</v>
      </c>
      <c r="B4668" s="2">
        <v>44330.0</v>
      </c>
      <c r="C4668" s="1" t="s">
        <v>26</v>
      </c>
      <c r="D4668" s="1" t="s">
        <v>27</v>
      </c>
      <c r="E4668" s="1" t="s">
        <v>33</v>
      </c>
      <c r="F4668" s="1">
        <v>274.46</v>
      </c>
      <c r="G4668" s="1">
        <v>-75.57</v>
      </c>
      <c r="H4668" s="1">
        <v>5.0</v>
      </c>
      <c r="I4668" s="1" t="s">
        <v>17</v>
      </c>
      <c r="J4668" s="1" t="s">
        <v>24</v>
      </c>
      <c r="K4668" s="1">
        <f t="shared" si="1"/>
        <v>2021</v>
      </c>
      <c r="L4668" s="1" t="str">
        <f t="shared" si="2"/>
        <v>May</v>
      </c>
      <c r="M4668" s="1" t="str">
        <f t="shared" si="3"/>
        <v>Loss</v>
      </c>
    </row>
    <row r="4669" ht="14.25" customHeight="1">
      <c r="A4669" s="1" t="s">
        <v>4703</v>
      </c>
      <c r="B4669" s="2">
        <v>44691.0</v>
      </c>
      <c r="C4669" s="1" t="s">
        <v>14</v>
      </c>
      <c r="D4669" s="1" t="s">
        <v>27</v>
      </c>
      <c r="E4669" s="1" t="s">
        <v>28</v>
      </c>
      <c r="F4669" s="1">
        <v>387.94</v>
      </c>
      <c r="G4669" s="1">
        <v>-194.61</v>
      </c>
      <c r="H4669" s="1">
        <v>3.0</v>
      </c>
      <c r="I4669" s="1" t="s">
        <v>17</v>
      </c>
      <c r="J4669" s="1" t="s">
        <v>18</v>
      </c>
      <c r="K4669" s="1">
        <f t="shared" si="1"/>
        <v>2022</v>
      </c>
      <c r="L4669" s="1" t="str">
        <f t="shared" si="2"/>
        <v>May</v>
      </c>
      <c r="M4669" s="1" t="str">
        <f t="shared" si="3"/>
        <v>Loss</v>
      </c>
    </row>
    <row r="4670" ht="14.25" customHeight="1">
      <c r="A4670" s="1" t="s">
        <v>4704</v>
      </c>
      <c r="B4670" s="2">
        <v>45168.0</v>
      </c>
      <c r="C4670" s="1" t="s">
        <v>20</v>
      </c>
      <c r="D4670" s="1" t="s">
        <v>21</v>
      </c>
      <c r="E4670" s="1" t="s">
        <v>37</v>
      </c>
      <c r="F4670" s="1">
        <v>838.23</v>
      </c>
      <c r="G4670" s="1">
        <v>105.72</v>
      </c>
      <c r="H4670" s="1">
        <v>6.0</v>
      </c>
      <c r="I4670" s="1" t="s">
        <v>34</v>
      </c>
      <c r="J4670" s="1" t="s">
        <v>24</v>
      </c>
      <c r="K4670" s="1">
        <f t="shared" si="1"/>
        <v>2023</v>
      </c>
      <c r="L4670" s="1" t="str">
        <f t="shared" si="2"/>
        <v>Aug</v>
      </c>
      <c r="M4670" s="1" t="str">
        <f t="shared" si="3"/>
        <v>Profit</v>
      </c>
    </row>
    <row r="4671" ht="14.25" customHeight="1">
      <c r="A4671" s="1" t="s">
        <v>4705</v>
      </c>
      <c r="B4671" s="2">
        <v>44569.0</v>
      </c>
      <c r="C4671" s="1" t="s">
        <v>20</v>
      </c>
      <c r="D4671" s="1" t="s">
        <v>21</v>
      </c>
      <c r="E4671" s="1" t="s">
        <v>76</v>
      </c>
      <c r="F4671" s="1">
        <v>412.84</v>
      </c>
      <c r="G4671" s="1">
        <v>-151.56</v>
      </c>
      <c r="H4671" s="1">
        <v>1.0</v>
      </c>
      <c r="I4671" s="1" t="s">
        <v>23</v>
      </c>
      <c r="J4671" s="1" t="s">
        <v>18</v>
      </c>
      <c r="K4671" s="1">
        <f t="shared" si="1"/>
        <v>2022</v>
      </c>
      <c r="L4671" s="1" t="str">
        <f t="shared" si="2"/>
        <v>Jan</v>
      </c>
      <c r="M4671" s="1" t="str">
        <f t="shared" si="3"/>
        <v>Loss</v>
      </c>
    </row>
    <row r="4672" ht="14.25" customHeight="1">
      <c r="A4672" s="1" t="s">
        <v>4706</v>
      </c>
      <c r="B4672" s="2">
        <v>44717.0</v>
      </c>
      <c r="C4672" s="1" t="s">
        <v>20</v>
      </c>
      <c r="D4672" s="1" t="s">
        <v>15</v>
      </c>
      <c r="E4672" s="1" t="s">
        <v>54</v>
      </c>
      <c r="F4672" s="1">
        <v>666.77</v>
      </c>
      <c r="G4672" s="1">
        <v>148.89</v>
      </c>
      <c r="H4672" s="1">
        <v>9.0</v>
      </c>
      <c r="I4672" s="1" t="s">
        <v>23</v>
      </c>
      <c r="J4672" s="1" t="s">
        <v>38</v>
      </c>
      <c r="K4672" s="1">
        <f t="shared" si="1"/>
        <v>2022</v>
      </c>
      <c r="L4672" s="1" t="str">
        <f t="shared" si="2"/>
        <v>Jun</v>
      </c>
      <c r="M4672" s="1" t="str">
        <f t="shared" si="3"/>
        <v>Profit</v>
      </c>
    </row>
    <row r="4673" ht="14.25" customHeight="1">
      <c r="A4673" s="1" t="s">
        <v>4707</v>
      </c>
      <c r="B4673" s="2">
        <v>44991.0</v>
      </c>
      <c r="C4673" s="1" t="s">
        <v>20</v>
      </c>
      <c r="D4673" s="1" t="s">
        <v>21</v>
      </c>
      <c r="E4673" s="1" t="s">
        <v>37</v>
      </c>
      <c r="F4673" s="1">
        <v>363.62</v>
      </c>
      <c r="G4673" s="1">
        <v>-32.1</v>
      </c>
      <c r="H4673" s="1">
        <v>6.0</v>
      </c>
      <c r="I4673" s="1" t="s">
        <v>34</v>
      </c>
      <c r="J4673" s="1" t="s">
        <v>24</v>
      </c>
      <c r="K4673" s="1">
        <f t="shared" si="1"/>
        <v>2023</v>
      </c>
      <c r="L4673" s="1" t="str">
        <f t="shared" si="2"/>
        <v>Mar</v>
      </c>
      <c r="M4673" s="1" t="str">
        <f t="shared" si="3"/>
        <v>Loss</v>
      </c>
    </row>
    <row r="4674" ht="14.25" customHeight="1">
      <c r="A4674" s="1" t="s">
        <v>4708</v>
      </c>
      <c r="B4674" s="2">
        <v>44906.0</v>
      </c>
      <c r="C4674" s="1" t="s">
        <v>20</v>
      </c>
      <c r="D4674" s="1" t="s">
        <v>27</v>
      </c>
      <c r="E4674" s="1" t="s">
        <v>33</v>
      </c>
      <c r="F4674" s="1">
        <v>901.25</v>
      </c>
      <c r="G4674" s="1">
        <v>-24.99</v>
      </c>
      <c r="H4674" s="1">
        <v>2.0</v>
      </c>
      <c r="I4674" s="1" t="s">
        <v>23</v>
      </c>
      <c r="J4674" s="1" t="s">
        <v>24</v>
      </c>
      <c r="K4674" s="1">
        <f t="shared" si="1"/>
        <v>2022</v>
      </c>
      <c r="L4674" s="1" t="str">
        <f t="shared" si="2"/>
        <v>Dec</v>
      </c>
      <c r="M4674" s="1" t="str">
        <f t="shared" si="3"/>
        <v>Loss</v>
      </c>
    </row>
    <row r="4675" ht="14.25" customHeight="1">
      <c r="A4675" s="1" t="s">
        <v>4709</v>
      </c>
      <c r="B4675" s="2">
        <v>45197.0</v>
      </c>
      <c r="C4675" s="1" t="s">
        <v>14</v>
      </c>
      <c r="D4675" s="1" t="s">
        <v>21</v>
      </c>
      <c r="E4675" s="1" t="s">
        <v>76</v>
      </c>
      <c r="F4675" s="1">
        <v>167.53</v>
      </c>
      <c r="G4675" s="1">
        <v>-41.93</v>
      </c>
      <c r="H4675" s="1">
        <v>10.0</v>
      </c>
      <c r="I4675" s="1" t="s">
        <v>17</v>
      </c>
      <c r="J4675" s="1" t="s">
        <v>35</v>
      </c>
      <c r="K4675" s="1">
        <f t="shared" si="1"/>
        <v>2023</v>
      </c>
      <c r="L4675" s="1" t="str">
        <f t="shared" si="2"/>
        <v>Sep</v>
      </c>
      <c r="M4675" s="1" t="str">
        <f t="shared" si="3"/>
        <v>Loss</v>
      </c>
    </row>
    <row r="4676" ht="14.25" customHeight="1">
      <c r="A4676" s="1" t="s">
        <v>4710</v>
      </c>
      <c r="B4676" s="2">
        <v>44537.0</v>
      </c>
      <c r="C4676" s="1" t="s">
        <v>26</v>
      </c>
      <c r="D4676" s="1" t="s">
        <v>15</v>
      </c>
      <c r="E4676" s="1" t="s">
        <v>31</v>
      </c>
      <c r="F4676" s="1">
        <v>70.62</v>
      </c>
      <c r="G4676" s="1">
        <v>-96.77</v>
      </c>
      <c r="H4676" s="1">
        <v>2.0</v>
      </c>
      <c r="I4676" s="1" t="s">
        <v>17</v>
      </c>
      <c r="J4676" s="1" t="s">
        <v>38</v>
      </c>
      <c r="K4676" s="1">
        <f t="shared" si="1"/>
        <v>2021</v>
      </c>
      <c r="L4676" s="1" t="str">
        <f t="shared" si="2"/>
        <v>Dec</v>
      </c>
      <c r="M4676" s="1" t="str">
        <f t="shared" si="3"/>
        <v>Loss</v>
      </c>
    </row>
    <row r="4677" ht="14.25" customHeight="1">
      <c r="A4677" s="1" t="s">
        <v>4711</v>
      </c>
      <c r="B4677" s="2">
        <v>44825.0</v>
      </c>
      <c r="C4677" s="1" t="s">
        <v>26</v>
      </c>
      <c r="D4677" s="1" t="s">
        <v>21</v>
      </c>
      <c r="E4677" s="1" t="s">
        <v>76</v>
      </c>
      <c r="F4677" s="1">
        <v>278.02</v>
      </c>
      <c r="G4677" s="1">
        <v>-25.21</v>
      </c>
      <c r="H4677" s="1">
        <v>3.0</v>
      </c>
      <c r="I4677" s="1" t="s">
        <v>34</v>
      </c>
      <c r="J4677" s="1" t="s">
        <v>18</v>
      </c>
      <c r="K4677" s="1">
        <f t="shared" si="1"/>
        <v>2022</v>
      </c>
      <c r="L4677" s="1" t="str">
        <f t="shared" si="2"/>
        <v>Sep</v>
      </c>
      <c r="M4677" s="1" t="str">
        <f t="shared" si="3"/>
        <v>Loss</v>
      </c>
    </row>
    <row r="4678" ht="14.25" customHeight="1">
      <c r="A4678" s="1" t="s">
        <v>4712</v>
      </c>
      <c r="B4678" s="2">
        <v>44331.0</v>
      </c>
      <c r="C4678" s="1" t="s">
        <v>14</v>
      </c>
      <c r="D4678" s="1" t="s">
        <v>21</v>
      </c>
      <c r="E4678" s="1" t="s">
        <v>76</v>
      </c>
      <c r="F4678" s="1">
        <v>718.2</v>
      </c>
      <c r="G4678" s="1">
        <v>226.77</v>
      </c>
      <c r="H4678" s="1">
        <v>2.0</v>
      </c>
      <c r="I4678" s="1" t="s">
        <v>23</v>
      </c>
      <c r="J4678" s="1" t="s">
        <v>38</v>
      </c>
      <c r="K4678" s="1">
        <f t="shared" si="1"/>
        <v>2021</v>
      </c>
      <c r="L4678" s="1" t="str">
        <f t="shared" si="2"/>
        <v>May</v>
      </c>
      <c r="M4678" s="1" t="str">
        <f t="shared" si="3"/>
        <v>Profit</v>
      </c>
    </row>
    <row r="4679" ht="14.25" customHeight="1">
      <c r="A4679" s="1" t="s">
        <v>4713</v>
      </c>
      <c r="B4679" s="2">
        <v>44621.0</v>
      </c>
      <c r="C4679" s="1" t="s">
        <v>26</v>
      </c>
      <c r="D4679" s="1" t="s">
        <v>21</v>
      </c>
      <c r="E4679" s="1" t="s">
        <v>76</v>
      </c>
      <c r="F4679" s="1">
        <v>691.96</v>
      </c>
      <c r="G4679" s="1">
        <v>-127.23</v>
      </c>
      <c r="H4679" s="1">
        <v>7.0</v>
      </c>
      <c r="I4679" s="1" t="s">
        <v>17</v>
      </c>
      <c r="J4679" s="1" t="s">
        <v>38</v>
      </c>
      <c r="K4679" s="1">
        <f t="shared" si="1"/>
        <v>2022</v>
      </c>
      <c r="L4679" s="1" t="str">
        <f t="shared" si="2"/>
        <v>Mar</v>
      </c>
      <c r="M4679" s="1" t="str">
        <f t="shared" si="3"/>
        <v>Loss</v>
      </c>
    </row>
    <row r="4680" ht="14.25" customHeight="1">
      <c r="A4680" s="1" t="s">
        <v>4714</v>
      </c>
      <c r="B4680" s="2">
        <v>45277.0</v>
      </c>
      <c r="C4680" s="1" t="s">
        <v>30</v>
      </c>
      <c r="D4680" s="1" t="s">
        <v>27</v>
      </c>
      <c r="E4680" s="1" t="s">
        <v>28</v>
      </c>
      <c r="F4680" s="1">
        <v>963.47</v>
      </c>
      <c r="G4680" s="1">
        <v>74.86</v>
      </c>
      <c r="H4680" s="1">
        <v>10.0</v>
      </c>
      <c r="I4680" s="1" t="s">
        <v>17</v>
      </c>
      <c r="J4680" s="1" t="s">
        <v>18</v>
      </c>
      <c r="K4680" s="1">
        <f t="shared" si="1"/>
        <v>2023</v>
      </c>
      <c r="L4680" s="1" t="str">
        <f t="shared" si="2"/>
        <v>Dec</v>
      </c>
      <c r="M4680" s="1" t="str">
        <f t="shared" si="3"/>
        <v>Profit</v>
      </c>
    </row>
    <row r="4681" ht="14.25" customHeight="1">
      <c r="A4681" s="1" t="s">
        <v>4715</v>
      </c>
      <c r="B4681" s="2">
        <v>44717.0</v>
      </c>
      <c r="C4681" s="1" t="s">
        <v>14</v>
      </c>
      <c r="D4681" s="1" t="s">
        <v>15</v>
      </c>
      <c r="E4681" s="1" t="s">
        <v>16</v>
      </c>
      <c r="F4681" s="1">
        <v>638.05</v>
      </c>
      <c r="G4681" s="1">
        <v>-59.7</v>
      </c>
      <c r="H4681" s="1">
        <v>4.0</v>
      </c>
      <c r="I4681" s="1" t="s">
        <v>17</v>
      </c>
      <c r="J4681" s="1" t="s">
        <v>35</v>
      </c>
      <c r="K4681" s="1">
        <f t="shared" si="1"/>
        <v>2022</v>
      </c>
      <c r="L4681" s="1" t="str">
        <f t="shared" si="2"/>
        <v>Jun</v>
      </c>
      <c r="M4681" s="1" t="str">
        <f t="shared" si="3"/>
        <v>Loss</v>
      </c>
    </row>
    <row r="4682" ht="14.25" customHeight="1">
      <c r="A4682" s="1" t="s">
        <v>4716</v>
      </c>
      <c r="B4682" s="2">
        <v>44633.0</v>
      </c>
      <c r="C4682" s="1" t="s">
        <v>14</v>
      </c>
      <c r="D4682" s="1" t="s">
        <v>15</v>
      </c>
      <c r="E4682" s="1" t="s">
        <v>54</v>
      </c>
      <c r="F4682" s="1">
        <v>643.23</v>
      </c>
      <c r="G4682" s="1">
        <v>-75.3</v>
      </c>
      <c r="H4682" s="1">
        <v>9.0</v>
      </c>
      <c r="I4682" s="1" t="s">
        <v>17</v>
      </c>
      <c r="J4682" s="1" t="s">
        <v>35</v>
      </c>
      <c r="K4682" s="1">
        <f t="shared" si="1"/>
        <v>2022</v>
      </c>
      <c r="L4682" s="1" t="str">
        <f t="shared" si="2"/>
        <v>Mar</v>
      </c>
      <c r="M4682" s="1" t="str">
        <f t="shared" si="3"/>
        <v>Loss</v>
      </c>
    </row>
    <row r="4683" ht="14.25" customHeight="1">
      <c r="A4683" s="1" t="s">
        <v>4717</v>
      </c>
      <c r="B4683" s="2">
        <v>44466.0</v>
      </c>
      <c r="C4683" s="1" t="s">
        <v>20</v>
      </c>
      <c r="D4683" s="1" t="s">
        <v>27</v>
      </c>
      <c r="E4683" s="1" t="s">
        <v>33</v>
      </c>
      <c r="F4683" s="1">
        <v>468.32</v>
      </c>
      <c r="G4683" s="1">
        <v>197.43</v>
      </c>
      <c r="H4683" s="1">
        <v>8.0</v>
      </c>
      <c r="I4683" s="1" t="s">
        <v>17</v>
      </c>
      <c r="J4683" s="1" t="s">
        <v>35</v>
      </c>
      <c r="K4683" s="1">
        <f t="shared" si="1"/>
        <v>2021</v>
      </c>
      <c r="L4683" s="1" t="str">
        <f t="shared" si="2"/>
        <v>Sep</v>
      </c>
      <c r="M4683" s="1" t="str">
        <f t="shared" si="3"/>
        <v>Profit</v>
      </c>
    </row>
    <row r="4684" ht="14.25" customHeight="1">
      <c r="A4684" s="1" t="s">
        <v>4718</v>
      </c>
      <c r="B4684" s="2">
        <v>44763.0</v>
      </c>
      <c r="C4684" s="1" t="s">
        <v>14</v>
      </c>
      <c r="D4684" s="1" t="s">
        <v>15</v>
      </c>
      <c r="E4684" s="1" t="s">
        <v>54</v>
      </c>
      <c r="F4684" s="1">
        <v>482.13</v>
      </c>
      <c r="G4684" s="1">
        <v>242.33</v>
      </c>
      <c r="H4684" s="1">
        <v>7.0</v>
      </c>
      <c r="I4684" s="1" t="s">
        <v>34</v>
      </c>
      <c r="J4684" s="1" t="s">
        <v>24</v>
      </c>
      <c r="K4684" s="1">
        <f t="shared" si="1"/>
        <v>2022</v>
      </c>
      <c r="L4684" s="1" t="str">
        <f t="shared" si="2"/>
        <v>Jul</v>
      </c>
      <c r="M4684" s="1" t="str">
        <f t="shared" si="3"/>
        <v>Profit</v>
      </c>
    </row>
    <row r="4685" ht="14.25" customHeight="1">
      <c r="A4685" s="1" t="s">
        <v>4719</v>
      </c>
      <c r="B4685" s="2">
        <v>45056.0</v>
      </c>
      <c r="C4685" s="1" t="s">
        <v>14</v>
      </c>
      <c r="D4685" s="1" t="s">
        <v>21</v>
      </c>
      <c r="E4685" s="1" t="s">
        <v>76</v>
      </c>
      <c r="F4685" s="1">
        <v>327.2</v>
      </c>
      <c r="G4685" s="1">
        <v>294.72</v>
      </c>
      <c r="H4685" s="1">
        <v>2.0</v>
      </c>
      <c r="I4685" s="1" t="s">
        <v>17</v>
      </c>
      <c r="J4685" s="1" t="s">
        <v>38</v>
      </c>
      <c r="K4685" s="1">
        <f t="shared" si="1"/>
        <v>2023</v>
      </c>
      <c r="L4685" s="1" t="str">
        <f t="shared" si="2"/>
        <v>May</v>
      </c>
      <c r="M4685" s="1" t="str">
        <f t="shared" si="3"/>
        <v>Profit</v>
      </c>
    </row>
    <row r="4686" ht="14.25" customHeight="1">
      <c r="A4686" s="1" t="s">
        <v>4720</v>
      </c>
      <c r="B4686" s="2">
        <v>44523.0</v>
      </c>
      <c r="C4686" s="1" t="s">
        <v>26</v>
      </c>
      <c r="D4686" s="1" t="s">
        <v>15</v>
      </c>
      <c r="E4686" s="1" t="s">
        <v>54</v>
      </c>
      <c r="F4686" s="1">
        <v>594.93</v>
      </c>
      <c r="G4686" s="1">
        <v>-12.98</v>
      </c>
      <c r="H4686" s="1">
        <v>10.0</v>
      </c>
      <c r="I4686" s="1" t="s">
        <v>23</v>
      </c>
      <c r="J4686" s="1" t="s">
        <v>18</v>
      </c>
      <c r="K4686" s="1">
        <f t="shared" si="1"/>
        <v>2021</v>
      </c>
      <c r="L4686" s="1" t="str">
        <f t="shared" si="2"/>
        <v>Nov</v>
      </c>
      <c r="M4686" s="1" t="str">
        <f t="shared" si="3"/>
        <v>Loss</v>
      </c>
    </row>
    <row r="4687" ht="14.25" customHeight="1">
      <c r="A4687" s="1" t="s">
        <v>4721</v>
      </c>
      <c r="B4687" s="2">
        <v>44505.0</v>
      </c>
      <c r="C4687" s="1" t="s">
        <v>26</v>
      </c>
      <c r="D4687" s="1" t="s">
        <v>27</v>
      </c>
      <c r="E4687" s="1" t="s">
        <v>40</v>
      </c>
      <c r="F4687" s="1">
        <v>665.92</v>
      </c>
      <c r="G4687" s="1">
        <v>-184.52</v>
      </c>
      <c r="H4687" s="1">
        <v>5.0</v>
      </c>
      <c r="I4687" s="1" t="s">
        <v>23</v>
      </c>
      <c r="J4687" s="1" t="s">
        <v>24</v>
      </c>
      <c r="K4687" s="1">
        <f t="shared" si="1"/>
        <v>2021</v>
      </c>
      <c r="L4687" s="1" t="str">
        <f t="shared" si="2"/>
        <v>Nov</v>
      </c>
      <c r="M4687" s="1" t="str">
        <f t="shared" si="3"/>
        <v>Loss</v>
      </c>
    </row>
    <row r="4688" ht="14.25" customHeight="1">
      <c r="A4688" s="1" t="s">
        <v>4722</v>
      </c>
      <c r="B4688" s="2">
        <v>45120.0</v>
      </c>
      <c r="C4688" s="1" t="s">
        <v>30</v>
      </c>
      <c r="D4688" s="1" t="s">
        <v>15</v>
      </c>
      <c r="E4688" s="1" t="s">
        <v>31</v>
      </c>
      <c r="F4688" s="1">
        <v>387.68</v>
      </c>
      <c r="G4688" s="1">
        <v>243.24</v>
      </c>
      <c r="H4688" s="1">
        <v>7.0</v>
      </c>
      <c r="I4688" s="1" t="s">
        <v>17</v>
      </c>
      <c r="J4688" s="1" t="s">
        <v>35</v>
      </c>
      <c r="K4688" s="1">
        <f t="shared" si="1"/>
        <v>2023</v>
      </c>
      <c r="L4688" s="1" t="str">
        <f t="shared" si="2"/>
        <v>Jul</v>
      </c>
      <c r="M4688" s="1" t="str">
        <f t="shared" si="3"/>
        <v>Profit</v>
      </c>
    </row>
    <row r="4689" ht="14.25" customHeight="1">
      <c r="A4689" s="1" t="s">
        <v>4723</v>
      </c>
      <c r="B4689" s="2">
        <v>44604.0</v>
      </c>
      <c r="C4689" s="1" t="s">
        <v>30</v>
      </c>
      <c r="D4689" s="1" t="s">
        <v>15</v>
      </c>
      <c r="E4689" s="1" t="s">
        <v>16</v>
      </c>
      <c r="F4689" s="1">
        <v>620.68</v>
      </c>
      <c r="G4689" s="1">
        <v>195.7</v>
      </c>
      <c r="H4689" s="1">
        <v>1.0</v>
      </c>
      <c r="I4689" s="1" t="s">
        <v>23</v>
      </c>
      <c r="J4689" s="1" t="s">
        <v>35</v>
      </c>
      <c r="K4689" s="1">
        <f t="shared" si="1"/>
        <v>2022</v>
      </c>
      <c r="L4689" s="1" t="str">
        <f t="shared" si="2"/>
        <v>Feb</v>
      </c>
      <c r="M4689" s="1" t="str">
        <f t="shared" si="3"/>
        <v>Profit</v>
      </c>
    </row>
    <row r="4690" ht="14.25" customHeight="1">
      <c r="A4690" s="1" t="s">
        <v>4724</v>
      </c>
      <c r="B4690" s="2">
        <v>44688.0</v>
      </c>
      <c r="C4690" s="1" t="s">
        <v>20</v>
      </c>
      <c r="D4690" s="1" t="s">
        <v>27</v>
      </c>
      <c r="E4690" s="1" t="s">
        <v>40</v>
      </c>
      <c r="F4690" s="1">
        <v>463.64</v>
      </c>
      <c r="G4690" s="1">
        <v>-78.26</v>
      </c>
      <c r="H4690" s="1">
        <v>2.0</v>
      </c>
      <c r="I4690" s="1" t="s">
        <v>17</v>
      </c>
      <c r="J4690" s="1" t="s">
        <v>35</v>
      </c>
      <c r="K4690" s="1">
        <f t="shared" si="1"/>
        <v>2022</v>
      </c>
      <c r="L4690" s="1" t="str">
        <f t="shared" si="2"/>
        <v>May</v>
      </c>
      <c r="M4690" s="1" t="str">
        <f t="shared" si="3"/>
        <v>Loss</v>
      </c>
    </row>
    <row r="4691" ht="14.25" customHeight="1">
      <c r="A4691" s="1" t="s">
        <v>4725</v>
      </c>
      <c r="B4691" s="2">
        <v>44646.0</v>
      </c>
      <c r="C4691" s="1" t="s">
        <v>26</v>
      </c>
      <c r="D4691" s="1" t="s">
        <v>15</v>
      </c>
      <c r="E4691" s="1" t="s">
        <v>31</v>
      </c>
      <c r="F4691" s="1">
        <v>412.31</v>
      </c>
      <c r="G4691" s="1">
        <v>214.43</v>
      </c>
      <c r="H4691" s="1">
        <v>4.0</v>
      </c>
      <c r="I4691" s="1" t="s">
        <v>17</v>
      </c>
      <c r="J4691" s="1" t="s">
        <v>24</v>
      </c>
      <c r="K4691" s="1">
        <f t="shared" si="1"/>
        <v>2022</v>
      </c>
      <c r="L4691" s="1" t="str">
        <f t="shared" si="2"/>
        <v>Mar</v>
      </c>
      <c r="M4691" s="1" t="str">
        <f t="shared" si="3"/>
        <v>Profit</v>
      </c>
    </row>
    <row r="4692" ht="14.25" customHeight="1">
      <c r="A4692" s="1" t="s">
        <v>4726</v>
      </c>
      <c r="B4692" s="2">
        <v>44733.0</v>
      </c>
      <c r="C4692" s="1" t="s">
        <v>20</v>
      </c>
      <c r="D4692" s="1" t="s">
        <v>15</v>
      </c>
      <c r="E4692" s="1" t="s">
        <v>31</v>
      </c>
      <c r="F4692" s="1">
        <v>644.26</v>
      </c>
      <c r="G4692" s="1">
        <v>124.73</v>
      </c>
      <c r="H4692" s="1">
        <v>4.0</v>
      </c>
      <c r="I4692" s="1" t="s">
        <v>34</v>
      </c>
      <c r="J4692" s="1" t="s">
        <v>24</v>
      </c>
      <c r="K4692" s="1">
        <f t="shared" si="1"/>
        <v>2022</v>
      </c>
      <c r="L4692" s="1" t="str">
        <f t="shared" si="2"/>
        <v>Jun</v>
      </c>
      <c r="M4692" s="1" t="str">
        <f t="shared" si="3"/>
        <v>Profit</v>
      </c>
    </row>
    <row r="4693" ht="14.25" customHeight="1">
      <c r="A4693" s="1" t="s">
        <v>4727</v>
      </c>
      <c r="B4693" s="2">
        <v>45024.0</v>
      </c>
      <c r="C4693" s="1" t="s">
        <v>20</v>
      </c>
      <c r="D4693" s="1" t="s">
        <v>15</v>
      </c>
      <c r="E4693" s="1" t="s">
        <v>16</v>
      </c>
      <c r="F4693" s="1">
        <v>882.07</v>
      </c>
      <c r="G4693" s="1">
        <v>-88.9</v>
      </c>
      <c r="H4693" s="1">
        <v>6.0</v>
      </c>
      <c r="I4693" s="1" t="s">
        <v>23</v>
      </c>
      <c r="J4693" s="1" t="s">
        <v>38</v>
      </c>
      <c r="K4693" s="1">
        <f t="shared" si="1"/>
        <v>2023</v>
      </c>
      <c r="L4693" s="1" t="str">
        <f t="shared" si="2"/>
        <v>Apr</v>
      </c>
      <c r="M4693" s="1" t="str">
        <f t="shared" si="3"/>
        <v>Loss</v>
      </c>
    </row>
    <row r="4694" ht="14.25" customHeight="1">
      <c r="A4694" s="1" t="s">
        <v>4728</v>
      </c>
      <c r="B4694" s="2">
        <v>45018.0</v>
      </c>
      <c r="C4694" s="1" t="s">
        <v>20</v>
      </c>
      <c r="D4694" s="1" t="s">
        <v>15</v>
      </c>
      <c r="E4694" s="1" t="s">
        <v>54</v>
      </c>
      <c r="F4694" s="1">
        <v>700.76</v>
      </c>
      <c r="G4694" s="1">
        <v>247.5</v>
      </c>
      <c r="H4694" s="1">
        <v>10.0</v>
      </c>
      <c r="I4694" s="1" t="s">
        <v>17</v>
      </c>
      <c r="J4694" s="1" t="s">
        <v>18</v>
      </c>
      <c r="K4694" s="1">
        <f t="shared" si="1"/>
        <v>2023</v>
      </c>
      <c r="L4694" s="1" t="str">
        <f t="shared" si="2"/>
        <v>Apr</v>
      </c>
      <c r="M4694" s="1" t="str">
        <f t="shared" si="3"/>
        <v>Profit</v>
      </c>
    </row>
    <row r="4695" ht="14.25" customHeight="1">
      <c r="A4695" s="1" t="s">
        <v>4729</v>
      </c>
      <c r="B4695" s="2">
        <v>44791.0</v>
      </c>
      <c r="C4695" s="1" t="s">
        <v>26</v>
      </c>
      <c r="D4695" s="1" t="s">
        <v>27</v>
      </c>
      <c r="E4695" s="1" t="s">
        <v>28</v>
      </c>
      <c r="F4695" s="1">
        <v>812.12</v>
      </c>
      <c r="G4695" s="1">
        <v>-27.0</v>
      </c>
      <c r="H4695" s="1">
        <v>4.0</v>
      </c>
      <c r="I4695" s="1" t="s">
        <v>17</v>
      </c>
      <c r="J4695" s="1" t="s">
        <v>38</v>
      </c>
      <c r="K4695" s="1">
        <f t="shared" si="1"/>
        <v>2022</v>
      </c>
      <c r="L4695" s="1" t="str">
        <f t="shared" si="2"/>
        <v>Aug</v>
      </c>
      <c r="M4695" s="1" t="str">
        <f t="shared" si="3"/>
        <v>Loss</v>
      </c>
    </row>
    <row r="4696" ht="14.25" customHeight="1">
      <c r="A4696" s="1" t="s">
        <v>4730</v>
      </c>
      <c r="B4696" s="2">
        <v>44420.0</v>
      </c>
      <c r="C4696" s="1" t="s">
        <v>14</v>
      </c>
      <c r="D4696" s="1" t="s">
        <v>21</v>
      </c>
      <c r="E4696" s="1" t="s">
        <v>37</v>
      </c>
      <c r="F4696" s="1">
        <v>684.02</v>
      </c>
      <c r="G4696" s="1">
        <v>-103.18</v>
      </c>
      <c r="H4696" s="1">
        <v>9.0</v>
      </c>
      <c r="I4696" s="1" t="s">
        <v>34</v>
      </c>
      <c r="J4696" s="1" t="s">
        <v>38</v>
      </c>
      <c r="K4696" s="1">
        <f t="shared" si="1"/>
        <v>2021</v>
      </c>
      <c r="L4696" s="1" t="str">
        <f t="shared" si="2"/>
        <v>Aug</v>
      </c>
      <c r="M4696" s="1" t="str">
        <f t="shared" si="3"/>
        <v>Loss</v>
      </c>
    </row>
    <row r="4697" ht="14.25" customHeight="1">
      <c r="A4697" s="1" t="s">
        <v>4731</v>
      </c>
      <c r="B4697" s="2">
        <v>45255.0</v>
      </c>
      <c r="C4697" s="1" t="s">
        <v>20</v>
      </c>
      <c r="D4697" s="1" t="s">
        <v>21</v>
      </c>
      <c r="E4697" s="1" t="s">
        <v>37</v>
      </c>
      <c r="F4697" s="1">
        <v>619.04</v>
      </c>
      <c r="G4697" s="1">
        <v>122.31</v>
      </c>
      <c r="H4697" s="1">
        <v>7.0</v>
      </c>
      <c r="I4697" s="1" t="s">
        <v>34</v>
      </c>
      <c r="J4697" s="1" t="s">
        <v>24</v>
      </c>
      <c r="K4697" s="1">
        <f t="shared" si="1"/>
        <v>2023</v>
      </c>
      <c r="L4697" s="1" t="str">
        <f t="shared" si="2"/>
        <v>Nov</v>
      </c>
      <c r="M4697" s="1" t="str">
        <f t="shared" si="3"/>
        <v>Profit</v>
      </c>
    </row>
    <row r="4698" ht="14.25" customHeight="1">
      <c r="A4698" s="1" t="s">
        <v>4732</v>
      </c>
      <c r="B4698" s="2">
        <v>44536.0</v>
      </c>
      <c r="C4698" s="1" t="s">
        <v>26</v>
      </c>
      <c r="D4698" s="1" t="s">
        <v>27</v>
      </c>
      <c r="E4698" s="1" t="s">
        <v>40</v>
      </c>
      <c r="F4698" s="1">
        <v>401.71</v>
      </c>
      <c r="G4698" s="1">
        <v>-8.57</v>
      </c>
      <c r="H4698" s="1">
        <v>2.0</v>
      </c>
      <c r="I4698" s="1" t="s">
        <v>34</v>
      </c>
      <c r="J4698" s="1" t="s">
        <v>18</v>
      </c>
      <c r="K4698" s="1">
        <f t="shared" si="1"/>
        <v>2021</v>
      </c>
      <c r="L4698" s="1" t="str">
        <f t="shared" si="2"/>
        <v>Dec</v>
      </c>
      <c r="M4698" s="1" t="str">
        <f t="shared" si="3"/>
        <v>Loss</v>
      </c>
    </row>
    <row r="4699" ht="14.25" customHeight="1">
      <c r="A4699" s="1" t="s">
        <v>4733</v>
      </c>
      <c r="B4699" s="2">
        <v>44345.0</v>
      </c>
      <c r="C4699" s="1" t="s">
        <v>20</v>
      </c>
      <c r="D4699" s="1" t="s">
        <v>27</v>
      </c>
      <c r="E4699" s="1" t="s">
        <v>28</v>
      </c>
      <c r="F4699" s="1">
        <v>340.45</v>
      </c>
      <c r="G4699" s="1">
        <v>240.41</v>
      </c>
      <c r="H4699" s="1">
        <v>6.0</v>
      </c>
      <c r="I4699" s="1" t="s">
        <v>17</v>
      </c>
      <c r="J4699" s="1" t="s">
        <v>38</v>
      </c>
      <c r="K4699" s="1">
        <f t="shared" si="1"/>
        <v>2021</v>
      </c>
      <c r="L4699" s="1" t="str">
        <f t="shared" si="2"/>
        <v>May</v>
      </c>
      <c r="M4699" s="1" t="str">
        <f t="shared" si="3"/>
        <v>Profit</v>
      </c>
    </row>
    <row r="4700" ht="14.25" customHeight="1">
      <c r="A4700" s="1" t="s">
        <v>4734</v>
      </c>
      <c r="B4700" s="2">
        <v>44480.0</v>
      </c>
      <c r="C4700" s="1" t="s">
        <v>30</v>
      </c>
      <c r="D4700" s="1" t="s">
        <v>21</v>
      </c>
      <c r="E4700" s="1" t="s">
        <v>37</v>
      </c>
      <c r="F4700" s="1">
        <v>612.07</v>
      </c>
      <c r="G4700" s="1">
        <v>-22.78</v>
      </c>
      <c r="H4700" s="1">
        <v>8.0</v>
      </c>
      <c r="I4700" s="1" t="s">
        <v>34</v>
      </c>
      <c r="J4700" s="1" t="s">
        <v>38</v>
      </c>
      <c r="K4700" s="1">
        <f t="shared" si="1"/>
        <v>2021</v>
      </c>
      <c r="L4700" s="1" t="str">
        <f t="shared" si="2"/>
        <v>Oct</v>
      </c>
      <c r="M4700" s="1" t="str">
        <f t="shared" si="3"/>
        <v>Loss</v>
      </c>
    </row>
    <row r="4701" ht="14.25" customHeight="1">
      <c r="A4701" s="1" t="s">
        <v>4735</v>
      </c>
      <c r="B4701" s="2">
        <v>44502.0</v>
      </c>
      <c r="C4701" s="1" t="s">
        <v>30</v>
      </c>
      <c r="D4701" s="1" t="s">
        <v>27</v>
      </c>
      <c r="E4701" s="1" t="s">
        <v>40</v>
      </c>
      <c r="F4701" s="1">
        <v>896.01</v>
      </c>
      <c r="G4701" s="1">
        <v>247.83</v>
      </c>
      <c r="H4701" s="1">
        <v>2.0</v>
      </c>
      <c r="I4701" s="1" t="s">
        <v>34</v>
      </c>
      <c r="J4701" s="1" t="s">
        <v>35</v>
      </c>
      <c r="K4701" s="1">
        <f t="shared" si="1"/>
        <v>2021</v>
      </c>
      <c r="L4701" s="1" t="str">
        <f t="shared" si="2"/>
        <v>Nov</v>
      </c>
      <c r="M4701" s="1" t="str">
        <f t="shared" si="3"/>
        <v>Profit</v>
      </c>
    </row>
    <row r="4702" ht="14.25" customHeight="1">
      <c r="A4702" s="1" t="s">
        <v>4736</v>
      </c>
      <c r="B4702" s="2">
        <v>44679.0</v>
      </c>
      <c r="C4702" s="1" t="s">
        <v>30</v>
      </c>
      <c r="D4702" s="1" t="s">
        <v>27</v>
      </c>
      <c r="E4702" s="1" t="s">
        <v>28</v>
      </c>
      <c r="F4702" s="1">
        <v>984.95</v>
      </c>
      <c r="G4702" s="1">
        <v>-94.2</v>
      </c>
      <c r="H4702" s="1">
        <v>9.0</v>
      </c>
      <c r="I4702" s="1" t="s">
        <v>34</v>
      </c>
      <c r="J4702" s="1" t="s">
        <v>38</v>
      </c>
      <c r="K4702" s="1">
        <f t="shared" si="1"/>
        <v>2022</v>
      </c>
      <c r="L4702" s="1" t="str">
        <f t="shared" si="2"/>
        <v>Apr</v>
      </c>
      <c r="M4702" s="1" t="str">
        <f t="shared" si="3"/>
        <v>Loss</v>
      </c>
    </row>
    <row r="4703" ht="14.25" customHeight="1">
      <c r="A4703" s="1" t="s">
        <v>4737</v>
      </c>
      <c r="B4703" s="2">
        <v>45084.0</v>
      </c>
      <c r="C4703" s="1" t="s">
        <v>14</v>
      </c>
      <c r="D4703" s="1" t="s">
        <v>27</v>
      </c>
      <c r="E4703" s="1" t="s">
        <v>40</v>
      </c>
      <c r="F4703" s="1">
        <v>441.69</v>
      </c>
      <c r="G4703" s="1">
        <v>229.6</v>
      </c>
      <c r="H4703" s="1">
        <v>2.0</v>
      </c>
      <c r="I4703" s="1" t="s">
        <v>23</v>
      </c>
      <c r="J4703" s="1" t="s">
        <v>35</v>
      </c>
      <c r="K4703" s="1">
        <f t="shared" si="1"/>
        <v>2023</v>
      </c>
      <c r="L4703" s="1" t="str">
        <f t="shared" si="2"/>
        <v>Jun</v>
      </c>
      <c r="M4703" s="1" t="str">
        <f t="shared" si="3"/>
        <v>Profit</v>
      </c>
    </row>
    <row r="4704" ht="14.25" customHeight="1">
      <c r="A4704" s="1" t="s">
        <v>4738</v>
      </c>
      <c r="B4704" s="2">
        <v>44308.0</v>
      </c>
      <c r="C4704" s="1" t="s">
        <v>20</v>
      </c>
      <c r="D4704" s="1" t="s">
        <v>15</v>
      </c>
      <c r="E4704" s="1" t="s">
        <v>16</v>
      </c>
      <c r="F4704" s="1">
        <v>311.68</v>
      </c>
      <c r="G4704" s="1">
        <v>267.04</v>
      </c>
      <c r="H4704" s="1">
        <v>10.0</v>
      </c>
      <c r="I4704" s="1" t="s">
        <v>23</v>
      </c>
      <c r="J4704" s="1" t="s">
        <v>38</v>
      </c>
      <c r="K4704" s="1">
        <f t="shared" si="1"/>
        <v>2021</v>
      </c>
      <c r="L4704" s="1" t="str">
        <f t="shared" si="2"/>
        <v>Apr</v>
      </c>
      <c r="M4704" s="1" t="str">
        <f t="shared" si="3"/>
        <v>Profit</v>
      </c>
    </row>
    <row r="4705" ht="14.25" customHeight="1">
      <c r="A4705" s="1" t="s">
        <v>4739</v>
      </c>
      <c r="B4705" s="2">
        <v>44932.0</v>
      </c>
      <c r="C4705" s="1" t="s">
        <v>14</v>
      </c>
      <c r="D4705" s="1" t="s">
        <v>21</v>
      </c>
      <c r="E4705" s="1" t="s">
        <v>37</v>
      </c>
      <c r="F4705" s="1">
        <v>55.48</v>
      </c>
      <c r="G4705" s="1">
        <v>-129.49</v>
      </c>
      <c r="H4705" s="1">
        <v>1.0</v>
      </c>
      <c r="I4705" s="1" t="s">
        <v>23</v>
      </c>
      <c r="J4705" s="1" t="s">
        <v>35</v>
      </c>
      <c r="K4705" s="1">
        <f t="shared" si="1"/>
        <v>2023</v>
      </c>
      <c r="L4705" s="1" t="str">
        <f t="shared" si="2"/>
        <v>Jan</v>
      </c>
      <c r="M4705" s="1" t="str">
        <f t="shared" si="3"/>
        <v>Loss</v>
      </c>
    </row>
    <row r="4706" ht="14.25" customHeight="1">
      <c r="A4706" s="1" t="s">
        <v>4740</v>
      </c>
      <c r="B4706" s="2">
        <v>44492.0</v>
      </c>
      <c r="C4706" s="1" t="s">
        <v>20</v>
      </c>
      <c r="D4706" s="1" t="s">
        <v>27</v>
      </c>
      <c r="E4706" s="1" t="s">
        <v>33</v>
      </c>
      <c r="F4706" s="1">
        <v>694.04</v>
      </c>
      <c r="G4706" s="1">
        <v>263.92</v>
      </c>
      <c r="H4706" s="1">
        <v>4.0</v>
      </c>
      <c r="I4706" s="1" t="s">
        <v>34</v>
      </c>
      <c r="J4706" s="1" t="s">
        <v>38</v>
      </c>
      <c r="K4706" s="1">
        <f t="shared" si="1"/>
        <v>2021</v>
      </c>
      <c r="L4706" s="1" t="str">
        <f t="shared" si="2"/>
        <v>Oct</v>
      </c>
      <c r="M4706" s="1" t="str">
        <f t="shared" si="3"/>
        <v>Profit</v>
      </c>
    </row>
    <row r="4707" ht="14.25" customHeight="1">
      <c r="A4707" s="1" t="s">
        <v>4741</v>
      </c>
      <c r="B4707" s="2">
        <v>44684.0</v>
      </c>
      <c r="C4707" s="1" t="s">
        <v>14</v>
      </c>
      <c r="D4707" s="1" t="s">
        <v>27</v>
      </c>
      <c r="E4707" s="1" t="s">
        <v>28</v>
      </c>
      <c r="F4707" s="1">
        <v>289.32</v>
      </c>
      <c r="G4707" s="1">
        <v>-38.03</v>
      </c>
      <c r="H4707" s="1">
        <v>4.0</v>
      </c>
      <c r="I4707" s="1" t="s">
        <v>34</v>
      </c>
      <c r="J4707" s="1" t="s">
        <v>24</v>
      </c>
      <c r="K4707" s="1">
        <f t="shared" si="1"/>
        <v>2022</v>
      </c>
      <c r="L4707" s="1" t="str">
        <f t="shared" si="2"/>
        <v>May</v>
      </c>
      <c r="M4707" s="1" t="str">
        <f t="shared" si="3"/>
        <v>Loss</v>
      </c>
    </row>
    <row r="4708" ht="14.25" customHeight="1">
      <c r="A4708" s="1" t="s">
        <v>4742</v>
      </c>
      <c r="B4708" s="2">
        <v>44252.0</v>
      </c>
      <c r="C4708" s="1" t="s">
        <v>30</v>
      </c>
      <c r="D4708" s="1" t="s">
        <v>27</v>
      </c>
      <c r="E4708" s="1" t="s">
        <v>28</v>
      </c>
      <c r="F4708" s="1">
        <v>235.59</v>
      </c>
      <c r="G4708" s="1">
        <v>291.55</v>
      </c>
      <c r="H4708" s="1">
        <v>6.0</v>
      </c>
      <c r="I4708" s="1" t="s">
        <v>23</v>
      </c>
      <c r="J4708" s="1" t="s">
        <v>24</v>
      </c>
      <c r="K4708" s="1">
        <f t="shared" si="1"/>
        <v>2021</v>
      </c>
      <c r="L4708" s="1" t="str">
        <f t="shared" si="2"/>
        <v>Feb</v>
      </c>
      <c r="M4708" s="1" t="str">
        <f t="shared" si="3"/>
        <v>Profit</v>
      </c>
    </row>
    <row r="4709" ht="14.25" customHeight="1">
      <c r="A4709" s="1" t="s">
        <v>4743</v>
      </c>
      <c r="B4709" s="2">
        <v>44939.0</v>
      </c>
      <c r="C4709" s="1" t="s">
        <v>30</v>
      </c>
      <c r="D4709" s="1" t="s">
        <v>21</v>
      </c>
      <c r="E4709" s="1" t="s">
        <v>37</v>
      </c>
      <c r="F4709" s="1">
        <v>827.35</v>
      </c>
      <c r="G4709" s="1">
        <v>52.89</v>
      </c>
      <c r="H4709" s="1">
        <v>7.0</v>
      </c>
      <c r="I4709" s="1" t="s">
        <v>34</v>
      </c>
      <c r="J4709" s="1" t="s">
        <v>18</v>
      </c>
      <c r="K4709" s="1">
        <f t="shared" si="1"/>
        <v>2023</v>
      </c>
      <c r="L4709" s="1" t="str">
        <f t="shared" si="2"/>
        <v>Jan</v>
      </c>
      <c r="M4709" s="1" t="str">
        <f t="shared" si="3"/>
        <v>Profit</v>
      </c>
    </row>
    <row r="4710" ht="14.25" customHeight="1">
      <c r="A4710" s="1" t="s">
        <v>4744</v>
      </c>
      <c r="B4710" s="2">
        <v>44894.0</v>
      </c>
      <c r="C4710" s="1" t="s">
        <v>14</v>
      </c>
      <c r="D4710" s="1" t="s">
        <v>21</v>
      </c>
      <c r="E4710" s="1" t="s">
        <v>76</v>
      </c>
      <c r="F4710" s="1">
        <v>543.14</v>
      </c>
      <c r="G4710" s="1">
        <v>-137.88</v>
      </c>
      <c r="H4710" s="1">
        <v>9.0</v>
      </c>
      <c r="I4710" s="1" t="s">
        <v>34</v>
      </c>
      <c r="J4710" s="1" t="s">
        <v>35</v>
      </c>
      <c r="K4710" s="1">
        <f t="shared" si="1"/>
        <v>2022</v>
      </c>
      <c r="L4710" s="1" t="str">
        <f t="shared" si="2"/>
        <v>Nov</v>
      </c>
      <c r="M4710" s="1" t="str">
        <f t="shared" si="3"/>
        <v>Loss</v>
      </c>
    </row>
    <row r="4711" ht="14.25" customHeight="1">
      <c r="A4711" s="1" t="s">
        <v>4745</v>
      </c>
      <c r="B4711" s="2">
        <v>45286.0</v>
      </c>
      <c r="C4711" s="1" t="s">
        <v>20</v>
      </c>
      <c r="D4711" s="1" t="s">
        <v>21</v>
      </c>
      <c r="E4711" s="1" t="s">
        <v>76</v>
      </c>
      <c r="F4711" s="1">
        <v>772.23</v>
      </c>
      <c r="G4711" s="1">
        <v>-154.75</v>
      </c>
      <c r="H4711" s="1">
        <v>1.0</v>
      </c>
      <c r="I4711" s="1" t="s">
        <v>23</v>
      </c>
      <c r="J4711" s="1" t="s">
        <v>35</v>
      </c>
      <c r="K4711" s="1">
        <f t="shared" si="1"/>
        <v>2023</v>
      </c>
      <c r="L4711" s="1" t="str">
        <f t="shared" si="2"/>
        <v>Dec</v>
      </c>
      <c r="M4711" s="1" t="str">
        <f t="shared" si="3"/>
        <v>Loss</v>
      </c>
    </row>
    <row r="4712" ht="14.25" customHeight="1">
      <c r="A4712" s="1" t="s">
        <v>4746</v>
      </c>
      <c r="B4712" s="2">
        <v>44229.0</v>
      </c>
      <c r="C4712" s="1" t="s">
        <v>30</v>
      </c>
      <c r="D4712" s="1" t="s">
        <v>15</v>
      </c>
      <c r="E4712" s="1" t="s">
        <v>54</v>
      </c>
      <c r="F4712" s="1">
        <v>627.25</v>
      </c>
      <c r="G4712" s="1">
        <v>5.77</v>
      </c>
      <c r="H4712" s="1">
        <v>1.0</v>
      </c>
      <c r="I4712" s="1" t="s">
        <v>17</v>
      </c>
      <c r="J4712" s="1" t="s">
        <v>35</v>
      </c>
      <c r="K4712" s="1">
        <f t="shared" si="1"/>
        <v>2021</v>
      </c>
      <c r="L4712" s="1" t="str">
        <f t="shared" si="2"/>
        <v>Feb</v>
      </c>
      <c r="M4712" s="1" t="str">
        <f t="shared" si="3"/>
        <v>Profit</v>
      </c>
    </row>
    <row r="4713" ht="14.25" customHeight="1">
      <c r="A4713" s="1" t="s">
        <v>4747</v>
      </c>
      <c r="B4713" s="2">
        <v>45173.0</v>
      </c>
      <c r="C4713" s="1" t="s">
        <v>14</v>
      </c>
      <c r="D4713" s="1" t="s">
        <v>15</v>
      </c>
      <c r="E4713" s="1" t="s">
        <v>16</v>
      </c>
      <c r="F4713" s="1">
        <v>64.49</v>
      </c>
      <c r="G4713" s="1">
        <v>-144.42</v>
      </c>
      <c r="H4713" s="1">
        <v>3.0</v>
      </c>
      <c r="I4713" s="1" t="s">
        <v>34</v>
      </c>
      <c r="J4713" s="1" t="s">
        <v>35</v>
      </c>
      <c r="K4713" s="1">
        <f t="shared" si="1"/>
        <v>2023</v>
      </c>
      <c r="L4713" s="1" t="str">
        <f t="shared" si="2"/>
        <v>Sep</v>
      </c>
      <c r="M4713" s="1" t="str">
        <f t="shared" si="3"/>
        <v>Loss</v>
      </c>
    </row>
    <row r="4714" ht="14.25" customHeight="1">
      <c r="A4714" s="1" t="s">
        <v>4748</v>
      </c>
      <c r="B4714" s="2">
        <v>45058.0</v>
      </c>
      <c r="C4714" s="1" t="s">
        <v>14</v>
      </c>
      <c r="D4714" s="1" t="s">
        <v>15</v>
      </c>
      <c r="E4714" s="1" t="s">
        <v>54</v>
      </c>
      <c r="F4714" s="1">
        <v>788.79</v>
      </c>
      <c r="G4714" s="1">
        <v>138.09</v>
      </c>
      <c r="H4714" s="1">
        <v>10.0</v>
      </c>
      <c r="I4714" s="1" t="s">
        <v>23</v>
      </c>
      <c r="J4714" s="1" t="s">
        <v>38</v>
      </c>
      <c r="K4714" s="1">
        <f t="shared" si="1"/>
        <v>2023</v>
      </c>
      <c r="L4714" s="1" t="str">
        <f t="shared" si="2"/>
        <v>May</v>
      </c>
      <c r="M4714" s="1" t="str">
        <f t="shared" si="3"/>
        <v>Profit</v>
      </c>
    </row>
    <row r="4715" ht="14.25" customHeight="1">
      <c r="A4715" s="1" t="s">
        <v>4749</v>
      </c>
      <c r="B4715" s="2">
        <v>44911.0</v>
      </c>
      <c r="C4715" s="1" t="s">
        <v>30</v>
      </c>
      <c r="D4715" s="1" t="s">
        <v>15</v>
      </c>
      <c r="E4715" s="1" t="s">
        <v>31</v>
      </c>
      <c r="F4715" s="1">
        <v>147.03</v>
      </c>
      <c r="G4715" s="1">
        <v>-187.16</v>
      </c>
      <c r="H4715" s="1">
        <v>3.0</v>
      </c>
      <c r="I4715" s="1" t="s">
        <v>34</v>
      </c>
      <c r="J4715" s="1" t="s">
        <v>35</v>
      </c>
      <c r="K4715" s="1">
        <f t="shared" si="1"/>
        <v>2022</v>
      </c>
      <c r="L4715" s="1" t="str">
        <f t="shared" si="2"/>
        <v>Dec</v>
      </c>
      <c r="M4715" s="1" t="str">
        <f t="shared" si="3"/>
        <v>Loss</v>
      </c>
    </row>
    <row r="4716" ht="14.25" customHeight="1">
      <c r="A4716" s="1" t="s">
        <v>4750</v>
      </c>
      <c r="B4716" s="2">
        <v>44315.0</v>
      </c>
      <c r="C4716" s="1" t="s">
        <v>30</v>
      </c>
      <c r="D4716" s="1" t="s">
        <v>15</v>
      </c>
      <c r="E4716" s="1" t="s">
        <v>16</v>
      </c>
      <c r="F4716" s="1">
        <v>504.41</v>
      </c>
      <c r="G4716" s="1">
        <v>-11.45</v>
      </c>
      <c r="H4716" s="1">
        <v>6.0</v>
      </c>
      <c r="I4716" s="1" t="s">
        <v>17</v>
      </c>
      <c r="J4716" s="1" t="s">
        <v>38</v>
      </c>
      <c r="K4716" s="1">
        <f t="shared" si="1"/>
        <v>2021</v>
      </c>
      <c r="L4716" s="1" t="str">
        <f t="shared" si="2"/>
        <v>Apr</v>
      </c>
      <c r="M4716" s="1" t="str">
        <f t="shared" si="3"/>
        <v>Loss</v>
      </c>
    </row>
    <row r="4717" ht="14.25" customHeight="1">
      <c r="A4717" s="1" t="s">
        <v>4751</v>
      </c>
      <c r="B4717" s="2">
        <v>45203.0</v>
      </c>
      <c r="C4717" s="1" t="s">
        <v>30</v>
      </c>
      <c r="D4717" s="1" t="s">
        <v>21</v>
      </c>
      <c r="E4717" s="1" t="s">
        <v>37</v>
      </c>
      <c r="F4717" s="1">
        <v>162.43</v>
      </c>
      <c r="G4717" s="1">
        <v>113.04</v>
      </c>
      <c r="H4717" s="1">
        <v>4.0</v>
      </c>
      <c r="I4717" s="1" t="s">
        <v>34</v>
      </c>
      <c r="J4717" s="1" t="s">
        <v>24</v>
      </c>
      <c r="K4717" s="1">
        <f t="shared" si="1"/>
        <v>2023</v>
      </c>
      <c r="L4717" s="1" t="str">
        <f t="shared" si="2"/>
        <v>Oct</v>
      </c>
      <c r="M4717" s="1" t="str">
        <f t="shared" si="3"/>
        <v>Profit</v>
      </c>
    </row>
    <row r="4718" ht="14.25" customHeight="1">
      <c r="A4718" s="1" t="s">
        <v>4752</v>
      </c>
      <c r="B4718" s="2">
        <v>44476.0</v>
      </c>
      <c r="C4718" s="1" t="s">
        <v>30</v>
      </c>
      <c r="D4718" s="1" t="s">
        <v>27</v>
      </c>
      <c r="E4718" s="1" t="s">
        <v>28</v>
      </c>
      <c r="F4718" s="1">
        <v>368.5</v>
      </c>
      <c r="G4718" s="1">
        <v>40.05</v>
      </c>
      <c r="H4718" s="1">
        <v>8.0</v>
      </c>
      <c r="I4718" s="1" t="s">
        <v>23</v>
      </c>
      <c r="J4718" s="1" t="s">
        <v>35</v>
      </c>
      <c r="K4718" s="1">
        <f t="shared" si="1"/>
        <v>2021</v>
      </c>
      <c r="L4718" s="1" t="str">
        <f t="shared" si="2"/>
        <v>Oct</v>
      </c>
      <c r="M4718" s="1" t="str">
        <f t="shared" si="3"/>
        <v>Profit</v>
      </c>
    </row>
    <row r="4719" ht="14.25" customHeight="1">
      <c r="A4719" s="1" t="s">
        <v>4753</v>
      </c>
      <c r="B4719" s="2">
        <v>44424.0</v>
      </c>
      <c r="C4719" s="1" t="s">
        <v>30</v>
      </c>
      <c r="D4719" s="1" t="s">
        <v>27</v>
      </c>
      <c r="E4719" s="1" t="s">
        <v>28</v>
      </c>
      <c r="F4719" s="1">
        <v>907.72</v>
      </c>
      <c r="G4719" s="1">
        <v>-105.5</v>
      </c>
      <c r="H4719" s="1">
        <v>4.0</v>
      </c>
      <c r="I4719" s="1" t="s">
        <v>17</v>
      </c>
      <c r="J4719" s="1" t="s">
        <v>18</v>
      </c>
      <c r="K4719" s="1">
        <f t="shared" si="1"/>
        <v>2021</v>
      </c>
      <c r="L4719" s="1" t="str">
        <f t="shared" si="2"/>
        <v>Aug</v>
      </c>
      <c r="M4719" s="1" t="str">
        <f t="shared" si="3"/>
        <v>Loss</v>
      </c>
    </row>
    <row r="4720" ht="14.25" customHeight="1">
      <c r="A4720" s="1" t="s">
        <v>4754</v>
      </c>
      <c r="B4720" s="2">
        <v>44514.0</v>
      </c>
      <c r="C4720" s="1" t="s">
        <v>26</v>
      </c>
      <c r="D4720" s="1" t="s">
        <v>15</v>
      </c>
      <c r="E4720" s="1" t="s">
        <v>16</v>
      </c>
      <c r="F4720" s="1">
        <v>493.66</v>
      </c>
      <c r="G4720" s="1">
        <v>232.99</v>
      </c>
      <c r="H4720" s="1">
        <v>4.0</v>
      </c>
      <c r="I4720" s="1" t="s">
        <v>23</v>
      </c>
      <c r="J4720" s="1" t="s">
        <v>35</v>
      </c>
      <c r="K4720" s="1">
        <f t="shared" si="1"/>
        <v>2021</v>
      </c>
      <c r="L4720" s="1" t="str">
        <f t="shared" si="2"/>
        <v>Nov</v>
      </c>
      <c r="M4720" s="1" t="str">
        <f t="shared" si="3"/>
        <v>Profit</v>
      </c>
    </row>
    <row r="4721" ht="14.25" customHeight="1">
      <c r="A4721" s="1" t="s">
        <v>4755</v>
      </c>
      <c r="B4721" s="2">
        <v>45072.0</v>
      </c>
      <c r="C4721" s="1" t="s">
        <v>20</v>
      </c>
      <c r="D4721" s="1" t="s">
        <v>27</v>
      </c>
      <c r="E4721" s="1" t="s">
        <v>33</v>
      </c>
      <c r="F4721" s="1">
        <v>581.45</v>
      </c>
      <c r="G4721" s="1">
        <v>97.83</v>
      </c>
      <c r="H4721" s="1">
        <v>7.0</v>
      </c>
      <c r="I4721" s="1" t="s">
        <v>17</v>
      </c>
      <c r="J4721" s="1" t="s">
        <v>35</v>
      </c>
      <c r="K4721" s="1">
        <f t="shared" si="1"/>
        <v>2023</v>
      </c>
      <c r="L4721" s="1" t="str">
        <f t="shared" si="2"/>
        <v>May</v>
      </c>
      <c r="M4721" s="1" t="str">
        <f t="shared" si="3"/>
        <v>Profit</v>
      </c>
    </row>
    <row r="4722" ht="14.25" customHeight="1">
      <c r="A4722" s="1" t="s">
        <v>4756</v>
      </c>
      <c r="B4722" s="2">
        <v>45225.0</v>
      </c>
      <c r="C4722" s="1" t="s">
        <v>26</v>
      </c>
      <c r="D4722" s="1" t="s">
        <v>21</v>
      </c>
      <c r="E4722" s="1" t="s">
        <v>76</v>
      </c>
      <c r="F4722" s="1">
        <v>591.68</v>
      </c>
      <c r="G4722" s="1">
        <v>-15.04</v>
      </c>
      <c r="H4722" s="1">
        <v>7.0</v>
      </c>
      <c r="I4722" s="1" t="s">
        <v>23</v>
      </c>
      <c r="J4722" s="1" t="s">
        <v>24</v>
      </c>
      <c r="K4722" s="1">
        <f t="shared" si="1"/>
        <v>2023</v>
      </c>
      <c r="L4722" s="1" t="str">
        <f t="shared" si="2"/>
        <v>Oct</v>
      </c>
      <c r="M4722" s="1" t="str">
        <f t="shared" si="3"/>
        <v>Loss</v>
      </c>
    </row>
    <row r="4723" ht="14.25" customHeight="1">
      <c r="A4723" s="1" t="s">
        <v>4757</v>
      </c>
      <c r="B4723" s="2">
        <v>44311.0</v>
      </c>
      <c r="C4723" s="1" t="s">
        <v>30</v>
      </c>
      <c r="D4723" s="1" t="s">
        <v>21</v>
      </c>
      <c r="E4723" s="1" t="s">
        <v>76</v>
      </c>
      <c r="F4723" s="1">
        <v>612.3</v>
      </c>
      <c r="G4723" s="1">
        <v>-20.09</v>
      </c>
      <c r="H4723" s="1">
        <v>1.0</v>
      </c>
      <c r="I4723" s="1" t="s">
        <v>17</v>
      </c>
      <c r="J4723" s="1" t="s">
        <v>35</v>
      </c>
      <c r="K4723" s="1">
        <f t="shared" si="1"/>
        <v>2021</v>
      </c>
      <c r="L4723" s="1" t="str">
        <f t="shared" si="2"/>
        <v>Apr</v>
      </c>
      <c r="M4723" s="1" t="str">
        <f t="shared" si="3"/>
        <v>Loss</v>
      </c>
    </row>
    <row r="4724" ht="14.25" customHeight="1">
      <c r="A4724" s="1" t="s">
        <v>4758</v>
      </c>
      <c r="B4724" s="2">
        <v>45284.0</v>
      </c>
      <c r="C4724" s="1" t="s">
        <v>30</v>
      </c>
      <c r="D4724" s="1" t="s">
        <v>15</v>
      </c>
      <c r="E4724" s="1" t="s">
        <v>54</v>
      </c>
      <c r="F4724" s="1">
        <v>562.05</v>
      </c>
      <c r="G4724" s="1">
        <v>-101.66</v>
      </c>
      <c r="H4724" s="1">
        <v>3.0</v>
      </c>
      <c r="I4724" s="1" t="s">
        <v>34</v>
      </c>
      <c r="J4724" s="1" t="s">
        <v>24</v>
      </c>
      <c r="K4724" s="1">
        <f t="shared" si="1"/>
        <v>2023</v>
      </c>
      <c r="L4724" s="1" t="str">
        <f t="shared" si="2"/>
        <v>Dec</v>
      </c>
      <c r="M4724" s="1" t="str">
        <f t="shared" si="3"/>
        <v>Loss</v>
      </c>
    </row>
    <row r="4725" ht="14.25" customHeight="1">
      <c r="A4725" s="1" t="s">
        <v>4759</v>
      </c>
      <c r="B4725" s="2">
        <v>44270.0</v>
      </c>
      <c r="C4725" s="1" t="s">
        <v>14</v>
      </c>
      <c r="D4725" s="1" t="s">
        <v>27</v>
      </c>
      <c r="E4725" s="1" t="s">
        <v>40</v>
      </c>
      <c r="F4725" s="1">
        <v>354.03</v>
      </c>
      <c r="G4725" s="1">
        <v>-188.95</v>
      </c>
      <c r="H4725" s="1">
        <v>4.0</v>
      </c>
      <c r="I4725" s="1" t="s">
        <v>34</v>
      </c>
      <c r="J4725" s="1" t="s">
        <v>24</v>
      </c>
      <c r="K4725" s="1">
        <f t="shared" si="1"/>
        <v>2021</v>
      </c>
      <c r="L4725" s="1" t="str">
        <f t="shared" si="2"/>
        <v>Mar</v>
      </c>
      <c r="M4725" s="1" t="str">
        <f t="shared" si="3"/>
        <v>Loss</v>
      </c>
    </row>
    <row r="4726" ht="14.25" customHeight="1">
      <c r="A4726" s="1" t="s">
        <v>4760</v>
      </c>
      <c r="B4726" s="2">
        <v>44737.0</v>
      </c>
      <c r="C4726" s="1" t="s">
        <v>30</v>
      </c>
      <c r="D4726" s="1" t="s">
        <v>21</v>
      </c>
      <c r="E4726" s="1" t="s">
        <v>37</v>
      </c>
      <c r="F4726" s="1">
        <v>441.0</v>
      </c>
      <c r="G4726" s="1">
        <v>277.53</v>
      </c>
      <c r="H4726" s="1">
        <v>7.0</v>
      </c>
      <c r="I4726" s="1" t="s">
        <v>17</v>
      </c>
      <c r="J4726" s="1" t="s">
        <v>38</v>
      </c>
      <c r="K4726" s="1">
        <f t="shared" si="1"/>
        <v>2022</v>
      </c>
      <c r="L4726" s="1" t="str">
        <f t="shared" si="2"/>
        <v>Jun</v>
      </c>
      <c r="M4726" s="1" t="str">
        <f t="shared" si="3"/>
        <v>Profit</v>
      </c>
    </row>
    <row r="4727" ht="14.25" customHeight="1">
      <c r="A4727" s="1" t="s">
        <v>4761</v>
      </c>
      <c r="B4727" s="2">
        <v>44252.0</v>
      </c>
      <c r="C4727" s="1" t="s">
        <v>26</v>
      </c>
      <c r="D4727" s="1" t="s">
        <v>21</v>
      </c>
      <c r="E4727" s="1" t="s">
        <v>76</v>
      </c>
      <c r="F4727" s="1">
        <v>538.85</v>
      </c>
      <c r="G4727" s="1">
        <v>76.15</v>
      </c>
      <c r="H4727" s="1">
        <v>9.0</v>
      </c>
      <c r="I4727" s="1" t="s">
        <v>17</v>
      </c>
      <c r="J4727" s="1" t="s">
        <v>38</v>
      </c>
      <c r="K4727" s="1">
        <f t="shared" si="1"/>
        <v>2021</v>
      </c>
      <c r="L4727" s="1" t="str">
        <f t="shared" si="2"/>
        <v>Feb</v>
      </c>
      <c r="M4727" s="1" t="str">
        <f t="shared" si="3"/>
        <v>Profit</v>
      </c>
    </row>
    <row r="4728" ht="14.25" customHeight="1">
      <c r="A4728" s="1" t="s">
        <v>4762</v>
      </c>
      <c r="B4728" s="2">
        <v>44674.0</v>
      </c>
      <c r="C4728" s="1" t="s">
        <v>30</v>
      </c>
      <c r="D4728" s="1" t="s">
        <v>15</v>
      </c>
      <c r="E4728" s="1" t="s">
        <v>16</v>
      </c>
      <c r="F4728" s="1">
        <v>990.55</v>
      </c>
      <c r="G4728" s="1">
        <v>79.0</v>
      </c>
      <c r="H4728" s="1">
        <v>5.0</v>
      </c>
      <c r="I4728" s="1" t="s">
        <v>23</v>
      </c>
      <c r="J4728" s="1" t="s">
        <v>35</v>
      </c>
      <c r="K4728" s="1">
        <f t="shared" si="1"/>
        <v>2022</v>
      </c>
      <c r="L4728" s="1" t="str">
        <f t="shared" si="2"/>
        <v>Apr</v>
      </c>
      <c r="M4728" s="1" t="str">
        <f t="shared" si="3"/>
        <v>Profit</v>
      </c>
    </row>
    <row r="4729" ht="14.25" customHeight="1">
      <c r="A4729" s="1" t="s">
        <v>4763</v>
      </c>
      <c r="B4729" s="2">
        <v>44611.0</v>
      </c>
      <c r="C4729" s="1" t="s">
        <v>14</v>
      </c>
      <c r="D4729" s="1" t="s">
        <v>15</v>
      </c>
      <c r="E4729" s="1" t="s">
        <v>16</v>
      </c>
      <c r="F4729" s="1">
        <v>608.14</v>
      </c>
      <c r="G4729" s="1">
        <v>-177.92</v>
      </c>
      <c r="H4729" s="1">
        <v>9.0</v>
      </c>
      <c r="I4729" s="1" t="s">
        <v>17</v>
      </c>
      <c r="J4729" s="1" t="s">
        <v>24</v>
      </c>
      <c r="K4729" s="1">
        <f t="shared" si="1"/>
        <v>2022</v>
      </c>
      <c r="L4729" s="1" t="str">
        <f t="shared" si="2"/>
        <v>Feb</v>
      </c>
      <c r="M4729" s="1" t="str">
        <f t="shared" si="3"/>
        <v>Loss</v>
      </c>
    </row>
    <row r="4730" ht="14.25" customHeight="1">
      <c r="A4730" s="1" t="s">
        <v>4764</v>
      </c>
      <c r="B4730" s="2">
        <v>44282.0</v>
      </c>
      <c r="C4730" s="1" t="s">
        <v>26</v>
      </c>
      <c r="D4730" s="1" t="s">
        <v>27</v>
      </c>
      <c r="E4730" s="1" t="s">
        <v>33</v>
      </c>
      <c r="F4730" s="1">
        <v>912.51</v>
      </c>
      <c r="G4730" s="1">
        <v>68.95</v>
      </c>
      <c r="H4730" s="1">
        <v>6.0</v>
      </c>
      <c r="I4730" s="1" t="s">
        <v>23</v>
      </c>
      <c r="J4730" s="1" t="s">
        <v>38</v>
      </c>
      <c r="K4730" s="1">
        <f t="shared" si="1"/>
        <v>2021</v>
      </c>
      <c r="L4730" s="1" t="str">
        <f t="shared" si="2"/>
        <v>Mar</v>
      </c>
      <c r="M4730" s="1" t="str">
        <f t="shared" si="3"/>
        <v>Profit</v>
      </c>
    </row>
    <row r="4731" ht="14.25" customHeight="1">
      <c r="A4731" s="1" t="s">
        <v>4765</v>
      </c>
      <c r="B4731" s="2">
        <v>44634.0</v>
      </c>
      <c r="C4731" s="1" t="s">
        <v>14</v>
      </c>
      <c r="D4731" s="1" t="s">
        <v>21</v>
      </c>
      <c r="E4731" s="1" t="s">
        <v>37</v>
      </c>
      <c r="F4731" s="1">
        <v>651.33</v>
      </c>
      <c r="G4731" s="1">
        <v>33.01</v>
      </c>
      <c r="H4731" s="1">
        <v>5.0</v>
      </c>
      <c r="I4731" s="1" t="s">
        <v>17</v>
      </c>
      <c r="J4731" s="1" t="s">
        <v>24</v>
      </c>
      <c r="K4731" s="1">
        <f t="shared" si="1"/>
        <v>2022</v>
      </c>
      <c r="L4731" s="1" t="str">
        <f t="shared" si="2"/>
        <v>Mar</v>
      </c>
      <c r="M4731" s="1" t="str">
        <f t="shared" si="3"/>
        <v>Profit</v>
      </c>
    </row>
    <row r="4732" ht="14.25" customHeight="1">
      <c r="A4732" s="1" t="s">
        <v>4766</v>
      </c>
      <c r="B4732" s="2">
        <v>44628.0</v>
      </c>
      <c r="C4732" s="1" t="s">
        <v>30</v>
      </c>
      <c r="D4732" s="1" t="s">
        <v>21</v>
      </c>
      <c r="E4732" s="1" t="s">
        <v>37</v>
      </c>
      <c r="F4732" s="1">
        <v>463.38</v>
      </c>
      <c r="G4732" s="1">
        <v>187.27</v>
      </c>
      <c r="H4732" s="1">
        <v>4.0</v>
      </c>
      <c r="I4732" s="1" t="s">
        <v>23</v>
      </c>
      <c r="J4732" s="1" t="s">
        <v>24</v>
      </c>
      <c r="K4732" s="1">
        <f t="shared" si="1"/>
        <v>2022</v>
      </c>
      <c r="L4732" s="1" t="str">
        <f t="shared" si="2"/>
        <v>Mar</v>
      </c>
      <c r="M4732" s="1" t="str">
        <f t="shared" si="3"/>
        <v>Profit</v>
      </c>
    </row>
    <row r="4733" ht="14.25" customHeight="1">
      <c r="A4733" s="1" t="s">
        <v>4767</v>
      </c>
      <c r="B4733" s="2">
        <v>44279.0</v>
      </c>
      <c r="C4733" s="1" t="s">
        <v>14</v>
      </c>
      <c r="D4733" s="1" t="s">
        <v>21</v>
      </c>
      <c r="E4733" s="1" t="s">
        <v>37</v>
      </c>
      <c r="F4733" s="1">
        <v>827.26</v>
      </c>
      <c r="G4733" s="1">
        <v>-167.65</v>
      </c>
      <c r="H4733" s="1">
        <v>3.0</v>
      </c>
      <c r="I4733" s="1" t="s">
        <v>23</v>
      </c>
      <c r="J4733" s="1" t="s">
        <v>24</v>
      </c>
      <c r="K4733" s="1">
        <f t="shared" si="1"/>
        <v>2021</v>
      </c>
      <c r="L4733" s="1" t="str">
        <f t="shared" si="2"/>
        <v>Mar</v>
      </c>
      <c r="M4733" s="1" t="str">
        <f t="shared" si="3"/>
        <v>Loss</v>
      </c>
    </row>
    <row r="4734" ht="14.25" customHeight="1">
      <c r="A4734" s="1" t="s">
        <v>4768</v>
      </c>
      <c r="B4734" s="2">
        <v>45203.0</v>
      </c>
      <c r="C4734" s="1" t="s">
        <v>26</v>
      </c>
      <c r="D4734" s="1" t="s">
        <v>27</v>
      </c>
      <c r="E4734" s="1" t="s">
        <v>28</v>
      </c>
      <c r="F4734" s="1">
        <v>419.36</v>
      </c>
      <c r="G4734" s="1">
        <v>80.15</v>
      </c>
      <c r="H4734" s="1">
        <v>8.0</v>
      </c>
      <c r="I4734" s="1" t="s">
        <v>34</v>
      </c>
      <c r="J4734" s="1" t="s">
        <v>18</v>
      </c>
      <c r="K4734" s="1">
        <f t="shared" si="1"/>
        <v>2023</v>
      </c>
      <c r="L4734" s="1" t="str">
        <f t="shared" si="2"/>
        <v>Oct</v>
      </c>
      <c r="M4734" s="1" t="str">
        <f t="shared" si="3"/>
        <v>Profit</v>
      </c>
    </row>
    <row r="4735" ht="14.25" customHeight="1">
      <c r="A4735" s="1" t="s">
        <v>4769</v>
      </c>
      <c r="B4735" s="2">
        <v>44267.0</v>
      </c>
      <c r="C4735" s="1" t="s">
        <v>20</v>
      </c>
      <c r="D4735" s="1" t="s">
        <v>27</v>
      </c>
      <c r="E4735" s="1" t="s">
        <v>28</v>
      </c>
      <c r="F4735" s="1">
        <v>133.37</v>
      </c>
      <c r="G4735" s="1">
        <v>205.63</v>
      </c>
      <c r="H4735" s="1">
        <v>9.0</v>
      </c>
      <c r="I4735" s="1" t="s">
        <v>23</v>
      </c>
      <c r="J4735" s="1" t="s">
        <v>24</v>
      </c>
      <c r="K4735" s="1">
        <f t="shared" si="1"/>
        <v>2021</v>
      </c>
      <c r="L4735" s="1" t="str">
        <f t="shared" si="2"/>
        <v>Mar</v>
      </c>
      <c r="M4735" s="1" t="str">
        <f t="shared" si="3"/>
        <v>Profit</v>
      </c>
    </row>
    <row r="4736" ht="14.25" customHeight="1">
      <c r="A4736" s="1" t="s">
        <v>4770</v>
      </c>
      <c r="B4736" s="2">
        <v>44787.0</v>
      </c>
      <c r="C4736" s="1" t="s">
        <v>20</v>
      </c>
      <c r="D4736" s="1" t="s">
        <v>21</v>
      </c>
      <c r="E4736" s="1" t="s">
        <v>22</v>
      </c>
      <c r="F4736" s="1">
        <v>382.83</v>
      </c>
      <c r="G4736" s="1">
        <v>-48.12</v>
      </c>
      <c r="H4736" s="1">
        <v>2.0</v>
      </c>
      <c r="I4736" s="1" t="s">
        <v>23</v>
      </c>
      <c r="J4736" s="1" t="s">
        <v>38</v>
      </c>
      <c r="K4736" s="1">
        <f t="shared" si="1"/>
        <v>2022</v>
      </c>
      <c r="L4736" s="1" t="str">
        <f t="shared" si="2"/>
        <v>Aug</v>
      </c>
      <c r="M4736" s="1" t="str">
        <f t="shared" si="3"/>
        <v>Loss</v>
      </c>
    </row>
    <row r="4737" ht="14.25" customHeight="1">
      <c r="A4737" s="1" t="s">
        <v>4771</v>
      </c>
      <c r="B4737" s="2">
        <v>45072.0</v>
      </c>
      <c r="C4737" s="1" t="s">
        <v>26</v>
      </c>
      <c r="D4737" s="1" t="s">
        <v>15</v>
      </c>
      <c r="E4737" s="1" t="s">
        <v>31</v>
      </c>
      <c r="F4737" s="1">
        <v>667.07</v>
      </c>
      <c r="G4737" s="1">
        <v>211.52</v>
      </c>
      <c r="H4737" s="1">
        <v>3.0</v>
      </c>
      <c r="I4737" s="1" t="s">
        <v>34</v>
      </c>
      <c r="J4737" s="1" t="s">
        <v>24</v>
      </c>
      <c r="K4737" s="1">
        <f t="shared" si="1"/>
        <v>2023</v>
      </c>
      <c r="L4737" s="1" t="str">
        <f t="shared" si="2"/>
        <v>May</v>
      </c>
      <c r="M4737" s="1" t="str">
        <f t="shared" si="3"/>
        <v>Profit</v>
      </c>
    </row>
    <row r="4738" ht="14.25" customHeight="1">
      <c r="A4738" s="1" t="s">
        <v>4772</v>
      </c>
      <c r="B4738" s="2">
        <v>44570.0</v>
      </c>
      <c r="C4738" s="1" t="s">
        <v>30</v>
      </c>
      <c r="D4738" s="1" t="s">
        <v>27</v>
      </c>
      <c r="E4738" s="1" t="s">
        <v>28</v>
      </c>
      <c r="F4738" s="1">
        <v>71.69</v>
      </c>
      <c r="G4738" s="1">
        <v>-109.31</v>
      </c>
      <c r="H4738" s="1">
        <v>7.0</v>
      </c>
      <c r="I4738" s="1" t="s">
        <v>17</v>
      </c>
      <c r="J4738" s="1" t="s">
        <v>18</v>
      </c>
      <c r="K4738" s="1">
        <f t="shared" si="1"/>
        <v>2022</v>
      </c>
      <c r="L4738" s="1" t="str">
        <f t="shared" si="2"/>
        <v>Jan</v>
      </c>
      <c r="M4738" s="1" t="str">
        <f t="shared" si="3"/>
        <v>Loss</v>
      </c>
    </row>
    <row r="4739" ht="14.25" customHeight="1">
      <c r="A4739" s="1" t="s">
        <v>4773</v>
      </c>
      <c r="B4739" s="2">
        <v>45082.0</v>
      </c>
      <c r="C4739" s="1" t="s">
        <v>14</v>
      </c>
      <c r="D4739" s="1" t="s">
        <v>21</v>
      </c>
      <c r="E4739" s="1" t="s">
        <v>37</v>
      </c>
      <c r="F4739" s="1">
        <v>610.4</v>
      </c>
      <c r="G4739" s="1">
        <v>232.62</v>
      </c>
      <c r="H4739" s="1">
        <v>10.0</v>
      </c>
      <c r="I4739" s="1" t="s">
        <v>17</v>
      </c>
      <c r="J4739" s="1" t="s">
        <v>38</v>
      </c>
      <c r="K4739" s="1">
        <f t="shared" si="1"/>
        <v>2023</v>
      </c>
      <c r="L4739" s="1" t="str">
        <f t="shared" si="2"/>
        <v>Jun</v>
      </c>
      <c r="M4739" s="1" t="str">
        <f t="shared" si="3"/>
        <v>Profit</v>
      </c>
    </row>
    <row r="4740" ht="14.25" customHeight="1">
      <c r="A4740" s="1" t="s">
        <v>4774</v>
      </c>
      <c r="B4740" s="2">
        <v>44506.0</v>
      </c>
      <c r="C4740" s="1" t="s">
        <v>26</v>
      </c>
      <c r="D4740" s="1" t="s">
        <v>21</v>
      </c>
      <c r="E4740" s="1" t="s">
        <v>22</v>
      </c>
      <c r="F4740" s="1">
        <v>59.73</v>
      </c>
      <c r="G4740" s="1">
        <v>76.88</v>
      </c>
      <c r="H4740" s="1">
        <v>4.0</v>
      </c>
      <c r="I4740" s="1" t="s">
        <v>23</v>
      </c>
      <c r="J4740" s="1" t="s">
        <v>35</v>
      </c>
      <c r="K4740" s="1">
        <f t="shared" si="1"/>
        <v>2021</v>
      </c>
      <c r="L4740" s="1" t="str">
        <f t="shared" si="2"/>
        <v>Nov</v>
      </c>
      <c r="M4740" s="1" t="str">
        <f t="shared" si="3"/>
        <v>Profit</v>
      </c>
    </row>
    <row r="4741" ht="14.25" customHeight="1">
      <c r="A4741" s="1" t="s">
        <v>4775</v>
      </c>
      <c r="B4741" s="2">
        <v>44815.0</v>
      </c>
      <c r="C4741" s="1" t="s">
        <v>14</v>
      </c>
      <c r="D4741" s="1" t="s">
        <v>15</v>
      </c>
      <c r="E4741" s="1" t="s">
        <v>16</v>
      </c>
      <c r="F4741" s="1">
        <v>826.66</v>
      </c>
      <c r="G4741" s="1">
        <v>-59.04</v>
      </c>
      <c r="H4741" s="1">
        <v>9.0</v>
      </c>
      <c r="I4741" s="1" t="s">
        <v>34</v>
      </c>
      <c r="J4741" s="1" t="s">
        <v>38</v>
      </c>
      <c r="K4741" s="1">
        <f t="shared" si="1"/>
        <v>2022</v>
      </c>
      <c r="L4741" s="1" t="str">
        <f t="shared" si="2"/>
        <v>Sep</v>
      </c>
      <c r="M4741" s="1" t="str">
        <f t="shared" si="3"/>
        <v>Loss</v>
      </c>
    </row>
    <row r="4742" ht="14.25" customHeight="1">
      <c r="A4742" s="1" t="s">
        <v>4776</v>
      </c>
      <c r="B4742" s="2">
        <v>44886.0</v>
      </c>
      <c r="C4742" s="1" t="s">
        <v>26</v>
      </c>
      <c r="D4742" s="1" t="s">
        <v>21</v>
      </c>
      <c r="E4742" s="1" t="s">
        <v>22</v>
      </c>
      <c r="F4742" s="1">
        <v>285.77</v>
      </c>
      <c r="G4742" s="1">
        <v>177.37</v>
      </c>
      <c r="H4742" s="1">
        <v>8.0</v>
      </c>
      <c r="I4742" s="1" t="s">
        <v>23</v>
      </c>
      <c r="J4742" s="1" t="s">
        <v>38</v>
      </c>
      <c r="K4742" s="1">
        <f t="shared" si="1"/>
        <v>2022</v>
      </c>
      <c r="L4742" s="1" t="str">
        <f t="shared" si="2"/>
        <v>Nov</v>
      </c>
      <c r="M4742" s="1" t="str">
        <f t="shared" si="3"/>
        <v>Profit</v>
      </c>
    </row>
    <row r="4743" ht="14.25" customHeight="1">
      <c r="A4743" s="1" t="s">
        <v>4777</v>
      </c>
      <c r="B4743" s="2">
        <v>45042.0</v>
      </c>
      <c r="C4743" s="1" t="s">
        <v>20</v>
      </c>
      <c r="D4743" s="1" t="s">
        <v>15</v>
      </c>
      <c r="E4743" s="1" t="s">
        <v>31</v>
      </c>
      <c r="F4743" s="1">
        <v>404.29</v>
      </c>
      <c r="G4743" s="1">
        <v>-31.91</v>
      </c>
      <c r="H4743" s="1">
        <v>10.0</v>
      </c>
      <c r="I4743" s="1" t="s">
        <v>17</v>
      </c>
      <c r="J4743" s="1" t="s">
        <v>35</v>
      </c>
      <c r="K4743" s="1">
        <f t="shared" si="1"/>
        <v>2023</v>
      </c>
      <c r="L4743" s="1" t="str">
        <f t="shared" si="2"/>
        <v>Apr</v>
      </c>
      <c r="M4743" s="1" t="str">
        <f t="shared" si="3"/>
        <v>Loss</v>
      </c>
    </row>
    <row r="4744" ht="14.25" customHeight="1">
      <c r="A4744" s="1" t="s">
        <v>4778</v>
      </c>
      <c r="B4744" s="2">
        <v>44973.0</v>
      </c>
      <c r="C4744" s="1" t="s">
        <v>30</v>
      </c>
      <c r="D4744" s="1" t="s">
        <v>21</v>
      </c>
      <c r="E4744" s="1" t="s">
        <v>76</v>
      </c>
      <c r="F4744" s="1">
        <v>880.93</v>
      </c>
      <c r="G4744" s="1">
        <v>22.5</v>
      </c>
      <c r="H4744" s="1">
        <v>10.0</v>
      </c>
      <c r="I4744" s="1" t="s">
        <v>34</v>
      </c>
      <c r="J4744" s="1" t="s">
        <v>24</v>
      </c>
      <c r="K4744" s="1">
        <f t="shared" si="1"/>
        <v>2023</v>
      </c>
      <c r="L4744" s="1" t="str">
        <f t="shared" si="2"/>
        <v>Feb</v>
      </c>
      <c r="M4744" s="1" t="str">
        <f t="shared" si="3"/>
        <v>Profit</v>
      </c>
    </row>
    <row r="4745" ht="14.25" customHeight="1">
      <c r="A4745" s="1" t="s">
        <v>4779</v>
      </c>
      <c r="B4745" s="2">
        <v>44604.0</v>
      </c>
      <c r="C4745" s="1" t="s">
        <v>20</v>
      </c>
      <c r="D4745" s="1" t="s">
        <v>21</v>
      </c>
      <c r="E4745" s="1" t="s">
        <v>37</v>
      </c>
      <c r="F4745" s="1">
        <v>886.06</v>
      </c>
      <c r="G4745" s="1">
        <v>291.25</v>
      </c>
      <c r="H4745" s="1">
        <v>1.0</v>
      </c>
      <c r="I4745" s="1" t="s">
        <v>34</v>
      </c>
      <c r="J4745" s="1" t="s">
        <v>24</v>
      </c>
      <c r="K4745" s="1">
        <f t="shared" si="1"/>
        <v>2022</v>
      </c>
      <c r="L4745" s="1" t="str">
        <f t="shared" si="2"/>
        <v>Feb</v>
      </c>
      <c r="M4745" s="1" t="str">
        <f t="shared" si="3"/>
        <v>Profit</v>
      </c>
    </row>
    <row r="4746" ht="14.25" customHeight="1">
      <c r="A4746" s="1" t="s">
        <v>4780</v>
      </c>
      <c r="B4746" s="2">
        <v>45016.0</v>
      </c>
      <c r="C4746" s="1" t="s">
        <v>20</v>
      </c>
      <c r="D4746" s="1" t="s">
        <v>15</v>
      </c>
      <c r="E4746" s="1" t="s">
        <v>54</v>
      </c>
      <c r="F4746" s="1">
        <v>211.45</v>
      </c>
      <c r="G4746" s="1">
        <v>-139.23</v>
      </c>
      <c r="H4746" s="1">
        <v>10.0</v>
      </c>
      <c r="I4746" s="1" t="s">
        <v>23</v>
      </c>
      <c r="J4746" s="1" t="s">
        <v>24</v>
      </c>
      <c r="K4746" s="1">
        <f t="shared" si="1"/>
        <v>2023</v>
      </c>
      <c r="L4746" s="1" t="str">
        <f t="shared" si="2"/>
        <v>Mar</v>
      </c>
      <c r="M4746" s="1" t="str">
        <f t="shared" si="3"/>
        <v>Loss</v>
      </c>
    </row>
    <row r="4747" ht="14.25" customHeight="1">
      <c r="A4747" s="1" t="s">
        <v>4781</v>
      </c>
      <c r="B4747" s="2">
        <v>45189.0</v>
      </c>
      <c r="C4747" s="1" t="s">
        <v>14</v>
      </c>
      <c r="D4747" s="1" t="s">
        <v>27</v>
      </c>
      <c r="E4747" s="1" t="s">
        <v>28</v>
      </c>
      <c r="F4747" s="1">
        <v>888.74</v>
      </c>
      <c r="G4747" s="1">
        <v>18.43</v>
      </c>
      <c r="H4747" s="1">
        <v>8.0</v>
      </c>
      <c r="I4747" s="1" t="s">
        <v>17</v>
      </c>
      <c r="J4747" s="1" t="s">
        <v>18</v>
      </c>
      <c r="K4747" s="1">
        <f t="shared" si="1"/>
        <v>2023</v>
      </c>
      <c r="L4747" s="1" t="str">
        <f t="shared" si="2"/>
        <v>Sep</v>
      </c>
      <c r="M4747" s="1" t="str">
        <f t="shared" si="3"/>
        <v>Profit</v>
      </c>
    </row>
    <row r="4748" ht="14.25" customHeight="1">
      <c r="A4748" s="1" t="s">
        <v>4782</v>
      </c>
      <c r="B4748" s="2">
        <v>44656.0</v>
      </c>
      <c r="C4748" s="1" t="s">
        <v>30</v>
      </c>
      <c r="D4748" s="1" t="s">
        <v>15</v>
      </c>
      <c r="E4748" s="1" t="s">
        <v>16</v>
      </c>
      <c r="F4748" s="1">
        <v>644.42</v>
      </c>
      <c r="G4748" s="1">
        <v>163.47</v>
      </c>
      <c r="H4748" s="1">
        <v>9.0</v>
      </c>
      <c r="I4748" s="1" t="s">
        <v>23</v>
      </c>
      <c r="J4748" s="1" t="s">
        <v>24</v>
      </c>
      <c r="K4748" s="1">
        <f t="shared" si="1"/>
        <v>2022</v>
      </c>
      <c r="L4748" s="1" t="str">
        <f t="shared" si="2"/>
        <v>Apr</v>
      </c>
      <c r="M4748" s="1" t="str">
        <f t="shared" si="3"/>
        <v>Profit</v>
      </c>
    </row>
    <row r="4749" ht="14.25" customHeight="1">
      <c r="A4749" s="1" t="s">
        <v>4783</v>
      </c>
      <c r="B4749" s="2">
        <v>44955.0</v>
      </c>
      <c r="C4749" s="1" t="s">
        <v>20</v>
      </c>
      <c r="D4749" s="1" t="s">
        <v>15</v>
      </c>
      <c r="E4749" s="1" t="s">
        <v>54</v>
      </c>
      <c r="F4749" s="1">
        <v>479.77</v>
      </c>
      <c r="G4749" s="1">
        <v>-188.88</v>
      </c>
      <c r="H4749" s="1">
        <v>3.0</v>
      </c>
      <c r="I4749" s="1" t="s">
        <v>17</v>
      </c>
      <c r="J4749" s="1" t="s">
        <v>35</v>
      </c>
      <c r="K4749" s="1">
        <f t="shared" si="1"/>
        <v>2023</v>
      </c>
      <c r="L4749" s="1" t="str">
        <f t="shared" si="2"/>
        <v>Jan</v>
      </c>
      <c r="M4749" s="1" t="str">
        <f t="shared" si="3"/>
        <v>Loss</v>
      </c>
    </row>
    <row r="4750" ht="14.25" customHeight="1">
      <c r="A4750" s="1" t="s">
        <v>4784</v>
      </c>
      <c r="B4750" s="2">
        <v>45010.0</v>
      </c>
      <c r="C4750" s="1" t="s">
        <v>30</v>
      </c>
      <c r="D4750" s="1" t="s">
        <v>15</v>
      </c>
      <c r="E4750" s="1" t="s">
        <v>16</v>
      </c>
      <c r="F4750" s="1">
        <v>826.5</v>
      </c>
      <c r="G4750" s="1">
        <v>289.38</v>
      </c>
      <c r="H4750" s="1">
        <v>9.0</v>
      </c>
      <c r="I4750" s="1" t="s">
        <v>23</v>
      </c>
      <c r="J4750" s="1" t="s">
        <v>18</v>
      </c>
      <c r="K4750" s="1">
        <f t="shared" si="1"/>
        <v>2023</v>
      </c>
      <c r="L4750" s="1" t="str">
        <f t="shared" si="2"/>
        <v>Mar</v>
      </c>
      <c r="M4750" s="1" t="str">
        <f t="shared" si="3"/>
        <v>Profit</v>
      </c>
    </row>
    <row r="4751" ht="14.25" customHeight="1">
      <c r="A4751" s="1" t="s">
        <v>4785</v>
      </c>
      <c r="B4751" s="2">
        <v>44806.0</v>
      </c>
      <c r="C4751" s="1" t="s">
        <v>14</v>
      </c>
      <c r="D4751" s="1" t="s">
        <v>21</v>
      </c>
      <c r="E4751" s="1" t="s">
        <v>76</v>
      </c>
      <c r="F4751" s="1">
        <v>580.49</v>
      </c>
      <c r="G4751" s="1">
        <v>-192.1</v>
      </c>
      <c r="H4751" s="1">
        <v>3.0</v>
      </c>
      <c r="I4751" s="1" t="s">
        <v>23</v>
      </c>
      <c r="J4751" s="1" t="s">
        <v>38</v>
      </c>
      <c r="K4751" s="1">
        <f t="shared" si="1"/>
        <v>2022</v>
      </c>
      <c r="L4751" s="1" t="str">
        <f t="shared" si="2"/>
        <v>Sep</v>
      </c>
      <c r="M4751" s="1" t="str">
        <f t="shared" si="3"/>
        <v>Loss</v>
      </c>
    </row>
    <row r="4752" ht="14.25" customHeight="1">
      <c r="A4752" s="1" t="s">
        <v>4786</v>
      </c>
      <c r="B4752" s="2">
        <v>44784.0</v>
      </c>
      <c r="C4752" s="1" t="s">
        <v>26</v>
      </c>
      <c r="D4752" s="1" t="s">
        <v>21</v>
      </c>
      <c r="E4752" s="1" t="s">
        <v>22</v>
      </c>
      <c r="F4752" s="1">
        <v>452.1</v>
      </c>
      <c r="G4752" s="1">
        <v>-120.91</v>
      </c>
      <c r="H4752" s="1">
        <v>3.0</v>
      </c>
      <c r="I4752" s="1" t="s">
        <v>34</v>
      </c>
      <c r="J4752" s="1" t="s">
        <v>38</v>
      </c>
      <c r="K4752" s="1">
        <f t="shared" si="1"/>
        <v>2022</v>
      </c>
      <c r="L4752" s="1" t="str">
        <f t="shared" si="2"/>
        <v>Aug</v>
      </c>
      <c r="M4752" s="1" t="str">
        <f t="shared" si="3"/>
        <v>Loss</v>
      </c>
    </row>
    <row r="4753" ht="14.25" customHeight="1">
      <c r="A4753" s="1" t="s">
        <v>4787</v>
      </c>
      <c r="B4753" s="2">
        <v>45195.0</v>
      </c>
      <c r="C4753" s="1" t="s">
        <v>20</v>
      </c>
      <c r="D4753" s="1" t="s">
        <v>15</v>
      </c>
      <c r="E4753" s="1" t="s">
        <v>54</v>
      </c>
      <c r="F4753" s="1">
        <v>844.54</v>
      </c>
      <c r="G4753" s="1">
        <v>-166.07</v>
      </c>
      <c r="H4753" s="1">
        <v>4.0</v>
      </c>
      <c r="I4753" s="1" t="s">
        <v>34</v>
      </c>
      <c r="J4753" s="1" t="s">
        <v>38</v>
      </c>
      <c r="K4753" s="1">
        <f t="shared" si="1"/>
        <v>2023</v>
      </c>
      <c r="L4753" s="1" t="str">
        <f t="shared" si="2"/>
        <v>Sep</v>
      </c>
      <c r="M4753" s="1" t="str">
        <f t="shared" si="3"/>
        <v>Loss</v>
      </c>
    </row>
    <row r="4754" ht="14.25" customHeight="1">
      <c r="A4754" s="1" t="s">
        <v>4788</v>
      </c>
      <c r="B4754" s="2">
        <v>44674.0</v>
      </c>
      <c r="C4754" s="1" t="s">
        <v>20</v>
      </c>
      <c r="D4754" s="1" t="s">
        <v>21</v>
      </c>
      <c r="E4754" s="1" t="s">
        <v>37</v>
      </c>
      <c r="F4754" s="1">
        <v>874.15</v>
      </c>
      <c r="G4754" s="1">
        <v>287.93</v>
      </c>
      <c r="H4754" s="1">
        <v>2.0</v>
      </c>
      <c r="I4754" s="1" t="s">
        <v>34</v>
      </c>
      <c r="J4754" s="1" t="s">
        <v>35</v>
      </c>
      <c r="K4754" s="1">
        <f t="shared" si="1"/>
        <v>2022</v>
      </c>
      <c r="L4754" s="1" t="str">
        <f t="shared" si="2"/>
        <v>Apr</v>
      </c>
      <c r="M4754" s="1" t="str">
        <f t="shared" si="3"/>
        <v>Profit</v>
      </c>
    </row>
    <row r="4755" ht="14.25" customHeight="1">
      <c r="A4755" s="1" t="s">
        <v>4789</v>
      </c>
      <c r="B4755" s="2">
        <v>44878.0</v>
      </c>
      <c r="C4755" s="1" t="s">
        <v>20</v>
      </c>
      <c r="D4755" s="1" t="s">
        <v>21</v>
      </c>
      <c r="E4755" s="1" t="s">
        <v>22</v>
      </c>
      <c r="F4755" s="1">
        <v>994.22</v>
      </c>
      <c r="G4755" s="1">
        <v>-195.76</v>
      </c>
      <c r="H4755" s="1">
        <v>10.0</v>
      </c>
      <c r="I4755" s="1" t="s">
        <v>34</v>
      </c>
      <c r="J4755" s="1" t="s">
        <v>18</v>
      </c>
      <c r="K4755" s="1">
        <f t="shared" si="1"/>
        <v>2022</v>
      </c>
      <c r="L4755" s="1" t="str">
        <f t="shared" si="2"/>
        <v>Nov</v>
      </c>
      <c r="M4755" s="1" t="str">
        <f t="shared" si="3"/>
        <v>Loss</v>
      </c>
    </row>
    <row r="4756" ht="14.25" customHeight="1">
      <c r="A4756" s="1" t="s">
        <v>4790</v>
      </c>
      <c r="B4756" s="2">
        <v>44593.0</v>
      </c>
      <c r="C4756" s="1" t="s">
        <v>30</v>
      </c>
      <c r="D4756" s="1" t="s">
        <v>21</v>
      </c>
      <c r="E4756" s="1" t="s">
        <v>22</v>
      </c>
      <c r="F4756" s="1">
        <v>244.9</v>
      </c>
      <c r="G4756" s="1">
        <v>-199.67</v>
      </c>
      <c r="H4756" s="1">
        <v>2.0</v>
      </c>
      <c r="I4756" s="1" t="s">
        <v>34</v>
      </c>
      <c r="J4756" s="1" t="s">
        <v>35</v>
      </c>
      <c r="K4756" s="1">
        <f t="shared" si="1"/>
        <v>2022</v>
      </c>
      <c r="L4756" s="1" t="str">
        <f t="shared" si="2"/>
        <v>Feb</v>
      </c>
      <c r="M4756" s="1" t="str">
        <f t="shared" si="3"/>
        <v>Loss</v>
      </c>
    </row>
    <row r="4757" ht="14.25" customHeight="1">
      <c r="A4757" s="1" t="s">
        <v>4791</v>
      </c>
      <c r="B4757" s="2">
        <v>44372.0</v>
      </c>
      <c r="C4757" s="1" t="s">
        <v>20</v>
      </c>
      <c r="D4757" s="1" t="s">
        <v>15</v>
      </c>
      <c r="E4757" s="1" t="s">
        <v>54</v>
      </c>
      <c r="F4757" s="1">
        <v>38.46</v>
      </c>
      <c r="G4757" s="1">
        <v>-84.82</v>
      </c>
      <c r="H4757" s="1">
        <v>8.0</v>
      </c>
      <c r="I4757" s="1" t="s">
        <v>34</v>
      </c>
      <c r="J4757" s="1" t="s">
        <v>18</v>
      </c>
      <c r="K4757" s="1">
        <f t="shared" si="1"/>
        <v>2021</v>
      </c>
      <c r="L4757" s="1" t="str">
        <f t="shared" si="2"/>
        <v>Jun</v>
      </c>
      <c r="M4757" s="1" t="str">
        <f t="shared" si="3"/>
        <v>Loss</v>
      </c>
    </row>
    <row r="4758" ht="14.25" customHeight="1">
      <c r="A4758" s="1" t="s">
        <v>4792</v>
      </c>
      <c r="B4758" s="2">
        <v>44386.0</v>
      </c>
      <c r="C4758" s="1" t="s">
        <v>26</v>
      </c>
      <c r="D4758" s="1" t="s">
        <v>21</v>
      </c>
      <c r="E4758" s="1" t="s">
        <v>76</v>
      </c>
      <c r="F4758" s="1">
        <v>321.37</v>
      </c>
      <c r="G4758" s="1">
        <v>29.45</v>
      </c>
      <c r="H4758" s="1">
        <v>4.0</v>
      </c>
      <c r="I4758" s="1" t="s">
        <v>23</v>
      </c>
      <c r="J4758" s="1" t="s">
        <v>38</v>
      </c>
      <c r="K4758" s="1">
        <f t="shared" si="1"/>
        <v>2021</v>
      </c>
      <c r="L4758" s="1" t="str">
        <f t="shared" si="2"/>
        <v>Jul</v>
      </c>
      <c r="M4758" s="1" t="str">
        <f t="shared" si="3"/>
        <v>Profit</v>
      </c>
    </row>
    <row r="4759" ht="14.25" customHeight="1">
      <c r="A4759" s="1" t="s">
        <v>4793</v>
      </c>
      <c r="B4759" s="2">
        <v>44817.0</v>
      </c>
      <c r="C4759" s="1" t="s">
        <v>14</v>
      </c>
      <c r="D4759" s="1" t="s">
        <v>21</v>
      </c>
      <c r="E4759" s="1" t="s">
        <v>22</v>
      </c>
      <c r="F4759" s="1">
        <v>748.56</v>
      </c>
      <c r="G4759" s="1">
        <v>230.44</v>
      </c>
      <c r="H4759" s="1">
        <v>2.0</v>
      </c>
      <c r="I4759" s="1" t="s">
        <v>17</v>
      </c>
      <c r="J4759" s="1" t="s">
        <v>24</v>
      </c>
      <c r="K4759" s="1">
        <f t="shared" si="1"/>
        <v>2022</v>
      </c>
      <c r="L4759" s="1" t="str">
        <f t="shared" si="2"/>
        <v>Sep</v>
      </c>
      <c r="M4759" s="1" t="str">
        <f t="shared" si="3"/>
        <v>Profit</v>
      </c>
    </row>
    <row r="4760" ht="14.25" customHeight="1">
      <c r="A4760" s="1" t="s">
        <v>4794</v>
      </c>
      <c r="B4760" s="2">
        <v>44687.0</v>
      </c>
      <c r="C4760" s="1" t="s">
        <v>20</v>
      </c>
      <c r="D4760" s="1" t="s">
        <v>21</v>
      </c>
      <c r="E4760" s="1" t="s">
        <v>76</v>
      </c>
      <c r="F4760" s="1">
        <v>832.77</v>
      </c>
      <c r="G4760" s="1">
        <v>-19.72</v>
      </c>
      <c r="H4760" s="1">
        <v>2.0</v>
      </c>
      <c r="I4760" s="1" t="s">
        <v>17</v>
      </c>
      <c r="J4760" s="1" t="s">
        <v>24</v>
      </c>
      <c r="K4760" s="1">
        <f t="shared" si="1"/>
        <v>2022</v>
      </c>
      <c r="L4760" s="1" t="str">
        <f t="shared" si="2"/>
        <v>May</v>
      </c>
      <c r="M4760" s="1" t="str">
        <f t="shared" si="3"/>
        <v>Loss</v>
      </c>
    </row>
    <row r="4761" ht="14.25" customHeight="1">
      <c r="A4761" s="1" t="s">
        <v>4795</v>
      </c>
      <c r="B4761" s="2">
        <v>44294.0</v>
      </c>
      <c r="C4761" s="1" t="s">
        <v>20</v>
      </c>
      <c r="D4761" s="1" t="s">
        <v>27</v>
      </c>
      <c r="E4761" s="1" t="s">
        <v>33</v>
      </c>
      <c r="F4761" s="1">
        <v>889.29</v>
      </c>
      <c r="G4761" s="1">
        <v>-78.72</v>
      </c>
      <c r="H4761" s="1">
        <v>6.0</v>
      </c>
      <c r="I4761" s="1" t="s">
        <v>23</v>
      </c>
      <c r="J4761" s="1" t="s">
        <v>24</v>
      </c>
      <c r="K4761" s="1">
        <f t="shared" si="1"/>
        <v>2021</v>
      </c>
      <c r="L4761" s="1" t="str">
        <f t="shared" si="2"/>
        <v>Apr</v>
      </c>
      <c r="M4761" s="1" t="str">
        <f t="shared" si="3"/>
        <v>Loss</v>
      </c>
    </row>
    <row r="4762" ht="14.25" customHeight="1">
      <c r="A4762" s="1" t="s">
        <v>4796</v>
      </c>
      <c r="B4762" s="2">
        <v>45054.0</v>
      </c>
      <c r="C4762" s="1" t="s">
        <v>14</v>
      </c>
      <c r="D4762" s="1" t="s">
        <v>27</v>
      </c>
      <c r="E4762" s="1" t="s">
        <v>33</v>
      </c>
      <c r="F4762" s="1">
        <v>390.78</v>
      </c>
      <c r="G4762" s="1">
        <v>255.84</v>
      </c>
      <c r="H4762" s="1">
        <v>7.0</v>
      </c>
      <c r="I4762" s="1" t="s">
        <v>17</v>
      </c>
      <c r="J4762" s="1" t="s">
        <v>18</v>
      </c>
      <c r="K4762" s="1">
        <f t="shared" si="1"/>
        <v>2023</v>
      </c>
      <c r="L4762" s="1" t="str">
        <f t="shared" si="2"/>
        <v>May</v>
      </c>
      <c r="M4762" s="1" t="str">
        <f t="shared" si="3"/>
        <v>Profit</v>
      </c>
    </row>
    <row r="4763" ht="14.25" customHeight="1">
      <c r="A4763" s="1" t="s">
        <v>4797</v>
      </c>
      <c r="B4763" s="2">
        <v>44545.0</v>
      </c>
      <c r="C4763" s="1" t="s">
        <v>30</v>
      </c>
      <c r="D4763" s="1" t="s">
        <v>27</v>
      </c>
      <c r="E4763" s="1" t="s">
        <v>28</v>
      </c>
      <c r="F4763" s="1">
        <v>874.36</v>
      </c>
      <c r="G4763" s="1">
        <v>-88.12</v>
      </c>
      <c r="H4763" s="1">
        <v>7.0</v>
      </c>
      <c r="I4763" s="1" t="s">
        <v>34</v>
      </c>
      <c r="J4763" s="1" t="s">
        <v>24</v>
      </c>
      <c r="K4763" s="1">
        <f t="shared" si="1"/>
        <v>2021</v>
      </c>
      <c r="L4763" s="1" t="str">
        <f t="shared" si="2"/>
        <v>Dec</v>
      </c>
      <c r="M4763" s="1" t="str">
        <f t="shared" si="3"/>
        <v>Loss</v>
      </c>
    </row>
    <row r="4764" ht="14.25" customHeight="1">
      <c r="A4764" s="1" t="s">
        <v>4798</v>
      </c>
      <c r="B4764" s="2">
        <v>45154.0</v>
      </c>
      <c r="C4764" s="1" t="s">
        <v>20</v>
      </c>
      <c r="D4764" s="1" t="s">
        <v>21</v>
      </c>
      <c r="E4764" s="1" t="s">
        <v>22</v>
      </c>
      <c r="F4764" s="1">
        <v>187.05</v>
      </c>
      <c r="G4764" s="1">
        <v>274.66</v>
      </c>
      <c r="H4764" s="1">
        <v>2.0</v>
      </c>
      <c r="I4764" s="1" t="s">
        <v>34</v>
      </c>
      <c r="J4764" s="1" t="s">
        <v>35</v>
      </c>
      <c r="K4764" s="1">
        <f t="shared" si="1"/>
        <v>2023</v>
      </c>
      <c r="L4764" s="1" t="str">
        <f t="shared" si="2"/>
        <v>Aug</v>
      </c>
      <c r="M4764" s="1" t="str">
        <f t="shared" si="3"/>
        <v>Profit</v>
      </c>
    </row>
    <row r="4765" ht="14.25" customHeight="1">
      <c r="A4765" s="1" t="s">
        <v>4799</v>
      </c>
      <c r="B4765" s="2">
        <v>45003.0</v>
      </c>
      <c r="C4765" s="1" t="s">
        <v>26</v>
      </c>
      <c r="D4765" s="1" t="s">
        <v>21</v>
      </c>
      <c r="E4765" s="1" t="s">
        <v>22</v>
      </c>
      <c r="F4765" s="1">
        <v>290.85</v>
      </c>
      <c r="G4765" s="1">
        <v>61.26</v>
      </c>
      <c r="H4765" s="1">
        <v>6.0</v>
      </c>
      <c r="I4765" s="1" t="s">
        <v>23</v>
      </c>
      <c r="J4765" s="1" t="s">
        <v>38</v>
      </c>
      <c r="K4765" s="1">
        <f t="shared" si="1"/>
        <v>2023</v>
      </c>
      <c r="L4765" s="1" t="str">
        <f t="shared" si="2"/>
        <v>Mar</v>
      </c>
      <c r="M4765" s="1" t="str">
        <f t="shared" si="3"/>
        <v>Profit</v>
      </c>
    </row>
    <row r="4766" ht="14.25" customHeight="1">
      <c r="A4766" s="1" t="s">
        <v>4800</v>
      </c>
      <c r="B4766" s="2">
        <v>44770.0</v>
      </c>
      <c r="C4766" s="1" t="s">
        <v>14</v>
      </c>
      <c r="D4766" s="1" t="s">
        <v>15</v>
      </c>
      <c r="E4766" s="1" t="s">
        <v>16</v>
      </c>
      <c r="F4766" s="1">
        <v>850.24</v>
      </c>
      <c r="G4766" s="1">
        <v>-169.68</v>
      </c>
      <c r="H4766" s="1">
        <v>2.0</v>
      </c>
      <c r="I4766" s="1" t="s">
        <v>17</v>
      </c>
      <c r="J4766" s="1" t="s">
        <v>35</v>
      </c>
      <c r="K4766" s="1">
        <f t="shared" si="1"/>
        <v>2022</v>
      </c>
      <c r="L4766" s="1" t="str">
        <f t="shared" si="2"/>
        <v>Jul</v>
      </c>
      <c r="M4766" s="1" t="str">
        <f t="shared" si="3"/>
        <v>Loss</v>
      </c>
    </row>
    <row r="4767" ht="14.25" customHeight="1">
      <c r="A4767" s="1" t="s">
        <v>4801</v>
      </c>
      <c r="B4767" s="2">
        <v>45019.0</v>
      </c>
      <c r="C4767" s="1" t="s">
        <v>20</v>
      </c>
      <c r="D4767" s="1" t="s">
        <v>15</v>
      </c>
      <c r="E4767" s="1" t="s">
        <v>16</v>
      </c>
      <c r="F4767" s="1">
        <v>486.33</v>
      </c>
      <c r="G4767" s="1">
        <v>-105.15</v>
      </c>
      <c r="H4767" s="1">
        <v>4.0</v>
      </c>
      <c r="I4767" s="1" t="s">
        <v>23</v>
      </c>
      <c r="J4767" s="1" t="s">
        <v>35</v>
      </c>
      <c r="K4767" s="1">
        <f t="shared" si="1"/>
        <v>2023</v>
      </c>
      <c r="L4767" s="1" t="str">
        <f t="shared" si="2"/>
        <v>Apr</v>
      </c>
      <c r="M4767" s="1" t="str">
        <f t="shared" si="3"/>
        <v>Loss</v>
      </c>
    </row>
    <row r="4768" ht="14.25" customHeight="1">
      <c r="A4768" s="1" t="s">
        <v>4802</v>
      </c>
      <c r="B4768" s="2">
        <v>44294.0</v>
      </c>
      <c r="C4768" s="1" t="s">
        <v>20</v>
      </c>
      <c r="D4768" s="1" t="s">
        <v>15</v>
      </c>
      <c r="E4768" s="1" t="s">
        <v>54</v>
      </c>
      <c r="F4768" s="1">
        <v>577.62</v>
      </c>
      <c r="G4768" s="1">
        <v>-169.07</v>
      </c>
      <c r="H4768" s="1">
        <v>4.0</v>
      </c>
      <c r="I4768" s="1" t="s">
        <v>34</v>
      </c>
      <c r="J4768" s="1" t="s">
        <v>35</v>
      </c>
      <c r="K4768" s="1">
        <f t="shared" si="1"/>
        <v>2021</v>
      </c>
      <c r="L4768" s="1" t="str">
        <f t="shared" si="2"/>
        <v>Apr</v>
      </c>
      <c r="M4768" s="1" t="str">
        <f t="shared" si="3"/>
        <v>Loss</v>
      </c>
    </row>
    <row r="4769" ht="14.25" customHeight="1">
      <c r="A4769" s="1" t="s">
        <v>4803</v>
      </c>
      <c r="B4769" s="2">
        <v>44350.0</v>
      </c>
      <c r="C4769" s="1" t="s">
        <v>30</v>
      </c>
      <c r="D4769" s="1" t="s">
        <v>27</v>
      </c>
      <c r="E4769" s="1" t="s">
        <v>28</v>
      </c>
      <c r="F4769" s="1">
        <v>650.01</v>
      </c>
      <c r="G4769" s="1">
        <v>15.3</v>
      </c>
      <c r="H4769" s="1">
        <v>6.0</v>
      </c>
      <c r="I4769" s="1" t="s">
        <v>34</v>
      </c>
      <c r="J4769" s="1" t="s">
        <v>18</v>
      </c>
      <c r="K4769" s="1">
        <f t="shared" si="1"/>
        <v>2021</v>
      </c>
      <c r="L4769" s="1" t="str">
        <f t="shared" si="2"/>
        <v>Jun</v>
      </c>
      <c r="M4769" s="1" t="str">
        <f t="shared" si="3"/>
        <v>Profit</v>
      </c>
    </row>
    <row r="4770" ht="14.25" customHeight="1">
      <c r="A4770" s="1" t="s">
        <v>4804</v>
      </c>
      <c r="B4770" s="2">
        <v>44603.0</v>
      </c>
      <c r="C4770" s="1" t="s">
        <v>30</v>
      </c>
      <c r="D4770" s="1" t="s">
        <v>27</v>
      </c>
      <c r="E4770" s="1" t="s">
        <v>33</v>
      </c>
      <c r="F4770" s="1">
        <v>203.58</v>
      </c>
      <c r="G4770" s="1">
        <v>-71.63</v>
      </c>
      <c r="H4770" s="1">
        <v>7.0</v>
      </c>
      <c r="I4770" s="1" t="s">
        <v>17</v>
      </c>
      <c r="J4770" s="1" t="s">
        <v>38</v>
      </c>
      <c r="K4770" s="1">
        <f t="shared" si="1"/>
        <v>2022</v>
      </c>
      <c r="L4770" s="1" t="str">
        <f t="shared" si="2"/>
        <v>Feb</v>
      </c>
      <c r="M4770" s="1" t="str">
        <f t="shared" si="3"/>
        <v>Loss</v>
      </c>
    </row>
    <row r="4771" ht="14.25" customHeight="1">
      <c r="A4771" s="1" t="s">
        <v>4805</v>
      </c>
      <c r="B4771" s="2">
        <v>44659.0</v>
      </c>
      <c r="C4771" s="1" t="s">
        <v>14</v>
      </c>
      <c r="D4771" s="1" t="s">
        <v>27</v>
      </c>
      <c r="E4771" s="1" t="s">
        <v>28</v>
      </c>
      <c r="F4771" s="1">
        <v>958.35</v>
      </c>
      <c r="G4771" s="1">
        <v>51.96</v>
      </c>
      <c r="H4771" s="1">
        <v>4.0</v>
      </c>
      <c r="I4771" s="1" t="s">
        <v>34</v>
      </c>
      <c r="J4771" s="1" t="s">
        <v>38</v>
      </c>
      <c r="K4771" s="1">
        <f t="shared" si="1"/>
        <v>2022</v>
      </c>
      <c r="L4771" s="1" t="str">
        <f t="shared" si="2"/>
        <v>Apr</v>
      </c>
      <c r="M4771" s="1" t="str">
        <f t="shared" si="3"/>
        <v>Profit</v>
      </c>
    </row>
    <row r="4772" ht="14.25" customHeight="1">
      <c r="A4772" s="1" t="s">
        <v>4806</v>
      </c>
      <c r="B4772" s="2">
        <v>44505.0</v>
      </c>
      <c r="C4772" s="1" t="s">
        <v>20</v>
      </c>
      <c r="D4772" s="1" t="s">
        <v>27</v>
      </c>
      <c r="E4772" s="1" t="s">
        <v>33</v>
      </c>
      <c r="F4772" s="1">
        <v>180.6</v>
      </c>
      <c r="G4772" s="1">
        <v>20.29</v>
      </c>
      <c r="H4772" s="1">
        <v>4.0</v>
      </c>
      <c r="I4772" s="1" t="s">
        <v>34</v>
      </c>
      <c r="J4772" s="1" t="s">
        <v>24</v>
      </c>
      <c r="K4772" s="1">
        <f t="shared" si="1"/>
        <v>2021</v>
      </c>
      <c r="L4772" s="1" t="str">
        <f t="shared" si="2"/>
        <v>Nov</v>
      </c>
      <c r="M4772" s="1" t="str">
        <f t="shared" si="3"/>
        <v>Profit</v>
      </c>
    </row>
    <row r="4773" ht="14.25" customHeight="1">
      <c r="A4773" s="1" t="s">
        <v>4807</v>
      </c>
      <c r="B4773" s="2">
        <v>44514.0</v>
      </c>
      <c r="C4773" s="1" t="s">
        <v>20</v>
      </c>
      <c r="D4773" s="1" t="s">
        <v>15</v>
      </c>
      <c r="E4773" s="1" t="s">
        <v>16</v>
      </c>
      <c r="F4773" s="1">
        <v>672.13</v>
      </c>
      <c r="G4773" s="1">
        <v>171.67</v>
      </c>
      <c r="H4773" s="1">
        <v>10.0</v>
      </c>
      <c r="I4773" s="1" t="s">
        <v>34</v>
      </c>
      <c r="J4773" s="1" t="s">
        <v>18</v>
      </c>
      <c r="K4773" s="1">
        <f t="shared" si="1"/>
        <v>2021</v>
      </c>
      <c r="L4773" s="1" t="str">
        <f t="shared" si="2"/>
        <v>Nov</v>
      </c>
      <c r="M4773" s="1" t="str">
        <f t="shared" si="3"/>
        <v>Profit</v>
      </c>
    </row>
    <row r="4774" ht="14.25" customHeight="1">
      <c r="A4774" s="1" t="s">
        <v>4808</v>
      </c>
      <c r="B4774" s="2">
        <v>44778.0</v>
      </c>
      <c r="C4774" s="1" t="s">
        <v>14</v>
      </c>
      <c r="D4774" s="1" t="s">
        <v>27</v>
      </c>
      <c r="E4774" s="1" t="s">
        <v>28</v>
      </c>
      <c r="F4774" s="1">
        <v>350.02</v>
      </c>
      <c r="G4774" s="1">
        <v>-63.39</v>
      </c>
      <c r="H4774" s="1">
        <v>8.0</v>
      </c>
      <c r="I4774" s="1" t="s">
        <v>34</v>
      </c>
      <c r="J4774" s="1" t="s">
        <v>24</v>
      </c>
      <c r="K4774" s="1">
        <f t="shared" si="1"/>
        <v>2022</v>
      </c>
      <c r="L4774" s="1" t="str">
        <f t="shared" si="2"/>
        <v>Aug</v>
      </c>
      <c r="M4774" s="1" t="str">
        <f t="shared" si="3"/>
        <v>Loss</v>
      </c>
    </row>
    <row r="4775" ht="14.25" customHeight="1">
      <c r="A4775" s="1" t="s">
        <v>4809</v>
      </c>
      <c r="B4775" s="2">
        <v>44512.0</v>
      </c>
      <c r="C4775" s="1" t="s">
        <v>26</v>
      </c>
      <c r="D4775" s="1" t="s">
        <v>27</v>
      </c>
      <c r="E4775" s="1" t="s">
        <v>40</v>
      </c>
      <c r="F4775" s="1">
        <v>845.64</v>
      </c>
      <c r="G4775" s="1">
        <v>-13.8</v>
      </c>
      <c r="H4775" s="1">
        <v>8.0</v>
      </c>
      <c r="I4775" s="1" t="s">
        <v>34</v>
      </c>
      <c r="J4775" s="1" t="s">
        <v>38</v>
      </c>
      <c r="K4775" s="1">
        <f t="shared" si="1"/>
        <v>2021</v>
      </c>
      <c r="L4775" s="1" t="str">
        <f t="shared" si="2"/>
        <v>Nov</v>
      </c>
      <c r="M4775" s="1" t="str">
        <f t="shared" si="3"/>
        <v>Loss</v>
      </c>
    </row>
    <row r="4776" ht="14.25" customHeight="1">
      <c r="A4776" s="1" t="s">
        <v>4810</v>
      </c>
      <c r="B4776" s="2">
        <v>44310.0</v>
      </c>
      <c r="C4776" s="1" t="s">
        <v>20</v>
      </c>
      <c r="D4776" s="1" t="s">
        <v>21</v>
      </c>
      <c r="E4776" s="1" t="s">
        <v>22</v>
      </c>
      <c r="F4776" s="1">
        <v>203.89</v>
      </c>
      <c r="G4776" s="1">
        <v>290.1</v>
      </c>
      <c r="H4776" s="1">
        <v>1.0</v>
      </c>
      <c r="I4776" s="1" t="s">
        <v>23</v>
      </c>
      <c r="J4776" s="1" t="s">
        <v>24</v>
      </c>
      <c r="K4776" s="1">
        <f t="shared" si="1"/>
        <v>2021</v>
      </c>
      <c r="L4776" s="1" t="str">
        <f t="shared" si="2"/>
        <v>Apr</v>
      </c>
      <c r="M4776" s="1" t="str">
        <f t="shared" si="3"/>
        <v>Profit</v>
      </c>
    </row>
    <row r="4777" ht="14.25" customHeight="1">
      <c r="A4777" s="1" t="s">
        <v>4811</v>
      </c>
      <c r="B4777" s="2">
        <v>45228.0</v>
      </c>
      <c r="C4777" s="1" t="s">
        <v>20</v>
      </c>
      <c r="D4777" s="1" t="s">
        <v>27</v>
      </c>
      <c r="E4777" s="1" t="s">
        <v>40</v>
      </c>
      <c r="F4777" s="1">
        <v>473.66</v>
      </c>
      <c r="G4777" s="1">
        <v>77.77</v>
      </c>
      <c r="H4777" s="1">
        <v>2.0</v>
      </c>
      <c r="I4777" s="1" t="s">
        <v>17</v>
      </c>
      <c r="J4777" s="1" t="s">
        <v>24</v>
      </c>
      <c r="K4777" s="1">
        <f t="shared" si="1"/>
        <v>2023</v>
      </c>
      <c r="L4777" s="1" t="str">
        <f t="shared" si="2"/>
        <v>Oct</v>
      </c>
      <c r="M4777" s="1" t="str">
        <f t="shared" si="3"/>
        <v>Profit</v>
      </c>
    </row>
    <row r="4778" ht="14.25" customHeight="1">
      <c r="A4778" s="1" t="s">
        <v>4812</v>
      </c>
      <c r="B4778" s="2">
        <v>44854.0</v>
      </c>
      <c r="C4778" s="1" t="s">
        <v>30</v>
      </c>
      <c r="D4778" s="1" t="s">
        <v>15</v>
      </c>
      <c r="E4778" s="1" t="s">
        <v>16</v>
      </c>
      <c r="F4778" s="1">
        <v>97.25</v>
      </c>
      <c r="G4778" s="1">
        <v>-142.26</v>
      </c>
      <c r="H4778" s="1">
        <v>8.0</v>
      </c>
      <c r="I4778" s="1" t="s">
        <v>17</v>
      </c>
      <c r="J4778" s="1" t="s">
        <v>24</v>
      </c>
      <c r="K4778" s="1">
        <f t="shared" si="1"/>
        <v>2022</v>
      </c>
      <c r="L4778" s="1" t="str">
        <f t="shared" si="2"/>
        <v>Oct</v>
      </c>
      <c r="M4778" s="1" t="str">
        <f t="shared" si="3"/>
        <v>Loss</v>
      </c>
    </row>
    <row r="4779" ht="14.25" customHeight="1">
      <c r="A4779" s="1" t="s">
        <v>4813</v>
      </c>
      <c r="B4779" s="2">
        <v>45041.0</v>
      </c>
      <c r="C4779" s="1" t="s">
        <v>20</v>
      </c>
      <c r="D4779" s="1" t="s">
        <v>27</v>
      </c>
      <c r="E4779" s="1" t="s">
        <v>28</v>
      </c>
      <c r="F4779" s="1">
        <v>875.28</v>
      </c>
      <c r="G4779" s="1">
        <v>-36.65</v>
      </c>
      <c r="H4779" s="1">
        <v>6.0</v>
      </c>
      <c r="I4779" s="1" t="s">
        <v>23</v>
      </c>
      <c r="J4779" s="1" t="s">
        <v>38</v>
      </c>
      <c r="K4779" s="1">
        <f t="shared" si="1"/>
        <v>2023</v>
      </c>
      <c r="L4779" s="1" t="str">
        <f t="shared" si="2"/>
        <v>Apr</v>
      </c>
      <c r="M4779" s="1" t="str">
        <f t="shared" si="3"/>
        <v>Loss</v>
      </c>
    </row>
    <row r="4780" ht="14.25" customHeight="1">
      <c r="A4780" s="1" t="s">
        <v>4814</v>
      </c>
      <c r="B4780" s="2">
        <v>44820.0</v>
      </c>
      <c r="C4780" s="1" t="s">
        <v>30</v>
      </c>
      <c r="D4780" s="1" t="s">
        <v>27</v>
      </c>
      <c r="E4780" s="1" t="s">
        <v>40</v>
      </c>
      <c r="F4780" s="1">
        <v>629.06</v>
      </c>
      <c r="G4780" s="1">
        <v>280.92</v>
      </c>
      <c r="H4780" s="1">
        <v>4.0</v>
      </c>
      <c r="I4780" s="1" t="s">
        <v>23</v>
      </c>
      <c r="J4780" s="1" t="s">
        <v>38</v>
      </c>
      <c r="K4780" s="1">
        <f t="shared" si="1"/>
        <v>2022</v>
      </c>
      <c r="L4780" s="1" t="str">
        <f t="shared" si="2"/>
        <v>Sep</v>
      </c>
      <c r="M4780" s="1" t="str">
        <f t="shared" si="3"/>
        <v>Profit</v>
      </c>
    </row>
    <row r="4781" ht="14.25" customHeight="1">
      <c r="A4781" s="1" t="s">
        <v>4815</v>
      </c>
      <c r="B4781" s="2">
        <v>45244.0</v>
      </c>
      <c r="C4781" s="1" t="s">
        <v>26</v>
      </c>
      <c r="D4781" s="1" t="s">
        <v>15</v>
      </c>
      <c r="E4781" s="1" t="s">
        <v>54</v>
      </c>
      <c r="F4781" s="1">
        <v>738.84</v>
      </c>
      <c r="G4781" s="1">
        <v>49.4</v>
      </c>
      <c r="H4781" s="1">
        <v>1.0</v>
      </c>
      <c r="I4781" s="1" t="s">
        <v>23</v>
      </c>
      <c r="J4781" s="1" t="s">
        <v>24</v>
      </c>
      <c r="K4781" s="1">
        <f t="shared" si="1"/>
        <v>2023</v>
      </c>
      <c r="L4781" s="1" t="str">
        <f t="shared" si="2"/>
        <v>Nov</v>
      </c>
      <c r="M4781" s="1" t="str">
        <f t="shared" si="3"/>
        <v>Profit</v>
      </c>
    </row>
    <row r="4782" ht="14.25" customHeight="1">
      <c r="A4782" s="1" t="s">
        <v>4816</v>
      </c>
      <c r="B4782" s="2">
        <v>44519.0</v>
      </c>
      <c r="C4782" s="1" t="s">
        <v>14</v>
      </c>
      <c r="D4782" s="1" t="s">
        <v>27</v>
      </c>
      <c r="E4782" s="1" t="s">
        <v>33</v>
      </c>
      <c r="F4782" s="1">
        <v>702.85</v>
      </c>
      <c r="G4782" s="1">
        <v>-38.59</v>
      </c>
      <c r="H4782" s="1">
        <v>6.0</v>
      </c>
      <c r="I4782" s="1" t="s">
        <v>17</v>
      </c>
      <c r="J4782" s="1" t="s">
        <v>24</v>
      </c>
      <c r="K4782" s="1">
        <f t="shared" si="1"/>
        <v>2021</v>
      </c>
      <c r="L4782" s="1" t="str">
        <f t="shared" si="2"/>
        <v>Nov</v>
      </c>
      <c r="M4782" s="1" t="str">
        <f t="shared" si="3"/>
        <v>Loss</v>
      </c>
    </row>
    <row r="4783" ht="14.25" customHeight="1">
      <c r="A4783" s="1" t="s">
        <v>4817</v>
      </c>
      <c r="B4783" s="2">
        <v>44839.0</v>
      </c>
      <c r="C4783" s="1" t="s">
        <v>30</v>
      </c>
      <c r="D4783" s="1" t="s">
        <v>21</v>
      </c>
      <c r="E4783" s="1" t="s">
        <v>37</v>
      </c>
      <c r="F4783" s="1">
        <v>84.18</v>
      </c>
      <c r="G4783" s="1">
        <v>132.62</v>
      </c>
      <c r="H4783" s="1">
        <v>5.0</v>
      </c>
      <c r="I4783" s="1" t="s">
        <v>17</v>
      </c>
      <c r="J4783" s="1" t="s">
        <v>18</v>
      </c>
      <c r="K4783" s="1">
        <f t="shared" si="1"/>
        <v>2022</v>
      </c>
      <c r="L4783" s="1" t="str">
        <f t="shared" si="2"/>
        <v>Oct</v>
      </c>
      <c r="M4783" s="1" t="str">
        <f t="shared" si="3"/>
        <v>Profit</v>
      </c>
    </row>
    <row r="4784" ht="14.25" customHeight="1">
      <c r="A4784" s="1" t="s">
        <v>4818</v>
      </c>
      <c r="B4784" s="2">
        <v>45183.0</v>
      </c>
      <c r="C4784" s="1" t="s">
        <v>14</v>
      </c>
      <c r="D4784" s="1" t="s">
        <v>21</v>
      </c>
      <c r="E4784" s="1" t="s">
        <v>22</v>
      </c>
      <c r="F4784" s="1">
        <v>924.92</v>
      </c>
      <c r="G4784" s="1">
        <v>261.2</v>
      </c>
      <c r="H4784" s="1">
        <v>8.0</v>
      </c>
      <c r="I4784" s="1" t="s">
        <v>34</v>
      </c>
      <c r="J4784" s="1" t="s">
        <v>35</v>
      </c>
      <c r="K4784" s="1">
        <f t="shared" si="1"/>
        <v>2023</v>
      </c>
      <c r="L4784" s="1" t="str">
        <f t="shared" si="2"/>
        <v>Sep</v>
      </c>
      <c r="M4784" s="1" t="str">
        <f t="shared" si="3"/>
        <v>Profit</v>
      </c>
    </row>
    <row r="4785" ht="14.25" customHeight="1">
      <c r="A4785" s="1" t="s">
        <v>4819</v>
      </c>
      <c r="B4785" s="2">
        <v>44308.0</v>
      </c>
      <c r="C4785" s="1" t="s">
        <v>30</v>
      </c>
      <c r="D4785" s="1" t="s">
        <v>15</v>
      </c>
      <c r="E4785" s="1" t="s">
        <v>16</v>
      </c>
      <c r="F4785" s="1">
        <v>276.25</v>
      </c>
      <c r="G4785" s="1">
        <v>49.34</v>
      </c>
      <c r="H4785" s="1">
        <v>6.0</v>
      </c>
      <c r="I4785" s="1" t="s">
        <v>23</v>
      </c>
      <c r="J4785" s="1" t="s">
        <v>24</v>
      </c>
      <c r="K4785" s="1">
        <f t="shared" si="1"/>
        <v>2021</v>
      </c>
      <c r="L4785" s="1" t="str">
        <f t="shared" si="2"/>
        <v>Apr</v>
      </c>
      <c r="M4785" s="1" t="str">
        <f t="shared" si="3"/>
        <v>Profit</v>
      </c>
    </row>
    <row r="4786" ht="14.25" customHeight="1">
      <c r="A4786" s="1" t="s">
        <v>4820</v>
      </c>
      <c r="B4786" s="2">
        <v>44689.0</v>
      </c>
      <c r="C4786" s="1" t="s">
        <v>20</v>
      </c>
      <c r="D4786" s="1" t="s">
        <v>21</v>
      </c>
      <c r="E4786" s="1" t="s">
        <v>22</v>
      </c>
      <c r="F4786" s="1">
        <v>524.86</v>
      </c>
      <c r="G4786" s="1">
        <v>-37.63</v>
      </c>
      <c r="H4786" s="1">
        <v>5.0</v>
      </c>
      <c r="I4786" s="1" t="s">
        <v>17</v>
      </c>
      <c r="J4786" s="1" t="s">
        <v>38</v>
      </c>
      <c r="K4786" s="1">
        <f t="shared" si="1"/>
        <v>2022</v>
      </c>
      <c r="L4786" s="1" t="str">
        <f t="shared" si="2"/>
        <v>May</v>
      </c>
      <c r="M4786" s="1" t="str">
        <f t="shared" si="3"/>
        <v>Loss</v>
      </c>
    </row>
    <row r="4787" ht="14.25" customHeight="1">
      <c r="A4787" s="1" t="s">
        <v>4821</v>
      </c>
      <c r="B4787" s="2">
        <v>44929.0</v>
      </c>
      <c r="C4787" s="1" t="s">
        <v>30</v>
      </c>
      <c r="D4787" s="1" t="s">
        <v>21</v>
      </c>
      <c r="E4787" s="1" t="s">
        <v>76</v>
      </c>
      <c r="F4787" s="1">
        <v>150.59</v>
      </c>
      <c r="G4787" s="1">
        <v>-185.9</v>
      </c>
      <c r="H4787" s="1">
        <v>4.0</v>
      </c>
      <c r="I4787" s="1" t="s">
        <v>34</v>
      </c>
      <c r="J4787" s="1" t="s">
        <v>18</v>
      </c>
      <c r="K4787" s="1">
        <f t="shared" si="1"/>
        <v>2023</v>
      </c>
      <c r="L4787" s="1" t="str">
        <f t="shared" si="2"/>
        <v>Jan</v>
      </c>
      <c r="M4787" s="1" t="str">
        <f t="shared" si="3"/>
        <v>Loss</v>
      </c>
    </row>
    <row r="4788" ht="14.25" customHeight="1">
      <c r="A4788" s="1" t="s">
        <v>4822</v>
      </c>
      <c r="B4788" s="2">
        <v>44256.0</v>
      </c>
      <c r="C4788" s="1" t="s">
        <v>30</v>
      </c>
      <c r="D4788" s="1" t="s">
        <v>27</v>
      </c>
      <c r="E4788" s="1" t="s">
        <v>40</v>
      </c>
      <c r="F4788" s="1">
        <v>38.57</v>
      </c>
      <c r="G4788" s="1">
        <v>-62.5</v>
      </c>
      <c r="H4788" s="1">
        <v>6.0</v>
      </c>
      <c r="I4788" s="1" t="s">
        <v>17</v>
      </c>
      <c r="J4788" s="1" t="s">
        <v>18</v>
      </c>
      <c r="K4788" s="1">
        <f t="shared" si="1"/>
        <v>2021</v>
      </c>
      <c r="L4788" s="1" t="str">
        <f t="shared" si="2"/>
        <v>Mar</v>
      </c>
      <c r="M4788" s="1" t="str">
        <f t="shared" si="3"/>
        <v>Loss</v>
      </c>
    </row>
    <row r="4789" ht="14.25" customHeight="1">
      <c r="A4789" s="1" t="s">
        <v>4823</v>
      </c>
      <c r="B4789" s="2">
        <v>45105.0</v>
      </c>
      <c r="C4789" s="1" t="s">
        <v>14</v>
      </c>
      <c r="D4789" s="1" t="s">
        <v>15</v>
      </c>
      <c r="E4789" s="1" t="s">
        <v>16</v>
      </c>
      <c r="F4789" s="1">
        <v>159.36</v>
      </c>
      <c r="G4789" s="1">
        <v>138.16</v>
      </c>
      <c r="H4789" s="1">
        <v>2.0</v>
      </c>
      <c r="I4789" s="1" t="s">
        <v>34</v>
      </c>
      <c r="J4789" s="1" t="s">
        <v>24</v>
      </c>
      <c r="K4789" s="1">
        <f t="shared" si="1"/>
        <v>2023</v>
      </c>
      <c r="L4789" s="1" t="str">
        <f t="shared" si="2"/>
        <v>Jun</v>
      </c>
      <c r="M4789" s="1" t="str">
        <f t="shared" si="3"/>
        <v>Profit</v>
      </c>
    </row>
    <row r="4790" ht="14.25" customHeight="1">
      <c r="A4790" s="1" t="s">
        <v>4824</v>
      </c>
      <c r="B4790" s="2">
        <v>44970.0</v>
      </c>
      <c r="C4790" s="1" t="s">
        <v>14</v>
      </c>
      <c r="D4790" s="1" t="s">
        <v>15</v>
      </c>
      <c r="E4790" s="1" t="s">
        <v>31</v>
      </c>
      <c r="F4790" s="1">
        <v>406.42</v>
      </c>
      <c r="G4790" s="1">
        <v>-62.51</v>
      </c>
      <c r="H4790" s="1">
        <v>1.0</v>
      </c>
      <c r="I4790" s="1" t="s">
        <v>23</v>
      </c>
      <c r="J4790" s="1" t="s">
        <v>18</v>
      </c>
      <c r="K4790" s="1">
        <f t="shared" si="1"/>
        <v>2023</v>
      </c>
      <c r="L4790" s="1" t="str">
        <f t="shared" si="2"/>
        <v>Feb</v>
      </c>
      <c r="M4790" s="1" t="str">
        <f t="shared" si="3"/>
        <v>Loss</v>
      </c>
    </row>
    <row r="4791" ht="14.25" customHeight="1">
      <c r="A4791" s="1" t="s">
        <v>4825</v>
      </c>
      <c r="B4791" s="2">
        <v>44273.0</v>
      </c>
      <c r="C4791" s="1" t="s">
        <v>30</v>
      </c>
      <c r="D4791" s="1" t="s">
        <v>27</v>
      </c>
      <c r="E4791" s="1" t="s">
        <v>40</v>
      </c>
      <c r="F4791" s="1">
        <v>593.74</v>
      </c>
      <c r="G4791" s="1">
        <v>127.91</v>
      </c>
      <c r="H4791" s="1">
        <v>3.0</v>
      </c>
      <c r="I4791" s="1" t="s">
        <v>23</v>
      </c>
      <c r="J4791" s="1" t="s">
        <v>24</v>
      </c>
      <c r="K4791" s="1">
        <f t="shared" si="1"/>
        <v>2021</v>
      </c>
      <c r="L4791" s="1" t="str">
        <f t="shared" si="2"/>
        <v>Mar</v>
      </c>
      <c r="M4791" s="1" t="str">
        <f t="shared" si="3"/>
        <v>Profit</v>
      </c>
    </row>
    <row r="4792" ht="14.25" customHeight="1">
      <c r="A4792" s="1" t="s">
        <v>4826</v>
      </c>
      <c r="B4792" s="2">
        <v>45046.0</v>
      </c>
      <c r="C4792" s="1" t="s">
        <v>26</v>
      </c>
      <c r="D4792" s="1" t="s">
        <v>27</v>
      </c>
      <c r="E4792" s="1" t="s">
        <v>28</v>
      </c>
      <c r="F4792" s="1">
        <v>186.5</v>
      </c>
      <c r="G4792" s="1">
        <v>-19.99</v>
      </c>
      <c r="H4792" s="1">
        <v>9.0</v>
      </c>
      <c r="I4792" s="1" t="s">
        <v>34</v>
      </c>
      <c r="J4792" s="1" t="s">
        <v>35</v>
      </c>
      <c r="K4792" s="1">
        <f t="shared" si="1"/>
        <v>2023</v>
      </c>
      <c r="L4792" s="1" t="str">
        <f t="shared" si="2"/>
        <v>Apr</v>
      </c>
      <c r="M4792" s="1" t="str">
        <f t="shared" si="3"/>
        <v>Loss</v>
      </c>
    </row>
    <row r="4793" ht="14.25" customHeight="1">
      <c r="A4793" s="1" t="s">
        <v>4827</v>
      </c>
      <c r="B4793" s="2">
        <v>44911.0</v>
      </c>
      <c r="C4793" s="1" t="s">
        <v>26</v>
      </c>
      <c r="D4793" s="1" t="s">
        <v>15</v>
      </c>
      <c r="E4793" s="1" t="s">
        <v>31</v>
      </c>
      <c r="F4793" s="1">
        <v>818.29</v>
      </c>
      <c r="G4793" s="1">
        <v>-29.71</v>
      </c>
      <c r="H4793" s="1">
        <v>6.0</v>
      </c>
      <c r="I4793" s="1" t="s">
        <v>23</v>
      </c>
      <c r="J4793" s="1" t="s">
        <v>35</v>
      </c>
      <c r="K4793" s="1">
        <f t="shared" si="1"/>
        <v>2022</v>
      </c>
      <c r="L4793" s="1" t="str">
        <f t="shared" si="2"/>
        <v>Dec</v>
      </c>
      <c r="M4793" s="1" t="str">
        <f t="shared" si="3"/>
        <v>Loss</v>
      </c>
    </row>
    <row r="4794" ht="14.25" customHeight="1">
      <c r="A4794" s="1" t="s">
        <v>4828</v>
      </c>
      <c r="B4794" s="2">
        <v>44571.0</v>
      </c>
      <c r="C4794" s="1" t="s">
        <v>20</v>
      </c>
      <c r="D4794" s="1" t="s">
        <v>27</v>
      </c>
      <c r="E4794" s="1" t="s">
        <v>28</v>
      </c>
      <c r="F4794" s="1">
        <v>48.45</v>
      </c>
      <c r="G4794" s="1">
        <v>-11.75</v>
      </c>
      <c r="H4794" s="1">
        <v>6.0</v>
      </c>
      <c r="I4794" s="1" t="s">
        <v>34</v>
      </c>
      <c r="J4794" s="1" t="s">
        <v>24</v>
      </c>
      <c r="K4794" s="1">
        <f t="shared" si="1"/>
        <v>2022</v>
      </c>
      <c r="L4794" s="1" t="str">
        <f t="shared" si="2"/>
        <v>Jan</v>
      </c>
      <c r="M4794" s="1" t="str">
        <f t="shared" si="3"/>
        <v>Loss</v>
      </c>
    </row>
    <row r="4795" ht="14.25" customHeight="1">
      <c r="A4795" s="1" t="s">
        <v>4829</v>
      </c>
      <c r="B4795" s="2">
        <v>44721.0</v>
      </c>
      <c r="C4795" s="1" t="s">
        <v>30</v>
      </c>
      <c r="D4795" s="1" t="s">
        <v>27</v>
      </c>
      <c r="E4795" s="1" t="s">
        <v>40</v>
      </c>
      <c r="F4795" s="1">
        <v>786.98</v>
      </c>
      <c r="G4795" s="1">
        <v>-55.42</v>
      </c>
      <c r="H4795" s="1">
        <v>2.0</v>
      </c>
      <c r="I4795" s="1" t="s">
        <v>34</v>
      </c>
      <c r="J4795" s="1" t="s">
        <v>38</v>
      </c>
      <c r="K4795" s="1">
        <f t="shared" si="1"/>
        <v>2022</v>
      </c>
      <c r="L4795" s="1" t="str">
        <f t="shared" si="2"/>
        <v>Jun</v>
      </c>
      <c r="M4795" s="1" t="str">
        <f t="shared" si="3"/>
        <v>Loss</v>
      </c>
    </row>
    <row r="4796" ht="14.25" customHeight="1">
      <c r="A4796" s="1" t="s">
        <v>4830</v>
      </c>
      <c r="B4796" s="2">
        <v>44606.0</v>
      </c>
      <c r="C4796" s="1" t="s">
        <v>20</v>
      </c>
      <c r="D4796" s="1" t="s">
        <v>21</v>
      </c>
      <c r="E4796" s="1" t="s">
        <v>76</v>
      </c>
      <c r="F4796" s="1">
        <v>59.84</v>
      </c>
      <c r="G4796" s="1">
        <v>-161.76</v>
      </c>
      <c r="H4796" s="1">
        <v>6.0</v>
      </c>
      <c r="I4796" s="1" t="s">
        <v>34</v>
      </c>
      <c r="J4796" s="1" t="s">
        <v>35</v>
      </c>
      <c r="K4796" s="1">
        <f t="shared" si="1"/>
        <v>2022</v>
      </c>
      <c r="L4796" s="1" t="str">
        <f t="shared" si="2"/>
        <v>Feb</v>
      </c>
      <c r="M4796" s="1" t="str">
        <f t="shared" si="3"/>
        <v>Loss</v>
      </c>
    </row>
    <row r="4797" ht="14.25" customHeight="1">
      <c r="A4797" s="1" t="s">
        <v>4831</v>
      </c>
      <c r="B4797" s="2">
        <v>44240.0</v>
      </c>
      <c r="C4797" s="1" t="s">
        <v>26</v>
      </c>
      <c r="D4797" s="1" t="s">
        <v>15</v>
      </c>
      <c r="E4797" s="1" t="s">
        <v>54</v>
      </c>
      <c r="F4797" s="1">
        <v>150.1</v>
      </c>
      <c r="G4797" s="1">
        <v>-61.77</v>
      </c>
      <c r="H4797" s="1">
        <v>7.0</v>
      </c>
      <c r="I4797" s="1" t="s">
        <v>34</v>
      </c>
      <c r="J4797" s="1" t="s">
        <v>18</v>
      </c>
      <c r="K4797" s="1">
        <f t="shared" si="1"/>
        <v>2021</v>
      </c>
      <c r="L4797" s="1" t="str">
        <f t="shared" si="2"/>
        <v>Feb</v>
      </c>
      <c r="M4797" s="1" t="str">
        <f t="shared" si="3"/>
        <v>Loss</v>
      </c>
    </row>
    <row r="4798" ht="14.25" customHeight="1">
      <c r="A4798" s="1" t="s">
        <v>4832</v>
      </c>
      <c r="B4798" s="2">
        <v>44595.0</v>
      </c>
      <c r="C4798" s="1" t="s">
        <v>26</v>
      </c>
      <c r="D4798" s="1" t="s">
        <v>15</v>
      </c>
      <c r="E4798" s="1" t="s">
        <v>54</v>
      </c>
      <c r="F4798" s="1">
        <v>682.2</v>
      </c>
      <c r="G4798" s="1">
        <v>13.98</v>
      </c>
      <c r="H4798" s="1">
        <v>8.0</v>
      </c>
      <c r="I4798" s="1" t="s">
        <v>23</v>
      </c>
      <c r="J4798" s="1" t="s">
        <v>18</v>
      </c>
      <c r="K4798" s="1">
        <f t="shared" si="1"/>
        <v>2022</v>
      </c>
      <c r="L4798" s="1" t="str">
        <f t="shared" si="2"/>
        <v>Feb</v>
      </c>
      <c r="M4798" s="1" t="str">
        <f t="shared" si="3"/>
        <v>Profit</v>
      </c>
    </row>
    <row r="4799" ht="14.25" customHeight="1">
      <c r="A4799" s="1" t="s">
        <v>4833</v>
      </c>
      <c r="B4799" s="2">
        <v>45170.0</v>
      </c>
      <c r="C4799" s="1" t="s">
        <v>14</v>
      </c>
      <c r="D4799" s="1" t="s">
        <v>21</v>
      </c>
      <c r="E4799" s="1" t="s">
        <v>37</v>
      </c>
      <c r="F4799" s="1">
        <v>504.82</v>
      </c>
      <c r="G4799" s="1">
        <v>-130.11</v>
      </c>
      <c r="H4799" s="1">
        <v>4.0</v>
      </c>
      <c r="I4799" s="1" t="s">
        <v>34</v>
      </c>
      <c r="J4799" s="1" t="s">
        <v>38</v>
      </c>
      <c r="K4799" s="1">
        <f t="shared" si="1"/>
        <v>2023</v>
      </c>
      <c r="L4799" s="1" t="str">
        <f t="shared" si="2"/>
        <v>Sep</v>
      </c>
      <c r="M4799" s="1" t="str">
        <f t="shared" si="3"/>
        <v>Loss</v>
      </c>
    </row>
    <row r="4800" ht="14.25" customHeight="1">
      <c r="A4800" s="1" t="s">
        <v>4834</v>
      </c>
      <c r="B4800" s="2">
        <v>44527.0</v>
      </c>
      <c r="C4800" s="1" t="s">
        <v>30</v>
      </c>
      <c r="D4800" s="1" t="s">
        <v>27</v>
      </c>
      <c r="E4800" s="1" t="s">
        <v>40</v>
      </c>
      <c r="F4800" s="1">
        <v>44.33</v>
      </c>
      <c r="G4800" s="1">
        <v>-98.46</v>
      </c>
      <c r="H4800" s="1">
        <v>8.0</v>
      </c>
      <c r="I4800" s="1" t="s">
        <v>23</v>
      </c>
      <c r="J4800" s="1" t="s">
        <v>35</v>
      </c>
      <c r="K4800" s="1">
        <f t="shared" si="1"/>
        <v>2021</v>
      </c>
      <c r="L4800" s="1" t="str">
        <f t="shared" si="2"/>
        <v>Nov</v>
      </c>
      <c r="M4800" s="1" t="str">
        <f t="shared" si="3"/>
        <v>Loss</v>
      </c>
    </row>
    <row r="4801" ht="14.25" customHeight="1">
      <c r="A4801" s="1" t="s">
        <v>4835</v>
      </c>
      <c r="B4801" s="2">
        <v>44419.0</v>
      </c>
      <c r="C4801" s="1" t="s">
        <v>20</v>
      </c>
      <c r="D4801" s="1" t="s">
        <v>27</v>
      </c>
      <c r="E4801" s="1" t="s">
        <v>28</v>
      </c>
      <c r="F4801" s="1">
        <v>823.68</v>
      </c>
      <c r="G4801" s="1">
        <v>39.0</v>
      </c>
      <c r="H4801" s="1">
        <v>9.0</v>
      </c>
      <c r="I4801" s="1" t="s">
        <v>17</v>
      </c>
      <c r="J4801" s="1" t="s">
        <v>38</v>
      </c>
      <c r="K4801" s="1">
        <f t="shared" si="1"/>
        <v>2021</v>
      </c>
      <c r="L4801" s="1" t="str">
        <f t="shared" si="2"/>
        <v>Aug</v>
      </c>
      <c r="M4801" s="1" t="str">
        <f t="shared" si="3"/>
        <v>Profit</v>
      </c>
    </row>
    <row r="4802" ht="14.25" customHeight="1">
      <c r="A4802" s="1" t="s">
        <v>4836</v>
      </c>
      <c r="B4802" s="2">
        <v>45203.0</v>
      </c>
      <c r="C4802" s="1" t="s">
        <v>26</v>
      </c>
      <c r="D4802" s="1" t="s">
        <v>27</v>
      </c>
      <c r="E4802" s="1" t="s">
        <v>28</v>
      </c>
      <c r="F4802" s="1">
        <v>894.32</v>
      </c>
      <c r="G4802" s="1">
        <v>75.07</v>
      </c>
      <c r="H4802" s="1">
        <v>9.0</v>
      </c>
      <c r="I4802" s="1" t="s">
        <v>23</v>
      </c>
      <c r="J4802" s="1" t="s">
        <v>24</v>
      </c>
      <c r="K4802" s="1">
        <f t="shared" si="1"/>
        <v>2023</v>
      </c>
      <c r="L4802" s="1" t="str">
        <f t="shared" si="2"/>
        <v>Oct</v>
      </c>
      <c r="M4802" s="1" t="str">
        <f t="shared" si="3"/>
        <v>Profit</v>
      </c>
    </row>
    <row r="4803" ht="14.25" customHeight="1">
      <c r="A4803" s="1" t="s">
        <v>4837</v>
      </c>
      <c r="B4803" s="2">
        <v>44243.0</v>
      </c>
      <c r="C4803" s="1" t="s">
        <v>30</v>
      </c>
      <c r="D4803" s="1" t="s">
        <v>21</v>
      </c>
      <c r="E4803" s="1" t="s">
        <v>76</v>
      </c>
      <c r="F4803" s="1">
        <v>382.65</v>
      </c>
      <c r="G4803" s="1">
        <v>73.48</v>
      </c>
      <c r="H4803" s="1">
        <v>7.0</v>
      </c>
      <c r="I4803" s="1" t="s">
        <v>34</v>
      </c>
      <c r="J4803" s="1" t="s">
        <v>38</v>
      </c>
      <c r="K4803" s="1">
        <f t="shared" si="1"/>
        <v>2021</v>
      </c>
      <c r="L4803" s="1" t="str">
        <f t="shared" si="2"/>
        <v>Feb</v>
      </c>
      <c r="M4803" s="1" t="str">
        <f t="shared" si="3"/>
        <v>Profit</v>
      </c>
    </row>
    <row r="4804" ht="14.25" customHeight="1">
      <c r="A4804" s="1" t="s">
        <v>4838</v>
      </c>
      <c r="B4804" s="2">
        <v>44540.0</v>
      </c>
      <c r="C4804" s="1" t="s">
        <v>20</v>
      </c>
      <c r="D4804" s="1" t="s">
        <v>21</v>
      </c>
      <c r="E4804" s="1" t="s">
        <v>37</v>
      </c>
      <c r="F4804" s="1">
        <v>757.03</v>
      </c>
      <c r="G4804" s="1">
        <v>-167.78</v>
      </c>
      <c r="H4804" s="1">
        <v>6.0</v>
      </c>
      <c r="I4804" s="1" t="s">
        <v>23</v>
      </c>
      <c r="J4804" s="1" t="s">
        <v>18</v>
      </c>
      <c r="K4804" s="1">
        <f t="shared" si="1"/>
        <v>2021</v>
      </c>
      <c r="L4804" s="1" t="str">
        <f t="shared" si="2"/>
        <v>Dec</v>
      </c>
      <c r="M4804" s="1" t="str">
        <f t="shared" si="3"/>
        <v>Loss</v>
      </c>
    </row>
    <row r="4805" ht="14.25" customHeight="1">
      <c r="A4805" s="1" t="s">
        <v>4839</v>
      </c>
      <c r="B4805" s="2">
        <v>44438.0</v>
      </c>
      <c r="C4805" s="1" t="s">
        <v>20</v>
      </c>
      <c r="D4805" s="1" t="s">
        <v>21</v>
      </c>
      <c r="E4805" s="1" t="s">
        <v>76</v>
      </c>
      <c r="F4805" s="1">
        <v>405.48</v>
      </c>
      <c r="G4805" s="1">
        <v>72.63</v>
      </c>
      <c r="H4805" s="1">
        <v>5.0</v>
      </c>
      <c r="I4805" s="1" t="s">
        <v>34</v>
      </c>
      <c r="J4805" s="1" t="s">
        <v>24</v>
      </c>
      <c r="K4805" s="1">
        <f t="shared" si="1"/>
        <v>2021</v>
      </c>
      <c r="L4805" s="1" t="str">
        <f t="shared" si="2"/>
        <v>Aug</v>
      </c>
      <c r="M4805" s="1" t="str">
        <f t="shared" si="3"/>
        <v>Profit</v>
      </c>
    </row>
    <row r="4806" ht="14.25" customHeight="1">
      <c r="A4806" s="1" t="s">
        <v>4840</v>
      </c>
      <c r="B4806" s="2">
        <v>44284.0</v>
      </c>
      <c r="C4806" s="1" t="s">
        <v>20</v>
      </c>
      <c r="D4806" s="1" t="s">
        <v>21</v>
      </c>
      <c r="E4806" s="1" t="s">
        <v>76</v>
      </c>
      <c r="F4806" s="1">
        <v>224.55</v>
      </c>
      <c r="G4806" s="1">
        <v>33.94</v>
      </c>
      <c r="H4806" s="1">
        <v>9.0</v>
      </c>
      <c r="I4806" s="1" t="s">
        <v>17</v>
      </c>
      <c r="J4806" s="1" t="s">
        <v>18</v>
      </c>
      <c r="K4806" s="1">
        <f t="shared" si="1"/>
        <v>2021</v>
      </c>
      <c r="L4806" s="1" t="str">
        <f t="shared" si="2"/>
        <v>Mar</v>
      </c>
      <c r="M4806" s="1" t="str">
        <f t="shared" si="3"/>
        <v>Profit</v>
      </c>
    </row>
    <row r="4807" ht="14.25" customHeight="1">
      <c r="A4807" s="1" t="s">
        <v>4841</v>
      </c>
      <c r="B4807" s="2">
        <v>44353.0</v>
      </c>
      <c r="C4807" s="1" t="s">
        <v>14</v>
      </c>
      <c r="D4807" s="1" t="s">
        <v>27</v>
      </c>
      <c r="E4807" s="1" t="s">
        <v>40</v>
      </c>
      <c r="F4807" s="1">
        <v>559.4</v>
      </c>
      <c r="G4807" s="1">
        <v>55.57</v>
      </c>
      <c r="H4807" s="1">
        <v>1.0</v>
      </c>
      <c r="I4807" s="1" t="s">
        <v>34</v>
      </c>
      <c r="J4807" s="1" t="s">
        <v>35</v>
      </c>
      <c r="K4807" s="1">
        <f t="shared" si="1"/>
        <v>2021</v>
      </c>
      <c r="L4807" s="1" t="str">
        <f t="shared" si="2"/>
        <v>Jun</v>
      </c>
      <c r="M4807" s="1" t="str">
        <f t="shared" si="3"/>
        <v>Profit</v>
      </c>
    </row>
    <row r="4808" ht="14.25" customHeight="1">
      <c r="A4808" s="1" t="s">
        <v>4842</v>
      </c>
      <c r="B4808" s="2">
        <v>44983.0</v>
      </c>
      <c r="C4808" s="1" t="s">
        <v>14</v>
      </c>
      <c r="D4808" s="1" t="s">
        <v>15</v>
      </c>
      <c r="E4808" s="1" t="s">
        <v>16</v>
      </c>
      <c r="F4808" s="1">
        <v>878.54</v>
      </c>
      <c r="G4808" s="1">
        <v>171.14</v>
      </c>
      <c r="H4808" s="1">
        <v>2.0</v>
      </c>
      <c r="I4808" s="1" t="s">
        <v>17</v>
      </c>
      <c r="J4808" s="1" t="s">
        <v>35</v>
      </c>
      <c r="K4808" s="1">
        <f t="shared" si="1"/>
        <v>2023</v>
      </c>
      <c r="L4808" s="1" t="str">
        <f t="shared" si="2"/>
        <v>Feb</v>
      </c>
      <c r="M4808" s="1" t="str">
        <f t="shared" si="3"/>
        <v>Profit</v>
      </c>
    </row>
    <row r="4809" ht="14.25" customHeight="1">
      <c r="A4809" s="1" t="s">
        <v>4843</v>
      </c>
      <c r="B4809" s="2">
        <v>44897.0</v>
      </c>
      <c r="C4809" s="1" t="s">
        <v>26</v>
      </c>
      <c r="D4809" s="1" t="s">
        <v>27</v>
      </c>
      <c r="E4809" s="1" t="s">
        <v>33</v>
      </c>
      <c r="F4809" s="1">
        <v>822.81</v>
      </c>
      <c r="G4809" s="1">
        <v>294.81</v>
      </c>
      <c r="H4809" s="1">
        <v>7.0</v>
      </c>
      <c r="I4809" s="1" t="s">
        <v>23</v>
      </c>
      <c r="J4809" s="1" t="s">
        <v>38</v>
      </c>
      <c r="K4809" s="1">
        <f t="shared" si="1"/>
        <v>2022</v>
      </c>
      <c r="L4809" s="1" t="str">
        <f t="shared" si="2"/>
        <v>Dec</v>
      </c>
      <c r="M4809" s="1" t="str">
        <f t="shared" si="3"/>
        <v>Profit</v>
      </c>
    </row>
    <row r="4810" ht="14.25" customHeight="1">
      <c r="A4810" s="1" t="s">
        <v>4844</v>
      </c>
      <c r="B4810" s="2">
        <v>44248.0</v>
      </c>
      <c r="C4810" s="1" t="s">
        <v>20</v>
      </c>
      <c r="D4810" s="1" t="s">
        <v>21</v>
      </c>
      <c r="E4810" s="1" t="s">
        <v>22</v>
      </c>
      <c r="F4810" s="1">
        <v>319.95</v>
      </c>
      <c r="G4810" s="1">
        <v>76.66</v>
      </c>
      <c r="H4810" s="1">
        <v>6.0</v>
      </c>
      <c r="I4810" s="1" t="s">
        <v>34</v>
      </c>
      <c r="J4810" s="1" t="s">
        <v>35</v>
      </c>
      <c r="K4810" s="1">
        <f t="shared" si="1"/>
        <v>2021</v>
      </c>
      <c r="L4810" s="1" t="str">
        <f t="shared" si="2"/>
        <v>Feb</v>
      </c>
      <c r="M4810" s="1" t="str">
        <f t="shared" si="3"/>
        <v>Profit</v>
      </c>
    </row>
    <row r="4811" ht="14.25" customHeight="1">
      <c r="A4811" s="1" t="s">
        <v>4845</v>
      </c>
      <c r="B4811" s="2">
        <v>44832.0</v>
      </c>
      <c r="C4811" s="1" t="s">
        <v>26</v>
      </c>
      <c r="D4811" s="1" t="s">
        <v>21</v>
      </c>
      <c r="E4811" s="1" t="s">
        <v>76</v>
      </c>
      <c r="F4811" s="1">
        <v>514.71</v>
      </c>
      <c r="G4811" s="1">
        <v>289.18</v>
      </c>
      <c r="H4811" s="1">
        <v>6.0</v>
      </c>
      <c r="I4811" s="1" t="s">
        <v>23</v>
      </c>
      <c r="J4811" s="1" t="s">
        <v>38</v>
      </c>
      <c r="K4811" s="1">
        <f t="shared" si="1"/>
        <v>2022</v>
      </c>
      <c r="L4811" s="1" t="str">
        <f t="shared" si="2"/>
        <v>Sep</v>
      </c>
      <c r="M4811" s="1" t="str">
        <f t="shared" si="3"/>
        <v>Profit</v>
      </c>
    </row>
    <row r="4812" ht="14.25" customHeight="1">
      <c r="A4812" s="1" t="s">
        <v>4846</v>
      </c>
      <c r="B4812" s="2">
        <v>44754.0</v>
      </c>
      <c r="C4812" s="1" t="s">
        <v>14</v>
      </c>
      <c r="D4812" s="1" t="s">
        <v>21</v>
      </c>
      <c r="E4812" s="1" t="s">
        <v>22</v>
      </c>
      <c r="F4812" s="1">
        <v>74.71</v>
      </c>
      <c r="G4812" s="1">
        <v>-37.43</v>
      </c>
      <c r="H4812" s="1">
        <v>7.0</v>
      </c>
      <c r="I4812" s="1" t="s">
        <v>23</v>
      </c>
      <c r="J4812" s="1" t="s">
        <v>24</v>
      </c>
      <c r="K4812" s="1">
        <f t="shared" si="1"/>
        <v>2022</v>
      </c>
      <c r="L4812" s="1" t="str">
        <f t="shared" si="2"/>
        <v>Jul</v>
      </c>
      <c r="M4812" s="1" t="str">
        <f t="shared" si="3"/>
        <v>Loss</v>
      </c>
    </row>
    <row r="4813" ht="14.25" customHeight="1">
      <c r="A4813" s="1" t="s">
        <v>4847</v>
      </c>
      <c r="B4813" s="2">
        <v>45050.0</v>
      </c>
      <c r="C4813" s="1" t="s">
        <v>26</v>
      </c>
      <c r="D4813" s="1" t="s">
        <v>27</v>
      </c>
      <c r="E4813" s="1" t="s">
        <v>40</v>
      </c>
      <c r="F4813" s="1">
        <v>38.92</v>
      </c>
      <c r="G4813" s="1">
        <v>-2.84</v>
      </c>
      <c r="H4813" s="1">
        <v>1.0</v>
      </c>
      <c r="I4813" s="1" t="s">
        <v>17</v>
      </c>
      <c r="J4813" s="1" t="s">
        <v>35</v>
      </c>
      <c r="K4813" s="1">
        <f t="shared" si="1"/>
        <v>2023</v>
      </c>
      <c r="L4813" s="1" t="str">
        <f t="shared" si="2"/>
        <v>May</v>
      </c>
      <c r="M4813" s="1" t="str">
        <f t="shared" si="3"/>
        <v>Loss</v>
      </c>
    </row>
    <row r="4814" ht="14.25" customHeight="1">
      <c r="A4814" s="1" t="s">
        <v>4848</v>
      </c>
      <c r="B4814" s="2">
        <v>44384.0</v>
      </c>
      <c r="C4814" s="1" t="s">
        <v>26</v>
      </c>
      <c r="D4814" s="1" t="s">
        <v>15</v>
      </c>
      <c r="E4814" s="1" t="s">
        <v>16</v>
      </c>
      <c r="F4814" s="1">
        <v>864.48</v>
      </c>
      <c r="G4814" s="1">
        <v>264.51</v>
      </c>
      <c r="H4814" s="1">
        <v>1.0</v>
      </c>
      <c r="I4814" s="1" t="s">
        <v>23</v>
      </c>
      <c r="J4814" s="1" t="s">
        <v>38</v>
      </c>
      <c r="K4814" s="1">
        <f t="shared" si="1"/>
        <v>2021</v>
      </c>
      <c r="L4814" s="1" t="str">
        <f t="shared" si="2"/>
        <v>Jul</v>
      </c>
      <c r="M4814" s="1" t="str">
        <f t="shared" si="3"/>
        <v>Profit</v>
      </c>
    </row>
    <row r="4815" ht="14.25" customHeight="1">
      <c r="A4815" s="1" t="s">
        <v>4849</v>
      </c>
      <c r="B4815" s="2">
        <v>44784.0</v>
      </c>
      <c r="C4815" s="1" t="s">
        <v>14</v>
      </c>
      <c r="D4815" s="1" t="s">
        <v>27</v>
      </c>
      <c r="E4815" s="1" t="s">
        <v>28</v>
      </c>
      <c r="F4815" s="1">
        <v>326.38</v>
      </c>
      <c r="G4815" s="1">
        <v>84.45</v>
      </c>
      <c r="H4815" s="1">
        <v>3.0</v>
      </c>
      <c r="I4815" s="1" t="s">
        <v>34</v>
      </c>
      <c r="J4815" s="1" t="s">
        <v>38</v>
      </c>
      <c r="K4815" s="1">
        <f t="shared" si="1"/>
        <v>2022</v>
      </c>
      <c r="L4815" s="1" t="str">
        <f t="shared" si="2"/>
        <v>Aug</v>
      </c>
      <c r="M4815" s="1" t="str">
        <f t="shared" si="3"/>
        <v>Profit</v>
      </c>
    </row>
    <row r="4816" ht="14.25" customHeight="1">
      <c r="A4816" s="1" t="s">
        <v>4850</v>
      </c>
      <c r="B4816" s="2">
        <v>45027.0</v>
      </c>
      <c r="C4816" s="1" t="s">
        <v>26</v>
      </c>
      <c r="D4816" s="1" t="s">
        <v>15</v>
      </c>
      <c r="E4816" s="1" t="s">
        <v>31</v>
      </c>
      <c r="F4816" s="1">
        <v>316.98</v>
      </c>
      <c r="G4816" s="1">
        <v>-172.47</v>
      </c>
      <c r="H4816" s="1">
        <v>2.0</v>
      </c>
      <c r="I4816" s="1" t="s">
        <v>17</v>
      </c>
      <c r="J4816" s="1" t="s">
        <v>35</v>
      </c>
      <c r="K4816" s="1">
        <f t="shared" si="1"/>
        <v>2023</v>
      </c>
      <c r="L4816" s="1" t="str">
        <f t="shared" si="2"/>
        <v>Apr</v>
      </c>
      <c r="M4816" s="1" t="str">
        <f t="shared" si="3"/>
        <v>Loss</v>
      </c>
    </row>
    <row r="4817" ht="14.25" customHeight="1">
      <c r="A4817" s="1" t="s">
        <v>4851</v>
      </c>
      <c r="B4817" s="2">
        <v>45056.0</v>
      </c>
      <c r="C4817" s="1" t="s">
        <v>26</v>
      </c>
      <c r="D4817" s="1" t="s">
        <v>15</v>
      </c>
      <c r="E4817" s="1" t="s">
        <v>54</v>
      </c>
      <c r="F4817" s="1">
        <v>973.34</v>
      </c>
      <c r="G4817" s="1">
        <v>185.94</v>
      </c>
      <c r="H4817" s="1">
        <v>5.0</v>
      </c>
      <c r="I4817" s="1" t="s">
        <v>34</v>
      </c>
      <c r="J4817" s="1" t="s">
        <v>24</v>
      </c>
      <c r="K4817" s="1">
        <f t="shared" si="1"/>
        <v>2023</v>
      </c>
      <c r="L4817" s="1" t="str">
        <f t="shared" si="2"/>
        <v>May</v>
      </c>
      <c r="M4817" s="1" t="str">
        <f t="shared" si="3"/>
        <v>Profit</v>
      </c>
    </row>
    <row r="4818" ht="14.25" customHeight="1">
      <c r="A4818" s="1" t="s">
        <v>4852</v>
      </c>
      <c r="B4818" s="2">
        <v>44806.0</v>
      </c>
      <c r="C4818" s="1" t="s">
        <v>30</v>
      </c>
      <c r="D4818" s="1" t="s">
        <v>27</v>
      </c>
      <c r="E4818" s="1" t="s">
        <v>33</v>
      </c>
      <c r="F4818" s="1">
        <v>765.43</v>
      </c>
      <c r="G4818" s="1">
        <v>216.9</v>
      </c>
      <c r="H4818" s="1">
        <v>4.0</v>
      </c>
      <c r="I4818" s="1" t="s">
        <v>34</v>
      </c>
      <c r="J4818" s="1" t="s">
        <v>18</v>
      </c>
      <c r="K4818" s="1">
        <f t="shared" si="1"/>
        <v>2022</v>
      </c>
      <c r="L4818" s="1" t="str">
        <f t="shared" si="2"/>
        <v>Sep</v>
      </c>
      <c r="M4818" s="1" t="str">
        <f t="shared" si="3"/>
        <v>Profit</v>
      </c>
    </row>
    <row r="4819" ht="14.25" customHeight="1">
      <c r="A4819" s="1" t="s">
        <v>4853</v>
      </c>
      <c r="B4819" s="2">
        <v>44973.0</v>
      </c>
      <c r="C4819" s="1" t="s">
        <v>26</v>
      </c>
      <c r="D4819" s="1" t="s">
        <v>21</v>
      </c>
      <c r="E4819" s="1" t="s">
        <v>76</v>
      </c>
      <c r="F4819" s="1">
        <v>665.95</v>
      </c>
      <c r="G4819" s="1">
        <v>-65.56</v>
      </c>
      <c r="H4819" s="1">
        <v>5.0</v>
      </c>
      <c r="I4819" s="1" t="s">
        <v>34</v>
      </c>
      <c r="J4819" s="1" t="s">
        <v>24</v>
      </c>
      <c r="K4819" s="1">
        <f t="shared" si="1"/>
        <v>2023</v>
      </c>
      <c r="L4819" s="1" t="str">
        <f t="shared" si="2"/>
        <v>Feb</v>
      </c>
      <c r="M4819" s="1" t="str">
        <f t="shared" si="3"/>
        <v>Loss</v>
      </c>
    </row>
    <row r="4820" ht="14.25" customHeight="1">
      <c r="A4820" s="1" t="s">
        <v>4854</v>
      </c>
      <c r="B4820" s="2">
        <v>45212.0</v>
      </c>
      <c r="C4820" s="1" t="s">
        <v>26</v>
      </c>
      <c r="D4820" s="1" t="s">
        <v>21</v>
      </c>
      <c r="E4820" s="1" t="s">
        <v>37</v>
      </c>
      <c r="F4820" s="1">
        <v>207.73</v>
      </c>
      <c r="G4820" s="1">
        <v>120.95</v>
      </c>
      <c r="H4820" s="1">
        <v>10.0</v>
      </c>
      <c r="I4820" s="1" t="s">
        <v>34</v>
      </c>
      <c r="J4820" s="1" t="s">
        <v>38</v>
      </c>
      <c r="K4820" s="1">
        <f t="shared" si="1"/>
        <v>2023</v>
      </c>
      <c r="L4820" s="1" t="str">
        <f t="shared" si="2"/>
        <v>Oct</v>
      </c>
      <c r="M4820" s="1" t="str">
        <f t="shared" si="3"/>
        <v>Profit</v>
      </c>
    </row>
    <row r="4821" ht="14.25" customHeight="1">
      <c r="A4821" s="1" t="s">
        <v>4855</v>
      </c>
      <c r="B4821" s="2">
        <v>44841.0</v>
      </c>
      <c r="C4821" s="1" t="s">
        <v>20</v>
      </c>
      <c r="D4821" s="1" t="s">
        <v>15</v>
      </c>
      <c r="E4821" s="1" t="s">
        <v>16</v>
      </c>
      <c r="F4821" s="1">
        <v>713.83</v>
      </c>
      <c r="G4821" s="1">
        <v>249.91</v>
      </c>
      <c r="H4821" s="1">
        <v>7.0</v>
      </c>
      <c r="I4821" s="1" t="s">
        <v>34</v>
      </c>
      <c r="J4821" s="1" t="s">
        <v>24</v>
      </c>
      <c r="K4821" s="1">
        <f t="shared" si="1"/>
        <v>2022</v>
      </c>
      <c r="L4821" s="1" t="str">
        <f t="shared" si="2"/>
        <v>Oct</v>
      </c>
      <c r="M4821" s="1" t="str">
        <f t="shared" si="3"/>
        <v>Profit</v>
      </c>
    </row>
    <row r="4822" ht="14.25" customHeight="1">
      <c r="A4822" s="1" t="s">
        <v>4856</v>
      </c>
      <c r="B4822" s="2">
        <v>45060.0</v>
      </c>
      <c r="C4822" s="1" t="s">
        <v>26</v>
      </c>
      <c r="D4822" s="1" t="s">
        <v>27</v>
      </c>
      <c r="E4822" s="1" t="s">
        <v>28</v>
      </c>
      <c r="F4822" s="1">
        <v>204.72</v>
      </c>
      <c r="G4822" s="1">
        <v>-40.83</v>
      </c>
      <c r="H4822" s="1">
        <v>6.0</v>
      </c>
      <c r="I4822" s="1" t="s">
        <v>23</v>
      </c>
      <c r="J4822" s="1" t="s">
        <v>24</v>
      </c>
      <c r="K4822" s="1">
        <f t="shared" si="1"/>
        <v>2023</v>
      </c>
      <c r="L4822" s="1" t="str">
        <f t="shared" si="2"/>
        <v>May</v>
      </c>
      <c r="M4822" s="1" t="str">
        <f t="shared" si="3"/>
        <v>Loss</v>
      </c>
    </row>
    <row r="4823" ht="14.25" customHeight="1">
      <c r="A4823" s="1" t="s">
        <v>4857</v>
      </c>
      <c r="B4823" s="2">
        <v>44217.0</v>
      </c>
      <c r="C4823" s="1" t="s">
        <v>14</v>
      </c>
      <c r="D4823" s="1" t="s">
        <v>27</v>
      </c>
      <c r="E4823" s="1" t="s">
        <v>40</v>
      </c>
      <c r="F4823" s="1">
        <v>890.51</v>
      </c>
      <c r="G4823" s="1">
        <v>-12.94</v>
      </c>
      <c r="H4823" s="1">
        <v>10.0</v>
      </c>
      <c r="I4823" s="1" t="s">
        <v>17</v>
      </c>
      <c r="J4823" s="1" t="s">
        <v>24</v>
      </c>
      <c r="K4823" s="1">
        <f t="shared" si="1"/>
        <v>2021</v>
      </c>
      <c r="L4823" s="1" t="str">
        <f t="shared" si="2"/>
        <v>Jan</v>
      </c>
      <c r="M4823" s="1" t="str">
        <f t="shared" si="3"/>
        <v>Loss</v>
      </c>
    </row>
    <row r="4824" ht="14.25" customHeight="1">
      <c r="A4824" s="1" t="s">
        <v>4858</v>
      </c>
      <c r="B4824" s="2">
        <v>44391.0</v>
      </c>
      <c r="C4824" s="1" t="s">
        <v>20</v>
      </c>
      <c r="D4824" s="1" t="s">
        <v>21</v>
      </c>
      <c r="E4824" s="1" t="s">
        <v>22</v>
      </c>
      <c r="F4824" s="1">
        <v>158.98</v>
      </c>
      <c r="G4824" s="1">
        <v>119.7</v>
      </c>
      <c r="H4824" s="1">
        <v>3.0</v>
      </c>
      <c r="I4824" s="1" t="s">
        <v>34</v>
      </c>
      <c r="J4824" s="1" t="s">
        <v>18</v>
      </c>
      <c r="K4824" s="1">
        <f t="shared" si="1"/>
        <v>2021</v>
      </c>
      <c r="L4824" s="1" t="str">
        <f t="shared" si="2"/>
        <v>Jul</v>
      </c>
      <c r="M4824" s="1" t="str">
        <f t="shared" si="3"/>
        <v>Profit</v>
      </c>
    </row>
    <row r="4825" ht="14.25" customHeight="1">
      <c r="A4825" s="1" t="s">
        <v>4859</v>
      </c>
      <c r="B4825" s="2">
        <v>44249.0</v>
      </c>
      <c r="C4825" s="1" t="s">
        <v>14</v>
      </c>
      <c r="D4825" s="1" t="s">
        <v>15</v>
      </c>
      <c r="E4825" s="1" t="s">
        <v>31</v>
      </c>
      <c r="F4825" s="1">
        <v>141.6</v>
      </c>
      <c r="G4825" s="1">
        <v>-140.99</v>
      </c>
      <c r="H4825" s="1">
        <v>9.0</v>
      </c>
      <c r="I4825" s="1" t="s">
        <v>23</v>
      </c>
      <c r="J4825" s="1" t="s">
        <v>35</v>
      </c>
      <c r="K4825" s="1">
        <f t="shared" si="1"/>
        <v>2021</v>
      </c>
      <c r="L4825" s="1" t="str">
        <f t="shared" si="2"/>
        <v>Feb</v>
      </c>
      <c r="M4825" s="1" t="str">
        <f t="shared" si="3"/>
        <v>Loss</v>
      </c>
    </row>
    <row r="4826" ht="14.25" customHeight="1">
      <c r="A4826" s="1" t="s">
        <v>4860</v>
      </c>
      <c r="B4826" s="2">
        <v>44615.0</v>
      </c>
      <c r="C4826" s="1" t="s">
        <v>14</v>
      </c>
      <c r="D4826" s="1" t="s">
        <v>15</v>
      </c>
      <c r="E4826" s="1" t="s">
        <v>16</v>
      </c>
      <c r="F4826" s="1">
        <v>237.03</v>
      </c>
      <c r="G4826" s="1">
        <v>-63.62</v>
      </c>
      <c r="H4826" s="1">
        <v>10.0</v>
      </c>
      <c r="I4826" s="1" t="s">
        <v>34</v>
      </c>
      <c r="J4826" s="1" t="s">
        <v>18</v>
      </c>
      <c r="K4826" s="1">
        <f t="shared" si="1"/>
        <v>2022</v>
      </c>
      <c r="L4826" s="1" t="str">
        <f t="shared" si="2"/>
        <v>Feb</v>
      </c>
      <c r="M4826" s="1" t="str">
        <f t="shared" si="3"/>
        <v>Loss</v>
      </c>
    </row>
    <row r="4827" ht="14.25" customHeight="1">
      <c r="A4827" s="1" t="s">
        <v>4861</v>
      </c>
      <c r="B4827" s="2">
        <v>44804.0</v>
      </c>
      <c r="C4827" s="1" t="s">
        <v>30</v>
      </c>
      <c r="D4827" s="1" t="s">
        <v>21</v>
      </c>
      <c r="E4827" s="1" t="s">
        <v>37</v>
      </c>
      <c r="F4827" s="1">
        <v>969.69</v>
      </c>
      <c r="G4827" s="1">
        <v>-40.99</v>
      </c>
      <c r="H4827" s="1">
        <v>6.0</v>
      </c>
      <c r="I4827" s="1" t="s">
        <v>34</v>
      </c>
      <c r="J4827" s="1" t="s">
        <v>24</v>
      </c>
      <c r="K4827" s="1">
        <f t="shared" si="1"/>
        <v>2022</v>
      </c>
      <c r="L4827" s="1" t="str">
        <f t="shared" si="2"/>
        <v>Aug</v>
      </c>
      <c r="M4827" s="1" t="str">
        <f t="shared" si="3"/>
        <v>Loss</v>
      </c>
    </row>
    <row r="4828" ht="14.25" customHeight="1">
      <c r="A4828" s="1" t="s">
        <v>4862</v>
      </c>
      <c r="B4828" s="2">
        <v>44522.0</v>
      </c>
      <c r="C4828" s="1" t="s">
        <v>26</v>
      </c>
      <c r="D4828" s="1" t="s">
        <v>21</v>
      </c>
      <c r="E4828" s="1" t="s">
        <v>76</v>
      </c>
      <c r="F4828" s="1">
        <v>161.61</v>
      </c>
      <c r="G4828" s="1">
        <v>83.09</v>
      </c>
      <c r="H4828" s="1">
        <v>9.0</v>
      </c>
      <c r="I4828" s="1" t="s">
        <v>23</v>
      </c>
      <c r="J4828" s="1" t="s">
        <v>24</v>
      </c>
      <c r="K4828" s="1">
        <f t="shared" si="1"/>
        <v>2021</v>
      </c>
      <c r="L4828" s="1" t="str">
        <f t="shared" si="2"/>
        <v>Nov</v>
      </c>
      <c r="M4828" s="1" t="str">
        <f t="shared" si="3"/>
        <v>Profit</v>
      </c>
    </row>
    <row r="4829" ht="14.25" customHeight="1">
      <c r="A4829" s="1" t="s">
        <v>4863</v>
      </c>
      <c r="B4829" s="2">
        <v>44411.0</v>
      </c>
      <c r="C4829" s="1" t="s">
        <v>26</v>
      </c>
      <c r="D4829" s="1" t="s">
        <v>15</v>
      </c>
      <c r="E4829" s="1" t="s">
        <v>16</v>
      </c>
      <c r="F4829" s="1">
        <v>440.55</v>
      </c>
      <c r="G4829" s="1">
        <v>-47.14</v>
      </c>
      <c r="H4829" s="1">
        <v>9.0</v>
      </c>
      <c r="I4829" s="1" t="s">
        <v>17</v>
      </c>
      <c r="J4829" s="1" t="s">
        <v>18</v>
      </c>
      <c r="K4829" s="1">
        <f t="shared" si="1"/>
        <v>2021</v>
      </c>
      <c r="L4829" s="1" t="str">
        <f t="shared" si="2"/>
        <v>Aug</v>
      </c>
      <c r="M4829" s="1" t="str">
        <f t="shared" si="3"/>
        <v>Loss</v>
      </c>
    </row>
    <row r="4830" ht="14.25" customHeight="1">
      <c r="A4830" s="1" t="s">
        <v>4864</v>
      </c>
      <c r="B4830" s="2">
        <v>44885.0</v>
      </c>
      <c r="C4830" s="1" t="s">
        <v>26</v>
      </c>
      <c r="D4830" s="1" t="s">
        <v>15</v>
      </c>
      <c r="E4830" s="1" t="s">
        <v>54</v>
      </c>
      <c r="F4830" s="1">
        <v>380.32</v>
      </c>
      <c r="G4830" s="1">
        <v>-182.49</v>
      </c>
      <c r="H4830" s="1">
        <v>3.0</v>
      </c>
      <c r="I4830" s="1" t="s">
        <v>34</v>
      </c>
      <c r="J4830" s="1" t="s">
        <v>24</v>
      </c>
      <c r="K4830" s="1">
        <f t="shared" si="1"/>
        <v>2022</v>
      </c>
      <c r="L4830" s="1" t="str">
        <f t="shared" si="2"/>
        <v>Nov</v>
      </c>
      <c r="M4830" s="1" t="str">
        <f t="shared" si="3"/>
        <v>Loss</v>
      </c>
    </row>
    <row r="4831" ht="14.25" customHeight="1">
      <c r="A4831" s="1" t="s">
        <v>4865</v>
      </c>
      <c r="B4831" s="2">
        <v>44420.0</v>
      </c>
      <c r="C4831" s="1" t="s">
        <v>26</v>
      </c>
      <c r="D4831" s="1" t="s">
        <v>27</v>
      </c>
      <c r="E4831" s="1" t="s">
        <v>33</v>
      </c>
      <c r="F4831" s="1">
        <v>196.63</v>
      </c>
      <c r="G4831" s="1">
        <v>99.82</v>
      </c>
      <c r="H4831" s="1">
        <v>4.0</v>
      </c>
      <c r="I4831" s="1" t="s">
        <v>34</v>
      </c>
      <c r="J4831" s="1" t="s">
        <v>18</v>
      </c>
      <c r="K4831" s="1">
        <f t="shared" si="1"/>
        <v>2021</v>
      </c>
      <c r="L4831" s="1" t="str">
        <f t="shared" si="2"/>
        <v>Aug</v>
      </c>
      <c r="M4831" s="1" t="str">
        <f t="shared" si="3"/>
        <v>Profit</v>
      </c>
    </row>
    <row r="4832" ht="14.25" customHeight="1">
      <c r="A4832" s="1" t="s">
        <v>4866</v>
      </c>
      <c r="B4832" s="2">
        <v>45052.0</v>
      </c>
      <c r="C4832" s="1" t="s">
        <v>30</v>
      </c>
      <c r="D4832" s="1" t="s">
        <v>27</v>
      </c>
      <c r="E4832" s="1" t="s">
        <v>28</v>
      </c>
      <c r="F4832" s="1">
        <v>541.68</v>
      </c>
      <c r="G4832" s="1">
        <v>-185.05</v>
      </c>
      <c r="H4832" s="1">
        <v>10.0</v>
      </c>
      <c r="I4832" s="1" t="s">
        <v>23</v>
      </c>
      <c r="J4832" s="1" t="s">
        <v>18</v>
      </c>
      <c r="K4832" s="1">
        <f t="shared" si="1"/>
        <v>2023</v>
      </c>
      <c r="L4832" s="1" t="str">
        <f t="shared" si="2"/>
        <v>May</v>
      </c>
      <c r="M4832" s="1" t="str">
        <f t="shared" si="3"/>
        <v>Loss</v>
      </c>
    </row>
    <row r="4833" ht="14.25" customHeight="1">
      <c r="A4833" s="1" t="s">
        <v>4867</v>
      </c>
      <c r="B4833" s="2">
        <v>45190.0</v>
      </c>
      <c r="C4833" s="1" t="s">
        <v>30</v>
      </c>
      <c r="D4833" s="1" t="s">
        <v>27</v>
      </c>
      <c r="E4833" s="1" t="s">
        <v>28</v>
      </c>
      <c r="F4833" s="1">
        <v>41.59</v>
      </c>
      <c r="G4833" s="1">
        <v>112.59</v>
      </c>
      <c r="H4833" s="1">
        <v>1.0</v>
      </c>
      <c r="I4833" s="1" t="s">
        <v>17</v>
      </c>
      <c r="J4833" s="1" t="s">
        <v>35</v>
      </c>
      <c r="K4833" s="1">
        <f t="shared" si="1"/>
        <v>2023</v>
      </c>
      <c r="L4833" s="1" t="str">
        <f t="shared" si="2"/>
        <v>Sep</v>
      </c>
      <c r="M4833" s="1" t="str">
        <f t="shared" si="3"/>
        <v>Profit</v>
      </c>
    </row>
    <row r="4834" ht="14.25" customHeight="1">
      <c r="A4834" s="1" t="s">
        <v>4868</v>
      </c>
      <c r="B4834" s="2">
        <v>45094.0</v>
      </c>
      <c r="C4834" s="1" t="s">
        <v>26</v>
      </c>
      <c r="D4834" s="1" t="s">
        <v>15</v>
      </c>
      <c r="E4834" s="1" t="s">
        <v>16</v>
      </c>
      <c r="F4834" s="1">
        <v>760.52</v>
      </c>
      <c r="G4834" s="1">
        <v>134.45</v>
      </c>
      <c r="H4834" s="1">
        <v>5.0</v>
      </c>
      <c r="I4834" s="1" t="s">
        <v>23</v>
      </c>
      <c r="J4834" s="1" t="s">
        <v>35</v>
      </c>
      <c r="K4834" s="1">
        <f t="shared" si="1"/>
        <v>2023</v>
      </c>
      <c r="L4834" s="1" t="str">
        <f t="shared" si="2"/>
        <v>Jun</v>
      </c>
      <c r="M4834" s="1" t="str">
        <f t="shared" si="3"/>
        <v>Profit</v>
      </c>
    </row>
    <row r="4835" ht="14.25" customHeight="1">
      <c r="A4835" s="1" t="s">
        <v>4869</v>
      </c>
      <c r="B4835" s="2">
        <v>44731.0</v>
      </c>
      <c r="C4835" s="1" t="s">
        <v>20</v>
      </c>
      <c r="D4835" s="1" t="s">
        <v>27</v>
      </c>
      <c r="E4835" s="1" t="s">
        <v>40</v>
      </c>
      <c r="F4835" s="1">
        <v>188.08</v>
      </c>
      <c r="G4835" s="1">
        <v>85.95</v>
      </c>
      <c r="H4835" s="1">
        <v>3.0</v>
      </c>
      <c r="I4835" s="1" t="s">
        <v>17</v>
      </c>
      <c r="J4835" s="1" t="s">
        <v>24</v>
      </c>
      <c r="K4835" s="1">
        <f t="shared" si="1"/>
        <v>2022</v>
      </c>
      <c r="L4835" s="1" t="str">
        <f t="shared" si="2"/>
        <v>Jun</v>
      </c>
      <c r="M4835" s="1" t="str">
        <f t="shared" si="3"/>
        <v>Profit</v>
      </c>
    </row>
    <row r="4836" ht="14.25" customHeight="1">
      <c r="A4836" s="1" t="s">
        <v>4870</v>
      </c>
      <c r="B4836" s="2">
        <v>44579.0</v>
      </c>
      <c r="C4836" s="1" t="s">
        <v>20</v>
      </c>
      <c r="D4836" s="1" t="s">
        <v>21</v>
      </c>
      <c r="E4836" s="1" t="s">
        <v>76</v>
      </c>
      <c r="F4836" s="1">
        <v>377.48</v>
      </c>
      <c r="G4836" s="1">
        <v>297.61</v>
      </c>
      <c r="H4836" s="1">
        <v>4.0</v>
      </c>
      <c r="I4836" s="1" t="s">
        <v>17</v>
      </c>
      <c r="J4836" s="1" t="s">
        <v>38</v>
      </c>
      <c r="K4836" s="1">
        <f t="shared" si="1"/>
        <v>2022</v>
      </c>
      <c r="L4836" s="1" t="str">
        <f t="shared" si="2"/>
        <v>Jan</v>
      </c>
      <c r="M4836" s="1" t="str">
        <f t="shared" si="3"/>
        <v>Profit</v>
      </c>
    </row>
    <row r="4837" ht="14.25" customHeight="1">
      <c r="A4837" s="1" t="s">
        <v>4871</v>
      </c>
      <c r="B4837" s="2">
        <v>44485.0</v>
      </c>
      <c r="C4837" s="1" t="s">
        <v>26</v>
      </c>
      <c r="D4837" s="1" t="s">
        <v>21</v>
      </c>
      <c r="E4837" s="1" t="s">
        <v>22</v>
      </c>
      <c r="F4837" s="1">
        <v>750.92</v>
      </c>
      <c r="G4837" s="1">
        <v>-6.76</v>
      </c>
      <c r="H4837" s="1">
        <v>4.0</v>
      </c>
      <c r="I4837" s="1" t="s">
        <v>34</v>
      </c>
      <c r="J4837" s="1" t="s">
        <v>24</v>
      </c>
      <c r="K4837" s="1">
        <f t="shared" si="1"/>
        <v>2021</v>
      </c>
      <c r="L4837" s="1" t="str">
        <f t="shared" si="2"/>
        <v>Oct</v>
      </c>
      <c r="M4837" s="1" t="str">
        <f t="shared" si="3"/>
        <v>Loss</v>
      </c>
    </row>
    <row r="4838" ht="14.25" customHeight="1">
      <c r="A4838" s="1" t="s">
        <v>4872</v>
      </c>
      <c r="B4838" s="2">
        <v>45177.0</v>
      </c>
      <c r="C4838" s="1" t="s">
        <v>30</v>
      </c>
      <c r="D4838" s="1" t="s">
        <v>27</v>
      </c>
      <c r="E4838" s="1" t="s">
        <v>33</v>
      </c>
      <c r="F4838" s="1">
        <v>175.53</v>
      </c>
      <c r="G4838" s="1">
        <v>-25.85</v>
      </c>
      <c r="H4838" s="1">
        <v>5.0</v>
      </c>
      <c r="I4838" s="1" t="s">
        <v>34</v>
      </c>
      <c r="J4838" s="1" t="s">
        <v>24</v>
      </c>
      <c r="K4838" s="1">
        <f t="shared" si="1"/>
        <v>2023</v>
      </c>
      <c r="L4838" s="1" t="str">
        <f t="shared" si="2"/>
        <v>Sep</v>
      </c>
      <c r="M4838" s="1" t="str">
        <f t="shared" si="3"/>
        <v>Loss</v>
      </c>
    </row>
    <row r="4839" ht="14.25" customHeight="1">
      <c r="A4839" s="1" t="s">
        <v>4873</v>
      </c>
      <c r="B4839" s="2">
        <v>44440.0</v>
      </c>
      <c r="C4839" s="1" t="s">
        <v>14</v>
      </c>
      <c r="D4839" s="1" t="s">
        <v>15</v>
      </c>
      <c r="E4839" s="1" t="s">
        <v>16</v>
      </c>
      <c r="F4839" s="1">
        <v>47.65</v>
      </c>
      <c r="G4839" s="1">
        <v>36.62</v>
      </c>
      <c r="H4839" s="1">
        <v>4.0</v>
      </c>
      <c r="I4839" s="1" t="s">
        <v>23</v>
      </c>
      <c r="J4839" s="1" t="s">
        <v>38</v>
      </c>
      <c r="K4839" s="1">
        <f t="shared" si="1"/>
        <v>2021</v>
      </c>
      <c r="L4839" s="1" t="str">
        <f t="shared" si="2"/>
        <v>Sep</v>
      </c>
      <c r="M4839" s="1" t="str">
        <f t="shared" si="3"/>
        <v>Profit</v>
      </c>
    </row>
    <row r="4840" ht="14.25" customHeight="1">
      <c r="A4840" s="1" t="s">
        <v>4874</v>
      </c>
      <c r="B4840" s="2">
        <v>44335.0</v>
      </c>
      <c r="C4840" s="1" t="s">
        <v>26</v>
      </c>
      <c r="D4840" s="1" t="s">
        <v>15</v>
      </c>
      <c r="E4840" s="1" t="s">
        <v>31</v>
      </c>
      <c r="F4840" s="1">
        <v>238.64</v>
      </c>
      <c r="G4840" s="1">
        <v>124.42</v>
      </c>
      <c r="H4840" s="1">
        <v>1.0</v>
      </c>
      <c r="I4840" s="1" t="s">
        <v>34</v>
      </c>
      <c r="J4840" s="1" t="s">
        <v>38</v>
      </c>
      <c r="K4840" s="1">
        <f t="shared" si="1"/>
        <v>2021</v>
      </c>
      <c r="L4840" s="1" t="str">
        <f t="shared" si="2"/>
        <v>May</v>
      </c>
      <c r="M4840" s="1" t="str">
        <f t="shared" si="3"/>
        <v>Profit</v>
      </c>
    </row>
    <row r="4841" ht="14.25" customHeight="1">
      <c r="A4841" s="1" t="s">
        <v>4875</v>
      </c>
      <c r="B4841" s="2">
        <v>45147.0</v>
      </c>
      <c r="C4841" s="1" t="s">
        <v>26</v>
      </c>
      <c r="D4841" s="1" t="s">
        <v>21</v>
      </c>
      <c r="E4841" s="1" t="s">
        <v>37</v>
      </c>
      <c r="F4841" s="1">
        <v>292.22</v>
      </c>
      <c r="G4841" s="1">
        <v>258.61</v>
      </c>
      <c r="H4841" s="1">
        <v>9.0</v>
      </c>
      <c r="I4841" s="1" t="s">
        <v>17</v>
      </c>
      <c r="J4841" s="1" t="s">
        <v>24</v>
      </c>
      <c r="K4841" s="1">
        <f t="shared" si="1"/>
        <v>2023</v>
      </c>
      <c r="L4841" s="1" t="str">
        <f t="shared" si="2"/>
        <v>Aug</v>
      </c>
      <c r="M4841" s="1" t="str">
        <f t="shared" si="3"/>
        <v>Profit</v>
      </c>
    </row>
    <row r="4842" ht="14.25" customHeight="1">
      <c r="A4842" s="1" t="s">
        <v>4876</v>
      </c>
      <c r="B4842" s="2">
        <v>45273.0</v>
      </c>
      <c r="C4842" s="1" t="s">
        <v>20</v>
      </c>
      <c r="D4842" s="1" t="s">
        <v>15</v>
      </c>
      <c r="E4842" s="1" t="s">
        <v>16</v>
      </c>
      <c r="F4842" s="1">
        <v>96.39</v>
      </c>
      <c r="G4842" s="1">
        <v>275.04</v>
      </c>
      <c r="H4842" s="1">
        <v>2.0</v>
      </c>
      <c r="I4842" s="1" t="s">
        <v>17</v>
      </c>
      <c r="J4842" s="1" t="s">
        <v>38</v>
      </c>
      <c r="K4842" s="1">
        <f t="shared" si="1"/>
        <v>2023</v>
      </c>
      <c r="L4842" s="1" t="str">
        <f t="shared" si="2"/>
        <v>Dec</v>
      </c>
      <c r="M4842" s="1" t="str">
        <f t="shared" si="3"/>
        <v>Profit</v>
      </c>
    </row>
    <row r="4843" ht="14.25" customHeight="1">
      <c r="A4843" s="1" t="s">
        <v>4877</v>
      </c>
      <c r="B4843" s="2">
        <v>44218.0</v>
      </c>
      <c r="C4843" s="1" t="s">
        <v>26</v>
      </c>
      <c r="D4843" s="1" t="s">
        <v>27</v>
      </c>
      <c r="E4843" s="1" t="s">
        <v>28</v>
      </c>
      <c r="F4843" s="1">
        <v>891.01</v>
      </c>
      <c r="G4843" s="1">
        <v>10.44</v>
      </c>
      <c r="H4843" s="1">
        <v>2.0</v>
      </c>
      <c r="I4843" s="1" t="s">
        <v>23</v>
      </c>
      <c r="J4843" s="1" t="s">
        <v>18</v>
      </c>
      <c r="K4843" s="1">
        <f t="shared" si="1"/>
        <v>2021</v>
      </c>
      <c r="L4843" s="1" t="str">
        <f t="shared" si="2"/>
        <v>Jan</v>
      </c>
      <c r="M4843" s="1" t="str">
        <f t="shared" si="3"/>
        <v>Profit</v>
      </c>
    </row>
    <row r="4844" ht="14.25" customHeight="1">
      <c r="A4844" s="1" t="s">
        <v>4878</v>
      </c>
      <c r="B4844" s="2">
        <v>45149.0</v>
      </c>
      <c r="C4844" s="1" t="s">
        <v>30</v>
      </c>
      <c r="D4844" s="1" t="s">
        <v>27</v>
      </c>
      <c r="E4844" s="1" t="s">
        <v>40</v>
      </c>
      <c r="F4844" s="1">
        <v>284.62</v>
      </c>
      <c r="G4844" s="1">
        <v>-180.87</v>
      </c>
      <c r="H4844" s="1">
        <v>5.0</v>
      </c>
      <c r="I4844" s="1" t="s">
        <v>34</v>
      </c>
      <c r="J4844" s="1" t="s">
        <v>38</v>
      </c>
      <c r="K4844" s="1">
        <f t="shared" si="1"/>
        <v>2023</v>
      </c>
      <c r="L4844" s="1" t="str">
        <f t="shared" si="2"/>
        <v>Aug</v>
      </c>
      <c r="M4844" s="1" t="str">
        <f t="shared" si="3"/>
        <v>Loss</v>
      </c>
    </row>
    <row r="4845" ht="14.25" customHeight="1">
      <c r="A4845" s="1" t="s">
        <v>4879</v>
      </c>
      <c r="B4845" s="2">
        <v>44614.0</v>
      </c>
      <c r="C4845" s="1" t="s">
        <v>20</v>
      </c>
      <c r="D4845" s="1" t="s">
        <v>15</v>
      </c>
      <c r="E4845" s="1" t="s">
        <v>16</v>
      </c>
      <c r="F4845" s="1">
        <v>506.05</v>
      </c>
      <c r="G4845" s="1">
        <v>249.85</v>
      </c>
      <c r="H4845" s="1">
        <v>4.0</v>
      </c>
      <c r="I4845" s="1" t="s">
        <v>34</v>
      </c>
      <c r="J4845" s="1" t="s">
        <v>38</v>
      </c>
      <c r="K4845" s="1">
        <f t="shared" si="1"/>
        <v>2022</v>
      </c>
      <c r="L4845" s="1" t="str">
        <f t="shared" si="2"/>
        <v>Feb</v>
      </c>
      <c r="M4845" s="1" t="str">
        <f t="shared" si="3"/>
        <v>Profit</v>
      </c>
    </row>
    <row r="4846" ht="14.25" customHeight="1">
      <c r="A4846" s="1" t="s">
        <v>4880</v>
      </c>
      <c r="B4846" s="2">
        <v>44776.0</v>
      </c>
      <c r="C4846" s="1" t="s">
        <v>20</v>
      </c>
      <c r="D4846" s="1" t="s">
        <v>21</v>
      </c>
      <c r="E4846" s="1" t="s">
        <v>22</v>
      </c>
      <c r="F4846" s="1">
        <v>533.76</v>
      </c>
      <c r="G4846" s="1">
        <v>201.4</v>
      </c>
      <c r="H4846" s="1">
        <v>6.0</v>
      </c>
      <c r="I4846" s="1" t="s">
        <v>17</v>
      </c>
      <c r="J4846" s="1" t="s">
        <v>24</v>
      </c>
      <c r="K4846" s="1">
        <f t="shared" si="1"/>
        <v>2022</v>
      </c>
      <c r="L4846" s="1" t="str">
        <f t="shared" si="2"/>
        <v>Aug</v>
      </c>
      <c r="M4846" s="1" t="str">
        <f t="shared" si="3"/>
        <v>Profit</v>
      </c>
    </row>
    <row r="4847" ht="14.25" customHeight="1">
      <c r="A4847" s="1" t="s">
        <v>4881</v>
      </c>
      <c r="B4847" s="2">
        <v>44950.0</v>
      </c>
      <c r="C4847" s="1" t="s">
        <v>30</v>
      </c>
      <c r="D4847" s="1" t="s">
        <v>15</v>
      </c>
      <c r="E4847" s="1" t="s">
        <v>31</v>
      </c>
      <c r="F4847" s="1">
        <v>335.45</v>
      </c>
      <c r="G4847" s="1">
        <v>97.43</v>
      </c>
      <c r="H4847" s="1">
        <v>9.0</v>
      </c>
      <c r="I4847" s="1" t="s">
        <v>34</v>
      </c>
      <c r="J4847" s="1" t="s">
        <v>35</v>
      </c>
      <c r="K4847" s="1">
        <f t="shared" si="1"/>
        <v>2023</v>
      </c>
      <c r="L4847" s="1" t="str">
        <f t="shared" si="2"/>
        <v>Jan</v>
      </c>
      <c r="M4847" s="1" t="str">
        <f t="shared" si="3"/>
        <v>Profit</v>
      </c>
    </row>
    <row r="4848" ht="14.25" customHeight="1">
      <c r="A4848" s="1" t="s">
        <v>4882</v>
      </c>
      <c r="B4848" s="2">
        <v>44736.0</v>
      </c>
      <c r="C4848" s="1" t="s">
        <v>20</v>
      </c>
      <c r="D4848" s="1" t="s">
        <v>21</v>
      </c>
      <c r="E4848" s="1" t="s">
        <v>37</v>
      </c>
      <c r="F4848" s="1">
        <v>306.4</v>
      </c>
      <c r="G4848" s="1">
        <v>85.15</v>
      </c>
      <c r="H4848" s="1">
        <v>7.0</v>
      </c>
      <c r="I4848" s="1" t="s">
        <v>23</v>
      </c>
      <c r="J4848" s="1" t="s">
        <v>18</v>
      </c>
      <c r="K4848" s="1">
        <f t="shared" si="1"/>
        <v>2022</v>
      </c>
      <c r="L4848" s="1" t="str">
        <f t="shared" si="2"/>
        <v>Jun</v>
      </c>
      <c r="M4848" s="1" t="str">
        <f t="shared" si="3"/>
        <v>Profit</v>
      </c>
    </row>
    <row r="4849" ht="14.25" customHeight="1">
      <c r="A4849" s="1" t="s">
        <v>4883</v>
      </c>
      <c r="B4849" s="2">
        <v>44501.0</v>
      </c>
      <c r="C4849" s="1" t="s">
        <v>20</v>
      </c>
      <c r="D4849" s="1" t="s">
        <v>21</v>
      </c>
      <c r="E4849" s="1" t="s">
        <v>22</v>
      </c>
      <c r="F4849" s="1">
        <v>873.72</v>
      </c>
      <c r="G4849" s="1">
        <v>233.83</v>
      </c>
      <c r="H4849" s="1">
        <v>4.0</v>
      </c>
      <c r="I4849" s="1" t="s">
        <v>34</v>
      </c>
      <c r="J4849" s="1" t="s">
        <v>18</v>
      </c>
      <c r="K4849" s="1">
        <f t="shared" si="1"/>
        <v>2021</v>
      </c>
      <c r="L4849" s="1" t="str">
        <f t="shared" si="2"/>
        <v>Nov</v>
      </c>
      <c r="M4849" s="1" t="str">
        <f t="shared" si="3"/>
        <v>Profit</v>
      </c>
    </row>
    <row r="4850" ht="14.25" customHeight="1">
      <c r="A4850" s="1" t="s">
        <v>4884</v>
      </c>
      <c r="B4850" s="2">
        <v>44346.0</v>
      </c>
      <c r="C4850" s="1" t="s">
        <v>30</v>
      </c>
      <c r="D4850" s="1" t="s">
        <v>21</v>
      </c>
      <c r="E4850" s="1" t="s">
        <v>76</v>
      </c>
      <c r="F4850" s="1">
        <v>461.47</v>
      </c>
      <c r="G4850" s="1">
        <v>64.39</v>
      </c>
      <c r="H4850" s="1">
        <v>2.0</v>
      </c>
      <c r="I4850" s="1" t="s">
        <v>23</v>
      </c>
      <c r="J4850" s="1" t="s">
        <v>24</v>
      </c>
      <c r="K4850" s="1">
        <f t="shared" si="1"/>
        <v>2021</v>
      </c>
      <c r="L4850" s="1" t="str">
        <f t="shared" si="2"/>
        <v>May</v>
      </c>
      <c r="M4850" s="1" t="str">
        <f t="shared" si="3"/>
        <v>Profit</v>
      </c>
    </row>
    <row r="4851" ht="14.25" customHeight="1">
      <c r="A4851" s="1" t="s">
        <v>4885</v>
      </c>
      <c r="B4851" s="2">
        <v>44693.0</v>
      </c>
      <c r="C4851" s="1" t="s">
        <v>14</v>
      </c>
      <c r="D4851" s="1" t="s">
        <v>21</v>
      </c>
      <c r="E4851" s="1" t="s">
        <v>22</v>
      </c>
      <c r="F4851" s="1">
        <v>682.02</v>
      </c>
      <c r="G4851" s="1">
        <v>-123.26</v>
      </c>
      <c r="H4851" s="1">
        <v>5.0</v>
      </c>
      <c r="I4851" s="1" t="s">
        <v>17</v>
      </c>
      <c r="J4851" s="1" t="s">
        <v>24</v>
      </c>
      <c r="K4851" s="1">
        <f t="shared" si="1"/>
        <v>2022</v>
      </c>
      <c r="L4851" s="1" t="str">
        <f t="shared" si="2"/>
        <v>May</v>
      </c>
      <c r="M4851" s="1" t="str">
        <f t="shared" si="3"/>
        <v>Loss</v>
      </c>
    </row>
    <row r="4852" ht="14.25" customHeight="1">
      <c r="A4852" s="1" t="s">
        <v>4886</v>
      </c>
      <c r="B4852" s="2">
        <v>45223.0</v>
      </c>
      <c r="C4852" s="1" t="s">
        <v>26</v>
      </c>
      <c r="D4852" s="1" t="s">
        <v>27</v>
      </c>
      <c r="E4852" s="1" t="s">
        <v>33</v>
      </c>
      <c r="F4852" s="1">
        <v>898.7</v>
      </c>
      <c r="G4852" s="1">
        <v>-67.43</v>
      </c>
      <c r="H4852" s="1">
        <v>1.0</v>
      </c>
      <c r="I4852" s="1" t="s">
        <v>17</v>
      </c>
      <c r="J4852" s="1" t="s">
        <v>24</v>
      </c>
      <c r="K4852" s="1">
        <f t="shared" si="1"/>
        <v>2023</v>
      </c>
      <c r="L4852" s="1" t="str">
        <f t="shared" si="2"/>
        <v>Oct</v>
      </c>
      <c r="M4852" s="1" t="str">
        <f t="shared" si="3"/>
        <v>Loss</v>
      </c>
    </row>
    <row r="4853" ht="14.25" customHeight="1">
      <c r="A4853" s="1" t="s">
        <v>4887</v>
      </c>
      <c r="B4853" s="2">
        <v>45229.0</v>
      </c>
      <c r="C4853" s="1" t="s">
        <v>14</v>
      </c>
      <c r="D4853" s="1" t="s">
        <v>21</v>
      </c>
      <c r="E4853" s="1" t="s">
        <v>37</v>
      </c>
      <c r="F4853" s="1">
        <v>391.15</v>
      </c>
      <c r="G4853" s="1">
        <v>167.48</v>
      </c>
      <c r="H4853" s="1">
        <v>1.0</v>
      </c>
      <c r="I4853" s="1" t="s">
        <v>17</v>
      </c>
      <c r="J4853" s="1" t="s">
        <v>38</v>
      </c>
      <c r="K4853" s="1">
        <f t="shared" si="1"/>
        <v>2023</v>
      </c>
      <c r="L4853" s="1" t="str">
        <f t="shared" si="2"/>
        <v>Oct</v>
      </c>
      <c r="M4853" s="1" t="str">
        <f t="shared" si="3"/>
        <v>Profit</v>
      </c>
    </row>
    <row r="4854" ht="14.25" customHeight="1">
      <c r="A4854" s="1" t="s">
        <v>4888</v>
      </c>
      <c r="B4854" s="2">
        <v>44668.0</v>
      </c>
      <c r="C4854" s="1" t="s">
        <v>26</v>
      </c>
      <c r="D4854" s="1" t="s">
        <v>15</v>
      </c>
      <c r="E4854" s="1" t="s">
        <v>31</v>
      </c>
      <c r="F4854" s="1">
        <v>960.9</v>
      </c>
      <c r="G4854" s="1">
        <v>172.47</v>
      </c>
      <c r="H4854" s="1">
        <v>5.0</v>
      </c>
      <c r="I4854" s="1" t="s">
        <v>34</v>
      </c>
      <c r="J4854" s="1" t="s">
        <v>35</v>
      </c>
      <c r="K4854" s="1">
        <f t="shared" si="1"/>
        <v>2022</v>
      </c>
      <c r="L4854" s="1" t="str">
        <f t="shared" si="2"/>
        <v>Apr</v>
      </c>
      <c r="M4854" s="1" t="str">
        <f t="shared" si="3"/>
        <v>Profit</v>
      </c>
    </row>
    <row r="4855" ht="14.25" customHeight="1">
      <c r="A4855" s="1" t="s">
        <v>4889</v>
      </c>
      <c r="B4855" s="2">
        <v>44980.0</v>
      </c>
      <c r="C4855" s="1" t="s">
        <v>14</v>
      </c>
      <c r="D4855" s="1" t="s">
        <v>15</v>
      </c>
      <c r="E4855" s="1" t="s">
        <v>54</v>
      </c>
      <c r="F4855" s="1">
        <v>808.35</v>
      </c>
      <c r="G4855" s="1">
        <v>-95.15</v>
      </c>
      <c r="H4855" s="1">
        <v>1.0</v>
      </c>
      <c r="I4855" s="1" t="s">
        <v>17</v>
      </c>
      <c r="J4855" s="1" t="s">
        <v>24</v>
      </c>
      <c r="K4855" s="1">
        <f t="shared" si="1"/>
        <v>2023</v>
      </c>
      <c r="L4855" s="1" t="str">
        <f t="shared" si="2"/>
        <v>Feb</v>
      </c>
      <c r="M4855" s="1" t="str">
        <f t="shared" si="3"/>
        <v>Loss</v>
      </c>
    </row>
    <row r="4856" ht="14.25" customHeight="1">
      <c r="A4856" s="1" t="s">
        <v>4890</v>
      </c>
      <c r="B4856" s="2">
        <v>44553.0</v>
      </c>
      <c r="C4856" s="1" t="s">
        <v>30</v>
      </c>
      <c r="D4856" s="1" t="s">
        <v>21</v>
      </c>
      <c r="E4856" s="1" t="s">
        <v>76</v>
      </c>
      <c r="F4856" s="1">
        <v>134.04</v>
      </c>
      <c r="G4856" s="1">
        <v>228.5</v>
      </c>
      <c r="H4856" s="1">
        <v>5.0</v>
      </c>
      <c r="I4856" s="1" t="s">
        <v>34</v>
      </c>
      <c r="J4856" s="1" t="s">
        <v>38</v>
      </c>
      <c r="K4856" s="1">
        <f t="shared" si="1"/>
        <v>2021</v>
      </c>
      <c r="L4856" s="1" t="str">
        <f t="shared" si="2"/>
        <v>Dec</v>
      </c>
      <c r="M4856" s="1" t="str">
        <f t="shared" si="3"/>
        <v>Profit</v>
      </c>
    </row>
    <row r="4857" ht="14.25" customHeight="1">
      <c r="A4857" s="1" t="s">
        <v>4891</v>
      </c>
      <c r="B4857" s="2">
        <v>44289.0</v>
      </c>
      <c r="C4857" s="1" t="s">
        <v>14</v>
      </c>
      <c r="D4857" s="1" t="s">
        <v>21</v>
      </c>
      <c r="E4857" s="1" t="s">
        <v>37</v>
      </c>
      <c r="F4857" s="1">
        <v>466.05</v>
      </c>
      <c r="G4857" s="1">
        <v>-37.34</v>
      </c>
      <c r="H4857" s="1">
        <v>2.0</v>
      </c>
      <c r="I4857" s="1" t="s">
        <v>23</v>
      </c>
      <c r="J4857" s="1" t="s">
        <v>38</v>
      </c>
      <c r="K4857" s="1">
        <f t="shared" si="1"/>
        <v>2021</v>
      </c>
      <c r="L4857" s="1" t="str">
        <f t="shared" si="2"/>
        <v>Apr</v>
      </c>
      <c r="M4857" s="1" t="str">
        <f t="shared" si="3"/>
        <v>Loss</v>
      </c>
    </row>
    <row r="4858" ht="14.25" customHeight="1">
      <c r="A4858" s="1" t="s">
        <v>4892</v>
      </c>
      <c r="B4858" s="2">
        <v>44712.0</v>
      </c>
      <c r="C4858" s="1" t="s">
        <v>20</v>
      </c>
      <c r="D4858" s="1" t="s">
        <v>21</v>
      </c>
      <c r="E4858" s="1" t="s">
        <v>37</v>
      </c>
      <c r="F4858" s="1">
        <v>862.26</v>
      </c>
      <c r="G4858" s="1">
        <v>178.48</v>
      </c>
      <c r="H4858" s="1">
        <v>4.0</v>
      </c>
      <c r="I4858" s="1" t="s">
        <v>34</v>
      </c>
      <c r="J4858" s="1" t="s">
        <v>35</v>
      </c>
      <c r="K4858" s="1">
        <f t="shared" si="1"/>
        <v>2022</v>
      </c>
      <c r="L4858" s="1" t="str">
        <f t="shared" si="2"/>
        <v>May</v>
      </c>
      <c r="M4858" s="1" t="str">
        <f t="shared" si="3"/>
        <v>Profit</v>
      </c>
    </row>
    <row r="4859" ht="14.25" customHeight="1">
      <c r="A4859" s="1" t="s">
        <v>4893</v>
      </c>
      <c r="B4859" s="2">
        <v>44302.0</v>
      </c>
      <c r="C4859" s="1" t="s">
        <v>26</v>
      </c>
      <c r="D4859" s="1" t="s">
        <v>15</v>
      </c>
      <c r="E4859" s="1" t="s">
        <v>16</v>
      </c>
      <c r="F4859" s="1">
        <v>713.38</v>
      </c>
      <c r="G4859" s="1">
        <v>-47.15</v>
      </c>
      <c r="H4859" s="1">
        <v>5.0</v>
      </c>
      <c r="I4859" s="1" t="s">
        <v>34</v>
      </c>
      <c r="J4859" s="1" t="s">
        <v>35</v>
      </c>
      <c r="K4859" s="1">
        <f t="shared" si="1"/>
        <v>2021</v>
      </c>
      <c r="L4859" s="1" t="str">
        <f t="shared" si="2"/>
        <v>Apr</v>
      </c>
      <c r="M4859" s="1" t="str">
        <f t="shared" si="3"/>
        <v>Loss</v>
      </c>
    </row>
    <row r="4860" ht="14.25" customHeight="1">
      <c r="A4860" s="1" t="s">
        <v>4894</v>
      </c>
      <c r="B4860" s="2">
        <v>45219.0</v>
      </c>
      <c r="C4860" s="1" t="s">
        <v>14</v>
      </c>
      <c r="D4860" s="1" t="s">
        <v>27</v>
      </c>
      <c r="E4860" s="1" t="s">
        <v>28</v>
      </c>
      <c r="F4860" s="1">
        <v>284.23</v>
      </c>
      <c r="G4860" s="1">
        <v>-13.18</v>
      </c>
      <c r="H4860" s="1">
        <v>6.0</v>
      </c>
      <c r="I4860" s="1" t="s">
        <v>23</v>
      </c>
      <c r="J4860" s="1" t="s">
        <v>35</v>
      </c>
      <c r="K4860" s="1">
        <f t="shared" si="1"/>
        <v>2023</v>
      </c>
      <c r="L4860" s="1" t="str">
        <f t="shared" si="2"/>
        <v>Oct</v>
      </c>
      <c r="M4860" s="1" t="str">
        <f t="shared" si="3"/>
        <v>Loss</v>
      </c>
    </row>
    <row r="4861" ht="14.25" customHeight="1">
      <c r="A4861" s="1" t="s">
        <v>4895</v>
      </c>
      <c r="B4861" s="2">
        <v>45126.0</v>
      </c>
      <c r="C4861" s="1" t="s">
        <v>20</v>
      </c>
      <c r="D4861" s="1" t="s">
        <v>27</v>
      </c>
      <c r="E4861" s="1" t="s">
        <v>40</v>
      </c>
      <c r="F4861" s="1">
        <v>432.2</v>
      </c>
      <c r="G4861" s="1">
        <v>-170.18</v>
      </c>
      <c r="H4861" s="1">
        <v>1.0</v>
      </c>
      <c r="I4861" s="1" t="s">
        <v>17</v>
      </c>
      <c r="J4861" s="1" t="s">
        <v>24</v>
      </c>
      <c r="K4861" s="1">
        <f t="shared" si="1"/>
        <v>2023</v>
      </c>
      <c r="L4861" s="1" t="str">
        <f t="shared" si="2"/>
        <v>Jul</v>
      </c>
      <c r="M4861" s="1" t="str">
        <f t="shared" si="3"/>
        <v>Loss</v>
      </c>
    </row>
    <row r="4862" ht="14.25" customHeight="1">
      <c r="A4862" s="1" t="s">
        <v>4896</v>
      </c>
      <c r="B4862" s="2">
        <v>44778.0</v>
      </c>
      <c r="C4862" s="1" t="s">
        <v>14</v>
      </c>
      <c r="D4862" s="1" t="s">
        <v>27</v>
      </c>
      <c r="E4862" s="1" t="s">
        <v>33</v>
      </c>
      <c r="F4862" s="1">
        <v>427.58</v>
      </c>
      <c r="G4862" s="1">
        <v>73.93</v>
      </c>
      <c r="H4862" s="1">
        <v>2.0</v>
      </c>
      <c r="I4862" s="1" t="s">
        <v>23</v>
      </c>
      <c r="J4862" s="1" t="s">
        <v>18</v>
      </c>
      <c r="K4862" s="1">
        <f t="shared" si="1"/>
        <v>2022</v>
      </c>
      <c r="L4862" s="1" t="str">
        <f t="shared" si="2"/>
        <v>Aug</v>
      </c>
      <c r="M4862" s="1" t="str">
        <f t="shared" si="3"/>
        <v>Profit</v>
      </c>
    </row>
    <row r="4863" ht="14.25" customHeight="1">
      <c r="A4863" s="1" t="s">
        <v>4897</v>
      </c>
      <c r="B4863" s="2">
        <v>44330.0</v>
      </c>
      <c r="C4863" s="1" t="s">
        <v>14</v>
      </c>
      <c r="D4863" s="1" t="s">
        <v>15</v>
      </c>
      <c r="E4863" s="1" t="s">
        <v>54</v>
      </c>
      <c r="F4863" s="1">
        <v>283.21</v>
      </c>
      <c r="G4863" s="1">
        <v>-7.56</v>
      </c>
      <c r="H4863" s="1">
        <v>8.0</v>
      </c>
      <c r="I4863" s="1" t="s">
        <v>23</v>
      </c>
      <c r="J4863" s="1" t="s">
        <v>18</v>
      </c>
      <c r="K4863" s="1">
        <f t="shared" si="1"/>
        <v>2021</v>
      </c>
      <c r="L4863" s="1" t="str">
        <f t="shared" si="2"/>
        <v>May</v>
      </c>
      <c r="M4863" s="1" t="str">
        <f t="shared" si="3"/>
        <v>Loss</v>
      </c>
    </row>
    <row r="4864" ht="14.25" customHeight="1">
      <c r="A4864" s="1" t="s">
        <v>4898</v>
      </c>
      <c r="B4864" s="2">
        <v>45052.0</v>
      </c>
      <c r="C4864" s="1" t="s">
        <v>26</v>
      </c>
      <c r="D4864" s="1" t="s">
        <v>21</v>
      </c>
      <c r="E4864" s="1" t="s">
        <v>76</v>
      </c>
      <c r="F4864" s="1">
        <v>237.21</v>
      </c>
      <c r="G4864" s="1">
        <v>123.33</v>
      </c>
      <c r="H4864" s="1">
        <v>5.0</v>
      </c>
      <c r="I4864" s="1" t="s">
        <v>23</v>
      </c>
      <c r="J4864" s="1" t="s">
        <v>18</v>
      </c>
      <c r="K4864" s="1">
        <f t="shared" si="1"/>
        <v>2023</v>
      </c>
      <c r="L4864" s="1" t="str">
        <f t="shared" si="2"/>
        <v>May</v>
      </c>
      <c r="M4864" s="1" t="str">
        <f t="shared" si="3"/>
        <v>Profit</v>
      </c>
    </row>
    <row r="4865" ht="14.25" customHeight="1">
      <c r="A4865" s="1" t="s">
        <v>4899</v>
      </c>
      <c r="B4865" s="2">
        <v>44630.0</v>
      </c>
      <c r="C4865" s="1" t="s">
        <v>20</v>
      </c>
      <c r="D4865" s="1" t="s">
        <v>15</v>
      </c>
      <c r="E4865" s="1" t="s">
        <v>31</v>
      </c>
      <c r="F4865" s="1">
        <v>386.3</v>
      </c>
      <c r="G4865" s="1">
        <v>208.48</v>
      </c>
      <c r="H4865" s="1">
        <v>3.0</v>
      </c>
      <c r="I4865" s="1" t="s">
        <v>23</v>
      </c>
      <c r="J4865" s="1" t="s">
        <v>18</v>
      </c>
      <c r="K4865" s="1">
        <f t="shared" si="1"/>
        <v>2022</v>
      </c>
      <c r="L4865" s="1" t="str">
        <f t="shared" si="2"/>
        <v>Mar</v>
      </c>
      <c r="M4865" s="1" t="str">
        <f t="shared" si="3"/>
        <v>Profit</v>
      </c>
    </row>
    <row r="4866" ht="14.25" customHeight="1">
      <c r="A4866" s="1" t="s">
        <v>4900</v>
      </c>
      <c r="B4866" s="2">
        <v>44673.0</v>
      </c>
      <c r="C4866" s="1" t="s">
        <v>20</v>
      </c>
      <c r="D4866" s="1" t="s">
        <v>27</v>
      </c>
      <c r="E4866" s="1" t="s">
        <v>33</v>
      </c>
      <c r="F4866" s="1">
        <v>858.8</v>
      </c>
      <c r="G4866" s="1">
        <v>20.29</v>
      </c>
      <c r="H4866" s="1">
        <v>9.0</v>
      </c>
      <c r="I4866" s="1" t="s">
        <v>23</v>
      </c>
      <c r="J4866" s="1" t="s">
        <v>38</v>
      </c>
      <c r="K4866" s="1">
        <f t="shared" si="1"/>
        <v>2022</v>
      </c>
      <c r="L4866" s="1" t="str">
        <f t="shared" si="2"/>
        <v>Apr</v>
      </c>
      <c r="M4866" s="1" t="str">
        <f t="shared" si="3"/>
        <v>Profit</v>
      </c>
    </row>
    <row r="4867" ht="14.25" customHeight="1">
      <c r="A4867" s="1" t="s">
        <v>4901</v>
      </c>
      <c r="B4867" s="2">
        <v>44292.0</v>
      </c>
      <c r="C4867" s="1" t="s">
        <v>30</v>
      </c>
      <c r="D4867" s="1" t="s">
        <v>15</v>
      </c>
      <c r="E4867" s="1" t="s">
        <v>31</v>
      </c>
      <c r="F4867" s="1">
        <v>289.3</v>
      </c>
      <c r="G4867" s="1">
        <v>199.63</v>
      </c>
      <c r="H4867" s="1">
        <v>8.0</v>
      </c>
      <c r="I4867" s="1" t="s">
        <v>34</v>
      </c>
      <c r="J4867" s="1" t="s">
        <v>35</v>
      </c>
      <c r="K4867" s="1">
        <f t="shared" si="1"/>
        <v>2021</v>
      </c>
      <c r="L4867" s="1" t="str">
        <f t="shared" si="2"/>
        <v>Apr</v>
      </c>
      <c r="M4867" s="1" t="str">
        <f t="shared" si="3"/>
        <v>Profit</v>
      </c>
    </row>
    <row r="4868" ht="14.25" customHeight="1">
      <c r="A4868" s="1" t="s">
        <v>4902</v>
      </c>
      <c r="B4868" s="2">
        <v>44991.0</v>
      </c>
      <c r="C4868" s="1" t="s">
        <v>26</v>
      </c>
      <c r="D4868" s="1" t="s">
        <v>15</v>
      </c>
      <c r="E4868" s="1" t="s">
        <v>16</v>
      </c>
      <c r="F4868" s="1">
        <v>816.96</v>
      </c>
      <c r="G4868" s="1">
        <v>9.03</v>
      </c>
      <c r="H4868" s="1">
        <v>4.0</v>
      </c>
      <c r="I4868" s="1" t="s">
        <v>17</v>
      </c>
      <c r="J4868" s="1" t="s">
        <v>24</v>
      </c>
      <c r="K4868" s="1">
        <f t="shared" si="1"/>
        <v>2023</v>
      </c>
      <c r="L4868" s="1" t="str">
        <f t="shared" si="2"/>
        <v>Mar</v>
      </c>
      <c r="M4868" s="1" t="str">
        <f t="shared" si="3"/>
        <v>Profit</v>
      </c>
    </row>
    <row r="4869" ht="14.25" customHeight="1">
      <c r="A4869" s="1" t="s">
        <v>4903</v>
      </c>
      <c r="B4869" s="2">
        <v>45141.0</v>
      </c>
      <c r="C4869" s="1" t="s">
        <v>26</v>
      </c>
      <c r="D4869" s="1" t="s">
        <v>27</v>
      </c>
      <c r="E4869" s="1" t="s">
        <v>33</v>
      </c>
      <c r="F4869" s="1">
        <v>896.47</v>
      </c>
      <c r="G4869" s="1">
        <v>-125.07</v>
      </c>
      <c r="H4869" s="1">
        <v>4.0</v>
      </c>
      <c r="I4869" s="1" t="s">
        <v>23</v>
      </c>
      <c r="J4869" s="1" t="s">
        <v>38</v>
      </c>
      <c r="K4869" s="1">
        <f t="shared" si="1"/>
        <v>2023</v>
      </c>
      <c r="L4869" s="1" t="str">
        <f t="shared" si="2"/>
        <v>Aug</v>
      </c>
      <c r="M4869" s="1" t="str">
        <f t="shared" si="3"/>
        <v>Loss</v>
      </c>
    </row>
    <row r="4870" ht="14.25" customHeight="1">
      <c r="A4870" s="1" t="s">
        <v>4904</v>
      </c>
      <c r="B4870" s="2">
        <v>45083.0</v>
      </c>
      <c r="C4870" s="1" t="s">
        <v>20</v>
      </c>
      <c r="D4870" s="1" t="s">
        <v>21</v>
      </c>
      <c r="E4870" s="1" t="s">
        <v>76</v>
      </c>
      <c r="F4870" s="1">
        <v>159.41</v>
      </c>
      <c r="G4870" s="1">
        <v>103.37</v>
      </c>
      <c r="H4870" s="1">
        <v>10.0</v>
      </c>
      <c r="I4870" s="1" t="s">
        <v>17</v>
      </c>
      <c r="J4870" s="1" t="s">
        <v>24</v>
      </c>
      <c r="K4870" s="1">
        <f t="shared" si="1"/>
        <v>2023</v>
      </c>
      <c r="L4870" s="1" t="str">
        <f t="shared" si="2"/>
        <v>Jun</v>
      </c>
      <c r="M4870" s="1" t="str">
        <f t="shared" si="3"/>
        <v>Profit</v>
      </c>
    </row>
    <row r="4871" ht="14.25" customHeight="1">
      <c r="A4871" s="1" t="s">
        <v>4905</v>
      </c>
      <c r="B4871" s="2">
        <v>44619.0</v>
      </c>
      <c r="C4871" s="1" t="s">
        <v>26</v>
      </c>
      <c r="D4871" s="1" t="s">
        <v>27</v>
      </c>
      <c r="E4871" s="1" t="s">
        <v>28</v>
      </c>
      <c r="F4871" s="1">
        <v>664.34</v>
      </c>
      <c r="G4871" s="1">
        <v>82.25</v>
      </c>
      <c r="H4871" s="1">
        <v>4.0</v>
      </c>
      <c r="I4871" s="1" t="s">
        <v>23</v>
      </c>
      <c r="J4871" s="1" t="s">
        <v>24</v>
      </c>
      <c r="K4871" s="1">
        <f t="shared" si="1"/>
        <v>2022</v>
      </c>
      <c r="L4871" s="1" t="str">
        <f t="shared" si="2"/>
        <v>Feb</v>
      </c>
      <c r="M4871" s="1" t="str">
        <f t="shared" si="3"/>
        <v>Profit</v>
      </c>
    </row>
    <row r="4872" ht="14.25" customHeight="1">
      <c r="A4872" s="1" t="s">
        <v>4906</v>
      </c>
      <c r="B4872" s="2">
        <v>44576.0</v>
      </c>
      <c r="C4872" s="1" t="s">
        <v>30</v>
      </c>
      <c r="D4872" s="1" t="s">
        <v>21</v>
      </c>
      <c r="E4872" s="1" t="s">
        <v>22</v>
      </c>
      <c r="F4872" s="1">
        <v>932.85</v>
      </c>
      <c r="G4872" s="1">
        <v>24.63</v>
      </c>
      <c r="H4872" s="1">
        <v>1.0</v>
      </c>
      <c r="I4872" s="1" t="s">
        <v>23</v>
      </c>
      <c r="J4872" s="1" t="s">
        <v>38</v>
      </c>
      <c r="K4872" s="1">
        <f t="shared" si="1"/>
        <v>2022</v>
      </c>
      <c r="L4872" s="1" t="str">
        <f t="shared" si="2"/>
        <v>Jan</v>
      </c>
      <c r="M4872" s="1" t="str">
        <f t="shared" si="3"/>
        <v>Profit</v>
      </c>
    </row>
    <row r="4873" ht="14.25" customHeight="1">
      <c r="A4873" s="1" t="s">
        <v>4907</v>
      </c>
      <c r="B4873" s="2">
        <v>44739.0</v>
      </c>
      <c r="C4873" s="1" t="s">
        <v>20</v>
      </c>
      <c r="D4873" s="1" t="s">
        <v>21</v>
      </c>
      <c r="E4873" s="1" t="s">
        <v>22</v>
      </c>
      <c r="F4873" s="1">
        <v>360.66</v>
      </c>
      <c r="G4873" s="1">
        <v>71.71</v>
      </c>
      <c r="H4873" s="1">
        <v>10.0</v>
      </c>
      <c r="I4873" s="1" t="s">
        <v>34</v>
      </c>
      <c r="J4873" s="1" t="s">
        <v>18</v>
      </c>
      <c r="K4873" s="1">
        <f t="shared" si="1"/>
        <v>2022</v>
      </c>
      <c r="L4873" s="1" t="str">
        <f t="shared" si="2"/>
        <v>Jun</v>
      </c>
      <c r="M4873" s="1" t="str">
        <f t="shared" si="3"/>
        <v>Profit</v>
      </c>
    </row>
    <row r="4874" ht="14.25" customHeight="1">
      <c r="A4874" s="1" t="s">
        <v>4908</v>
      </c>
      <c r="B4874" s="2">
        <v>45223.0</v>
      </c>
      <c r="C4874" s="1" t="s">
        <v>26</v>
      </c>
      <c r="D4874" s="1" t="s">
        <v>21</v>
      </c>
      <c r="E4874" s="1" t="s">
        <v>76</v>
      </c>
      <c r="F4874" s="1">
        <v>260.76</v>
      </c>
      <c r="G4874" s="1">
        <v>-13.66</v>
      </c>
      <c r="H4874" s="1">
        <v>4.0</v>
      </c>
      <c r="I4874" s="1" t="s">
        <v>34</v>
      </c>
      <c r="J4874" s="1" t="s">
        <v>18</v>
      </c>
      <c r="K4874" s="1">
        <f t="shared" si="1"/>
        <v>2023</v>
      </c>
      <c r="L4874" s="1" t="str">
        <f t="shared" si="2"/>
        <v>Oct</v>
      </c>
      <c r="M4874" s="1" t="str">
        <f t="shared" si="3"/>
        <v>Loss</v>
      </c>
    </row>
    <row r="4875" ht="14.25" customHeight="1">
      <c r="A4875" s="1" t="s">
        <v>4909</v>
      </c>
      <c r="B4875" s="2">
        <v>45225.0</v>
      </c>
      <c r="C4875" s="1" t="s">
        <v>20</v>
      </c>
      <c r="D4875" s="1" t="s">
        <v>27</v>
      </c>
      <c r="E4875" s="1" t="s">
        <v>40</v>
      </c>
      <c r="F4875" s="1">
        <v>851.59</v>
      </c>
      <c r="G4875" s="1">
        <v>190.94</v>
      </c>
      <c r="H4875" s="1">
        <v>3.0</v>
      </c>
      <c r="I4875" s="1" t="s">
        <v>17</v>
      </c>
      <c r="J4875" s="1" t="s">
        <v>38</v>
      </c>
      <c r="K4875" s="1">
        <f t="shared" si="1"/>
        <v>2023</v>
      </c>
      <c r="L4875" s="1" t="str">
        <f t="shared" si="2"/>
        <v>Oct</v>
      </c>
      <c r="M4875" s="1" t="str">
        <f t="shared" si="3"/>
        <v>Profit</v>
      </c>
    </row>
    <row r="4876" ht="14.25" customHeight="1">
      <c r="A4876" s="1" t="s">
        <v>4910</v>
      </c>
      <c r="B4876" s="2">
        <v>44993.0</v>
      </c>
      <c r="C4876" s="1" t="s">
        <v>20</v>
      </c>
      <c r="D4876" s="1" t="s">
        <v>27</v>
      </c>
      <c r="E4876" s="1" t="s">
        <v>40</v>
      </c>
      <c r="F4876" s="1">
        <v>337.57</v>
      </c>
      <c r="G4876" s="1">
        <v>192.57</v>
      </c>
      <c r="H4876" s="1">
        <v>9.0</v>
      </c>
      <c r="I4876" s="1" t="s">
        <v>23</v>
      </c>
      <c r="J4876" s="1" t="s">
        <v>18</v>
      </c>
      <c r="K4876" s="1">
        <f t="shared" si="1"/>
        <v>2023</v>
      </c>
      <c r="L4876" s="1" t="str">
        <f t="shared" si="2"/>
        <v>Mar</v>
      </c>
      <c r="M4876" s="1" t="str">
        <f t="shared" si="3"/>
        <v>Profit</v>
      </c>
    </row>
    <row r="4877" ht="14.25" customHeight="1">
      <c r="A4877" s="1" t="s">
        <v>4911</v>
      </c>
      <c r="B4877" s="2">
        <v>44280.0</v>
      </c>
      <c r="C4877" s="1" t="s">
        <v>20</v>
      </c>
      <c r="D4877" s="1" t="s">
        <v>21</v>
      </c>
      <c r="E4877" s="1" t="s">
        <v>37</v>
      </c>
      <c r="F4877" s="1">
        <v>465.65</v>
      </c>
      <c r="G4877" s="1">
        <v>268.04</v>
      </c>
      <c r="H4877" s="1">
        <v>5.0</v>
      </c>
      <c r="I4877" s="1" t="s">
        <v>34</v>
      </c>
      <c r="J4877" s="1" t="s">
        <v>18</v>
      </c>
      <c r="K4877" s="1">
        <f t="shared" si="1"/>
        <v>2021</v>
      </c>
      <c r="L4877" s="1" t="str">
        <f t="shared" si="2"/>
        <v>Mar</v>
      </c>
      <c r="M4877" s="1" t="str">
        <f t="shared" si="3"/>
        <v>Profit</v>
      </c>
    </row>
    <row r="4878" ht="14.25" customHeight="1">
      <c r="A4878" s="1" t="s">
        <v>4912</v>
      </c>
      <c r="B4878" s="2">
        <v>44686.0</v>
      </c>
      <c r="C4878" s="1" t="s">
        <v>20</v>
      </c>
      <c r="D4878" s="1" t="s">
        <v>27</v>
      </c>
      <c r="E4878" s="1" t="s">
        <v>40</v>
      </c>
      <c r="F4878" s="1">
        <v>621.1</v>
      </c>
      <c r="G4878" s="1">
        <v>181.96</v>
      </c>
      <c r="H4878" s="1">
        <v>4.0</v>
      </c>
      <c r="I4878" s="1" t="s">
        <v>17</v>
      </c>
      <c r="J4878" s="1" t="s">
        <v>24</v>
      </c>
      <c r="K4878" s="1">
        <f t="shared" si="1"/>
        <v>2022</v>
      </c>
      <c r="L4878" s="1" t="str">
        <f t="shared" si="2"/>
        <v>May</v>
      </c>
      <c r="M4878" s="1" t="str">
        <f t="shared" si="3"/>
        <v>Profit</v>
      </c>
    </row>
    <row r="4879" ht="14.25" customHeight="1">
      <c r="A4879" s="1" t="s">
        <v>4913</v>
      </c>
      <c r="B4879" s="2">
        <v>45151.0</v>
      </c>
      <c r="C4879" s="1" t="s">
        <v>26</v>
      </c>
      <c r="D4879" s="1" t="s">
        <v>27</v>
      </c>
      <c r="E4879" s="1" t="s">
        <v>40</v>
      </c>
      <c r="F4879" s="1">
        <v>974.05</v>
      </c>
      <c r="G4879" s="1">
        <v>-165.81</v>
      </c>
      <c r="H4879" s="1">
        <v>7.0</v>
      </c>
      <c r="I4879" s="1" t="s">
        <v>23</v>
      </c>
      <c r="J4879" s="1" t="s">
        <v>35</v>
      </c>
      <c r="K4879" s="1">
        <f t="shared" si="1"/>
        <v>2023</v>
      </c>
      <c r="L4879" s="1" t="str">
        <f t="shared" si="2"/>
        <v>Aug</v>
      </c>
      <c r="M4879" s="1" t="str">
        <f t="shared" si="3"/>
        <v>Loss</v>
      </c>
    </row>
    <row r="4880" ht="14.25" customHeight="1">
      <c r="A4880" s="1" t="s">
        <v>4914</v>
      </c>
      <c r="B4880" s="2">
        <v>44214.0</v>
      </c>
      <c r="C4880" s="1" t="s">
        <v>26</v>
      </c>
      <c r="D4880" s="1" t="s">
        <v>27</v>
      </c>
      <c r="E4880" s="1" t="s">
        <v>33</v>
      </c>
      <c r="F4880" s="1">
        <v>885.52</v>
      </c>
      <c r="G4880" s="1">
        <v>271.97</v>
      </c>
      <c r="H4880" s="1">
        <v>8.0</v>
      </c>
      <c r="I4880" s="1" t="s">
        <v>17</v>
      </c>
      <c r="J4880" s="1" t="s">
        <v>38</v>
      </c>
      <c r="K4880" s="1">
        <f t="shared" si="1"/>
        <v>2021</v>
      </c>
      <c r="L4880" s="1" t="str">
        <f t="shared" si="2"/>
        <v>Jan</v>
      </c>
      <c r="M4880" s="1" t="str">
        <f t="shared" si="3"/>
        <v>Profit</v>
      </c>
    </row>
    <row r="4881" ht="14.25" customHeight="1">
      <c r="A4881" s="1" t="s">
        <v>4915</v>
      </c>
      <c r="B4881" s="2">
        <v>44669.0</v>
      </c>
      <c r="C4881" s="1" t="s">
        <v>26</v>
      </c>
      <c r="D4881" s="1" t="s">
        <v>15</v>
      </c>
      <c r="E4881" s="1" t="s">
        <v>31</v>
      </c>
      <c r="F4881" s="1">
        <v>965.58</v>
      </c>
      <c r="G4881" s="1">
        <v>96.94</v>
      </c>
      <c r="H4881" s="1">
        <v>4.0</v>
      </c>
      <c r="I4881" s="1" t="s">
        <v>23</v>
      </c>
      <c r="J4881" s="1" t="s">
        <v>35</v>
      </c>
      <c r="K4881" s="1">
        <f t="shared" si="1"/>
        <v>2022</v>
      </c>
      <c r="L4881" s="1" t="str">
        <f t="shared" si="2"/>
        <v>Apr</v>
      </c>
      <c r="M4881" s="1" t="str">
        <f t="shared" si="3"/>
        <v>Profit</v>
      </c>
    </row>
    <row r="4882" ht="14.25" customHeight="1">
      <c r="A4882" s="1" t="s">
        <v>4916</v>
      </c>
      <c r="B4882" s="2">
        <v>44616.0</v>
      </c>
      <c r="C4882" s="1" t="s">
        <v>20</v>
      </c>
      <c r="D4882" s="1" t="s">
        <v>15</v>
      </c>
      <c r="E4882" s="1" t="s">
        <v>16</v>
      </c>
      <c r="F4882" s="1">
        <v>261.19</v>
      </c>
      <c r="G4882" s="1">
        <v>-74.11</v>
      </c>
      <c r="H4882" s="1">
        <v>9.0</v>
      </c>
      <c r="I4882" s="1" t="s">
        <v>34</v>
      </c>
      <c r="J4882" s="1" t="s">
        <v>38</v>
      </c>
      <c r="K4882" s="1">
        <f t="shared" si="1"/>
        <v>2022</v>
      </c>
      <c r="L4882" s="1" t="str">
        <f t="shared" si="2"/>
        <v>Feb</v>
      </c>
      <c r="M4882" s="1" t="str">
        <f t="shared" si="3"/>
        <v>Loss</v>
      </c>
    </row>
    <row r="4883" ht="14.25" customHeight="1">
      <c r="A4883" s="1" t="s">
        <v>4917</v>
      </c>
      <c r="B4883" s="2">
        <v>44238.0</v>
      </c>
      <c r="C4883" s="1" t="s">
        <v>20</v>
      </c>
      <c r="D4883" s="1" t="s">
        <v>21</v>
      </c>
      <c r="E4883" s="1" t="s">
        <v>37</v>
      </c>
      <c r="F4883" s="1">
        <v>292.06</v>
      </c>
      <c r="G4883" s="1">
        <v>-16.57</v>
      </c>
      <c r="H4883" s="1">
        <v>10.0</v>
      </c>
      <c r="I4883" s="1" t="s">
        <v>23</v>
      </c>
      <c r="J4883" s="1" t="s">
        <v>24</v>
      </c>
      <c r="K4883" s="1">
        <f t="shared" si="1"/>
        <v>2021</v>
      </c>
      <c r="L4883" s="1" t="str">
        <f t="shared" si="2"/>
        <v>Feb</v>
      </c>
      <c r="M4883" s="1" t="str">
        <f t="shared" si="3"/>
        <v>Loss</v>
      </c>
    </row>
    <row r="4884" ht="14.25" customHeight="1">
      <c r="A4884" s="1" t="s">
        <v>4918</v>
      </c>
      <c r="B4884" s="2">
        <v>44365.0</v>
      </c>
      <c r="C4884" s="1" t="s">
        <v>30</v>
      </c>
      <c r="D4884" s="1" t="s">
        <v>15</v>
      </c>
      <c r="E4884" s="1" t="s">
        <v>54</v>
      </c>
      <c r="F4884" s="1">
        <v>138.64</v>
      </c>
      <c r="G4884" s="1">
        <v>98.63</v>
      </c>
      <c r="H4884" s="1">
        <v>2.0</v>
      </c>
      <c r="I4884" s="1" t="s">
        <v>17</v>
      </c>
      <c r="J4884" s="1" t="s">
        <v>18</v>
      </c>
      <c r="K4884" s="1">
        <f t="shared" si="1"/>
        <v>2021</v>
      </c>
      <c r="L4884" s="1" t="str">
        <f t="shared" si="2"/>
        <v>Jun</v>
      </c>
      <c r="M4884" s="1" t="str">
        <f t="shared" si="3"/>
        <v>Profit</v>
      </c>
    </row>
    <row r="4885" ht="14.25" customHeight="1">
      <c r="A4885" s="1" t="s">
        <v>4919</v>
      </c>
      <c r="B4885" s="2">
        <v>45191.0</v>
      </c>
      <c r="C4885" s="1" t="s">
        <v>14</v>
      </c>
      <c r="D4885" s="1" t="s">
        <v>15</v>
      </c>
      <c r="E4885" s="1" t="s">
        <v>31</v>
      </c>
      <c r="F4885" s="1">
        <v>411.01</v>
      </c>
      <c r="G4885" s="1">
        <v>194.39</v>
      </c>
      <c r="H4885" s="1">
        <v>1.0</v>
      </c>
      <c r="I4885" s="1" t="s">
        <v>23</v>
      </c>
      <c r="J4885" s="1" t="s">
        <v>18</v>
      </c>
      <c r="K4885" s="1">
        <f t="shared" si="1"/>
        <v>2023</v>
      </c>
      <c r="L4885" s="1" t="str">
        <f t="shared" si="2"/>
        <v>Sep</v>
      </c>
      <c r="M4885" s="1" t="str">
        <f t="shared" si="3"/>
        <v>Profit</v>
      </c>
    </row>
    <row r="4886" ht="14.25" customHeight="1">
      <c r="A4886" s="1" t="s">
        <v>4920</v>
      </c>
      <c r="B4886" s="2">
        <v>45094.0</v>
      </c>
      <c r="C4886" s="1" t="s">
        <v>30</v>
      </c>
      <c r="D4886" s="1" t="s">
        <v>15</v>
      </c>
      <c r="E4886" s="1" t="s">
        <v>16</v>
      </c>
      <c r="F4886" s="1">
        <v>541.97</v>
      </c>
      <c r="G4886" s="1">
        <v>299.83</v>
      </c>
      <c r="H4886" s="1">
        <v>6.0</v>
      </c>
      <c r="I4886" s="1" t="s">
        <v>23</v>
      </c>
      <c r="J4886" s="1" t="s">
        <v>38</v>
      </c>
      <c r="K4886" s="1">
        <f t="shared" si="1"/>
        <v>2023</v>
      </c>
      <c r="L4886" s="1" t="str">
        <f t="shared" si="2"/>
        <v>Jun</v>
      </c>
      <c r="M4886" s="1" t="str">
        <f t="shared" si="3"/>
        <v>Profit</v>
      </c>
    </row>
    <row r="4887" ht="14.25" customHeight="1">
      <c r="A4887" s="1" t="s">
        <v>4921</v>
      </c>
      <c r="B4887" s="2">
        <v>44817.0</v>
      </c>
      <c r="C4887" s="1" t="s">
        <v>26</v>
      </c>
      <c r="D4887" s="1" t="s">
        <v>15</v>
      </c>
      <c r="E4887" s="1" t="s">
        <v>16</v>
      </c>
      <c r="F4887" s="1">
        <v>304.71</v>
      </c>
      <c r="G4887" s="1">
        <v>64.31</v>
      </c>
      <c r="H4887" s="1">
        <v>5.0</v>
      </c>
      <c r="I4887" s="1" t="s">
        <v>23</v>
      </c>
      <c r="J4887" s="1" t="s">
        <v>38</v>
      </c>
      <c r="K4887" s="1">
        <f t="shared" si="1"/>
        <v>2022</v>
      </c>
      <c r="L4887" s="1" t="str">
        <f t="shared" si="2"/>
        <v>Sep</v>
      </c>
      <c r="M4887" s="1" t="str">
        <f t="shared" si="3"/>
        <v>Profit</v>
      </c>
    </row>
    <row r="4888" ht="14.25" customHeight="1">
      <c r="A4888" s="1" t="s">
        <v>4922</v>
      </c>
      <c r="B4888" s="2">
        <v>45216.0</v>
      </c>
      <c r="C4888" s="1" t="s">
        <v>30</v>
      </c>
      <c r="D4888" s="1" t="s">
        <v>21</v>
      </c>
      <c r="E4888" s="1" t="s">
        <v>76</v>
      </c>
      <c r="F4888" s="1">
        <v>444.68</v>
      </c>
      <c r="G4888" s="1">
        <v>236.7</v>
      </c>
      <c r="H4888" s="1">
        <v>6.0</v>
      </c>
      <c r="I4888" s="1" t="s">
        <v>34</v>
      </c>
      <c r="J4888" s="1" t="s">
        <v>35</v>
      </c>
      <c r="K4888" s="1">
        <f t="shared" si="1"/>
        <v>2023</v>
      </c>
      <c r="L4888" s="1" t="str">
        <f t="shared" si="2"/>
        <v>Oct</v>
      </c>
      <c r="M4888" s="1" t="str">
        <f t="shared" si="3"/>
        <v>Profit</v>
      </c>
    </row>
    <row r="4889" ht="14.25" customHeight="1">
      <c r="A4889" s="1" t="s">
        <v>4923</v>
      </c>
      <c r="B4889" s="2">
        <v>45086.0</v>
      </c>
      <c r="C4889" s="1" t="s">
        <v>20</v>
      </c>
      <c r="D4889" s="1" t="s">
        <v>21</v>
      </c>
      <c r="E4889" s="1" t="s">
        <v>76</v>
      </c>
      <c r="F4889" s="1">
        <v>508.44</v>
      </c>
      <c r="G4889" s="1">
        <v>106.28</v>
      </c>
      <c r="H4889" s="1">
        <v>2.0</v>
      </c>
      <c r="I4889" s="1" t="s">
        <v>23</v>
      </c>
      <c r="J4889" s="1" t="s">
        <v>35</v>
      </c>
      <c r="K4889" s="1">
        <f t="shared" si="1"/>
        <v>2023</v>
      </c>
      <c r="L4889" s="1" t="str">
        <f t="shared" si="2"/>
        <v>Jun</v>
      </c>
      <c r="M4889" s="1" t="str">
        <f t="shared" si="3"/>
        <v>Profit</v>
      </c>
    </row>
    <row r="4890" ht="14.25" customHeight="1">
      <c r="A4890" s="1" t="s">
        <v>4924</v>
      </c>
      <c r="B4890" s="2">
        <v>45082.0</v>
      </c>
      <c r="C4890" s="1" t="s">
        <v>20</v>
      </c>
      <c r="D4890" s="1" t="s">
        <v>21</v>
      </c>
      <c r="E4890" s="1" t="s">
        <v>76</v>
      </c>
      <c r="F4890" s="1">
        <v>348.61</v>
      </c>
      <c r="G4890" s="1">
        <v>200.36</v>
      </c>
      <c r="H4890" s="1">
        <v>9.0</v>
      </c>
      <c r="I4890" s="1" t="s">
        <v>34</v>
      </c>
      <c r="J4890" s="1" t="s">
        <v>24</v>
      </c>
      <c r="K4890" s="1">
        <f t="shared" si="1"/>
        <v>2023</v>
      </c>
      <c r="L4890" s="1" t="str">
        <f t="shared" si="2"/>
        <v>Jun</v>
      </c>
      <c r="M4890" s="1" t="str">
        <f t="shared" si="3"/>
        <v>Profit</v>
      </c>
    </row>
    <row r="4891" ht="14.25" customHeight="1">
      <c r="A4891" s="1" t="s">
        <v>4925</v>
      </c>
      <c r="B4891" s="2">
        <v>45272.0</v>
      </c>
      <c r="C4891" s="1" t="s">
        <v>30</v>
      </c>
      <c r="D4891" s="1" t="s">
        <v>27</v>
      </c>
      <c r="E4891" s="1" t="s">
        <v>40</v>
      </c>
      <c r="F4891" s="1">
        <v>527.72</v>
      </c>
      <c r="G4891" s="1">
        <v>138.91</v>
      </c>
      <c r="H4891" s="1">
        <v>5.0</v>
      </c>
      <c r="I4891" s="1" t="s">
        <v>17</v>
      </c>
      <c r="J4891" s="1" t="s">
        <v>18</v>
      </c>
      <c r="K4891" s="1">
        <f t="shared" si="1"/>
        <v>2023</v>
      </c>
      <c r="L4891" s="1" t="str">
        <f t="shared" si="2"/>
        <v>Dec</v>
      </c>
      <c r="M4891" s="1" t="str">
        <f t="shared" si="3"/>
        <v>Profit</v>
      </c>
    </row>
    <row r="4892" ht="14.25" customHeight="1">
      <c r="A4892" s="1" t="s">
        <v>4926</v>
      </c>
      <c r="B4892" s="2">
        <v>44414.0</v>
      </c>
      <c r="C4892" s="1" t="s">
        <v>26</v>
      </c>
      <c r="D4892" s="1" t="s">
        <v>27</v>
      </c>
      <c r="E4892" s="1" t="s">
        <v>40</v>
      </c>
      <c r="F4892" s="1">
        <v>141.67</v>
      </c>
      <c r="G4892" s="1">
        <v>245.71</v>
      </c>
      <c r="H4892" s="1">
        <v>6.0</v>
      </c>
      <c r="I4892" s="1" t="s">
        <v>23</v>
      </c>
      <c r="J4892" s="1" t="s">
        <v>38</v>
      </c>
      <c r="K4892" s="1">
        <f t="shared" si="1"/>
        <v>2021</v>
      </c>
      <c r="L4892" s="1" t="str">
        <f t="shared" si="2"/>
        <v>Aug</v>
      </c>
      <c r="M4892" s="1" t="str">
        <f t="shared" si="3"/>
        <v>Profit</v>
      </c>
    </row>
    <row r="4893" ht="14.25" customHeight="1">
      <c r="A4893" s="1" t="s">
        <v>4927</v>
      </c>
      <c r="B4893" s="2">
        <v>44605.0</v>
      </c>
      <c r="C4893" s="1" t="s">
        <v>30</v>
      </c>
      <c r="D4893" s="1" t="s">
        <v>27</v>
      </c>
      <c r="E4893" s="1" t="s">
        <v>40</v>
      </c>
      <c r="F4893" s="1">
        <v>397.64</v>
      </c>
      <c r="G4893" s="1">
        <v>69.01</v>
      </c>
      <c r="H4893" s="1">
        <v>9.0</v>
      </c>
      <c r="I4893" s="1" t="s">
        <v>17</v>
      </c>
      <c r="J4893" s="1" t="s">
        <v>24</v>
      </c>
      <c r="K4893" s="1">
        <f t="shared" si="1"/>
        <v>2022</v>
      </c>
      <c r="L4893" s="1" t="str">
        <f t="shared" si="2"/>
        <v>Feb</v>
      </c>
      <c r="M4893" s="1" t="str">
        <f t="shared" si="3"/>
        <v>Profit</v>
      </c>
    </row>
    <row r="4894" ht="14.25" customHeight="1">
      <c r="A4894" s="1" t="s">
        <v>4928</v>
      </c>
      <c r="B4894" s="2">
        <v>45264.0</v>
      </c>
      <c r="C4894" s="1" t="s">
        <v>14</v>
      </c>
      <c r="D4894" s="1" t="s">
        <v>27</v>
      </c>
      <c r="E4894" s="1" t="s">
        <v>28</v>
      </c>
      <c r="F4894" s="1">
        <v>83.92</v>
      </c>
      <c r="G4894" s="1">
        <v>-196.7</v>
      </c>
      <c r="H4894" s="1">
        <v>8.0</v>
      </c>
      <c r="I4894" s="1" t="s">
        <v>34</v>
      </c>
      <c r="J4894" s="1" t="s">
        <v>38</v>
      </c>
      <c r="K4894" s="1">
        <f t="shared" si="1"/>
        <v>2023</v>
      </c>
      <c r="L4894" s="1" t="str">
        <f t="shared" si="2"/>
        <v>Dec</v>
      </c>
      <c r="M4894" s="1" t="str">
        <f t="shared" si="3"/>
        <v>Loss</v>
      </c>
    </row>
    <row r="4895" ht="14.25" customHeight="1">
      <c r="A4895" s="1" t="s">
        <v>4929</v>
      </c>
      <c r="B4895" s="2">
        <v>44290.0</v>
      </c>
      <c r="C4895" s="1" t="s">
        <v>14</v>
      </c>
      <c r="D4895" s="1" t="s">
        <v>27</v>
      </c>
      <c r="E4895" s="1" t="s">
        <v>28</v>
      </c>
      <c r="F4895" s="1">
        <v>133.35</v>
      </c>
      <c r="G4895" s="1">
        <v>-30.64</v>
      </c>
      <c r="H4895" s="1">
        <v>9.0</v>
      </c>
      <c r="I4895" s="1" t="s">
        <v>23</v>
      </c>
      <c r="J4895" s="1" t="s">
        <v>38</v>
      </c>
      <c r="K4895" s="1">
        <f t="shared" si="1"/>
        <v>2021</v>
      </c>
      <c r="L4895" s="1" t="str">
        <f t="shared" si="2"/>
        <v>Apr</v>
      </c>
      <c r="M4895" s="1" t="str">
        <f t="shared" si="3"/>
        <v>Loss</v>
      </c>
    </row>
    <row r="4896" ht="14.25" customHeight="1">
      <c r="A4896" s="1" t="s">
        <v>4930</v>
      </c>
      <c r="B4896" s="2">
        <v>44837.0</v>
      </c>
      <c r="C4896" s="1" t="s">
        <v>30</v>
      </c>
      <c r="D4896" s="1" t="s">
        <v>27</v>
      </c>
      <c r="E4896" s="1" t="s">
        <v>40</v>
      </c>
      <c r="F4896" s="1">
        <v>900.26</v>
      </c>
      <c r="G4896" s="1">
        <v>-57.82</v>
      </c>
      <c r="H4896" s="1">
        <v>10.0</v>
      </c>
      <c r="I4896" s="1" t="s">
        <v>34</v>
      </c>
      <c r="J4896" s="1" t="s">
        <v>24</v>
      </c>
      <c r="K4896" s="1">
        <f t="shared" si="1"/>
        <v>2022</v>
      </c>
      <c r="L4896" s="1" t="str">
        <f t="shared" si="2"/>
        <v>Oct</v>
      </c>
      <c r="M4896" s="1" t="str">
        <f t="shared" si="3"/>
        <v>Loss</v>
      </c>
    </row>
    <row r="4897" ht="14.25" customHeight="1">
      <c r="A4897" s="1" t="s">
        <v>4931</v>
      </c>
      <c r="B4897" s="2">
        <v>44799.0</v>
      </c>
      <c r="C4897" s="1" t="s">
        <v>14</v>
      </c>
      <c r="D4897" s="1" t="s">
        <v>21</v>
      </c>
      <c r="E4897" s="1" t="s">
        <v>22</v>
      </c>
      <c r="F4897" s="1">
        <v>993.24</v>
      </c>
      <c r="G4897" s="1">
        <v>-147.71</v>
      </c>
      <c r="H4897" s="1">
        <v>7.0</v>
      </c>
      <c r="I4897" s="1" t="s">
        <v>34</v>
      </c>
      <c r="J4897" s="1" t="s">
        <v>18</v>
      </c>
      <c r="K4897" s="1">
        <f t="shared" si="1"/>
        <v>2022</v>
      </c>
      <c r="L4897" s="1" t="str">
        <f t="shared" si="2"/>
        <v>Aug</v>
      </c>
      <c r="M4897" s="1" t="str">
        <f t="shared" si="3"/>
        <v>Loss</v>
      </c>
    </row>
    <row r="4898" ht="14.25" customHeight="1">
      <c r="A4898" s="1" t="s">
        <v>4932</v>
      </c>
      <c r="B4898" s="2">
        <v>45254.0</v>
      </c>
      <c r="C4898" s="1" t="s">
        <v>30</v>
      </c>
      <c r="D4898" s="1" t="s">
        <v>27</v>
      </c>
      <c r="E4898" s="1" t="s">
        <v>40</v>
      </c>
      <c r="F4898" s="1">
        <v>465.55</v>
      </c>
      <c r="G4898" s="1">
        <v>152.0</v>
      </c>
      <c r="H4898" s="1">
        <v>9.0</v>
      </c>
      <c r="I4898" s="1" t="s">
        <v>34</v>
      </c>
      <c r="J4898" s="1" t="s">
        <v>24</v>
      </c>
      <c r="K4898" s="1">
        <f t="shared" si="1"/>
        <v>2023</v>
      </c>
      <c r="L4898" s="1" t="str">
        <f t="shared" si="2"/>
        <v>Nov</v>
      </c>
      <c r="M4898" s="1" t="str">
        <f t="shared" si="3"/>
        <v>Profit</v>
      </c>
    </row>
    <row r="4899" ht="14.25" customHeight="1">
      <c r="A4899" s="1" t="s">
        <v>4933</v>
      </c>
      <c r="B4899" s="2">
        <v>44892.0</v>
      </c>
      <c r="C4899" s="1" t="s">
        <v>30</v>
      </c>
      <c r="D4899" s="1" t="s">
        <v>15</v>
      </c>
      <c r="E4899" s="1" t="s">
        <v>54</v>
      </c>
      <c r="F4899" s="1">
        <v>72.44</v>
      </c>
      <c r="G4899" s="1">
        <v>242.42</v>
      </c>
      <c r="H4899" s="1">
        <v>4.0</v>
      </c>
      <c r="I4899" s="1" t="s">
        <v>17</v>
      </c>
      <c r="J4899" s="1" t="s">
        <v>24</v>
      </c>
      <c r="K4899" s="1">
        <f t="shared" si="1"/>
        <v>2022</v>
      </c>
      <c r="L4899" s="1" t="str">
        <f t="shared" si="2"/>
        <v>Nov</v>
      </c>
      <c r="M4899" s="1" t="str">
        <f t="shared" si="3"/>
        <v>Profit</v>
      </c>
    </row>
    <row r="4900" ht="14.25" customHeight="1">
      <c r="A4900" s="1" t="s">
        <v>4934</v>
      </c>
      <c r="B4900" s="2">
        <v>44230.0</v>
      </c>
      <c r="C4900" s="1" t="s">
        <v>26</v>
      </c>
      <c r="D4900" s="1" t="s">
        <v>21</v>
      </c>
      <c r="E4900" s="1" t="s">
        <v>76</v>
      </c>
      <c r="F4900" s="1">
        <v>273.13</v>
      </c>
      <c r="G4900" s="1">
        <v>-166.28</v>
      </c>
      <c r="H4900" s="1">
        <v>2.0</v>
      </c>
      <c r="I4900" s="1" t="s">
        <v>23</v>
      </c>
      <c r="J4900" s="1" t="s">
        <v>24</v>
      </c>
      <c r="K4900" s="1">
        <f t="shared" si="1"/>
        <v>2021</v>
      </c>
      <c r="L4900" s="1" t="str">
        <f t="shared" si="2"/>
        <v>Feb</v>
      </c>
      <c r="M4900" s="1" t="str">
        <f t="shared" si="3"/>
        <v>Loss</v>
      </c>
    </row>
    <row r="4901" ht="14.25" customHeight="1">
      <c r="A4901" s="1" t="s">
        <v>4935</v>
      </c>
      <c r="B4901" s="2">
        <v>45115.0</v>
      </c>
      <c r="C4901" s="1" t="s">
        <v>14</v>
      </c>
      <c r="D4901" s="1" t="s">
        <v>27</v>
      </c>
      <c r="E4901" s="1" t="s">
        <v>40</v>
      </c>
      <c r="F4901" s="1">
        <v>63.3</v>
      </c>
      <c r="G4901" s="1">
        <v>-25.97</v>
      </c>
      <c r="H4901" s="1">
        <v>2.0</v>
      </c>
      <c r="I4901" s="1" t="s">
        <v>23</v>
      </c>
      <c r="J4901" s="1" t="s">
        <v>38</v>
      </c>
      <c r="K4901" s="1">
        <f t="shared" si="1"/>
        <v>2023</v>
      </c>
      <c r="L4901" s="1" t="str">
        <f t="shared" si="2"/>
        <v>Jul</v>
      </c>
      <c r="M4901" s="1" t="str">
        <f t="shared" si="3"/>
        <v>Loss</v>
      </c>
    </row>
    <row r="4902" ht="14.25" customHeight="1">
      <c r="A4902" s="1" t="s">
        <v>4936</v>
      </c>
      <c r="B4902" s="2">
        <v>45103.0</v>
      </c>
      <c r="C4902" s="1" t="s">
        <v>14</v>
      </c>
      <c r="D4902" s="1" t="s">
        <v>21</v>
      </c>
      <c r="E4902" s="1" t="s">
        <v>22</v>
      </c>
      <c r="F4902" s="1">
        <v>395.32</v>
      </c>
      <c r="G4902" s="1">
        <v>-24.51</v>
      </c>
      <c r="H4902" s="1">
        <v>6.0</v>
      </c>
      <c r="I4902" s="1" t="s">
        <v>23</v>
      </c>
      <c r="J4902" s="1" t="s">
        <v>24</v>
      </c>
      <c r="K4902" s="1">
        <f t="shared" si="1"/>
        <v>2023</v>
      </c>
      <c r="L4902" s="1" t="str">
        <f t="shared" si="2"/>
        <v>Jun</v>
      </c>
      <c r="M4902" s="1" t="str">
        <f t="shared" si="3"/>
        <v>Loss</v>
      </c>
    </row>
    <row r="4903" ht="14.25" customHeight="1">
      <c r="A4903" s="1" t="s">
        <v>4937</v>
      </c>
      <c r="B4903" s="2">
        <v>45039.0</v>
      </c>
      <c r="C4903" s="1" t="s">
        <v>14</v>
      </c>
      <c r="D4903" s="1" t="s">
        <v>27</v>
      </c>
      <c r="E4903" s="1" t="s">
        <v>40</v>
      </c>
      <c r="F4903" s="1">
        <v>367.47</v>
      </c>
      <c r="G4903" s="1">
        <v>281.61</v>
      </c>
      <c r="H4903" s="1">
        <v>10.0</v>
      </c>
      <c r="I4903" s="1" t="s">
        <v>23</v>
      </c>
      <c r="J4903" s="1" t="s">
        <v>35</v>
      </c>
      <c r="K4903" s="1">
        <f t="shared" si="1"/>
        <v>2023</v>
      </c>
      <c r="L4903" s="1" t="str">
        <f t="shared" si="2"/>
        <v>Apr</v>
      </c>
      <c r="M4903" s="1" t="str">
        <f t="shared" si="3"/>
        <v>Profit</v>
      </c>
    </row>
    <row r="4904" ht="14.25" customHeight="1">
      <c r="A4904" s="1" t="s">
        <v>4938</v>
      </c>
      <c r="B4904" s="2">
        <v>44594.0</v>
      </c>
      <c r="C4904" s="1" t="s">
        <v>26</v>
      </c>
      <c r="D4904" s="1" t="s">
        <v>27</v>
      </c>
      <c r="E4904" s="1" t="s">
        <v>28</v>
      </c>
      <c r="F4904" s="1">
        <v>748.73</v>
      </c>
      <c r="G4904" s="1">
        <v>294.82</v>
      </c>
      <c r="H4904" s="1">
        <v>5.0</v>
      </c>
      <c r="I4904" s="1" t="s">
        <v>34</v>
      </c>
      <c r="J4904" s="1" t="s">
        <v>18</v>
      </c>
      <c r="K4904" s="1">
        <f t="shared" si="1"/>
        <v>2022</v>
      </c>
      <c r="L4904" s="1" t="str">
        <f t="shared" si="2"/>
        <v>Feb</v>
      </c>
      <c r="M4904" s="1" t="str">
        <f t="shared" si="3"/>
        <v>Profit</v>
      </c>
    </row>
    <row r="4905" ht="14.25" customHeight="1">
      <c r="A4905" s="1" t="s">
        <v>4939</v>
      </c>
      <c r="B4905" s="2">
        <v>45287.0</v>
      </c>
      <c r="C4905" s="1" t="s">
        <v>20</v>
      </c>
      <c r="D4905" s="1" t="s">
        <v>15</v>
      </c>
      <c r="E4905" s="1" t="s">
        <v>16</v>
      </c>
      <c r="F4905" s="1">
        <v>712.64</v>
      </c>
      <c r="G4905" s="1">
        <v>171.86</v>
      </c>
      <c r="H4905" s="1">
        <v>4.0</v>
      </c>
      <c r="I4905" s="1" t="s">
        <v>23</v>
      </c>
      <c r="J4905" s="1" t="s">
        <v>18</v>
      </c>
      <c r="K4905" s="1">
        <f t="shared" si="1"/>
        <v>2023</v>
      </c>
      <c r="L4905" s="1" t="str">
        <f t="shared" si="2"/>
        <v>Dec</v>
      </c>
      <c r="M4905" s="1" t="str">
        <f t="shared" si="3"/>
        <v>Profit</v>
      </c>
    </row>
    <row r="4906" ht="14.25" customHeight="1">
      <c r="A4906" s="1" t="s">
        <v>4940</v>
      </c>
      <c r="B4906" s="2">
        <v>44229.0</v>
      </c>
      <c r="C4906" s="1" t="s">
        <v>30</v>
      </c>
      <c r="D4906" s="1" t="s">
        <v>21</v>
      </c>
      <c r="E4906" s="1" t="s">
        <v>22</v>
      </c>
      <c r="F4906" s="1">
        <v>756.46</v>
      </c>
      <c r="G4906" s="1">
        <v>46.97</v>
      </c>
      <c r="H4906" s="1">
        <v>4.0</v>
      </c>
      <c r="I4906" s="1" t="s">
        <v>17</v>
      </c>
      <c r="J4906" s="1" t="s">
        <v>38</v>
      </c>
      <c r="K4906" s="1">
        <f t="shared" si="1"/>
        <v>2021</v>
      </c>
      <c r="L4906" s="1" t="str">
        <f t="shared" si="2"/>
        <v>Feb</v>
      </c>
      <c r="M4906" s="1" t="str">
        <f t="shared" si="3"/>
        <v>Profit</v>
      </c>
    </row>
    <row r="4907" ht="14.25" customHeight="1">
      <c r="A4907" s="1" t="s">
        <v>4941</v>
      </c>
      <c r="B4907" s="2">
        <v>44991.0</v>
      </c>
      <c r="C4907" s="1" t="s">
        <v>14</v>
      </c>
      <c r="D4907" s="1" t="s">
        <v>27</v>
      </c>
      <c r="E4907" s="1" t="s">
        <v>28</v>
      </c>
      <c r="F4907" s="1">
        <v>173.21</v>
      </c>
      <c r="G4907" s="1">
        <v>112.41</v>
      </c>
      <c r="H4907" s="1">
        <v>7.0</v>
      </c>
      <c r="I4907" s="1" t="s">
        <v>34</v>
      </c>
      <c r="J4907" s="1" t="s">
        <v>35</v>
      </c>
      <c r="K4907" s="1">
        <f t="shared" si="1"/>
        <v>2023</v>
      </c>
      <c r="L4907" s="1" t="str">
        <f t="shared" si="2"/>
        <v>Mar</v>
      </c>
      <c r="M4907" s="1" t="str">
        <f t="shared" si="3"/>
        <v>Profit</v>
      </c>
    </row>
    <row r="4908" ht="14.25" customHeight="1">
      <c r="A4908" s="1" t="s">
        <v>4942</v>
      </c>
      <c r="B4908" s="2">
        <v>44820.0</v>
      </c>
      <c r="C4908" s="1" t="s">
        <v>26</v>
      </c>
      <c r="D4908" s="1" t="s">
        <v>21</v>
      </c>
      <c r="E4908" s="1" t="s">
        <v>22</v>
      </c>
      <c r="F4908" s="1">
        <v>276.17</v>
      </c>
      <c r="G4908" s="1">
        <v>17.48</v>
      </c>
      <c r="H4908" s="1">
        <v>6.0</v>
      </c>
      <c r="I4908" s="1" t="s">
        <v>17</v>
      </c>
      <c r="J4908" s="1" t="s">
        <v>35</v>
      </c>
      <c r="K4908" s="1">
        <f t="shared" si="1"/>
        <v>2022</v>
      </c>
      <c r="L4908" s="1" t="str">
        <f t="shared" si="2"/>
        <v>Sep</v>
      </c>
      <c r="M4908" s="1" t="str">
        <f t="shared" si="3"/>
        <v>Profit</v>
      </c>
    </row>
    <row r="4909" ht="14.25" customHeight="1">
      <c r="A4909" s="1" t="s">
        <v>4943</v>
      </c>
      <c r="B4909" s="2">
        <v>45057.0</v>
      </c>
      <c r="C4909" s="1" t="s">
        <v>20</v>
      </c>
      <c r="D4909" s="1" t="s">
        <v>27</v>
      </c>
      <c r="E4909" s="1" t="s">
        <v>28</v>
      </c>
      <c r="F4909" s="1">
        <v>923.37</v>
      </c>
      <c r="G4909" s="1">
        <v>181.81</v>
      </c>
      <c r="H4909" s="1">
        <v>4.0</v>
      </c>
      <c r="I4909" s="1" t="s">
        <v>17</v>
      </c>
      <c r="J4909" s="1" t="s">
        <v>18</v>
      </c>
      <c r="K4909" s="1">
        <f t="shared" si="1"/>
        <v>2023</v>
      </c>
      <c r="L4909" s="1" t="str">
        <f t="shared" si="2"/>
        <v>May</v>
      </c>
      <c r="M4909" s="1" t="str">
        <f t="shared" si="3"/>
        <v>Profit</v>
      </c>
    </row>
    <row r="4910" ht="14.25" customHeight="1">
      <c r="A4910" s="1" t="s">
        <v>4944</v>
      </c>
      <c r="B4910" s="2">
        <v>44378.0</v>
      </c>
      <c r="C4910" s="1" t="s">
        <v>30</v>
      </c>
      <c r="D4910" s="1" t="s">
        <v>27</v>
      </c>
      <c r="E4910" s="1" t="s">
        <v>40</v>
      </c>
      <c r="F4910" s="1">
        <v>593.56</v>
      </c>
      <c r="G4910" s="1">
        <v>-124.1</v>
      </c>
      <c r="H4910" s="1">
        <v>4.0</v>
      </c>
      <c r="I4910" s="1" t="s">
        <v>34</v>
      </c>
      <c r="J4910" s="1" t="s">
        <v>18</v>
      </c>
      <c r="K4910" s="1">
        <f t="shared" si="1"/>
        <v>2021</v>
      </c>
      <c r="L4910" s="1" t="str">
        <f t="shared" si="2"/>
        <v>Jul</v>
      </c>
      <c r="M4910" s="1" t="str">
        <f t="shared" si="3"/>
        <v>Loss</v>
      </c>
    </row>
    <row r="4911" ht="14.25" customHeight="1">
      <c r="A4911" s="1" t="s">
        <v>4945</v>
      </c>
      <c r="B4911" s="2">
        <v>45201.0</v>
      </c>
      <c r="C4911" s="1" t="s">
        <v>20</v>
      </c>
      <c r="D4911" s="1" t="s">
        <v>21</v>
      </c>
      <c r="E4911" s="1" t="s">
        <v>22</v>
      </c>
      <c r="F4911" s="1">
        <v>830.24</v>
      </c>
      <c r="G4911" s="1">
        <v>-22.71</v>
      </c>
      <c r="H4911" s="1">
        <v>1.0</v>
      </c>
      <c r="I4911" s="1" t="s">
        <v>23</v>
      </c>
      <c r="J4911" s="1" t="s">
        <v>38</v>
      </c>
      <c r="K4911" s="1">
        <f t="shared" si="1"/>
        <v>2023</v>
      </c>
      <c r="L4911" s="1" t="str">
        <f t="shared" si="2"/>
        <v>Oct</v>
      </c>
      <c r="M4911" s="1" t="str">
        <f t="shared" si="3"/>
        <v>Loss</v>
      </c>
    </row>
    <row r="4912" ht="14.25" customHeight="1">
      <c r="A4912" s="1" t="s">
        <v>4946</v>
      </c>
      <c r="B4912" s="2">
        <v>44734.0</v>
      </c>
      <c r="C4912" s="1" t="s">
        <v>30</v>
      </c>
      <c r="D4912" s="1" t="s">
        <v>27</v>
      </c>
      <c r="E4912" s="1" t="s">
        <v>33</v>
      </c>
      <c r="F4912" s="1">
        <v>697.23</v>
      </c>
      <c r="G4912" s="1">
        <v>266.07</v>
      </c>
      <c r="H4912" s="1">
        <v>5.0</v>
      </c>
      <c r="I4912" s="1" t="s">
        <v>34</v>
      </c>
      <c r="J4912" s="1" t="s">
        <v>18</v>
      </c>
      <c r="K4912" s="1">
        <f t="shared" si="1"/>
        <v>2022</v>
      </c>
      <c r="L4912" s="1" t="str">
        <f t="shared" si="2"/>
        <v>Jun</v>
      </c>
      <c r="M4912" s="1" t="str">
        <f t="shared" si="3"/>
        <v>Profit</v>
      </c>
    </row>
    <row r="4913" ht="14.25" customHeight="1">
      <c r="A4913" s="1" t="s">
        <v>4947</v>
      </c>
      <c r="B4913" s="2">
        <v>44362.0</v>
      </c>
      <c r="C4913" s="1" t="s">
        <v>26</v>
      </c>
      <c r="D4913" s="1" t="s">
        <v>21</v>
      </c>
      <c r="E4913" s="1" t="s">
        <v>37</v>
      </c>
      <c r="F4913" s="1">
        <v>289.58</v>
      </c>
      <c r="G4913" s="1">
        <v>227.05</v>
      </c>
      <c r="H4913" s="1">
        <v>1.0</v>
      </c>
      <c r="I4913" s="1" t="s">
        <v>23</v>
      </c>
      <c r="J4913" s="1" t="s">
        <v>38</v>
      </c>
      <c r="K4913" s="1">
        <f t="shared" si="1"/>
        <v>2021</v>
      </c>
      <c r="L4913" s="1" t="str">
        <f t="shared" si="2"/>
        <v>Jun</v>
      </c>
      <c r="M4913" s="1" t="str">
        <f t="shared" si="3"/>
        <v>Profit</v>
      </c>
    </row>
    <row r="4914" ht="14.25" customHeight="1">
      <c r="A4914" s="1" t="s">
        <v>4948</v>
      </c>
      <c r="B4914" s="2">
        <v>44777.0</v>
      </c>
      <c r="C4914" s="1" t="s">
        <v>14</v>
      </c>
      <c r="D4914" s="1" t="s">
        <v>15</v>
      </c>
      <c r="E4914" s="1" t="s">
        <v>54</v>
      </c>
      <c r="F4914" s="1">
        <v>471.43</v>
      </c>
      <c r="G4914" s="1">
        <v>-91.67</v>
      </c>
      <c r="H4914" s="1">
        <v>6.0</v>
      </c>
      <c r="I4914" s="1" t="s">
        <v>17</v>
      </c>
      <c r="J4914" s="1" t="s">
        <v>24</v>
      </c>
      <c r="K4914" s="1">
        <f t="shared" si="1"/>
        <v>2022</v>
      </c>
      <c r="L4914" s="1" t="str">
        <f t="shared" si="2"/>
        <v>Aug</v>
      </c>
      <c r="M4914" s="1" t="str">
        <f t="shared" si="3"/>
        <v>Loss</v>
      </c>
    </row>
    <row r="4915" ht="14.25" customHeight="1">
      <c r="A4915" s="1" t="s">
        <v>4949</v>
      </c>
      <c r="B4915" s="2">
        <v>44221.0</v>
      </c>
      <c r="C4915" s="1" t="s">
        <v>26</v>
      </c>
      <c r="D4915" s="1" t="s">
        <v>27</v>
      </c>
      <c r="E4915" s="1" t="s">
        <v>28</v>
      </c>
      <c r="F4915" s="1">
        <v>276.76</v>
      </c>
      <c r="G4915" s="1">
        <v>72.0</v>
      </c>
      <c r="H4915" s="1">
        <v>3.0</v>
      </c>
      <c r="I4915" s="1" t="s">
        <v>17</v>
      </c>
      <c r="J4915" s="1" t="s">
        <v>18</v>
      </c>
      <c r="K4915" s="1">
        <f t="shared" si="1"/>
        <v>2021</v>
      </c>
      <c r="L4915" s="1" t="str">
        <f t="shared" si="2"/>
        <v>Jan</v>
      </c>
      <c r="M4915" s="1" t="str">
        <f t="shared" si="3"/>
        <v>Profit</v>
      </c>
    </row>
    <row r="4916" ht="14.25" customHeight="1">
      <c r="A4916" s="1" t="s">
        <v>4950</v>
      </c>
      <c r="B4916" s="2">
        <v>44979.0</v>
      </c>
      <c r="C4916" s="1" t="s">
        <v>20</v>
      </c>
      <c r="D4916" s="1" t="s">
        <v>27</v>
      </c>
      <c r="E4916" s="1" t="s">
        <v>40</v>
      </c>
      <c r="F4916" s="1">
        <v>251.42</v>
      </c>
      <c r="G4916" s="1">
        <v>-94.04</v>
      </c>
      <c r="H4916" s="1">
        <v>1.0</v>
      </c>
      <c r="I4916" s="1" t="s">
        <v>23</v>
      </c>
      <c r="J4916" s="1" t="s">
        <v>38</v>
      </c>
      <c r="K4916" s="1">
        <f t="shared" si="1"/>
        <v>2023</v>
      </c>
      <c r="L4916" s="1" t="str">
        <f t="shared" si="2"/>
        <v>Feb</v>
      </c>
      <c r="M4916" s="1" t="str">
        <f t="shared" si="3"/>
        <v>Loss</v>
      </c>
    </row>
    <row r="4917" ht="14.25" customHeight="1">
      <c r="A4917" s="1" t="s">
        <v>4951</v>
      </c>
      <c r="B4917" s="2">
        <v>44607.0</v>
      </c>
      <c r="C4917" s="1" t="s">
        <v>20</v>
      </c>
      <c r="D4917" s="1" t="s">
        <v>21</v>
      </c>
      <c r="E4917" s="1" t="s">
        <v>76</v>
      </c>
      <c r="F4917" s="1">
        <v>993.58</v>
      </c>
      <c r="G4917" s="1">
        <v>4.73</v>
      </c>
      <c r="H4917" s="1">
        <v>6.0</v>
      </c>
      <c r="I4917" s="1" t="s">
        <v>17</v>
      </c>
      <c r="J4917" s="1" t="s">
        <v>38</v>
      </c>
      <c r="K4917" s="1">
        <f t="shared" si="1"/>
        <v>2022</v>
      </c>
      <c r="L4917" s="1" t="str">
        <f t="shared" si="2"/>
        <v>Feb</v>
      </c>
      <c r="M4917" s="1" t="str">
        <f t="shared" si="3"/>
        <v>Profit</v>
      </c>
    </row>
    <row r="4918" ht="14.25" customHeight="1">
      <c r="A4918" s="1" t="s">
        <v>4952</v>
      </c>
      <c r="B4918" s="2">
        <v>44885.0</v>
      </c>
      <c r="C4918" s="1" t="s">
        <v>14</v>
      </c>
      <c r="D4918" s="1" t="s">
        <v>15</v>
      </c>
      <c r="E4918" s="1" t="s">
        <v>16</v>
      </c>
      <c r="F4918" s="1">
        <v>314.02</v>
      </c>
      <c r="G4918" s="1">
        <v>253.4</v>
      </c>
      <c r="H4918" s="1">
        <v>1.0</v>
      </c>
      <c r="I4918" s="1" t="s">
        <v>17</v>
      </c>
      <c r="J4918" s="1" t="s">
        <v>18</v>
      </c>
      <c r="K4918" s="1">
        <f t="shared" si="1"/>
        <v>2022</v>
      </c>
      <c r="L4918" s="1" t="str">
        <f t="shared" si="2"/>
        <v>Nov</v>
      </c>
      <c r="M4918" s="1" t="str">
        <f t="shared" si="3"/>
        <v>Profit</v>
      </c>
    </row>
    <row r="4919" ht="14.25" customHeight="1">
      <c r="A4919" s="1" t="s">
        <v>4953</v>
      </c>
      <c r="B4919" s="2">
        <v>44579.0</v>
      </c>
      <c r="C4919" s="1" t="s">
        <v>30</v>
      </c>
      <c r="D4919" s="1" t="s">
        <v>15</v>
      </c>
      <c r="E4919" s="1" t="s">
        <v>31</v>
      </c>
      <c r="F4919" s="1">
        <v>976.95</v>
      </c>
      <c r="G4919" s="1">
        <v>30.72</v>
      </c>
      <c r="H4919" s="1">
        <v>10.0</v>
      </c>
      <c r="I4919" s="1" t="s">
        <v>23</v>
      </c>
      <c r="J4919" s="1" t="s">
        <v>35</v>
      </c>
      <c r="K4919" s="1">
        <f t="shared" si="1"/>
        <v>2022</v>
      </c>
      <c r="L4919" s="1" t="str">
        <f t="shared" si="2"/>
        <v>Jan</v>
      </c>
      <c r="M4919" s="1" t="str">
        <f t="shared" si="3"/>
        <v>Profit</v>
      </c>
    </row>
    <row r="4920" ht="14.25" customHeight="1">
      <c r="A4920" s="1" t="s">
        <v>4954</v>
      </c>
      <c r="B4920" s="2">
        <v>44682.0</v>
      </c>
      <c r="C4920" s="1" t="s">
        <v>30</v>
      </c>
      <c r="D4920" s="1" t="s">
        <v>27</v>
      </c>
      <c r="E4920" s="1" t="s">
        <v>40</v>
      </c>
      <c r="F4920" s="1">
        <v>874.18</v>
      </c>
      <c r="G4920" s="1">
        <v>-182.34</v>
      </c>
      <c r="H4920" s="1">
        <v>5.0</v>
      </c>
      <c r="I4920" s="1" t="s">
        <v>23</v>
      </c>
      <c r="J4920" s="1" t="s">
        <v>35</v>
      </c>
      <c r="K4920" s="1">
        <f t="shared" si="1"/>
        <v>2022</v>
      </c>
      <c r="L4920" s="1" t="str">
        <f t="shared" si="2"/>
        <v>May</v>
      </c>
      <c r="M4920" s="1" t="str">
        <f t="shared" si="3"/>
        <v>Loss</v>
      </c>
    </row>
    <row r="4921" ht="14.25" customHeight="1">
      <c r="A4921" s="1" t="s">
        <v>4955</v>
      </c>
      <c r="B4921" s="2">
        <v>44658.0</v>
      </c>
      <c r="C4921" s="1" t="s">
        <v>30</v>
      </c>
      <c r="D4921" s="1" t="s">
        <v>15</v>
      </c>
      <c r="E4921" s="1" t="s">
        <v>54</v>
      </c>
      <c r="F4921" s="1">
        <v>345.84</v>
      </c>
      <c r="G4921" s="1">
        <v>-194.2</v>
      </c>
      <c r="H4921" s="1">
        <v>8.0</v>
      </c>
      <c r="I4921" s="1" t="s">
        <v>34</v>
      </c>
      <c r="J4921" s="1" t="s">
        <v>24</v>
      </c>
      <c r="K4921" s="1">
        <f t="shared" si="1"/>
        <v>2022</v>
      </c>
      <c r="L4921" s="1" t="str">
        <f t="shared" si="2"/>
        <v>Apr</v>
      </c>
      <c r="M4921" s="1" t="str">
        <f t="shared" si="3"/>
        <v>Loss</v>
      </c>
    </row>
    <row r="4922" ht="14.25" customHeight="1">
      <c r="A4922" s="1" t="s">
        <v>4956</v>
      </c>
      <c r="B4922" s="2">
        <v>44273.0</v>
      </c>
      <c r="C4922" s="1" t="s">
        <v>20</v>
      </c>
      <c r="D4922" s="1" t="s">
        <v>27</v>
      </c>
      <c r="E4922" s="1" t="s">
        <v>28</v>
      </c>
      <c r="F4922" s="1">
        <v>437.89</v>
      </c>
      <c r="G4922" s="1">
        <v>130.54</v>
      </c>
      <c r="H4922" s="1">
        <v>10.0</v>
      </c>
      <c r="I4922" s="1" t="s">
        <v>23</v>
      </c>
      <c r="J4922" s="1" t="s">
        <v>24</v>
      </c>
      <c r="K4922" s="1">
        <f t="shared" si="1"/>
        <v>2021</v>
      </c>
      <c r="L4922" s="1" t="str">
        <f t="shared" si="2"/>
        <v>Mar</v>
      </c>
      <c r="M4922" s="1" t="str">
        <f t="shared" si="3"/>
        <v>Profit</v>
      </c>
    </row>
    <row r="4923" ht="14.25" customHeight="1">
      <c r="A4923" s="1" t="s">
        <v>4957</v>
      </c>
      <c r="B4923" s="2">
        <v>44691.0</v>
      </c>
      <c r="C4923" s="1" t="s">
        <v>14</v>
      </c>
      <c r="D4923" s="1" t="s">
        <v>21</v>
      </c>
      <c r="E4923" s="1" t="s">
        <v>37</v>
      </c>
      <c r="F4923" s="1">
        <v>374.57</v>
      </c>
      <c r="G4923" s="1">
        <v>-127.58</v>
      </c>
      <c r="H4923" s="1">
        <v>6.0</v>
      </c>
      <c r="I4923" s="1" t="s">
        <v>17</v>
      </c>
      <c r="J4923" s="1" t="s">
        <v>24</v>
      </c>
      <c r="K4923" s="1">
        <f t="shared" si="1"/>
        <v>2022</v>
      </c>
      <c r="L4923" s="1" t="str">
        <f t="shared" si="2"/>
        <v>May</v>
      </c>
      <c r="M4923" s="1" t="str">
        <f t="shared" si="3"/>
        <v>Loss</v>
      </c>
    </row>
    <row r="4924" ht="14.25" customHeight="1">
      <c r="A4924" s="1" t="s">
        <v>4958</v>
      </c>
      <c r="B4924" s="2">
        <v>45286.0</v>
      </c>
      <c r="C4924" s="1" t="s">
        <v>30</v>
      </c>
      <c r="D4924" s="1" t="s">
        <v>27</v>
      </c>
      <c r="E4924" s="1" t="s">
        <v>33</v>
      </c>
      <c r="F4924" s="1">
        <v>234.92</v>
      </c>
      <c r="G4924" s="1">
        <v>-40.27</v>
      </c>
      <c r="H4924" s="1">
        <v>3.0</v>
      </c>
      <c r="I4924" s="1" t="s">
        <v>17</v>
      </c>
      <c r="J4924" s="1" t="s">
        <v>38</v>
      </c>
      <c r="K4924" s="1">
        <f t="shared" si="1"/>
        <v>2023</v>
      </c>
      <c r="L4924" s="1" t="str">
        <f t="shared" si="2"/>
        <v>Dec</v>
      </c>
      <c r="M4924" s="1" t="str">
        <f t="shared" si="3"/>
        <v>Loss</v>
      </c>
    </row>
    <row r="4925" ht="14.25" customHeight="1">
      <c r="A4925" s="1" t="s">
        <v>4959</v>
      </c>
      <c r="B4925" s="2">
        <v>44478.0</v>
      </c>
      <c r="C4925" s="1" t="s">
        <v>30</v>
      </c>
      <c r="D4925" s="1" t="s">
        <v>21</v>
      </c>
      <c r="E4925" s="1" t="s">
        <v>76</v>
      </c>
      <c r="F4925" s="1">
        <v>844.07</v>
      </c>
      <c r="G4925" s="1">
        <v>99.62</v>
      </c>
      <c r="H4925" s="1">
        <v>8.0</v>
      </c>
      <c r="I4925" s="1" t="s">
        <v>34</v>
      </c>
      <c r="J4925" s="1" t="s">
        <v>38</v>
      </c>
      <c r="K4925" s="1">
        <f t="shared" si="1"/>
        <v>2021</v>
      </c>
      <c r="L4925" s="1" t="str">
        <f t="shared" si="2"/>
        <v>Oct</v>
      </c>
      <c r="M4925" s="1" t="str">
        <f t="shared" si="3"/>
        <v>Profit</v>
      </c>
    </row>
    <row r="4926" ht="14.25" customHeight="1">
      <c r="A4926" s="1" t="s">
        <v>4960</v>
      </c>
      <c r="B4926" s="2">
        <v>45107.0</v>
      </c>
      <c r="C4926" s="1" t="s">
        <v>30</v>
      </c>
      <c r="D4926" s="1" t="s">
        <v>27</v>
      </c>
      <c r="E4926" s="1" t="s">
        <v>40</v>
      </c>
      <c r="F4926" s="1">
        <v>444.64</v>
      </c>
      <c r="G4926" s="1">
        <v>61.87</v>
      </c>
      <c r="H4926" s="1">
        <v>10.0</v>
      </c>
      <c r="I4926" s="1" t="s">
        <v>34</v>
      </c>
      <c r="J4926" s="1" t="s">
        <v>38</v>
      </c>
      <c r="K4926" s="1">
        <f t="shared" si="1"/>
        <v>2023</v>
      </c>
      <c r="L4926" s="1" t="str">
        <f t="shared" si="2"/>
        <v>Jun</v>
      </c>
      <c r="M4926" s="1" t="str">
        <f t="shared" si="3"/>
        <v>Profit</v>
      </c>
    </row>
    <row r="4927" ht="14.25" customHeight="1">
      <c r="A4927" s="1" t="s">
        <v>4961</v>
      </c>
      <c r="B4927" s="2">
        <v>45163.0</v>
      </c>
      <c r="C4927" s="1" t="s">
        <v>20</v>
      </c>
      <c r="D4927" s="1" t="s">
        <v>27</v>
      </c>
      <c r="E4927" s="1" t="s">
        <v>33</v>
      </c>
      <c r="F4927" s="1">
        <v>385.55</v>
      </c>
      <c r="G4927" s="1">
        <v>-37.7</v>
      </c>
      <c r="H4927" s="1">
        <v>5.0</v>
      </c>
      <c r="I4927" s="1" t="s">
        <v>23</v>
      </c>
      <c r="J4927" s="1" t="s">
        <v>18</v>
      </c>
      <c r="K4927" s="1">
        <f t="shared" si="1"/>
        <v>2023</v>
      </c>
      <c r="L4927" s="1" t="str">
        <f t="shared" si="2"/>
        <v>Aug</v>
      </c>
      <c r="M4927" s="1" t="str">
        <f t="shared" si="3"/>
        <v>Loss</v>
      </c>
    </row>
    <row r="4928" ht="14.25" customHeight="1">
      <c r="A4928" s="1" t="s">
        <v>4962</v>
      </c>
      <c r="B4928" s="2">
        <v>45144.0</v>
      </c>
      <c r="C4928" s="1" t="s">
        <v>14</v>
      </c>
      <c r="D4928" s="1" t="s">
        <v>21</v>
      </c>
      <c r="E4928" s="1" t="s">
        <v>76</v>
      </c>
      <c r="F4928" s="1">
        <v>154.21</v>
      </c>
      <c r="G4928" s="1">
        <v>-56.94</v>
      </c>
      <c r="H4928" s="1">
        <v>1.0</v>
      </c>
      <c r="I4928" s="1" t="s">
        <v>23</v>
      </c>
      <c r="J4928" s="1" t="s">
        <v>35</v>
      </c>
      <c r="K4928" s="1">
        <f t="shared" si="1"/>
        <v>2023</v>
      </c>
      <c r="L4928" s="1" t="str">
        <f t="shared" si="2"/>
        <v>Aug</v>
      </c>
      <c r="M4928" s="1" t="str">
        <f t="shared" si="3"/>
        <v>Loss</v>
      </c>
    </row>
    <row r="4929" ht="14.25" customHeight="1">
      <c r="A4929" s="1" t="s">
        <v>4963</v>
      </c>
      <c r="B4929" s="2">
        <v>44653.0</v>
      </c>
      <c r="C4929" s="1" t="s">
        <v>26</v>
      </c>
      <c r="D4929" s="1" t="s">
        <v>15</v>
      </c>
      <c r="E4929" s="1" t="s">
        <v>31</v>
      </c>
      <c r="F4929" s="1">
        <v>481.51</v>
      </c>
      <c r="G4929" s="1">
        <v>296.32</v>
      </c>
      <c r="H4929" s="1">
        <v>1.0</v>
      </c>
      <c r="I4929" s="1" t="s">
        <v>17</v>
      </c>
      <c r="J4929" s="1" t="s">
        <v>38</v>
      </c>
      <c r="K4929" s="1">
        <f t="shared" si="1"/>
        <v>2022</v>
      </c>
      <c r="L4929" s="1" t="str">
        <f t="shared" si="2"/>
        <v>Apr</v>
      </c>
      <c r="M4929" s="1" t="str">
        <f t="shared" si="3"/>
        <v>Profit</v>
      </c>
    </row>
    <row r="4930" ht="14.25" customHeight="1">
      <c r="A4930" s="1" t="s">
        <v>4964</v>
      </c>
      <c r="B4930" s="2">
        <v>44628.0</v>
      </c>
      <c r="C4930" s="1" t="s">
        <v>14</v>
      </c>
      <c r="D4930" s="1" t="s">
        <v>21</v>
      </c>
      <c r="E4930" s="1" t="s">
        <v>22</v>
      </c>
      <c r="F4930" s="1">
        <v>105.59</v>
      </c>
      <c r="G4930" s="1">
        <v>159.98</v>
      </c>
      <c r="H4930" s="1">
        <v>5.0</v>
      </c>
      <c r="I4930" s="1" t="s">
        <v>34</v>
      </c>
      <c r="J4930" s="1" t="s">
        <v>35</v>
      </c>
      <c r="K4930" s="1">
        <f t="shared" si="1"/>
        <v>2022</v>
      </c>
      <c r="L4930" s="1" t="str">
        <f t="shared" si="2"/>
        <v>Mar</v>
      </c>
      <c r="M4930" s="1" t="str">
        <f t="shared" si="3"/>
        <v>Profit</v>
      </c>
    </row>
    <row r="4931" ht="14.25" customHeight="1">
      <c r="A4931" s="1" t="s">
        <v>4965</v>
      </c>
      <c r="B4931" s="2">
        <v>44748.0</v>
      </c>
      <c r="C4931" s="1" t="s">
        <v>20</v>
      </c>
      <c r="D4931" s="1" t="s">
        <v>27</v>
      </c>
      <c r="E4931" s="1" t="s">
        <v>28</v>
      </c>
      <c r="F4931" s="1">
        <v>676.48</v>
      </c>
      <c r="G4931" s="1">
        <v>-72.48</v>
      </c>
      <c r="H4931" s="1">
        <v>7.0</v>
      </c>
      <c r="I4931" s="1" t="s">
        <v>34</v>
      </c>
      <c r="J4931" s="1" t="s">
        <v>18</v>
      </c>
      <c r="K4931" s="1">
        <f t="shared" si="1"/>
        <v>2022</v>
      </c>
      <c r="L4931" s="1" t="str">
        <f t="shared" si="2"/>
        <v>Jul</v>
      </c>
      <c r="M4931" s="1" t="str">
        <f t="shared" si="3"/>
        <v>Loss</v>
      </c>
    </row>
    <row r="4932" ht="14.25" customHeight="1">
      <c r="A4932" s="1" t="s">
        <v>4966</v>
      </c>
      <c r="B4932" s="2">
        <v>44421.0</v>
      </c>
      <c r="C4932" s="1" t="s">
        <v>14</v>
      </c>
      <c r="D4932" s="1" t="s">
        <v>27</v>
      </c>
      <c r="E4932" s="1" t="s">
        <v>33</v>
      </c>
      <c r="F4932" s="1">
        <v>566.71</v>
      </c>
      <c r="G4932" s="1">
        <v>114.84</v>
      </c>
      <c r="H4932" s="1">
        <v>5.0</v>
      </c>
      <c r="I4932" s="1" t="s">
        <v>34</v>
      </c>
      <c r="J4932" s="1" t="s">
        <v>38</v>
      </c>
      <c r="K4932" s="1">
        <f t="shared" si="1"/>
        <v>2021</v>
      </c>
      <c r="L4932" s="1" t="str">
        <f t="shared" si="2"/>
        <v>Aug</v>
      </c>
      <c r="M4932" s="1" t="str">
        <f t="shared" si="3"/>
        <v>Profit</v>
      </c>
    </row>
    <row r="4933" ht="14.25" customHeight="1">
      <c r="A4933" s="1" t="s">
        <v>4967</v>
      </c>
      <c r="B4933" s="2">
        <v>44601.0</v>
      </c>
      <c r="C4933" s="1" t="s">
        <v>20</v>
      </c>
      <c r="D4933" s="1" t="s">
        <v>21</v>
      </c>
      <c r="E4933" s="1" t="s">
        <v>37</v>
      </c>
      <c r="F4933" s="1">
        <v>661.74</v>
      </c>
      <c r="G4933" s="1">
        <v>59.13</v>
      </c>
      <c r="H4933" s="1">
        <v>10.0</v>
      </c>
      <c r="I4933" s="1" t="s">
        <v>23</v>
      </c>
      <c r="J4933" s="1" t="s">
        <v>35</v>
      </c>
      <c r="K4933" s="1">
        <f t="shared" si="1"/>
        <v>2022</v>
      </c>
      <c r="L4933" s="1" t="str">
        <f t="shared" si="2"/>
        <v>Feb</v>
      </c>
      <c r="M4933" s="1" t="str">
        <f t="shared" si="3"/>
        <v>Profit</v>
      </c>
    </row>
    <row r="4934" ht="14.25" customHeight="1">
      <c r="A4934" s="1" t="s">
        <v>4968</v>
      </c>
      <c r="B4934" s="2">
        <v>45117.0</v>
      </c>
      <c r="C4934" s="1" t="s">
        <v>14</v>
      </c>
      <c r="D4934" s="1" t="s">
        <v>21</v>
      </c>
      <c r="E4934" s="1" t="s">
        <v>22</v>
      </c>
      <c r="F4934" s="1">
        <v>919.87</v>
      </c>
      <c r="G4934" s="1">
        <v>-9.9</v>
      </c>
      <c r="H4934" s="1">
        <v>1.0</v>
      </c>
      <c r="I4934" s="1" t="s">
        <v>34</v>
      </c>
      <c r="J4934" s="1" t="s">
        <v>24</v>
      </c>
      <c r="K4934" s="1">
        <f t="shared" si="1"/>
        <v>2023</v>
      </c>
      <c r="L4934" s="1" t="str">
        <f t="shared" si="2"/>
        <v>Jul</v>
      </c>
      <c r="M4934" s="1" t="str">
        <f t="shared" si="3"/>
        <v>Loss</v>
      </c>
    </row>
    <row r="4935" ht="14.25" customHeight="1">
      <c r="A4935" s="1" t="s">
        <v>4969</v>
      </c>
      <c r="B4935" s="2">
        <v>44696.0</v>
      </c>
      <c r="C4935" s="1" t="s">
        <v>14</v>
      </c>
      <c r="D4935" s="1" t="s">
        <v>27</v>
      </c>
      <c r="E4935" s="1" t="s">
        <v>40</v>
      </c>
      <c r="F4935" s="1">
        <v>618.68</v>
      </c>
      <c r="G4935" s="1">
        <v>-123.41</v>
      </c>
      <c r="H4935" s="1">
        <v>3.0</v>
      </c>
      <c r="I4935" s="1" t="s">
        <v>23</v>
      </c>
      <c r="J4935" s="1" t="s">
        <v>35</v>
      </c>
      <c r="K4935" s="1">
        <f t="shared" si="1"/>
        <v>2022</v>
      </c>
      <c r="L4935" s="1" t="str">
        <f t="shared" si="2"/>
        <v>May</v>
      </c>
      <c r="M4935" s="1" t="str">
        <f t="shared" si="3"/>
        <v>Loss</v>
      </c>
    </row>
    <row r="4936" ht="14.25" customHeight="1">
      <c r="A4936" s="1" t="s">
        <v>4970</v>
      </c>
      <c r="B4936" s="2">
        <v>44271.0</v>
      </c>
      <c r="C4936" s="1" t="s">
        <v>26</v>
      </c>
      <c r="D4936" s="1" t="s">
        <v>27</v>
      </c>
      <c r="E4936" s="1" t="s">
        <v>28</v>
      </c>
      <c r="F4936" s="1">
        <v>543.99</v>
      </c>
      <c r="G4936" s="1">
        <v>-162.05</v>
      </c>
      <c r="H4936" s="1">
        <v>3.0</v>
      </c>
      <c r="I4936" s="1" t="s">
        <v>23</v>
      </c>
      <c r="J4936" s="1" t="s">
        <v>18</v>
      </c>
      <c r="K4936" s="1">
        <f t="shared" si="1"/>
        <v>2021</v>
      </c>
      <c r="L4936" s="1" t="str">
        <f t="shared" si="2"/>
        <v>Mar</v>
      </c>
      <c r="M4936" s="1" t="str">
        <f t="shared" si="3"/>
        <v>Loss</v>
      </c>
    </row>
    <row r="4937" ht="14.25" customHeight="1">
      <c r="A4937" s="1" t="s">
        <v>4971</v>
      </c>
      <c r="B4937" s="2">
        <v>45226.0</v>
      </c>
      <c r="C4937" s="1" t="s">
        <v>20</v>
      </c>
      <c r="D4937" s="1" t="s">
        <v>15</v>
      </c>
      <c r="E4937" s="1" t="s">
        <v>54</v>
      </c>
      <c r="F4937" s="1">
        <v>263.38</v>
      </c>
      <c r="G4937" s="1">
        <v>-66.59</v>
      </c>
      <c r="H4937" s="1">
        <v>9.0</v>
      </c>
      <c r="I4937" s="1" t="s">
        <v>34</v>
      </c>
      <c r="J4937" s="1" t="s">
        <v>24</v>
      </c>
      <c r="K4937" s="1">
        <f t="shared" si="1"/>
        <v>2023</v>
      </c>
      <c r="L4937" s="1" t="str">
        <f t="shared" si="2"/>
        <v>Oct</v>
      </c>
      <c r="M4937" s="1" t="str">
        <f t="shared" si="3"/>
        <v>Loss</v>
      </c>
    </row>
    <row r="4938" ht="14.25" customHeight="1">
      <c r="A4938" s="1" t="s">
        <v>4972</v>
      </c>
      <c r="B4938" s="2">
        <v>45056.0</v>
      </c>
      <c r="C4938" s="1" t="s">
        <v>20</v>
      </c>
      <c r="D4938" s="1" t="s">
        <v>27</v>
      </c>
      <c r="E4938" s="1" t="s">
        <v>40</v>
      </c>
      <c r="F4938" s="1">
        <v>109.74</v>
      </c>
      <c r="G4938" s="1">
        <v>73.24</v>
      </c>
      <c r="H4938" s="1">
        <v>8.0</v>
      </c>
      <c r="I4938" s="1" t="s">
        <v>17</v>
      </c>
      <c r="J4938" s="1" t="s">
        <v>35</v>
      </c>
      <c r="K4938" s="1">
        <f t="shared" si="1"/>
        <v>2023</v>
      </c>
      <c r="L4938" s="1" t="str">
        <f t="shared" si="2"/>
        <v>May</v>
      </c>
      <c r="M4938" s="1" t="str">
        <f t="shared" si="3"/>
        <v>Profit</v>
      </c>
    </row>
    <row r="4939" ht="14.25" customHeight="1">
      <c r="A4939" s="1" t="s">
        <v>4973</v>
      </c>
      <c r="B4939" s="2">
        <v>44513.0</v>
      </c>
      <c r="C4939" s="1" t="s">
        <v>26</v>
      </c>
      <c r="D4939" s="1" t="s">
        <v>15</v>
      </c>
      <c r="E4939" s="1" t="s">
        <v>16</v>
      </c>
      <c r="F4939" s="1">
        <v>173.96</v>
      </c>
      <c r="G4939" s="1">
        <v>-69.31</v>
      </c>
      <c r="H4939" s="1">
        <v>9.0</v>
      </c>
      <c r="I4939" s="1" t="s">
        <v>17</v>
      </c>
      <c r="J4939" s="1" t="s">
        <v>18</v>
      </c>
      <c r="K4939" s="1">
        <f t="shared" si="1"/>
        <v>2021</v>
      </c>
      <c r="L4939" s="1" t="str">
        <f t="shared" si="2"/>
        <v>Nov</v>
      </c>
      <c r="M4939" s="1" t="str">
        <f t="shared" si="3"/>
        <v>Loss</v>
      </c>
    </row>
    <row r="4940" ht="14.25" customHeight="1">
      <c r="A4940" s="1" t="s">
        <v>4974</v>
      </c>
      <c r="B4940" s="2">
        <v>45009.0</v>
      </c>
      <c r="C4940" s="1" t="s">
        <v>26</v>
      </c>
      <c r="D4940" s="1" t="s">
        <v>15</v>
      </c>
      <c r="E4940" s="1" t="s">
        <v>16</v>
      </c>
      <c r="F4940" s="1">
        <v>831.58</v>
      </c>
      <c r="G4940" s="1">
        <v>63.53</v>
      </c>
      <c r="H4940" s="1">
        <v>2.0</v>
      </c>
      <c r="I4940" s="1" t="s">
        <v>17</v>
      </c>
      <c r="J4940" s="1" t="s">
        <v>35</v>
      </c>
      <c r="K4940" s="1">
        <f t="shared" si="1"/>
        <v>2023</v>
      </c>
      <c r="L4940" s="1" t="str">
        <f t="shared" si="2"/>
        <v>Mar</v>
      </c>
      <c r="M4940" s="1" t="str">
        <f t="shared" si="3"/>
        <v>Profit</v>
      </c>
    </row>
    <row r="4941" ht="14.25" customHeight="1">
      <c r="A4941" s="1" t="s">
        <v>4975</v>
      </c>
      <c r="B4941" s="2">
        <v>44664.0</v>
      </c>
      <c r="C4941" s="1" t="s">
        <v>30</v>
      </c>
      <c r="D4941" s="1" t="s">
        <v>27</v>
      </c>
      <c r="E4941" s="1" t="s">
        <v>33</v>
      </c>
      <c r="F4941" s="1">
        <v>934.9</v>
      </c>
      <c r="G4941" s="1">
        <v>-112.31</v>
      </c>
      <c r="H4941" s="1">
        <v>4.0</v>
      </c>
      <c r="I4941" s="1" t="s">
        <v>23</v>
      </c>
      <c r="J4941" s="1" t="s">
        <v>35</v>
      </c>
      <c r="K4941" s="1">
        <f t="shared" si="1"/>
        <v>2022</v>
      </c>
      <c r="L4941" s="1" t="str">
        <f t="shared" si="2"/>
        <v>Apr</v>
      </c>
      <c r="M4941" s="1" t="str">
        <f t="shared" si="3"/>
        <v>Loss</v>
      </c>
    </row>
    <row r="4942" ht="14.25" customHeight="1">
      <c r="A4942" s="1" t="s">
        <v>4976</v>
      </c>
      <c r="B4942" s="2">
        <v>44437.0</v>
      </c>
      <c r="C4942" s="1" t="s">
        <v>26</v>
      </c>
      <c r="D4942" s="1" t="s">
        <v>27</v>
      </c>
      <c r="E4942" s="1" t="s">
        <v>33</v>
      </c>
      <c r="F4942" s="1">
        <v>815.47</v>
      </c>
      <c r="G4942" s="1">
        <v>137.78</v>
      </c>
      <c r="H4942" s="1">
        <v>6.0</v>
      </c>
      <c r="I4942" s="1" t="s">
        <v>23</v>
      </c>
      <c r="J4942" s="1" t="s">
        <v>24</v>
      </c>
      <c r="K4942" s="1">
        <f t="shared" si="1"/>
        <v>2021</v>
      </c>
      <c r="L4942" s="1" t="str">
        <f t="shared" si="2"/>
        <v>Aug</v>
      </c>
      <c r="M4942" s="1" t="str">
        <f t="shared" si="3"/>
        <v>Profit</v>
      </c>
    </row>
    <row r="4943" ht="14.25" customHeight="1">
      <c r="A4943" s="1" t="s">
        <v>4977</v>
      </c>
      <c r="B4943" s="2">
        <v>45198.0</v>
      </c>
      <c r="C4943" s="1" t="s">
        <v>26</v>
      </c>
      <c r="D4943" s="1" t="s">
        <v>21</v>
      </c>
      <c r="E4943" s="1" t="s">
        <v>76</v>
      </c>
      <c r="F4943" s="1">
        <v>761.14</v>
      </c>
      <c r="G4943" s="1">
        <v>77.66</v>
      </c>
      <c r="H4943" s="1">
        <v>6.0</v>
      </c>
      <c r="I4943" s="1" t="s">
        <v>23</v>
      </c>
      <c r="J4943" s="1" t="s">
        <v>35</v>
      </c>
      <c r="K4943" s="1">
        <f t="shared" si="1"/>
        <v>2023</v>
      </c>
      <c r="L4943" s="1" t="str">
        <f t="shared" si="2"/>
        <v>Sep</v>
      </c>
      <c r="M4943" s="1" t="str">
        <f t="shared" si="3"/>
        <v>Profit</v>
      </c>
    </row>
    <row r="4944" ht="14.25" customHeight="1">
      <c r="A4944" s="1" t="s">
        <v>4978</v>
      </c>
      <c r="B4944" s="2">
        <v>45247.0</v>
      </c>
      <c r="C4944" s="1" t="s">
        <v>14</v>
      </c>
      <c r="D4944" s="1" t="s">
        <v>15</v>
      </c>
      <c r="E4944" s="1" t="s">
        <v>54</v>
      </c>
      <c r="F4944" s="1">
        <v>787.62</v>
      </c>
      <c r="G4944" s="1">
        <v>262.02</v>
      </c>
      <c r="H4944" s="1">
        <v>7.0</v>
      </c>
      <c r="I4944" s="1" t="s">
        <v>17</v>
      </c>
      <c r="J4944" s="1" t="s">
        <v>38</v>
      </c>
      <c r="K4944" s="1">
        <f t="shared" si="1"/>
        <v>2023</v>
      </c>
      <c r="L4944" s="1" t="str">
        <f t="shared" si="2"/>
        <v>Nov</v>
      </c>
      <c r="M4944" s="1" t="str">
        <f t="shared" si="3"/>
        <v>Profit</v>
      </c>
    </row>
    <row r="4945" ht="14.25" customHeight="1">
      <c r="A4945" s="1" t="s">
        <v>4979</v>
      </c>
      <c r="B4945" s="2">
        <v>45008.0</v>
      </c>
      <c r="C4945" s="1" t="s">
        <v>30</v>
      </c>
      <c r="D4945" s="1" t="s">
        <v>27</v>
      </c>
      <c r="E4945" s="1" t="s">
        <v>40</v>
      </c>
      <c r="F4945" s="1">
        <v>792.3</v>
      </c>
      <c r="G4945" s="1">
        <v>279.26</v>
      </c>
      <c r="H4945" s="1">
        <v>6.0</v>
      </c>
      <c r="I4945" s="1" t="s">
        <v>23</v>
      </c>
      <c r="J4945" s="1" t="s">
        <v>24</v>
      </c>
      <c r="K4945" s="1">
        <f t="shared" si="1"/>
        <v>2023</v>
      </c>
      <c r="L4945" s="1" t="str">
        <f t="shared" si="2"/>
        <v>Mar</v>
      </c>
      <c r="M4945" s="1" t="str">
        <f t="shared" si="3"/>
        <v>Profit</v>
      </c>
    </row>
    <row r="4946" ht="14.25" customHeight="1">
      <c r="A4946" s="1" t="s">
        <v>4980</v>
      </c>
      <c r="B4946" s="2">
        <v>44983.0</v>
      </c>
      <c r="C4946" s="1" t="s">
        <v>14</v>
      </c>
      <c r="D4946" s="1" t="s">
        <v>27</v>
      </c>
      <c r="E4946" s="1" t="s">
        <v>28</v>
      </c>
      <c r="F4946" s="1">
        <v>163.44</v>
      </c>
      <c r="G4946" s="1">
        <v>-21.64</v>
      </c>
      <c r="H4946" s="1">
        <v>9.0</v>
      </c>
      <c r="I4946" s="1" t="s">
        <v>34</v>
      </c>
      <c r="J4946" s="1" t="s">
        <v>18</v>
      </c>
      <c r="K4946" s="1">
        <f t="shared" si="1"/>
        <v>2023</v>
      </c>
      <c r="L4946" s="1" t="str">
        <f t="shared" si="2"/>
        <v>Feb</v>
      </c>
      <c r="M4946" s="1" t="str">
        <f t="shared" si="3"/>
        <v>Loss</v>
      </c>
    </row>
    <row r="4947" ht="14.25" customHeight="1">
      <c r="A4947" s="1" t="s">
        <v>4981</v>
      </c>
      <c r="B4947" s="2">
        <v>44297.0</v>
      </c>
      <c r="C4947" s="1" t="s">
        <v>26</v>
      </c>
      <c r="D4947" s="1" t="s">
        <v>15</v>
      </c>
      <c r="E4947" s="1" t="s">
        <v>54</v>
      </c>
      <c r="F4947" s="1">
        <v>148.6</v>
      </c>
      <c r="G4947" s="1">
        <v>266.75</v>
      </c>
      <c r="H4947" s="1">
        <v>3.0</v>
      </c>
      <c r="I4947" s="1" t="s">
        <v>17</v>
      </c>
      <c r="J4947" s="1" t="s">
        <v>24</v>
      </c>
      <c r="K4947" s="1">
        <f t="shared" si="1"/>
        <v>2021</v>
      </c>
      <c r="L4947" s="1" t="str">
        <f t="shared" si="2"/>
        <v>Apr</v>
      </c>
      <c r="M4947" s="1" t="str">
        <f t="shared" si="3"/>
        <v>Profit</v>
      </c>
    </row>
    <row r="4948" ht="14.25" customHeight="1">
      <c r="A4948" s="1" t="s">
        <v>4982</v>
      </c>
      <c r="B4948" s="2">
        <v>44251.0</v>
      </c>
      <c r="C4948" s="1" t="s">
        <v>20</v>
      </c>
      <c r="D4948" s="1" t="s">
        <v>27</v>
      </c>
      <c r="E4948" s="1" t="s">
        <v>33</v>
      </c>
      <c r="F4948" s="1">
        <v>443.24</v>
      </c>
      <c r="G4948" s="1">
        <v>213.14</v>
      </c>
      <c r="H4948" s="1">
        <v>1.0</v>
      </c>
      <c r="I4948" s="1" t="s">
        <v>34</v>
      </c>
      <c r="J4948" s="1" t="s">
        <v>18</v>
      </c>
      <c r="K4948" s="1">
        <f t="shared" si="1"/>
        <v>2021</v>
      </c>
      <c r="L4948" s="1" t="str">
        <f t="shared" si="2"/>
        <v>Feb</v>
      </c>
      <c r="M4948" s="1" t="str">
        <f t="shared" si="3"/>
        <v>Profit</v>
      </c>
    </row>
    <row r="4949" ht="14.25" customHeight="1">
      <c r="A4949" s="1" t="s">
        <v>4983</v>
      </c>
      <c r="B4949" s="2">
        <v>45286.0</v>
      </c>
      <c r="C4949" s="1" t="s">
        <v>20</v>
      </c>
      <c r="D4949" s="1" t="s">
        <v>27</v>
      </c>
      <c r="E4949" s="1" t="s">
        <v>28</v>
      </c>
      <c r="F4949" s="1">
        <v>252.05</v>
      </c>
      <c r="G4949" s="1">
        <v>-112.54</v>
      </c>
      <c r="H4949" s="1">
        <v>1.0</v>
      </c>
      <c r="I4949" s="1" t="s">
        <v>23</v>
      </c>
      <c r="J4949" s="1" t="s">
        <v>35</v>
      </c>
      <c r="K4949" s="1">
        <f t="shared" si="1"/>
        <v>2023</v>
      </c>
      <c r="L4949" s="1" t="str">
        <f t="shared" si="2"/>
        <v>Dec</v>
      </c>
      <c r="M4949" s="1" t="str">
        <f t="shared" si="3"/>
        <v>Loss</v>
      </c>
    </row>
    <row r="4950" ht="14.25" customHeight="1">
      <c r="A4950" s="1" t="s">
        <v>4984</v>
      </c>
      <c r="B4950" s="2">
        <v>45107.0</v>
      </c>
      <c r="C4950" s="1" t="s">
        <v>26</v>
      </c>
      <c r="D4950" s="1" t="s">
        <v>27</v>
      </c>
      <c r="E4950" s="1" t="s">
        <v>40</v>
      </c>
      <c r="F4950" s="1">
        <v>23.92</v>
      </c>
      <c r="G4950" s="1">
        <v>194.63</v>
      </c>
      <c r="H4950" s="1">
        <v>10.0</v>
      </c>
      <c r="I4950" s="1" t="s">
        <v>34</v>
      </c>
      <c r="J4950" s="1" t="s">
        <v>35</v>
      </c>
      <c r="K4950" s="1">
        <f t="shared" si="1"/>
        <v>2023</v>
      </c>
      <c r="L4950" s="1" t="str">
        <f t="shared" si="2"/>
        <v>Jun</v>
      </c>
      <c r="M4950" s="1" t="str">
        <f t="shared" si="3"/>
        <v>Profit</v>
      </c>
    </row>
    <row r="4951" ht="14.25" customHeight="1">
      <c r="A4951" s="1" t="s">
        <v>4985</v>
      </c>
      <c r="B4951" s="2">
        <v>44795.0</v>
      </c>
      <c r="C4951" s="1" t="s">
        <v>30</v>
      </c>
      <c r="D4951" s="1" t="s">
        <v>15</v>
      </c>
      <c r="E4951" s="1" t="s">
        <v>54</v>
      </c>
      <c r="F4951" s="1">
        <v>446.44</v>
      </c>
      <c r="G4951" s="1">
        <v>-171.41</v>
      </c>
      <c r="H4951" s="1">
        <v>8.0</v>
      </c>
      <c r="I4951" s="1" t="s">
        <v>17</v>
      </c>
      <c r="J4951" s="1" t="s">
        <v>18</v>
      </c>
      <c r="K4951" s="1">
        <f t="shared" si="1"/>
        <v>2022</v>
      </c>
      <c r="L4951" s="1" t="str">
        <f t="shared" si="2"/>
        <v>Aug</v>
      </c>
      <c r="M4951" s="1" t="str">
        <f t="shared" si="3"/>
        <v>Loss</v>
      </c>
    </row>
    <row r="4952" ht="14.25" customHeight="1">
      <c r="A4952" s="1" t="s">
        <v>4986</v>
      </c>
      <c r="B4952" s="2">
        <v>45257.0</v>
      </c>
      <c r="C4952" s="1" t="s">
        <v>14</v>
      </c>
      <c r="D4952" s="1" t="s">
        <v>21</v>
      </c>
      <c r="E4952" s="1" t="s">
        <v>76</v>
      </c>
      <c r="F4952" s="1">
        <v>62.43</v>
      </c>
      <c r="G4952" s="1">
        <v>145.08</v>
      </c>
      <c r="H4952" s="1">
        <v>3.0</v>
      </c>
      <c r="I4952" s="1" t="s">
        <v>23</v>
      </c>
      <c r="J4952" s="1" t="s">
        <v>38</v>
      </c>
      <c r="K4952" s="1">
        <f t="shared" si="1"/>
        <v>2023</v>
      </c>
      <c r="L4952" s="1" t="str">
        <f t="shared" si="2"/>
        <v>Nov</v>
      </c>
      <c r="M4952" s="1" t="str">
        <f t="shared" si="3"/>
        <v>Profit</v>
      </c>
    </row>
    <row r="4953" ht="14.25" customHeight="1">
      <c r="A4953" s="1" t="s">
        <v>4987</v>
      </c>
      <c r="B4953" s="2">
        <v>44886.0</v>
      </c>
      <c r="C4953" s="1" t="s">
        <v>30</v>
      </c>
      <c r="D4953" s="1" t="s">
        <v>27</v>
      </c>
      <c r="E4953" s="1" t="s">
        <v>40</v>
      </c>
      <c r="F4953" s="1">
        <v>289.43</v>
      </c>
      <c r="G4953" s="1">
        <v>31.97</v>
      </c>
      <c r="H4953" s="1">
        <v>6.0</v>
      </c>
      <c r="I4953" s="1" t="s">
        <v>23</v>
      </c>
      <c r="J4953" s="1" t="s">
        <v>18</v>
      </c>
      <c r="K4953" s="1">
        <f t="shared" si="1"/>
        <v>2022</v>
      </c>
      <c r="L4953" s="1" t="str">
        <f t="shared" si="2"/>
        <v>Nov</v>
      </c>
      <c r="M4953" s="1" t="str">
        <f t="shared" si="3"/>
        <v>Profit</v>
      </c>
    </row>
    <row r="4954" ht="14.25" customHeight="1">
      <c r="A4954" s="1" t="s">
        <v>4988</v>
      </c>
      <c r="B4954" s="2">
        <v>44613.0</v>
      </c>
      <c r="C4954" s="1" t="s">
        <v>30</v>
      </c>
      <c r="D4954" s="1" t="s">
        <v>21</v>
      </c>
      <c r="E4954" s="1" t="s">
        <v>37</v>
      </c>
      <c r="F4954" s="1">
        <v>930.26</v>
      </c>
      <c r="G4954" s="1">
        <v>129.63</v>
      </c>
      <c r="H4954" s="1">
        <v>2.0</v>
      </c>
      <c r="I4954" s="1" t="s">
        <v>34</v>
      </c>
      <c r="J4954" s="1" t="s">
        <v>18</v>
      </c>
      <c r="K4954" s="1">
        <f t="shared" si="1"/>
        <v>2022</v>
      </c>
      <c r="L4954" s="1" t="str">
        <f t="shared" si="2"/>
        <v>Feb</v>
      </c>
      <c r="M4954" s="1" t="str">
        <f t="shared" si="3"/>
        <v>Profit</v>
      </c>
    </row>
    <row r="4955" ht="14.25" customHeight="1">
      <c r="A4955" s="1" t="s">
        <v>4989</v>
      </c>
      <c r="B4955" s="2">
        <v>44792.0</v>
      </c>
      <c r="C4955" s="1" t="s">
        <v>30</v>
      </c>
      <c r="D4955" s="1" t="s">
        <v>27</v>
      </c>
      <c r="E4955" s="1" t="s">
        <v>33</v>
      </c>
      <c r="F4955" s="1">
        <v>600.48</v>
      </c>
      <c r="G4955" s="1">
        <v>-40.03</v>
      </c>
      <c r="H4955" s="1">
        <v>6.0</v>
      </c>
      <c r="I4955" s="1" t="s">
        <v>23</v>
      </c>
      <c r="J4955" s="1" t="s">
        <v>24</v>
      </c>
      <c r="K4955" s="1">
        <f t="shared" si="1"/>
        <v>2022</v>
      </c>
      <c r="L4955" s="1" t="str">
        <f t="shared" si="2"/>
        <v>Aug</v>
      </c>
      <c r="M4955" s="1" t="str">
        <f t="shared" si="3"/>
        <v>Loss</v>
      </c>
    </row>
    <row r="4956" ht="14.25" customHeight="1">
      <c r="A4956" s="1" t="s">
        <v>4990</v>
      </c>
      <c r="B4956" s="2">
        <v>44729.0</v>
      </c>
      <c r="C4956" s="1" t="s">
        <v>20</v>
      </c>
      <c r="D4956" s="1" t="s">
        <v>21</v>
      </c>
      <c r="E4956" s="1" t="s">
        <v>76</v>
      </c>
      <c r="F4956" s="1">
        <v>701.33</v>
      </c>
      <c r="G4956" s="1">
        <v>208.55</v>
      </c>
      <c r="H4956" s="1">
        <v>10.0</v>
      </c>
      <c r="I4956" s="1" t="s">
        <v>34</v>
      </c>
      <c r="J4956" s="1" t="s">
        <v>35</v>
      </c>
      <c r="K4956" s="1">
        <f t="shared" si="1"/>
        <v>2022</v>
      </c>
      <c r="L4956" s="1" t="str">
        <f t="shared" si="2"/>
        <v>Jun</v>
      </c>
      <c r="M4956" s="1" t="str">
        <f t="shared" si="3"/>
        <v>Profit</v>
      </c>
    </row>
    <row r="4957" ht="14.25" customHeight="1">
      <c r="A4957" s="1" t="s">
        <v>4991</v>
      </c>
      <c r="B4957" s="2">
        <v>45005.0</v>
      </c>
      <c r="C4957" s="1" t="s">
        <v>20</v>
      </c>
      <c r="D4957" s="1" t="s">
        <v>21</v>
      </c>
      <c r="E4957" s="1" t="s">
        <v>37</v>
      </c>
      <c r="F4957" s="1">
        <v>579.83</v>
      </c>
      <c r="G4957" s="1">
        <v>-23.18</v>
      </c>
      <c r="H4957" s="1">
        <v>6.0</v>
      </c>
      <c r="I4957" s="1" t="s">
        <v>34</v>
      </c>
      <c r="J4957" s="1" t="s">
        <v>38</v>
      </c>
      <c r="K4957" s="1">
        <f t="shared" si="1"/>
        <v>2023</v>
      </c>
      <c r="L4957" s="1" t="str">
        <f t="shared" si="2"/>
        <v>Mar</v>
      </c>
      <c r="M4957" s="1" t="str">
        <f t="shared" si="3"/>
        <v>Loss</v>
      </c>
    </row>
    <row r="4958" ht="14.25" customHeight="1">
      <c r="A4958" s="1" t="s">
        <v>4992</v>
      </c>
      <c r="B4958" s="2">
        <v>44595.0</v>
      </c>
      <c r="C4958" s="1" t="s">
        <v>30</v>
      </c>
      <c r="D4958" s="1" t="s">
        <v>15</v>
      </c>
      <c r="E4958" s="1" t="s">
        <v>31</v>
      </c>
      <c r="F4958" s="1">
        <v>552.72</v>
      </c>
      <c r="G4958" s="1">
        <v>75.74</v>
      </c>
      <c r="H4958" s="1">
        <v>1.0</v>
      </c>
      <c r="I4958" s="1" t="s">
        <v>17</v>
      </c>
      <c r="J4958" s="1" t="s">
        <v>18</v>
      </c>
      <c r="K4958" s="1">
        <f t="shared" si="1"/>
        <v>2022</v>
      </c>
      <c r="L4958" s="1" t="str">
        <f t="shared" si="2"/>
        <v>Feb</v>
      </c>
      <c r="M4958" s="1" t="str">
        <f t="shared" si="3"/>
        <v>Profit</v>
      </c>
    </row>
    <row r="4959" ht="14.25" customHeight="1">
      <c r="A4959" s="1" t="s">
        <v>4993</v>
      </c>
      <c r="B4959" s="2">
        <v>44503.0</v>
      </c>
      <c r="C4959" s="1" t="s">
        <v>26</v>
      </c>
      <c r="D4959" s="1" t="s">
        <v>27</v>
      </c>
      <c r="E4959" s="1" t="s">
        <v>40</v>
      </c>
      <c r="F4959" s="1">
        <v>55.37</v>
      </c>
      <c r="G4959" s="1">
        <v>293.06</v>
      </c>
      <c r="H4959" s="1">
        <v>3.0</v>
      </c>
      <c r="I4959" s="1" t="s">
        <v>17</v>
      </c>
      <c r="J4959" s="1" t="s">
        <v>24</v>
      </c>
      <c r="K4959" s="1">
        <f t="shared" si="1"/>
        <v>2021</v>
      </c>
      <c r="L4959" s="1" t="str">
        <f t="shared" si="2"/>
        <v>Nov</v>
      </c>
      <c r="M4959" s="1" t="str">
        <f t="shared" si="3"/>
        <v>Profit</v>
      </c>
    </row>
    <row r="4960" ht="14.25" customHeight="1">
      <c r="A4960" s="1" t="s">
        <v>4994</v>
      </c>
      <c r="B4960" s="2">
        <v>45277.0</v>
      </c>
      <c r="C4960" s="1" t="s">
        <v>26</v>
      </c>
      <c r="D4960" s="1" t="s">
        <v>15</v>
      </c>
      <c r="E4960" s="1" t="s">
        <v>54</v>
      </c>
      <c r="F4960" s="1">
        <v>375.19</v>
      </c>
      <c r="G4960" s="1">
        <v>57.61</v>
      </c>
      <c r="H4960" s="1">
        <v>8.0</v>
      </c>
      <c r="I4960" s="1" t="s">
        <v>17</v>
      </c>
      <c r="J4960" s="1" t="s">
        <v>18</v>
      </c>
      <c r="K4960" s="1">
        <f t="shared" si="1"/>
        <v>2023</v>
      </c>
      <c r="L4960" s="1" t="str">
        <f t="shared" si="2"/>
        <v>Dec</v>
      </c>
      <c r="M4960" s="1" t="str">
        <f t="shared" si="3"/>
        <v>Profit</v>
      </c>
    </row>
    <row r="4961" ht="14.25" customHeight="1">
      <c r="A4961" s="1" t="s">
        <v>4995</v>
      </c>
      <c r="B4961" s="2">
        <v>44367.0</v>
      </c>
      <c r="C4961" s="1" t="s">
        <v>20</v>
      </c>
      <c r="D4961" s="1" t="s">
        <v>21</v>
      </c>
      <c r="E4961" s="1" t="s">
        <v>37</v>
      </c>
      <c r="F4961" s="1">
        <v>170.12</v>
      </c>
      <c r="G4961" s="1">
        <v>265.5</v>
      </c>
      <c r="H4961" s="1">
        <v>1.0</v>
      </c>
      <c r="I4961" s="1" t="s">
        <v>23</v>
      </c>
      <c r="J4961" s="1" t="s">
        <v>35</v>
      </c>
      <c r="K4961" s="1">
        <f t="shared" si="1"/>
        <v>2021</v>
      </c>
      <c r="L4961" s="1" t="str">
        <f t="shared" si="2"/>
        <v>Jun</v>
      </c>
      <c r="M4961" s="1" t="str">
        <f t="shared" si="3"/>
        <v>Profit</v>
      </c>
    </row>
    <row r="4962" ht="14.25" customHeight="1">
      <c r="A4962" s="1" t="s">
        <v>4996</v>
      </c>
      <c r="B4962" s="2">
        <v>44908.0</v>
      </c>
      <c r="C4962" s="1" t="s">
        <v>20</v>
      </c>
      <c r="D4962" s="1" t="s">
        <v>15</v>
      </c>
      <c r="E4962" s="1" t="s">
        <v>31</v>
      </c>
      <c r="F4962" s="1">
        <v>778.85</v>
      </c>
      <c r="G4962" s="1">
        <v>256.13</v>
      </c>
      <c r="H4962" s="1">
        <v>3.0</v>
      </c>
      <c r="I4962" s="1" t="s">
        <v>23</v>
      </c>
      <c r="J4962" s="1" t="s">
        <v>38</v>
      </c>
      <c r="K4962" s="1">
        <f t="shared" si="1"/>
        <v>2022</v>
      </c>
      <c r="L4962" s="1" t="str">
        <f t="shared" si="2"/>
        <v>Dec</v>
      </c>
      <c r="M4962" s="1" t="str">
        <f t="shared" si="3"/>
        <v>Profit</v>
      </c>
    </row>
    <row r="4963" ht="14.25" customHeight="1">
      <c r="A4963" s="1" t="s">
        <v>4997</v>
      </c>
      <c r="B4963" s="2">
        <v>44456.0</v>
      </c>
      <c r="C4963" s="1" t="s">
        <v>26</v>
      </c>
      <c r="D4963" s="1" t="s">
        <v>15</v>
      </c>
      <c r="E4963" s="1" t="s">
        <v>54</v>
      </c>
      <c r="F4963" s="1">
        <v>643.15</v>
      </c>
      <c r="G4963" s="1">
        <v>27.33</v>
      </c>
      <c r="H4963" s="1">
        <v>2.0</v>
      </c>
      <c r="I4963" s="1" t="s">
        <v>17</v>
      </c>
      <c r="J4963" s="1" t="s">
        <v>24</v>
      </c>
      <c r="K4963" s="1">
        <f t="shared" si="1"/>
        <v>2021</v>
      </c>
      <c r="L4963" s="1" t="str">
        <f t="shared" si="2"/>
        <v>Sep</v>
      </c>
      <c r="M4963" s="1" t="str">
        <f t="shared" si="3"/>
        <v>Profit</v>
      </c>
    </row>
    <row r="4964" ht="14.25" customHeight="1">
      <c r="A4964" s="1" t="s">
        <v>4998</v>
      </c>
      <c r="B4964" s="2">
        <v>44771.0</v>
      </c>
      <c r="C4964" s="1" t="s">
        <v>20</v>
      </c>
      <c r="D4964" s="1" t="s">
        <v>15</v>
      </c>
      <c r="E4964" s="1" t="s">
        <v>16</v>
      </c>
      <c r="F4964" s="1">
        <v>120.97</v>
      </c>
      <c r="G4964" s="1">
        <v>16.12</v>
      </c>
      <c r="H4964" s="1">
        <v>2.0</v>
      </c>
      <c r="I4964" s="1" t="s">
        <v>34</v>
      </c>
      <c r="J4964" s="1" t="s">
        <v>24</v>
      </c>
      <c r="K4964" s="1">
        <f t="shared" si="1"/>
        <v>2022</v>
      </c>
      <c r="L4964" s="1" t="str">
        <f t="shared" si="2"/>
        <v>Jul</v>
      </c>
      <c r="M4964" s="1" t="str">
        <f t="shared" si="3"/>
        <v>Profit</v>
      </c>
    </row>
    <row r="4965" ht="14.25" customHeight="1">
      <c r="A4965" s="1" t="s">
        <v>4999</v>
      </c>
      <c r="B4965" s="2">
        <v>44931.0</v>
      </c>
      <c r="C4965" s="1" t="s">
        <v>14</v>
      </c>
      <c r="D4965" s="1" t="s">
        <v>21</v>
      </c>
      <c r="E4965" s="1" t="s">
        <v>22</v>
      </c>
      <c r="F4965" s="1">
        <v>760.62</v>
      </c>
      <c r="G4965" s="1">
        <v>-172.24</v>
      </c>
      <c r="H4965" s="1">
        <v>10.0</v>
      </c>
      <c r="I4965" s="1" t="s">
        <v>23</v>
      </c>
      <c r="J4965" s="1" t="s">
        <v>35</v>
      </c>
      <c r="K4965" s="1">
        <f t="shared" si="1"/>
        <v>2023</v>
      </c>
      <c r="L4965" s="1" t="str">
        <f t="shared" si="2"/>
        <v>Jan</v>
      </c>
      <c r="M4965" s="1" t="str">
        <f t="shared" si="3"/>
        <v>Loss</v>
      </c>
    </row>
    <row r="4966" ht="14.25" customHeight="1">
      <c r="A4966" s="1" t="s">
        <v>5000</v>
      </c>
      <c r="B4966" s="2">
        <v>45000.0</v>
      </c>
      <c r="C4966" s="1" t="s">
        <v>26</v>
      </c>
      <c r="D4966" s="1" t="s">
        <v>15</v>
      </c>
      <c r="E4966" s="1" t="s">
        <v>31</v>
      </c>
      <c r="F4966" s="1">
        <v>577.72</v>
      </c>
      <c r="G4966" s="1">
        <v>80.02</v>
      </c>
      <c r="H4966" s="1">
        <v>1.0</v>
      </c>
      <c r="I4966" s="1" t="s">
        <v>34</v>
      </c>
      <c r="J4966" s="1" t="s">
        <v>24</v>
      </c>
      <c r="K4966" s="1">
        <f t="shared" si="1"/>
        <v>2023</v>
      </c>
      <c r="L4966" s="1" t="str">
        <f t="shared" si="2"/>
        <v>Mar</v>
      </c>
      <c r="M4966" s="1" t="str">
        <f t="shared" si="3"/>
        <v>Profit</v>
      </c>
    </row>
    <row r="4967" ht="14.25" customHeight="1">
      <c r="A4967" s="1" t="s">
        <v>5001</v>
      </c>
      <c r="B4967" s="2">
        <v>44235.0</v>
      </c>
      <c r="C4967" s="1" t="s">
        <v>20</v>
      </c>
      <c r="D4967" s="1" t="s">
        <v>15</v>
      </c>
      <c r="E4967" s="1" t="s">
        <v>54</v>
      </c>
      <c r="F4967" s="1">
        <v>377.04</v>
      </c>
      <c r="G4967" s="1">
        <v>-53.79</v>
      </c>
      <c r="H4967" s="1">
        <v>3.0</v>
      </c>
      <c r="I4967" s="1" t="s">
        <v>17</v>
      </c>
      <c r="J4967" s="1" t="s">
        <v>35</v>
      </c>
      <c r="K4967" s="1">
        <f t="shared" si="1"/>
        <v>2021</v>
      </c>
      <c r="L4967" s="1" t="str">
        <f t="shared" si="2"/>
        <v>Feb</v>
      </c>
      <c r="M4967" s="1" t="str">
        <f t="shared" si="3"/>
        <v>Loss</v>
      </c>
    </row>
    <row r="4968" ht="14.25" customHeight="1">
      <c r="A4968" s="1" t="s">
        <v>5002</v>
      </c>
      <c r="B4968" s="2">
        <v>44920.0</v>
      </c>
      <c r="C4968" s="1" t="s">
        <v>20</v>
      </c>
      <c r="D4968" s="1" t="s">
        <v>15</v>
      </c>
      <c r="E4968" s="1" t="s">
        <v>16</v>
      </c>
      <c r="F4968" s="1">
        <v>151.1</v>
      </c>
      <c r="G4968" s="1">
        <v>55.27</v>
      </c>
      <c r="H4968" s="1">
        <v>7.0</v>
      </c>
      <c r="I4968" s="1" t="s">
        <v>17</v>
      </c>
      <c r="J4968" s="1" t="s">
        <v>38</v>
      </c>
      <c r="K4968" s="1">
        <f t="shared" si="1"/>
        <v>2022</v>
      </c>
      <c r="L4968" s="1" t="str">
        <f t="shared" si="2"/>
        <v>Dec</v>
      </c>
      <c r="M4968" s="1" t="str">
        <f t="shared" si="3"/>
        <v>Profit</v>
      </c>
    </row>
    <row r="4969" ht="14.25" customHeight="1">
      <c r="A4969" s="1" t="s">
        <v>5003</v>
      </c>
      <c r="B4969" s="2">
        <v>44505.0</v>
      </c>
      <c r="C4969" s="1" t="s">
        <v>14</v>
      </c>
      <c r="D4969" s="1" t="s">
        <v>15</v>
      </c>
      <c r="E4969" s="1" t="s">
        <v>54</v>
      </c>
      <c r="F4969" s="1">
        <v>421.5</v>
      </c>
      <c r="G4969" s="1">
        <v>123.8</v>
      </c>
      <c r="H4969" s="1">
        <v>7.0</v>
      </c>
      <c r="I4969" s="1" t="s">
        <v>34</v>
      </c>
      <c r="J4969" s="1" t="s">
        <v>24</v>
      </c>
      <c r="K4969" s="1">
        <f t="shared" si="1"/>
        <v>2021</v>
      </c>
      <c r="L4969" s="1" t="str">
        <f t="shared" si="2"/>
        <v>Nov</v>
      </c>
      <c r="M4969" s="1" t="str">
        <f t="shared" si="3"/>
        <v>Profit</v>
      </c>
    </row>
    <row r="4970" ht="14.25" customHeight="1">
      <c r="A4970" s="1" t="s">
        <v>5004</v>
      </c>
      <c r="B4970" s="2">
        <v>45164.0</v>
      </c>
      <c r="C4970" s="1" t="s">
        <v>14</v>
      </c>
      <c r="D4970" s="1" t="s">
        <v>27</v>
      </c>
      <c r="E4970" s="1" t="s">
        <v>33</v>
      </c>
      <c r="F4970" s="1">
        <v>442.61</v>
      </c>
      <c r="G4970" s="1">
        <v>50.85</v>
      </c>
      <c r="H4970" s="1">
        <v>4.0</v>
      </c>
      <c r="I4970" s="1" t="s">
        <v>17</v>
      </c>
      <c r="J4970" s="1" t="s">
        <v>35</v>
      </c>
      <c r="K4970" s="1">
        <f t="shared" si="1"/>
        <v>2023</v>
      </c>
      <c r="L4970" s="1" t="str">
        <f t="shared" si="2"/>
        <v>Aug</v>
      </c>
      <c r="M4970" s="1" t="str">
        <f t="shared" si="3"/>
        <v>Profit</v>
      </c>
    </row>
    <row r="4971" ht="14.25" customHeight="1">
      <c r="A4971" s="1" t="s">
        <v>5005</v>
      </c>
      <c r="B4971" s="2">
        <v>44440.0</v>
      </c>
      <c r="C4971" s="1" t="s">
        <v>14</v>
      </c>
      <c r="D4971" s="1" t="s">
        <v>15</v>
      </c>
      <c r="E4971" s="1" t="s">
        <v>16</v>
      </c>
      <c r="F4971" s="1">
        <v>57.32</v>
      </c>
      <c r="G4971" s="1">
        <v>45.8</v>
      </c>
      <c r="H4971" s="1">
        <v>1.0</v>
      </c>
      <c r="I4971" s="1" t="s">
        <v>17</v>
      </c>
      <c r="J4971" s="1" t="s">
        <v>38</v>
      </c>
      <c r="K4971" s="1">
        <f t="shared" si="1"/>
        <v>2021</v>
      </c>
      <c r="L4971" s="1" t="str">
        <f t="shared" si="2"/>
        <v>Sep</v>
      </c>
      <c r="M4971" s="1" t="str">
        <f t="shared" si="3"/>
        <v>Profit</v>
      </c>
    </row>
    <row r="4972" ht="14.25" customHeight="1">
      <c r="A4972" s="1" t="s">
        <v>5006</v>
      </c>
      <c r="B4972" s="2">
        <v>44535.0</v>
      </c>
      <c r="C4972" s="1" t="s">
        <v>14</v>
      </c>
      <c r="D4972" s="1" t="s">
        <v>27</v>
      </c>
      <c r="E4972" s="1" t="s">
        <v>33</v>
      </c>
      <c r="F4972" s="1">
        <v>898.77</v>
      </c>
      <c r="G4972" s="1">
        <v>-3.46</v>
      </c>
      <c r="H4972" s="1">
        <v>3.0</v>
      </c>
      <c r="I4972" s="1" t="s">
        <v>23</v>
      </c>
      <c r="J4972" s="1" t="s">
        <v>18</v>
      </c>
      <c r="K4972" s="1">
        <f t="shared" si="1"/>
        <v>2021</v>
      </c>
      <c r="L4972" s="1" t="str">
        <f t="shared" si="2"/>
        <v>Dec</v>
      </c>
      <c r="M4972" s="1" t="str">
        <f t="shared" si="3"/>
        <v>Loss</v>
      </c>
    </row>
    <row r="4973" ht="14.25" customHeight="1">
      <c r="A4973" s="1" t="s">
        <v>5007</v>
      </c>
      <c r="B4973" s="2">
        <v>44666.0</v>
      </c>
      <c r="C4973" s="1" t="s">
        <v>14</v>
      </c>
      <c r="D4973" s="1" t="s">
        <v>21</v>
      </c>
      <c r="E4973" s="1" t="s">
        <v>76</v>
      </c>
      <c r="F4973" s="1">
        <v>997.35</v>
      </c>
      <c r="G4973" s="1">
        <v>-167.61</v>
      </c>
      <c r="H4973" s="1">
        <v>5.0</v>
      </c>
      <c r="I4973" s="1" t="s">
        <v>23</v>
      </c>
      <c r="J4973" s="1" t="s">
        <v>18</v>
      </c>
      <c r="K4973" s="1">
        <f t="shared" si="1"/>
        <v>2022</v>
      </c>
      <c r="L4973" s="1" t="str">
        <f t="shared" si="2"/>
        <v>Apr</v>
      </c>
      <c r="M4973" s="1" t="str">
        <f t="shared" si="3"/>
        <v>Loss</v>
      </c>
    </row>
    <row r="4974" ht="14.25" customHeight="1">
      <c r="A4974" s="1" t="s">
        <v>5008</v>
      </c>
      <c r="B4974" s="2">
        <v>44726.0</v>
      </c>
      <c r="C4974" s="1" t="s">
        <v>20</v>
      </c>
      <c r="D4974" s="1" t="s">
        <v>21</v>
      </c>
      <c r="E4974" s="1" t="s">
        <v>22</v>
      </c>
      <c r="F4974" s="1">
        <v>730.85</v>
      </c>
      <c r="G4974" s="1">
        <v>-128.33</v>
      </c>
      <c r="H4974" s="1">
        <v>8.0</v>
      </c>
      <c r="I4974" s="1" t="s">
        <v>34</v>
      </c>
      <c r="J4974" s="1" t="s">
        <v>18</v>
      </c>
      <c r="K4974" s="1">
        <f t="shared" si="1"/>
        <v>2022</v>
      </c>
      <c r="L4974" s="1" t="str">
        <f t="shared" si="2"/>
        <v>Jun</v>
      </c>
      <c r="M4974" s="1" t="str">
        <f t="shared" si="3"/>
        <v>Loss</v>
      </c>
    </row>
    <row r="4975" ht="14.25" customHeight="1">
      <c r="A4975" s="1" t="s">
        <v>5009</v>
      </c>
      <c r="B4975" s="2">
        <v>44311.0</v>
      </c>
      <c r="C4975" s="1" t="s">
        <v>30</v>
      </c>
      <c r="D4975" s="1" t="s">
        <v>21</v>
      </c>
      <c r="E4975" s="1" t="s">
        <v>76</v>
      </c>
      <c r="F4975" s="1">
        <v>594.58</v>
      </c>
      <c r="G4975" s="1">
        <v>76.84</v>
      </c>
      <c r="H4975" s="1">
        <v>8.0</v>
      </c>
      <c r="I4975" s="1" t="s">
        <v>17</v>
      </c>
      <c r="J4975" s="1" t="s">
        <v>35</v>
      </c>
      <c r="K4975" s="1">
        <f t="shared" si="1"/>
        <v>2021</v>
      </c>
      <c r="L4975" s="1" t="str">
        <f t="shared" si="2"/>
        <v>Apr</v>
      </c>
      <c r="M4975" s="1" t="str">
        <f t="shared" si="3"/>
        <v>Profit</v>
      </c>
    </row>
    <row r="4976" ht="14.25" customHeight="1">
      <c r="A4976" s="1" t="s">
        <v>5010</v>
      </c>
      <c r="B4976" s="2">
        <v>44492.0</v>
      </c>
      <c r="C4976" s="1" t="s">
        <v>30</v>
      </c>
      <c r="D4976" s="1" t="s">
        <v>27</v>
      </c>
      <c r="E4976" s="1" t="s">
        <v>40</v>
      </c>
      <c r="F4976" s="1">
        <v>777.05</v>
      </c>
      <c r="G4976" s="1">
        <v>99.95</v>
      </c>
      <c r="H4976" s="1">
        <v>10.0</v>
      </c>
      <c r="I4976" s="1" t="s">
        <v>34</v>
      </c>
      <c r="J4976" s="1" t="s">
        <v>35</v>
      </c>
      <c r="K4976" s="1">
        <f t="shared" si="1"/>
        <v>2021</v>
      </c>
      <c r="L4976" s="1" t="str">
        <f t="shared" si="2"/>
        <v>Oct</v>
      </c>
      <c r="M4976" s="1" t="str">
        <f t="shared" si="3"/>
        <v>Profit</v>
      </c>
    </row>
    <row r="4977" ht="14.25" customHeight="1">
      <c r="A4977" s="1" t="s">
        <v>5011</v>
      </c>
      <c r="B4977" s="2">
        <v>44419.0</v>
      </c>
      <c r="C4977" s="1" t="s">
        <v>30</v>
      </c>
      <c r="D4977" s="1" t="s">
        <v>27</v>
      </c>
      <c r="E4977" s="1" t="s">
        <v>33</v>
      </c>
      <c r="F4977" s="1">
        <v>631.7</v>
      </c>
      <c r="G4977" s="1">
        <v>103.9</v>
      </c>
      <c r="H4977" s="1">
        <v>8.0</v>
      </c>
      <c r="I4977" s="1" t="s">
        <v>34</v>
      </c>
      <c r="J4977" s="1" t="s">
        <v>35</v>
      </c>
      <c r="K4977" s="1">
        <f t="shared" si="1"/>
        <v>2021</v>
      </c>
      <c r="L4977" s="1" t="str">
        <f t="shared" si="2"/>
        <v>Aug</v>
      </c>
      <c r="M4977" s="1" t="str">
        <f t="shared" si="3"/>
        <v>Profit</v>
      </c>
    </row>
    <row r="4978" ht="14.25" customHeight="1">
      <c r="A4978" s="1" t="s">
        <v>5012</v>
      </c>
      <c r="B4978" s="2">
        <v>44662.0</v>
      </c>
      <c r="C4978" s="1" t="s">
        <v>26</v>
      </c>
      <c r="D4978" s="1" t="s">
        <v>15</v>
      </c>
      <c r="E4978" s="1" t="s">
        <v>54</v>
      </c>
      <c r="F4978" s="1">
        <v>451.69</v>
      </c>
      <c r="G4978" s="1">
        <v>140.59</v>
      </c>
      <c r="H4978" s="1">
        <v>10.0</v>
      </c>
      <c r="I4978" s="1" t="s">
        <v>34</v>
      </c>
      <c r="J4978" s="1" t="s">
        <v>35</v>
      </c>
      <c r="K4978" s="1">
        <f t="shared" si="1"/>
        <v>2022</v>
      </c>
      <c r="L4978" s="1" t="str">
        <f t="shared" si="2"/>
        <v>Apr</v>
      </c>
      <c r="M4978" s="1" t="str">
        <f t="shared" si="3"/>
        <v>Profit</v>
      </c>
    </row>
    <row r="4979" ht="14.25" customHeight="1">
      <c r="A4979" s="1" t="s">
        <v>5013</v>
      </c>
      <c r="B4979" s="2">
        <v>44703.0</v>
      </c>
      <c r="C4979" s="1" t="s">
        <v>14</v>
      </c>
      <c r="D4979" s="1" t="s">
        <v>27</v>
      </c>
      <c r="E4979" s="1" t="s">
        <v>28</v>
      </c>
      <c r="F4979" s="1">
        <v>521.86</v>
      </c>
      <c r="G4979" s="1">
        <v>29.62</v>
      </c>
      <c r="H4979" s="1">
        <v>7.0</v>
      </c>
      <c r="I4979" s="1" t="s">
        <v>17</v>
      </c>
      <c r="J4979" s="1" t="s">
        <v>35</v>
      </c>
      <c r="K4979" s="1">
        <f t="shared" si="1"/>
        <v>2022</v>
      </c>
      <c r="L4979" s="1" t="str">
        <f t="shared" si="2"/>
        <v>May</v>
      </c>
      <c r="M4979" s="1" t="str">
        <f t="shared" si="3"/>
        <v>Profit</v>
      </c>
    </row>
    <row r="4980" ht="14.25" customHeight="1">
      <c r="A4980" s="1" t="s">
        <v>5014</v>
      </c>
      <c r="B4980" s="2">
        <v>45249.0</v>
      </c>
      <c r="C4980" s="1" t="s">
        <v>30</v>
      </c>
      <c r="D4980" s="1" t="s">
        <v>15</v>
      </c>
      <c r="E4980" s="1" t="s">
        <v>31</v>
      </c>
      <c r="F4980" s="1">
        <v>704.2</v>
      </c>
      <c r="G4980" s="1">
        <v>-48.78</v>
      </c>
      <c r="H4980" s="1">
        <v>4.0</v>
      </c>
      <c r="I4980" s="1" t="s">
        <v>34</v>
      </c>
      <c r="J4980" s="1" t="s">
        <v>35</v>
      </c>
      <c r="K4980" s="1">
        <f t="shared" si="1"/>
        <v>2023</v>
      </c>
      <c r="L4980" s="1" t="str">
        <f t="shared" si="2"/>
        <v>Nov</v>
      </c>
      <c r="M4980" s="1" t="str">
        <f t="shared" si="3"/>
        <v>Loss</v>
      </c>
    </row>
    <row r="4981" ht="14.25" customHeight="1">
      <c r="A4981" s="1" t="s">
        <v>5015</v>
      </c>
      <c r="B4981" s="2">
        <v>44639.0</v>
      </c>
      <c r="C4981" s="1" t="s">
        <v>26</v>
      </c>
      <c r="D4981" s="1" t="s">
        <v>27</v>
      </c>
      <c r="E4981" s="1" t="s">
        <v>33</v>
      </c>
      <c r="F4981" s="1">
        <v>576.02</v>
      </c>
      <c r="G4981" s="1">
        <v>-150.83</v>
      </c>
      <c r="H4981" s="1">
        <v>10.0</v>
      </c>
      <c r="I4981" s="1" t="s">
        <v>34</v>
      </c>
      <c r="J4981" s="1" t="s">
        <v>18</v>
      </c>
      <c r="K4981" s="1">
        <f t="shared" si="1"/>
        <v>2022</v>
      </c>
      <c r="L4981" s="1" t="str">
        <f t="shared" si="2"/>
        <v>Mar</v>
      </c>
      <c r="M4981" s="1" t="str">
        <f t="shared" si="3"/>
        <v>Loss</v>
      </c>
    </row>
    <row r="4982" ht="14.25" customHeight="1">
      <c r="A4982" s="1" t="s">
        <v>5016</v>
      </c>
      <c r="B4982" s="2">
        <v>44875.0</v>
      </c>
      <c r="C4982" s="1" t="s">
        <v>30</v>
      </c>
      <c r="D4982" s="1" t="s">
        <v>27</v>
      </c>
      <c r="E4982" s="1" t="s">
        <v>33</v>
      </c>
      <c r="F4982" s="1">
        <v>33.98</v>
      </c>
      <c r="G4982" s="1">
        <v>-5.81</v>
      </c>
      <c r="H4982" s="1">
        <v>4.0</v>
      </c>
      <c r="I4982" s="1" t="s">
        <v>23</v>
      </c>
      <c r="J4982" s="1" t="s">
        <v>24</v>
      </c>
      <c r="K4982" s="1">
        <f t="shared" si="1"/>
        <v>2022</v>
      </c>
      <c r="L4982" s="1" t="str">
        <f t="shared" si="2"/>
        <v>Nov</v>
      </c>
      <c r="M4982" s="1" t="str">
        <f t="shared" si="3"/>
        <v>Loss</v>
      </c>
    </row>
    <row r="4983" ht="14.25" customHeight="1">
      <c r="A4983" s="1" t="s">
        <v>5017</v>
      </c>
      <c r="B4983" s="2">
        <v>44496.0</v>
      </c>
      <c r="C4983" s="1" t="s">
        <v>26</v>
      </c>
      <c r="D4983" s="1" t="s">
        <v>21</v>
      </c>
      <c r="E4983" s="1" t="s">
        <v>37</v>
      </c>
      <c r="F4983" s="1">
        <v>346.88</v>
      </c>
      <c r="G4983" s="1">
        <v>-99.08</v>
      </c>
      <c r="H4983" s="1">
        <v>3.0</v>
      </c>
      <c r="I4983" s="1" t="s">
        <v>23</v>
      </c>
      <c r="J4983" s="1" t="s">
        <v>24</v>
      </c>
      <c r="K4983" s="1">
        <f t="shared" si="1"/>
        <v>2021</v>
      </c>
      <c r="L4983" s="1" t="str">
        <f t="shared" si="2"/>
        <v>Oct</v>
      </c>
      <c r="M4983" s="1" t="str">
        <f t="shared" si="3"/>
        <v>Loss</v>
      </c>
    </row>
    <row r="4984" ht="14.25" customHeight="1">
      <c r="A4984" s="1" t="s">
        <v>5018</v>
      </c>
      <c r="B4984" s="2">
        <v>44477.0</v>
      </c>
      <c r="C4984" s="1" t="s">
        <v>26</v>
      </c>
      <c r="D4984" s="1" t="s">
        <v>27</v>
      </c>
      <c r="E4984" s="1" t="s">
        <v>33</v>
      </c>
      <c r="F4984" s="1">
        <v>40.73</v>
      </c>
      <c r="G4984" s="1">
        <v>-163.65</v>
      </c>
      <c r="H4984" s="1">
        <v>6.0</v>
      </c>
      <c r="I4984" s="1" t="s">
        <v>23</v>
      </c>
      <c r="J4984" s="1" t="s">
        <v>18</v>
      </c>
      <c r="K4984" s="1">
        <f t="shared" si="1"/>
        <v>2021</v>
      </c>
      <c r="L4984" s="1" t="str">
        <f t="shared" si="2"/>
        <v>Oct</v>
      </c>
      <c r="M4984" s="1" t="str">
        <f t="shared" si="3"/>
        <v>Loss</v>
      </c>
    </row>
    <row r="4985" ht="14.25" customHeight="1">
      <c r="A4985" s="1" t="s">
        <v>5019</v>
      </c>
      <c r="B4985" s="2">
        <v>44672.0</v>
      </c>
      <c r="C4985" s="1" t="s">
        <v>14</v>
      </c>
      <c r="D4985" s="1" t="s">
        <v>21</v>
      </c>
      <c r="E4985" s="1" t="s">
        <v>37</v>
      </c>
      <c r="F4985" s="1">
        <v>928.75</v>
      </c>
      <c r="G4985" s="1">
        <v>285.62</v>
      </c>
      <c r="H4985" s="1">
        <v>4.0</v>
      </c>
      <c r="I4985" s="1" t="s">
        <v>17</v>
      </c>
      <c r="J4985" s="1" t="s">
        <v>18</v>
      </c>
      <c r="K4985" s="1">
        <f t="shared" si="1"/>
        <v>2022</v>
      </c>
      <c r="L4985" s="1" t="str">
        <f t="shared" si="2"/>
        <v>Apr</v>
      </c>
      <c r="M4985" s="1" t="str">
        <f t="shared" si="3"/>
        <v>Profit</v>
      </c>
    </row>
    <row r="4986" ht="14.25" customHeight="1">
      <c r="A4986" s="1" t="s">
        <v>5020</v>
      </c>
      <c r="B4986" s="2">
        <v>44679.0</v>
      </c>
      <c r="C4986" s="1" t="s">
        <v>26</v>
      </c>
      <c r="D4986" s="1" t="s">
        <v>15</v>
      </c>
      <c r="E4986" s="1" t="s">
        <v>16</v>
      </c>
      <c r="F4986" s="1">
        <v>64.83</v>
      </c>
      <c r="G4986" s="1">
        <v>216.99</v>
      </c>
      <c r="H4986" s="1">
        <v>2.0</v>
      </c>
      <c r="I4986" s="1" t="s">
        <v>34</v>
      </c>
      <c r="J4986" s="1" t="s">
        <v>35</v>
      </c>
      <c r="K4986" s="1">
        <f t="shared" si="1"/>
        <v>2022</v>
      </c>
      <c r="L4986" s="1" t="str">
        <f t="shared" si="2"/>
        <v>Apr</v>
      </c>
      <c r="M4986" s="1" t="str">
        <f t="shared" si="3"/>
        <v>Profit</v>
      </c>
    </row>
    <row r="4987" ht="14.25" customHeight="1">
      <c r="A4987" s="1" t="s">
        <v>5021</v>
      </c>
      <c r="B4987" s="2">
        <v>45099.0</v>
      </c>
      <c r="C4987" s="1" t="s">
        <v>20</v>
      </c>
      <c r="D4987" s="1" t="s">
        <v>15</v>
      </c>
      <c r="E4987" s="1" t="s">
        <v>54</v>
      </c>
      <c r="F4987" s="1">
        <v>259.1</v>
      </c>
      <c r="G4987" s="1">
        <v>97.64</v>
      </c>
      <c r="H4987" s="1">
        <v>4.0</v>
      </c>
      <c r="I4987" s="1" t="s">
        <v>17</v>
      </c>
      <c r="J4987" s="1" t="s">
        <v>35</v>
      </c>
      <c r="K4987" s="1">
        <f t="shared" si="1"/>
        <v>2023</v>
      </c>
      <c r="L4987" s="1" t="str">
        <f t="shared" si="2"/>
        <v>Jun</v>
      </c>
      <c r="M4987" s="1" t="str">
        <f t="shared" si="3"/>
        <v>Profit</v>
      </c>
    </row>
    <row r="4988" ht="14.25" customHeight="1">
      <c r="A4988" s="1" t="s">
        <v>5022</v>
      </c>
      <c r="B4988" s="2">
        <v>44785.0</v>
      </c>
      <c r="C4988" s="1" t="s">
        <v>26</v>
      </c>
      <c r="D4988" s="1" t="s">
        <v>15</v>
      </c>
      <c r="E4988" s="1" t="s">
        <v>54</v>
      </c>
      <c r="F4988" s="1">
        <v>428.88</v>
      </c>
      <c r="G4988" s="1">
        <v>118.31</v>
      </c>
      <c r="H4988" s="1">
        <v>4.0</v>
      </c>
      <c r="I4988" s="1" t="s">
        <v>17</v>
      </c>
      <c r="J4988" s="1" t="s">
        <v>35</v>
      </c>
      <c r="K4988" s="1">
        <f t="shared" si="1"/>
        <v>2022</v>
      </c>
      <c r="L4988" s="1" t="str">
        <f t="shared" si="2"/>
        <v>Aug</v>
      </c>
      <c r="M4988" s="1" t="str">
        <f t="shared" si="3"/>
        <v>Profit</v>
      </c>
    </row>
    <row r="4989" ht="14.25" customHeight="1">
      <c r="A4989" s="1" t="s">
        <v>5023</v>
      </c>
      <c r="B4989" s="2">
        <v>45214.0</v>
      </c>
      <c r="C4989" s="1" t="s">
        <v>30</v>
      </c>
      <c r="D4989" s="1" t="s">
        <v>27</v>
      </c>
      <c r="E4989" s="1" t="s">
        <v>28</v>
      </c>
      <c r="F4989" s="1">
        <v>714.56</v>
      </c>
      <c r="G4989" s="1">
        <v>172.64</v>
      </c>
      <c r="H4989" s="1">
        <v>5.0</v>
      </c>
      <c r="I4989" s="1" t="s">
        <v>34</v>
      </c>
      <c r="J4989" s="1" t="s">
        <v>24</v>
      </c>
      <c r="K4989" s="1">
        <f t="shared" si="1"/>
        <v>2023</v>
      </c>
      <c r="L4989" s="1" t="str">
        <f t="shared" si="2"/>
        <v>Oct</v>
      </c>
      <c r="M4989" s="1" t="str">
        <f t="shared" si="3"/>
        <v>Profit</v>
      </c>
    </row>
    <row r="4990" ht="14.25" customHeight="1">
      <c r="A4990" s="1" t="s">
        <v>5024</v>
      </c>
      <c r="B4990" s="2">
        <v>44971.0</v>
      </c>
      <c r="C4990" s="1" t="s">
        <v>26</v>
      </c>
      <c r="D4990" s="1" t="s">
        <v>27</v>
      </c>
      <c r="E4990" s="1" t="s">
        <v>40</v>
      </c>
      <c r="F4990" s="1">
        <v>421.87</v>
      </c>
      <c r="G4990" s="1">
        <v>34.14</v>
      </c>
      <c r="H4990" s="1">
        <v>9.0</v>
      </c>
      <c r="I4990" s="1" t="s">
        <v>17</v>
      </c>
      <c r="J4990" s="1" t="s">
        <v>24</v>
      </c>
      <c r="K4990" s="1">
        <f t="shared" si="1"/>
        <v>2023</v>
      </c>
      <c r="L4990" s="1" t="str">
        <f t="shared" si="2"/>
        <v>Feb</v>
      </c>
      <c r="M4990" s="1" t="str">
        <f t="shared" si="3"/>
        <v>Profit</v>
      </c>
    </row>
    <row r="4991" ht="14.25" customHeight="1">
      <c r="A4991" s="1" t="s">
        <v>5025</v>
      </c>
      <c r="B4991" s="2">
        <v>44970.0</v>
      </c>
      <c r="C4991" s="1" t="s">
        <v>26</v>
      </c>
      <c r="D4991" s="1" t="s">
        <v>27</v>
      </c>
      <c r="E4991" s="1" t="s">
        <v>40</v>
      </c>
      <c r="F4991" s="1">
        <v>845.59</v>
      </c>
      <c r="G4991" s="1">
        <v>-146.2</v>
      </c>
      <c r="H4991" s="1">
        <v>5.0</v>
      </c>
      <c r="I4991" s="1" t="s">
        <v>34</v>
      </c>
      <c r="J4991" s="1" t="s">
        <v>24</v>
      </c>
      <c r="K4991" s="1">
        <f t="shared" si="1"/>
        <v>2023</v>
      </c>
      <c r="L4991" s="1" t="str">
        <f t="shared" si="2"/>
        <v>Feb</v>
      </c>
      <c r="M4991" s="1" t="str">
        <f t="shared" si="3"/>
        <v>Loss</v>
      </c>
    </row>
    <row r="4992" ht="14.25" customHeight="1">
      <c r="A4992" s="1" t="s">
        <v>5026</v>
      </c>
      <c r="B4992" s="2">
        <v>44441.0</v>
      </c>
      <c r="C4992" s="1" t="s">
        <v>14</v>
      </c>
      <c r="D4992" s="1" t="s">
        <v>27</v>
      </c>
      <c r="E4992" s="1" t="s">
        <v>28</v>
      </c>
      <c r="F4992" s="1">
        <v>67.6</v>
      </c>
      <c r="G4992" s="1">
        <v>47.85</v>
      </c>
      <c r="H4992" s="1">
        <v>9.0</v>
      </c>
      <c r="I4992" s="1" t="s">
        <v>34</v>
      </c>
      <c r="J4992" s="1" t="s">
        <v>35</v>
      </c>
      <c r="K4992" s="1">
        <f t="shared" si="1"/>
        <v>2021</v>
      </c>
      <c r="L4992" s="1" t="str">
        <f t="shared" si="2"/>
        <v>Sep</v>
      </c>
      <c r="M4992" s="1" t="str">
        <f t="shared" si="3"/>
        <v>Profit</v>
      </c>
    </row>
    <row r="4993" ht="14.25" customHeight="1">
      <c r="A4993" s="1" t="s">
        <v>5027</v>
      </c>
      <c r="B4993" s="2">
        <v>44465.0</v>
      </c>
      <c r="C4993" s="1" t="s">
        <v>20</v>
      </c>
      <c r="D4993" s="1" t="s">
        <v>15</v>
      </c>
      <c r="E4993" s="1" t="s">
        <v>16</v>
      </c>
      <c r="F4993" s="1">
        <v>43.85</v>
      </c>
      <c r="G4993" s="1">
        <v>299.37</v>
      </c>
      <c r="H4993" s="1">
        <v>3.0</v>
      </c>
      <c r="I4993" s="1" t="s">
        <v>23</v>
      </c>
      <c r="J4993" s="1" t="s">
        <v>18</v>
      </c>
      <c r="K4993" s="1">
        <f t="shared" si="1"/>
        <v>2021</v>
      </c>
      <c r="L4993" s="1" t="str">
        <f t="shared" si="2"/>
        <v>Sep</v>
      </c>
      <c r="M4993" s="1" t="str">
        <f t="shared" si="3"/>
        <v>Profit</v>
      </c>
    </row>
    <row r="4994" ht="14.25" customHeight="1">
      <c r="A4994" s="1" t="s">
        <v>5028</v>
      </c>
      <c r="B4994" s="2">
        <v>44199.0</v>
      </c>
      <c r="C4994" s="1" t="s">
        <v>26</v>
      </c>
      <c r="D4994" s="1" t="s">
        <v>21</v>
      </c>
      <c r="E4994" s="1" t="s">
        <v>22</v>
      </c>
      <c r="F4994" s="1">
        <v>156.44</v>
      </c>
      <c r="G4994" s="1">
        <v>-187.98</v>
      </c>
      <c r="H4994" s="1">
        <v>7.0</v>
      </c>
      <c r="I4994" s="1" t="s">
        <v>23</v>
      </c>
      <c r="J4994" s="1" t="s">
        <v>38</v>
      </c>
      <c r="K4994" s="1">
        <f t="shared" si="1"/>
        <v>2021</v>
      </c>
      <c r="L4994" s="1" t="str">
        <f t="shared" si="2"/>
        <v>Jan</v>
      </c>
      <c r="M4994" s="1" t="str">
        <f t="shared" si="3"/>
        <v>Loss</v>
      </c>
    </row>
    <row r="4995" ht="14.25" customHeight="1">
      <c r="A4995" s="1" t="s">
        <v>5029</v>
      </c>
      <c r="B4995" s="2">
        <v>44388.0</v>
      </c>
      <c r="C4995" s="1" t="s">
        <v>14</v>
      </c>
      <c r="D4995" s="1" t="s">
        <v>27</v>
      </c>
      <c r="E4995" s="1" t="s">
        <v>28</v>
      </c>
      <c r="F4995" s="1">
        <v>580.08</v>
      </c>
      <c r="G4995" s="1">
        <v>-140.68</v>
      </c>
      <c r="H4995" s="1">
        <v>2.0</v>
      </c>
      <c r="I4995" s="1" t="s">
        <v>23</v>
      </c>
      <c r="J4995" s="1" t="s">
        <v>38</v>
      </c>
      <c r="K4995" s="1">
        <f t="shared" si="1"/>
        <v>2021</v>
      </c>
      <c r="L4995" s="1" t="str">
        <f t="shared" si="2"/>
        <v>Jul</v>
      </c>
      <c r="M4995" s="1" t="str">
        <f t="shared" si="3"/>
        <v>Loss</v>
      </c>
    </row>
    <row r="4996" ht="14.25" customHeight="1">
      <c r="A4996" s="1" t="s">
        <v>5030</v>
      </c>
      <c r="B4996" s="2">
        <v>44336.0</v>
      </c>
      <c r="C4996" s="1" t="s">
        <v>20</v>
      </c>
      <c r="D4996" s="1" t="s">
        <v>27</v>
      </c>
      <c r="E4996" s="1" t="s">
        <v>33</v>
      </c>
      <c r="F4996" s="1">
        <v>447.58</v>
      </c>
      <c r="G4996" s="1">
        <v>47.02</v>
      </c>
      <c r="H4996" s="1">
        <v>8.0</v>
      </c>
      <c r="I4996" s="1" t="s">
        <v>23</v>
      </c>
      <c r="J4996" s="1" t="s">
        <v>24</v>
      </c>
      <c r="K4996" s="1">
        <f t="shared" si="1"/>
        <v>2021</v>
      </c>
      <c r="L4996" s="1" t="str">
        <f t="shared" si="2"/>
        <v>May</v>
      </c>
      <c r="M4996" s="1" t="str">
        <f t="shared" si="3"/>
        <v>Profit</v>
      </c>
    </row>
    <row r="4997" ht="14.25" customHeight="1">
      <c r="A4997" s="1" t="s">
        <v>5031</v>
      </c>
      <c r="B4997" s="2">
        <v>44591.0</v>
      </c>
      <c r="C4997" s="1" t="s">
        <v>14</v>
      </c>
      <c r="D4997" s="1" t="s">
        <v>15</v>
      </c>
      <c r="E4997" s="1" t="s">
        <v>16</v>
      </c>
      <c r="F4997" s="1">
        <v>725.55</v>
      </c>
      <c r="G4997" s="1">
        <v>95.09</v>
      </c>
      <c r="H4997" s="1">
        <v>7.0</v>
      </c>
      <c r="I4997" s="1" t="s">
        <v>17</v>
      </c>
      <c r="J4997" s="1" t="s">
        <v>35</v>
      </c>
      <c r="K4997" s="1">
        <f t="shared" si="1"/>
        <v>2022</v>
      </c>
      <c r="L4997" s="1" t="str">
        <f t="shared" si="2"/>
        <v>Jan</v>
      </c>
      <c r="M4997" s="1" t="str">
        <f t="shared" si="3"/>
        <v>Profit</v>
      </c>
    </row>
    <row r="4998" ht="14.25" customHeight="1">
      <c r="A4998" s="1" t="s">
        <v>5032</v>
      </c>
      <c r="B4998" s="2">
        <v>44586.0</v>
      </c>
      <c r="C4998" s="1" t="s">
        <v>14</v>
      </c>
      <c r="D4998" s="1" t="s">
        <v>21</v>
      </c>
      <c r="E4998" s="1" t="s">
        <v>76</v>
      </c>
      <c r="F4998" s="1">
        <v>730.93</v>
      </c>
      <c r="G4998" s="1">
        <v>-77.28</v>
      </c>
      <c r="H4998" s="1">
        <v>8.0</v>
      </c>
      <c r="I4998" s="1" t="s">
        <v>17</v>
      </c>
      <c r="J4998" s="1" t="s">
        <v>38</v>
      </c>
      <c r="K4998" s="1">
        <f t="shared" si="1"/>
        <v>2022</v>
      </c>
      <c r="L4998" s="1" t="str">
        <f t="shared" si="2"/>
        <v>Jan</v>
      </c>
      <c r="M4998" s="1" t="str">
        <f t="shared" si="3"/>
        <v>Loss</v>
      </c>
    </row>
    <row r="4999" ht="14.25" customHeight="1">
      <c r="A4999" s="1" t="s">
        <v>5033</v>
      </c>
      <c r="B4999" s="2">
        <v>45052.0</v>
      </c>
      <c r="C4999" s="1" t="s">
        <v>30</v>
      </c>
      <c r="D4999" s="1" t="s">
        <v>27</v>
      </c>
      <c r="E4999" s="1" t="s">
        <v>40</v>
      </c>
      <c r="F4999" s="1">
        <v>387.77</v>
      </c>
      <c r="G4999" s="1">
        <v>-197.91</v>
      </c>
      <c r="H4999" s="1">
        <v>8.0</v>
      </c>
      <c r="I4999" s="1" t="s">
        <v>23</v>
      </c>
      <c r="J4999" s="1" t="s">
        <v>18</v>
      </c>
      <c r="K4999" s="1">
        <f t="shared" si="1"/>
        <v>2023</v>
      </c>
      <c r="L4999" s="1" t="str">
        <f t="shared" si="2"/>
        <v>May</v>
      </c>
      <c r="M4999" s="1" t="str">
        <f t="shared" si="3"/>
        <v>Loss</v>
      </c>
    </row>
    <row r="5000" ht="14.25" customHeight="1">
      <c r="A5000" s="1" t="s">
        <v>5034</v>
      </c>
      <c r="B5000" s="2">
        <v>45191.0</v>
      </c>
      <c r="C5000" s="1" t="s">
        <v>14</v>
      </c>
      <c r="D5000" s="1" t="s">
        <v>27</v>
      </c>
      <c r="E5000" s="1" t="s">
        <v>33</v>
      </c>
      <c r="F5000" s="1">
        <v>103.69</v>
      </c>
      <c r="G5000" s="1">
        <v>148.97</v>
      </c>
      <c r="H5000" s="1">
        <v>2.0</v>
      </c>
      <c r="I5000" s="1" t="s">
        <v>23</v>
      </c>
      <c r="J5000" s="1" t="s">
        <v>24</v>
      </c>
      <c r="K5000" s="1">
        <f t="shared" si="1"/>
        <v>2023</v>
      </c>
      <c r="L5000" s="1" t="str">
        <f t="shared" si="2"/>
        <v>Sep</v>
      </c>
      <c r="M5000" s="1" t="str">
        <f t="shared" si="3"/>
        <v>Profit</v>
      </c>
    </row>
    <row r="5001" ht="14.25" customHeight="1">
      <c r="A5001" s="1" t="s">
        <v>5035</v>
      </c>
      <c r="B5001" s="2">
        <v>44812.0</v>
      </c>
      <c r="C5001" s="1" t="s">
        <v>20</v>
      </c>
      <c r="D5001" s="1" t="s">
        <v>21</v>
      </c>
      <c r="E5001" s="1" t="s">
        <v>22</v>
      </c>
      <c r="F5001" s="1">
        <v>584.71</v>
      </c>
      <c r="G5001" s="1">
        <v>-110.75</v>
      </c>
      <c r="H5001" s="1">
        <v>6.0</v>
      </c>
      <c r="I5001" s="1" t="s">
        <v>17</v>
      </c>
      <c r="J5001" s="1" t="s">
        <v>38</v>
      </c>
      <c r="K5001" s="1">
        <f t="shared" si="1"/>
        <v>2022</v>
      </c>
      <c r="L5001" s="1" t="str">
        <f t="shared" si="2"/>
        <v>Sep</v>
      </c>
      <c r="M5001" s="1" t="str">
        <f t="shared" si="3"/>
        <v>Loss</v>
      </c>
    </row>
    <row r="5002" ht="14.25" customHeight="1">
      <c r="A5002" s="1" t="s">
        <v>5036</v>
      </c>
      <c r="B5002" s="2">
        <v>44703.0</v>
      </c>
      <c r="C5002" s="1" t="s">
        <v>30</v>
      </c>
      <c r="D5002" s="1" t="s">
        <v>21</v>
      </c>
      <c r="E5002" s="1" t="s">
        <v>37</v>
      </c>
      <c r="F5002" s="1">
        <v>160.84</v>
      </c>
      <c r="G5002" s="1">
        <v>-0.38</v>
      </c>
      <c r="H5002" s="1">
        <v>6.0</v>
      </c>
      <c r="I5002" s="1" t="s">
        <v>23</v>
      </c>
      <c r="J5002" s="1" t="s">
        <v>18</v>
      </c>
      <c r="K5002" s="1">
        <f t="shared" si="1"/>
        <v>2022</v>
      </c>
      <c r="L5002" s="1" t="str">
        <f t="shared" si="2"/>
        <v>May</v>
      </c>
      <c r="M5002" s="1" t="str">
        <f t="shared" si="3"/>
        <v>Loss</v>
      </c>
    </row>
    <row r="5003" ht="14.25" customHeight="1">
      <c r="A5003" s="1" t="s">
        <v>5037</v>
      </c>
      <c r="B5003" s="2">
        <v>44521.0</v>
      </c>
      <c r="C5003" s="1" t="s">
        <v>20</v>
      </c>
      <c r="D5003" s="1" t="s">
        <v>15</v>
      </c>
      <c r="E5003" s="1" t="s">
        <v>31</v>
      </c>
      <c r="F5003" s="1">
        <v>63.33</v>
      </c>
      <c r="G5003" s="1">
        <v>179.13</v>
      </c>
      <c r="H5003" s="1">
        <v>10.0</v>
      </c>
      <c r="I5003" s="1" t="s">
        <v>17</v>
      </c>
      <c r="J5003" s="1" t="s">
        <v>24</v>
      </c>
      <c r="K5003" s="1">
        <f t="shared" si="1"/>
        <v>2021</v>
      </c>
      <c r="L5003" s="1" t="str">
        <f t="shared" si="2"/>
        <v>Nov</v>
      </c>
      <c r="M5003" s="1" t="str">
        <f t="shared" si="3"/>
        <v>Profit</v>
      </c>
    </row>
    <row r="5004" ht="14.25" customHeight="1">
      <c r="A5004" s="1" t="s">
        <v>5038</v>
      </c>
      <c r="B5004" s="2">
        <v>45007.0</v>
      </c>
      <c r="C5004" s="1" t="s">
        <v>14</v>
      </c>
      <c r="D5004" s="1" t="s">
        <v>21</v>
      </c>
      <c r="E5004" s="1" t="s">
        <v>37</v>
      </c>
      <c r="F5004" s="1">
        <v>209.0</v>
      </c>
      <c r="G5004" s="1">
        <v>42.13</v>
      </c>
      <c r="H5004" s="1">
        <v>8.0</v>
      </c>
      <c r="I5004" s="1" t="s">
        <v>23</v>
      </c>
      <c r="J5004" s="1" t="s">
        <v>18</v>
      </c>
      <c r="K5004" s="1">
        <f t="shared" si="1"/>
        <v>2023</v>
      </c>
      <c r="L5004" s="1" t="str">
        <f t="shared" si="2"/>
        <v>Mar</v>
      </c>
      <c r="M5004" s="1" t="str">
        <f t="shared" si="3"/>
        <v>Profit</v>
      </c>
    </row>
    <row r="5005" ht="14.25" customHeight="1">
      <c r="A5005" s="1" t="s">
        <v>5039</v>
      </c>
      <c r="B5005" s="2">
        <v>44774.0</v>
      </c>
      <c r="C5005" s="1" t="s">
        <v>26</v>
      </c>
      <c r="D5005" s="1" t="s">
        <v>27</v>
      </c>
      <c r="E5005" s="1" t="s">
        <v>33</v>
      </c>
      <c r="F5005" s="1">
        <v>798.11</v>
      </c>
      <c r="G5005" s="1">
        <v>-165.81</v>
      </c>
      <c r="H5005" s="1">
        <v>9.0</v>
      </c>
      <c r="I5005" s="1" t="s">
        <v>23</v>
      </c>
      <c r="J5005" s="1" t="s">
        <v>24</v>
      </c>
      <c r="K5005" s="1">
        <f t="shared" si="1"/>
        <v>2022</v>
      </c>
      <c r="L5005" s="1" t="str">
        <f t="shared" si="2"/>
        <v>Aug</v>
      </c>
      <c r="M5005" s="1" t="str">
        <f t="shared" si="3"/>
        <v>Loss</v>
      </c>
    </row>
    <row r="5006" ht="14.25" customHeight="1">
      <c r="A5006" s="1" t="s">
        <v>5040</v>
      </c>
      <c r="B5006" s="2">
        <v>44549.0</v>
      </c>
      <c r="C5006" s="1" t="s">
        <v>14</v>
      </c>
      <c r="D5006" s="1" t="s">
        <v>27</v>
      </c>
      <c r="E5006" s="1" t="s">
        <v>33</v>
      </c>
      <c r="F5006" s="1">
        <v>877.73</v>
      </c>
      <c r="G5006" s="1">
        <v>208.47</v>
      </c>
      <c r="H5006" s="1">
        <v>8.0</v>
      </c>
      <c r="I5006" s="1" t="s">
        <v>34</v>
      </c>
      <c r="J5006" s="1" t="s">
        <v>38</v>
      </c>
      <c r="K5006" s="1">
        <f t="shared" si="1"/>
        <v>2021</v>
      </c>
      <c r="L5006" s="1" t="str">
        <f t="shared" si="2"/>
        <v>Dec</v>
      </c>
      <c r="M5006" s="1" t="str">
        <f t="shared" si="3"/>
        <v>Profit</v>
      </c>
    </row>
    <row r="5007" ht="14.25" customHeight="1">
      <c r="A5007" s="1" t="s">
        <v>5041</v>
      </c>
      <c r="B5007" s="2">
        <v>45093.0</v>
      </c>
      <c r="C5007" s="1" t="s">
        <v>14</v>
      </c>
      <c r="D5007" s="1" t="s">
        <v>27</v>
      </c>
      <c r="E5007" s="1" t="s">
        <v>33</v>
      </c>
      <c r="F5007" s="1">
        <v>230.85</v>
      </c>
      <c r="G5007" s="1">
        <v>180.61</v>
      </c>
      <c r="H5007" s="1">
        <v>5.0</v>
      </c>
      <c r="I5007" s="1" t="s">
        <v>17</v>
      </c>
      <c r="J5007" s="1" t="s">
        <v>18</v>
      </c>
      <c r="K5007" s="1">
        <f t="shared" si="1"/>
        <v>2023</v>
      </c>
      <c r="L5007" s="1" t="str">
        <f t="shared" si="2"/>
        <v>Jun</v>
      </c>
      <c r="M5007" s="1" t="str">
        <f t="shared" si="3"/>
        <v>Profit</v>
      </c>
    </row>
    <row r="5008" ht="14.25" customHeight="1">
      <c r="A5008" s="1" t="s">
        <v>5042</v>
      </c>
      <c r="B5008" s="2">
        <v>44542.0</v>
      </c>
      <c r="C5008" s="1" t="s">
        <v>14</v>
      </c>
      <c r="D5008" s="1" t="s">
        <v>27</v>
      </c>
      <c r="E5008" s="1" t="s">
        <v>40</v>
      </c>
      <c r="F5008" s="1">
        <v>910.51</v>
      </c>
      <c r="G5008" s="1">
        <v>228.73</v>
      </c>
      <c r="H5008" s="1">
        <v>7.0</v>
      </c>
      <c r="I5008" s="1" t="s">
        <v>34</v>
      </c>
      <c r="J5008" s="1" t="s">
        <v>38</v>
      </c>
      <c r="K5008" s="1">
        <f t="shared" si="1"/>
        <v>2021</v>
      </c>
      <c r="L5008" s="1" t="str">
        <f t="shared" si="2"/>
        <v>Dec</v>
      </c>
      <c r="M5008" s="1" t="str">
        <f t="shared" si="3"/>
        <v>Profit</v>
      </c>
    </row>
    <row r="5009" ht="14.25" customHeight="1">
      <c r="A5009" s="1" t="s">
        <v>5043</v>
      </c>
      <c r="B5009" s="2">
        <v>45172.0</v>
      </c>
      <c r="C5009" s="1" t="s">
        <v>14</v>
      </c>
      <c r="D5009" s="1" t="s">
        <v>27</v>
      </c>
      <c r="E5009" s="1" t="s">
        <v>33</v>
      </c>
      <c r="F5009" s="1">
        <v>231.7</v>
      </c>
      <c r="G5009" s="1">
        <v>-176.95</v>
      </c>
      <c r="H5009" s="1">
        <v>8.0</v>
      </c>
      <c r="I5009" s="1" t="s">
        <v>23</v>
      </c>
      <c r="J5009" s="1" t="s">
        <v>38</v>
      </c>
      <c r="K5009" s="1">
        <f t="shared" si="1"/>
        <v>2023</v>
      </c>
      <c r="L5009" s="1" t="str">
        <f t="shared" si="2"/>
        <v>Sep</v>
      </c>
      <c r="M5009" s="1" t="str">
        <f t="shared" si="3"/>
        <v>Loss</v>
      </c>
    </row>
    <row r="5010" ht="14.25" customHeight="1">
      <c r="A5010" s="1" t="s">
        <v>5044</v>
      </c>
      <c r="B5010" s="2">
        <v>45145.0</v>
      </c>
      <c r="C5010" s="1" t="s">
        <v>14</v>
      </c>
      <c r="D5010" s="1" t="s">
        <v>15</v>
      </c>
      <c r="E5010" s="1" t="s">
        <v>31</v>
      </c>
      <c r="F5010" s="1">
        <v>489.38</v>
      </c>
      <c r="G5010" s="1">
        <v>294.63</v>
      </c>
      <c r="H5010" s="1">
        <v>9.0</v>
      </c>
      <c r="I5010" s="1" t="s">
        <v>23</v>
      </c>
      <c r="J5010" s="1" t="s">
        <v>24</v>
      </c>
      <c r="K5010" s="1">
        <f t="shared" si="1"/>
        <v>2023</v>
      </c>
      <c r="L5010" s="1" t="str">
        <f t="shared" si="2"/>
        <v>Aug</v>
      </c>
      <c r="M5010" s="1" t="str">
        <f t="shared" si="3"/>
        <v>Profit</v>
      </c>
    </row>
    <row r="5011" ht="14.25" customHeight="1">
      <c r="A5011" s="1" t="s">
        <v>5045</v>
      </c>
      <c r="B5011" s="2">
        <v>44628.0</v>
      </c>
      <c r="C5011" s="1" t="s">
        <v>14</v>
      </c>
      <c r="D5011" s="1" t="s">
        <v>27</v>
      </c>
      <c r="E5011" s="1" t="s">
        <v>40</v>
      </c>
      <c r="F5011" s="1">
        <v>649.45</v>
      </c>
      <c r="G5011" s="1">
        <v>119.65</v>
      </c>
      <c r="H5011" s="1">
        <v>2.0</v>
      </c>
      <c r="I5011" s="1" t="s">
        <v>17</v>
      </c>
      <c r="J5011" s="1" t="s">
        <v>38</v>
      </c>
      <c r="K5011" s="1">
        <f t="shared" si="1"/>
        <v>2022</v>
      </c>
      <c r="L5011" s="1" t="str">
        <f t="shared" si="2"/>
        <v>Mar</v>
      </c>
      <c r="M5011" s="1" t="str">
        <f t="shared" si="3"/>
        <v>Profit</v>
      </c>
    </row>
    <row r="5012" ht="14.25" customHeight="1">
      <c r="A5012" s="1" t="s">
        <v>5046</v>
      </c>
      <c r="B5012" s="2">
        <v>44715.0</v>
      </c>
      <c r="C5012" s="1" t="s">
        <v>20</v>
      </c>
      <c r="D5012" s="1" t="s">
        <v>15</v>
      </c>
      <c r="E5012" s="1" t="s">
        <v>16</v>
      </c>
      <c r="F5012" s="1">
        <v>515.17</v>
      </c>
      <c r="G5012" s="1">
        <v>-48.08</v>
      </c>
      <c r="H5012" s="1">
        <v>6.0</v>
      </c>
      <c r="I5012" s="1" t="s">
        <v>34</v>
      </c>
      <c r="J5012" s="1" t="s">
        <v>18</v>
      </c>
      <c r="K5012" s="1">
        <f t="shared" si="1"/>
        <v>2022</v>
      </c>
      <c r="L5012" s="1" t="str">
        <f t="shared" si="2"/>
        <v>Jun</v>
      </c>
      <c r="M5012" s="1" t="str">
        <f t="shared" si="3"/>
        <v>Loss</v>
      </c>
    </row>
    <row r="5013" ht="14.25" customHeight="1">
      <c r="A5013" s="1" t="s">
        <v>5047</v>
      </c>
      <c r="B5013" s="2">
        <v>44310.0</v>
      </c>
      <c r="C5013" s="1" t="s">
        <v>20</v>
      </c>
      <c r="D5013" s="1" t="s">
        <v>21</v>
      </c>
      <c r="E5013" s="1" t="s">
        <v>22</v>
      </c>
      <c r="F5013" s="1">
        <v>51.12</v>
      </c>
      <c r="G5013" s="1">
        <v>248.32</v>
      </c>
      <c r="H5013" s="1">
        <v>7.0</v>
      </c>
      <c r="I5013" s="1" t="s">
        <v>23</v>
      </c>
      <c r="J5013" s="1" t="s">
        <v>24</v>
      </c>
      <c r="K5013" s="1">
        <f t="shared" si="1"/>
        <v>2021</v>
      </c>
      <c r="L5013" s="1" t="str">
        <f t="shared" si="2"/>
        <v>Apr</v>
      </c>
      <c r="M5013" s="1" t="str">
        <f t="shared" si="3"/>
        <v>Profit</v>
      </c>
    </row>
    <row r="5014" ht="14.25" customHeight="1">
      <c r="A5014" s="1" t="s">
        <v>5048</v>
      </c>
      <c r="B5014" s="2">
        <v>44920.0</v>
      </c>
      <c r="C5014" s="1" t="s">
        <v>14</v>
      </c>
      <c r="D5014" s="1" t="s">
        <v>27</v>
      </c>
      <c r="E5014" s="1" t="s">
        <v>33</v>
      </c>
      <c r="F5014" s="1">
        <v>856.52</v>
      </c>
      <c r="G5014" s="1">
        <v>130.34</v>
      </c>
      <c r="H5014" s="1">
        <v>10.0</v>
      </c>
      <c r="I5014" s="1" t="s">
        <v>17</v>
      </c>
      <c r="J5014" s="1" t="s">
        <v>18</v>
      </c>
      <c r="K5014" s="1">
        <f t="shared" si="1"/>
        <v>2022</v>
      </c>
      <c r="L5014" s="1" t="str">
        <f t="shared" si="2"/>
        <v>Dec</v>
      </c>
      <c r="M5014" s="1" t="str">
        <f t="shared" si="3"/>
        <v>Profit</v>
      </c>
    </row>
    <row r="5015" ht="14.25" customHeight="1">
      <c r="A5015" s="1" t="s">
        <v>5049</v>
      </c>
      <c r="B5015" s="2">
        <v>44437.0</v>
      </c>
      <c r="C5015" s="1" t="s">
        <v>26</v>
      </c>
      <c r="D5015" s="1" t="s">
        <v>27</v>
      </c>
      <c r="E5015" s="1" t="s">
        <v>40</v>
      </c>
      <c r="F5015" s="1">
        <v>523.73</v>
      </c>
      <c r="G5015" s="1">
        <v>159.33</v>
      </c>
      <c r="H5015" s="1">
        <v>1.0</v>
      </c>
      <c r="I5015" s="1" t="s">
        <v>34</v>
      </c>
      <c r="J5015" s="1" t="s">
        <v>18</v>
      </c>
      <c r="K5015" s="1">
        <f t="shared" si="1"/>
        <v>2021</v>
      </c>
      <c r="L5015" s="1" t="str">
        <f t="shared" si="2"/>
        <v>Aug</v>
      </c>
      <c r="M5015" s="1" t="str">
        <f t="shared" si="3"/>
        <v>Profit</v>
      </c>
    </row>
    <row r="5016" ht="14.25" customHeight="1">
      <c r="A5016" s="1" t="s">
        <v>5050</v>
      </c>
      <c r="B5016" s="2">
        <v>44617.0</v>
      </c>
      <c r="C5016" s="1" t="s">
        <v>20</v>
      </c>
      <c r="D5016" s="1" t="s">
        <v>15</v>
      </c>
      <c r="E5016" s="1" t="s">
        <v>31</v>
      </c>
      <c r="F5016" s="1">
        <v>529.24</v>
      </c>
      <c r="G5016" s="1">
        <v>150.18</v>
      </c>
      <c r="H5016" s="1">
        <v>5.0</v>
      </c>
      <c r="I5016" s="1" t="s">
        <v>23</v>
      </c>
      <c r="J5016" s="1" t="s">
        <v>38</v>
      </c>
      <c r="K5016" s="1">
        <f t="shared" si="1"/>
        <v>2022</v>
      </c>
      <c r="L5016" s="1" t="str">
        <f t="shared" si="2"/>
        <v>Feb</v>
      </c>
      <c r="M5016" s="1" t="str">
        <f t="shared" si="3"/>
        <v>Profit</v>
      </c>
    </row>
    <row r="5017" ht="14.25" customHeight="1">
      <c r="A5017" s="1" t="s">
        <v>5051</v>
      </c>
      <c r="B5017" s="2">
        <v>44911.0</v>
      </c>
      <c r="C5017" s="1" t="s">
        <v>14</v>
      </c>
      <c r="D5017" s="1" t="s">
        <v>15</v>
      </c>
      <c r="E5017" s="1" t="s">
        <v>16</v>
      </c>
      <c r="F5017" s="1">
        <v>318.85</v>
      </c>
      <c r="G5017" s="1">
        <v>137.24</v>
      </c>
      <c r="H5017" s="1">
        <v>8.0</v>
      </c>
      <c r="I5017" s="1" t="s">
        <v>34</v>
      </c>
      <c r="J5017" s="1" t="s">
        <v>24</v>
      </c>
      <c r="K5017" s="1">
        <f t="shared" si="1"/>
        <v>2022</v>
      </c>
      <c r="L5017" s="1" t="str">
        <f t="shared" si="2"/>
        <v>Dec</v>
      </c>
      <c r="M5017" s="1" t="str">
        <f t="shared" si="3"/>
        <v>Profit</v>
      </c>
    </row>
    <row r="5018" ht="14.25" customHeight="1">
      <c r="A5018" s="1" t="s">
        <v>5052</v>
      </c>
      <c r="B5018" s="2">
        <v>44268.0</v>
      </c>
      <c r="C5018" s="1" t="s">
        <v>26</v>
      </c>
      <c r="D5018" s="1" t="s">
        <v>15</v>
      </c>
      <c r="E5018" s="1" t="s">
        <v>54</v>
      </c>
      <c r="F5018" s="1">
        <v>981.81</v>
      </c>
      <c r="G5018" s="1">
        <v>148.61</v>
      </c>
      <c r="H5018" s="1">
        <v>9.0</v>
      </c>
      <c r="I5018" s="1" t="s">
        <v>17</v>
      </c>
      <c r="J5018" s="1" t="s">
        <v>24</v>
      </c>
      <c r="K5018" s="1">
        <f t="shared" si="1"/>
        <v>2021</v>
      </c>
      <c r="L5018" s="1" t="str">
        <f t="shared" si="2"/>
        <v>Mar</v>
      </c>
      <c r="M5018" s="1" t="str">
        <f t="shared" si="3"/>
        <v>Profit</v>
      </c>
    </row>
    <row r="5019" ht="14.25" customHeight="1">
      <c r="A5019" s="1" t="s">
        <v>5053</v>
      </c>
      <c r="B5019" s="2">
        <v>45104.0</v>
      </c>
      <c r="C5019" s="1" t="s">
        <v>20</v>
      </c>
      <c r="D5019" s="1" t="s">
        <v>21</v>
      </c>
      <c r="E5019" s="1" t="s">
        <v>22</v>
      </c>
      <c r="F5019" s="1">
        <v>334.19</v>
      </c>
      <c r="G5019" s="1">
        <v>-187.5</v>
      </c>
      <c r="H5019" s="1">
        <v>1.0</v>
      </c>
      <c r="I5019" s="1" t="s">
        <v>34</v>
      </c>
      <c r="J5019" s="1" t="s">
        <v>18</v>
      </c>
      <c r="K5019" s="1">
        <f t="shared" si="1"/>
        <v>2023</v>
      </c>
      <c r="L5019" s="1" t="str">
        <f t="shared" si="2"/>
        <v>Jun</v>
      </c>
      <c r="M5019" s="1" t="str">
        <f t="shared" si="3"/>
        <v>Loss</v>
      </c>
    </row>
    <row r="5020" ht="14.25" customHeight="1">
      <c r="A5020" s="1" t="s">
        <v>5054</v>
      </c>
      <c r="B5020" s="2">
        <v>45057.0</v>
      </c>
      <c r="C5020" s="1" t="s">
        <v>14</v>
      </c>
      <c r="D5020" s="1" t="s">
        <v>21</v>
      </c>
      <c r="E5020" s="1" t="s">
        <v>76</v>
      </c>
      <c r="F5020" s="1">
        <v>658.34</v>
      </c>
      <c r="G5020" s="1">
        <v>32.64</v>
      </c>
      <c r="H5020" s="1">
        <v>9.0</v>
      </c>
      <c r="I5020" s="1" t="s">
        <v>34</v>
      </c>
      <c r="J5020" s="1" t="s">
        <v>24</v>
      </c>
      <c r="K5020" s="1">
        <f t="shared" si="1"/>
        <v>2023</v>
      </c>
      <c r="L5020" s="1" t="str">
        <f t="shared" si="2"/>
        <v>May</v>
      </c>
      <c r="M5020" s="1" t="str">
        <f t="shared" si="3"/>
        <v>Profit</v>
      </c>
    </row>
    <row r="5021" ht="14.25" customHeight="1">
      <c r="A5021" s="1" t="s">
        <v>5055</v>
      </c>
      <c r="B5021" s="2">
        <v>44618.0</v>
      </c>
      <c r="C5021" s="1" t="s">
        <v>20</v>
      </c>
      <c r="D5021" s="1" t="s">
        <v>15</v>
      </c>
      <c r="E5021" s="1" t="s">
        <v>31</v>
      </c>
      <c r="F5021" s="1">
        <v>344.39</v>
      </c>
      <c r="G5021" s="1">
        <v>-18.62</v>
      </c>
      <c r="H5021" s="1">
        <v>8.0</v>
      </c>
      <c r="I5021" s="1" t="s">
        <v>17</v>
      </c>
      <c r="J5021" s="1" t="s">
        <v>18</v>
      </c>
      <c r="K5021" s="1">
        <f t="shared" si="1"/>
        <v>2022</v>
      </c>
      <c r="L5021" s="1" t="str">
        <f t="shared" si="2"/>
        <v>Feb</v>
      </c>
      <c r="M5021" s="1" t="str">
        <f t="shared" si="3"/>
        <v>Loss</v>
      </c>
    </row>
    <row r="5022" ht="14.25" customHeight="1">
      <c r="A5022" s="1" t="s">
        <v>5056</v>
      </c>
      <c r="B5022" s="2">
        <v>45169.0</v>
      </c>
      <c r="C5022" s="1" t="s">
        <v>30</v>
      </c>
      <c r="D5022" s="1" t="s">
        <v>21</v>
      </c>
      <c r="E5022" s="1" t="s">
        <v>37</v>
      </c>
      <c r="F5022" s="1">
        <v>100.47</v>
      </c>
      <c r="G5022" s="1">
        <v>29.79</v>
      </c>
      <c r="H5022" s="1">
        <v>7.0</v>
      </c>
      <c r="I5022" s="1" t="s">
        <v>23</v>
      </c>
      <c r="J5022" s="1" t="s">
        <v>18</v>
      </c>
      <c r="K5022" s="1">
        <f t="shared" si="1"/>
        <v>2023</v>
      </c>
      <c r="L5022" s="1" t="str">
        <f t="shared" si="2"/>
        <v>Aug</v>
      </c>
      <c r="M5022" s="1" t="str">
        <f t="shared" si="3"/>
        <v>Profit</v>
      </c>
    </row>
    <row r="5023" ht="14.25" customHeight="1">
      <c r="A5023" s="1" t="s">
        <v>5057</v>
      </c>
      <c r="B5023" s="2">
        <v>44935.0</v>
      </c>
      <c r="C5023" s="1" t="s">
        <v>30</v>
      </c>
      <c r="D5023" s="1" t="s">
        <v>21</v>
      </c>
      <c r="E5023" s="1" t="s">
        <v>37</v>
      </c>
      <c r="F5023" s="1">
        <v>410.85</v>
      </c>
      <c r="G5023" s="1">
        <v>-102.46</v>
      </c>
      <c r="H5023" s="1">
        <v>1.0</v>
      </c>
      <c r="I5023" s="1" t="s">
        <v>17</v>
      </c>
      <c r="J5023" s="1" t="s">
        <v>35</v>
      </c>
      <c r="K5023" s="1">
        <f t="shared" si="1"/>
        <v>2023</v>
      </c>
      <c r="L5023" s="1" t="str">
        <f t="shared" si="2"/>
        <v>Jan</v>
      </c>
      <c r="M5023" s="1" t="str">
        <f t="shared" si="3"/>
        <v>Loss</v>
      </c>
    </row>
    <row r="5024" ht="14.25" customHeight="1">
      <c r="A5024" s="1" t="s">
        <v>5058</v>
      </c>
      <c r="B5024" s="2">
        <v>44976.0</v>
      </c>
      <c r="C5024" s="1" t="s">
        <v>14</v>
      </c>
      <c r="D5024" s="1" t="s">
        <v>15</v>
      </c>
      <c r="E5024" s="1" t="s">
        <v>31</v>
      </c>
      <c r="F5024" s="1">
        <v>562.96</v>
      </c>
      <c r="G5024" s="1">
        <v>-162.78</v>
      </c>
      <c r="H5024" s="1">
        <v>4.0</v>
      </c>
      <c r="I5024" s="1" t="s">
        <v>23</v>
      </c>
      <c r="J5024" s="1" t="s">
        <v>18</v>
      </c>
      <c r="K5024" s="1">
        <f t="shared" si="1"/>
        <v>2023</v>
      </c>
      <c r="L5024" s="1" t="str">
        <f t="shared" si="2"/>
        <v>Feb</v>
      </c>
      <c r="M5024" s="1" t="str">
        <f t="shared" si="3"/>
        <v>Loss</v>
      </c>
    </row>
    <row r="5025" ht="14.25" customHeight="1">
      <c r="A5025" s="1" t="s">
        <v>5059</v>
      </c>
      <c r="B5025" s="2">
        <v>45009.0</v>
      </c>
      <c r="C5025" s="1" t="s">
        <v>26</v>
      </c>
      <c r="D5025" s="1" t="s">
        <v>27</v>
      </c>
      <c r="E5025" s="1" t="s">
        <v>28</v>
      </c>
      <c r="F5025" s="1">
        <v>138.54</v>
      </c>
      <c r="G5025" s="1">
        <v>-9.5</v>
      </c>
      <c r="H5025" s="1">
        <v>8.0</v>
      </c>
      <c r="I5025" s="1" t="s">
        <v>17</v>
      </c>
      <c r="J5025" s="1" t="s">
        <v>38</v>
      </c>
      <c r="K5025" s="1">
        <f t="shared" si="1"/>
        <v>2023</v>
      </c>
      <c r="L5025" s="1" t="str">
        <f t="shared" si="2"/>
        <v>Mar</v>
      </c>
      <c r="M5025" s="1" t="str">
        <f t="shared" si="3"/>
        <v>Loss</v>
      </c>
    </row>
    <row r="5026" ht="14.25" customHeight="1">
      <c r="A5026" s="1" t="s">
        <v>5060</v>
      </c>
      <c r="B5026" s="2">
        <v>44423.0</v>
      </c>
      <c r="C5026" s="1" t="s">
        <v>26</v>
      </c>
      <c r="D5026" s="1" t="s">
        <v>27</v>
      </c>
      <c r="E5026" s="1" t="s">
        <v>33</v>
      </c>
      <c r="F5026" s="1">
        <v>117.31</v>
      </c>
      <c r="G5026" s="1">
        <v>-50.95</v>
      </c>
      <c r="H5026" s="1">
        <v>10.0</v>
      </c>
      <c r="I5026" s="1" t="s">
        <v>34</v>
      </c>
      <c r="J5026" s="1" t="s">
        <v>18</v>
      </c>
      <c r="K5026" s="1">
        <f t="shared" si="1"/>
        <v>2021</v>
      </c>
      <c r="L5026" s="1" t="str">
        <f t="shared" si="2"/>
        <v>Aug</v>
      </c>
      <c r="M5026" s="1" t="str">
        <f t="shared" si="3"/>
        <v>Loss</v>
      </c>
    </row>
    <row r="5027" ht="14.25" customHeight="1">
      <c r="A5027" s="1" t="s">
        <v>5061</v>
      </c>
      <c r="B5027" s="2">
        <v>44290.0</v>
      </c>
      <c r="C5027" s="1" t="s">
        <v>20</v>
      </c>
      <c r="D5027" s="1" t="s">
        <v>27</v>
      </c>
      <c r="E5027" s="1" t="s">
        <v>28</v>
      </c>
      <c r="F5027" s="1">
        <v>251.43</v>
      </c>
      <c r="G5027" s="1">
        <v>212.89</v>
      </c>
      <c r="H5027" s="1">
        <v>5.0</v>
      </c>
      <c r="I5027" s="1" t="s">
        <v>34</v>
      </c>
      <c r="J5027" s="1" t="s">
        <v>24</v>
      </c>
      <c r="K5027" s="1">
        <f t="shared" si="1"/>
        <v>2021</v>
      </c>
      <c r="L5027" s="1" t="str">
        <f t="shared" si="2"/>
        <v>Apr</v>
      </c>
      <c r="M5027" s="1" t="str">
        <f t="shared" si="3"/>
        <v>Profit</v>
      </c>
    </row>
    <row r="5028" ht="14.25" customHeight="1">
      <c r="A5028" s="1" t="s">
        <v>5062</v>
      </c>
      <c r="B5028" s="2">
        <v>44633.0</v>
      </c>
      <c r="C5028" s="1" t="s">
        <v>30</v>
      </c>
      <c r="D5028" s="1" t="s">
        <v>27</v>
      </c>
      <c r="E5028" s="1" t="s">
        <v>33</v>
      </c>
      <c r="F5028" s="1">
        <v>182.55</v>
      </c>
      <c r="G5028" s="1">
        <v>75.73</v>
      </c>
      <c r="H5028" s="1">
        <v>9.0</v>
      </c>
      <c r="I5028" s="1" t="s">
        <v>23</v>
      </c>
      <c r="J5028" s="1" t="s">
        <v>18</v>
      </c>
      <c r="K5028" s="1">
        <f t="shared" si="1"/>
        <v>2022</v>
      </c>
      <c r="L5028" s="1" t="str">
        <f t="shared" si="2"/>
        <v>Mar</v>
      </c>
      <c r="M5028" s="1" t="str">
        <f t="shared" si="3"/>
        <v>Profit</v>
      </c>
    </row>
    <row r="5029" ht="14.25" customHeight="1">
      <c r="A5029" s="1" t="s">
        <v>5063</v>
      </c>
      <c r="B5029" s="2">
        <v>44812.0</v>
      </c>
      <c r="C5029" s="1" t="s">
        <v>30</v>
      </c>
      <c r="D5029" s="1" t="s">
        <v>21</v>
      </c>
      <c r="E5029" s="1" t="s">
        <v>76</v>
      </c>
      <c r="F5029" s="1">
        <v>771.81</v>
      </c>
      <c r="G5029" s="1">
        <v>218.53</v>
      </c>
      <c r="H5029" s="1">
        <v>6.0</v>
      </c>
      <c r="I5029" s="1" t="s">
        <v>23</v>
      </c>
      <c r="J5029" s="1" t="s">
        <v>18</v>
      </c>
      <c r="K5029" s="1">
        <f t="shared" si="1"/>
        <v>2022</v>
      </c>
      <c r="L5029" s="1" t="str">
        <f t="shared" si="2"/>
        <v>Sep</v>
      </c>
      <c r="M5029" s="1" t="str">
        <f t="shared" si="3"/>
        <v>Profit</v>
      </c>
    </row>
    <row r="5030" ht="14.25" customHeight="1">
      <c r="A5030" s="1" t="s">
        <v>5064</v>
      </c>
      <c r="B5030" s="2">
        <v>44488.0</v>
      </c>
      <c r="C5030" s="1" t="s">
        <v>30</v>
      </c>
      <c r="D5030" s="1" t="s">
        <v>27</v>
      </c>
      <c r="E5030" s="1" t="s">
        <v>33</v>
      </c>
      <c r="F5030" s="1">
        <v>948.14</v>
      </c>
      <c r="G5030" s="1">
        <v>-29.22</v>
      </c>
      <c r="H5030" s="1">
        <v>9.0</v>
      </c>
      <c r="I5030" s="1" t="s">
        <v>34</v>
      </c>
      <c r="J5030" s="1" t="s">
        <v>24</v>
      </c>
      <c r="K5030" s="1">
        <f t="shared" si="1"/>
        <v>2021</v>
      </c>
      <c r="L5030" s="1" t="str">
        <f t="shared" si="2"/>
        <v>Oct</v>
      </c>
      <c r="M5030" s="1" t="str">
        <f t="shared" si="3"/>
        <v>Loss</v>
      </c>
    </row>
    <row r="5031" ht="14.25" customHeight="1">
      <c r="A5031" s="1" t="s">
        <v>5065</v>
      </c>
      <c r="B5031" s="2">
        <v>44711.0</v>
      </c>
      <c r="C5031" s="1" t="s">
        <v>20</v>
      </c>
      <c r="D5031" s="1" t="s">
        <v>27</v>
      </c>
      <c r="E5031" s="1" t="s">
        <v>40</v>
      </c>
      <c r="F5031" s="1">
        <v>234.79</v>
      </c>
      <c r="G5031" s="1">
        <v>263.67</v>
      </c>
      <c r="H5031" s="1">
        <v>7.0</v>
      </c>
      <c r="I5031" s="1" t="s">
        <v>17</v>
      </c>
      <c r="J5031" s="1" t="s">
        <v>38</v>
      </c>
      <c r="K5031" s="1">
        <f t="shared" si="1"/>
        <v>2022</v>
      </c>
      <c r="L5031" s="1" t="str">
        <f t="shared" si="2"/>
        <v>May</v>
      </c>
      <c r="M5031" s="1" t="str">
        <f t="shared" si="3"/>
        <v>Profit</v>
      </c>
    </row>
    <row r="5032" ht="14.25" customHeight="1">
      <c r="A5032" s="1" t="s">
        <v>5066</v>
      </c>
      <c r="B5032" s="2">
        <v>45186.0</v>
      </c>
      <c r="C5032" s="1" t="s">
        <v>20</v>
      </c>
      <c r="D5032" s="1" t="s">
        <v>21</v>
      </c>
      <c r="E5032" s="1" t="s">
        <v>22</v>
      </c>
      <c r="F5032" s="1">
        <v>362.15</v>
      </c>
      <c r="G5032" s="1">
        <v>10.61</v>
      </c>
      <c r="H5032" s="1">
        <v>7.0</v>
      </c>
      <c r="I5032" s="1" t="s">
        <v>34</v>
      </c>
      <c r="J5032" s="1" t="s">
        <v>38</v>
      </c>
      <c r="K5032" s="1">
        <f t="shared" si="1"/>
        <v>2023</v>
      </c>
      <c r="L5032" s="1" t="str">
        <f t="shared" si="2"/>
        <v>Sep</v>
      </c>
      <c r="M5032" s="1" t="str">
        <f t="shared" si="3"/>
        <v>Profit</v>
      </c>
    </row>
    <row r="5033" ht="14.25" customHeight="1">
      <c r="A5033" s="1" t="s">
        <v>5067</v>
      </c>
      <c r="B5033" s="2">
        <v>44884.0</v>
      </c>
      <c r="C5033" s="1" t="s">
        <v>30</v>
      </c>
      <c r="D5033" s="1" t="s">
        <v>27</v>
      </c>
      <c r="E5033" s="1" t="s">
        <v>33</v>
      </c>
      <c r="F5033" s="1">
        <v>975.36</v>
      </c>
      <c r="G5033" s="1">
        <v>130.74</v>
      </c>
      <c r="H5033" s="1">
        <v>5.0</v>
      </c>
      <c r="I5033" s="1" t="s">
        <v>17</v>
      </c>
      <c r="J5033" s="1" t="s">
        <v>35</v>
      </c>
      <c r="K5033" s="1">
        <f t="shared" si="1"/>
        <v>2022</v>
      </c>
      <c r="L5033" s="1" t="str">
        <f t="shared" si="2"/>
        <v>Nov</v>
      </c>
      <c r="M5033" s="1" t="str">
        <f t="shared" si="3"/>
        <v>Profit</v>
      </c>
    </row>
    <row r="5034" ht="14.25" customHeight="1">
      <c r="A5034" s="1" t="s">
        <v>5068</v>
      </c>
      <c r="B5034" s="2">
        <v>44233.0</v>
      </c>
      <c r="C5034" s="1" t="s">
        <v>30</v>
      </c>
      <c r="D5034" s="1" t="s">
        <v>27</v>
      </c>
      <c r="E5034" s="1" t="s">
        <v>28</v>
      </c>
      <c r="F5034" s="1">
        <v>639.6</v>
      </c>
      <c r="G5034" s="1">
        <v>178.44</v>
      </c>
      <c r="H5034" s="1">
        <v>10.0</v>
      </c>
      <c r="I5034" s="1" t="s">
        <v>23</v>
      </c>
      <c r="J5034" s="1" t="s">
        <v>38</v>
      </c>
      <c r="K5034" s="1">
        <f t="shared" si="1"/>
        <v>2021</v>
      </c>
      <c r="L5034" s="1" t="str">
        <f t="shared" si="2"/>
        <v>Feb</v>
      </c>
      <c r="M5034" s="1" t="str">
        <f t="shared" si="3"/>
        <v>Profit</v>
      </c>
    </row>
    <row r="5035" ht="14.25" customHeight="1">
      <c r="A5035" s="1" t="s">
        <v>5069</v>
      </c>
      <c r="B5035" s="2">
        <v>44344.0</v>
      </c>
      <c r="C5035" s="1" t="s">
        <v>30</v>
      </c>
      <c r="D5035" s="1" t="s">
        <v>21</v>
      </c>
      <c r="E5035" s="1" t="s">
        <v>22</v>
      </c>
      <c r="F5035" s="1">
        <v>573.73</v>
      </c>
      <c r="G5035" s="1">
        <v>192.16</v>
      </c>
      <c r="H5035" s="1">
        <v>7.0</v>
      </c>
      <c r="I5035" s="1" t="s">
        <v>34</v>
      </c>
      <c r="J5035" s="1" t="s">
        <v>38</v>
      </c>
      <c r="K5035" s="1">
        <f t="shared" si="1"/>
        <v>2021</v>
      </c>
      <c r="L5035" s="1" t="str">
        <f t="shared" si="2"/>
        <v>May</v>
      </c>
      <c r="M5035" s="1" t="str">
        <f t="shared" si="3"/>
        <v>Profit</v>
      </c>
    </row>
    <row r="5036" ht="14.25" customHeight="1">
      <c r="A5036" s="1" t="s">
        <v>5070</v>
      </c>
      <c r="B5036" s="2">
        <v>44976.0</v>
      </c>
      <c r="C5036" s="1" t="s">
        <v>30</v>
      </c>
      <c r="D5036" s="1" t="s">
        <v>27</v>
      </c>
      <c r="E5036" s="1" t="s">
        <v>33</v>
      </c>
      <c r="F5036" s="1">
        <v>365.81</v>
      </c>
      <c r="G5036" s="1">
        <v>115.25</v>
      </c>
      <c r="H5036" s="1">
        <v>4.0</v>
      </c>
      <c r="I5036" s="1" t="s">
        <v>23</v>
      </c>
      <c r="J5036" s="1" t="s">
        <v>38</v>
      </c>
      <c r="K5036" s="1">
        <f t="shared" si="1"/>
        <v>2023</v>
      </c>
      <c r="L5036" s="1" t="str">
        <f t="shared" si="2"/>
        <v>Feb</v>
      </c>
      <c r="M5036" s="1" t="str">
        <f t="shared" si="3"/>
        <v>Profit</v>
      </c>
    </row>
    <row r="5037" ht="14.25" customHeight="1">
      <c r="A5037" s="1" t="s">
        <v>5071</v>
      </c>
      <c r="B5037" s="2">
        <v>44337.0</v>
      </c>
      <c r="C5037" s="1" t="s">
        <v>20</v>
      </c>
      <c r="D5037" s="1" t="s">
        <v>27</v>
      </c>
      <c r="E5037" s="1" t="s">
        <v>40</v>
      </c>
      <c r="F5037" s="1">
        <v>959.9</v>
      </c>
      <c r="G5037" s="1">
        <v>244.74</v>
      </c>
      <c r="H5037" s="1">
        <v>4.0</v>
      </c>
      <c r="I5037" s="1" t="s">
        <v>34</v>
      </c>
      <c r="J5037" s="1" t="s">
        <v>38</v>
      </c>
      <c r="K5037" s="1">
        <f t="shared" si="1"/>
        <v>2021</v>
      </c>
      <c r="L5037" s="1" t="str">
        <f t="shared" si="2"/>
        <v>May</v>
      </c>
      <c r="M5037" s="1" t="str">
        <f t="shared" si="3"/>
        <v>Profit</v>
      </c>
    </row>
    <row r="5038" ht="14.25" customHeight="1">
      <c r="A5038" s="1" t="s">
        <v>5072</v>
      </c>
      <c r="B5038" s="2">
        <v>45047.0</v>
      </c>
      <c r="C5038" s="1" t="s">
        <v>26</v>
      </c>
      <c r="D5038" s="1" t="s">
        <v>15</v>
      </c>
      <c r="E5038" s="1" t="s">
        <v>16</v>
      </c>
      <c r="F5038" s="1">
        <v>224.82</v>
      </c>
      <c r="G5038" s="1">
        <v>173.15</v>
      </c>
      <c r="H5038" s="1">
        <v>3.0</v>
      </c>
      <c r="I5038" s="1" t="s">
        <v>23</v>
      </c>
      <c r="J5038" s="1" t="s">
        <v>18</v>
      </c>
      <c r="K5038" s="1">
        <f t="shared" si="1"/>
        <v>2023</v>
      </c>
      <c r="L5038" s="1" t="str">
        <f t="shared" si="2"/>
        <v>May</v>
      </c>
      <c r="M5038" s="1" t="str">
        <f t="shared" si="3"/>
        <v>Profit</v>
      </c>
    </row>
    <row r="5039" ht="14.25" customHeight="1">
      <c r="A5039" s="1" t="s">
        <v>5073</v>
      </c>
      <c r="B5039" s="2">
        <v>44756.0</v>
      </c>
      <c r="C5039" s="1" t="s">
        <v>20</v>
      </c>
      <c r="D5039" s="1" t="s">
        <v>15</v>
      </c>
      <c r="E5039" s="1" t="s">
        <v>16</v>
      </c>
      <c r="F5039" s="1">
        <v>66.36</v>
      </c>
      <c r="G5039" s="1">
        <v>244.5</v>
      </c>
      <c r="H5039" s="1">
        <v>8.0</v>
      </c>
      <c r="I5039" s="1" t="s">
        <v>17</v>
      </c>
      <c r="J5039" s="1" t="s">
        <v>24</v>
      </c>
      <c r="K5039" s="1">
        <f t="shared" si="1"/>
        <v>2022</v>
      </c>
      <c r="L5039" s="1" t="str">
        <f t="shared" si="2"/>
        <v>Jul</v>
      </c>
      <c r="M5039" s="1" t="str">
        <f t="shared" si="3"/>
        <v>Profit</v>
      </c>
    </row>
    <row r="5040" ht="14.25" customHeight="1">
      <c r="A5040" s="1" t="s">
        <v>5074</v>
      </c>
      <c r="B5040" s="2">
        <v>45252.0</v>
      </c>
      <c r="C5040" s="1" t="s">
        <v>26</v>
      </c>
      <c r="D5040" s="1" t="s">
        <v>21</v>
      </c>
      <c r="E5040" s="1" t="s">
        <v>22</v>
      </c>
      <c r="F5040" s="1">
        <v>337.87</v>
      </c>
      <c r="G5040" s="1">
        <v>3.68</v>
      </c>
      <c r="H5040" s="1">
        <v>1.0</v>
      </c>
      <c r="I5040" s="1" t="s">
        <v>17</v>
      </c>
      <c r="J5040" s="1" t="s">
        <v>35</v>
      </c>
      <c r="K5040" s="1">
        <f t="shared" si="1"/>
        <v>2023</v>
      </c>
      <c r="L5040" s="1" t="str">
        <f t="shared" si="2"/>
        <v>Nov</v>
      </c>
      <c r="M5040" s="1" t="str">
        <f t="shared" si="3"/>
        <v>Profit</v>
      </c>
    </row>
    <row r="5041" ht="14.25" customHeight="1">
      <c r="A5041" s="1" t="s">
        <v>5075</v>
      </c>
      <c r="B5041" s="2">
        <v>45238.0</v>
      </c>
      <c r="C5041" s="1" t="s">
        <v>26</v>
      </c>
      <c r="D5041" s="1" t="s">
        <v>27</v>
      </c>
      <c r="E5041" s="1" t="s">
        <v>28</v>
      </c>
      <c r="F5041" s="1">
        <v>793.83</v>
      </c>
      <c r="G5041" s="1">
        <v>-80.98</v>
      </c>
      <c r="H5041" s="1">
        <v>6.0</v>
      </c>
      <c r="I5041" s="1" t="s">
        <v>17</v>
      </c>
      <c r="J5041" s="1" t="s">
        <v>38</v>
      </c>
      <c r="K5041" s="1">
        <f t="shared" si="1"/>
        <v>2023</v>
      </c>
      <c r="L5041" s="1" t="str">
        <f t="shared" si="2"/>
        <v>Nov</v>
      </c>
      <c r="M5041" s="1" t="str">
        <f t="shared" si="3"/>
        <v>Loss</v>
      </c>
    </row>
    <row r="5042" ht="14.25" customHeight="1">
      <c r="A5042" s="1" t="s">
        <v>5076</v>
      </c>
      <c r="B5042" s="2">
        <v>44271.0</v>
      </c>
      <c r="C5042" s="1" t="s">
        <v>20</v>
      </c>
      <c r="D5042" s="1" t="s">
        <v>15</v>
      </c>
      <c r="E5042" s="1" t="s">
        <v>31</v>
      </c>
      <c r="F5042" s="1">
        <v>101.57</v>
      </c>
      <c r="G5042" s="1">
        <v>-195.09</v>
      </c>
      <c r="H5042" s="1">
        <v>8.0</v>
      </c>
      <c r="I5042" s="1" t="s">
        <v>17</v>
      </c>
      <c r="J5042" s="1" t="s">
        <v>18</v>
      </c>
      <c r="K5042" s="1">
        <f t="shared" si="1"/>
        <v>2021</v>
      </c>
      <c r="L5042" s="1" t="str">
        <f t="shared" si="2"/>
        <v>Mar</v>
      </c>
      <c r="M5042" s="1" t="str">
        <f t="shared" si="3"/>
        <v>Loss</v>
      </c>
    </row>
    <row r="5043" ht="14.25" customHeight="1">
      <c r="A5043" s="1" t="s">
        <v>5077</v>
      </c>
      <c r="B5043" s="2">
        <v>44561.0</v>
      </c>
      <c r="C5043" s="1" t="s">
        <v>14</v>
      </c>
      <c r="D5043" s="1" t="s">
        <v>21</v>
      </c>
      <c r="E5043" s="1" t="s">
        <v>76</v>
      </c>
      <c r="F5043" s="1">
        <v>824.16</v>
      </c>
      <c r="G5043" s="1">
        <v>120.66</v>
      </c>
      <c r="H5043" s="1">
        <v>8.0</v>
      </c>
      <c r="I5043" s="1" t="s">
        <v>23</v>
      </c>
      <c r="J5043" s="1" t="s">
        <v>18</v>
      </c>
      <c r="K5043" s="1">
        <f t="shared" si="1"/>
        <v>2021</v>
      </c>
      <c r="L5043" s="1" t="str">
        <f t="shared" si="2"/>
        <v>Dec</v>
      </c>
      <c r="M5043" s="1" t="str">
        <f t="shared" si="3"/>
        <v>Profit</v>
      </c>
    </row>
    <row r="5044" ht="14.25" customHeight="1">
      <c r="A5044" s="1" t="s">
        <v>5078</v>
      </c>
      <c r="B5044" s="2">
        <v>44393.0</v>
      </c>
      <c r="C5044" s="1" t="s">
        <v>26</v>
      </c>
      <c r="D5044" s="1" t="s">
        <v>21</v>
      </c>
      <c r="E5044" s="1" t="s">
        <v>37</v>
      </c>
      <c r="F5044" s="1">
        <v>336.89</v>
      </c>
      <c r="G5044" s="1">
        <v>82.12</v>
      </c>
      <c r="H5044" s="1">
        <v>9.0</v>
      </c>
      <c r="I5044" s="1" t="s">
        <v>23</v>
      </c>
      <c r="J5044" s="1" t="s">
        <v>35</v>
      </c>
      <c r="K5044" s="1">
        <f t="shared" si="1"/>
        <v>2021</v>
      </c>
      <c r="L5044" s="1" t="str">
        <f t="shared" si="2"/>
        <v>Jul</v>
      </c>
      <c r="M5044" s="1" t="str">
        <f t="shared" si="3"/>
        <v>Profit</v>
      </c>
    </row>
    <row r="5045" ht="14.25" customHeight="1">
      <c r="A5045" s="1" t="s">
        <v>5079</v>
      </c>
      <c r="B5045" s="2">
        <v>44427.0</v>
      </c>
      <c r="C5045" s="1" t="s">
        <v>14</v>
      </c>
      <c r="D5045" s="1" t="s">
        <v>15</v>
      </c>
      <c r="E5045" s="1" t="s">
        <v>31</v>
      </c>
      <c r="F5045" s="1">
        <v>283.95</v>
      </c>
      <c r="G5045" s="1">
        <v>-126.79</v>
      </c>
      <c r="H5045" s="1">
        <v>2.0</v>
      </c>
      <c r="I5045" s="1" t="s">
        <v>23</v>
      </c>
      <c r="J5045" s="1" t="s">
        <v>35</v>
      </c>
      <c r="K5045" s="1">
        <f t="shared" si="1"/>
        <v>2021</v>
      </c>
      <c r="L5045" s="1" t="str">
        <f t="shared" si="2"/>
        <v>Aug</v>
      </c>
      <c r="M5045" s="1" t="str">
        <f t="shared" si="3"/>
        <v>Loss</v>
      </c>
    </row>
    <row r="5046" ht="14.25" customHeight="1">
      <c r="A5046" s="1" t="s">
        <v>5080</v>
      </c>
      <c r="B5046" s="2">
        <v>45175.0</v>
      </c>
      <c r="C5046" s="1" t="s">
        <v>20</v>
      </c>
      <c r="D5046" s="1" t="s">
        <v>21</v>
      </c>
      <c r="E5046" s="1" t="s">
        <v>76</v>
      </c>
      <c r="F5046" s="1">
        <v>695.66</v>
      </c>
      <c r="G5046" s="1">
        <v>-162.27</v>
      </c>
      <c r="H5046" s="1">
        <v>1.0</v>
      </c>
      <c r="I5046" s="1" t="s">
        <v>23</v>
      </c>
      <c r="J5046" s="1" t="s">
        <v>24</v>
      </c>
      <c r="K5046" s="1">
        <f t="shared" si="1"/>
        <v>2023</v>
      </c>
      <c r="L5046" s="1" t="str">
        <f t="shared" si="2"/>
        <v>Sep</v>
      </c>
      <c r="M5046" s="1" t="str">
        <f t="shared" si="3"/>
        <v>Loss</v>
      </c>
    </row>
    <row r="5047" ht="14.25" customHeight="1">
      <c r="A5047" s="1" t="s">
        <v>5081</v>
      </c>
      <c r="B5047" s="2">
        <v>44546.0</v>
      </c>
      <c r="C5047" s="1" t="s">
        <v>30</v>
      </c>
      <c r="D5047" s="1" t="s">
        <v>15</v>
      </c>
      <c r="E5047" s="1" t="s">
        <v>31</v>
      </c>
      <c r="F5047" s="1">
        <v>991.68</v>
      </c>
      <c r="G5047" s="1">
        <v>237.47</v>
      </c>
      <c r="H5047" s="1">
        <v>10.0</v>
      </c>
      <c r="I5047" s="1" t="s">
        <v>34</v>
      </c>
      <c r="J5047" s="1" t="s">
        <v>38</v>
      </c>
      <c r="K5047" s="1">
        <f t="shared" si="1"/>
        <v>2021</v>
      </c>
      <c r="L5047" s="1" t="str">
        <f t="shared" si="2"/>
        <v>Dec</v>
      </c>
      <c r="M5047" s="1" t="str">
        <f t="shared" si="3"/>
        <v>Profit</v>
      </c>
    </row>
    <row r="5048" ht="14.25" customHeight="1">
      <c r="A5048" s="1" t="s">
        <v>5082</v>
      </c>
      <c r="B5048" s="2">
        <v>44447.0</v>
      </c>
      <c r="C5048" s="1" t="s">
        <v>14</v>
      </c>
      <c r="D5048" s="1" t="s">
        <v>15</v>
      </c>
      <c r="E5048" s="1" t="s">
        <v>54</v>
      </c>
      <c r="F5048" s="1">
        <v>436.9</v>
      </c>
      <c r="G5048" s="1">
        <v>0.0</v>
      </c>
      <c r="H5048" s="1">
        <v>4.0</v>
      </c>
      <c r="I5048" s="1" t="s">
        <v>17</v>
      </c>
      <c r="J5048" s="1" t="s">
        <v>18</v>
      </c>
      <c r="K5048" s="1">
        <f t="shared" si="1"/>
        <v>2021</v>
      </c>
      <c r="L5048" s="1" t="str">
        <f t="shared" si="2"/>
        <v>Sep</v>
      </c>
      <c r="M5048" s="1" t="str">
        <f t="shared" si="3"/>
        <v>Profit</v>
      </c>
    </row>
    <row r="5049" ht="14.25" customHeight="1">
      <c r="A5049" s="1" t="s">
        <v>5083</v>
      </c>
      <c r="B5049" s="2">
        <v>44539.0</v>
      </c>
      <c r="C5049" s="1" t="s">
        <v>20</v>
      </c>
      <c r="D5049" s="1" t="s">
        <v>21</v>
      </c>
      <c r="E5049" s="1" t="s">
        <v>22</v>
      </c>
      <c r="F5049" s="1">
        <v>580.46</v>
      </c>
      <c r="G5049" s="1">
        <v>156.0</v>
      </c>
      <c r="H5049" s="1">
        <v>7.0</v>
      </c>
      <c r="I5049" s="1" t="s">
        <v>17</v>
      </c>
      <c r="J5049" s="1" t="s">
        <v>38</v>
      </c>
      <c r="K5049" s="1">
        <f t="shared" si="1"/>
        <v>2021</v>
      </c>
      <c r="L5049" s="1" t="str">
        <f t="shared" si="2"/>
        <v>Dec</v>
      </c>
      <c r="M5049" s="1" t="str">
        <f t="shared" si="3"/>
        <v>Profit</v>
      </c>
    </row>
    <row r="5050" ht="14.25" customHeight="1">
      <c r="A5050" s="1" t="s">
        <v>5084</v>
      </c>
      <c r="B5050" s="2">
        <v>44718.0</v>
      </c>
      <c r="C5050" s="1" t="s">
        <v>20</v>
      </c>
      <c r="D5050" s="1" t="s">
        <v>21</v>
      </c>
      <c r="E5050" s="1" t="s">
        <v>22</v>
      </c>
      <c r="F5050" s="1">
        <v>731.05</v>
      </c>
      <c r="G5050" s="1">
        <v>32.07</v>
      </c>
      <c r="H5050" s="1">
        <v>9.0</v>
      </c>
      <c r="I5050" s="1" t="s">
        <v>17</v>
      </c>
      <c r="J5050" s="1" t="s">
        <v>18</v>
      </c>
      <c r="K5050" s="1">
        <f t="shared" si="1"/>
        <v>2022</v>
      </c>
      <c r="L5050" s="1" t="str">
        <f t="shared" si="2"/>
        <v>Jun</v>
      </c>
      <c r="M5050" s="1" t="str">
        <f t="shared" si="3"/>
        <v>Profit</v>
      </c>
    </row>
    <row r="5051" ht="14.25" customHeight="1">
      <c r="A5051" s="1" t="s">
        <v>5085</v>
      </c>
      <c r="B5051" s="2">
        <v>45235.0</v>
      </c>
      <c r="C5051" s="1" t="s">
        <v>14</v>
      </c>
      <c r="D5051" s="1" t="s">
        <v>21</v>
      </c>
      <c r="E5051" s="1" t="s">
        <v>37</v>
      </c>
      <c r="F5051" s="1">
        <v>150.15</v>
      </c>
      <c r="G5051" s="1">
        <v>-30.6</v>
      </c>
      <c r="H5051" s="1">
        <v>4.0</v>
      </c>
      <c r="I5051" s="1" t="s">
        <v>23</v>
      </c>
      <c r="J5051" s="1" t="s">
        <v>24</v>
      </c>
      <c r="K5051" s="1">
        <f t="shared" si="1"/>
        <v>2023</v>
      </c>
      <c r="L5051" s="1" t="str">
        <f t="shared" si="2"/>
        <v>Nov</v>
      </c>
      <c r="M5051" s="1" t="str">
        <f t="shared" si="3"/>
        <v>Loss</v>
      </c>
    </row>
    <row r="5052" ht="14.25" customHeight="1">
      <c r="A5052" s="1" t="s">
        <v>5086</v>
      </c>
      <c r="B5052" s="2">
        <v>45184.0</v>
      </c>
      <c r="C5052" s="1" t="s">
        <v>26</v>
      </c>
      <c r="D5052" s="1" t="s">
        <v>15</v>
      </c>
      <c r="E5052" s="1" t="s">
        <v>54</v>
      </c>
      <c r="F5052" s="1">
        <v>639.8</v>
      </c>
      <c r="G5052" s="1">
        <v>-97.19</v>
      </c>
      <c r="H5052" s="1">
        <v>7.0</v>
      </c>
      <c r="I5052" s="1" t="s">
        <v>34</v>
      </c>
      <c r="J5052" s="1" t="s">
        <v>38</v>
      </c>
      <c r="K5052" s="1">
        <f t="shared" si="1"/>
        <v>2023</v>
      </c>
      <c r="L5052" s="1" t="str">
        <f t="shared" si="2"/>
        <v>Sep</v>
      </c>
      <c r="M5052" s="1" t="str">
        <f t="shared" si="3"/>
        <v>Loss</v>
      </c>
    </row>
    <row r="5053" ht="14.25" customHeight="1">
      <c r="A5053" s="1" t="s">
        <v>5087</v>
      </c>
      <c r="B5053" s="2">
        <v>44399.0</v>
      </c>
      <c r="C5053" s="1" t="s">
        <v>14</v>
      </c>
      <c r="D5053" s="1" t="s">
        <v>27</v>
      </c>
      <c r="E5053" s="1" t="s">
        <v>33</v>
      </c>
      <c r="F5053" s="1">
        <v>836.48</v>
      </c>
      <c r="G5053" s="1">
        <v>154.55</v>
      </c>
      <c r="H5053" s="1">
        <v>8.0</v>
      </c>
      <c r="I5053" s="1" t="s">
        <v>34</v>
      </c>
      <c r="J5053" s="1" t="s">
        <v>18</v>
      </c>
      <c r="K5053" s="1">
        <f t="shared" si="1"/>
        <v>2021</v>
      </c>
      <c r="L5053" s="1" t="str">
        <f t="shared" si="2"/>
        <v>Jul</v>
      </c>
      <c r="M5053" s="1" t="str">
        <f t="shared" si="3"/>
        <v>Profit</v>
      </c>
    </row>
    <row r="5054" ht="14.25" customHeight="1">
      <c r="A5054" s="1" t="s">
        <v>5088</v>
      </c>
      <c r="B5054" s="2">
        <v>44875.0</v>
      </c>
      <c r="C5054" s="1" t="s">
        <v>30</v>
      </c>
      <c r="D5054" s="1" t="s">
        <v>15</v>
      </c>
      <c r="E5054" s="1" t="s">
        <v>16</v>
      </c>
      <c r="F5054" s="1">
        <v>122.62</v>
      </c>
      <c r="G5054" s="1">
        <v>-105.31</v>
      </c>
      <c r="H5054" s="1">
        <v>5.0</v>
      </c>
      <c r="I5054" s="1" t="s">
        <v>34</v>
      </c>
      <c r="J5054" s="1" t="s">
        <v>35</v>
      </c>
      <c r="K5054" s="1">
        <f t="shared" si="1"/>
        <v>2022</v>
      </c>
      <c r="L5054" s="1" t="str">
        <f t="shared" si="2"/>
        <v>Nov</v>
      </c>
      <c r="M5054" s="1" t="str">
        <f t="shared" si="3"/>
        <v>Loss</v>
      </c>
    </row>
    <row r="5055" ht="14.25" customHeight="1">
      <c r="A5055" s="1" t="s">
        <v>5089</v>
      </c>
      <c r="B5055" s="2">
        <v>44686.0</v>
      </c>
      <c r="C5055" s="1" t="s">
        <v>20</v>
      </c>
      <c r="D5055" s="1" t="s">
        <v>15</v>
      </c>
      <c r="E5055" s="1" t="s">
        <v>31</v>
      </c>
      <c r="F5055" s="1">
        <v>175.81</v>
      </c>
      <c r="G5055" s="1">
        <v>271.41</v>
      </c>
      <c r="H5055" s="1">
        <v>6.0</v>
      </c>
      <c r="I5055" s="1" t="s">
        <v>34</v>
      </c>
      <c r="J5055" s="1" t="s">
        <v>24</v>
      </c>
      <c r="K5055" s="1">
        <f t="shared" si="1"/>
        <v>2022</v>
      </c>
      <c r="L5055" s="1" t="str">
        <f t="shared" si="2"/>
        <v>May</v>
      </c>
      <c r="M5055" s="1" t="str">
        <f t="shared" si="3"/>
        <v>Profit</v>
      </c>
    </row>
    <row r="5056" ht="14.25" customHeight="1">
      <c r="A5056" s="1" t="s">
        <v>5090</v>
      </c>
      <c r="B5056" s="2">
        <v>44409.0</v>
      </c>
      <c r="C5056" s="1" t="s">
        <v>26</v>
      </c>
      <c r="D5056" s="1" t="s">
        <v>15</v>
      </c>
      <c r="E5056" s="1" t="s">
        <v>16</v>
      </c>
      <c r="F5056" s="1">
        <v>892.52</v>
      </c>
      <c r="G5056" s="1">
        <v>214.6</v>
      </c>
      <c r="H5056" s="1">
        <v>5.0</v>
      </c>
      <c r="I5056" s="1" t="s">
        <v>34</v>
      </c>
      <c r="J5056" s="1" t="s">
        <v>18</v>
      </c>
      <c r="K5056" s="1">
        <f t="shared" si="1"/>
        <v>2021</v>
      </c>
      <c r="L5056" s="1" t="str">
        <f t="shared" si="2"/>
        <v>Aug</v>
      </c>
      <c r="M5056" s="1" t="str">
        <f t="shared" si="3"/>
        <v>Profit</v>
      </c>
    </row>
    <row r="5057" ht="14.25" customHeight="1">
      <c r="A5057" s="1" t="s">
        <v>5091</v>
      </c>
      <c r="B5057" s="2">
        <v>44319.0</v>
      </c>
      <c r="C5057" s="1" t="s">
        <v>30</v>
      </c>
      <c r="D5057" s="1" t="s">
        <v>15</v>
      </c>
      <c r="E5057" s="1" t="s">
        <v>31</v>
      </c>
      <c r="F5057" s="1">
        <v>444.36</v>
      </c>
      <c r="G5057" s="1">
        <v>-101.02</v>
      </c>
      <c r="H5057" s="1">
        <v>3.0</v>
      </c>
      <c r="I5057" s="1" t="s">
        <v>23</v>
      </c>
      <c r="J5057" s="1" t="s">
        <v>18</v>
      </c>
      <c r="K5057" s="1">
        <f t="shared" si="1"/>
        <v>2021</v>
      </c>
      <c r="L5057" s="1" t="str">
        <f t="shared" si="2"/>
        <v>May</v>
      </c>
      <c r="M5057" s="1" t="str">
        <f t="shared" si="3"/>
        <v>Loss</v>
      </c>
    </row>
    <row r="5058" ht="14.25" customHeight="1">
      <c r="A5058" s="1" t="s">
        <v>5092</v>
      </c>
      <c r="B5058" s="2">
        <v>44227.0</v>
      </c>
      <c r="C5058" s="1" t="s">
        <v>14</v>
      </c>
      <c r="D5058" s="1" t="s">
        <v>21</v>
      </c>
      <c r="E5058" s="1" t="s">
        <v>37</v>
      </c>
      <c r="F5058" s="1">
        <v>143.44</v>
      </c>
      <c r="G5058" s="1">
        <v>138.23</v>
      </c>
      <c r="H5058" s="1">
        <v>3.0</v>
      </c>
      <c r="I5058" s="1" t="s">
        <v>23</v>
      </c>
      <c r="J5058" s="1" t="s">
        <v>38</v>
      </c>
      <c r="K5058" s="1">
        <f t="shared" si="1"/>
        <v>2021</v>
      </c>
      <c r="L5058" s="1" t="str">
        <f t="shared" si="2"/>
        <v>Jan</v>
      </c>
      <c r="M5058" s="1" t="str">
        <f t="shared" si="3"/>
        <v>Profit</v>
      </c>
    </row>
    <row r="5059" ht="14.25" customHeight="1">
      <c r="A5059" s="1" t="s">
        <v>5093</v>
      </c>
      <c r="B5059" s="2">
        <v>44967.0</v>
      </c>
      <c r="C5059" s="1" t="s">
        <v>20</v>
      </c>
      <c r="D5059" s="1" t="s">
        <v>27</v>
      </c>
      <c r="E5059" s="1" t="s">
        <v>40</v>
      </c>
      <c r="F5059" s="1">
        <v>361.3</v>
      </c>
      <c r="G5059" s="1">
        <v>-102.88</v>
      </c>
      <c r="H5059" s="1">
        <v>3.0</v>
      </c>
      <c r="I5059" s="1" t="s">
        <v>23</v>
      </c>
      <c r="J5059" s="1" t="s">
        <v>24</v>
      </c>
      <c r="K5059" s="1">
        <f t="shared" si="1"/>
        <v>2023</v>
      </c>
      <c r="L5059" s="1" t="str">
        <f t="shared" si="2"/>
        <v>Feb</v>
      </c>
      <c r="M5059" s="1" t="str">
        <f t="shared" si="3"/>
        <v>Loss</v>
      </c>
    </row>
    <row r="5060" ht="14.25" customHeight="1">
      <c r="A5060" s="1" t="s">
        <v>5094</v>
      </c>
      <c r="B5060" s="2">
        <v>44678.0</v>
      </c>
      <c r="C5060" s="1" t="s">
        <v>14</v>
      </c>
      <c r="D5060" s="1" t="s">
        <v>27</v>
      </c>
      <c r="E5060" s="1" t="s">
        <v>40</v>
      </c>
      <c r="F5060" s="1">
        <v>820.62</v>
      </c>
      <c r="G5060" s="1">
        <v>279.9</v>
      </c>
      <c r="H5060" s="1">
        <v>6.0</v>
      </c>
      <c r="I5060" s="1" t="s">
        <v>17</v>
      </c>
      <c r="J5060" s="1" t="s">
        <v>18</v>
      </c>
      <c r="K5060" s="1">
        <f t="shared" si="1"/>
        <v>2022</v>
      </c>
      <c r="L5060" s="1" t="str">
        <f t="shared" si="2"/>
        <v>Apr</v>
      </c>
      <c r="M5060" s="1" t="str">
        <f t="shared" si="3"/>
        <v>Profit</v>
      </c>
    </row>
    <row r="5061" ht="14.25" customHeight="1">
      <c r="A5061" s="1" t="s">
        <v>5095</v>
      </c>
      <c r="B5061" s="2">
        <v>44843.0</v>
      </c>
      <c r="C5061" s="1" t="s">
        <v>30</v>
      </c>
      <c r="D5061" s="1" t="s">
        <v>27</v>
      </c>
      <c r="E5061" s="1" t="s">
        <v>40</v>
      </c>
      <c r="F5061" s="1">
        <v>369.73</v>
      </c>
      <c r="G5061" s="1">
        <v>-109.28</v>
      </c>
      <c r="H5061" s="1">
        <v>3.0</v>
      </c>
      <c r="I5061" s="1" t="s">
        <v>34</v>
      </c>
      <c r="J5061" s="1" t="s">
        <v>35</v>
      </c>
      <c r="K5061" s="1">
        <f t="shared" si="1"/>
        <v>2022</v>
      </c>
      <c r="L5061" s="1" t="str">
        <f t="shared" si="2"/>
        <v>Oct</v>
      </c>
      <c r="M5061" s="1" t="str">
        <f t="shared" si="3"/>
        <v>Loss</v>
      </c>
    </row>
    <row r="5062" ht="14.25" customHeight="1">
      <c r="A5062" s="1" t="s">
        <v>5096</v>
      </c>
      <c r="B5062" s="2">
        <v>44550.0</v>
      </c>
      <c r="C5062" s="1" t="s">
        <v>14</v>
      </c>
      <c r="D5062" s="1" t="s">
        <v>27</v>
      </c>
      <c r="E5062" s="1" t="s">
        <v>28</v>
      </c>
      <c r="F5062" s="1">
        <v>594.71</v>
      </c>
      <c r="G5062" s="1">
        <v>-17.25</v>
      </c>
      <c r="H5062" s="1">
        <v>2.0</v>
      </c>
      <c r="I5062" s="1" t="s">
        <v>23</v>
      </c>
      <c r="J5062" s="1" t="s">
        <v>18</v>
      </c>
      <c r="K5062" s="1">
        <f t="shared" si="1"/>
        <v>2021</v>
      </c>
      <c r="L5062" s="1" t="str">
        <f t="shared" si="2"/>
        <v>Dec</v>
      </c>
      <c r="M5062" s="1" t="str">
        <f t="shared" si="3"/>
        <v>Loss</v>
      </c>
    </row>
    <row r="5063" ht="14.25" customHeight="1">
      <c r="A5063" s="1" t="s">
        <v>5097</v>
      </c>
      <c r="B5063" s="2">
        <v>44631.0</v>
      </c>
      <c r="C5063" s="1" t="s">
        <v>14</v>
      </c>
      <c r="D5063" s="1" t="s">
        <v>15</v>
      </c>
      <c r="E5063" s="1" t="s">
        <v>54</v>
      </c>
      <c r="F5063" s="1">
        <v>766.22</v>
      </c>
      <c r="G5063" s="1">
        <v>59.98</v>
      </c>
      <c r="H5063" s="1">
        <v>9.0</v>
      </c>
      <c r="I5063" s="1" t="s">
        <v>17</v>
      </c>
      <c r="J5063" s="1" t="s">
        <v>24</v>
      </c>
      <c r="K5063" s="1">
        <f t="shared" si="1"/>
        <v>2022</v>
      </c>
      <c r="L5063" s="1" t="str">
        <f t="shared" si="2"/>
        <v>Mar</v>
      </c>
      <c r="M5063" s="1" t="str">
        <f t="shared" si="3"/>
        <v>Profit</v>
      </c>
    </row>
    <row r="5064" ht="14.25" customHeight="1">
      <c r="A5064" s="1" t="s">
        <v>5098</v>
      </c>
      <c r="B5064" s="2">
        <v>45074.0</v>
      </c>
      <c r="C5064" s="1" t="s">
        <v>30</v>
      </c>
      <c r="D5064" s="1" t="s">
        <v>15</v>
      </c>
      <c r="E5064" s="1" t="s">
        <v>54</v>
      </c>
      <c r="F5064" s="1">
        <v>302.6</v>
      </c>
      <c r="G5064" s="1">
        <v>-74.9</v>
      </c>
      <c r="H5064" s="1">
        <v>9.0</v>
      </c>
      <c r="I5064" s="1" t="s">
        <v>34</v>
      </c>
      <c r="J5064" s="1" t="s">
        <v>18</v>
      </c>
      <c r="K5064" s="1">
        <f t="shared" si="1"/>
        <v>2023</v>
      </c>
      <c r="L5064" s="1" t="str">
        <f t="shared" si="2"/>
        <v>May</v>
      </c>
      <c r="M5064" s="1" t="str">
        <f t="shared" si="3"/>
        <v>Loss</v>
      </c>
    </row>
    <row r="5065" ht="14.25" customHeight="1">
      <c r="A5065" s="1" t="s">
        <v>5099</v>
      </c>
      <c r="B5065" s="2">
        <v>44789.0</v>
      </c>
      <c r="C5065" s="1" t="s">
        <v>14</v>
      </c>
      <c r="D5065" s="1" t="s">
        <v>27</v>
      </c>
      <c r="E5065" s="1" t="s">
        <v>40</v>
      </c>
      <c r="F5065" s="1">
        <v>448.16</v>
      </c>
      <c r="G5065" s="1">
        <v>-182.12</v>
      </c>
      <c r="H5065" s="1">
        <v>4.0</v>
      </c>
      <c r="I5065" s="1" t="s">
        <v>34</v>
      </c>
      <c r="J5065" s="1" t="s">
        <v>18</v>
      </c>
      <c r="K5065" s="1">
        <f t="shared" si="1"/>
        <v>2022</v>
      </c>
      <c r="L5065" s="1" t="str">
        <f t="shared" si="2"/>
        <v>Aug</v>
      </c>
      <c r="M5065" s="1" t="str">
        <f t="shared" si="3"/>
        <v>Loss</v>
      </c>
    </row>
    <row r="5066" ht="14.25" customHeight="1">
      <c r="A5066" s="1" t="s">
        <v>5100</v>
      </c>
      <c r="B5066" s="2">
        <v>44492.0</v>
      </c>
      <c r="C5066" s="1" t="s">
        <v>26</v>
      </c>
      <c r="D5066" s="1" t="s">
        <v>27</v>
      </c>
      <c r="E5066" s="1" t="s">
        <v>28</v>
      </c>
      <c r="F5066" s="1">
        <v>53.56</v>
      </c>
      <c r="G5066" s="1">
        <v>-61.46</v>
      </c>
      <c r="H5066" s="1">
        <v>6.0</v>
      </c>
      <c r="I5066" s="1" t="s">
        <v>23</v>
      </c>
      <c r="J5066" s="1" t="s">
        <v>18</v>
      </c>
      <c r="K5066" s="1">
        <f t="shared" si="1"/>
        <v>2021</v>
      </c>
      <c r="L5066" s="1" t="str">
        <f t="shared" si="2"/>
        <v>Oct</v>
      </c>
      <c r="M5066" s="1" t="str">
        <f t="shared" si="3"/>
        <v>Loss</v>
      </c>
    </row>
    <row r="5067" ht="14.25" customHeight="1">
      <c r="A5067" s="1" t="s">
        <v>5101</v>
      </c>
      <c r="B5067" s="2">
        <v>44624.0</v>
      </c>
      <c r="C5067" s="1" t="s">
        <v>30</v>
      </c>
      <c r="D5067" s="1" t="s">
        <v>15</v>
      </c>
      <c r="E5067" s="1" t="s">
        <v>54</v>
      </c>
      <c r="F5067" s="1">
        <v>372.41</v>
      </c>
      <c r="G5067" s="1">
        <v>174.69</v>
      </c>
      <c r="H5067" s="1">
        <v>10.0</v>
      </c>
      <c r="I5067" s="1" t="s">
        <v>23</v>
      </c>
      <c r="J5067" s="1" t="s">
        <v>18</v>
      </c>
      <c r="K5067" s="1">
        <f t="shared" si="1"/>
        <v>2022</v>
      </c>
      <c r="L5067" s="1" t="str">
        <f t="shared" si="2"/>
        <v>Mar</v>
      </c>
      <c r="M5067" s="1" t="str">
        <f t="shared" si="3"/>
        <v>Profit</v>
      </c>
    </row>
    <row r="5068" ht="14.25" customHeight="1">
      <c r="A5068" s="1" t="s">
        <v>5102</v>
      </c>
      <c r="B5068" s="2">
        <v>45256.0</v>
      </c>
      <c r="C5068" s="1" t="s">
        <v>14</v>
      </c>
      <c r="D5068" s="1" t="s">
        <v>27</v>
      </c>
      <c r="E5068" s="1" t="s">
        <v>33</v>
      </c>
      <c r="F5068" s="1">
        <v>659.37</v>
      </c>
      <c r="G5068" s="1">
        <v>-163.46</v>
      </c>
      <c r="H5068" s="1">
        <v>7.0</v>
      </c>
      <c r="I5068" s="1" t="s">
        <v>23</v>
      </c>
      <c r="J5068" s="1" t="s">
        <v>38</v>
      </c>
      <c r="K5068" s="1">
        <f t="shared" si="1"/>
        <v>2023</v>
      </c>
      <c r="L5068" s="1" t="str">
        <f t="shared" si="2"/>
        <v>Nov</v>
      </c>
      <c r="M5068" s="1" t="str">
        <f t="shared" si="3"/>
        <v>Loss</v>
      </c>
    </row>
    <row r="5069" ht="14.25" customHeight="1">
      <c r="A5069" s="1" t="s">
        <v>5103</v>
      </c>
      <c r="B5069" s="2">
        <v>45040.0</v>
      </c>
      <c r="C5069" s="1" t="s">
        <v>14</v>
      </c>
      <c r="D5069" s="1" t="s">
        <v>21</v>
      </c>
      <c r="E5069" s="1" t="s">
        <v>76</v>
      </c>
      <c r="F5069" s="1">
        <v>311.4</v>
      </c>
      <c r="G5069" s="1">
        <v>55.84</v>
      </c>
      <c r="H5069" s="1">
        <v>9.0</v>
      </c>
      <c r="I5069" s="1" t="s">
        <v>17</v>
      </c>
      <c r="J5069" s="1" t="s">
        <v>24</v>
      </c>
      <c r="K5069" s="1">
        <f t="shared" si="1"/>
        <v>2023</v>
      </c>
      <c r="L5069" s="1" t="str">
        <f t="shared" si="2"/>
        <v>Apr</v>
      </c>
      <c r="M5069" s="1" t="str">
        <f t="shared" si="3"/>
        <v>Profit</v>
      </c>
    </row>
    <row r="5070" ht="14.25" customHeight="1">
      <c r="A5070" s="1" t="s">
        <v>5104</v>
      </c>
      <c r="B5070" s="2">
        <v>44943.0</v>
      </c>
      <c r="C5070" s="1" t="s">
        <v>14</v>
      </c>
      <c r="D5070" s="1" t="s">
        <v>15</v>
      </c>
      <c r="E5070" s="1" t="s">
        <v>16</v>
      </c>
      <c r="F5070" s="1">
        <v>969.17</v>
      </c>
      <c r="G5070" s="1">
        <v>187.37</v>
      </c>
      <c r="H5070" s="1">
        <v>5.0</v>
      </c>
      <c r="I5070" s="1" t="s">
        <v>34</v>
      </c>
      <c r="J5070" s="1" t="s">
        <v>24</v>
      </c>
      <c r="K5070" s="1">
        <f t="shared" si="1"/>
        <v>2023</v>
      </c>
      <c r="L5070" s="1" t="str">
        <f t="shared" si="2"/>
        <v>Jan</v>
      </c>
      <c r="M5070" s="1" t="str">
        <f t="shared" si="3"/>
        <v>Profit</v>
      </c>
    </row>
    <row r="5071" ht="14.25" customHeight="1">
      <c r="A5071" s="1" t="s">
        <v>5105</v>
      </c>
      <c r="B5071" s="2">
        <v>44241.0</v>
      </c>
      <c r="C5071" s="1" t="s">
        <v>14</v>
      </c>
      <c r="D5071" s="1" t="s">
        <v>21</v>
      </c>
      <c r="E5071" s="1" t="s">
        <v>22</v>
      </c>
      <c r="F5071" s="1">
        <v>794.08</v>
      </c>
      <c r="G5071" s="1">
        <v>215.84</v>
      </c>
      <c r="H5071" s="1">
        <v>10.0</v>
      </c>
      <c r="I5071" s="1" t="s">
        <v>34</v>
      </c>
      <c r="J5071" s="1" t="s">
        <v>18</v>
      </c>
      <c r="K5071" s="1">
        <f t="shared" si="1"/>
        <v>2021</v>
      </c>
      <c r="L5071" s="1" t="str">
        <f t="shared" si="2"/>
        <v>Feb</v>
      </c>
      <c r="M5071" s="1" t="str">
        <f t="shared" si="3"/>
        <v>Profit</v>
      </c>
    </row>
    <row r="5072" ht="14.25" customHeight="1">
      <c r="A5072" s="1" t="s">
        <v>5106</v>
      </c>
      <c r="B5072" s="2">
        <v>45183.0</v>
      </c>
      <c r="C5072" s="1" t="s">
        <v>20</v>
      </c>
      <c r="D5072" s="1" t="s">
        <v>15</v>
      </c>
      <c r="E5072" s="1" t="s">
        <v>16</v>
      </c>
      <c r="F5072" s="1">
        <v>64.95</v>
      </c>
      <c r="G5072" s="1">
        <v>-17.33</v>
      </c>
      <c r="H5072" s="1">
        <v>10.0</v>
      </c>
      <c r="I5072" s="1" t="s">
        <v>17</v>
      </c>
      <c r="J5072" s="1" t="s">
        <v>24</v>
      </c>
      <c r="K5072" s="1">
        <f t="shared" si="1"/>
        <v>2023</v>
      </c>
      <c r="L5072" s="1" t="str">
        <f t="shared" si="2"/>
        <v>Sep</v>
      </c>
      <c r="M5072" s="1" t="str">
        <f t="shared" si="3"/>
        <v>Loss</v>
      </c>
    </row>
    <row r="5073" ht="14.25" customHeight="1">
      <c r="A5073" s="1" t="s">
        <v>5107</v>
      </c>
      <c r="B5073" s="2">
        <v>44484.0</v>
      </c>
      <c r="C5073" s="1" t="s">
        <v>30</v>
      </c>
      <c r="D5073" s="1" t="s">
        <v>21</v>
      </c>
      <c r="E5073" s="1" t="s">
        <v>22</v>
      </c>
      <c r="F5073" s="1">
        <v>71.01</v>
      </c>
      <c r="G5073" s="1">
        <v>-71.67</v>
      </c>
      <c r="H5073" s="1">
        <v>4.0</v>
      </c>
      <c r="I5073" s="1" t="s">
        <v>17</v>
      </c>
      <c r="J5073" s="1" t="s">
        <v>18</v>
      </c>
      <c r="K5073" s="1">
        <f t="shared" si="1"/>
        <v>2021</v>
      </c>
      <c r="L5073" s="1" t="str">
        <f t="shared" si="2"/>
        <v>Oct</v>
      </c>
      <c r="M5073" s="1" t="str">
        <f t="shared" si="3"/>
        <v>Loss</v>
      </c>
    </row>
    <row r="5074" ht="14.25" customHeight="1">
      <c r="A5074" s="1" t="s">
        <v>5108</v>
      </c>
      <c r="B5074" s="2">
        <v>45187.0</v>
      </c>
      <c r="C5074" s="1" t="s">
        <v>30</v>
      </c>
      <c r="D5074" s="1" t="s">
        <v>27</v>
      </c>
      <c r="E5074" s="1" t="s">
        <v>33</v>
      </c>
      <c r="F5074" s="1">
        <v>540.35</v>
      </c>
      <c r="G5074" s="1">
        <v>234.36</v>
      </c>
      <c r="H5074" s="1">
        <v>7.0</v>
      </c>
      <c r="I5074" s="1" t="s">
        <v>17</v>
      </c>
      <c r="J5074" s="1" t="s">
        <v>24</v>
      </c>
      <c r="K5074" s="1">
        <f t="shared" si="1"/>
        <v>2023</v>
      </c>
      <c r="L5074" s="1" t="str">
        <f t="shared" si="2"/>
        <v>Sep</v>
      </c>
      <c r="M5074" s="1" t="str">
        <f t="shared" si="3"/>
        <v>Profit</v>
      </c>
    </row>
    <row r="5075" ht="14.25" customHeight="1">
      <c r="A5075" s="1" t="s">
        <v>5109</v>
      </c>
      <c r="B5075" s="2">
        <v>45229.0</v>
      </c>
      <c r="C5075" s="1" t="s">
        <v>26</v>
      </c>
      <c r="D5075" s="1" t="s">
        <v>15</v>
      </c>
      <c r="E5075" s="1" t="s">
        <v>31</v>
      </c>
      <c r="F5075" s="1">
        <v>895.01</v>
      </c>
      <c r="G5075" s="1">
        <v>-31.05</v>
      </c>
      <c r="H5075" s="1">
        <v>7.0</v>
      </c>
      <c r="I5075" s="1" t="s">
        <v>34</v>
      </c>
      <c r="J5075" s="1" t="s">
        <v>24</v>
      </c>
      <c r="K5075" s="1">
        <f t="shared" si="1"/>
        <v>2023</v>
      </c>
      <c r="L5075" s="1" t="str">
        <f t="shared" si="2"/>
        <v>Oct</v>
      </c>
      <c r="M5075" s="1" t="str">
        <f t="shared" si="3"/>
        <v>Loss</v>
      </c>
    </row>
    <row r="5076" ht="14.25" customHeight="1">
      <c r="A5076" s="1" t="s">
        <v>5110</v>
      </c>
      <c r="B5076" s="2">
        <v>44781.0</v>
      </c>
      <c r="C5076" s="1" t="s">
        <v>26</v>
      </c>
      <c r="D5076" s="1" t="s">
        <v>15</v>
      </c>
      <c r="E5076" s="1" t="s">
        <v>31</v>
      </c>
      <c r="F5076" s="1">
        <v>658.88</v>
      </c>
      <c r="G5076" s="1">
        <v>44.21</v>
      </c>
      <c r="H5076" s="1">
        <v>4.0</v>
      </c>
      <c r="I5076" s="1" t="s">
        <v>34</v>
      </c>
      <c r="J5076" s="1" t="s">
        <v>35</v>
      </c>
      <c r="K5076" s="1">
        <f t="shared" si="1"/>
        <v>2022</v>
      </c>
      <c r="L5076" s="1" t="str">
        <f t="shared" si="2"/>
        <v>Aug</v>
      </c>
      <c r="M5076" s="1" t="str">
        <f t="shared" si="3"/>
        <v>Profit</v>
      </c>
    </row>
    <row r="5077" ht="14.25" customHeight="1">
      <c r="A5077" s="1" t="s">
        <v>5111</v>
      </c>
      <c r="B5077" s="2">
        <v>44575.0</v>
      </c>
      <c r="C5077" s="1" t="s">
        <v>26</v>
      </c>
      <c r="D5077" s="1" t="s">
        <v>27</v>
      </c>
      <c r="E5077" s="1" t="s">
        <v>28</v>
      </c>
      <c r="F5077" s="1">
        <v>402.74</v>
      </c>
      <c r="G5077" s="1">
        <v>-54.74</v>
      </c>
      <c r="H5077" s="1">
        <v>1.0</v>
      </c>
      <c r="I5077" s="1" t="s">
        <v>17</v>
      </c>
      <c r="J5077" s="1" t="s">
        <v>18</v>
      </c>
      <c r="K5077" s="1">
        <f t="shared" si="1"/>
        <v>2022</v>
      </c>
      <c r="L5077" s="1" t="str">
        <f t="shared" si="2"/>
        <v>Jan</v>
      </c>
      <c r="M5077" s="1" t="str">
        <f t="shared" si="3"/>
        <v>Loss</v>
      </c>
    </row>
    <row r="5078" ht="14.25" customHeight="1">
      <c r="A5078" s="1" t="s">
        <v>5112</v>
      </c>
      <c r="B5078" s="2">
        <v>44796.0</v>
      </c>
      <c r="C5078" s="1" t="s">
        <v>20</v>
      </c>
      <c r="D5078" s="1" t="s">
        <v>21</v>
      </c>
      <c r="E5078" s="1" t="s">
        <v>76</v>
      </c>
      <c r="F5078" s="1">
        <v>822.87</v>
      </c>
      <c r="G5078" s="1">
        <v>1.39</v>
      </c>
      <c r="H5078" s="1">
        <v>5.0</v>
      </c>
      <c r="I5078" s="1" t="s">
        <v>34</v>
      </c>
      <c r="J5078" s="1" t="s">
        <v>18</v>
      </c>
      <c r="K5078" s="1">
        <f t="shared" si="1"/>
        <v>2022</v>
      </c>
      <c r="L5078" s="1" t="str">
        <f t="shared" si="2"/>
        <v>Aug</v>
      </c>
      <c r="M5078" s="1" t="str">
        <f t="shared" si="3"/>
        <v>Profit</v>
      </c>
    </row>
    <row r="5079" ht="14.25" customHeight="1">
      <c r="A5079" s="1" t="s">
        <v>5113</v>
      </c>
      <c r="B5079" s="2">
        <v>44832.0</v>
      </c>
      <c r="C5079" s="1" t="s">
        <v>26</v>
      </c>
      <c r="D5079" s="1" t="s">
        <v>21</v>
      </c>
      <c r="E5079" s="1" t="s">
        <v>22</v>
      </c>
      <c r="F5079" s="1">
        <v>770.56</v>
      </c>
      <c r="G5079" s="1">
        <v>-130.34</v>
      </c>
      <c r="H5079" s="1">
        <v>2.0</v>
      </c>
      <c r="I5079" s="1" t="s">
        <v>23</v>
      </c>
      <c r="J5079" s="1" t="s">
        <v>38</v>
      </c>
      <c r="K5079" s="1">
        <f t="shared" si="1"/>
        <v>2022</v>
      </c>
      <c r="L5079" s="1" t="str">
        <f t="shared" si="2"/>
        <v>Sep</v>
      </c>
      <c r="M5079" s="1" t="str">
        <f t="shared" si="3"/>
        <v>Loss</v>
      </c>
    </row>
    <row r="5080" ht="14.25" customHeight="1">
      <c r="A5080" s="1" t="s">
        <v>5114</v>
      </c>
      <c r="B5080" s="2">
        <v>44888.0</v>
      </c>
      <c r="C5080" s="1" t="s">
        <v>26</v>
      </c>
      <c r="D5080" s="1" t="s">
        <v>27</v>
      </c>
      <c r="E5080" s="1" t="s">
        <v>33</v>
      </c>
      <c r="F5080" s="1">
        <v>43.54</v>
      </c>
      <c r="G5080" s="1">
        <v>35.26</v>
      </c>
      <c r="H5080" s="1">
        <v>4.0</v>
      </c>
      <c r="I5080" s="1" t="s">
        <v>34</v>
      </c>
      <c r="J5080" s="1" t="s">
        <v>18</v>
      </c>
      <c r="K5080" s="1">
        <f t="shared" si="1"/>
        <v>2022</v>
      </c>
      <c r="L5080" s="1" t="str">
        <f t="shared" si="2"/>
        <v>Nov</v>
      </c>
      <c r="M5080" s="1" t="str">
        <f t="shared" si="3"/>
        <v>Profit</v>
      </c>
    </row>
    <row r="5081" ht="14.25" customHeight="1">
      <c r="A5081" s="1" t="s">
        <v>5115</v>
      </c>
      <c r="B5081" s="2">
        <v>44467.0</v>
      </c>
      <c r="C5081" s="1" t="s">
        <v>26</v>
      </c>
      <c r="D5081" s="1" t="s">
        <v>27</v>
      </c>
      <c r="E5081" s="1" t="s">
        <v>28</v>
      </c>
      <c r="F5081" s="1">
        <v>58.69</v>
      </c>
      <c r="G5081" s="1">
        <v>23.48</v>
      </c>
      <c r="H5081" s="1">
        <v>9.0</v>
      </c>
      <c r="I5081" s="1" t="s">
        <v>34</v>
      </c>
      <c r="J5081" s="1" t="s">
        <v>35</v>
      </c>
      <c r="K5081" s="1">
        <f t="shared" si="1"/>
        <v>2021</v>
      </c>
      <c r="L5081" s="1" t="str">
        <f t="shared" si="2"/>
        <v>Sep</v>
      </c>
      <c r="M5081" s="1" t="str">
        <f t="shared" si="3"/>
        <v>Profit</v>
      </c>
    </row>
    <row r="5082" ht="14.25" customHeight="1">
      <c r="A5082" s="1" t="s">
        <v>5116</v>
      </c>
      <c r="B5082" s="2">
        <v>45198.0</v>
      </c>
      <c r="C5082" s="1" t="s">
        <v>14</v>
      </c>
      <c r="D5082" s="1" t="s">
        <v>15</v>
      </c>
      <c r="E5082" s="1" t="s">
        <v>31</v>
      </c>
      <c r="F5082" s="1">
        <v>552.27</v>
      </c>
      <c r="G5082" s="1">
        <v>75.31</v>
      </c>
      <c r="H5082" s="1">
        <v>4.0</v>
      </c>
      <c r="I5082" s="1" t="s">
        <v>34</v>
      </c>
      <c r="J5082" s="1" t="s">
        <v>24</v>
      </c>
      <c r="K5082" s="1">
        <f t="shared" si="1"/>
        <v>2023</v>
      </c>
      <c r="L5082" s="1" t="str">
        <f t="shared" si="2"/>
        <v>Sep</v>
      </c>
      <c r="M5082" s="1" t="str">
        <f t="shared" si="3"/>
        <v>Profit</v>
      </c>
    </row>
    <row r="5083" ht="14.25" customHeight="1">
      <c r="A5083" s="1" t="s">
        <v>5117</v>
      </c>
      <c r="B5083" s="2">
        <v>45219.0</v>
      </c>
      <c r="C5083" s="1" t="s">
        <v>14</v>
      </c>
      <c r="D5083" s="1" t="s">
        <v>15</v>
      </c>
      <c r="E5083" s="1" t="s">
        <v>54</v>
      </c>
      <c r="F5083" s="1">
        <v>849.73</v>
      </c>
      <c r="G5083" s="1">
        <v>219.08</v>
      </c>
      <c r="H5083" s="1">
        <v>7.0</v>
      </c>
      <c r="I5083" s="1" t="s">
        <v>23</v>
      </c>
      <c r="J5083" s="1" t="s">
        <v>24</v>
      </c>
      <c r="K5083" s="1">
        <f t="shared" si="1"/>
        <v>2023</v>
      </c>
      <c r="L5083" s="1" t="str">
        <f t="shared" si="2"/>
        <v>Oct</v>
      </c>
      <c r="M5083" s="1" t="str">
        <f t="shared" si="3"/>
        <v>Profit</v>
      </c>
    </row>
    <row r="5084" ht="14.25" customHeight="1">
      <c r="A5084" s="1" t="s">
        <v>5118</v>
      </c>
      <c r="B5084" s="2">
        <v>45185.0</v>
      </c>
      <c r="C5084" s="1" t="s">
        <v>20</v>
      </c>
      <c r="D5084" s="1" t="s">
        <v>21</v>
      </c>
      <c r="E5084" s="1" t="s">
        <v>37</v>
      </c>
      <c r="F5084" s="1">
        <v>728.56</v>
      </c>
      <c r="G5084" s="1">
        <v>-79.18</v>
      </c>
      <c r="H5084" s="1">
        <v>4.0</v>
      </c>
      <c r="I5084" s="1" t="s">
        <v>34</v>
      </c>
      <c r="J5084" s="1" t="s">
        <v>24</v>
      </c>
      <c r="K5084" s="1">
        <f t="shared" si="1"/>
        <v>2023</v>
      </c>
      <c r="L5084" s="1" t="str">
        <f t="shared" si="2"/>
        <v>Sep</v>
      </c>
      <c r="M5084" s="1" t="str">
        <f t="shared" si="3"/>
        <v>Loss</v>
      </c>
    </row>
    <row r="5085" ht="14.25" customHeight="1">
      <c r="A5085" s="1" t="s">
        <v>5119</v>
      </c>
      <c r="B5085" s="2">
        <v>44881.0</v>
      </c>
      <c r="C5085" s="1" t="s">
        <v>14</v>
      </c>
      <c r="D5085" s="1" t="s">
        <v>21</v>
      </c>
      <c r="E5085" s="1" t="s">
        <v>76</v>
      </c>
      <c r="F5085" s="1">
        <v>379.43</v>
      </c>
      <c r="G5085" s="1">
        <v>299.84</v>
      </c>
      <c r="H5085" s="1">
        <v>7.0</v>
      </c>
      <c r="I5085" s="1" t="s">
        <v>34</v>
      </c>
      <c r="J5085" s="1" t="s">
        <v>35</v>
      </c>
      <c r="K5085" s="1">
        <f t="shared" si="1"/>
        <v>2022</v>
      </c>
      <c r="L5085" s="1" t="str">
        <f t="shared" si="2"/>
        <v>Nov</v>
      </c>
      <c r="M5085" s="1" t="str">
        <f t="shared" si="3"/>
        <v>Profit</v>
      </c>
    </row>
    <row r="5086" ht="14.25" customHeight="1">
      <c r="A5086" s="1" t="s">
        <v>5120</v>
      </c>
      <c r="B5086" s="2">
        <v>44749.0</v>
      </c>
      <c r="C5086" s="1" t="s">
        <v>26</v>
      </c>
      <c r="D5086" s="1" t="s">
        <v>21</v>
      </c>
      <c r="E5086" s="1" t="s">
        <v>76</v>
      </c>
      <c r="F5086" s="1">
        <v>994.53</v>
      </c>
      <c r="G5086" s="1">
        <v>148.81</v>
      </c>
      <c r="H5086" s="1">
        <v>4.0</v>
      </c>
      <c r="I5086" s="1" t="s">
        <v>23</v>
      </c>
      <c r="J5086" s="1" t="s">
        <v>35</v>
      </c>
      <c r="K5086" s="1">
        <f t="shared" si="1"/>
        <v>2022</v>
      </c>
      <c r="L5086" s="1" t="str">
        <f t="shared" si="2"/>
        <v>Jul</v>
      </c>
      <c r="M5086" s="1" t="str">
        <f t="shared" si="3"/>
        <v>Profit</v>
      </c>
    </row>
    <row r="5087" ht="14.25" customHeight="1">
      <c r="A5087" s="1" t="s">
        <v>5121</v>
      </c>
      <c r="B5087" s="2">
        <v>44877.0</v>
      </c>
      <c r="C5087" s="1" t="s">
        <v>26</v>
      </c>
      <c r="D5087" s="1" t="s">
        <v>27</v>
      </c>
      <c r="E5087" s="1" t="s">
        <v>40</v>
      </c>
      <c r="F5087" s="1">
        <v>46.77</v>
      </c>
      <c r="G5087" s="1">
        <v>-70.76</v>
      </c>
      <c r="H5087" s="1">
        <v>8.0</v>
      </c>
      <c r="I5087" s="1" t="s">
        <v>34</v>
      </c>
      <c r="J5087" s="1" t="s">
        <v>24</v>
      </c>
      <c r="K5087" s="1">
        <f t="shared" si="1"/>
        <v>2022</v>
      </c>
      <c r="L5087" s="1" t="str">
        <f t="shared" si="2"/>
        <v>Nov</v>
      </c>
      <c r="M5087" s="1" t="str">
        <f t="shared" si="3"/>
        <v>Loss</v>
      </c>
    </row>
    <row r="5088" ht="14.25" customHeight="1">
      <c r="A5088" s="1" t="s">
        <v>5122</v>
      </c>
      <c r="B5088" s="2">
        <v>45124.0</v>
      </c>
      <c r="C5088" s="1" t="s">
        <v>30</v>
      </c>
      <c r="D5088" s="1" t="s">
        <v>27</v>
      </c>
      <c r="E5088" s="1" t="s">
        <v>33</v>
      </c>
      <c r="F5088" s="1">
        <v>666.85</v>
      </c>
      <c r="G5088" s="1">
        <v>126.19</v>
      </c>
      <c r="H5088" s="1">
        <v>7.0</v>
      </c>
      <c r="I5088" s="1" t="s">
        <v>34</v>
      </c>
      <c r="J5088" s="1" t="s">
        <v>35</v>
      </c>
      <c r="K5088" s="1">
        <f t="shared" si="1"/>
        <v>2023</v>
      </c>
      <c r="L5088" s="1" t="str">
        <f t="shared" si="2"/>
        <v>Jul</v>
      </c>
      <c r="M5088" s="1" t="str">
        <f t="shared" si="3"/>
        <v>Profit</v>
      </c>
    </row>
    <row r="5089" ht="14.25" customHeight="1">
      <c r="A5089" s="1" t="s">
        <v>5123</v>
      </c>
      <c r="B5089" s="2">
        <v>44664.0</v>
      </c>
      <c r="C5089" s="1" t="s">
        <v>14</v>
      </c>
      <c r="D5089" s="1" t="s">
        <v>15</v>
      </c>
      <c r="E5089" s="1" t="s">
        <v>31</v>
      </c>
      <c r="F5089" s="1">
        <v>976.41</v>
      </c>
      <c r="G5089" s="1">
        <v>166.03</v>
      </c>
      <c r="H5089" s="1">
        <v>6.0</v>
      </c>
      <c r="I5089" s="1" t="s">
        <v>34</v>
      </c>
      <c r="J5089" s="1" t="s">
        <v>24</v>
      </c>
      <c r="K5089" s="1">
        <f t="shared" si="1"/>
        <v>2022</v>
      </c>
      <c r="L5089" s="1" t="str">
        <f t="shared" si="2"/>
        <v>Apr</v>
      </c>
      <c r="M5089" s="1" t="str">
        <f t="shared" si="3"/>
        <v>Profit</v>
      </c>
    </row>
    <row r="5090" ht="14.25" customHeight="1">
      <c r="A5090" s="1" t="s">
        <v>5124</v>
      </c>
      <c r="B5090" s="2">
        <v>44465.0</v>
      </c>
      <c r="C5090" s="1" t="s">
        <v>20</v>
      </c>
      <c r="D5090" s="1" t="s">
        <v>21</v>
      </c>
      <c r="E5090" s="1" t="s">
        <v>22</v>
      </c>
      <c r="F5090" s="1">
        <v>956.74</v>
      </c>
      <c r="G5090" s="1">
        <v>-122.08</v>
      </c>
      <c r="H5090" s="1">
        <v>7.0</v>
      </c>
      <c r="I5090" s="1" t="s">
        <v>34</v>
      </c>
      <c r="J5090" s="1" t="s">
        <v>35</v>
      </c>
      <c r="K5090" s="1">
        <f t="shared" si="1"/>
        <v>2021</v>
      </c>
      <c r="L5090" s="1" t="str">
        <f t="shared" si="2"/>
        <v>Sep</v>
      </c>
      <c r="M5090" s="1" t="str">
        <f t="shared" si="3"/>
        <v>Loss</v>
      </c>
    </row>
    <row r="5091" ht="14.25" customHeight="1">
      <c r="A5091" s="1" t="s">
        <v>5125</v>
      </c>
      <c r="B5091" s="2">
        <v>45231.0</v>
      </c>
      <c r="C5091" s="1" t="s">
        <v>14</v>
      </c>
      <c r="D5091" s="1" t="s">
        <v>15</v>
      </c>
      <c r="E5091" s="1" t="s">
        <v>16</v>
      </c>
      <c r="F5091" s="1">
        <v>734.09</v>
      </c>
      <c r="G5091" s="1">
        <v>-182.23</v>
      </c>
      <c r="H5091" s="1">
        <v>3.0</v>
      </c>
      <c r="I5091" s="1" t="s">
        <v>23</v>
      </c>
      <c r="J5091" s="1" t="s">
        <v>38</v>
      </c>
      <c r="K5091" s="1">
        <f t="shared" si="1"/>
        <v>2023</v>
      </c>
      <c r="L5091" s="1" t="str">
        <f t="shared" si="2"/>
        <v>Nov</v>
      </c>
      <c r="M5091" s="1" t="str">
        <f t="shared" si="3"/>
        <v>Loss</v>
      </c>
    </row>
    <row r="5092" ht="14.25" customHeight="1">
      <c r="A5092" s="1" t="s">
        <v>5126</v>
      </c>
      <c r="B5092" s="2">
        <v>44200.0</v>
      </c>
      <c r="C5092" s="1" t="s">
        <v>14</v>
      </c>
      <c r="D5092" s="1" t="s">
        <v>21</v>
      </c>
      <c r="E5092" s="1" t="s">
        <v>76</v>
      </c>
      <c r="F5092" s="1">
        <v>774.28</v>
      </c>
      <c r="G5092" s="1">
        <v>135.31</v>
      </c>
      <c r="H5092" s="1">
        <v>1.0</v>
      </c>
      <c r="I5092" s="1" t="s">
        <v>34</v>
      </c>
      <c r="J5092" s="1" t="s">
        <v>38</v>
      </c>
      <c r="K5092" s="1">
        <f t="shared" si="1"/>
        <v>2021</v>
      </c>
      <c r="L5092" s="1" t="str">
        <f t="shared" si="2"/>
        <v>Jan</v>
      </c>
      <c r="M5092" s="1" t="str">
        <f t="shared" si="3"/>
        <v>Profit</v>
      </c>
    </row>
    <row r="5093" ht="14.25" customHeight="1">
      <c r="A5093" s="1" t="s">
        <v>5127</v>
      </c>
      <c r="B5093" s="2">
        <v>44434.0</v>
      </c>
      <c r="C5093" s="1" t="s">
        <v>30</v>
      </c>
      <c r="D5093" s="1" t="s">
        <v>15</v>
      </c>
      <c r="E5093" s="1" t="s">
        <v>54</v>
      </c>
      <c r="F5093" s="1">
        <v>926.44</v>
      </c>
      <c r="G5093" s="1">
        <v>35.06</v>
      </c>
      <c r="H5093" s="1">
        <v>3.0</v>
      </c>
      <c r="I5093" s="1" t="s">
        <v>34</v>
      </c>
      <c r="J5093" s="1" t="s">
        <v>38</v>
      </c>
      <c r="K5093" s="1">
        <f t="shared" si="1"/>
        <v>2021</v>
      </c>
      <c r="L5093" s="1" t="str">
        <f t="shared" si="2"/>
        <v>Aug</v>
      </c>
      <c r="M5093" s="1" t="str">
        <f t="shared" si="3"/>
        <v>Profit</v>
      </c>
    </row>
    <row r="5094" ht="14.25" customHeight="1">
      <c r="A5094" s="1" t="s">
        <v>5128</v>
      </c>
      <c r="B5094" s="2">
        <v>44816.0</v>
      </c>
      <c r="C5094" s="1" t="s">
        <v>14</v>
      </c>
      <c r="D5094" s="1" t="s">
        <v>21</v>
      </c>
      <c r="E5094" s="1" t="s">
        <v>22</v>
      </c>
      <c r="F5094" s="1">
        <v>317.52</v>
      </c>
      <c r="G5094" s="1">
        <v>106.07</v>
      </c>
      <c r="H5094" s="1">
        <v>9.0</v>
      </c>
      <c r="I5094" s="1" t="s">
        <v>23</v>
      </c>
      <c r="J5094" s="1" t="s">
        <v>24</v>
      </c>
      <c r="K5094" s="1">
        <f t="shared" si="1"/>
        <v>2022</v>
      </c>
      <c r="L5094" s="1" t="str">
        <f t="shared" si="2"/>
        <v>Sep</v>
      </c>
      <c r="M5094" s="1" t="str">
        <f t="shared" si="3"/>
        <v>Profit</v>
      </c>
    </row>
    <row r="5095" ht="14.25" customHeight="1">
      <c r="A5095" s="1" t="s">
        <v>5129</v>
      </c>
      <c r="B5095" s="2">
        <v>45199.0</v>
      </c>
      <c r="C5095" s="1" t="s">
        <v>20</v>
      </c>
      <c r="D5095" s="1" t="s">
        <v>21</v>
      </c>
      <c r="E5095" s="1" t="s">
        <v>22</v>
      </c>
      <c r="F5095" s="1">
        <v>337.93</v>
      </c>
      <c r="G5095" s="1">
        <v>192.34</v>
      </c>
      <c r="H5095" s="1">
        <v>6.0</v>
      </c>
      <c r="I5095" s="1" t="s">
        <v>17</v>
      </c>
      <c r="J5095" s="1" t="s">
        <v>18</v>
      </c>
      <c r="K5095" s="1">
        <f t="shared" si="1"/>
        <v>2023</v>
      </c>
      <c r="L5095" s="1" t="str">
        <f t="shared" si="2"/>
        <v>Sep</v>
      </c>
      <c r="M5095" s="1" t="str">
        <f t="shared" si="3"/>
        <v>Profit</v>
      </c>
    </row>
    <row r="5096" ht="14.25" customHeight="1">
      <c r="A5096" s="1" t="s">
        <v>5130</v>
      </c>
      <c r="B5096" s="2">
        <v>44962.0</v>
      </c>
      <c r="C5096" s="1" t="s">
        <v>20</v>
      </c>
      <c r="D5096" s="1" t="s">
        <v>21</v>
      </c>
      <c r="E5096" s="1" t="s">
        <v>76</v>
      </c>
      <c r="F5096" s="1">
        <v>641.54</v>
      </c>
      <c r="G5096" s="1">
        <v>221.18</v>
      </c>
      <c r="H5096" s="1">
        <v>10.0</v>
      </c>
      <c r="I5096" s="1" t="s">
        <v>23</v>
      </c>
      <c r="J5096" s="1" t="s">
        <v>24</v>
      </c>
      <c r="K5096" s="1">
        <f t="shared" si="1"/>
        <v>2023</v>
      </c>
      <c r="L5096" s="1" t="str">
        <f t="shared" si="2"/>
        <v>Feb</v>
      </c>
      <c r="M5096" s="1" t="str">
        <f t="shared" si="3"/>
        <v>Profit</v>
      </c>
    </row>
    <row r="5097" ht="14.25" customHeight="1">
      <c r="A5097" s="1" t="s">
        <v>5131</v>
      </c>
      <c r="B5097" s="2">
        <v>45138.0</v>
      </c>
      <c r="C5097" s="1" t="s">
        <v>26</v>
      </c>
      <c r="D5097" s="1" t="s">
        <v>15</v>
      </c>
      <c r="E5097" s="1" t="s">
        <v>54</v>
      </c>
      <c r="F5097" s="1">
        <v>815.85</v>
      </c>
      <c r="G5097" s="1">
        <v>-51.26</v>
      </c>
      <c r="H5097" s="1">
        <v>7.0</v>
      </c>
      <c r="I5097" s="1" t="s">
        <v>34</v>
      </c>
      <c r="J5097" s="1" t="s">
        <v>24</v>
      </c>
      <c r="K5097" s="1">
        <f t="shared" si="1"/>
        <v>2023</v>
      </c>
      <c r="L5097" s="1" t="str">
        <f t="shared" si="2"/>
        <v>Jul</v>
      </c>
      <c r="M5097" s="1" t="str">
        <f t="shared" si="3"/>
        <v>Loss</v>
      </c>
    </row>
    <row r="5098" ht="14.25" customHeight="1">
      <c r="A5098" s="1" t="s">
        <v>5132</v>
      </c>
      <c r="B5098" s="2">
        <v>44511.0</v>
      </c>
      <c r="C5098" s="1" t="s">
        <v>26</v>
      </c>
      <c r="D5098" s="1" t="s">
        <v>15</v>
      </c>
      <c r="E5098" s="1" t="s">
        <v>54</v>
      </c>
      <c r="F5098" s="1">
        <v>37.35</v>
      </c>
      <c r="G5098" s="1">
        <v>177.31</v>
      </c>
      <c r="H5098" s="1">
        <v>10.0</v>
      </c>
      <c r="I5098" s="1" t="s">
        <v>17</v>
      </c>
      <c r="J5098" s="1" t="s">
        <v>38</v>
      </c>
      <c r="K5098" s="1">
        <f t="shared" si="1"/>
        <v>2021</v>
      </c>
      <c r="L5098" s="1" t="str">
        <f t="shared" si="2"/>
        <v>Nov</v>
      </c>
      <c r="M5098" s="1" t="str">
        <f t="shared" si="3"/>
        <v>Profit</v>
      </c>
    </row>
    <row r="5099" ht="14.25" customHeight="1">
      <c r="A5099" s="1" t="s">
        <v>5133</v>
      </c>
      <c r="B5099" s="2">
        <v>44567.0</v>
      </c>
      <c r="C5099" s="1" t="s">
        <v>14</v>
      </c>
      <c r="D5099" s="1" t="s">
        <v>21</v>
      </c>
      <c r="E5099" s="1" t="s">
        <v>37</v>
      </c>
      <c r="F5099" s="1">
        <v>437.89</v>
      </c>
      <c r="G5099" s="1">
        <v>-124.11</v>
      </c>
      <c r="H5099" s="1">
        <v>2.0</v>
      </c>
      <c r="I5099" s="1" t="s">
        <v>23</v>
      </c>
      <c r="J5099" s="1" t="s">
        <v>24</v>
      </c>
      <c r="K5099" s="1">
        <f t="shared" si="1"/>
        <v>2022</v>
      </c>
      <c r="L5099" s="1" t="str">
        <f t="shared" si="2"/>
        <v>Jan</v>
      </c>
      <c r="M5099" s="1" t="str">
        <f t="shared" si="3"/>
        <v>Loss</v>
      </c>
    </row>
    <row r="5100" ht="14.25" customHeight="1">
      <c r="A5100" s="1" t="s">
        <v>5134</v>
      </c>
      <c r="B5100" s="2">
        <v>44350.0</v>
      </c>
      <c r="C5100" s="1" t="s">
        <v>20</v>
      </c>
      <c r="D5100" s="1" t="s">
        <v>15</v>
      </c>
      <c r="E5100" s="1" t="s">
        <v>54</v>
      </c>
      <c r="F5100" s="1">
        <v>215.12</v>
      </c>
      <c r="G5100" s="1">
        <v>163.15</v>
      </c>
      <c r="H5100" s="1">
        <v>3.0</v>
      </c>
      <c r="I5100" s="1" t="s">
        <v>34</v>
      </c>
      <c r="J5100" s="1" t="s">
        <v>35</v>
      </c>
      <c r="K5100" s="1">
        <f t="shared" si="1"/>
        <v>2021</v>
      </c>
      <c r="L5100" s="1" t="str">
        <f t="shared" si="2"/>
        <v>Jun</v>
      </c>
      <c r="M5100" s="1" t="str">
        <f t="shared" si="3"/>
        <v>Profit</v>
      </c>
    </row>
    <row r="5101" ht="14.25" customHeight="1">
      <c r="A5101" s="1" t="s">
        <v>5135</v>
      </c>
      <c r="B5101" s="2">
        <v>44757.0</v>
      </c>
      <c r="C5101" s="1" t="s">
        <v>14</v>
      </c>
      <c r="D5101" s="1" t="s">
        <v>21</v>
      </c>
      <c r="E5101" s="1" t="s">
        <v>22</v>
      </c>
      <c r="F5101" s="1">
        <v>840.56</v>
      </c>
      <c r="G5101" s="1">
        <v>51.81</v>
      </c>
      <c r="H5101" s="1">
        <v>9.0</v>
      </c>
      <c r="I5101" s="1" t="s">
        <v>17</v>
      </c>
      <c r="J5101" s="1" t="s">
        <v>18</v>
      </c>
      <c r="K5101" s="1">
        <f t="shared" si="1"/>
        <v>2022</v>
      </c>
      <c r="L5101" s="1" t="str">
        <f t="shared" si="2"/>
        <v>Jul</v>
      </c>
      <c r="M5101" s="1" t="str">
        <f t="shared" si="3"/>
        <v>Profit</v>
      </c>
    </row>
    <row r="5102" ht="14.25" customHeight="1">
      <c r="A5102" s="1" t="s">
        <v>5136</v>
      </c>
      <c r="B5102" s="2">
        <v>44956.0</v>
      </c>
      <c r="C5102" s="1" t="s">
        <v>14</v>
      </c>
      <c r="D5102" s="1" t="s">
        <v>21</v>
      </c>
      <c r="E5102" s="1" t="s">
        <v>22</v>
      </c>
      <c r="F5102" s="1">
        <v>943.32</v>
      </c>
      <c r="G5102" s="1">
        <v>119.2</v>
      </c>
      <c r="H5102" s="1">
        <v>7.0</v>
      </c>
      <c r="I5102" s="1" t="s">
        <v>17</v>
      </c>
      <c r="J5102" s="1" t="s">
        <v>18</v>
      </c>
      <c r="K5102" s="1">
        <f t="shared" si="1"/>
        <v>2023</v>
      </c>
      <c r="L5102" s="1" t="str">
        <f t="shared" si="2"/>
        <v>Jan</v>
      </c>
      <c r="M5102" s="1" t="str">
        <f t="shared" si="3"/>
        <v>Profit</v>
      </c>
    </row>
    <row r="5103" ht="14.25" customHeight="1">
      <c r="A5103" s="1" t="s">
        <v>5137</v>
      </c>
      <c r="B5103" s="2">
        <v>44826.0</v>
      </c>
      <c r="C5103" s="1" t="s">
        <v>26</v>
      </c>
      <c r="D5103" s="1" t="s">
        <v>15</v>
      </c>
      <c r="E5103" s="1" t="s">
        <v>31</v>
      </c>
      <c r="F5103" s="1">
        <v>667.89</v>
      </c>
      <c r="G5103" s="1">
        <v>231.83</v>
      </c>
      <c r="H5103" s="1">
        <v>6.0</v>
      </c>
      <c r="I5103" s="1" t="s">
        <v>34</v>
      </c>
      <c r="J5103" s="1" t="s">
        <v>18</v>
      </c>
      <c r="K5103" s="1">
        <f t="shared" si="1"/>
        <v>2022</v>
      </c>
      <c r="L5103" s="1" t="str">
        <f t="shared" si="2"/>
        <v>Sep</v>
      </c>
      <c r="M5103" s="1" t="str">
        <f t="shared" si="3"/>
        <v>Profit</v>
      </c>
    </row>
    <row r="5104" ht="14.25" customHeight="1">
      <c r="A5104" s="1" t="s">
        <v>5138</v>
      </c>
      <c r="B5104" s="2">
        <v>45260.0</v>
      </c>
      <c r="C5104" s="1" t="s">
        <v>30</v>
      </c>
      <c r="D5104" s="1" t="s">
        <v>15</v>
      </c>
      <c r="E5104" s="1" t="s">
        <v>31</v>
      </c>
      <c r="F5104" s="1">
        <v>491.13</v>
      </c>
      <c r="G5104" s="1">
        <v>257.52</v>
      </c>
      <c r="H5104" s="1">
        <v>2.0</v>
      </c>
      <c r="I5104" s="1" t="s">
        <v>17</v>
      </c>
      <c r="J5104" s="1" t="s">
        <v>18</v>
      </c>
      <c r="K5104" s="1">
        <f t="shared" si="1"/>
        <v>2023</v>
      </c>
      <c r="L5104" s="1" t="str">
        <f t="shared" si="2"/>
        <v>Nov</v>
      </c>
      <c r="M5104" s="1" t="str">
        <f t="shared" si="3"/>
        <v>Profit</v>
      </c>
    </row>
    <row r="5105" ht="14.25" customHeight="1">
      <c r="A5105" s="1" t="s">
        <v>5139</v>
      </c>
      <c r="B5105" s="2">
        <v>44944.0</v>
      </c>
      <c r="C5105" s="1" t="s">
        <v>14</v>
      </c>
      <c r="D5105" s="1" t="s">
        <v>27</v>
      </c>
      <c r="E5105" s="1" t="s">
        <v>28</v>
      </c>
      <c r="F5105" s="1">
        <v>186.54</v>
      </c>
      <c r="G5105" s="1">
        <v>89.49</v>
      </c>
      <c r="H5105" s="1">
        <v>7.0</v>
      </c>
      <c r="I5105" s="1" t="s">
        <v>17</v>
      </c>
      <c r="J5105" s="1" t="s">
        <v>18</v>
      </c>
      <c r="K5105" s="1">
        <f t="shared" si="1"/>
        <v>2023</v>
      </c>
      <c r="L5105" s="1" t="str">
        <f t="shared" si="2"/>
        <v>Jan</v>
      </c>
      <c r="M5105" s="1" t="str">
        <f t="shared" si="3"/>
        <v>Profit</v>
      </c>
    </row>
    <row r="5106" ht="14.25" customHeight="1">
      <c r="A5106" s="1" t="s">
        <v>5140</v>
      </c>
      <c r="B5106" s="2">
        <v>44291.0</v>
      </c>
      <c r="C5106" s="1" t="s">
        <v>26</v>
      </c>
      <c r="D5106" s="1" t="s">
        <v>27</v>
      </c>
      <c r="E5106" s="1" t="s">
        <v>40</v>
      </c>
      <c r="F5106" s="1">
        <v>913.08</v>
      </c>
      <c r="G5106" s="1">
        <v>48.16</v>
      </c>
      <c r="H5106" s="1">
        <v>4.0</v>
      </c>
      <c r="I5106" s="1" t="s">
        <v>34</v>
      </c>
      <c r="J5106" s="1" t="s">
        <v>24</v>
      </c>
      <c r="K5106" s="1">
        <f t="shared" si="1"/>
        <v>2021</v>
      </c>
      <c r="L5106" s="1" t="str">
        <f t="shared" si="2"/>
        <v>Apr</v>
      </c>
      <c r="M5106" s="1" t="str">
        <f t="shared" si="3"/>
        <v>Profit</v>
      </c>
    </row>
    <row r="5107" ht="14.25" customHeight="1">
      <c r="A5107" s="1" t="s">
        <v>5141</v>
      </c>
      <c r="B5107" s="2">
        <v>44377.0</v>
      </c>
      <c r="C5107" s="1" t="s">
        <v>30</v>
      </c>
      <c r="D5107" s="1" t="s">
        <v>21</v>
      </c>
      <c r="E5107" s="1" t="s">
        <v>37</v>
      </c>
      <c r="F5107" s="1">
        <v>191.06</v>
      </c>
      <c r="G5107" s="1">
        <v>-26.82</v>
      </c>
      <c r="H5107" s="1">
        <v>10.0</v>
      </c>
      <c r="I5107" s="1" t="s">
        <v>34</v>
      </c>
      <c r="J5107" s="1" t="s">
        <v>18</v>
      </c>
      <c r="K5107" s="1">
        <f t="shared" si="1"/>
        <v>2021</v>
      </c>
      <c r="L5107" s="1" t="str">
        <f t="shared" si="2"/>
        <v>Jun</v>
      </c>
      <c r="M5107" s="1" t="str">
        <f t="shared" si="3"/>
        <v>Loss</v>
      </c>
    </row>
    <row r="5108" ht="14.25" customHeight="1">
      <c r="A5108" s="1" t="s">
        <v>5142</v>
      </c>
      <c r="B5108" s="2">
        <v>45176.0</v>
      </c>
      <c r="C5108" s="1" t="s">
        <v>26</v>
      </c>
      <c r="D5108" s="1" t="s">
        <v>27</v>
      </c>
      <c r="E5108" s="1" t="s">
        <v>28</v>
      </c>
      <c r="F5108" s="1">
        <v>76.41</v>
      </c>
      <c r="G5108" s="1">
        <v>-7.0</v>
      </c>
      <c r="H5108" s="1">
        <v>3.0</v>
      </c>
      <c r="I5108" s="1" t="s">
        <v>23</v>
      </c>
      <c r="J5108" s="1" t="s">
        <v>18</v>
      </c>
      <c r="K5108" s="1">
        <f t="shared" si="1"/>
        <v>2023</v>
      </c>
      <c r="L5108" s="1" t="str">
        <f t="shared" si="2"/>
        <v>Sep</v>
      </c>
      <c r="M5108" s="1" t="str">
        <f t="shared" si="3"/>
        <v>Loss</v>
      </c>
    </row>
    <row r="5109" ht="14.25" customHeight="1">
      <c r="A5109" s="1" t="s">
        <v>5143</v>
      </c>
      <c r="B5109" s="2">
        <v>44598.0</v>
      </c>
      <c r="C5109" s="1" t="s">
        <v>26</v>
      </c>
      <c r="D5109" s="1" t="s">
        <v>21</v>
      </c>
      <c r="E5109" s="1" t="s">
        <v>37</v>
      </c>
      <c r="F5109" s="1">
        <v>512.71</v>
      </c>
      <c r="G5109" s="1">
        <v>135.58</v>
      </c>
      <c r="H5109" s="1">
        <v>7.0</v>
      </c>
      <c r="I5109" s="1" t="s">
        <v>23</v>
      </c>
      <c r="J5109" s="1" t="s">
        <v>38</v>
      </c>
      <c r="K5109" s="1">
        <f t="shared" si="1"/>
        <v>2022</v>
      </c>
      <c r="L5109" s="1" t="str">
        <f t="shared" si="2"/>
        <v>Feb</v>
      </c>
      <c r="M5109" s="1" t="str">
        <f t="shared" si="3"/>
        <v>Profit</v>
      </c>
    </row>
    <row r="5110" ht="14.25" customHeight="1">
      <c r="A5110" s="1" t="s">
        <v>5144</v>
      </c>
      <c r="B5110" s="2">
        <v>44938.0</v>
      </c>
      <c r="C5110" s="1" t="s">
        <v>26</v>
      </c>
      <c r="D5110" s="1" t="s">
        <v>21</v>
      </c>
      <c r="E5110" s="1" t="s">
        <v>76</v>
      </c>
      <c r="F5110" s="1">
        <v>515.51</v>
      </c>
      <c r="G5110" s="1">
        <v>103.89</v>
      </c>
      <c r="H5110" s="1">
        <v>6.0</v>
      </c>
      <c r="I5110" s="1" t="s">
        <v>34</v>
      </c>
      <c r="J5110" s="1" t="s">
        <v>24</v>
      </c>
      <c r="K5110" s="1">
        <f t="shared" si="1"/>
        <v>2023</v>
      </c>
      <c r="L5110" s="1" t="str">
        <f t="shared" si="2"/>
        <v>Jan</v>
      </c>
      <c r="M5110" s="1" t="str">
        <f t="shared" si="3"/>
        <v>Profit</v>
      </c>
    </row>
    <row r="5111" ht="14.25" customHeight="1">
      <c r="A5111" s="1" t="s">
        <v>5145</v>
      </c>
      <c r="B5111" s="2">
        <v>44981.0</v>
      </c>
      <c r="C5111" s="1" t="s">
        <v>26</v>
      </c>
      <c r="D5111" s="1" t="s">
        <v>21</v>
      </c>
      <c r="E5111" s="1" t="s">
        <v>22</v>
      </c>
      <c r="F5111" s="1">
        <v>346.84</v>
      </c>
      <c r="G5111" s="1">
        <v>-13.29</v>
      </c>
      <c r="H5111" s="1">
        <v>2.0</v>
      </c>
      <c r="I5111" s="1" t="s">
        <v>23</v>
      </c>
      <c r="J5111" s="1" t="s">
        <v>35</v>
      </c>
      <c r="K5111" s="1">
        <f t="shared" si="1"/>
        <v>2023</v>
      </c>
      <c r="L5111" s="1" t="str">
        <f t="shared" si="2"/>
        <v>Feb</v>
      </c>
      <c r="M5111" s="1" t="str">
        <f t="shared" si="3"/>
        <v>Loss</v>
      </c>
    </row>
    <row r="5112" ht="14.25" customHeight="1">
      <c r="A5112" s="1" t="s">
        <v>5146</v>
      </c>
      <c r="B5112" s="2">
        <v>44608.0</v>
      </c>
      <c r="C5112" s="1" t="s">
        <v>30</v>
      </c>
      <c r="D5112" s="1" t="s">
        <v>15</v>
      </c>
      <c r="E5112" s="1" t="s">
        <v>16</v>
      </c>
      <c r="F5112" s="1">
        <v>387.28</v>
      </c>
      <c r="G5112" s="1">
        <v>-54.34</v>
      </c>
      <c r="H5112" s="1">
        <v>1.0</v>
      </c>
      <c r="I5112" s="1" t="s">
        <v>17</v>
      </c>
      <c r="J5112" s="1" t="s">
        <v>24</v>
      </c>
      <c r="K5112" s="1">
        <f t="shared" si="1"/>
        <v>2022</v>
      </c>
      <c r="L5112" s="1" t="str">
        <f t="shared" si="2"/>
        <v>Feb</v>
      </c>
      <c r="M5112" s="1" t="str">
        <f t="shared" si="3"/>
        <v>Loss</v>
      </c>
    </row>
    <row r="5113" ht="14.25" customHeight="1">
      <c r="A5113" s="1" t="s">
        <v>5147</v>
      </c>
      <c r="B5113" s="2">
        <v>44999.0</v>
      </c>
      <c r="C5113" s="1" t="s">
        <v>14</v>
      </c>
      <c r="D5113" s="1" t="s">
        <v>27</v>
      </c>
      <c r="E5113" s="1" t="s">
        <v>33</v>
      </c>
      <c r="F5113" s="1">
        <v>218.84</v>
      </c>
      <c r="G5113" s="1">
        <v>185.35</v>
      </c>
      <c r="H5113" s="1">
        <v>3.0</v>
      </c>
      <c r="I5113" s="1" t="s">
        <v>23</v>
      </c>
      <c r="J5113" s="1" t="s">
        <v>35</v>
      </c>
      <c r="K5113" s="1">
        <f t="shared" si="1"/>
        <v>2023</v>
      </c>
      <c r="L5113" s="1" t="str">
        <f t="shared" si="2"/>
        <v>Mar</v>
      </c>
      <c r="M5113" s="1" t="str">
        <f t="shared" si="3"/>
        <v>Profit</v>
      </c>
    </row>
    <row r="5114" ht="14.25" customHeight="1">
      <c r="A5114" s="1" t="s">
        <v>5148</v>
      </c>
      <c r="B5114" s="2">
        <v>44382.0</v>
      </c>
      <c r="C5114" s="1" t="s">
        <v>30</v>
      </c>
      <c r="D5114" s="1" t="s">
        <v>15</v>
      </c>
      <c r="E5114" s="1" t="s">
        <v>16</v>
      </c>
      <c r="F5114" s="1">
        <v>79.2</v>
      </c>
      <c r="G5114" s="1">
        <v>-39.48</v>
      </c>
      <c r="H5114" s="1">
        <v>2.0</v>
      </c>
      <c r="I5114" s="1" t="s">
        <v>34</v>
      </c>
      <c r="J5114" s="1" t="s">
        <v>35</v>
      </c>
      <c r="K5114" s="1">
        <f t="shared" si="1"/>
        <v>2021</v>
      </c>
      <c r="L5114" s="1" t="str">
        <f t="shared" si="2"/>
        <v>Jul</v>
      </c>
      <c r="M5114" s="1" t="str">
        <f t="shared" si="3"/>
        <v>Loss</v>
      </c>
    </row>
    <row r="5115" ht="14.25" customHeight="1">
      <c r="A5115" s="1" t="s">
        <v>5149</v>
      </c>
      <c r="B5115" s="2">
        <v>45087.0</v>
      </c>
      <c r="C5115" s="1" t="s">
        <v>26</v>
      </c>
      <c r="D5115" s="1" t="s">
        <v>21</v>
      </c>
      <c r="E5115" s="1" t="s">
        <v>22</v>
      </c>
      <c r="F5115" s="1">
        <v>461.54</v>
      </c>
      <c r="G5115" s="1">
        <v>264.58</v>
      </c>
      <c r="H5115" s="1">
        <v>9.0</v>
      </c>
      <c r="I5115" s="1" t="s">
        <v>34</v>
      </c>
      <c r="J5115" s="1" t="s">
        <v>18</v>
      </c>
      <c r="K5115" s="1">
        <f t="shared" si="1"/>
        <v>2023</v>
      </c>
      <c r="L5115" s="1" t="str">
        <f t="shared" si="2"/>
        <v>Jun</v>
      </c>
      <c r="M5115" s="1" t="str">
        <f t="shared" si="3"/>
        <v>Profit</v>
      </c>
    </row>
    <row r="5116" ht="14.25" customHeight="1">
      <c r="A5116" s="1" t="s">
        <v>5150</v>
      </c>
      <c r="B5116" s="2">
        <v>45050.0</v>
      </c>
      <c r="C5116" s="1" t="s">
        <v>14</v>
      </c>
      <c r="D5116" s="1" t="s">
        <v>21</v>
      </c>
      <c r="E5116" s="1" t="s">
        <v>76</v>
      </c>
      <c r="F5116" s="1">
        <v>481.62</v>
      </c>
      <c r="G5116" s="1">
        <v>53.15</v>
      </c>
      <c r="H5116" s="1">
        <v>1.0</v>
      </c>
      <c r="I5116" s="1" t="s">
        <v>17</v>
      </c>
      <c r="J5116" s="1" t="s">
        <v>24</v>
      </c>
      <c r="K5116" s="1">
        <f t="shared" si="1"/>
        <v>2023</v>
      </c>
      <c r="L5116" s="1" t="str">
        <f t="shared" si="2"/>
        <v>May</v>
      </c>
      <c r="M5116" s="1" t="str">
        <f t="shared" si="3"/>
        <v>Profit</v>
      </c>
    </row>
    <row r="5117" ht="14.25" customHeight="1">
      <c r="A5117" s="1" t="s">
        <v>5151</v>
      </c>
      <c r="B5117" s="2">
        <v>45258.0</v>
      </c>
      <c r="C5117" s="1" t="s">
        <v>14</v>
      </c>
      <c r="D5117" s="1" t="s">
        <v>21</v>
      </c>
      <c r="E5117" s="1" t="s">
        <v>37</v>
      </c>
      <c r="F5117" s="1">
        <v>617.25</v>
      </c>
      <c r="G5117" s="1">
        <v>49.85</v>
      </c>
      <c r="H5117" s="1">
        <v>4.0</v>
      </c>
      <c r="I5117" s="1" t="s">
        <v>17</v>
      </c>
      <c r="J5117" s="1" t="s">
        <v>35</v>
      </c>
      <c r="K5117" s="1">
        <f t="shared" si="1"/>
        <v>2023</v>
      </c>
      <c r="L5117" s="1" t="str">
        <f t="shared" si="2"/>
        <v>Nov</v>
      </c>
      <c r="M5117" s="1" t="str">
        <f t="shared" si="3"/>
        <v>Profit</v>
      </c>
    </row>
    <row r="5118" ht="14.25" customHeight="1">
      <c r="A5118" s="1" t="s">
        <v>5152</v>
      </c>
      <c r="B5118" s="2">
        <v>44665.0</v>
      </c>
      <c r="C5118" s="1" t="s">
        <v>20</v>
      </c>
      <c r="D5118" s="1" t="s">
        <v>21</v>
      </c>
      <c r="E5118" s="1" t="s">
        <v>76</v>
      </c>
      <c r="F5118" s="1">
        <v>992.79</v>
      </c>
      <c r="G5118" s="1">
        <v>225.13</v>
      </c>
      <c r="H5118" s="1">
        <v>9.0</v>
      </c>
      <c r="I5118" s="1" t="s">
        <v>17</v>
      </c>
      <c r="J5118" s="1" t="s">
        <v>24</v>
      </c>
      <c r="K5118" s="1">
        <f t="shared" si="1"/>
        <v>2022</v>
      </c>
      <c r="L5118" s="1" t="str">
        <f t="shared" si="2"/>
        <v>Apr</v>
      </c>
      <c r="M5118" s="1" t="str">
        <f t="shared" si="3"/>
        <v>Profit</v>
      </c>
    </row>
    <row r="5119" ht="14.25" customHeight="1">
      <c r="A5119" s="1" t="s">
        <v>5153</v>
      </c>
      <c r="B5119" s="2">
        <v>44405.0</v>
      </c>
      <c r="C5119" s="1" t="s">
        <v>30</v>
      </c>
      <c r="D5119" s="1" t="s">
        <v>27</v>
      </c>
      <c r="E5119" s="1" t="s">
        <v>28</v>
      </c>
      <c r="F5119" s="1">
        <v>96.87</v>
      </c>
      <c r="G5119" s="1">
        <v>219.19</v>
      </c>
      <c r="H5119" s="1">
        <v>2.0</v>
      </c>
      <c r="I5119" s="1" t="s">
        <v>34</v>
      </c>
      <c r="J5119" s="1" t="s">
        <v>38</v>
      </c>
      <c r="K5119" s="1">
        <f t="shared" si="1"/>
        <v>2021</v>
      </c>
      <c r="L5119" s="1" t="str">
        <f t="shared" si="2"/>
        <v>Jul</v>
      </c>
      <c r="M5119" s="1" t="str">
        <f t="shared" si="3"/>
        <v>Profit</v>
      </c>
    </row>
    <row r="5120" ht="14.25" customHeight="1">
      <c r="A5120" s="1" t="s">
        <v>5154</v>
      </c>
      <c r="B5120" s="2">
        <v>45284.0</v>
      </c>
      <c r="C5120" s="1" t="s">
        <v>20</v>
      </c>
      <c r="D5120" s="1" t="s">
        <v>15</v>
      </c>
      <c r="E5120" s="1" t="s">
        <v>54</v>
      </c>
      <c r="F5120" s="1">
        <v>775.51</v>
      </c>
      <c r="G5120" s="1">
        <v>-55.07</v>
      </c>
      <c r="H5120" s="1">
        <v>10.0</v>
      </c>
      <c r="I5120" s="1" t="s">
        <v>17</v>
      </c>
      <c r="J5120" s="1" t="s">
        <v>24</v>
      </c>
      <c r="K5120" s="1">
        <f t="shared" si="1"/>
        <v>2023</v>
      </c>
      <c r="L5120" s="1" t="str">
        <f t="shared" si="2"/>
        <v>Dec</v>
      </c>
      <c r="M5120" s="1" t="str">
        <f t="shared" si="3"/>
        <v>Loss</v>
      </c>
    </row>
    <row r="5121" ht="14.25" customHeight="1">
      <c r="A5121" s="1" t="s">
        <v>5155</v>
      </c>
      <c r="B5121" s="2">
        <v>44231.0</v>
      </c>
      <c r="C5121" s="1" t="s">
        <v>20</v>
      </c>
      <c r="D5121" s="1" t="s">
        <v>15</v>
      </c>
      <c r="E5121" s="1" t="s">
        <v>54</v>
      </c>
      <c r="F5121" s="1">
        <v>601.69</v>
      </c>
      <c r="G5121" s="1">
        <v>-132.81</v>
      </c>
      <c r="H5121" s="1">
        <v>10.0</v>
      </c>
      <c r="I5121" s="1" t="s">
        <v>23</v>
      </c>
      <c r="J5121" s="1" t="s">
        <v>18</v>
      </c>
      <c r="K5121" s="1">
        <f t="shared" si="1"/>
        <v>2021</v>
      </c>
      <c r="L5121" s="1" t="str">
        <f t="shared" si="2"/>
        <v>Feb</v>
      </c>
      <c r="M5121" s="1" t="str">
        <f t="shared" si="3"/>
        <v>Loss</v>
      </c>
    </row>
    <row r="5122" ht="14.25" customHeight="1">
      <c r="A5122" s="1" t="s">
        <v>5156</v>
      </c>
      <c r="B5122" s="2">
        <v>44313.0</v>
      </c>
      <c r="C5122" s="1" t="s">
        <v>20</v>
      </c>
      <c r="D5122" s="1" t="s">
        <v>21</v>
      </c>
      <c r="E5122" s="1" t="s">
        <v>76</v>
      </c>
      <c r="F5122" s="1">
        <v>989.95</v>
      </c>
      <c r="G5122" s="1">
        <v>295.96</v>
      </c>
      <c r="H5122" s="1">
        <v>1.0</v>
      </c>
      <c r="I5122" s="1" t="s">
        <v>34</v>
      </c>
      <c r="J5122" s="1" t="s">
        <v>35</v>
      </c>
      <c r="K5122" s="1">
        <f t="shared" si="1"/>
        <v>2021</v>
      </c>
      <c r="L5122" s="1" t="str">
        <f t="shared" si="2"/>
        <v>Apr</v>
      </c>
      <c r="M5122" s="1" t="str">
        <f t="shared" si="3"/>
        <v>Profit</v>
      </c>
    </row>
    <row r="5123" ht="14.25" customHeight="1">
      <c r="A5123" s="1" t="s">
        <v>5157</v>
      </c>
      <c r="B5123" s="2">
        <v>44524.0</v>
      </c>
      <c r="C5123" s="1" t="s">
        <v>14</v>
      </c>
      <c r="D5123" s="1" t="s">
        <v>21</v>
      </c>
      <c r="E5123" s="1" t="s">
        <v>37</v>
      </c>
      <c r="F5123" s="1">
        <v>222.56</v>
      </c>
      <c r="G5123" s="1">
        <v>245.64</v>
      </c>
      <c r="H5123" s="1">
        <v>5.0</v>
      </c>
      <c r="I5123" s="1" t="s">
        <v>34</v>
      </c>
      <c r="J5123" s="1" t="s">
        <v>38</v>
      </c>
      <c r="K5123" s="1">
        <f t="shared" si="1"/>
        <v>2021</v>
      </c>
      <c r="L5123" s="1" t="str">
        <f t="shared" si="2"/>
        <v>Nov</v>
      </c>
      <c r="M5123" s="1" t="str">
        <f t="shared" si="3"/>
        <v>Profit</v>
      </c>
    </row>
    <row r="5124" ht="14.25" customHeight="1">
      <c r="A5124" s="1" t="s">
        <v>5158</v>
      </c>
      <c r="B5124" s="2">
        <v>44319.0</v>
      </c>
      <c r="C5124" s="1" t="s">
        <v>30</v>
      </c>
      <c r="D5124" s="1" t="s">
        <v>15</v>
      </c>
      <c r="E5124" s="1" t="s">
        <v>16</v>
      </c>
      <c r="F5124" s="1">
        <v>341.73</v>
      </c>
      <c r="G5124" s="1">
        <v>21.09</v>
      </c>
      <c r="H5124" s="1">
        <v>5.0</v>
      </c>
      <c r="I5124" s="1" t="s">
        <v>23</v>
      </c>
      <c r="J5124" s="1" t="s">
        <v>35</v>
      </c>
      <c r="K5124" s="1">
        <f t="shared" si="1"/>
        <v>2021</v>
      </c>
      <c r="L5124" s="1" t="str">
        <f t="shared" si="2"/>
        <v>May</v>
      </c>
      <c r="M5124" s="1" t="str">
        <f t="shared" si="3"/>
        <v>Profit</v>
      </c>
    </row>
    <row r="5125" ht="14.25" customHeight="1">
      <c r="A5125" s="1" t="s">
        <v>5159</v>
      </c>
      <c r="B5125" s="2">
        <v>44529.0</v>
      </c>
      <c r="C5125" s="1" t="s">
        <v>20</v>
      </c>
      <c r="D5125" s="1" t="s">
        <v>27</v>
      </c>
      <c r="E5125" s="1" t="s">
        <v>40</v>
      </c>
      <c r="F5125" s="1">
        <v>972.28</v>
      </c>
      <c r="G5125" s="1">
        <v>75.04</v>
      </c>
      <c r="H5125" s="1">
        <v>6.0</v>
      </c>
      <c r="I5125" s="1" t="s">
        <v>34</v>
      </c>
      <c r="J5125" s="1" t="s">
        <v>38</v>
      </c>
      <c r="K5125" s="1">
        <f t="shared" si="1"/>
        <v>2021</v>
      </c>
      <c r="L5125" s="1" t="str">
        <f t="shared" si="2"/>
        <v>Nov</v>
      </c>
      <c r="M5125" s="1" t="str">
        <f t="shared" si="3"/>
        <v>Profit</v>
      </c>
    </row>
    <row r="5126" ht="14.25" customHeight="1">
      <c r="A5126" s="1" t="s">
        <v>5160</v>
      </c>
      <c r="B5126" s="2">
        <v>44377.0</v>
      </c>
      <c r="C5126" s="1" t="s">
        <v>26</v>
      </c>
      <c r="D5126" s="1" t="s">
        <v>21</v>
      </c>
      <c r="E5126" s="1" t="s">
        <v>76</v>
      </c>
      <c r="F5126" s="1">
        <v>793.65</v>
      </c>
      <c r="G5126" s="1">
        <v>266.57</v>
      </c>
      <c r="H5126" s="1">
        <v>8.0</v>
      </c>
      <c r="I5126" s="1" t="s">
        <v>34</v>
      </c>
      <c r="J5126" s="1" t="s">
        <v>24</v>
      </c>
      <c r="K5126" s="1">
        <f t="shared" si="1"/>
        <v>2021</v>
      </c>
      <c r="L5126" s="1" t="str">
        <f t="shared" si="2"/>
        <v>Jun</v>
      </c>
      <c r="M5126" s="1" t="str">
        <f t="shared" si="3"/>
        <v>Profit</v>
      </c>
    </row>
    <row r="5127" ht="14.25" customHeight="1">
      <c r="A5127" s="1" t="s">
        <v>5161</v>
      </c>
      <c r="B5127" s="2">
        <v>44668.0</v>
      </c>
      <c r="C5127" s="1" t="s">
        <v>30</v>
      </c>
      <c r="D5127" s="1" t="s">
        <v>21</v>
      </c>
      <c r="E5127" s="1" t="s">
        <v>37</v>
      </c>
      <c r="F5127" s="1">
        <v>781.22</v>
      </c>
      <c r="G5127" s="1">
        <v>-84.71</v>
      </c>
      <c r="H5127" s="1">
        <v>8.0</v>
      </c>
      <c r="I5127" s="1" t="s">
        <v>23</v>
      </c>
      <c r="J5127" s="1" t="s">
        <v>24</v>
      </c>
      <c r="K5127" s="1">
        <f t="shared" si="1"/>
        <v>2022</v>
      </c>
      <c r="L5127" s="1" t="str">
        <f t="shared" si="2"/>
        <v>Apr</v>
      </c>
      <c r="M5127" s="1" t="str">
        <f t="shared" si="3"/>
        <v>Loss</v>
      </c>
    </row>
    <row r="5128" ht="14.25" customHeight="1">
      <c r="A5128" s="1" t="s">
        <v>5162</v>
      </c>
      <c r="B5128" s="2">
        <v>44409.0</v>
      </c>
      <c r="C5128" s="1" t="s">
        <v>26</v>
      </c>
      <c r="D5128" s="1" t="s">
        <v>15</v>
      </c>
      <c r="E5128" s="1" t="s">
        <v>54</v>
      </c>
      <c r="F5128" s="1">
        <v>500.7</v>
      </c>
      <c r="G5128" s="1">
        <v>121.98</v>
      </c>
      <c r="H5128" s="1">
        <v>1.0</v>
      </c>
      <c r="I5128" s="1" t="s">
        <v>34</v>
      </c>
      <c r="J5128" s="1" t="s">
        <v>35</v>
      </c>
      <c r="K5128" s="1">
        <f t="shared" si="1"/>
        <v>2021</v>
      </c>
      <c r="L5128" s="1" t="str">
        <f t="shared" si="2"/>
        <v>Aug</v>
      </c>
      <c r="M5128" s="1" t="str">
        <f t="shared" si="3"/>
        <v>Profit</v>
      </c>
    </row>
    <row r="5129" ht="14.25" customHeight="1">
      <c r="A5129" s="1" t="s">
        <v>5163</v>
      </c>
      <c r="B5129" s="2">
        <v>44403.0</v>
      </c>
      <c r="C5129" s="1" t="s">
        <v>20</v>
      </c>
      <c r="D5129" s="1" t="s">
        <v>15</v>
      </c>
      <c r="E5129" s="1" t="s">
        <v>16</v>
      </c>
      <c r="F5129" s="1">
        <v>285.7</v>
      </c>
      <c r="G5129" s="1">
        <v>298.41</v>
      </c>
      <c r="H5129" s="1">
        <v>10.0</v>
      </c>
      <c r="I5129" s="1" t="s">
        <v>17</v>
      </c>
      <c r="J5129" s="1" t="s">
        <v>18</v>
      </c>
      <c r="K5129" s="1">
        <f t="shared" si="1"/>
        <v>2021</v>
      </c>
      <c r="L5129" s="1" t="str">
        <f t="shared" si="2"/>
        <v>Jul</v>
      </c>
      <c r="M5129" s="1" t="str">
        <f t="shared" si="3"/>
        <v>Profit</v>
      </c>
    </row>
    <row r="5130" ht="14.25" customHeight="1">
      <c r="A5130" s="1" t="s">
        <v>5164</v>
      </c>
      <c r="B5130" s="2">
        <v>45217.0</v>
      </c>
      <c r="C5130" s="1" t="s">
        <v>14</v>
      </c>
      <c r="D5130" s="1" t="s">
        <v>21</v>
      </c>
      <c r="E5130" s="1" t="s">
        <v>76</v>
      </c>
      <c r="F5130" s="1">
        <v>941.87</v>
      </c>
      <c r="G5130" s="1">
        <v>193.29</v>
      </c>
      <c r="H5130" s="1">
        <v>2.0</v>
      </c>
      <c r="I5130" s="1" t="s">
        <v>23</v>
      </c>
      <c r="J5130" s="1" t="s">
        <v>38</v>
      </c>
      <c r="K5130" s="1">
        <f t="shared" si="1"/>
        <v>2023</v>
      </c>
      <c r="L5130" s="1" t="str">
        <f t="shared" si="2"/>
        <v>Oct</v>
      </c>
      <c r="M5130" s="1" t="str">
        <f t="shared" si="3"/>
        <v>Profit</v>
      </c>
    </row>
    <row r="5131" ht="14.25" customHeight="1">
      <c r="A5131" s="1" t="s">
        <v>5165</v>
      </c>
      <c r="B5131" s="2">
        <v>44375.0</v>
      </c>
      <c r="C5131" s="1" t="s">
        <v>26</v>
      </c>
      <c r="D5131" s="1" t="s">
        <v>21</v>
      </c>
      <c r="E5131" s="1" t="s">
        <v>76</v>
      </c>
      <c r="F5131" s="1">
        <v>60.92</v>
      </c>
      <c r="G5131" s="1">
        <v>-190.28</v>
      </c>
      <c r="H5131" s="1">
        <v>4.0</v>
      </c>
      <c r="I5131" s="1" t="s">
        <v>34</v>
      </c>
      <c r="J5131" s="1" t="s">
        <v>35</v>
      </c>
      <c r="K5131" s="1">
        <f t="shared" si="1"/>
        <v>2021</v>
      </c>
      <c r="L5131" s="1" t="str">
        <f t="shared" si="2"/>
        <v>Jun</v>
      </c>
      <c r="M5131" s="1" t="str">
        <f t="shared" si="3"/>
        <v>Loss</v>
      </c>
    </row>
    <row r="5132" ht="14.25" customHeight="1">
      <c r="A5132" s="1" t="s">
        <v>5166</v>
      </c>
      <c r="B5132" s="2">
        <v>45173.0</v>
      </c>
      <c r="C5132" s="1" t="s">
        <v>30</v>
      </c>
      <c r="D5132" s="1" t="s">
        <v>27</v>
      </c>
      <c r="E5132" s="1" t="s">
        <v>28</v>
      </c>
      <c r="F5132" s="1">
        <v>748.56</v>
      </c>
      <c r="G5132" s="1">
        <v>262.22</v>
      </c>
      <c r="H5132" s="1">
        <v>8.0</v>
      </c>
      <c r="I5132" s="1" t="s">
        <v>23</v>
      </c>
      <c r="J5132" s="1" t="s">
        <v>38</v>
      </c>
      <c r="K5132" s="1">
        <f t="shared" si="1"/>
        <v>2023</v>
      </c>
      <c r="L5132" s="1" t="str">
        <f t="shared" si="2"/>
        <v>Sep</v>
      </c>
      <c r="M5132" s="1" t="str">
        <f t="shared" si="3"/>
        <v>Profit</v>
      </c>
    </row>
    <row r="5133" ht="14.25" customHeight="1">
      <c r="A5133" s="1" t="s">
        <v>5167</v>
      </c>
      <c r="B5133" s="2">
        <v>45259.0</v>
      </c>
      <c r="C5133" s="1" t="s">
        <v>20</v>
      </c>
      <c r="D5133" s="1" t="s">
        <v>15</v>
      </c>
      <c r="E5133" s="1" t="s">
        <v>16</v>
      </c>
      <c r="F5133" s="1">
        <v>222.05</v>
      </c>
      <c r="G5133" s="1">
        <v>-196.28</v>
      </c>
      <c r="H5133" s="1">
        <v>5.0</v>
      </c>
      <c r="I5133" s="1" t="s">
        <v>17</v>
      </c>
      <c r="J5133" s="1" t="s">
        <v>38</v>
      </c>
      <c r="K5133" s="1">
        <f t="shared" si="1"/>
        <v>2023</v>
      </c>
      <c r="L5133" s="1" t="str">
        <f t="shared" si="2"/>
        <v>Nov</v>
      </c>
      <c r="M5133" s="1" t="str">
        <f t="shared" si="3"/>
        <v>Loss</v>
      </c>
    </row>
    <row r="5134" ht="14.25" customHeight="1">
      <c r="A5134" s="1" t="s">
        <v>5168</v>
      </c>
      <c r="B5134" s="2">
        <v>44592.0</v>
      </c>
      <c r="C5134" s="1" t="s">
        <v>30</v>
      </c>
      <c r="D5134" s="1" t="s">
        <v>27</v>
      </c>
      <c r="E5134" s="1" t="s">
        <v>28</v>
      </c>
      <c r="F5134" s="1">
        <v>853.79</v>
      </c>
      <c r="G5134" s="1">
        <v>-37.44</v>
      </c>
      <c r="H5134" s="1">
        <v>3.0</v>
      </c>
      <c r="I5134" s="1" t="s">
        <v>17</v>
      </c>
      <c r="J5134" s="1" t="s">
        <v>38</v>
      </c>
      <c r="K5134" s="1">
        <f t="shared" si="1"/>
        <v>2022</v>
      </c>
      <c r="L5134" s="1" t="str">
        <f t="shared" si="2"/>
        <v>Jan</v>
      </c>
      <c r="M5134" s="1" t="str">
        <f t="shared" si="3"/>
        <v>Loss</v>
      </c>
    </row>
    <row r="5135" ht="14.25" customHeight="1">
      <c r="A5135" s="1" t="s">
        <v>5169</v>
      </c>
      <c r="B5135" s="2">
        <v>44742.0</v>
      </c>
      <c r="C5135" s="1" t="s">
        <v>26</v>
      </c>
      <c r="D5135" s="1" t="s">
        <v>27</v>
      </c>
      <c r="E5135" s="1" t="s">
        <v>28</v>
      </c>
      <c r="F5135" s="1">
        <v>222.18</v>
      </c>
      <c r="G5135" s="1">
        <v>-16.88</v>
      </c>
      <c r="H5135" s="1">
        <v>3.0</v>
      </c>
      <c r="I5135" s="1" t="s">
        <v>17</v>
      </c>
      <c r="J5135" s="1" t="s">
        <v>35</v>
      </c>
      <c r="K5135" s="1">
        <f t="shared" si="1"/>
        <v>2022</v>
      </c>
      <c r="L5135" s="1" t="str">
        <f t="shared" si="2"/>
        <v>Jun</v>
      </c>
      <c r="M5135" s="1" t="str">
        <f t="shared" si="3"/>
        <v>Loss</v>
      </c>
    </row>
    <row r="5136" ht="14.25" customHeight="1">
      <c r="A5136" s="1" t="s">
        <v>5170</v>
      </c>
      <c r="B5136" s="2">
        <v>44999.0</v>
      </c>
      <c r="C5136" s="1" t="s">
        <v>14</v>
      </c>
      <c r="D5136" s="1" t="s">
        <v>15</v>
      </c>
      <c r="E5136" s="1" t="s">
        <v>16</v>
      </c>
      <c r="F5136" s="1">
        <v>701.27</v>
      </c>
      <c r="G5136" s="1">
        <v>-21.72</v>
      </c>
      <c r="H5136" s="1">
        <v>1.0</v>
      </c>
      <c r="I5136" s="1" t="s">
        <v>17</v>
      </c>
      <c r="J5136" s="1" t="s">
        <v>18</v>
      </c>
      <c r="K5136" s="1">
        <f t="shared" si="1"/>
        <v>2023</v>
      </c>
      <c r="L5136" s="1" t="str">
        <f t="shared" si="2"/>
        <v>Mar</v>
      </c>
      <c r="M5136" s="1" t="str">
        <f t="shared" si="3"/>
        <v>Loss</v>
      </c>
    </row>
    <row r="5137" ht="14.25" customHeight="1">
      <c r="A5137" s="1" t="s">
        <v>5171</v>
      </c>
      <c r="B5137" s="2">
        <v>44215.0</v>
      </c>
      <c r="C5137" s="1" t="s">
        <v>14</v>
      </c>
      <c r="D5137" s="1" t="s">
        <v>27</v>
      </c>
      <c r="E5137" s="1" t="s">
        <v>40</v>
      </c>
      <c r="F5137" s="1">
        <v>490.91</v>
      </c>
      <c r="G5137" s="1">
        <v>-162.7</v>
      </c>
      <c r="H5137" s="1">
        <v>6.0</v>
      </c>
      <c r="I5137" s="1" t="s">
        <v>34</v>
      </c>
      <c r="J5137" s="1" t="s">
        <v>18</v>
      </c>
      <c r="K5137" s="1">
        <f t="shared" si="1"/>
        <v>2021</v>
      </c>
      <c r="L5137" s="1" t="str">
        <f t="shared" si="2"/>
        <v>Jan</v>
      </c>
      <c r="M5137" s="1" t="str">
        <f t="shared" si="3"/>
        <v>Loss</v>
      </c>
    </row>
    <row r="5138" ht="14.25" customHeight="1">
      <c r="A5138" s="1" t="s">
        <v>5172</v>
      </c>
      <c r="B5138" s="2">
        <v>44878.0</v>
      </c>
      <c r="C5138" s="1" t="s">
        <v>20</v>
      </c>
      <c r="D5138" s="1" t="s">
        <v>27</v>
      </c>
      <c r="E5138" s="1" t="s">
        <v>40</v>
      </c>
      <c r="F5138" s="1">
        <v>674.76</v>
      </c>
      <c r="G5138" s="1">
        <v>60.94</v>
      </c>
      <c r="H5138" s="1">
        <v>4.0</v>
      </c>
      <c r="I5138" s="1" t="s">
        <v>17</v>
      </c>
      <c r="J5138" s="1" t="s">
        <v>24</v>
      </c>
      <c r="K5138" s="1">
        <f t="shared" si="1"/>
        <v>2022</v>
      </c>
      <c r="L5138" s="1" t="str">
        <f t="shared" si="2"/>
        <v>Nov</v>
      </c>
      <c r="M5138" s="1" t="str">
        <f t="shared" si="3"/>
        <v>Profit</v>
      </c>
    </row>
    <row r="5139" ht="14.25" customHeight="1">
      <c r="A5139" s="1" t="s">
        <v>5173</v>
      </c>
      <c r="B5139" s="2">
        <v>44399.0</v>
      </c>
      <c r="C5139" s="1" t="s">
        <v>14</v>
      </c>
      <c r="D5139" s="1" t="s">
        <v>21</v>
      </c>
      <c r="E5139" s="1" t="s">
        <v>22</v>
      </c>
      <c r="F5139" s="1">
        <v>677.35</v>
      </c>
      <c r="G5139" s="1">
        <v>-39.39</v>
      </c>
      <c r="H5139" s="1">
        <v>8.0</v>
      </c>
      <c r="I5139" s="1" t="s">
        <v>23</v>
      </c>
      <c r="J5139" s="1" t="s">
        <v>38</v>
      </c>
      <c r="K5139" s="1">
        <f t="shared" si="1"/>
        <v>2021</v>
      </c>
      <c r="L5139" s="1" t="str">
        <f t="shared" si="2"/>
        <v>Jul</v>
      </c>
      <c r="M5139" s="1" t="str">
        <f t="shared" si="3"/>
        <v>Loss</v>
      </c>
    </row>
    <row r="5140" ht="14.25" customHeight="1">
      <c r="A5140" s="1" t="s">
        <v>5174</v>
      </c>
      <c r="B5140" s="2">
        <v>44824.0</v>
      </c>
      <c r="C5140" s="1" t="s">
        <v>26</v>
      </c>
      <c r="D5140" s="1" t="s">
        <v>15</v>
      </c>
      <c r="E5140" s="1" t="s">
        <v>31</v>
      </c>
      <c r="F5140" s="1">
        <v>71.23</v>
      </c>
      <c r="G5140" s="1">
        <v>103.62</v>
      </c>
      <c r="H5140" s="1">
        <v>2.0</v>
      </c>
      <c r="I5140" s="1" t="s">
        <v>34</v>
      </c>
      <c r="J5140" s="1" t="s">
        <v>38</v>
      </c>
      <c r="K5140" s="1">
        <f t="shared" si="1"/>
        <v>2022</v>
      </c>
      <c r="L5140" s="1" t="str">
        <f t="shared" si="2"/>
        <v>Sep</v>
      </c>
      <c r="M5140" s="1" t="str">
        <f t="shared" si="3"/>
        <v>Profit</v>
      </c>
    </row>
    <row r="5141" ht="14.25" customHeight="1">
      <c r="A5141" s="1" t="s">
        <v>5175</v>
      </c>
      <c r="B5141" s="2">
        <v>45284.0</v>
      </c>
      <c r="C5141" s="1" t="s">
        <v>14</v>
      </c>
      <c r="D5141" s="1" t="s">
        <v>27</v>
      </c>
      <c r="E5141" s="1" t="s">
        <v>40</v>
      </c>
      <c r="F5141" s="1">
        <v>471.65</v>
      </c>
      <c r="G5141" s="1">
        <v>76.64</v>
      </c>
      <c r="H5141" s="1">
        <v>9.0</v>
      </c>
      <c r="I5141" s="1" t="s">
        <v>17</v>
      </c>
      <c r="J5141" s="1" t="s">
        <v>35</v>
      </c>
      <c r="K5141" s="1">
        <f t="shared" si="1"/>
        <v>2023</v>
      </c>
      <c r="L5141" s="1" t="str">
        <f t="shared" si="2"/>
        <v>Dec</v>
      </c>
      <c r="M5141" s="1" t="str">
        <f t="shared" si="3"/>
        <v>Profit</v>
      </c>
    </row>
    <row r="5142" ht="14.25" customHeight="1">
      <c r="A5142" s="1" t="s">
        <v>5176</v>
      </c>
      <c r="B5142" s="2">
        <v>44449.0</v>
      </c>
      <c r="C5142" s="1" t="s">
        <v>26</v>
      </c>
      <c r="D5142" s="1" t="s">
        <v>15</v>
      </c>
      <c r="E5142" s="1" t="s">
        <v>31</v>
      </c>
      <c r="F5142" s="1">
        <v>441.53</v>
      </c>
      <c r="G5142" s="1">
        <v>-173.13</v>
      </c>
      <c r="H5142" s="1">
        <v>2.0</v>
      </c>
      <c r="I5142" s="1" t="s">
        <v>17</v>
      </c>
      <c r="J5142" s="1" t="s">
        <v>35</v>
      </c>
      <c r="K5142" s="1">
        <f t="shared" si="1"/>
        <v>2021</v>
      </c>
      <c r="L5142" s="1" t="str">
        <f t="shared" si="2"/>
        <v>Sep</v>
      </c>
      <c r="M5142" s="1" t="str">
        <f t="shared" si="3"/>
        <v>Loss</v>
      </c>
    </row>
    <row r="5143" ht="14.25" customHeight="1">
      <c r="A5143" s="1" t="s">
        <v>5177</v>
      </c>
      <c r="B5143" s="2">
        <v>44994.0</v>
      </c>
      <c r="C5143" s="1" t="s">
        <v>20</v>
      </c>
      <c r="D5143" s="1" t="s">
        <v>21</v>
      </c>
      <c r="E5143" s="1" t="s">
        <v>37</v>
      </c>
      <c r="F5143" s="1">
        <v>203.9</v>
      </c>
      <c r="G5143" s="1">
        <v>76.55</v>
      </c>
      <c r="H5143" s="1">
        <v>3.0</v>
      </c>
      <c r="I5143" s="1" t="s">
        <v>17</v>
      </c>
      <c r="J5143" s="1" t="s">
        <v>35</v>
      </c>
      <c r="K5143" s="1">
        <f t="shared" si="1"/>
        <v>2023</v>
      </c>
      <c r="L5143" s="1" t="str">
        <f t="shared" si="2"/>
        <v>Mar</v>
      </c>
      <c r="M5143" s="1" t="str">
        <f t="shared" si="3"/>
        <v>Profit</v>
      </c>
    </row>
    <row r="5144" ht="14.25" customHeight="1">
      <c r="A5144" s="1" t="s">
        <v>5178</v>
      </c>
      <c r="B5144" s="2">
        <v>44568.0</v>
      </c>
      <c r="C5144" s="1" t="s">
        <v>26</v>
      </c>
      <c r="D5144" s="1" t="s">
        <v>27</v>
      </c>
      <c r="E5144" s="1" t="s">
        <v>33</v>
      </c>
      <c r="F5144" s="1">
        <v>945.57</v>
      </c>
      <c r="G5144" s="1">
        <v>238.28</v>
      </c>
      <c r="H5144" s="1">
        <v>7.0</v>
      </c>
      <c r="I5144" s="1" t="s">
        <v>17</v>
      </c>
      <c r="J5144" s="1" t="s">
        <v>35</v>
      </c>
      <c r="K5144" s="1">
        <f t="shared" si="1"/>
        <v>2022</v>
      </c>
      <c r="L5144" s="1" t="str">
        <f t="shared" si="2"/>
        <v>Jan</v>
      </c>
      <c r="M5144" s="1" t="str">
        <f t="shared" si="3"/>
        <v>Profit</v>
      </c>
    </row>
    <row r="5145" ht="14.25" customHeight="1">
      <c r="A5145" s="1" t="s">
        <v>5179</v>
      </c>
      <c r="B5145" s="2">
        <v>44481.0</v>
      </c>
      <c r="C5145" s="1" t="s">
        <v>14</v>
      </c>
      <c r="D5145" s="1" t="s">
        <v>21</v>
      </c>
      <c r="E5145" s="1" t="s">
        <v>76</v>
      </c>
      <c r="F5145" s="1">
        <v>195.95</v>
      </c>
      <c r="G5145" s="1">
        <v>282.15</v>
      </c>
      <c r="H5145" s="1">
        <v>7.0</v>
      </c>
      <c r="I5145" s="1" t="s">
        <v>23</v>
      </c>
      <c r="J5145" s="1" t="s">
        <v>24</v>
      </c>
      <c r="K5145" s="1">
        <f t="shared" si="1"/>
        <v>2021</v>
      </c>
      <c r="L5145" s="1" t="str">
        <f t="shared" si="2"/>
        <v>Oct</v>
      </c>
      <c r="M5145" s="1" t="str">
        <f t="shared" si="3"/>
        <v>Profit</v>
      </c>
    </row>
    <row r="5146" ht="14.25" customHeight="1">
      <c r="A5146" s="1" t="s">
        <v>5180</v>
      </c>
      <c r="B5146" s="2">
        <v>45155.0</v>
      </c>
      <c r="C5146" s="1" t="s">
        <v>14</v>
      </c>
      <c r="D5146" s="1" t="s">
        <v>15</v>
      </c>
      <c r="E5146" s="1" t="s">
        <v>16</v>
      </c>
      <c r="F5146" s="1">
        <v>67.04</v>
      </c>
      <c r="G5146" s="1">
        <v>244.39</v>
      </c>
      <c r="H5146" s="1">
        <v>5.0</v>
      </c>
      <c r="I5146" s="1" t="s">
        <v>34</v>
      </c>
      <c r="J5146" s="1" t="s">
        <v>35</v>
      </c>
      <c r="K5146" s="1">
        <f t="shared" si="1"/>
        <v>2023</v>
      </c>
      <c r="L5146" s="1" t="str">
        <f t="shared" si="2"/>
        <v>Aug</v>
      </c>
      <c r="M5146" s="1" t="str">
        <f t="shared" si="3"/>
        <v>Profit</v>
      </c>
    </row>
    <row r="5147" ht="14.25" customHeight="1">
      <c r="A5147" s="1" t="s">
        <v>5181</v>
      </c>
      <c r="B5147" s="2">
        <v>45081.0</v>
      </c>
      <c r="C5147" s="1" t="s">
        <v>26</v>
      </c>
      <c r="D5147" s="1" t="s">
        <v>27</v>
      </c>
      <c r="E5147" s="1" t="s">
        <v>28</v>
      </c>
      <c r="F5147" s="1">
        <v>290.49</v>
      </c>
      <c r="G5147" s="1">
        <v>-59.26</v>
      </c>
      <c r="H5147" s="1">
        <v>8.0</v>
      </c>
      <c r="I5147" s="1" t="s">
        <v>17</v>
      </c>
      <c r="J5147" s="1" t="s">
        <v>38</v>
      </c>
      <c r="K5147" s="1">
        <f t="shared" si="1"/>
        <v>2023</v>
      </c>
      <c r="L5147" s="1" t="str">
        <f t="shared" si="2"/>
        <v>Jun</v>
      </c>
      <c r="M5147" s="1" t="str">
        <f t="shared" si="3"/>
        <v>Loss</v>
      </c>
    </row>
    <row r="5148" ht="14.25" customHeight="1">
      <c r="A5148" s="1" t="s">
        <v>5182</v>
      </c>
      <c r="B5148" s="2">
        <v>44715.0</v>
      </c>
      <c r="C5148" s="1" t="s">
        <v>14</v>
      </c>
      <c r="D5148" s="1" t="s">
        <v>21</v>
      </c>
      <c r="E5148" s="1" t="s">
        <v>76</v>
      </c>
      <c r="F5148" s="1">
        <v>168.17</v>
      </c>
      <c r="G5148" s="1">
        <v>-25.88</v>
      </c>
      <c r="H5148" s="1">
        <v>7.0</v>
      </c>
      <c r="I5148" s="1" t="s">
        <v>17</v>
      </c>
      <c r="J5148" s="1" t="s">
        <v>35</v>
      </c>
      <c r="K5148" s="1">
        <f t="shared" si="1"/>
        <v>2022</v>
      </c>
      <c r="L5148" s="1" t="str">
        <f t="shared" si="2"/>
        <v>Jun</v>
      </c>
      <c r="M5148" s="1" t="str">
        <f t="shared" si="3"/>
        <v>Loss</v>
      </c>
    </row>
    <row r="5149" ht="14.25" customHeight="1">
      <c r="A5149" s="1" t="s">
        <v>5183</v>
      </c>
      <c r="B5149" s="2">
        <v>44262.0</v>
      </c>
      <c r="C5149" s="1" t="s">
        <v>26</v>
      </c>
      <c r="D5149" s="1" t="s">
        <v>27</v>
      </c>
      <c r="E5149" s="1" t="s">
        <v>28</v>
      </c>
      <c r="F5149" s="1">
        <v>910.58</v>
      </c>
      <c r="G5149" s="1">
        <v>-173.18</v>
      </c>
      <c r="H5149" s="1">
        <v>7.0</v>
      </c>
      <c r="I5149" s="1" t="s">
        <v>17</v>
      </c>
      <c r="J5149" s="1" t="s">
        <v>38</v>
      </c>
      <c r="K5149" s="1">
        <f t="shared" si="1"/>
        <v>2021</v>
      </c>
      <c r="L5149" s="1" t="str">
        <f t="shared" si="2"/>
        <v>Mar</v>
      </c>
      <c r="M5149" s="1" t="str">
        <f t="shared" si="3"/>
        <v>Loss</v>
      </c>
    </row>
    <row r="5150" ht="14.25" customHeight="1">
      <c r="A5150" s="1" t="s">
        <v>5184</v>
      </c>
      <c r="B5150" s="2">
        <v>44255.0</v>
      </c>
      <c r="C5150" s="1" t="s">
        <v>26</v>
      </c>
      <c r="D5150" s="1" t="s">
        <v>27</v>
      </c>
      <c r="E5150" s="1" t="s">
        <v>28</v>
      </c>
      <c r="F5150" s="1">
        <v>155.29</v>
      </c>
      <c r="G5150" s="1">
        <v>-32.19</v>
      </c>
      <c r="H5150" s="1">
        <v>5.0</v>
      </c>
      <c r="I5150" s="1" t="s">
        <v>34</v>
      </c>
      <c r="J5150" s="1" t="s">
        <v>35</v>
      </c>
      <c r="K5150" s="1">
        <f t="shared" si="1"/>
        <v>2021</v>
      </c>
      <c r="L5150" s="1" t="str">
        <f t="shared" si="2"/>
        <v>Feb</v>
      </c>
      <c r="M5150" s="1" t="str">
        <f t="shared" si="3"/>
        <v>Loss</v>
      </c>
    </row>
    <row r="5151" ht="14.25" customHeight="1">
      <c r="A5151" s="1" t="s">
        <v>5185</v>
      </c>
      <c r="B5151" s="2">
        <v>44974.0</v>
      </c>
      <c r="C5151" s="1" t="s">
        <v>30</v>
      </c>
      <c r="D5151" s="1" t="s">
        <v>27</v>
      </c>
      <c r="E5151" s="1" t="s">
        <v>40</v>
      </c>
      <c r="F5151" s="1">
        <v>468.05</v>
      </c>
      <c r="G5151" s="1">
        <v>225.03</v>
      </c>
      <c r="H5151" s="1">
        <v>3.0</v>
      </c>
      <c r="I5151" s="1" t="s">
        <v>17</v>
      </c>
      <c r="J5151" s="1" t="s">
        <v>24</v>
      </c>
      <c r="K5151" s="1">
        <f t="shared" si="1"/>
        <v>2023</v>
      </c>
      <c r="L5151" s="1" t="str">
        <f t="shared" si="2"/>
        <v>Feb</v>
      </c>
      <c r="M5151" s="1" t="str">
        <f t="shared" si="3"/>
        <v>Profit</v>
      </c>
    </row>
    <row r="5152" ht="14.25" customHeight="1">
      <c r="A5152" s="1" t="s">
        <v>5186</v>
      </c>
      <c r="B5152" s="2">
        <v>44842.0</v>
      </c>
      <c r="C5152" s="1" t="s">
        <v>30</v>
      </c>
      <c r="D5152" s="1" t="s">
        <v>21</v>
      </c>
      <c r="E5152" s="1" t="s">
        <v>37</v>
      </c>
      <c r="F5152" s="1">
        <v>63.3</v>
      </c>
      <c r="G5152" s="1">
        <v>136.17</v>
      </c>
      <c r="H5152" s="1">
        <v>7.0</v>
      </c>
      <c r="I5152" s="1" t="s">
        <v>23</v>
      </c>
      <c r="J5152" s="1" t="s">
        <v>35</v>
      </c>
      <c r="K5152" s="1">
        <f t="shared" si="1"/>
        <v>2022</v>
      </c>
      <c r="L5152" s="1" t="str">
        <f t="shared" si="2"/>
        <v>Oct</v>
      </c>
      <c r="M5152" s="1" t="str">
        <f t="shared" si="3"/>
        <v>Profit</v>
      </c>
    </row>
    <row r="5153" ht="14.25" customHeight="1">
      <c r="A5153" s="1" t="s">
        <v>5187</v>
      </c>
      <c r="B5153" s="2">
        <v>44230.0</v>
      </c>
      <c r="C5153" s="1" t="s">
        <v>26</v>
      </c>
      <c r="D5153" s="1" t="s">
        <v>21</v>
      </c>
      <c r="E5153" s="1" t="s">
        <v>76</v>
      </c>
      <c r="F5153" s="1">
        <v>357.2</v>
      </c>
      <c r="G5153" s="1">
        <v>264.41</v>
      </c>
      <c r="H5153" s="1">
        <v>5.0</v>
      </c>
      <c r="I5153" s="1" t="s">
        <v>17</v>
      </c>
      <c r="J5153" s="1" t="s">
        <v>38</v>
      </c>
      <c r="K5153" s="1">
        <f t="shared" si="1"/>
        <v>2021</v>
      </c>
      <c r="L5153" s="1" t="str">
        <f t="shared" si="2"/>
        <v>Feb</v>
      </c>
      <c r="M5153" s="1" t="str">
        <f t="shared" si="3"/>
        <v>Profit</v>
      </c>
    </row>
    <row r="5154" ht="14.25" customHeight="1">
      <c r="A5154" s="1" t="s">
        <v>5188</v>
      </c>
      <c r="B5154" s="2">
        <v>44644.0</v>
      </c>
      <c r="C5154" s="1" t="s">
        <v>20</v>
      </c>
      <c r="D5154" s="1" t="s">
        <v>27</v>
      </c>
      <c r="E5154" s="1" t="s">
        <v>28</v>
      </c>
      <c r="F5154" s="1">
        <v>719.69</v>
      </c>
      <c r="G5154" s="1">
        <v>93.32</v>
      </c>
      <c r="H5154" s="1">
        <v>1.0</v>
      </c>
      <c r="I5154" s="1" t="s">
        <v>17</v>
      </c>
      <c r="J5154" s="1" t="s">
        <v>24</v>
      </c>
      <c r="K5154" s="1">
        <f t="shared" si="1"/>
        <v>2022</v>
      </c>
      <c r="L5154" s="1" t="str">
        <f t="shared" si="2"/>
        <v>Mar</v>
      </c>
      <c r="M5154" s="1" t="str">
        <f t="shared" si="3"/>
        <v>Profit</v>
      </c>
    </row>
    <row r="5155" ht="14.25" customHeight="1">
      <c r="A5155" s="1" t="s">
        <v>5189</v>
      </c>
      <c r="B5155" s="2">
        <v>44265.0</v>
      </c>
      <c r="C5155" s="1" t="s">
        <v>20</v>
      </c>
      <c r="D5155" s="1" t="s">
        <v>27</v>
      </c>
      <c r="E5155" s="1" t="s">
        <v>28</v>
      </c>
      <c r="F5155" s="1">
        <v>928.0</v>
      </c>
      <c r="G5155" s="1">
        <v>-7.33</v>
      </c>
      <c r="H5155" s="1">
        <v>6.0</v>
      </c>
      <c r="I5155" s="1" t="s">
        <v>23</v>
      </c>
      <c r="J5155" s="1" t="s">
        <v>38</v>
      </c>
      <c r="K5155" s="1">
        <f t="shared" si="1"/>
        <v>2021</v>
      </c>
      <c r="L5155" s="1" t="str">
        <f t="shared" si="2"/>
        <v>Mar</v>
      </c>
      <c r="M5155" s="1" t="str">
        <f t="shared" si="3"/>
        <v>Loss</v>
      </c>
    </row>
    <row r="5156" ht="14.25" customHeight="1">
      <c r="A5156" s="1" t="s">
        <v>5190</v>
      </c>
      <c r="B5156" s="2">
        <v>44352.0</v>
      </c>
      <c r="C5156" s="1" t="s">
        <v>26</v>
      </c>
      <c r="D5156" s="1" t="s">
        <v>21</v>
      </c>
      <c r="E5156" s="1" t="s">
        <v>22</v>
      </c>
      <c r="F5156" s="1">
        <v>314.28</v>
      </c>
      <c r="G5156" s="1">
        <v>-103.99</v>
      </c>
      <c r="H5156" s="1">
        <v>10.0</v>
      </c>
      <c r="I5156" s="1" t="s">
        <v>17</v>
      </c>
      <c r="J5156" s="1" t="s">
        <v>24</v>
      </c>
      <c r="K5156" s="1">
        <f t="shared" si="1"/>
        <v>2021</v>
      </c>
      <c r="L5156" s="1" t="str">
        <f t="shared" si="2"/>
        <v>Jun</v>
      </c>
      <c r="M5156" s="1" t="str">
        <f t="shared" si="3"/>
        <v>Loss</v>
      </c>
    </row>
    <row r="5157" ht="14.25" customHeight="1">
      <c r="A5157" s="1" t="s">
        <v>5191</v>
      </c>
      <c r="B5157" s="2">
        <v>44706.0</v>
      </c>
      <c r="C5157" s="1" t="s">
        <v>26</v>
      </c>
      <c r="D5157" s="1" t="s">
        <v>21</v>
      </c>
      <c r="E5157" s="1" t="s">
        <v>22</v>
      </c>
      <c r="F5157" s="1">
        <v>415.52</v>
      </c>
      <c r="G5157" s="1">
        <v>163.76</v>
      </c>
      <c r="H5157" s="1">
        <v>1.0</v>
      </c>
      <c r="I5157" s="1" t="s">
        <v>17</v>
      </c>
      <c r="J5157" s="1" t="s">
        <v>24</v>
      </c>
      <c r="K5157" s="1">
        <f t="shared" si="1"/>
        <v>2022</v>
      </c>
      <c r="L5157" s="1" t="str">
        <f t="shared" si="2"/>
        <v>May</v>
      </c>
      <c r="M5157" s="1" t="str">
        <f t="shared" si="3"/>
        <v>Profit</v>
      </c>
    </row>
    <row r="5158" ht="14.25" customHeight="1">
      <c r="A5158" s="1" t="s">
        <v>5192</v>
      </c>
      <c r="B5158" s="2">
        <v>44341.0</v>
      </c>
      <c r="C5158" s="1" t="s">
        <v>20</v>
      </c>
      <c r="D5158" s="1" t="s">
        <v>27</v>
      </c>
      <c r="E5158" s="1" t="s">
        <v>33</v>
      </c>
      <c r="F5158" s="1">
        <v>69.48</v>
      </c>
      <c r="G5158" s="1">
        <v>204.06</v>
      </c>
      <c r="H5158" s="1">
        <v>6.0</v>
      </c>
      <c r="I5158" s="1" t="s">
        <v>17</v>
      </c>
      <c r="J5158" s="1" t="s">
        <v>38</v>
      </c>
      <c r="K5158" s="1">
        <f t="shared" si="1"/>
        <v>2021</v>
      </c>
      <c r="L5158" s="1" t="str">
        <f t="shared" si="2"/>
        <v>May</v>
      </c>
      <c r="M5158" s="1" t="str">
        <f t="shared" si="3"/>
        <v>Profit</v>
      </c>
    </row>
    <row r="5159" ht="14.25" customHeight="1">
      <c r="A5159" s="1" t="s">
        <v>5193</v>
      </c>
      <c r="B5159" s="2">
        <v>45245.0</v>
      </c>
      <c r="C5159" s="1" t="s">
        <v>26</v>
      </c>
      <c r="D5159" s="1" t="s">
        <v>15</v>
      </c>
      <c r="E5159" s="1" t="s">
        <v>16</v>
      </c>
      <c r="F5159" s="1">
        <v>359.44</v>
      </c>
      <c r="G5159" s="1">
        <v>-4.85</v>
      </c>
      <c r="H5159" s="1">
        <v>8.0</v>
      </c>
      <c r="I5159" s="1" t="s">
        <v>34</v>
      </c>
      <c r="J5159" s="1" t="s">
        <v>24</v>
      </c>
      <c r="K5159" s="1">
        <f t="shared" si="1"/>
        <v>2023</v>
      </c>
      <c r="L5159" s="1" t="str">
        <f t="shared" si="2"/>
        <v>Nov</v>
      </c>
      <c r="M5159" s="1" t="str">
        <f t="shared" si="3"/>
        <v>Loss</v>
      </c>
    </row>
    <row r="5160" ht="14.25" customHeight="1">
      <c r="A5160" s="1" t="s">
        <v>5194</v>
      </c>
      <c r="B5160" s="2">
        <v>45080.0</v>
      </c>
      <c r="C5160" s="1" t="s">
        <v>30</v>
      </c>
      <c r="D5160" s="1" t="s">
        <v>21</v>
      </c>
      <c r="E5160" s="1" t="s">
        <v>76</v>
      </c>
      <c r="F5160" s="1">
        <v>20.52</v>
      </c>
      <c r="G5160" s="1">
        <v>-159.1</v>
      </c>
      <c r="H5160" s="1">
        <v>8.0</v>
      </c>
      <c r="I5160" s="1" t="s">
        <v>34</v>
      </c>
      <c r="J5160" s="1" t="s">
        <v>24</v>
      </c>
      <c r="K5160" s="1">
        <f t="shared" si="1"/>
        <v>2023</v>
      </c>
      <c r="L5160" s="1" t="str">
        <f t="shared" si="2"/>
        <v>Jun</v>
      </c>
      <c r="M5160" s="1" t="str">
        <f t="shared" si="3"/>
        <v>Loss</v>
      </c>
    </row>
    <row r="5161" ht="14.25" customHeight="1">
      <c r="A5161" s="1" t="s">
        <v>5195</v>
      </c>
      <c r="B5161" s="2">
        <v>44953.0</v>
      </c>
      <c r="C5161" s="1" t="s">
        <v>26</v>
      </c>
      <c r="D5161" s="1" t="s">
        <v>27</v>
      </c>
      <c r="E5161" s="1" t="s">
        <v>40</v>
      </c>
      <c r="F5161" s="1">
        <v>558.94</v>
      </c>
      <c r="G5161" s="1">
        <v>-16.38</v>
      </c>
      <c r="H5161" s="1">
        <v>7.0</v>
      </c>
      <c r="I5161" s="1" t="s">
        <v>34</v>
      </c>
      <c r="J5161" s="1" t="s">
        <v>35</v>
      </c>
      <c r="K5161" s="1">
        <f t="shared" si="1"/>
        <v>2023</v>
      </c>
      <c r="L5161" s="1" t="str">
        <f t="shared" si="2"/>
        <v>Jan</v>
      </c>
      <c r="M5161" s="1" t="str">
        <f t="shared" si="3"/>
        <v>Loss</v>
      </c>
    </row>
    <row r="5162" ht="14.25" customHeight="1">
      <c r="A5162" s="1" t="s">
        <v>5196</v>
      </c>
      <c r="B5162" s="2">
        <v>44723.0</v>
      </c>
      <c r="C5162" s="1" t="s">
        <v>26</v>
      </c>
      <c r="D5162" s="1" t="s">
        <v>15</v>
      </c>
      <c r="E5162" s="1" t="s">
        <v>31</v>
      </c>
      <c r="F5162" s="1">
        <v>398.44</v>
      </c>
      <c r="G5162" s="1">
        <v>159.49</v>
      </c>
      <c r="H5162" s="1">
        <v>3.0</v>
      </c>
      <c r="I5162" s="1" t="s">
        <v>23</v>
      </c>
      <c r="J5162" s="1" t="s">
        <v>38</v>
      </c>
      <c r="K5162" s="1">
        <f t="shared" si="1"/>
        <v>2022</v>
      </c>
      <c r="L5162" s="1" t="str">
        <f t="shared" si="2"/>
        <v>Jun</v>
      </c>
      <c r="M5162" s="1" t="str">
        <f t="shared" si="3"/>
        <v>Profit</v>
      </c>
    </row>
    <row r="5163" ht="14.25" customHeight="1">
      <c r="A5163" s="1" t="s">
        <v>5197</v>
      </c>
      <c r="B5163" s="2">
        <v>45211.0</v>
      </c>
      <c r="C5163" s="1" t="s">
        <v>20</v>
      </c>
      <c r="D5163" s="1" t="s">
        <v>15</v>
      </c>
      <c r="E5163" s="1" t="s">
        <v>16</v>
      </c>
      <c r="F5163" s="1">
        <v>344.95</v>
      </c>
      <c r="G5163" s="1">
        <v>217.37</v>
      </c>
      <c r="H5163" s="1">
        <v>4.0</v>
      </c>
      <c r="I5163" s="1" t="s">
        <v>23</v>
      </c>
      <c r="J5163" s="1" t="s">
        <v>38</v>
      </c>
      <c r="K5163" s="1">
        <f t="shared" si="1"/>
        <v>2023</v>
      </c>
      <c r="L5163" s="1" t="str">
        <f t="shared" si="2"/>
        <v>Oct</v>
      </c>
      <c r="M5163" s="1" t="str">
        <f t="shared" si="3"/>
        <v>Profit</v>
      </c>
    </row>
    <row r="5164" ht="14.25" customHeight="1">
      <c r="A5164" s="1" t="s">
        <v>5198</v>
      </c>
      <c r="B5164" s="2">
        <v>44557.0</v>
      </c>
      <c r="C5164" s="1" t="s">
        <v>26</v>
      </c>
      <c r="D5164" s="1" t="s">
        <v>21</v>
      </c>
      <c r="E5164" s="1" t="s">
        <v>37</v>
      </c>
      <c r="F5164" s="1">
        <v>428.73</v>
      </c>
      <c r="G5164" s="1">
        <v>-38.28</v>
      </c>
      <c r="H5164" s="1">
        <v>3.0</v>
      </c>
      <c r="I5164" s="1" t="s">
        <v>23</v>
      </c>
      <c r="J5164" s="1" t="s">
        <v>24</v>
      </c>
      <c r="K5164" s="1">
        <f t="shared" si="1"/>
        <v>2021</v>
      </c>
      <c r="L5164" s="1" t="str">
        <f t="shared" si="2"/>
        <v>Dec</v>
      </c>
      <c r="M5164" s="1" t="str">
        <f t="shared" si="3"/>
        <v>Loss</v>
      </c>
    </row>
    <row r="5165" ht="14.25" customHeight="1">
      <c r="A5165" s="1" t="s">
        <v>5199</v>
      </c>
      <c r="B5165" s="2">
        <v>45174.0</v>
      </c>
      <c r="C5165" s="1" t="s">
        <v>14</v>
      </c>
      <c r="D5165" s="1" t="s">
        <v>21</v>
      </c>
      <c r="E5165" s="1" t="s">
        <v>37</v>
      </c>
      <c r="F5165" s="1">
        <v>783.02</v>
      </c>
      <c r="G5165" s="1">
        <v>-194.17</v>
      </c>
      <c r="H5165" s="1">
        <v>7.0</v>
      </c>
      <c r="I5165" s="1" t="s">
        <v>17</v>
      </c>
      <c r="J5165" s="1" t="s">
        <v>18</v>
      </c>
      <c r="K5165" s="1">
        <f t="shared" si="1"/>
        <v>2023</v>
      </c>
      <c r="L5165" s="1" t="str">
        <f t="shared" si="2"/>
        <v>Sep</v>
      </c>
      <c r="M5165" s="1" t="str">
        <f t="shared" si="3"/>
        <v>Loss</v>
      </c>
    </row>
    <row r="5166" ht="14.25" customHeight="1">
      <c r="A5166" s="1" t="s">
        <v>5200</v>
      </c>
      <c r="B5166" s="2">
        <v>44552.0</v>
      </c>
      <c r="C5166" s="1" t="s">
        <v>20</v>
      </c>
      <c r="D5166" s="1" t="s">
        <v>15</v>
      </c>
      <c r="E5166" s="1" t="s">
        <v>54</v>
      </c>
      <c r="F5166" s="1">
        <v>503.56</v>
      </c>
      <c r="G5166" s="1">
        <v>112.45</v>
      </c>
      <c r="H5166" s="1">
        <v>3.0</v>
      </c>
      <c r="I5166" s="1" t="s">
        <v>34</v>
      </c>
      <c r="J5166" s="1" t="s">
        <v>38</v>
      </c>
      <c r="K5166" s="1">
        <f t="shared" si="1"/>
        <v>2021</v>
      </c>
      <c r="L5166" s="1" t="str">
        <f t="shared" si="2"/>
        <v>Dec</v>
      </c>
      <c r="M5166" s="1" t="str">
        <f t="shared" si="3"/>
        <v>Profit</v>
      </c>
    </row>
    <row r="5167" ht="14.25" customHeight="1">
      <c r="A5167" s="1" t="s">
        <v>5201</v>
      </c>
      <c r="B5167" s="2">
        <v>44935.0</v>
      </c>
      <c r="C5167" s="1" t="s">
        <v>26</v>
      </c>
      <c r="D5167" s="1" t="s">
        <v>27</v>
      </c>
      <c r="E5167" s="1" t="s">
        <v>28</v>
      </c>
      <c r="F5167" s="1">
        <v>684.63</v>
      </c>
      <c r="G5167" s="1">
        <v>82.89</v>
      </c>
      <c r="H5167" s="1">
        <v>4.0</v>
      </c>
      <c r="I5167" s="1" t="s">
        <v>23</v>
      </c>
      <c r="J5167" s="1" t="s">
        <v>38</v>
      </c>
      <c r="K5167" s="1">
        <f t="shared" si="1"/>
        <v>2023</v>
      </c>
      <c r="L5167" s="1" t="str">
        <f t="shared" si="2"/>
        <v>Jan</v>
      </c>
      <c r="M5167" s="1" t="str">
        <f t="shared" si="3"/>
        <v>Profit</v>
      </c>
    </row>
    <row r="5168" ht="14.25" customHeight="1">
      <c r="A5168" s="1" t="s">
        <v>5202</v>
      </c>
      <c r="B5168" s="2">
        <v>44519.0</v>
      </c>
      <c r="C5168" s="1" t="s">
        <v>30</v>
      </c>
      <c r="D5168" s="1" t="s">
        <v>21</v>
      </c>
      <c r="E5168" s="1" t="s">
        <v>76</v>
      </c>
      <c r="F5168" s="1">
        <v>793.15</v>
      </c>
      <c r="G5168" s="1">
        <v>-64.95</v>
      </c>
      <c r="H5168" s="1">
        <v>5.0</v>
      </c>
      <c r="I5168" s="1" t="s">
        <v>34</v>
      </c>
      <c r="J5168" s="1" t="s">
        <v>38</v>
      </c>
      <c r="K5168" s="1">
        <f t="shared" si="1"/>
        <v>2021</v>
      </c>
      <c r="L5168" s="1" t="str">
        <f t="shared" si="2"/>
        <v>Nov</v>
      </c>
      <c r="M5168" s="1" t="str">
        <f t="shared" si="3"/>
        <v>Loss</v>
      </c>
    </row>
    <row r="5169" ht="14.25" customHeight="1">
      <c r="A5169" s="1" t="s">
        <v>5203</v>
      </c>
      <c r="B5169" s="2">
        <v>44553.0</v>
      </c>
      <c r="C5169" s="1" t="s">
        <v>30</v>
      </c>
      <c r="D5169" s="1" t="s">
        <v>27</v>
      </c>
      <c r="E5169" s="1" t="s">
        <v>40</v>
      </c>
      <c r="F5169" s="1">
        <v>283.89</v>
      </c>
      <c r="G5169" s="1">
        <v>71.75</v>
      </c>
      <c r="H5169" s="1">
        <v>4.0</v>
      </c>
      <c r="I5169" s="1" t="s">
        <v>23</v>
      </c>
      <c r="J5169" s="1" t="s">
        <v>24</v>
      </c>
      <c r="K5169" s="1">
        <f t="shared" si="1"/>
        <v>2021</v>
      </c>
      <c r="L5169" s="1" t="str">
        <f t="shared" si="2"/>
        <v>Dec</v>
      </c>
      <c r="M5169" s="1" t="str">
        <f t="shared" si="3"/>
        <v>Profit</v>
      </c>
    </row>
    <row r="5170" ht="14.25" customHeight="1">
      <c r="A5170" s="1" t="s">
        <v>5204</v>
      </c>
      <c r="B5170" s="2">
        <v>45285.0</v>
      </c>
      <c r="C5170" s="1" t="s">
        <v>30</v>
      </c>
      <c r="D5170" s="1" t="s">
        <v>15</v>
      </c>
      <c r="E5170" s="1" t="s">
        <v>54</v>
      </c>
      <c r="F5170" s="1">
        <v>728.33</v>
      </c>
      <c r="G5170" s="1">
        <v>170.44</v>
      </c>
      <c r="H5170" s="1">
        <v>5.0</v>
      </c>
      <c r="I5170" s="1" t="s">
        <v>34</v>
      </c>
      <c r="J5170" s="1" t="s">
        <v>38</v>
      </c>
      <c r="K5170" s="1">
        <f t="shared" si="1"/>
        <v>2023</v>
      </c>
      <c r="L5170" s="1" t="str">
        <f t="shared" si="2"/>
        <v>Dec</v>
      </c>
      <c r="M5170" s="1" t="str">
        <f t="shared" si="3"/>
        <v>Profit</v>
      </c>
    </row>
    <row r="5171" ht="14.25" customHeight="1">
      <c r="A5171" s="1" t="s">
        <v>5205</v>
      </c>
      <c r="B5171" s="2">
        <v>44384.0</v>
      </c>
      <c r="C5171" s="1" t="s">
        <v>20</v>
      </c>
      <c r="D5171" s="1" t="s">
        <v>27</v>
      </c>
      <c r="E5171" s="1" t="s">
        <v>33</v>
      </c>
      <c r="F5171" s="1">
        <v>970.89</v>
      </c>
      <c r="G5171" s="1">
        <v>-183.5</v>
      </c>
      <c r="H5171" s="1">
        <v>9.0</v>
      </c>
      <c r="I5171" s="1" t="s">
        <v>23</v>
      </c>
      <c r="J5171" s="1" t="s">
        <v>18</v>
      </c>
      <c r="K5171" s="1">
        <f t="shared" si="1"/>
        <v>2021</v>
      </c>
      <c r="L5171" s="1" t="str">
        <f t="shared" si="2"/>
        <v>Jul</v>
      </c>
      <c r="M5171" s="1" t="str">
        <f t="shared" si="3"/>
        <v>Loss</v>
      </c>
    </row>
    <row r="5172" ht="14.25" customHeight="1">
      <c r="A5172" s="1" t="s">
        <v>5206</v>
      </c>
      <c r="B5172" s="2">
        <v>44712.0</v>
      </c>
      <c r="C5172" s="1" t="s">
        <v>20</v>
      </c>
      <c r="D5172" s="1" t="s">
        <v>27</v>
      </c>
      <c r="E5172" s="1" t="s">
        <v>28</v>
      </c>
      <c r="F5172" s="1">
        <v>213.99</v>
      </c>
      <c r="G5172" s="1">
        <v>277.48</v>
      </c>
      <c r="H5172" s="1">
        <v>1.0</v>
      </c>
      <c r="I5172" s="1" t="s">
        <v>17</v>
      </c>
      <c r="J5172" s="1" t="s">
        <v>35</v>
      </c>
      <c r="K5172" s="1">
        <f t="shared" si="1"/>
        <v>2022</v>
      </c>
      <c r="L5172" s="1" t="str">
        <f t="shared" si="2"/>
        <v>May</v>
      </c>
      <c r="M5172" s="1" t="str">
        <f t="shared" si="3"/>
        <v>Profit</v>
      </c>
    </row>
    <row r="5173" ht="14.25" customHeight="1">
      <c r="A5173" s="1" t="s">
        <v>5207</v>
      </c>
      <c r="B5173" s="2">
        <v>44556.0</v>
      </c>
      <c r="C5173" s="1" t="s">
        <v>30</v>
      </c>
      <c r="D5173" s="1" t="s">
        <v>21</v>
      </c>
      <c r="E5173" s="1" t="s">
        <v>76</v>
      </c>
      <c r="F5173" s="1">
        <v>388.73</v>
      </c>
      <c r="G5173" s="1">
        <v>-25.57</v>
      </c>
      <c r="H5173" s="1">
        <v>6.0</v>
      </c>
      <c r="I5173" s="1" t="s">
        <v>23</v>
      </c>
      <c r="J5173" s="1" t="s">
        <v>38</v>
      </c>
      <c r="K5173" s="1">
        <f t="shared" si="1"/>
        <v>2021</v>
      </c>
      <c r="L5173" s="1" t="str">
        <f t="shared" si="2"/>
        <v>Dec</v>
      </c>
      <c r="M5173" s="1" t="str">
        <f t="shared" si="3"/>
        <v>Loss</v>
      </c>
    </row>
    <row r="5174" ht="14.25" customHeight="1">
      <c r="A5174" s="1" t="s">
        <v>5208</v>
      </c>
      <c r="B5174" s="2">
        <v>44490.0</v>
      </c>
      <c r="C5174" s="1" t="s">
        <v>14</v>
      </c>
      <c r="D5174" s="1" t="s">
        <v>21</v>
      </c>
      <c r="E5174" s="1" t="s">
        <v>76</v>
      </c>
      <c r="F5174" s="1">
        <v>987.75</v>
      </c>
      <c r="G5174" s="1">
        <v>162.95</v>
      </c>
      <c r="H5174" s="1">
        <v>6.0</v>
      </c>
      <c r="I5174" s="1" t="s">
        <v>17</v>
      </c>
      <c r="J5174" s="1" t="s">
        <v>38</v>
      </c>
      <c r="K5174" s="1">
        <f t="shared" si="1"/>
        <v>2021</v>
      </c>
      <c r="L5174" s="1" t="str">
        <f t="shared" si="2"/>
        <v>Oct</v>
      </c>
      <c r="M5174" s="1" t="str">
        <f t="shared" si="3"/>
        <v>Profit</v>
      </c>
    </row>
    <row r="5175" ht="14.25" customHeight="1">
      <c r="A5175" s="1" t="s">
        <v>5209</v>
      </c>
      <c r="B5175" s="2">
        <v>45058.0</v>
      </c>
      <c r="C5175" s="1" t="s">
        <v>14</v>
      </c>
      <c r="D5175" s="1" t="s">
        <v>27</v>
      </c>
      <c r="E5175" s="1" t="s">
        <v>40</v>
      </c>
      <c r="F5175" s="1">
        <v>131.02</v>
      </c>
      <c r="G5175" s="1">
        <v>21.95</v>
      </c>
      <c r="H5175" s="1">
        <v>8.0</v>
      </c>
      <c r="I5175" s="1" t="s">
        <v>34</v>
      </c>
      <c r="J5175" s="1" t="s">
        <v>24</v>
      </c>
      <c r="K5175" s="1">
        <f t="shared" si="1"/>
        <v>2023</v>
      </c>
      <c r="L5175" s="1" t="str">
        <f t="shared" si="2"/>
        <v>May</v>
      </c>
      <c r="M5175" s="1" t="str">
        <f t="shared" si="3"/>
        <v>Profit</v>
      </c>
    </row>
    <row r="5176" ht="14.25" customHeight="1">
      <c r="A5176" s="1" t="s">
        <v>5210</v>
      </c>
      <c r="B5176" s="2">
        <v>45228.0</v>
      </c>
      <c r="C5176" s="1" t="s">
        <v>30</v>
      </c>
      <c r="D5176" s="1" t="s">
        <v>21</v>
      </c>
      <c r="E5176" s="1" t="s">
        <v>76</v>
      </c>
      <c r="F5176" s="1">
        <v>955.15</v>
      </c>
      <c r="G5176" s="1">
        <v>120.79</v>
      </c>
      <c r="H5176" s="1">
        <v>3.0</v>
      </c>
      <c r="I5176" s="1" t="s">
        <v>17</v>
      </c>
      <c r="J5176" s="1" t="s">
        <v>35</v>
      </c>
      <c r="K5176" s="1">
        <f t="shared" si="1"/>
        <v>2023</v>
      </c>
      <c r="L5176" s="1" t="str">
        <f t="shared" si="2"/>
        <v>Oct</v>
      </c>
      <c r="M5176" s="1" t="str">
        <f t="shared" si="3"/>
        <v>Profit</v>
      </c>
    </row>
    <row r="5177" ht="14.25" customHeight="1">
      <c r="A5177" s="1" t="s">
        <v>5211</v>
      </c>
      <c r="B5177" s="2">
        <v>44267.0</v>
      </c>
      <c r="C5177" s="1" t="s">
        <v>30</v>
      </c>
      <c r="D5177" s="1" t="s">
        <v>15</v>
      </c>
      <c r="E5177" s="1" t="s">
        <v>16</v>
      </c>
      <c r="F5177" s="1">
        <v>305.62</v>
      </c>
      <c r="G5177" s="1">
        <v>-52.22</v>
      </c>
      <c r="H5177" s="1">
        <v>4.0</v>
      </c>
      <c r="I5177" s="1" t="s">
        <v>23</v>
      </c>
      <c r="J5177" s="1" t="s">
        <v>24</v>
      </c>
      <c r="K5177" s="1">
        <f t="shared" si="1"/>
        <v>2021</v>
      </c>
      <c r="L5177" s="1" t="str">
        <f t="shared" si="2"/>
        <v>Mar</v>
      </c>
      <c r="M5177" s="1" t="str">
        <f t="shared" si="3"/>
        <v>Loss</v>
      </c>
    </row>
    <row r="5178" ht="14.25" customHeight="1">
      <c r="A5178" s="1" t="s">
        <v>5212</v>
      </c>
      <c r="B5178" s="2">
        <v>45290.0</v>
      </c>
      <c r="C5178" s="1" t="s">
        <v>20</v>
      </c>
      <c r="D5178" s="1" t="s">
        <v>27</v>
      </c>
      <c r="E5178" s="1" t="s">
        <v>40</v>
      </c>
      <c r="F5178" s="1">
        <v>213.81</v>
      </c>
      <c r="G5178" s="1">
        <v>-179.91</v>
      </c>
      <c r="H5178" s="1">
        <v>8.0</v>
      </c>
      <c r="I5178" s="1" t="s">
        <v>34</v>
      </c>
      <c r="J5178" s="1" t="s">
        <v>18</v>
      </c>
      <c r="K5178" s="1">
        <f t="shared" si="1"/>
        <v>2023</v>
      </c>
      <c r="L5178" s="1" t="str">
        <f t="shared" si="2"/>
        <v>Dec</v>
      </c>
      <c r="M5178" s="1" t="str">
        <f t="shared" si="3"/>
        <v>Loss</v>
      </c>
    </row>
    <row r="5179" ht="14.25" customHeight="1">
      <c r="A5179" s="1" t="s">
        <v>5213</v>
      </c>
      <c r="B5179" s="2">
        <v>44558.0</v>
      </c>
      <c r="C5179" s="1" t="s">
        <v>30</v>
      </c>
      <c r="D5179" s="1" t="s">
        <v>21</v>
      </c>
      <c r="E5179" s="1" t="s">
        <v>76</v>
      </c>
      <c r="F5179" s="1">
        <v>665.33</v>
      </c>
      <c r="G5179" s="1">
        <v>105.87</v>
      </c>
      <c r="H5179" s="1">
        <v>6.0</v>
      </c>
      <c r="I5179" s="1" t="s">
        <v>34</v>
      </c>
      <c r="J5179" s="1" t="s">
        <v>18</v>
      </c>
      <c r="K5179" s="1">
        <f t="shared" si="1"/>
        <v>2021</v>
      </c>
      <c r="L5179" s="1" t="str">
        <f t="shared" si="2"/>
        <v>Dec</v>
      </c>
      <c r="M5179" s="1" t="str">
        <f t="shared" si="3"/>
        <v>Profit</v>
      </c>
    </row>
    <row r="5180" ht="14.25" customHeight="1">
      <c r="A5180" s="1" t="s">
        <v>5214</v>
      </c>
      <c r="B5180" s="2">
        <v>45183.0</v>
      </c>
      <c r="C5180" s="1" t="s">
        <v>20</v>
      </c>
      <c r="D5180" s="1" t="s">
        <v>21</v>
      </c>
      <c r="E5180" s="1" t="s">
        <v>22</v>
      </c>
      <c r="F5180" s="1">
        <v>871.94</v>
      </c>
      <c r="G5180" s="1">
        <v>-38.9</v>
      </c>
      <c r="H5180" s="1">
        <v>1.0</v>
      </c>
      <c r="I5180" s="1" t="s">
        <v>17</v>
      </c>
      <c r="J5180" s="1" t="s">
        <v>38</v>
      </c>
      <c r="K5180" s="1">
        <f t="shared" si="1"/>
        <v>2023</v>
      </c>
      <c r="L5180" s="1" t="str">
        <f t="shared" si="2"/>
        <v>Sep</v>
      </c>
      <c r="M5180" s="1" t="str">
        <f t="shared" si="3"/>
        <v>Loss</v>
      </c>
    </row>
    <row r="5181" ht="14.25" customHeight="1">
      <c r="A5181" s="1" t="s">
        <v>5215</v>
      </c>
      <c r="B5181" s="2">
        <v>44630.0</v>
      </c>
      <c r="C5181" s="1" t="s">
        <v>14</v>
      </c>
      <c r="D5181" s="1" t="s">
        <v>27</v>
      </c>
      <c r="E5181" s="1" t="s">
        <v>40</v>
      </c>
      <c r="F5181" s="1">
        <v>33.08</v>
      </c>
      <c r="G5181" s="1">
        <v>47.24</v>
      </c>
      <c r="H5181" s="1">
        <v>3.0</v>
      </c>
      <c r="I5181" s="1" t="s">
        <v>34</v>
      </c>
      <c r="J5181" s="1" t="s">
        <v>24</v>
      </c>
      <c r="K5181" s="1">
        <f t="shared" si="1"/>
        <v>2022</v>
      </c>
      <c r="L5181" s="1" t="str">
        <f t="shared" si="2"/>
        <v>Mar</v>
      </c>
      <c r="M5181" s="1" t="str">
        <f t="shared" si="3"/>
        <v>Profit</v>
      </c>
    </row>
    <row r="5182" ht="14.25" customHeight="1">
      <c r="A5182" s="1" t="s">
        <v>5216</v>
      </c>
      <c r="B5182" s="2">
        <v>44285.0</v>
      </c>
      <c r="C5182" s="1" t="s">
        <v>26</v>
      </c>
      <c r="D5182" s="1" t="s">
        <v>15</v>
      </c>
      <c r="E5182" s="1" t="s">
        <v>16</v>
      </c>
      <c r="F5182" s="1">
        <v>274.36</v>
      </c>
      <c r="G5182" s="1">
        <v>224.36</v>
      </c>
      <c r="H5182" s="1">
        <v>2.0</v>
      </c>
      <c r="I5182" s="1" t="s">
        <v>23</v>
      </c>
      <c r="J5182" s="1" t="s">
        <v>35</v>
      </c>
      <c r="K5182" s="1">
        <f t="shared" si="1"/>
        <v>2021</v>
      </c>
      <c r="L5182" s="1" t="str">
        <f t="shared" si="2"/>
        <v>Mar</v>
      </c>
      <c r="M5182" s="1" t="str">
        <f t="shared" si="3"/>
        <v>Profit</v>
      </c>
    </row>
    <row r="5183" ht="14.25" customHeight="1">
      <c r="A5183" s="1" t="s">
        <v>5217</v>
      </c>
      <c r="B5183" s="2">
        <v>44265.0</v>
      </c>
      <c r="C5183" s="1" t="s">
        <v>26</v>
      </c>
      <c r="D5183" s="1" t="s">
        <v>15</v>
      </c>
      <c r="E5183" s="1" t="s">
        <v>31</v>
      </c>
      <c r="F5183" s="1">
        <v>818.54</v>
      </c>
      <c r="G5183" s="1">
        <v>159.78</v>
      </c>
      <c r="H5183" s="1">
        <v>8.0</v>
      </c>
      <c r="I5183" s="1" t="s">
        <v>34</v>
      </c>
      <c r="J5183" s="1" t="s">
        <v>35</v>
      </c>
      <c r="K5183" s="1">
        <f t="shared" si="1"/>
        <v>2021</v>
      </c>
      <c r="L5183" s="1" t="str">
        <f t="shared" si="2"/>
        <v>Mar</v>
      </c>
      <c r="M5183" s="1" t="str">
        <f t="shared" si="3"/>
        <v>Profit</v>
      </c>
    </row>
    <row r="5184" ht="14.25" customHeight="1">
      <c r="A5184" s="1" t="s">
        <v>5218</v>
      </c>
      <c r="B5184" s="2">
        <v>44622.0</v>
      </c>
      <c r="C5184" s="1" t="s">
        <v>26</v>
      </c>
      <c r="D5184" s="1" t="s">
        <v>27</v>
      </c>
      <c r="E5184" s="1" t="s">
        <v>33</v>
      </c>
      <c r="F5184" s="1">
        <v>573.33</v>
      </c>
      <c r="G5184" s="1">
        <v>-11.93</v>
      </c>
      <c r="H5184" s="1">
        <v>3.0</v>
      </c>
      <c r="I5184" s="1" t="s">
        <v>34</v>
      </c>
      <c r="J5184" s="1" t="s">
        <v>24</v>
      </c>
      <c r="K5184" s="1">
        <f t="shared" si="1"/>
        <v>2022</v>
      </c>
      <c r="L5184" s="1" t="str">
        <f t="shared" si="2"/>
        <v>Mar</v>
      </c>
      <c r="M5184" s="1" t="str">
        <f t="shared" si="3"/>
        <v>Loss</v>
      </c>
    </row>
    <row r="5185" ht="14.25" customHeight="1">
      <c r="A5185" s="1" t="s">
        <v>5219</v>
      </c>
      <c r="B5185" s="2">
        <v>45125.0</v>
      </c>
      <c r="C5185" s="1" t="s">
        <v>30</v>
      </c>
      <c r="D5185" s="1" t="s">
        <v>21</v>
      </c>
      <c r="E5185" s="1" t="s">
        <v>76</v>
      </c>
      <c r="F5185" s="1">
        <v>133.9</v>
      </c>
      <c r="G5185" s="1">
        <v>231.49</v>
      </c>
      <c r="H5185" s="1">
        <v>5.0</v>
      </c>
      <c r="I5185" s="1" t="s">
        <v>34</v>
      </c>
      <c r="J5185" s="1" t="s">
        <v>18</v>
      </c>
      <c r="K5185" s="1">
        <f t="shared" si="1"/>
        <v>2023</v>
      </c>
      <c r="L5185" s="1" t="str">
        <f t="shared" si="2"/>
        <v>Jul</v>
      </c>
      <c r="M5185" s="1" t="str">
        <f t="shared" si="3"/>
        <v>Profit</v>
      </c>
    </row>
    <row r="5186" ht="14.25" customHeight="1">
      <c r="A5186" s="1" t="s">
        <v>5220</v>
      </c>
      <c r="B5186" s="2">
        <v>44203.0</v>
      </c>
      <c r="C5186" s="1" t="s">
        <v>30</v>
      </c>
      <c r="D5186" s="1" t="s">
        <v>21</v>
      </c>
      <c r="E5186" s="1" t="s">
        <v>76</v>
      </c>
      <c r="F5186" s="1">
        <v>112.19</v>
      </c>
      <c r="G5186" s="1">
        <v>-80.52</v>
      </c>
      <c r="H5186" s="1">
        <v>10.0</v>
      </c>
      <c r="I5186" s="1" t="s">
        <v>17</v>
      </c>
      <c r="J5186" s="1" t="s">
        <v>35</v>
      </c>
      <c r="K5186" s="1">
        <f t="shared" si="1"/>
        <v>2021</v>
      </c>
      <c r="L5186" s="1" t="str">
        <f t="shared" si="2"/>
        <v>Jan</v>
      </c>
      <c r="M5186" s="1" t="str">
        <f t="shared" si="3"/>
        <v>Loss</v>
      </c>
    </row>
    <row r="5187" ht="14.25" customHeight="1">
      <c r="A5187" s="1" t="s">
        <v>5221</v>
      </c>
      <c r="B5187" s="2">
        <v>44574.0</v>
      </c>
      <c r="C5187" s="1" t="s">
        <v>30</v>
      </c>
      <c r="D5187" s="1" t="s">
        <v>15</v>
      </c>
      <c r="E5187" s="1" t="s">
        <v>31</v>
      </c>
      <c r="F5187" s="1">
        <v>716.12</v>
      </c>
      <c r="G5187" s="1">
        <v>-11.36</v>
      </c>
      <c r="H5187" s="1">
        <v>5.0</v>
      </c>
      <c r="I5187" s="1" t="s">
        <v>17</v>
      </c>
      <c r="J5187" s="1" t="s">
        <v>18</v>
      </c>
      <c r="K5187" s="1">
        <f t="shared" si="1"/>
        <v>2022</v>
      </c>
      <c r="L5187" s="1" t="str">
        <f t="shared" si="2"/>
        <v>Jan</v>
      </c>
      <c r="M5187" s="1" t="str">
        <f t="shared" si="3"/>
        <v>Loss</v>
      </c>
    </row>
    <row r="5188" ht="14.25" customHeight="1">
      <c r="A5188" s="1" t="s">
        <v>5222</v>
      </c>
      <c r="B5188" s="2">
        <v>45019.0</v>
      </c>
      <c r="C5188" s="1" t="s">
        <v>14</v>
      </c>
      <c r="D5188" s="1" t="s">
        <v>15</v>
      </c>
      <c r="E5188" s="1" t="s">
        <v>31</v>
      </c>
      <c r="F5188" s="1">
        <v>159.88</v>
      </c>
      <c r="G5188" s="1">
        <v>-83.75</v>
      </c>
      <c r="H5188" s="1">
        <v>9.0</v>
      </c>
      <c r="I5188" s="1" t="s">
        <v>17</v>
      </c>
      <c r="J5188" s="1" t="s">
        <v>38</v>
      </c>
      <c r="K5188" s="1">
        <f t="shared" si="1"/>
        <v>2023</v>
      </c>
      <c r="L5188" s="1" t="str">
        <f t="shared" si="2"/>
        <v>Apr</v>
      </c>
      <c r="M5188" s="1" t="str">
        <f t="shared" si="3"/>
        <v>Loss</v>
      </c>
    </row>
    <row r="5189" ht="14.25" customHeight="1">
      <c r="A5189" s="1" t="s">
        <v>5223</v>
      </c>
      <c r="B5189" s="2">
        <v>45203.0</v>
      </c>
      <c r="C5189" s="1" t="s">
        <v>26</v>
      </c>
      <c r="D5189" s="1" t="s">
        <v>21</v>
      </c>
      <c r="E5189" s="1" t="s">
        <v>76</v>
      </c>
      <c r="F5189" s="1">
        <v>670.58</v>
      </c>
      <c r="G5189" s="1">
        <v>172.71</v>
      </c>
      <c r="H5189" s="1">
        <v>2.0</v>
      </c>
      <c r="I5189" s="1" t="s">
        <v>34</v>
      </c>
      <c r="J5189" s="1" t="s">
        <v>35</v>
      </c>
      <c r="K5189" s="1">
        <f t="shared" si="1"/>
        <v>2023</v>
      </c>
      <c r="L5189" s="1" t="str">
        <f t="shared" si="2"/>
        <v>Oct</v>
      </c>
      <c r="M5189" s="1" t="str">
        <f t="shared" si="3"/>
        <v>Profit</v>
      </c>
    </row>
    <row r="5190" ht="14.25" customHeight="1">
      <c r="A5190" s="1" t="s">
        <v>5224</v>
      </c>
      <c r="B5190" s="2">
        <v>44303.0</v>
      </c>
      <c r="C5190" s="1" t="s">
        <v>14</v>
      </c>
      <c r="D5190" s="1" t="s">
        <v>27</v>
      </c>
      <c r="E5190" s="1" t="s">
        <v>40</v>
      </c>
      <c r="F5190" s="1">
        <v>216.54</v>
      </c>
      <c r="G5190" s="1">
        <v>-79.96</v>
      </c>
      <c r="H5190" s="1">
        <v>5.0</v>
      </c>
      <c r="I5190" s="1" t="s">
        <v>17</v>
      </c>
      <c r="J5190" s="1" t="s">
        <v>38</v>
      </c>
      <c r="K5190" s="1">
        <f t="shared" si="1"/>
        <v>2021</v>
      </c>
      <c r="L5190" s="1" t="str">
        <f t="shared" si="2"/>
        <v>Apr</v>
      </c>
      <c r="M5190" s="1" t="str">
        <f t="shared" si="3"/>
        <v>Loss</v>
      </c>
    </row>
    <row r="5191" ht="14.25" customHeight="1">
      <c r="A5191" s="1" t="s">
        <v>5225</v>
      </c>
      <c r="B5191" s="2">
        <v>44274.0</v>
      </c>
      <c r="C5191" s="1" t="s">
        <v>14</v>
      </c>
      <c r="D5191" s="1" t="s">
        <v>21</v>
      </c>
      <c r="E5191" s="1" t="s">
        <v>22</v>
      </c>
      <c r="F5191" s="1">
        <v>231.67</v>
      </c>
      <c r="G5191" s="1">
        <v>-142.16</v>
      </c>
      <c r="H5191" s="1">
        <v>1.0</v>
      </c>
      <c r="I5191" s="1" t="s">
        <v>34</v>
      </c>
      <c r="J5191" s="1" t="s">
        <v>18</v>
      </c>
      <c r="K5191" s="1">
        <f t="shared" si="1"/>
        <v>2021</v>
      </c>
      <c r="L5191" s="1" t="str">
        <f t="shared" si="2"/>
        <v>Mar</v>
      </c>
      <c r="M5191" s="1" t="str">
        <f t="shared" si="3"/>
        <v>Loss</v>
      </c>
    </row>
    <row r="5192" ht="14.25" customHeight="1">
      <c r="A5192" s="1" t="s">
        <v>5226</v>
      </c>
      <c r="B5192" s="2">
        <v>44752.0</v>
      </c>
      <c r="C5192" s="1" t="s">
        <v>30</v>
      </c>
      <c r="D5192" s="1" t="s">
        <v>15</v>
      </c>
      <c r="E5192" s="1" t="s">
        <v>31</v>
      </c>
      <c r="F5192" s="1">
        <v>621.81</v>
      </c>
      <c r="G5192" s="1">
        <v>-54.45</v>
      </c>
      <c r="H5192" s="1">
        <v>1.0</v>
      </c>
      <c r="I5192" s="1" t="s">
        <v>23</v>
      </c>
      <c r="J5192" s="1" t="s">
        <v>35</v>
      </c>
      <c r="K5192" s="1">
        <f t="shared" si="1"/>
        <v>2022</v>
      </c>
      <c r="L5192" s="1" t="str">
        <f t="shared" si="2"/>
        <v>Jul</v>
      </c>
      <c r="M5192" s="1" t="str">
        <f t="shared" si="3"/>
        <v>Loss</v>
      </c>
    </row>
    <row r="5193" ht="14.25" customHeight="1">
      <c r="A5193" s="1" t="s">
        <v>5227</v>
      </c>
      <c r="B5193" s="2">
        <v>45192.0</v>
      </c>
      <c r="C5193" s="1" t="s">
        <v>30</v>
      </c>
      <c r="D5193" s="1" t="s">
        <v>15</v>
      </c>
      <c r="E5193" s="1" t="s">
        <v>16</v>
      </c>
      <c r="F5193" s="1">
        <v>707.44</v>
      </c>
      <c r="G5193" s="1">
        <v>161.45</v>
      </c>
      <c r="H5193" s="1">
        <v>8.0</v>
      </c>
      <c r="I5193" s="1" t="s">
        <v>17</v>
      </c>
      <c r="J5193" s="1" t="s">
        <v>24</v>
      </c>
      <c r="K5193" s="1">
        <f t="shared" si="1"/>
        <v>2023</v>
      </c>
      <c r="L5193" s="1" t="str">
        <f t="shared" si="2"/>
        <v>Sep</v>
      </c>
      <c r="M5193" s="1" t="str">
        <f t="shared" si="3"/>
        <v>Profit</v>
      </c>
    </row>
    <row r="5194" ht="14.25" customHeight="1">
      <c r="A5194" s="1" t="s">
        <v>5228</v>
      </c>
      <c r="B5194" s="2">
        <v>44263.0</v>
      </c>
      <c r="C5194" s="1" t="s">
        <v>26</v>
      </c>
      <c r="D5194" s="1" t="s">
        <v>27</v>
      </c>
      <c r="E5194" s="1" t="s">
        <v>40</v>
      </c>
      <c r="F5194" s="1">
        <v>50.46</v>
      </c>
      <c r="G5194" s="1">
        <v>152.82</v>
      </c>
      <c r="H5194" s="1">
        <v>8.0</v>
      </c>
      <c r="I5194" s="1" t="s">
        <v>23</v>
      </c>
      <c r="J5194" s="1" t="s">
        <v>35</v>
      </c>
      <c r="K5194" s="1">
        <f t="shared" si="1"/>
        <v>2021</v>
      </c>
      <c r="L5194" s="1" t="str">
        <f t="shared" si="2"/>
        <v>Mar</v>
      </c>
      <c r="M5194" s="1" t="str">
        <f t="shared" si="3"/>
        <v>Profit</v>
      </c>
    </row>
    <row r="5195" ht="14.25" customHeight="1">
      <c r="A5195" s="1" t="s">
        <v>5229</v>
      </c>
      <c r="B5195" s="2">
        <v>44449.0</v>
      </c>
      <c r="C5195" s="1" t="s">
        <v>20</v>
      </c>
      <c r="D5195" s="1" t="s">
        <v>27</v>
      </c>
      <c r="E5195" s="1" t="s">
        <v>28</v>
      </c>
      <c r="F5195" s="1">
        <v>549.53</v>
      </c>
      <c r="G5195" s="1">
        <v>276.59</v>
      </c>
      <c r="H5195" s="1">
        <v>10.0</v>
      </c>
      <c r="I5195" s="1" t="s">
        <v>17</v>
      </c>
      <c r="J5195" s="1" t="s">
        <v>35</v>
      </c>
      <c r="K5195" s="1">
        <f t="shared" si="1"/>
        <v>2021</v>
      </c>
      <c r="L5195" s="1" t="str">
        <f t="shared" si="2"/>
        <v>Sep</v>
      </c>
      <c r="M5195" s="1" t="str">
        <f t="shared" si="3"/>
        <v>Profit</v>
      </c>
    </row>
    <row r="5196" ht="14.25" customHeight="1">
      <c r="A5196" s="1" t="s">
        <v>5230</v>
      </c>
      <c r="B5196" s="2">
        <v>45087.0</v>
      </c>
      <c r="C5196" s="1" t="s">
        <v>26</v>
      </c>
      <c r="D5196" s="1" t="s">
        <v>21</v>
      </c>
      <c r="E5196" s="1" t="s">
        <v>37</v>
      </c>
      <c r="F5196" s="1">
        <v>720.28</v>
      </c>
      <c r="G5196" s="1">
        <v>-104.49</v>
      </c>
      <c r="H5196" s="1">
        <v>1.0</v>
      </c>
      <c r="I5196" s="1" t="s">
        <v>23</v>
      </c>
      <c r="J5196" s="1" t="s">
        <v>35</v>
      </c>
      <c r="K5196" s="1">
        <f t="shared" si="1"/>
        <v>2023</v>
      </c>
      <c r="L5196" s="1" t="str">
        <f t="shared" si="2"/>
        <v>Jun</v>
      </c>
      <c r="M5196" s="1" t="str">
        <f t="shared" si="3"/>
        <v>Loss</v>
      </c>
    </row>
    <row r="5197" ht="14.25" customHeight="1">
      <c r="A5197" s="1" t="s">
        <v>5231</v>
      </c>
      <c r="B5197" s="2">
        <v>44623.0</v>
      </c>
      <c r="C5197" s="1" t="s">
        <v>26</v>
      </c>
      <c r="D5197" s="1" t="s">
        <v>15</v>
      </c>
      <c r="E5197" s="1" t="s">
        <v>54</v>
      </c>
      <c r="F5197" s="1">
        <v>276.1</v>
      </c>
      <c r="G5197" s="1">
        <v>96.97</v>
      </c>
      <c r="H5197" s="1">
        <v>6.0</v>
      </c>
      <c r="I5197" s="1" t="s">
        <v>34</v>
      </c>
      <c r="J5197" s="1" t="s">
        <v>24</v>
      </c>
      <c r="K5197" s="1">
        <f t="shared" si="1"/>
        <v>2022</v>
      </c>
      <c r="L5197" s="1" t="str">
        <f t="shared" si="2"/>
        <v>Mar</v>
      </c>
      <c r="M5197" s="1" t="str">
        <f t="shared" si="3"/>
        <v>Profit</v>
      </c>
    </row>
    <row r="5198" ht="14.25" customHeight="1">
      <c r="A5198" s="1" t="s">
        <v>5232</v>
      </c>
      <c r="B5198" s="2">
        <v>44975.0</v>
      </c>
      <c r="C5198" s="1" t="s">
        <v>30</v>
      </c>
      <c r="D5198" s="1" t="s">
        <v>27</v>
      </c>
      <c r="E5198" s="1" t="s">
        <v>33</v>
      </c>
      <c r="F5198" s="1">
        <v>98.79</v>
      </c>
      <c r="G5198" s="1">
        <v>75.41</v>
      </c>
      <c r="H5198" s="1">
        <v>8.0</v>
      </c>
      <c r="I5198" s="1" t="s">
        <v>17</v>
      </c>
      <c r="J5198" s="1" t="s">
        <v>24</v>
      </c>
      <c r="K5198" s="1">
        <f t="shared" si="1"/>
        <v>2023</v>
      </c>
      <c r="L5198" s="1" t="str">
        <f t="shared" si="2"/>
        <v>Feb</v>
      </c>
      <c r="M5198" s="1" t="str">
        <f t="shared" si="3"/>
        <v>Profit</v>
      </c>
    </row>
    <row r="5199" ht="14.25" customHeight="1">
      <c r="A5199" s="1" t="s">
        <v>5233</v>
      </c>
      <c r="B5199" s="2">
        <v>45248.0</v>
      </c>
      <c r="C5199" s="1" t="s">
        <v>26</v>
      </c>
      <c r="D5199" s="1" t="s">
        <v>15</v>
      </c>
      <c r="E5199" s="1" t="s">
        <v>31</v>
      </c>
      <c r="F5199" s="1">
        <v>323.46</v>
      </c>
      <c r="G5199" s="1">
        <v>108.78</v>
      </c>
      <c r="H5199" s="1">
        <v>8.0</v>
      </c>
      <c r="I5199" s="1" t="s">
        <v>34</v>
      </c>
      <c r="J5199" s="1" t="s">
        <v>24</v>
      </c>
      <c r="K5199" s="1">
        <f t="shared" si="1"/>
        <v>2023</v>
      </c>
      <c r="L5199" s="1" t="str">
        <f t="shared" si="2"/>
        <v>Nov</v>
      </c>
      <c r="M5199" s="1" t="str">
        <f t="shared" si="3"/>
        <v>Profit</v>
      </c>
    </row>
    <row r="5200" ht="14.25" customHeight="1">
      <c r="A5200" s="1" t="s">
        <v>5234</v>
      </c>
      <c r="B5200" s="2">
        <v>45023.0</v>
      </c>
      <c r="C5200" s="1" t="s">
        <v>14</v>
      </c>
      <c r="D5200" s="1" t="s">
        <v>21</v>
      </c>
      <c r="E5200" s="1" t="s">
        <v>22</v>
      </c>
      <c r="F5200" s="1">
        <v>618.45</v>
      </c>
      <c r="G5200" s="1">
        <v>111.97</v>
      </c>
      <c r="H5200" s="1">
        <v>2.0</v>
      </c>
      <c r="I5200" s="1" t="s">
        <v>23</v>
      </c>
      <c r="J5200" s="1" t="s">
        <v>35</v>
      </c>
      <c r="K5200" s="1">
        <f t="shared" si="1"/>
        <v>2023</v>
      </c>
      <c r="L5200" s="1" t="str">
        <f t="shared" si="2"/>
        <v>Apr</v>
      </c>
      <c r="M5200" s="1" t="str">
        <f t="shared" si="3"/>
        <v>Profit</v>
      </c>
    </row>
    <row r="5201" ht="14.25" customHeight="1">
      <c r="A5201" s="1" t="s">
        <v>5235</v>
      </c>
      <c r="B5201" s="2">
        <v>44394.0</v>
      </c>
      <c r="C5201" s="1" t="s">
        <v>14</v>
      </c>
      <c r="D5201" s="1" t="s">
        <v>27</v>
      </c>
      <c r="E5201" s="1" t="s">
        <v>28</v>
      </c>
      <c r="F5201" s="1">
        <v>283.9</v>
      </c>
      <c r="G5201" s="1">
        <v>199.26</v>
      </c>
      <c r="H5201" s="1">
        <v>9.0</v>
      </c>
      <c r="I5201" s="1" t="s">
        <v>34</v>
      </c>
      <c r="J5201" s="1" t="s">
        <v>35</v>
      </c>
      <c r="K5201" s="1">
        <f t="shared" si="1"/>
        <v>2021</v>
      </c>
      <c r="L5201" s="1" t="str">
        <f t="shared" si="2"/>
        <v>Jul</v>
      </c>
      <c r="M5201" s="1" t="str">
        <f t="shared" si="3"/>
        <v>Profit</v>
      </c>
    </row>
    <row r="5202" ht="14.25" customHeight="1">
      <c r="A5202" s="1" t="s">
        <v>5236</v>
      </c>
      <c r="B5202" s="2">
        <v>45253.0</v>
      </c>
      <c r="C5202" s="1" t="s">
        <v>14</v>
      </c>
      <c r="D5202" s="1" t="s">
        <v>21</v>
      </c>
      <c r="E5202" s="1" t="s">
        <v>22</v>
      </c>
      <c r="F5202" s="1">
        <v>124.58</v>
      </c>
      <c r="G5202" s="1">
        <v>11.42</v>
      </c>
      <c r="H5202" s="1">
        <v>5.0</v>
      </c>
      <c r="I5202" s="1" t="s">
        <v>34</v>
      </c>
      <c r="J5202" s="1" t="s">
        <v>24</v>
      </c>
      <c r="K5202" s="1">
        <f t="shared" si="1"/>
        <v>2023</v>
      </c>
      <c r="L5202" s="1" t="str">
        <f t="shared" si="2"/>
        <v>Nov</v>
      </c>
      <c r="M5202" s="1" t="str">
        <f t="shared" si="3"/>
        <v>Profit</v>
      </c>
    </row>
    <row r="5203" ht="14.25" customHeight="1">
      <c r="A5203" s="1" t="s">
        <v>5237</v>
      </c>
      <c r="B5203" s="2">
        <v>44387.0</v>
      </c>
      <c r="C5203" s="1" t="s">
        <v>20</v>
      </c>
      <c r="D5203" s="1" t="s">
        <v>15</v>
      </c>
      <c r="E5203" s="1" t="s">
        <v>54</v>
      </c>
      <c r="F5203" s="1">
        <v>204.36</v>
      </c>
      <c r="G5203" s="1">
        <v>-66.89</v>
      </c>
      <c r="H5203" s="1">
        <v>5.0</v>
      </c>
      <c r="I5203" s="1" t="s">
        <v>34</v>
      </c>
      <c r="J5203" s="1" t="s">
        <v>38</v>
      </c>
      <c r="K5203" s="1">
        <f t="shared" si="1"/>
        <v>2021</v>
      </c>
      <c r="L5203" s="1" t="str">
        <f t="shared" si="2"/>
        <v>Jul</v>
      </c>
      <c r="M5203" s="1" t="str">
        <f t="shared" si="3"/>
        <v>Loss</v>
      </c>
    </row>
    <row r="5204" ht="14.25" customHeight="1">
      <c r="A5204" s="1" t="s">
        <v>5238</v>
      </c>
      <c r="B5204" s="2">
        <v>45164.0</v>
      </c>
      <c r="C5204" s="1" t="s">
        <v>26</v>
      </c>
      <c r="D5204" s="1" t="s">
        <v>27</v>
      </c>
      <c r="E5204" s="1" t="s">
        <v>28</v>
      </c>
      <c r="F5204" s="1">
        <v>891.84</v>
      </c>
      <c r="G5204" s="1">
        <v>181.84</v>
      </c>
      <c r="H5204" s="1">
        <v>6.0</v>
      </c>
      <c r="I5204" s="1" t="s">
        <v>34</v>
      </c>
      <c r="J5204" s="1" t="s">
        <v>18</v>
      </c>
      <c r="K5204" s="1">
        <f t="shared" si="1"/>
        <v>2023</v>
      </c>
      <c r="L5204" s="1" t="str">
        <f t="shared" si="2"/>
        <v>Aug</v>
      </c>
      <c r="M5204" s="1" t="str">
        <f t="shared" si="3"/>
        <v>Profit</v>
      </c>
    </row>
    <row r="5205" ht="14.25" customHeight="1">
      <c r="A5205" s="1" t="s">
        <v>5239</v>
      </c>
      <c r="B5205" s="2">
        <v>45140.0</v>
      </c>
      <c r="C5205" s="1" t="s">
        <v>30</v>
      </c>
      <c r="D5205" s="1" t="s">
        <v>15</v>
      </c>
      <c r="E5205" s="1" t="s">
        <v>31</v>
      </c>
      <c r="F5205" s="1">
        <v>384.01</v>
      </c>
      <c r="G5205" s="1">
        <v>-4.22</v>
      </c>
      <c r="H5205" s="1">
        <v>8.0</v>
      </c>
      <c r="I5205" s="1" t="s">
        <v>17</v>
      </c>
      <c r="J5205" s="1" t="s">
        <v>35</v>
      </c>
      <c r="K5205" s="1">
        <f t="shared" si="1"/>
        <v>2023</v>
      </c>
      <c r="L5205" s="1" t="str">
        <f t="shared" si="2"/>
        <v>Aug</v>
      </c>
      <c r="M5205" s="1" t="str">
        <f t="shared" si="3"/>
        <v>Loss</v>
      </c>
    </row>
    <row r="5206" ht="14.25" customHeight="1">
      <c r="A5206" s="1" t="s">
        <v>5240</v>
      </c>
      <c r="B5206" s="2">
        <v>44268.0</v>
      </c>
      <c r="C5206" s="1" t="s">
        <v>26</v>
      </c>
      <c r="D5206" s="1" t="s">
        <v>27</v>
      </c>
      <c r="E5206" s="1" t="s">
        <v>40</v>
      </c>
      <c r="F5206" s="1">
        <v>126.81</v>
      </c>
      <c r="G5206" s="1">
        <v>-88.61</v>
      </c>
      <c r="H5206" s="1">
        <v>7.0</v>
      </c>
      <c r="I5206" s="1" t="s">
        <v>34</v>
      </c>
      <c r="J5206" s="1" t="s">
        <v>35</v>
      </c>
      <c r="K5206" s="1">
        <f t="shared" si="1"/>
        <v>2021</v>
      </c>
      <c r="L5206" s="1" t="str">
        <f t="shared" si="2"/>
        <v>Mar</v>
      </c>
      <c r="M5206" s="1" t="str">
        <f t="shared" si="3"/>
        <v>Loss</v>
      </c>
    </row>
    <row r="5207" ht="14.25" customHeight="1">
      <c r="A5207" s="1" t="s">
        <v>5241</v>
      </c>
      <c r="B5207" s="2">
        <v>44976.0</v>
      </c>
      <c r="C5207" s="1" t="s">
        <v>26</v>
      </c>
      <c r="D5207" s="1" t="s">
        <v>15</v>
      </c>
      <c r="E5207" s="1" t="s">
        <v>16</v>
      </c>
      <c r="F5207" s="1">
        <v>235.85</v>
      </c>
      <c r="G5207" s="1">
        <v>-5.56</v>
      </c>
      <c r="H5207" s="1">
        <v>5.0</v>
      </c>
      <c r="I5207" s="1" t="s">
        <v>34</v>
      </c>
      <c r="J5207" s="1" t="s">
        <v>24</v>
      </c>
      <c r="K5207" s="1">
        <f t="shared" si="1"/>
        <v>2023</v>
      </c>
      <c r="L5207" s="1" t="str">
        <f t="shared" si="2"/>
        <v>Feb</v>
      </c>
      <c r="M5207" s="1" t="str">
        <f t="shared" si="3"/>
        <v>Loss</v>
      </c>
    </row>
    <row r="5208" ht="14.25" customHeight="1">
      <c r="A5208" s="1" t="s">
        <v>5242</v>
      </c>
      <c r="B5208" s="2">
        <v>44913.0</v>
      </c>
      <c r="C5208" s="1" t="s">
        <v>14</v>
      </c>
      <c r="D5208" s="1" t="s">
        <v>21</v>
      </c>
      <c r="E5208" s="1" t="s">
        <v>22</v>
      </c>
      <c r="F5208" s="1">
        <v>547.99</v>
      </c>
      <c r="G5208" s="1">
        <v>-49.09</v>
      </c>
      <c r="H5208" s="1">
        <v>6.0</v>
      </c>
      <c r="I5208" s="1" t="s">
        <v>17</v>
      </c>
      <c r="J5208" s="1" t="s">
        <v>35</v>
      </c>
      <c r="K5208" s="1">
        <f t="shared" si="1"/>
        <v>2022</v>
      </c>
      <c r="L5208" s="1" t="str">
        <f t="shared" si="2"/>
        <v>Dec</v>
      </c>
      <c r="M5208" s="1" t="str">
        <f t="shared" si="3"/>
        <v>Loss</v>
      </c>
    </row>
    <row r="5209" ht="14.25" customHeight="1">
      <c r="A5209" s="1" t="s">
        <v>5243</v>
      </c>
      <c r="B5209" s="2">
        <v>44786.0</v>
      </c>
      <c r="C5209" s="1" t="s">
        <v>14</v>
      </c>
      <c r="D5209" s="1" t="s">
        <v>15</v>
      </c>
      <c r="E5209" s="1" t="s">
        <v>54</v>
      </c>
      <c r="F5209" s="1">
        <v>427.24</v>
      </c>
      <c r="G5209" s="1">
        <v>130.62</v>
      </c>
      <c r="H5209" s="1">
        <v>10.0</v>
      </c>
      <c r="I5209" s="1" t="s">
        <v>23</v>
      </c>
      <c r="J5209" s="1" t="s">
        <v>18</v>
      </c>
      <c r="K5209" s="1">
        <f t="shared" si="1"/>
        <v>2022</v>
      </c>
      <c r="L5209" s="1" t="str">
        <f t="shared" si="2"/>
        <v>Aug</v>
      </c>
      <c r="M5209" s="1" t="str">
        <f t="shared" si="3"/>
        <v>Profit</v>
      </c>
    </row>
    <row r="5210" ht="14.25" customHeight="1">
      <c r="A5210" s="1" t="s">
        <v>5244</v>
      </c>
      <c r="B5210" s="2">
        <v>45172.0</v>
      </c>
      <c r="C5210" s="1" t="s">
        <v>30</v>
      </c>
      <c r="D5210" s="1" t="s">
        <v>21</v>
      </c>
      <c r="E5210" s="1" t="s">
        <v>37</v>
      </c>
      <c r="F5210" s="1">
        <v>673.46</v>
      </c>
      <c r="G5210" s="1">
        <v>-13.14</v>
      </c>
      <c r="H5210" s="1">
        <v>3.0</v>
      </c>
      <c r="I5210" s="1" t="s">
        <v>34</v>
      </c>
      <c r="J5210" s="1" t="s">
        <v>24</v>
      </c>
      <c r="K5210" s="1">
        <f t="shared" si="1"/>
        <v>2023</v>
      </c>
      <c r="L5210" s="1" t="str">
        <f t="shared" si="2"/>
        <v>Sep</v>
      </c>
      <c r="M5210" s="1" t="str">
        <f t="shared" si="3"/>
        <v>Loss</v>
      </c>
    </row>
    <row r="5211" ht="14.25" customHeight="1">
      <c r="A5211" s="1" t="s">
        <v>5245</v>
      </c>
      <c r="B5211" s="2">
        <v>44979.0</v>
      </c>
      <c r="C5211" s="1" t="s">
        <v>26</v>
      </c>
      <c r="D5211" s="1" t="s">
        <v>27</v>
      </c>
      <c r="E5211" s="1" t="s">
        <v>28</v>
      </c>
      <c r="F5211" s="1">
        <v>400.22</v>
      </c>
      <c r="G5211" s="1">
        <v>260.38</v>
      </c>
      <c r="H5211" s="1">
        <v>10.0</v>
      </c>
      <c r="I5211" s="1" t="s">
        <v>23</v>
      </c>
      <c r="J5211" s="1" t="s">
        <v>24</v>
      </c>
      <c r="K5211" s="1">
        <f t="shared" si="1"/>
        <v>2023</v>
      </c>
      <c r="L5211" s="1" t="str">
        <f t="shared" si="2"/>
        <v>Feb</v>
      </c>
      <c r="M5211" s="1" t="str">
        <f t="shared" si="3"/>
        <v>Profit</v>
      </c>
    </row>
    <row r="5212" ht="14.25" customHeight="1">
      <c r="A5212" s="1" t="s">
        <v>5246</v>
      </c>
      <c r="B5212" s="2">
        <v>44983.0</v>
      </c>
      <c r="C5212" s="1" t="s">
        <v>30</v>
      </c>
      <c r="D5212" s="1" t="s">
        <v>27</v>
      </c>
      <c r="E5212" s="1" t="s">
        <v>40</v>
      </c>
      <c r="F5212" s="1">
        <v>204.69</v>
      </c>
      <c r="G5212" s="1">
        <v>122.84</v>
      </c>
      <c r="H5212" s="1">
        <v>6.0</v>
      </c>
      <c r="I5212" s="1" t="s">
        <v>23</v>
      </c>
      <c r="J5212" s="1" t="s">
        <v>35</v>
      </c>
      <c r="K5212" s="1">
        <f t="shared" si="1"/>
        <v>2023</v>
      </c>
      <c r="L5212" s="1" t="str">
        <f t="shared" si="2"/>
        <v>Feb</v>
      </c>
      <c r="M5212" s="1" t="str">
        <f t="shared" si="3"/>
        <v>Profit</v>
      </c>
    </row>
    <row r="5213" ht="14.25" customHeight="1">
      <c r="A5213" s="1" t="s">
        <v>5247</v>
      </c>
      <c r="B5213" s="2">
        <v>45059.0</v>
      </c>
      <c r="C5213" s="1" t="s">
        <v>20</v>
      </c>
      <c r="D5213" s="1" t="s">
        <v>27</v>
      </c>
      <c r="E5213" s="1" t="s">
        <v>40</v>
      </c>
      <c r="F5213" s="1">
        <v>611.84</v>
      </c>
      <c r="G5213" s="1">
        <v>115.67</v>
      </c>
      <c r="H5213" s="1">
        <v>7.0</v>
      </c>
      <c r="I5213" s="1" t="s">
        <v>34</v>
      </c>
      <c r="J5213" s="1" t="s">
        <v>38</v>
      </c>
      <c r="K5213" s="1">
        <f t="shared" si="1"/>
        <v>2023</v>
      </c>
      <c r="L5213" s="1" t="str">
        <f t="shared" si="2"/>
        <v>May</v>
      </c>
      <c r="M5213" s="1" t="str">
        <f t="shared" si="3"/>
        <v>Profit</v>
      </c>
    </row>
    <row r="5214" ht="14.25" customHeight="1">
      <c r="A5214" s="1" t="s">
        <v>5248</v>
      </c>
      <c r="B5214" s="2">
        <v>44643.0</v>
      </c>
      <c r="C5214" s="1" t="s">
        <v>20</v>
      </c>
      <c r="D5214" s="1" t="s">
        <v>21</v>
      </c>
      <c r="E5214" s="1" t="s">
        <v>76</v>
      </c>
      <c r="F5214" s="1">
        <v>269.9</v>
      </c>
      <c r="G5214" s="1">
        <v>208.66</v>
      </c>
      <c r="H5214" s="1">
        <v>9.0</v>
      </c>
      <c r="I5214" s="1" t="s">
        <v>17</v>
      </c>
      <c r="J5214" s="1" t="s">
        <v>24</v>
      </c>
      <c r="K5214" s="1">
        <f t="shared" si="1"/>
        <v>2022</v>
      </c>
      <c r="L5214" s="1" t="str">
        <f t="shared" si="2"/>
        <v>Mar</v>
      </c>
      <c r="M5214" s="1" t="str">
        <f t="shared" si="3"/>
        <v>Profit</v>
      </c>
    </row>
    <row r="5215" ht="14.25" customHeight="1">
      <c r="A5215" s="1" t="s">
        <v>5249</v>
      </c>
      <c r="B5215" s="2">
        <v>45210.0</v>
      </c>
      <c r="C5215" s="1" t="s">
        <v>20</v>
      </c>
      <c r="D5215" s="1" t="s">
        <v>27</v>
      </c>
      <c r="E5215" s="1" t="s">
        <v>28</v>
      </c>
      <c r="F5215" s="1">
        <v>758.95</v>
      </c>
      <c r="G5215" s="1">
        <v>183.89</v>
      </c>
      <c r="H5215" s="1">
        <v>9.0</v>
      </c>
      <c r="I5215" s="1" t="s">
        <v>17</v>
      </c>
      <c r="J5215" s="1" t="s">
        <v>38</v>
      </c>
      <c r="K5215" s="1">
        <f t="shared" si="1"/>
        <v>2023</v>
      </c>
      <c r="L5215" s="1" t="str">
        <f t="shared" si="2"/>
        <v>Oct</v>
      </c>
      <c r="M5215" s="1" t="str">
        <f t="shared" si="3"/>
        <v>Profit</v>
      </c>
    </row>
    <row r="5216" ht="14.25" customHeight="1">
      <c r="A5216" s="1" t="s">
        <v>5250</v>
      </c>
      <c r="B5216" s="2">
        <v>44676.0</v>
      </c>
      <c r="C5216" s="1" t="s">
        <v>26</v>
      </c>
      <c r="D5216" s="1" t="s">
        <v>21</v>
      </c>
      <c r="E5216" s="1" t="s">
        <v>37</v>
      </c>
      <c r="F5216" s="1">
        <v>432.67</v>
      </c>
      <c r="G5216" s="1">
        <v>122.02</v>
      </c>
      <c r="H5216" s="1">
        <v>2.0</v>
      </c>
      <c r="I5216" s="1" t="s">
        <v>17</v>
      </c>
      <c r="J5216" s="1" t="s">
        <v>38</v>
      </c>
      <c r="K5216" s="1">
        <f t="shared" si="1"/>
        <v>2022</v>
      </c>
      <c r="L5216" s="1" t="str">
        <f t="shared" si="2"/>
        <v>Apr</v>
      </c>
      <c r="M5216" s="1" t="str">
        <f t="shared" si="3"/>
        <v>Profit</v>
      </c>
    </row>
    <row r="5217" ht="14.25" customHeight="1">
      <c r="A5217" s="1" t="s">
        <v>5251</v>
      </c>
      <c r="B5217" s="2">
        <v>44630.0</v>
      </c>
      <c r="C5217" s="1" t="s">
        <v>30</v>
      </c>
      <c r="D5217" s="1" t="s">
        <v>27</v>
      </c>
      <c r="E5217" s="1" t="s">
        <v>28</v>
      </c>
      <c r="F5217" s="1">
        <v>588.92</v>
      </c>
      <c r="G5217" s="1">
        <v>111.11</v>
      </c>
      <c r="H5217" s="1">
        <v>7.0</v>
      </c>
      <c r="I5217" s="1" t="s">
        <v>34</v>
      </c>
      <c r="J5217" s="1" t="s">
        <v>35</v>
      </c>
      <c r="K5217" s="1">
        <f t="shared" si="1"/>
        <v>2022</v>
      </c>
      <c r="L5217" s="1" t="str">
        <f t="shared" si="2"/>
        <v>Mar</v>
      </c>
      <c r="M5217" s="1" t="str">
        <f t="shared" si="3"/>
        <v>Profit</v>
      </c>
    </row>
    <row r="5218" ht="14.25" customHeight="1">
      <c r="A5218" s="1" t="s">
        <v>5252</v>
      </c>
      <c r="B5218" s="2">
        <v>44225.0</v>
      </c>
      <c r="C5218" s="1" t="s">
        <v>14</v>
      </c>
      <c r="D5218" s="1" t="s">
        <v>27</v>
      </c>
      <c r="E5218" s="1" t="s">
        <v>40</v>
      </c>
      <c r="F5218" s="1">
        <v>873.24</v>
      </c>
      <c r="G5218" s="1">
        <v>100.42</v>
      </c>
      <c r="H5218" s="1">
        <v>7.0</v>
      </c>
      <c r="I5218" s="1" t="s">
        <v>34</v>
      </c>
      <c r="J5218" s="1" t="s">
        <v>24</v>
      </c>
      <c r="K5218" s="1">
        <f t="shared" si="1"/>
        <v>2021</v>
      </c>
      <c r="L5218" s="1" t="str">
        <f t="shared" si="2"/>
        <v>Jan</v>
      </c>
      <c r="M5218" s="1" t="str">
        <f t="shared" si="3"/>
        <v>Profit</v>
      </c>
    </row>
    <row r="5219" ht="14.25" customHeight="1">
      <c r="A5219" s="1" t="s">
        <v>5253</v>
      </c>
      <c r="B5219" s="2">
        <v>45002.0</v>
      </c>
      <c r="C5219" s="1" t="s">
        <v>20</v>
      </c>
      <c r="D5219" s="1" t="s">
        <v>15</v>
      </c>
      <c r="E5219" s="1" t="s">
        <v>54</v>
      </c>
      <c r="F5219" s="1">
        <v>842.23</v>
      </c>
      <c r="G5219" s="1">
        <v>-192.38</v>
      </c>
      <c r="H5219" s="1">
        <v>1.0</v>
      </c>
      <c r="I5219" s="1" t="s">
        <v>23</v>
      </c>
      <c r="J5219" s="1" t="s">
        <v>18</v>
      </c>
      <c r="K5219" s="1">
        <f t="shared" si="1"/>
        <v>2023</v>
      </c>
      <c r="L5219" s="1" t="str">
        <f t="shared" si="2"/>
        <v>Mar</v>
      </c>
      <c r="M5219" s="1" t="str">
        <f t="shared" si="3"/>
        <v>Loss</v>
      </c>
    </row>
    <row r="5220" ht="14.25" customHeight="1">
      <c r="A5220" s="1" t="s">
        <v>5254</v>
      </c>
      <c r="B5220" s="2">
        <v>44235.0</v>
      </c>
      <c r="C5220" s="1" t="s">
        <v>20</v>
      </c>
      <c r="D5220" s="1" t="s">
        <v>15</v>
      </c>
      <c r="E5220" s="1" t="s">
        <v>16</v>
      </c>
      <c r="F5220" s="1">
        <v>452.74</v>
      </c>
      <c r="G5220" s="1">
        <v>-29.0</v>
      </c>
      <c r="H5220" s="1">
        <v>2.0</v>
      </c>
      <c r="I5220" s="1" t="s">
        <v>17</v>
      </c>
      <c r="J5220" s="1" t="s">
        <v>24</v>
      </c>
      <c r="K5220" s="1">
        <f t="shared" si="1"/>
        <v>2021</v>
      </c>
      <c r="L5220" s="1" t="str">
        <f t="shared" si="2"/>
        <v>Feb</v>
      </c>
      <c r="M5220" s="1" t="str">
        <f t="shared" si="3"/>
        <v>Loss</v>
      </c>
    </row>
    <row r="5221" ht="14.25" customHeight="1">
      <c r="A5221" s="1" t="s">
        <v>5255</v>
      </c>
      <c r="B5221" s="2">
        <v>44294.0</v>
      </c>
      <c r="C5221" s="1" t="s">
        <v>26</v>
      </c>
      <c r="D5221" s="1" t="s">
        <v>21</v>
      </c>
      <c r="E5221" s="1" t="s">
        <v>22</v>
      </c>
      <c r="F5221" s="1">
        <v>472.26</v>
      </c>
      <c r="G5221" s="1">
        <v>105.36</v>
      </c>
      <c r="H5221" s="1">
        <v>5.0</v>
      </c>
      <c r="I5221" s="1" t="s">
        <v>17</v>
      </c>
      <c r="J5221" s="1" t="s">
        <v>38</v>
      </c>
      <c r="K5221" s="1">
        <f t="shared" si="1"/>
        <v>2021</v>
      </c>
      <c r="L5221" s="1" t="str">
        <f t="shared" si="2"/>
        <v>Apr</v>
      </c>
      <c r="M5221" s="1" t="str">
        <f t="shared" si="3"/>
        <v>Profit</v>
      </c>
    </row>
    <row r="5222" ht="14.25" customHeight="1">
      <c r="A5222" s="1" t="s">
        <v>5256</v>
      </c>
      <c r="B5222" s="2">
        <v>44674.0</v>
      </c>
      <c r="C5222" s="1" t="s">
        <v>30</v>
      </c>
      <c r="D5222" s="1" t="s">
        <v>15</v>
      </c>
      <c r="E5222" s="1" t="s">
        <v>31</v>
      </c>
      <c r="F5222" s="1">
        <v>716.2</v>
      </c>
      <c r="G5222" s="1">
        <v>193.53</v>
      </c>
      <c r="H5222" s="1">
        <v>10.0</v>
      </c>
      <c r="I5222" s="1" t="s">
        <v>17</v>
      </c>
      <c r="J5222" s="1" t="s">
        <v>35</v>
      </c>
      <c r="K5222" s="1">
        <f t="shared" si="1"/>
        <v>2022</v>
      </c>
      <c r="L5222" s="1" t="str">
        <f t="shared" si="2"/>
        <v>Apr</v>
      </c>
      <c r="M5222" s="1" t="str">
        <f t="shared" si="3"/>
        <v>Profit</v>
      </c>
    </row>
    <row r="5223" ht="14.25" customHeight="1">
      <c r="A5223" s="1" t="s">
        <v>5257</v>
      </c>
      <c r="B5223" s="2">
        <v>44745.0</v>
      </c>
      <c r="C5223" s="1" t="s">
        <v>30</v>
      </c>
      <c r="D5223" s="1" t="s">
        <v>21</v>
      </c>
      <c r="E5223" s="1" t="s">
        <v>22</v>
      </c>
      <c r="F5223" s="1">
        <v>317.29</v>
      </c>
      <c r="G5223" s="1">
        <v>-80.66</v>
      </c>
      <c r="H5223" s="1">
        <v>8.0</v>
      </c>
      <c r="I5223" s="1" t="s">
        <v>17</v>
      </c>
      <c r="J5223" s="1" t="s">
        <v>18</v>
      </c>
      <c r="K5223" s="1">
        <f t="shared" si="1"/>
        <v>2022</v>
      </c>
      <c r="L5223" s="1" t="str">
        <f t="shared" si="2"/>
        <v>Jul</v>
      </c>
      <c r="M5223" s="1" t="str">
        <f t="shared" si="3"/>
        <v>Loss</v>
      </c>
    </row>
    <row r="5224" ht="14.25" customHeight="1">
      <c r="A5224" s="1" t="s">
        <v>5258</v>
      </c>
      <c r="B5224" s="2">
        <v>44922.0</v>
      </c>
      <c r="C5224" s="1" t="s">
        <v>20</v>
      </c>
      <c r="D5224" s="1" t="s">
        <v>27</v>
      </c>
      <c r="E5224" s="1" t="s">
        <v>33</v>
      </c>
      <c r="F5224" s="1">
        <v>87.64</v>
      </c>
      <c r="G5224" s="1">
        <v>63.88</v>
      </c>
      <c r="H5224" s="1">
        <v>8.0</v>
      </c>
      <c r="I5224" s="1" t="s">
        <v>34</v>
      </c>
      <c r="J5224" s="1" t="s">
        <v>24</v>
      </c>
      <c r="K5224" s="1">
        <f t="shared" si="1"/>
        <v>2022</v>
      </c>
      <c r="L5224" s="1" t="str">
        <f t="shared" si="2"/>
        <v>Dec</v>
      </c>
      <c r="M5224" s="1" t="str">
        <f t="shared" si="3"/>
        <v>Profit</v>
      </c>
    </row>
    <row r="5225" ht="14.25" customHeight="1">
      <c r="A5225" s="1" t="s">
        <v>5259</v>
      </c>
      <c r="B5225" s="2">
        <v>44226.0</v>
      </c>
      <c r="C5225" s="1" t="s">
        <v>30</v>
      </c>
      <c r="D5225" s="1" t="s">
        <v>21</v>
      </c>
      <c r="E5225" s="1" t="s">
        <v>37</v>
      </c>
      <c r="F5225" s="1">
        <v>632.93</v>
      </c>
      <c r="G5225" s="1">
        <v>179.9</v>
      </c>
      <c r="H5225" s="1">
        <v>1.0</v>
      </c>
      <c r="I5225" s="1" t="s">
        <v>17</v>
      </c>
      <c r="J5225" s="1" t="s">
        <v>24</v>
      </c>
      <c r="K5225" s="1">
        <f t="shared" si="1"/>
        <v>2021</v>
      </c>
      <c r="L5225" s="1" t="str">
        <f t="shared" si="2"/>
        <v>Jan</v>
      </c>
      <c r="M5225" s="1" t="str">
        <f t="shared" si="3"/>
        <v>Profit</v>
      </c>
    </row>
    <row r="5226" ht="14.25" customHeight="1">
      <c r="A5226" s="1" t="s">
        <v>5260</v>
      </c>
      <c r="B5226" s="2">
        <v>44879.0</v>
      </c>
      <c r="C5226" s="1" t="s">
        <v>20</v>
      </c>
      <c r="D5226" s="1" t="s">
        <v>21</v>
      </c>
      <c r="E5226" s="1" t="s">
        <v>76</v>
      </c>
      <c r="F5226" s="1">
        <v>483.73</v>
      </c>
      <c r="G5226" s="1">
        <v>291.99</v>
      </c>
      <c r="H5226" s="1">
        <v>5.0</v>
      </c>
      <c r="I5226" s="1" t="s">
        <v>17</v>
      </c>
      <c r="J5226" s="1" t="s">
        <v>35</v>
      </c>
      <c r="K5226" s="1">
        <f t="shared" si="1"/>
        <v>2022</v>
      </c>
      <c r="L5226" s="1" t="str">
        <f t="shared" si="2"/>
        <v>Nov</v>
      </c>
      <c r="M5226" s="1" t="str">
        <f t="shared" si="3"/>
        <v>Profit</v>
      </c>
    </row>
    <row r="5227" ht="14.25" customHeight="1">
      <c r="A5227" s="1" t="s">
        <v>5261</v>
      </c>
      <c r="B5227" s="2">
        <v>44744.0</v>
      </c>
      <c r="C5227" s="1" t="s">
        <v>20</v>
      </c>
      <c r="D5227" s="1" t="s">
        <v>21</v>
      </c>
      <c r="E5227" s="1" t="s">
        <v>37</v>
      </c>
      <c r="F5227" s="1">
        <v>63.63</v>
      </c>
      <c r="G5227" s="1">
        <v>165.4</v>
      </c>
      <c r="H5227" s="1">
        <v>7.0</v>
      </c>
      <c r="I5227" s="1" t="s">
        <v>17</v>
      </c>
      <c r="J5227" s="1" t="s">
        <v>18</v>
      </c>
      <c r="K5227" s="1">
        <f t="shared" si="1"/>
        <v>2022</v>
      </c>
      <c r="L5227" s="1" t="str">
        <f t="shared" si="2"/>
        <v>Jul</v>
      </c>
      <c r="M5227" s="1" t="str">
        <f t="shared" si="3"/>
        <v>Profit</v>
      </c>
    </row>
    <row r="5228" ht="14.25" customHeight="1">
      <c r="A5228" s="1" t="s">
        <v>5262</v>
      </c>
      <c r="B5228" s="2">
        <v>44320.0</v>
      </c>
      <c r="C5228" s="1" t="s">
        <v>14</v>
      </c>
      <c r="D5228" s="1" t="s">
        <v>21</v>
      </c>
      <c r="E5228" s="1" t="s">
        <v>22</v>
      </c>
      <c r="F5228" s="1">
        <v>390.17</v>
      </c>
      <c r="G5228" s="1">
        <v>-190.82</v>
      </c>
      <c r="H5228" s="1">
        <v>7.0</v>
      </c>
      <c r="I5228" s="1" t="s">
        <v>34</v>
      </c>
      <c r="J5228" s="1" t="s">
        <v>35</v>
      </c>
      <c r="K5228" s="1">
        <f t="shared" si="1"/>
        <v>2021</v>
      </c>
      <c r="L5228" s="1" t="str">
        <f t="shared" si="2"/>
        <v>May</v>
      </c>
      <c r="M5228" s="1" t="str">
        <f t="shared" si="3"/>
        <v>Loss</v>
      </c>
    </row>
    <row r="5229" ht="14.25" customHeight="1">
      <c r="A5229" s="1" t="s">
        <v>5263</v>
      </c>
      <c r="B5229" s="2">
        <v>45114.0</v>
      </c>
      <c r="C5229" s="1" t="s">
        <v>14</v>
      </c>
      <c r="D5229" s="1" t="s">
        <v>27</v>
      </c>
      <c r="E5229" s="1" t="s">
        <v>33</v>
      </c>
      <c r="F5229" s="1">
        <v>752.65</v>
      </c>
      <c r="G5229" s="1">
        <v>1.71</v>
      </c>
      <c r="H5229" s="1">
        <v>3.0</v>
      </c>
      <c r="I5229" s="1" t="s">
        <v>23</v>
      </c>
      <c r="J5229" s="1" t="s">
        <v>35</v>
      </c>
      <c r="K5229" s="1">
        <f t="shared" si="1"/>
        <v>2023</v>
      </c>
      <c r="L5229" s="1" t="str">
        <f t="shared" si="2"/>
        <v>Jul</v>
      </c>
      <c r="M5229" s="1" t="str">
        <f t="shared" si="3"/>
        <v>Profit</v>
      </c>
    </row>
    <row r="5230" ht="14.25" customHeight="1">
      <c r="A5230" s="1" t="s">
        <v>5264</v>
      </c>
      <c r="B5230" s="2">
        <v>44255.0</v>
      </c>
      <c r="C5230" s="1" t="s">
        <v>20</v>
      </c>
      <c r="D5230" s="1" t="s">
        <v>21</v>
      </c>
      <c r="E5230" s="1" t="s">
        <v>37</v>
      </c>
      <c r="F5230" s="1">
        <v>56.14</v>
      </c>
      <c r="G5230" s="1">
        <v>85.68</v>
      </c>
      <c r="H5230" s="1">
        <v>9.0</v>
      </c>
      <c r="I5230" s="1" t="s">
        <v>34</v>
      </c>
      <c r="J5230" s="1" t="s">
        <v>18</v>
      </c>
      <c r="K5230" s="1">
        <f t="shared" si="1"/>
        <v>2021</v>
      </c>
      <c r="L5230" s="1" t="str">
        <f t="shared" si="2"/>
        <v>Feb</v>
      </c>
      <c r="M5230" s="1" t="str">
        <f t="shared" si="3"/>
        <v>Profit</v>
      </c>
    </row>
    <row r="5231" ht="14.25" customHeight="1">
      <c r="A5231" s="1" t="s">
        <v>5265</v>
      </c>
      <c r="B5231" s="2">
        <v>45251.0</v>
      </c>
      <c r="C5231" s="1" t="s">
        <v>30</v>
      </c>
      <c r="D5231" s="1" t="s">
        <v>21</v>
      </c>
      <c r="E5231" s="1" t="s">
        <v>22</v>
      </c>
      <c r="F5231" s="1">
        <v>97.66</v>
      </c>
      <c r="G5231" s="1">
        <v>135.9</v>
      </c>
      <c r="H5231" s="1">
        <v>7.0</v>
      </c>
      <c r="I5231" s="1" t="s">
        <v>34</v>
      </c>
      <c r="J5231" s="1" t="s">
        <v>18</v>
      </c>
      <c r="K5231" s="1">
        <f t="shared" si="1"/>
        <v>2023</v>
      </c>
      <c r="L5231" s="1" t="str">
        <f t="shared" si="2"/>
        <v>Nov</v>
      </c>
      <c r="M5231" s="1" t="str">
        <f t="shared" si="3"/>
        <v>Profit</v>
      </c>
    </row>
    <row r="5232" ht="14.25" customHeight="1">
      <c r="A5232" s="1" t="s">
        <v>5266</v>
      </c>
      <c r="B5232" s="2">
        <v>44579.0</v>
      </c>
      <c r="C5232" s="1" t="s">
        <v>20</v>
      </c>
      <c r="D5232" s="1" t="s">
        <v>21</v>
      </c>
      <c r="E5232" s="1" t="s">
        <v>76</v>
      </c>
      <c r="F5232" s="1">
        <v>524.94</v>
      </c>
      <c r="G5232" s="1">
        <v>121.96</v>
      </c>
      <c r="H5232" s="1">
        <v>6.0</v>
      </c>
      <c r="I5232" s="1" t="s">
        <v>23</v>
      </c>
      <c r="J5232" s="1" t="s">
        <v>38</v>
      </c>
      <c r="K5232" s="1">
        <f t="shared" si="1"/>
        <v>2022</v>
      </c>
      <c r="L5232" s="1" t="str">
        <f t="shared" si="2"/>
        <v>Jan</v>
      </c>
      <c r="M5232" s="1" t="str">
        <f t="shared" si="3"/>
        <v>Profit</v>
      </c>
    </row>
    <row r="5233" ht="14.25" customHeight="1">
      <c r="A5233" s="1" t="s">
        <v>5267</v>
      </c>
      <c r="B5233" s="2">
        <v>45281.0</v>
      </c>
      <c r="C5233" s="1" t="s">
        <v>20</v>
      </c>
      <c r="D5233" s="1" t="s">
        <v>27</v>
      </c>
      <c r="E5233" s="1" t="s">
        <v>33</v>
      </c>
      <c r="F5233" s="1">
        <v>146.69</v>
      </c>
      <c r="G5233" s="1">
        <v>-102.48</v>
      </c>
      <c r="H5233" s="1">
        <v>2.0</v>
      </c>
      <c r="I5233" s="1" t="s">
        <v>34</v>
      </c>
      <c r="J5233" s="1" t="s">
        <v>24</v>
      </c>
      <c r="K5233" s="1">
        <f t="shared" si="1"/>
        <v>2023</v>
      </c>
      <c r="L5233" s="1" t="str">
        <f t="shared" si="2"/>
        <v>Dec</v>
      </c>
      <c r="M5233" s="1" t="str">
        <f t="shared" si="3"/>
        <v>Loss</v>
      </c>
    </row>
    <row r="5234" ht="14.25" customHeight="1">
      <c r="A5234" s="1" t="s">
        <v>5268</v>
      </c>
      <c r="B5234" s="2">
        <v>44808.0</v>
      </c>
      <c r="C5234" s="1" t="s">
        <v>26</v>
      </c>
      <c r="D5234" s="1" t="s">
        <v>21</v>
      </c>
      <c r="E5234" s="1" t="s">
        <v>76</v>
      </c>
      <c r="F5234" s="1">
        <v>434.08</v>
      </c>
      <c r="G5234" s="1">
        <v>77.87</v>
      </c>
      <c r="H5234" s="1">
        <v>10.0</v>
      </c>
      <c r="I5234" s="1" t="s">
        <v>17</v>
      </c>
      <c r="J5234" s="1" t="s">
        <v>35</v>
      </c>
      <c r="K5234" s="1">
        <f t="shared" si="1"/>
        <v>2022</v>
      </c>
      <c r="L5234" s="1" t="str">
        <f t="shared" si="2"/>
        <v>Sep</v>
      </c>
      <c r="M5234" s="1" t="str">
        <f t="shared" si="3"/>
        <v>Profit</v>
      </c>
    </row>
    <row r="5235" ht="14.25" customHeight="1">
      <c r="A5235" s="1" t="s">
        <v>5269</v>
      </c>
      <c r="B5235" s="2">
        <v>44490.0</v>
      </c>
      <c r="C5235" s="1" t="s">
        <v>20</v>
      </c>
      <c r="D5235" s="1" t="s">
        <v>27</v>
      </c>
      <c r="E5235" s="1" t="s">
        <v>40</v>
      </c>
      <c r="F5235" s="1">
        <v>587.27</v>
      </c>
      <c r="G5235" s="1">
        <v>31.45</v>
      </c>
      <c r="H5235" s="1">
        <v>5.0</v>
      </c>
      <c r="I5235" s="1" t="s">
        <v>34</v>
      </c>
      <c r="J5235" s="1" t="s">
        <v>18</v>
      </c>
      <c r="K5235" s="1">
        <f t="shared" si="1"/>
        <v>2021</v>
      </c>
      <c r="L5235" s="1" t="str">
        <f t="shared" si="2"/>
        <v>Oct</v>
      </c>
      <c r="M5235" s="1" t="str">
        <f t="shared" si="3"/>
        <v>Profit</v>
      </c>
    </row>
    <row r="5236" ht="14.25" customHeight="1">
      <c r="A5236" s="1" t="s">
        <v>5270</v>
      </c>
      <c r="B5236" s="2">
        <v>44253.0</v>
      </c>
      <c r="C5236" s="1" t="s">
        <v>14</v>
      </c>
      <c r="D5236" s="1" t="s">
        <v>21</v>
      </c>
      <c r="E5236" s="1" t="s">
        <v>22</v>
      </c>
      <c r="F5236" s="1">
        <v>743.57</v>
      </c>
      <c r="G5236" s="1">
        <v>-61.23</v>
      </c>
      <c r="H5236" s="1">
        <v>7.0</v>
      </c>
      <c r="I5236" s="1" t="s">
        <v>23</v>
      </c>
      <c r="J5236" s="1" t="s">
        <v>18</v>
      </c>
      <c r="K5236" s="1">
        <f t="shared" si="1"/>
        <v>2021</v>
      </c>
      <c r="L5236" s="1" t="str">
        <f t="shared" si="2"/>
        <v>Feb</v>
      </c>
      <c r="M5236" s="1" t="str">
        <f t="shared" si="3"/>
        <v>Loss</v>
      </c>
    </row>
    <row r="5237" ht="14.25" customHeight="1">
      <c r="A5237" s="1" t="s">
        <v>5271</v>
      </c>
      <c r="B5237" s="2">
        <v>45161.0</v>
      </c>
      <c r="C5237" s="1" t="s">
        <v>26</v>
      </c>
      <c r="D5237" s="1" t="s">
        <v>21</v>
      </c>
      <c r="E5237" s="1" t="s">
        <v>37</v>
      </c>
      <c r="F5237" s="1">
        <v>164.23</v>
      </c>
      <c r="G5237" s="1">
        <v>-165.69</v>
      </c>
      <c r="H5237" s="1">
        <v>3.0</v>
      </c>
      <c r="I5237" s="1" t="s">
        <v>17</v>
      </c>
      <c r="J5237" s="1" t="s">
        <v>38</v>
      </c>
      <c r="K5237" s="1">
        <f t="shared" si="1"/>
        <v>2023</v>
      </c>
      <c r="L5237" s="1" t="str">
        <f t="shared" si="2"/>
        <v>Aug</v>
      </c>
      <c r="M5237" s="1" t="str">
        <f t="shared" si="3"/>
        <v>Loss</v>
      </c>
    </row>
    <row r="5238" ht="14.25" customHeight="1">
      <c r="A5238" s="1" t="s">
        <v>5272</v>
      </c>
      <c r="B5238" s="2">
        <v>44851.0</v>
      </c>
      <c r="C5238" s="1" t="s">
        <v>14</v>
      </c>
      <c r="D5238" s="1" t="s">
        <v>15</v>
      </c>
      <c r="E5238" s="1" t="s">
        <v>16</v>
      </c>
      <c r="F5238" s="1">
        <v>45.93</v>
      </c>
      <c r="G5238" s="1">
        <v>283.96</v>
      </c>
      <c r="H5238" s="1">
        <v>5.0</v>
      </c>
      <c r="I5238" s="1" t="s">
        <v>34</v>
      </c>
      <c r="J5238" s="1" t="s">
        <v>38</v>
      </c>
      <c r="K5238" s="1">
        <f t="shared" si="1"/>
        <v>2022</v>
      </c>
      <c r="L5238" s="1" t="str">
        <f t="shared" si="2"/>
        <v>Oct</v>
      </c>
      <c r="M5238" s="1" t="str">
        <f t="shared" si="3"/>
        <v>Profit</v>
      </c>
    </row>
    <row r="5239" ht="14.25" customHeight="1">
      <c r="A5239" s="1" t="s">
        <v>5273</v>
      </c>
      <c r="B5239" s="2">
        <v>45115.0</v>
      </c>
      <c r="C5239" s="1" t="s">
        <v>26</v>
      </c>
      <c r="D5239" s="1" t="s">
        <v>15</v>
      </c>
      <c r="E5239" s="1" t="s">
        <v>16</v>
      </c>
      <c r="F5239" s="1">
        <v>79.58</v>
      </c>
      <c r="G5239" s="1">
        <v>237.58</v>
      </c>
      <c r="H5239" s="1">
        <v>8.0</v>
      </c>
      <c r="I5239" s="1" t="s">
        <v>34</v>
      </c>
      <c r="J5239" s="1" t="s">
        <v>18</v>
      </c>
      <c r="K5239" s="1">
        <f t="shared" si="1"/>
        <v>2023</v>
      </c>
      <c r="L5239" s="1" t="str">
        <f t="shared" si="2"/>
        <v>Jul</v>
      </c>
      <c r="M5239" s="1" t="str">
        <f t="shared" si="3"/>
        <v>Profit</v>
      </c>
    </row>
    <row r="5240" ht="14.25" customHeight="1">
      <c r="A5240" s="1" t="s">
        <v>5274</v>
      </c>
      <c r="B5240" s="2">
        <v>44755.0</v>
      </c>
      <c r="C5240" s="1" t="s">
        <v>26</v>
      </c>
      <c r="D5240" s="1" t="s">
        <v>21</v>
      </c>
      <c r="E5240" s="1" t="s">
        <v>76</v>
      </c>
      <c r="F5240" s="1">
        <v>816.42</v>
      </c>
      <c r="G5240" s="1">
        <v>31.8</v>
      </c>
      <c r="H5240" s="1">
        <v>4.0</v>
      </c>
      <c r="I5240" s="1" t="s">
        <v>23</v>
      </c>
      <c r="J5240" s="1" t="s">
        <v>35</v>
      </c>
      <c r="K5240" s="1">
        <f t="shared" si="1"/>
        <v>2022</v>
      </c>
      <c r="L5240" s="1" t="str">
        <f t="shared" si="2"/>
        <v>Jul</v>
      </c>
      <c r="M5240" s="1" t="str">
        <f t="shared" si="3"/>
        <v>Profit</v>
      </c>
    </row>
    <row r="5241" ht="14.25" customHeight="1">
      <c r="A5241" s="1" t="s">
        <v>5275</v>
      </c>
      <c r="B5241" s="2">
        <v>45174.0</v>
      </c>
      <c r="C5241" s="1" t="s">
        <v>14</v>
      </c>
      <c r="D5241" s="1" t="s">
        <v>15</v>
      </c>
      <c r="E5241" s="1" t="s">
        <v>54</v>
      </c>
      <c r="F5241" s="1">
        <v>195.48</v>
      </c>
      <c r="G5241" s="1">
        <v>78.81</v>
      </c>
      <c r="H5241" s="1">
        <v>8.0</v>
      </c>
      <c r="I5241" s="1" t="s">
        <v>17</v>
      </c>
      <c r="J5241" s="1" t="s">
        <v>18</v>
      </c>
      <c r="K5241" s="1">
        <f t="shared" si="1"/>
        <v>2023</v>
      </c>
      <c r="L5241" s="1" t="str">
        <f t="shared" si="2"/>
        <v>Sep</v>
      </c>
      <c r="M5241" s="1" t="str">
        <f t="shared" si="3"/>
        <v>Profit</v>
      </c>
    </row>
    <row r="5242" ht="14.25" customHeight="1">
      <c r="A5242" s="1" t="s">
        <v>5276</v>
      </c>
      <c r="B5242" s="2">
        <v>44686.0</v>
      </c>
      <c r="C5242" s="1" t="s">
        <v>30</v>
      </c>
      <c r="D5242" s="1" t="s">
        <v>15</v>
      </c>
      <c r="E5242" s="1" t="s">
        <v>16</v>
      </c>
      <c r="F5242" s="1">
        <v>62.67</v>
      </c>
      <c r="G5242" s="1">
        <v>116.95</v>
      </c>
      <c r="H5242" s="1">
        <v>9.0</v>
      </c>
      <c r="I5242" s="1" t="s">
        <v>34</v>
      </c>
      <c r="J5242" s="1" t="s">
        <v>35</v>
      </c>
      <c r="K5242" s="1">
        <f t="shared" si="1"/>
        <v>2022</v>
      </c>
      <c r="L5242" s="1" t="str">
        <f t="shared" si="2"/>
        <v>May</v>
      </c>
      <c r="M5242" s="1" t="str">
        <f t="shared" si="3"/>
        <v>Profit</v>
      </c>
    </row>
    <row r="5243" ht="14.25" customHeight="1">
      <c r="A5243" s="1" t="s">
        <v>5277</v>
      </c>
      <c r="B5243" s="2">
        <v>45171.0</v>
      </c>
      <c r="C5243" s="1" t="s">
        <v>26</v>
      </c>
      <c r="D5243" s="1" t="s">
        <v>27</v>
      </c>
      <c r="E5243" s="1" t="s">
        <v>28</v>
      </c>
      <c r="F5243" s="1">
        <v>252.13</v>
      </c>
      <c r="G5243" s="1">
        <v>223.15</v>
      </c>
      <c r="H5243" s="1">
        <v>7.0</v>
      </c>
      <c r="I5243" s="1" t="s">
        <v>34</v>
      </c>
      <c r="J5243" s="1" t="s">
        <v>24</v>
      </c>
      <c r="K5243" s="1">
        <f t="shared" si="1"/>
        <v>2023</v>
      </c>
      <c r="L5243" s="1" t="str">
        <f t="shared" si="2"/>
        <v>Sep</v>
      </c>
      <c r="M5243" s="1" t="str">
        <f t="shared" si="3"/>
        <v>Profit</v>
      </c>
    </row>
    <row r="5244" ht="14.25" customHeight="1">
      <c r="A5244" s="1" t="s">
        <v>5278</v>
      </c>
      <c r="B5244" s="2">
        <v>44248.0</v>
      </c>
      <c r="C5244" s="1" t="s">
        <v>14</v>
      </c>
      <c r="D5244" s="1" t="s">
        <v>27</v>
      </c>
      <c r="E5244" s="1" t="s">
        <v>33</v>
      </c>
      <c r="F5244" s="1">
        <v>988.33</v>
      </c>
      <c r="G5244" s="1">
        <v>217.8</v>
      </c>
      <c r="H5244" s="1">
        <v>1.0</v>
      </c>
      <c r="I5244" s="1" t="s">
        <v>23</v>
      </c>
      <c r="J5244" s="1" t="s">
        <v>24</v>
      </c>
      <c r="K5244" s="1">
        <f t="shared" si="1"/>
        <v>2021</v>
      </c>
      <c r="L5244" s="1" t="str">
        <f t="shared" si="2"/>
        <v>Feb</v>
      </c>
      <c r="M5244" s="1" t="str">
        <f t="shared" si="3"/>
        <v>Profit</v>
      </c>
    </row>
    <row r="5245" ht="14.25" customHeight="1">
      <c r="A5245" s="1" t="s">
        <v>5279</v>
      </c>
      <c r="B5245" s="2">
        <v>45210.0</v>
      </c>
      <c r="C5245" s="1" t="s">
        <v>14</v>
      </c>
      <c r="D5245" s="1" t="s">
        <v>21</v>
      </c>
      <c r="E5245" s="1" t="s">
        <v>22</v>
      </c>
      <c r="F5245" s="1">
        <v>866.31</v>
      </c>
      <c r="G5245" s="1">
        <v>-93.08</v>
      </c>
      <c r="H5245" s="1">
        <v>4.0</v>
      </c>
      <c r="I5245" s="1" t="s">
        <v>17</v>
      </c>
      <c r="J5245" s="1" t="s">
        <v>35</v>
      </c>
      <c r="K5245" s="1">
        <f t="shared" si="1"/>
        <v>2023</v>
      </c>
      <c r="L5245" s="1" t="str">
        <f t="shared" si="2"/>
        <v>Oct</v>
      </c>
      <c r="M5245" s="1" t="str">
        <f t="shared" si="3"/>
        <v>Loss</v>
      </c>
    </row>
    <row r="5246" ht="14.25" customHeight="1">
      <c r="A5246" s="1" t="s">
        <v>5280</v>
      </c>
      <c r="B5246" s="2">
        <v>44845.0</v>
      </c>
      <c r="C5246" s="1" t="s">
        <v>30</v>
      </c>
      <c r="D5246" s="1" t="s">
        <v>27</v>
      </c>
      <c r="E5246" s="1" t="s">
        <v>33</v>
      </c>
      <c r="F5246" s="1">
        <v>549.14</v>
      </c>
      <c r="G5246" s="1">
        <v>-138.59</v>
      </c>
      <c r="H5246" s="1">
        <v>4.0</v>
      </c>
      <c r="I5246" s="1" t="s">
        <v>23</v>
      </c>
      <c r="J5246" s="1" t="s">
        <v>38</v>
      </c>
      <c r="K5246" s="1">
        <f t="shared" si="1"/>
        <v>2022</v>
      </c>
      <c r="L5246" s="1" t="str">
        <f t="shared" si="2"/>
        <v>Oct</v>
      </c>
      <c r="M5246" s="1" t="str">
        <f t="shared" si="3"/>
        <v>Loss</v>
      </c>
    </row>
    <row r="5247" ht="14.25" customHeight="1">
      <c r="A5247" s="1" t="s">
        <v>5281</v>
      </c>
      <c r="B5247" s="2">
        <v>44286.0</v>
      </c>
      <c r="C5247" s="1" t="s">
        <v>14</v>
      </c>
      <c r="D5247" s="1" t="s">
        <v>27</v>
      </c>
      <c r="E5247" s="1" t="s">
        <v>28</v>
      </c>
      <c r="F5247" s="1">
        <v>521.15</v>
      </c>
      <c r="G5247" s="1">
        <v>-134.96</v>
      </c>
      <c r="H5247" s="1">
        <v>3.0</v>
      </c>
      <c r="I5247" s="1" t="s">
        <v>34</v>
      </c>
      <c r="J5247" s="1" t="s">
        <v>18</v>
      </c>
      <c r="K5247" s="1">
        <f t="shared" si="1"/>
        <v>2021</v>
      </c>
      <c r="L5247" s="1" t="str">
        <f t="shared" si="2"/>
        <v>Mar</v>
      </c>
      <c r="M5247" s="1" t="str">
        <f t="shared" si="3"/>
        <v>Loss</v>
      </c>
    </row>
    <row r="5248" ht="14.25" customHeight="1">
      <c r="A5248" s="1" t="s">
        <v>5282</v>
      </c>
      <c r="B5248" s="2">
        <v>44769.0</v>
      </c>
      <c r="C5248" s="1" t="s">
        <v>14</v>
      </c>
      <c r="D5248" s="1" t="s">
        <v>21</v>
      </c>
      <c r="E5248" s="1" t="s">
        <v>37</v>
      </c>
      <c r="F5248" s="1">
        <v>536.55</v>
      </c>
      <c r="G5248" s="1">
        <v>189.97</v>
      </c>
      <c r="H5248" s="1">
        <v>9.0</v>
      </c>
      <c r="I5248" s="1" t="s">
        <v>34</v>
      </c>
      <c r="J5248" s="1" t="s">
        <v>24</v>
      </c>
      <c r="K5248" s="1">
        <f t="shared" si="1"/>
        <v>2022</v>
      </c>
      <c r="L5248" s="1" t="str">
        <f t="shared" si="2"/>
        <v>Jul</v>
      </c>
      <c r="M5248" s="1" t="str">
        <f t="shared" si="3"/>
        <v>Profit</v>
      </c>
    </row>
    <row r="5249" ht="14.25" customHeight="1">
      <c r="A5249" s="1" t="s">
        <v>5283</v>
      </c>
      <c r="B5249" s="2">
        <v>44709.0</v>
      </c>
      <c r="C5249" s="1" t="s">
        <v>20</v>
      </c>
      <c r="D5249" s="1" t="s">
        <v>21</v>
      </c>
      <c r="E5249" s="1" t="s">
        <v>76</v>
      </c>
      <c r="F5249" s="1">
        <v>517.47</v>
      </c>
      <c r="G5249" s="1">
        <v>225.51</v>
      </c>
      <c r="H5249" s="1">
        <v>7.0</v>
      </c>
      <c r="I5249" s="1" t="s">
        <v>23</v>
      </c>
      <c r="J5249" s="1" t="s">
        <v>18</v>
      </c>
      <c r="K5249" s="1">
        <f t="shared" si="1"/>
        <v>2022</v>
      </c>
      <c r="L5249" s="1" t="str">
        <f t="shared" si="2"/>
        <v>May</v>
      </c>
      <c r="M5249" s="1" t="str">
        <f t="shared" si="3"/>
        <v>Profit</v>
      </c>
    </row>
    <row r="5250" ht="14.25" customHeight="1">
      <c r="A5250" s="1" t="s">
        <v>5284</v>
      </c>
      <c r="B5250" s="2">
        <v>44597.0</v>
      </c>
      <c r="C5250" s="1" t="s">
        <v>14</v>
      </c>
      <c r="D5250" s="1" t="s">
        <v>27</v>
      </c>
      <c r="E5250" s="1" t="s">
        <v>40</v>
      </c>
      <c r="F5250" s="1">
        <v>466.47</v>
      </c>
      <c r="G5250" s="1">
        <v>273.04</v>
      </c>
      <c r="H5250" s="1">
        <v>10.0</v>
      </c>
      <c r="I5250" s="1" t="s">
        <v>34</v>
      </c>
      <c r="J5250" s="1" t="s">
        <v>35</v>
      </c>
      <c r="K5250" s="1">
        <f t="shared" si="1"/>
        <v>2022</v>
      </c>
      <c r="L5250" s="1" t="str">
        <f t="shared" si="2"/>
        <v>Feb</v>
      </c>
      <c r="M5250" s="1" t="str">
        <f t="shared" si="3"/>
        <v>Profit</v>
      </c>
    </row>
    <row r="5251" ht="14.25" customHeight="1">
      <c r="A5251" s="1" t="s">
        <v>5285</v>
      </c>
      <c r="B5251" s="2">
        <v>44919.0</v>
      </c>
      <c r="C5251" s="1" t="s">
        <v>14</v>
      </c>
      <c r="D5251" s="1" t="s">
        <v>21</v>
      </c>
      <c r="E5251" s="1" t="s">
        <v>37</v>
      </c>
      <c r="F5251" s="1">
        <v>524.45</v>
      </c>
      <c r="G5251" s="1">
        <v>118.64</v>
      </c>
      <c r="H5251" s="1">
        <v>1.0</v>
      </c>
      <c r="I5251" s="1" t="s">
        <v>17</v>
      </c>
      <c r="J5251" s="1" t="s">
        <v>38</v>
      </c>
      <c r="K5251" s="1">
        <f t="shared" si="1"/>
        <v>2022</v>
      </c>
      <c r="L5251" s="1" t="str">
        <f t="shared" si="2"/>
        <v>Dec</v>
      </c>
      <c r="M5251" s="1" t="str">
        <f t="shared" si="3"/>
        <v>Profit</v>
      </c>
    </row>
    <row r="5252" ht="14.25" customHeight="1">
      <c r="A5252" s="1" t="s">
        <v>5286</v>
      </c>
      <c r="B5252" s="2">
        <v>44871.0</v>
      </c>
      <c r="C5252" s="1" t="s">
        <v>26</v>
      </c>
      <c r="D5252" s="1" t="s">
        <v>15</v>
      </c>
      <c r="E5252" s="1" t="s">
        <v>54</v>
      </c>
      <c r="F5252" s="1">
        <v>325.94</v>
      </c>
      <c r="G5252" s="1">
        <v>-139.2</v>
      </c>
      <c r="H5252" s="1">
        <v>8.0</v>
      </c>
      <c r="I5252" s="1" t="s">
        <v>23</v>
      </c>
      <c r="J5252" s="1" t="s">
        <v>18</v>
      </c>
      <c r="K5252" s="1">
        <f t="shared" si="1"/>
        <v>2022</v>
      </c>
      <c r="L5252" s="1" t="str">
        <f t="shared" si="2"/>
        <v>Nov</v>
      </c>
      <c r="M5252" s="1" t="str">
        <f t="shared" si="3"/>
        <v>Loss</v>
      </c>
    </row>
    <row r="5253" ht="14.25" customHeight="1">
      <c r="A5253" s="1" t="s">
        <v>5287</v>
      </c>
      <c r="B5253" s="2">
        <v>44479.0</v>
      </c>
      <c r="C5253" s="1" t="s">
        <v>26</v>
      </c>
      <c r="D5253" s="1" t="s">
        <v>15</v>
      </c>
      <c r="E5253" s="1" t="s">
        <v>16</v>
      </c>
      <c r="F5253" s="1">
        <v>320.35</v>
      </c>
      <c r="G5253" s="1">
        <v>15.23</v>
      </c>
      <c r="H5253" s="1">
        <v>6.0</v>
      </c>
      <c r="I5253" s="1" t="s">
        <v>17</v>
      </c>
      <c r="J5253" s="1" t="s">
        <v>38</v>
      </c>
      <c r="K5253" s="1">
        <f t="shared" si="1"/>
        <v>2021</v>
      </c>
      <c r="L5253" s="1" t="str">
        <f t="shared" si="2"/>
        <v>Oct</v>
      </c>
      <c r="M5253" s="1" t="str">
        <f t="shared" si="3"/>
        <v>Profit</v>
      </c>
    </row>
    <row r="5254" ht="14.25" customHeight="1">
      <c r="A5254" s="1" t="s">
        <v>5288</v>
      </c>
      <c r="B5254" s="2">
        <v>44545.0</v>
      </c>
      <c r="C5254" s="1" t="s">
        <v>26</v>
      </c>
      <c r="D5254" s="1" t="s">
        <v>21</v>
      </c>
      <c r="E5254" s="1" t="s">
        <v>37</v>
      </c>
      <c r="F5254" s="1">
        <v>620.23</v>
      </c>
      <c r="G5254" s="1">
        <v>170.95</v>
      </c>
      <c r="H5254" s="1">
        <v>3.0</v>
      </c>
      <c r="I5254" s="1" t="s">
        <v>34</v>
      </c>
      <c r="J5254" s="1" t="s">
        <v>38</v>
      </c>
      <c r="K5254" s="1">
        <f t="shared" si="1"/>
        <v>2021</v>
      </c>
      <c r="L5254" s="1" t="str">
        <f t="shared" si="2"/>
        <v>Dec</v>
      </c>
      <c r="M5254" s="1" t="str">
        <f t="shared" si="3"/>
        <v>Profit</v>
      </c>
    </row>
    <row r="5255" ht="14.25" customHeight="1">
      <c r="A5255" s="1" t="s">
        <v>5289</v>
      </c>
      <c r="B5255" s="2">
        <v>44943.0</v>
      </c>
      <c r="C5255" s="1" t="s">
        <v>14</v>
      </c>
      <c r="D5255" s="1" t="s">
        <v>27</v>
      </c>
      <c r="E5255" s="1" t="s">
        <v>28</v>
      </c>
      <c r="F5255" s="1">
        <v>360.19</v>
      </c>
      <c r="G5255" s="1">
        <v>167.85</v>
      </c>
      <c r="H5255" s="1">
        <v>5.0</v>
      </c>
      <c r="I5255" s="1" t="s">
        <v>17</v>
      </c>
      <c r="J5255" s="1" t="s">
        <v>24</v>
      </c>
      <c r="K5255" s="1">
        <f t="shared" si="1"/>
        <v>2023</v>
      </c>
      <c r="L5255" s="1" t="str">
        <f t="shared" si="2"/>
        <v>Jan</v>
      </c>
      <c r="M5255" s="1" t="str">
        <f t="shared" si="3"/>
        <v>Profit</v>
      </c>
    </row>
    <row r="5256" ht="14.25" customHeight="1">
      <c r="A5256" s="1" t="s">
        <v>5290</v>
      </c>
      <c r="B5256" s="2">
        <v>44243.0</v>
      </c>
      <c r="C5256" s="1" t="s">
        <v>14</v>
      </c>
      <c r="D5256" s="1" t="s">
        <v>27</v>
      </c>
      <c r="E5256" s="1" t="s">
        <v>40</v>
      </c>
      <c r="F5256" s="1">
        <v>933.5</v>
      </c>
      <c r="G5256" s="1">
        <v>-93.09</v>
      </c>
      <c r="H5256" s="1">
        <v>4.0</v>
      </c>
      <c r="I5256" s="1" t="s">
        <v>34</v>
      </c>
      <c r="J5256" s="1" t="s">
        <v>18</v>
      </c>
      <c r="K5256" s="1">
        <f t="shared" si="1"/>
        <v>2021</v>
      </c>
      <c r="L5256" s="1" t="str">
        <f t="shared" si="2"/>
        <v>Feb</v>
      </c>
      <c r="M5256" s="1" t="str">
        <f t="shared" si="3"/>
        <v>Loss</v>
      </c>
    </row>
    <row r="5257" ht="14.25" customHeight="1">
      <c r="A5257" s="1" t="s">
        <v>5291</v>
      </c>
      <c r="B5257" s="2">
        <v>44199.0</v>
      </c>
      <c r="C5257" s="1" t="s">
        <v>20</v>
      </c>
      <c r="D5257" s="1" t="s">
        <v>15</v>
      </c>
      <c r="E5257" s="1" t="s">
        <v>54</v>
      </c>
      <c r="F5257" s="1">
        <v>33.33</v>
      </c>
      <c r="G5257" s="1">
        <v>290.72</v>
      </c>
      <c r="H5257" s="1">
        <v>5.0</v>
      </c>
      <c r="I5257" s="1" t="s">
        <v>17</v>
      </c>
      <c r="J5257" s="1" t="s">
        <v>24</v>
      </c>
      <c r="K5257" s="1">
        <f t="shared" si="1"/>
        <v>2021</v>
      </c>
      <c r="L5257" s="1" t="str">
        <f t="shared" si="2"/>
        <v>Jan</v>
      </c>
      <c r="M5257" s="1" t="str">
        <f t="shared" si="3"/>
        <v>Profit</v>
      </c>
    </row>
    <row r="5258" ht="14.25" customHeight="1">
      <c r="A5258" s="1" t="s">
        <v>5292</v>
      </c>
      <c r="B5258" s="2">
        <v>44479.0</v>
      </c>
      <c r="C5258" s="1" t="s">
        <v>20</v>
      </c>
      <c r="D5258" s="1" t="s">
        <v>21</v>
      </c>
      <c r="E5258" s="1" t="s">
        <v>37</v>
      </c>
      <c r="F5258" s="1">
        <v>100.41</v>
      </c>
      <c r="G5258" s="1">
        <v>84.05</v>
      </c>
      <c r="H5258" s="1">
        <v>3.0</v>
      </c>
      <c r="I5258" s="1" t="s">
        <v>34</v>
      </c>
      <c r="J5258" s="1" t="s">
        <v>18</v>
      </c>
      <c r="K5258" s="1">
        <f t="shared" si="1"/>
        <v>2021</v>
      </c>
      <c r="L5258" s="1" t="str">
        <f t="shared" si="2"/>
        <v>Oct</v>
      </c>
      <c r="M5258" s="1" t="str">
        <f t="shared" si="3"/>
        <v>Profit</v>
      </c>
    </row>
    <row r="5259" ht="14.25" customHeight="1">
      <c r="A5259" s="1" t="s">
        <v>5293</v>
      </c>
      <c r="B5259" s="2">
        <v>45197.0</v>
      </c>
      <c r="C5259" s="1" t="s">
        <v>14</v>
      </c>
      <c r="D5259" s="1" t="s">
        <v>27</v>
      </c>
      <c r="E5259" s="1" t="s">
        <v>33</v>
      </c>
      <c r="F5259" s="1">
        <v>541.65</v>
      </c>
      <c r="G5259" s="1">
        <v>-78.34</v>
      </c>
      <c r="H5259" s="1">
        <v>10.0</v>
      </c>
      <c r="I5259" s="1" t="s">
        <v>23</v>
      </c>
      <c r="J5259" s="1" t="s">
        <v>35</v>
      </c>
      <c r="K5259" s="1">
        <f t="shared" si="1"/>
        <v>2023</v>
      </c>
      <c r="L5259" s="1" t="str">
        <f t="shared" si="2"/>
        <v>Sep</v>
      </c>
      <c r="M5259" s="1" t="str">
        <f t="shared" si="3"/>
        <v>Loss</v>
      </c>
    </row>
    <row r="5260" ht="14.25" customHeight="1">
      <c r="A5260" s="1" t="s">
        <v>5294</v>
      </c>
      <c r="B5260" s="2">
        <v>44328.0</v>
      </c>
      <c r="C5260" s="1" t="s">
        <v>14</v>
      </c>
      <c r="D5260" s="1" t="s">
        <v>27</v>
      </c>
      <c r="E5260" s="1" t="s">
        <v>33</v>
      </c>
      <c r="F5260" s="1">
        <v>597.04</v>
      </c>
      <c r="G5260" s="1">
        <v>-148.22</v>
      </c>
      <c r="H5260" s="1">
        <v>6.0</v>
      </c>
      <c r="I5260" s="1" t="s">
        <v>17</v>
      </c>
      <c r="J5260" s="1" t="s">
        <v>24</v>
      </c>
      <c r="K5260" s="1">
        <f t="shared" si="1"/>
        <v>2021</v>
      </c>
      <c r="L5260" s="1" t="str">
        <f t="shared" si="2"/>
        <v>May</v>
      </c>
      <c r="M5260" s="1" t="str">
        <f t="shared" si="3"/>
        <v>Loss</v>
      </c>
    </row>
    <row r="5261" ht="14.25" customHeight="1">
      <c r="A5261" s="1" t="s">
        <v>5295</v>
      </c>
      <c r="B5261" s="2">
        <v>44584.0</v>
      </c>
      <c r="C5261" s="1" t="s">
        <v>14</v>
      </c>
      <c r="D5261" s="1" t="s">
        <v>21</v>
      </c>
      <c r="E5261" s="1" t="s">
        <v>22</v>
      </c>
      <c r="F5261" s="1">
        <v>980.84</v>
      </c>
      <c r="G5261" s="1">
        <v>29.58</v>
      </c>
      <c r="H5261" s="1">
        <v>7.0</v>
      </c>
      <c r="I5261" s="1" t="s">
        <v>34</v>
      </c>
      <c r="J5261" s="1" t="s">
        <v>18</v>
      </c>
      <c r="K5261" s="1">
        <f t="shared" si="1"/>
        <v>2022</v>
      </c>
      <c r="L5261" s="1" t="str">
        <f t="shared" si="2"/>
        <v>Jan</v>
      </c>
      <c r="M5261" s="1" t="str">
        <f t="shared" si="3"/>
        <v>Profit</v>
      </c>
    </row>
    <row r="5262" ht="14.25" customHeight="1">
      <c r="A5262" s="1" t="s">
        <v>5296</v>
      </c>
      <c r="B5262" s="2">
        <v>44870.0</v>
      </c>
      <c r="C5262" s="1" t="s">
        <v>14</v>
      </c>
      <c r="D5262" s="1" t="s">
        <v>21</v>
      </c>
      <c r="E5262" s="1" t="s">
        <v>37</v>
      </c>
      <c r="F5262" s="1">
        <v>154.61</v>
      </c>
      <c r="G5262" s="1">
        <v>-143.67</v>
      </c>
      <c r="H5262" s="1">
        <v>2.0</v>
      </c>
      <c r="I5262" s="1" t="s">
        <v>17</v>
      </c>
      <c r="J5262" s="1" t="s">
        <v>24</v>
      </c>
      <c r="K5262" s="1">
        <f t="shared" si="1"/>
        <v>2022</v>
      </c>
      <c r="L5262" s="1" t="str">
        <f t="shared" si="2"/>
        <v>Nov</v>
      </c>
      <c r="M5262" s="1" t="str">
        <f t="shared" si="3"/>
        <v>Loss</v>
      </c>
    </row>
    <row r="5263" ht="14.25" customHeight="1">
      <c r="A5263" s="1" t="s">
        <v>5297</v>
      </c>
      <c r="B5263" s="2">
        <v>44605.0</v>
      </c>
      <c r="C5263" s="1" t="s">
        <v>30</v>
      </c>
      <c r="D5263" s="1" t="s">
        <v>27</v>
      </c>
      <c r="E5263" s="1" t="s">
        <v>40</v>
      </c>
      <c r="F5263" s="1">
        <v>749.06</v>
      </c>
      <c r="G5263" s="1">
        <v>-90.0</v>
      </c>
      <c r="H5263" s="1">
        <v>5.0</v>
      </c>
      <c r="I5263" s="1" t="s">
        <v>23</v>
      </c>
      <c r="J5263" s="1" t="s">
        <v>35</v>
      </c>
      <c r="K5263" s="1">
        <f t="shared" si="1"/>
        <v>2022</v>
      </c>
      <c r="L5263" s="1" t="str">
        <f t="shared" si="2"/>
        <v>Feb</v>
      </c>
      <c r="M5263" s="1" t="str">
        <f t="shared" si="3"/>
        <v>Loss</v>
      </c>
    </row>
    <row r="5264" ht="14.25" customHeight="1">
      <c r="A5264" s="1" t="s">
        <v>5298</v>
      </c>
      <c r="B5264" s="2">
        <v>44978.0</v>
      </c>
      <c r="C5264" s="1" t="s">
        <v>14</v>
      </c>
      <c r="D5264" s="1" t="s">
        <v>15</v>
      </c>
      <c r="E5264" s="1" t="s">
        <v>54</v>
      </c>
      <c r="F5264" s="1">
        <v>715.36</v>
      </c>
      <c r="G5264" s="1">
        <v>-156.55</v>
      </c>
      <c r="H5264" s="1">
        <v>2.0</v>
      </c>
      <c r="I5264" s="1" t="s">
        <v>17</v>
      </c>
      <c r="J5264" s="1" t="s">
        <v>38</v>
      </c>
      <c r="K5264" s="1">
        <f t="shared" si="1"/>
        <v>2023</v>
      </c>
      <c r="L5264" s="1" t="str">
        <f t="shared" si="2"/>
        <v>Feb</v>
      </c>
      <c r="M5264" s="1" t="str">
        <f t="shared" si="3"/>
        <v>Loss</v>
      </c>
    </row>
    <row r="5265" ht="14.25" customHeight="1">
      <c r="A5265" s="1" t="s">
        <v>5299</v>
      </c>
      <c r="B5265" s="2">
        <v>45065.0</v>
      </c>
      <c r="C5265" s="1" t="s">
        <v>20</v>
      </c>
      <c r="D5265" s="1" t="s">
        <v>21</v>
      </c>
      <c r="E5265" s="1" t="s">
        <v>76</v>
      </c>
      <c r="F5265" s="1">
        <v>716.21</v>
      </c>
      <c r="G5265" s="1">
        <v>77.26</v>
      </c>
      <c r="H5265" s="1">
        <v>2.0</v>
      </c>
      <c r="I5265" s="1" t="s">
        <v>23</v>
      </c>
      <c r="J5265" s="1" t="s">
        <v>18</v>
      </c>
      <c r="K5265" s="1">
        <f t="shared" si="1"/>
        <v>2023</v>
      </c>
      <c r="L5265" s="1" t="str">
        <f t="shared" si="2"/>
        <v>May</v>
      </c>
      <c r="M5265" s="1" t="str">
        <f t="shared" si="3"/>
        <v>Profit</v>
      </c>
    </row>
    <row r="5266" ht="14.25" customHeight="1">
      <c r="A5266" s="1" t="s">
        <v>5300</v>
      </c>
      <c r="B5266" s="2">
        <v>44990.0</v>
      </c>
      <c r="C5266" s="1" t="s">
        <v>14</v>
      </c>
      <c r="D5266" s="1" t="s">
        <v>15</v>
      </c>
      <c r="E5266" s="1" t="s">
        <v>31</v>
      </c>
      <c r="F5266" s="1">
        <v>635.67</v>
      </c>
      <c r="G5266" s="1">
        <v>244.37</v>
      </c>
      <c r="H5266" s="1">
        <v>2.0</v>
      </c>
      <c r="I5266" s="1" t="s">
        <v>23</v>
      </c>
      <c r="J5266" s="1" t="s">
        <v>35</v>
      </c>
      <c r="K5266" s="1">
        <f t="shared" si="1"/>
        <v>2023</v>
      </c>
      <c r="L5266" s="1" t="str">
        <f t="shared" si="2"/>
        <v>Mar</v>
      </c>
      <c r="M5266" s="1" t="str">
        <f t="shared" si="3"/>
        <v>Profit</v>
      </c>
    </row>
    <row r="5267" ht="14.25" customHeight="1">
      <c r="A5267" s="1" t="s">
        <v>5301</v>
      </c>
      <c r="B5267" s="2">
        <v>44326.0</v>
      </c>
      <c r="C5267" s="1" t="s">
        <v>30</v>
      </c>
      <c r="D5267" s="1" t="s">
        <v>15</v>
      </c>
      <c r="E5267" s="1" t="s">
        <v>16</v>
      </c>
      <c r="F5267" s="1">
        <v>830.98</v>
      </c>
      <c r="G5267" s="1">
        <v>-55.33</v>
      </c>
      <c r="H5267" s="1">
        <v>10.0</v>
      </c>
      <c r="I5267" s="1" t="s">
        <v>17</v>
      </c>
      <c r="J5267" s="1" t="s">
        <v>18</v>
      </c>
      <c r="K5267" s="1">
        <f t="shared" si="1"/>
        <v>2021</v>
      </c>
      <c r="L5267" s="1" t="str">
        <f t="shared" si="2"/>
        <v>May</v>
      </c>
      <c r="M5267" s="1" t="str">
        <f t="shared" si="3"/>
        <v>Loss</v>
      </c>
    </row>
    <row r="5268" ht="14.25" customHeight="1">
      <c r="A5268" s="1" t="s">
        <v>5302</v>
      </c>
      <c r="B5268" s="2">
        <v>44696.0</v>
      </c>
      <c r="C5268" s="1" t="s">
        <v>30</v>
      </c>
      <c r="D5268" s="1" t="s">
        <v>15</v>
      </c>
      <c r="E5268" s="1" t="s">
        <v>31</v>
      </c>
      <c r="F5268" s="1">
        <v>639.68</v>
      </c>
      <c r="G5268" s="1">
        <v>-122.58</v>
      </c>
      <c r="H5268" s="1">
        <v>9.0</v>
      </c>
      <c r="I5268" s="1" t="s">
        <v>23</v>
      </c>
      <c r="J5268" s="1" t="s">
        <v>38</v>
      </c>
      <c r="K5268" s="1">
        <f t="shared" si="1"/>
        <v>2022</v>
      </c>
      <c r="L5268" s="1" t="str">
        <f t="shared" si="2"/>
        <v>May</v>
      </c>
      <c r="M5268" s="1" t="str">
        <f t="shared" si="3"/>
        <v>Loss</v>
      </c>
    </row>
    <row r="5269" ht="14.25" customHeight="1">
      <c r="A5269" s="1" t="s">
        <v>5303</v>
      </c>
      <c r="B5269" s="2">
        <v>44366.0</v>
      </c>
      <c r="C5269" s="1" t="s">
        <v>26</v>
      </c>
      <c r="D5269" s="1" t="s">
        <v>21</v>
      </c>
      <c r="E5269" s="1" t="s">
        <v>37</v>
      </c>
      <c r="F5269" s="1">
        <v>156.85</v>
      </c>
      <c r="G5269" s="1">
        <v>266.32</v>
      </c>
      <c r="H5269" s="1">
        <v>7.0</v>
      </c>
      <c r="I5269" s="1" t="s">
        <v>34</v>
      </c>
      <c r="J5269" s="1" t="s">
        <v>18</v>
      </c>
      <c r="K5269" s="1">
        <f t="shared" si="1"/>
        <v>2021</v>
      </c>
      <c r="L5269" s="1" t="str">
        <f t="shared" si="2"/>
        <v>Jun</v>
      </c>
      <c r="M5269" s="1" t="str">
        <f t="shared" si="3"/>
        <v>Profit</v>
      </c>
    </row>
    <row r="5270" ht="14.25" customHeight="1">
      <c r="A5270" s="1" t="s">
        <v>5304</v>
      </c>
      <c r="B5270" s="2">
        <v>45292.0</v>
      </c>
      <c r="C5270" s="1" t="s">
        <v>14</v>
      </c>
      <c r="D5270" s="1" t="s">
        <v>27</v>
      </c>
      <c r="E5270" s="1" t="s">
        <v>40</v>
      </c>
      <c r="F5270" s="1">
        <v>951.51</v>
      </c>
      <c r="G5270" s="1">
        <v>-67.06</v>
      </c>
      <c r="H5270" s="1">
        <v>9.0</v>
      </c>
      <c r="I5270" s="1" t="s">
        <v>34</v>
      </c>
      <c r="J5270" s="1" t="s">
        <v>18</v>
      </c>
      <c r="K5270" s="1">
        <f t="shared" si="1"/>
        <v>2024</v>
      </c>
      <c r="L5270" s="1" t="str">
        <f t="shared" si="2"/>
        <v>Jan</v>
      </c>
      <c r="M5270" s="1" t="str">
        <f t="shared" si="3"/>
        <v>Loss</v>
      </c>
    </row>
    <row r="5271" ht="14.25" customHeight="1">
      <c r="A5271" s="1" t="s">
        <v>5305</v>
      </c>
      <c r="B5271" s="2">
        <v>44803.0</v>
      </c>
      <c r="C5271" s="1" t="s">
        <v>26</v>
      </c>
      <c r="D5271" s="1" t="s">
        <v>21</v>
      </c>
      <c r="E5271" s="1" t="s">
        <v>22</v>
      </c>
      <c r="F5271" s="1">
        <v>621.63</v>
      </c>
      <c r="G5271" s="1">
        <v>-15.08</v>
      </c>
      <c r="H5271" s="1">
        <v>6.0</v>
      </c>
      <c r="I5271" s="1" t="s">
        <v>17</v>
      </c>
      <c r="J5271" s="1" t="s">
        <v>35</v>
      </c>
      <c r="K5271" s="1">
        <f t="shared" si="1"/>
        <v>2022</v>
      </c>
      <c r="L5271" s="1" t="str">
        <f t="shared" si="2"/>
        <v>Aug</v>
      </c>
      <c r="M5271" s="1" t="str">
        <f t="shared" si="3"/>
        <v>Loss</v>
      </c>
    </row>
    <row r="5272" ht="14.25" customHeight="1">
      <c r="A5272" s="1" t="s">
        <v>5306</v>
      </c>
      <c r="B5272" s="2">
        <v>44287.0</v>
      </c>
      <c r="C5272" s="1" t="s">
        <v>20</v>
      </c>
      <c r="D5272" s="1" t="s">
        <v>27</v>
      </c>
      <c r="E5272" s="1" t="s">
        <v>33</v>
      </c>
      <c r="F5272" s="1">
        <v>98.15</v>
      </c>
      <c r="G5272" s="1">
        <v>-183.52</v>
      </c>
      <c r="H5272" s="1">
        <v>2.0</v>
      </c>
      <c r="I5272" s="1" t="s">
        <v>23</v>
      </c>
      <c r="J5272" s="1" t="s">
        <v>24</v>
      </c>
      <c r="K5272" s="1">
        <f t="shared" si="1"/>
        <v>2021</v>
      </c>
      <c r="L5272" s="1" t="str">
        <f t="shared" si="2"/>
        <v>Apr</v>
      </c>
      <c r="M5272" s="1" t="str">
        <f t="shared" si="3"/>
        <v>Loss</v>
      </c>
    </row>
    <row r="5273" ht="14.25" customHeight="1">
      <c r="A5273" s="1" t="s">
        <v>5307</v>
      </c>
      <c r="B5273" s="2">
        <v>44755.0</v>
      </c>
      <c r="C5273" s="1" t="s">
        <v>20</v>
      </c>
      <c r="D5273" s="1" t="s">
        <v>15</v>
      </c>
      <c r="E5273" s="1" t="s">
        <v>16</v>
      </c>
      <c r="F5273" s="1">
        <v>135.08</v>
      </c>
      <c r="G5273" s="1">
        <v>147.95</v>
      </c>
      <c r="H5273" s="1">
        <v>10.0</v>
      </c>
      <c r="I5273" s="1" t="s">
        <v>23</v>
      </c>
      <c r="J5273" s="1" t="s">
        <v>24</v>
      </c>
      <c r="K5273" s="1">
        <f t="shared" si="1"/>
        <v>2022</v>
      </c>
      <c r="L5273" s="1" t="str">
        <f t="shared" si="2"/>
        <v>Jul</v>
      </c>
      <c r="M5273" s="1" t="str">
        <f t="shared" si="3"/>
        <v>Profit</v>
      </c>
    </row>
    <row r="5274" ht="14.25" customHeight="1">
      <c r="A5274" s="1" t="s">
        <v>5308</v>
      </c>
      <c r="B5274" s="2">
        <v>45013.0</v>
      </c>
      <c r="C5274" s="1" t="s">
        <v>20</v>
      </c>
      <c r="D5274" s="1" t="s">
        <v>21</v>
      </c>
      <c r="E5274" s="1" t="s">
        <v>76</v>
      </c>
      <c r="F5274" s="1">
        <v>269.77</v>
      </c>
      <c r="G5274" s="1">
        <v>-62.4</v>
      </c>
      <c r="H5274" s="1">
        <v>4.0</v>
      </c>
      <c r="I5274" s="1" t="s">
        <v>23</v>
      </c>
      <c r="J5274" s="1" t="s">
        <v>24</v>
      </c>
      <c r="K5274" s="1">
        <f t="shared" si="1"/>
        <v>2023</v>
      </c>
      <c r="L5274" s="1" t="str">
        <f t="shared" si="2"/>
        <v>Mar</v>
      </c>
      <c r="M5274" s="1" t="str">
        <f t="shared" si="3"/>
        <v>Loss</v>
      </c>
    </row>
    <row r="5275" ht="14.25" customHeight="1">
      <c r="A5275" s="1" t="s">
        <v>5309</v>
      </c>
      <c r="B5275" s="2">
        <v>44641.0</v>
      </c>
      <c r="C5275" s="1" t="s">
        <v>26</v>
      </c>
      <c r="D5275" s="1" t="s">
        <v>27</v>
      </c>
      <c r="E5275" s="1" t="s">
        <v>40</v>
      </c>
      <c r="F5275" s="1">
        <v>699.37</v>
      </c>
      <c r="G5275" s="1">
        <v>-1.34</v>
      </c>
      <c r="H5275" s="1">
        <v>6.0</v>
      </c>
      <c r="I5275" s="1" t="s">
        <v>34</v>
      </c>
      <c r="J5275" s="1" t="s">
        <v>38</v>
      </c>
      <c r="K5275" s="1">
        <f t="shared" si="1"/>
        <v>2022</v>
      </c>
      <c r="L5275" s="1" t="str">
        <f t="shared" si="2"/>
        <v>Mar</v>
      </c>
      <c r="M5275" s="1" t="str">
        <f t="shared" si="3"/>
        <v>Loss</v>
      </c>
    </row>
    <row r="5276" ht="14.25" customHeight="1">
      <c r="A5276" s="1" t="s">
        <v>5310</v>
      </c>
      <c r="B5276" s="2">
        <v>45175.0</v>
      </c>
      <c r="C5276" s="1" t="s">
        <v>30</v>
      </c>
      <c r="D5276" s="1" t="s">
        <v>27</v>
      </c>
      <c r="E5276" s="1" t="s">
        <v>33</v>
      </c>
      <c r="F5276" s="1">
        <v>341.31</v>
      </c>
      <c r="G5276" s="1">
        <v>-37.81</v>
      </c>
      <c r="H5276" s="1">
        <v>10.0</v>
      </c>
      <c r="I5276" s="1" t="s">
        <v>17</v>
      </c>
      <c r="J5276" s="1" t="s">
        <v>18</v>
      </c>
      <c r="K5276" s="1">
        <f t="shared" si="1"/>
        <v>2023</v>
      </c>
      <c r="L5276" s="1" t="str">
        <f t="shared" si="2"/>
        <v>Sep</v>
      </c>
      <c r="M5276" s="1" t="str">
        <f t="shared" si="3"/>
        <v>Loss</v>
      </c>
    </row>
    <row r="5277" ht="14.25" customHeight="1">
      <c r="A5277" s="1" t="s">
        <v>5311</v>
      </c>
      <c r="B5277" s="2">
        <v>44280.0</v>
      </c>
      <c r="C5277" s="1" t="s">
        <v>14</v>
      </c>
      <c r="D5277" s="1" t="s">
        <v>15</v>
      </c>
      <c r="E5277" s="1" t="s">
        <v>16</v>
      </c>
      <c r="F5277" s="1">
        <v>453.82</v>
      </c>
      <c r="G5277" s="1">
        <v>-109.75</v>
      </c>
      <c r="H5277" s="1">
        <v>6.0</v>
      </c>
      <c r="I5277" s="1" t="s">
        <v>34</v>
      </c>
      <c r="J5277" s="1" t="s">
        <v>35</v>
      </c>
      <c r="K5277" s="1">
        <f t="shared" si="1"/>
        <v>2021</v>
      </c>
      <c r="L5277" s="1" t="str">
        <f t="shared" si="2"/>
        <v>Mar</v>
      </c>
      <c r="M5277" s="1" t="str">
        <f t="shared" si="3"/>
        <v>Loss</v>
      </c>
    </row>
    <row r="5278" ht="14.25" customHeight="1">
      <c r="A5278" s="1" t="s">
        <v>5312</v>
      </c>
      <c r="B5278" s="2">
        <v>44516.0</v>
      </c>
      <c r="C5278" s="1" t="s">
        <v>30</v>
      </c>
      <c r="D5278" s="1" t="s">
        <v>15</v>
      </c>
      <c r="E5278" s="1" t="s">
        <v>16</v>
      </c>
      <c r="F5278" s="1">
        <v>409.83</v>
      </c>
      <c r="G5278" s="1">
        <v>-111.08</v>
      </c>
      <c r="H5278" s="1">
        <v>4.0</v>
      </c>
      <c r="I5278" s="1" t="s">
        <v>34</v>
      </c>
      <c r="J5278" s="1" t="s">
        <v>38</v>
      </c>
      <c r="K5278" s="1">
        <f t="shared" si="1"/>
        <v>2021</v>
      </c>
      <c r="L5278" s="1" t="str">
        <f t="shared" si="2"/>
        <v>Nov</v>
      </c>
      <c r="M5278" s="1" t="str">
        <f t="shared" si="3"/>
        <v>Loss</v>
      </c>
    </row>
    <row r="5279" ht="14.25" customHeight="1">
      <c r="A5279" s="1" t="s">
        <v>5313</v>
      </c>
      <c r="B5279" s="2">
        <v>45114.0</v>
      </c>
      <c r="C5279" s="1" t="s">
        <v>20</v>
      </c>
      <c r="D5279" s="1" t="s">
        <v>21</v>
      </c>
      <c r="E5279" s="1" t="s">
        <v>37</v>
      </c>
      <c r="F5279" s="1">
        <v>389.01</v>
      </c>
      <c r="G5279" s="1">
        <v>169.86</v>
      </c>
      <c r="H5279" s="1">
        <v>2.0</v>
      </c>
      <c r="I5279" s="1" t="s">
        <v>34</v>
      </c>
      <c r="J5279" s="1" t="s">
        <v>38</v>
      </c>
      <c r="K5279" s="1">
        <f t="shared" si="1"/>
        <v>2023</v>
      </c>
      <c r="L5279" s="1" t="str">
        <f t="shared" si="2"/>
        <v>Jul</v>
      </c>
      <c r="M5279" s="1" t="str">
        <f t="shared" si="3"/>
        <v>Profit</v>
      </c>
    </row>
    <row r="5280" ht="14.25" customHeight="1">
      <c r="A5280" s="1" t="s">
        <v>5314</v>
      </c>
      <c r="B5280" s="2">
        <v>45190.0</v>
      </c>
      <c r="C5280" s="1" t="s">
        <v>26</v>
      </c>
      <c r="D5280" s="1" t="s">
        <v>21</v>
      </c>
      <c r="E5280" s="1" t="s">
        <v>76</v>
      </c>
      <c r="F5280" s="1">
        <v>737.94</v>
      </c>
      <c r="G5280" s="1">
        <v>-177.73</v>
      </c>
      <c r="H5280" s="1">
        <v>4.0</v>
      </c>
      <c r="I5280" s="1" t="s">
        <v>34</v>
      </c>
      <c r="J5280" s="1" t="s">
        <v>18</v>
      </c>
      <c r="K5280" s="1">
        <f t="shared" si="1"/>
        <v>2023</v>
      </c>
      <c r="L5280" s="1" t="str">
        <f t="shared" si="2"/>
        <v>Sep</v>
      </c>
      <c r="M5280" s="1" t="str">
        <f t="shared" si="3"/>
        <v>Loss</v>
      </c>
    </row>
    <row r="5281" ht="14.25" customHeight="1">
      <c r="A5281" s="1" t="s">
        <v>5315</v>
      </c>
      <c r="B5281" s="2">
        <v>44889.0</v>
      </c>
      <c r="C5281" s="1" t="s">
        <v>30</v>
      </c>
      <c r="D5281" s="1" t="s">
        <v>15</v>
      </c>
      <c r="E5281" s="1" t="s">
        <v>31</v>
      </c>
      <c r="F5281" s="1">
        <v>874.66</v>
      </c>
      <c r="G5281" s="1">
        <v>145.97</v>
      </c>
      <c r="H5281" s="1">
        <v>6.0</v>
      </c>
      <c r="I5281" s="1" t="s">
        <v>34</v>
      </c>
      <c r="J5281" s="1" t="s">
        <v>35</v>
      </c>
      <c r="K5281" s="1">
        <f t="shared" si="1"/>
        <v>2022</v>
      </c>
      <c r="L5281" s="1" t="str">
        <f t="shared" si="2"/>
        <v>Nov</v>
      </c>
      <c r="M5281" s="1" t="str">
        <f t="shared" si="3"/>
        <v>Profit</v>
      </c>
    </row>
    <row r="5282" ht="14.25" customHeight="1">
      <c r="A5282" s="1" t="s">
        <v>5316</v>
      </c>
      <c r="B5282" s="2">
        <v>44540.0</v>
      </c>
      <c r="C5282" s="1" t="s">
        <v>20</v>
      </c>
      <c r="D5282" s="1" t="s">
        <v>27</v>
      </c>
      <c r="E5282" s="1" t="s">
        <v>28</v>
      </c>
      <c r="F5282" s="1">
        <v>399.03</v>
      </c>
      <c r="G5282" s="1">
        <v>286.02</v>
      </c>
      <c r="H5282" s="1">
        <v>2.0</v>
      </c>
      <c r="I5282" s="1" t="s">
        <v>34</v>
      </c>
      <c r="J5282" s="1" t="s">
        <v>24</v>
      </c>
      <c r="K5282" s="1">
        <f t="shared" si="1"/>
        <v>2021</v>
      </c>
      <c r="L5282" s="1" t="str">
        <f t="shared" si="2"/>
        <v>Dec</v>
      </c>
      <c r="M5282" s="1" t="str">
        <f t="shared" si="3"/>
        <v>Profit</v>
      </c>
    </row>
    <row r="5283" ht="14.25" customHeight="1">
      <c r="A5283" s="1" t="s">
        <v>5317</v>
      </c>
      <c r="B5283" s="2">
        <v>44984.0</v>
      </c>
      <c r="C5283" s="1" t="s">
        <v>30</v>
      </c>
      <c r="D5283" s="1" t="s">
        <v>21</v>
      </c>
      <c r="E5283" s="1" t="s">
        <v>76</v>
      </c>
      <c r="F5283" s="1">
        <v>345.0</v>
      </c>
      <c r="G5283" s="1">
        <v>-114.15</v>
      </c>
      <c r="H5283" s="1">
        <v>6.0</v>
      </c>
      <c r="I5283" s="1" t="s">
        <v>17</v>
      </c>
      <c r="J5283" s="1" t="s">
        <v>24</v>
      </c>
      <c r="K5283" s="1">
        <f t="shared" si="1"/>
        <v>2023</v>
      </c>
      <c r="L5283" s="1" t="str">
        <f t="shared" si="2"/>
        <v>Feb</v>
      </c>
      <c r="M5283" s="1" t="str">
        <f t="shared" si="3"/>
        <v>Loss</v>
      </c>
    </row>
    <row r="5284" ht="14.25" customHeight="1">
      <c r="A5284" s="1" t="s">
        <v>5318</v>
      </c>
      <c r="B5284" s="2">
        <v>44560.0</v>
      </c>
      <c r="C5284" s="1" t="s">
        <v>20</v>
      </c>
      <c r="D5284" s="1" t="s">
        <v>15</v>
      </c>
      <c r="E5284" s="1" t="s">
        <v>31</v>
      </c>
      <c r="F5284" s="1">
        <v>315.54</v>
      </c>
      <c r="G5284" s="1">
        <v>32.42</v>
      </c>
      <c r="H5284" s="1">
        <v>7.0</v>
      </c>
      <c r="I5284" s="1" t="s">
        <v>17</v>
      </c>
      <c r="J5284" s="1" t="s">
        <v>24</v>
      </c>
      <c r="K5284" s="1">
        <f t="shared" si="1"/>
        <v>2021</v>
      </c>
      <c r="L5284" s="1" t="str">
        <f t="shared" si="2"/>
        <v>Dec</v>
      </c>
      <c r="M5284" s="1" t="str">
        <f t="shared" si="3"/>
        <v>Profit</v>
      </c>
    </row>
    <row r="5285" ht="14.25" customHeight="1">
      <c r="A5285" s="1" t="s">
        <v>5319</v>
      </c>
      <c r="B5285" s="2">
        <v>44797.0</v>
      </c>
      <c r="C5285" s="1" t="s">
        <v>20</v>
      </c>
      <c r="D5285" s="1" t="s">
        <v>21</v>
      </c>
      <c r="E5285" s="1" t="s">
        <v>37</v>
      </c>
      <c r="F5285" s="1">
        <v>254.85</v>
      </c>
      <c r="G5285" s="1">
        <v>-67.54</v>
      </c>
      <c r="H5285" s="1">
        <v>6.0</v>
      </c>
      <c r="I5285" s="1" t="s">
        <v>34</v>
      </c>
      <c r="J5285" s="1" t="s">
        <v>18</v>
      </c>
      <c r="K5285" s="1">
        <f t="shared" si="1"/>
        <v>2022</v>
      </c>
      <c r="L5285" s="1" t="str">
        <f t="shared" si="2"/>
        <v>Aug</v>
      </c>
      <c r="M5285" s="1" t="str">
        <f t="shared" si="3"/>
        <v>Loss</v>
      </c>
    </row>
    <row r="5286" ht="14.25" customHeight="1">
      <c r="A5286" s="1" t="s">
        <v>5320</v>
      </c>
      <c r="B5286" s="2">
        <v>44965.0</v>
      </c>
      <c r="C5286" s="1" t="s">
        <v>30</v>
      </c>
      <c r="D5286" s="1" t="s">
        <v>21</v>
      </c>
      <c r="E5286" s="1" t="s">
        <v>76</v>
      </c>
      <c r="F5286" s="1">
        <v>332.21</v>
      </c>
      <c r="G5286" s="1">
        <v>224.8</v>
      </c>
      <c r="H5286" s="1">
        <v>6.0</v>
      </c>
      <c r="I5286" s="1" t="s">
        <v>23</v>
      </c>
      <c r="J5286" s="1" t="s">
        <v>24</v>
      </c>
      <c r="K5286" s="1">
        <f t="shared" si="1"/>
        <v>2023</v>
      </c>
      <c r="L5286" s="1" t="str">
        <f t="shared" si="2"/>
        <v>Feb</v>
      </c>
      <c r="M5286" s="1" t="str">
        <f t="shared" si="3"/>
        <v>Profit</v>
      </c>
    </row>
    <row r="5287" ht="14.25" customHeight="1">
      <c r="A5287" s="1" t="s">
        <v>5321</v>
      </c>
      <c r="B5287" s="2">
        <v>44969.0</v>
      </c>
      <c r="C5287" s="1" t="s">
        <v>26</v>
      </c>
      <c r="D5287" s="1" t="s">
        <v>21</v>
      </c>
      <c r="E5287" s="1" t="s">
        <v>22</v>
      </c>
      <c r="F5287" s="1">
        <v>966.65</v>
      </c>
      <c r="G5287" s="1">
        <v>-143.89</v>
      </c>
      <c r="H5287" s="1">
        <v>8.0</v>
      </c>
      <c r="I5287" s="1" t="s">
        <v>23</v>
      </c>
      <c r="J5287" s="1" t="s">
        <v>24</v>
      </c>
      <c r="K5287" s="1">
        <f t="shared" si="1"/>
        <v>2023</v>
      </c>
      <c r="L5287" s="1" t="str">
        <f t="shared" si="2"/>
        <v>Feb</v>
      </c>
      <c r="M5287" s="1" t="str">
        <f t="shared" si="3"/>
        <v>Loss</v>
      </c>
    </row>
    <row r="5288" ht="14.25" customHeight="1">
      <c r="A5288" s="1" t="s">
        <v>5322</v>
      </c>
      <c r="B5288" s="2">
        <v>44469.0</v>
      </c>
      <c r="C5288" s="1" t="s">
        <v>14</v>
      </c>
      <c r="D5288" s="1" t="s">
        <v>15</v>
      </c>
      <c r="E5288" s="1" t="s">
        <v>54</v>
      </c>
      <c r="F5288" s="1">
        <v>56.44</v>
      </c>
      <c r="G5288" s="1">
        <v>-72.48</v>
      </c>
      <c r="H5288" s="1">
        <v>10.0</v>
      </c>
      <c r="I5288" s="1" t="s">
        <v>34</v>
      </c>
      <c r="J5288" s="1" t="s">
        <v>35</v>
      </c>
      <c r="K5288" s="1">
        <f t="shared" si="1"/>
        <v>2021</v>
      </c>
      <c r="L5288" s="1" t="str">
        <f t="shared" si="2"/>
        <v>Sep</v>
      </c>
      <c r="M5288" s="1" t="str">
        <f t="shared" si="3"/>
        <v>Loss</v>
      </c>
    </row>
    <row r="5289" ht="14.25" customHeight="1">
      <c r="A5289" s="1" t="s">
        <v>5323</v>
      </c>
      <c r="B5289" s="2">
        <v>45198.0</v>
      </c>
      <c r="C5289" s="1" t="s">
        <v>14</v>
      </c>
      <c r="D5289" s="1" t="s">
        <v>27</v>
      </c>
      <c r="E5289" s="1" t="s">
        <v>28</v>
      </c>
      <c r="F5289" s="1">
        <v>567.35</v>
      </c>
      <c r="G5289" s="1">
        <v>-153.25</v>
      </c>
      <c r="H5289" s="1">
        <v>6.0</v>
      </c>
      <c r="I5289" s="1" t="s">
        <v>23</v>
      </c>
      <c r="J5289" s="1" t="s">
        <v>35</v>
      </c>
      <c r="K5289" s="1">
        <f t="shared" si="1"/>
        <v>2023</v>
      </c>
      <c r="L5289" s="1" t="str">
        <f t="shared" si="2"/>
        <v>Sep</v>
      </c>
      <c r="M5289" s="1" t="str">
        <f t="shared" si="3"/>
        <v>Loss</v>
      </c>
    </row>
    <row r="5290" ht="14.25" customHeight="1">
      <c r="A5290" s="1" t="s">
        <v>5324</v>
      </c>
      <c r="B5290" s="2">
        <v>44468.0</v>
      </c>
      <c r="C5290" s="1" t="s">
        <v>26</v>
      </c>
      <c r="D5290" s="1" t="s">
        <v>15</v>
      </c>
      <c r="E5290" s="1" t="s">
        <v>16</v>
      </c>
      <c r="F5290" s="1">
        <v>988.78</v>
      </c>
      <c r="G5290" s="1">
        <v>163.9</v>
      </c>
      <c r="H5290" s="1">
        <v>7.0</v>
      </c>
      <c r="I5290" s="1" t="s">
        <v>17</v>
      </c>
      <c r="J5290" s="1" t="s">
        <v>38</v>
      </c>
      <c r="K5290" s="1">
        <f t="shared" si="1"/>
        <v>2021</v>
      </c>
      <c r="L5290" s="1" t="str">
        <f t="shared" si="2"/>
        <v>Sep</v>
      </c>
      <c r="M5290" s="1" t="str">
        <f t="shared" si="3"/>
        <v>Profit</v>
      </c>
    </row>
    <row r="5291" ht="14.25" customHeight="1">
      <c r="A5291" s="1" t="s">
        <v>5325</v>
      </c>
      <c r="B5291" s="2">
        <v>44359.0</v>
      </c>
      <c r="C5291" s="1" t="s">
        <v>30</v>
      </c>
      <c r="D5291" s="1" t="s">
        <v>21</v>
      </c>
      <c r="E5291" s="1" t="s">
        <v>22</v>
      </c>
      <c r="F5291" s="1">
        <v>669.52</v>
      </c>
      <c r="G5291" s="1">
        <v>-7.95</v>
      </c>
      <c r="H5291" s="1">
        <v>10.0</v>
      </c>
      <c r="I5291" s="1" t="s">
        <v>34</v>
      </c>
      <c r="J5291" s="1" t="s">
        <v>24</v>
      </c>
      <c r="K5291" s="1">
        <f t="shared" si="1"/>
        <v>2021</v>
      </c>
      <c r="L5291" s="1" t="str">
        <f t="shared" si="2"/>
        <v>Jun</v>
      </c>
      <c r="M5291" s="1" t="str">
        <f t="shared" si="3"/>
        <v>Loss</v>
      </c>
    </row>
    <row r="5292" ht="14.25" customHeight="1">
      <c r="A5292" s="1" t="s">
        <v>5326</v>
      </c>
      <c r="B5292" s="2">
        <v>45274.0</v>
      </c>
      <c r="C5292" s="1" t="s">
        <v>14</v>
      </c>
      <c r="D5292" s="1" t="s">
        <v>15</v>
      </c>
      <c r="E5292" s="1" t="s">
        <v>16</v>
      </c>
      <c r="F5292" s="1">
        <v>533.1</v>
      </c>
      <c r="G5292" s="1">
        <v>-177.47</v>
      </c>
      <c r="H5292" s="1">
        <v>2.0</v>
      </c>
      <c r="I5292" s="1" t="s">
        <v>17</v>
      </c>
      <c r="J5292" s="1" t="s">
        <v>38</v>
      </c>
      <c r="K5292" s="1">
        <f t="shared" si="1"/>
        <v>2023</v>
      </c>
      <c r="L5292" s="1" t="str">
        <f t="shared" si="2"/>
        <v>Dec</v>
      </c>
      <c r="M5292" s="1" t="str">
        <f t="shared" si="3"/>
        <v>Loss</v>
      </c>
    </row>
    <row r="5293" ht="14.25" customHeight="1">
      <c r="A5293" s="1" t="s">
        <v>5327</v>
      </c>
      <c r="B5293" s="2">
        <v>44377.0</v>
      </c>
      <c r="C5293" s="1" t="s">
        <v>20</v>
      </c>
      <c r="D5293" s="1" t="s">
        <v>15</v>
      </c>
      <c r="E5293" s="1" t="s">
        <v>31</v>
      </c>
      <c r="F5293" s="1">
        <v>137.13</v>
      </c>
      <c r="G5293" s="1">
        <v>51.96</v>
      </c>
      <c r="H5293" s="1">
        <v>5.0</v>
      </c>
      <c r="I5293" s="1" t="s">
        <v>34</v>
      </c>
      <c r="J5293" s="1" t="s">
        <v>35</v>
      </c>
      <c r="K5293" s="1">
        <f t="shared" si="1"/>
        <v>2021</v>
      </c>
      <c r="L5293" s="1" t="str">
        <f t="shared" si="2"/>
        <v>Jun</v>
      </c>
      <c r="M5293" s="1" t="str">
        <f t="shared" si="3"/>
        <v>Profit</v>
      </c>
    </row>
    <row r="5294" ht="14.25" customHeight="1">
      <c r="A5294" s="1" t="s">
        <v>5328</v>
      </c>
      <c r="B5294" s="2">
        <v>44693.0</v>
      </c>
      <c r="C5294" s="1" t="s">
        <v>30</v>
      </c>
      <c r="D5294" s="1" t="s">
        <v>15</v>
      </c>
      <c r="E5294" s="1" t="s">
        <v>31</v>
      </c>
      <c r="F5294" s="1">
        <v>754.32</v>
      </c>
      <c r="G5294" s="1">
        <v>-143.19</v>
      </c>
      <c r="H5294" s="1">
        <v>10.0</v>
      </c>
      <c r="I5294" s="1" t="s">
        <v>23</v>
      </c>
      <c r="J5294" s="1" t="s">
        <v>38</v>
      </c>
      <c r="K5294" s="1">
        <f t="shared" si="1"/>
        <v>2022</v>
      </c>
      <c r="L5294" s="1" t="str">
        <f t="shared" si="2"/>
        <v>May</v>
      </c>
      <c r="M5294" s="1" t="str">
        <f t="shared" si="3"/>
        <v>Loss</v>
      </c>
    </row>
    <row r="5295" ht="14.25" customHeight="1">
      <c r="A5295" s="1" t="s">
        <v>5329</v>
      </c>
      <c r="B5295" s="2">
        <v>45029.0</v>
      </c>
      <c r="C5295" s="1" t="s">
        <v>14</v>
      </c>
      <c r="D5295" s="1" t="s">
        <v>21</v>
      </c>
      <c r="E5295" s="1" t="s">
        <v>22</v>
      </c>
      <c r="F5295" s="1">
        <v>485.21</v>
      </c>
      <c r="G5295" s="1">
        <v>-165.32</v>
      </c>
      <c r="H5295" s="1">
        <v>2.0</v>
      </c>
      <c r="I5295" s="1" t="s">
        <v>34</v>
      </c>
      <c r="J5295" s="1" t="s">
        <v>18</v>
      </c>
      <c r="K5295" s="1">
        <f t="shared" si="1"/>
        <v>2023</v>
      </c>
      <c r="L5295" s="1" t="str">
        <f t="shared" si="2"/>
        <v>Apr</v>
      </c>
      <c r="M5295" s="1" t="str">
        <f t="shared" si="3"/>
        <v>Loss</v>
      </c>
    </row>
    <row r="5296" ht="14.25" customHeight="1">
      <c r="A5296" s="1" t="s">
        <v>5330</v>
      </c>
      <c r="B5296" s="2">
        <v>44219.0</v>
      </c>
      <c r="C5296" s="1" t="s">
        <v>26</v>
      </c>
      <c r="D5296" s="1" t="s">
        <v>27</v>
      </c>
      <c r="E5296" s="1" t="s">
        <v>33</v>
      </c>
      <c r="F5296" s="1">
        <v>359.21</v>
      </c>
      <c r="G5296" s="1">
        <v>251.57</v>
      </c>
      <c r="H5296" s="1">
        <v>2.0</v>
      </c>
      <c r="I5296" s="1" t="s">
        <v>17</v>
      </c>
      <c r="J5296" s="1" t="s">
        <v>18</v>
      </c>
      <c r="K5296" s="1">
        <f t="shared" si="1"/>
        <v>2021</v>
      </c>
      <c r="L5296" s="1" t="str">
        <f t="shared" si="2"/>
        <v>Jan</v>
      </c>
      <c r="M5296" s="1" t="str">
        <f t="shared" si="3"/>
        <v>Profit</v>
      </c>
    </row>
    <row r="5297" ht="14.25" customHeight="1">
      <c r="A5297" s="1" t="s">
        <v>5331</v>
      </c>
      <c r="B5297" s="2">
        <v>44599.0</v>
      </c>
      <c r="C5297" s="1" t="s">
        <v>30</v>
      </c>
      <c r="D5297" s="1" t="s">
        <v>21</v>
      </c>
      <c r="E5297" s="1" t="s">
        <v>76</v>
      </c>
      <c r="F5297" s="1">
        <v>259.25</v>
      </c>
      <c r="G5297" s="1">
        <v>94.87</v>
      </c>
      <c r="H5297" s="1">
        <v>4.0</v>
      </c>
      <c r="I5297" s="1" t="s">
        <v>34</v>
      </c>
      <c r="J5297" s="1" t="s">
        <v>18</v>
      </c>
      <c r="K5297" s="1">
        <f t="shared" si="1"/>
        <v>2022</v>
      </c>
      <c r="L5297" s="1" t="str">
        <f t="shared" si="2"/>
        <v>Feb</v>
      </c>
      <c r="M5297" s="1" t="str">
        <f t="shared" si="3"/>
        <v>Profit</v>
      </c>
    </row>
    <row r="5298" ht="14.25" customHeight="1">
      <c r="A5298" s="1" t="s">
        <v>5332</v>
      </c>
      <c r="B5298" s="2">
        <v>45090.0</v>
      </c>
      <c r="C5298" s="1" t="s">
        <v>14</v>
      </c>
      <c r="D5298" s="1" t="s">
        <v>27</v>
      </c>
      <c r="E5298" s="1" t="s">
        <v>33</v>
      </c>
      <c r="F5298" s="1">
        <v>695.73</v>
      </c>
      <c r="G5298" s="1">
        <v>151.49</v>
      </c>
      <c r="H5298" s="1">
        <v>9.0</v>
      </c>
      <c r="I5298" s="1" t="s">
        <v>34</v>
      </c>
      <c r="J5298" s="1" t="s">
        <v>24</v>
      </c>
      <c r="K5298" s="1">
        <f t="shared" si="1"/>
        <v>2023</v>
      </c>
      <c r="L5298" s="1" t="str">
        <f t="shared" si="2"/>
        <v>Jun</v>
      </c>
      <c r="M5298" s="1" t="str">
        <f t="shared" si="3"/>
        <v>Profit</v>
      </c>
    </row>
    <row r="5299" ht="14.25" customHeight="1">
      <c r="A5299" s="1" t="s">
        <v>5333</v>
      </c>
      <c r="B5299" s="2">
        <v>45206.0</v>
      </c>
      <c r="C5299" s="1" t="s">
        <v>26</v>
      </c>
      <c r="D5299" s="1" t="s">
        <v>15</v>
      </c>
      <c r="E5299" s="1" t="s">
        <v>31</v>
      </c>
      <c r="F5299" s="1">
        <v>568.88</v>
      </c>
      <c r="G5299" s="1">
        <v>17.93</v>
      </c>
      <c r="H5299" s="1">
        <v>4.0</v>
      </c>
      <c r="I5299" s="1" t="s">
        <v>17</v>
      </c>
      <c r="J5299" s="1" t="s">
        <v>24</v>
      </c>
      <c r="K5299" s="1">
        <f t="shared" si="1"/>
        <v>2023</v>
      </c>
      <c r="L5299" s="1" t="str">
        <f t="shared" si="2"/>
        <v>Oct</v>
      </c>
      <c r="M5299" s="1" t="str">
        <f t="shared" si="3"/>
        <v>Profit</v>
      </c>
    </row>
    <row r="5300" ht="14.25" customHeight="1">
      <c r="A5300" s="1" t="s">
        <v>5334</v>
      </c>
      <c r="B5300" s="2">
        <v>45029.0</v>
      </c>
      <c r="C5300" s="1" t="s">
        <v>26</v>
      </c>
      <c r="D5300" s="1" t="s">
        <v>21</v>
      </c>
      <c r="E5300" s="1" t="s">
        <v>22</v>
      </c>
      <c r="F5300" s="1">
        <v>630.3</v>
      </c>
      <c r="G5300" s="1">
        <v>-102.0</v>
      </c>
      <c r="H5300" s="1">
        <v>2.0</v>
      </c>
      <c r="I5300" s="1" t="s">
        <v>17</v>
      </c>
      <c r="J5300" s="1" t="s">
        <v>35</v>
      </c>
      <c r="K5300" s="1">
        <f t="shared" si="1"/>
        <v>2023</v>
      </c>
      <c r="L5300" s="1" t="str">
        <f t="shared" si="2"/>
        <v>Apr</v>
      </c>
      <c r="M5300" s="1" t="str">
        <f t="shared" si="3"/>
        <v>Loss</v>
      </c>
    </row>
    <row r="5301" ht="14.25" customHeight="1">
      <c r="A5301" s="1" t="s">
        <v>5335</v>
      </c>
      <c r="B5301" s="2">
        <v>45093.0</v>
      </c>
      <c r="C5301" s="1" t="s">
        <v>20</v>
      </c>
      <c r="D5301" s="1" t="s">
        <v>27</v>
      </c>
      <c r="E5301" s="1" t="s">
        <v>28</v>
      </c>
      <c r="F5301" s="1">
        <v>951.98</v>
      </c>
      <c r="G5301" s="1">
        <v>221.61</v>
      </c>
      <c r="H5301" s="1">
        <v>7.0</v>
      </c>
      <c r="I5301" s="1" t="s">
        <v>23</v>
      </c>
      <c r="J5301" s="1" t="s">
        <v>24</v>
      </c>
      <c r="K5301" s="1">
        <f t="shared" si="1"/>
        <v>2023</v>
      </c>
      <c r="L5301" s="1" t="str">
        <f t="shared" si="2"/>
        <v>Jun</v>
      </c>
      <c r="M5301" s="1" t="str">
        <f t="shared" si="3"/>
        <v>Profit</v>
      </c>
    </row>
    <row r="5302" ht="14.25" customHeight="1">
      <c r="A5302" s="1" t="s">
        <v>5336</v>
      </c>
      <c r="B5302" s="2">
        <v>45141.0</v>
      </c>
      <c r="C5302" s="1" t="s">
        <v>26</v>
      </c>
      <c r="D5302" s="1" t="s">
        <v>21</v>
      </c>
      <c r="E5302" s="1" t="s">
        <v>37</v>
      </c>
      <c r="F5302" s="1">
        <v>374.61</v>
      </c>
      <c r="G5302" s="1">
        <v>51.22</v>
      </c>
      <c r="H5302" s="1">
        <v>1.0</v>
      </c>
      <c r="I5302" s="1" t="s">
        <v>17</v>
      </c>
      <c r="J5302" s="1" t="s">
        <v>24</v>
      </c>
      <c r="K5302" s="1">
        <f t="shared" si="1"/>
        <v>2023</v>
      </c>
      <c r="L5302" s="1" t="str">
        <f t="shared" si="2"/>
        <v>Aug</v>
      </c>
      <c r="M5302" s="1" t="str">
        <f t="shared" si="3"/>
        <v>Profit</v>
      </c>
    </row>
    <row r="5303" ht="14.25" customHeight="1">
      <c r="A5303" s="1" t="s">
        <v>5337</v>
      </c>
      <c r="B5303" s="2">
        <v>44270.0</v>
      </c>
      <c r="C5303" s="1" t="s">
        <v>14</v>
      </c>
      <c r="D5303" s="1" t="s">
        <v>15</v>
      </c>
      <c r="E5303" s="1" t="s">
        <v>31</v>
      </c>
      <c r="F5303" s="1">
        <v>260.42</v>
      </c>
      <c r="G5303" s="1">
        <v>92.27</v>
      </c>
      <c r="H5303" s="1">
        <v>1.0</v>
      </c>
      <c r="I5303" s="1" t="s">
        <v>23</v>
      </c>
      <c r="J5303" s="1" t="s">
        <v>18</v>
      </c>
      <c r="K5303" s="1">
        <f t="shared" si="1"/>
        <v>2021</v>
      </c>
      <c r="L5303" s="1" t="str">
        <f t="shared" si="2"/>
        <v>Mar</v>
      </c>
      <c r="M5303" s="1" t="str">
        <f t="shared" si="3"/>
        <v>Profit</v>
      </c>
    </row>
    <row r="5304" ht="14.25" customHeight="1">
      <c r="A5304" s="1" t="s">
        <v>5338</v>
      </c>
      <c r="B5304" s="2">
        <v>44878.0</v>
      </c>
      <c r="C5304" s="1" t="s">
        <v>20</v>
      </c>
      <c r="D5304" s="1" t="s">
        <v>15</v>
      </c>
      <c r="E5304" s="1" t="s">
        <v>16</v>
      </c>
      <c r="F5304" s="1">
        <v>606.32</v>
      </c>
      <c r="G5304" s="1">
        <v>3.46</v>
      </c>
      <c r="H5304" s="1">
        <v>5.0</v>
      </c>
      <c r="I5304" s="1" t="s">
        <v>34</v>
      </c>
      <c r="J5304" s="1" t="s">
        <v>24</v>
      </c>
      <c r="K5304" s="1">
        <f t="shared" si="1"/>
        <v>2022</v>
      </c>
      <c r="L5304" s="1" t="str">
        <f t="shared" si="2"/>
        <v>Nov</v>
      </c>
      <c r="M5304" s="1" t="str">
        <f t="shared" si="3"/>
        <v>Profit</v>
      </c>
    </row>
    <row r="5305" ht="14.25" customHeight="1">
      <c r="A5305" s="1" t="s">
        <v>5339</v>
      </c>
      <c r="B5305" s="2">
        <v>45281.0</v>
      </c>
      <c r="C5305" s="1" t="s">
        <v>30</v>
      </c>
      <c r="D5305" s="1" t="s">
        <v>21</v>
      </c>
      <c r="E5305" s="1" t="s">
        <v>37</v>
      </c>
      <c r="F5305" s="1">
        <v>447.95</v>
      </c>
      <c r="G5305" s="1">
        <v>93.09</v>
      </c>
      <c r="H5305" s="1">
        <v>6.0</v>
      </c>
      <c r="I5305" s="1" t="s">
        <v>23</v>
      </c>
      <c r="J5305" s="1" t="s">
        <v>18</v>
      </c>
      <c r="K5305" s="1">
        <f t="shared" si="1"/>
        <v>2023</v>
      </c>
      <c r="L5305" s="1" t="str">
        <f t="shared" si="2"/>
        <v>Dec</v>
      </c>
      <c r="M5305" s="1" t="str">
        <f t="shared" si="3"/>
        <v>Profit</v>
      </c>
    </row>
    <row r="5306" ht="14.25" customHeight="1">
      <c r="A5306" s="1" t="s">
        <v>5340</v>
      </c>
      <c r="B5306" s="2">
        <v>45040.0</v>
      </c>
      <c r="C5306" s="1" t="s">
        <v>14</v>
      </c>
      <c r="D5306" s="1" t="s">
        <v>21</v>
      </c>
      <c r="E5306" s="1" t="s">
        <v>37</v>
      </c>
      <c r="F5306" s="1">
        <v>881.17</v>
      </c>
      <c r="G5306" s="1">
        <v>7.62</v>
      </c>
      <c r="H5306" s="1">
        <v>5.0</v>
      </c>
      <c r="I5306" s="1" t="s">
        <v>34</v>
      </c>
      <c r="J5306" s="1" t="s">
        <v>18</v>
      </c>
      <c r="K5306" s="1">
        <f t="shared" si="1"/>
        <v>2023</v>
      </c>
      <c r="L5306" s="1" t="str">
        <f t="shared" si="2"/>
        <v>Apr</v>
      </c>
      <c r="M5306" s="1" t="str">
        <f t="shared" si="3"/>
        <v>Profit</v>
      </c>
    </row>
    <row r="5307" ht="14.25" customHeight="1">
      <c r="A5307" s="1" t="s">
        <v>5341</v>
      </c>
      <c r="B5307" s="2">
        <v>44427.0</v>
      </c>
      <c r="C5307" s="1" t="s">
        <v>20</v>
      </c>
      <c r="D5307" s="1" t="s">
        <v>21</v>
      </c>
      <c r="E5307" s="1" t="s">
        <v>22</v>
      </c>
      <c r="F5307" s="1">
        <v>472.4</v>
      </c>
      <c r="G5307" s="1">
        <v>3.78</v>
      </c>
      <c r="H5307" s="1">
        <v>5.0</v>
      </c>
      <c r="I5307" s="1" t="s">
        <v>17</v>
      </c>
      <c r="J5307" s="1" t="s">
        <v>18</v>
      </c>
      <c r="K5307" s="1">
        <f t="shared" si="1"/>
        <v>2021</v>
      </c>
      <c r="L5307" s="1" t="str">
        <f t="shared" si="2"/>
        <v>Aug</v>
      </c>
      <c r="M5307" s="1" t="str">
        <f t="shared" si="3"/>
        <v>Profit</v>
      </c>
    </row>
    <row r="5308" ht="14.25" customHeight="1">
      <c r="A5308" s="1" t="s">
        <v>5342</v>
      </c>
      <c r="B5308" s="2">
        <v>45277.0</v>
      </c>
      <c r="C5308" s="1" t="s">
        <v>26</v>
      </c>
      <c r="D5308" s="1" t="s">
        <v>27</v>
      </c>
      <c r="E5308" s="1" t="s">
        <v>33</v>
      </c>
      <c r="F5308" s="1">
        <v>843.15</v>
      </c>
      <c r="G5308" s="1">
        <v>59.55</v>
      </c>
      <c r="H5308" s="1">
        <v>2.0</v>
      </c>
      <c r="I5308" s="1" t="s">
        <v>23</v>
      </c>
      <c r="J5308" s="1" t="s">
        <v>24</v>
      </c>
      <c r="K5308" s="1">
        <f t="shared" si="1"/>
        <v>2023</v>
      </c>
      <c r="L5308" s="1" t="str">
        <f t="shared" si="2"/>
        <v>Dec</v>
      </c>
      <c r="M5308" s="1" t="str">
        <f t="shared" si="3"/>
        <v>Profit</v>
      </c>
    </row>
    <row r="5309" ht="14.25" customHeight="1">
      <c r="A5309" s="1" t="s">
        <v>5343</v>
      </c>
      <c r="B5309" s="2">
        <v>44817.0</v>
      </c>
      <c r="C5309" s="1" t="s">
        <v>30</v>
      </c>
      <c r="D5309" s="1" t="s">
        <v>27</v>
      </c>
      <c r="E5309" s="1" t="s">
        <v>28</v>
      </c>
      <c r="F5309" s="1">
        <v>796.25</v>
      </c>
      <c r="G5309" s="1">
        <v>-72.68</v>
      </c>
      <c r="H5309" s="1">
        <v>7.0</v>
      </c>
      <c r="I5309" s="1" t="s">
        <v>23</v>
      </c>
      <c r="J5309" s="1" t="s">
        <v>24</v>
      </c>
      <c r="K5309" s="1">
        <f t="shared" si="1"/>
        <v>2022</v>
      </c>
      <c r="L5309" s="1" t="str">
        <f t="shared" si="2"/>
        <v>Sep</v>
      </c>
      <c r="M5309" s="1" t="str">
        <f t="shared" si="3"/>
        <v>Loss</v>
      </c>
    </row>
    <row r="5310" ht="14.25" customHeight="1">
      <c r="A5310" s="1" t="s">
        <v>5344</v>
      </c>
      <c r="B5310" s="2">
        <v>45279.0</v>
      </c>
      <c r="C5310" s="1" t="s">
        <v>20</v>
      </c>
      <c r="D5310" s="1" t="s">
        <v>27</v>
      </c>
      <c r="E5310" s="1" t="s">
        <v>28</v>
      </c>
      <c r="F5310" s="1">
        <v>766.02</v>
      </c>
      <c r="G5310" s="1">
        <v>-162.02</v>
      </c>
      <c r="H5310" s="1">
        <v>3.0</v>
      </c>
      <c r="I5310" s="1" t="s">
        <v>23</v>
      </c>
      <c r="J5310" s="1" t="s">
        <v>35</v>
      </c>
      <c r="K5310" s="1">
        <f t="shared" si="1"/>
        <v>2023</v>
      </c>
      <c r="L5310" s="1" t="str">
        <f t="shared" si="2"/>
        <v>Dec</v>
      </c>
      <c r="M5310" s="1" t="str">
        <f t="shared" si="3"/>
        <v>Loss</v>
      </c>
    </row>
    <row r="5311" ht="14.25" customHeight="1">
      <c r="A5311" s="1" t="s">
        <v>5345</v>
      </c>
      <c r="B5311" s="2">
        <v>44712.0</v>
      </c>
      <c r="C5311" s="1" t="s">
        <v>30</v>
      </c>
      <c r="D5311" s="1" t="s">
        <v>15</v>
      </c>
      <c r="E5311" s="1" t="s">
        <v>54</v>
      </c>
      <c r="F5311" s="1">
        <v>432.63</v>
      </c>
      <c r="G5311" s="1">
        <v>257.55</v>
      </c>
      <c r="H5311" s="1">
        <v>8.0</v>
      </c>
      <c r="I5311" s="1" t="s">
        <v>23</v>
      </c>
      <c r="J5311" s="1" t="s">
        <v>24</v>
      </c>
      <c r="K5311" s="1">
        <f t="shared" si="1"/>
        <v>2022</v>
      </c>
      <c r="L5311" s="1" t="str">
        <f t="shared" si="2"/>
        <v>May</v>
      </c>
      <c r="M5311" s="1" t="str">
        <f t="shared" si="3"/>
        <v>Profit</v>
      </c>
    </row>
    <row r="5312" ht="14.25" customHeight="1">
      <c r="A5312" s="1" t="s">
        <v>5346</v>
      </c>
      <c r="B5312" s="2">
        <v>44730.0</v>
      </c>
      <c r="C5312" s="1" t="s">
        <v>30</v>
      </c>
      <c r="D5312" s="1" t="s">
        <v>15</v>
      </c>
      <c r="E5312" s="1" t="s">
        <v>16</v>
      </c>
      <c r="F5312" s="1">
        <v>344.8</v>
      </c>
      <c r="G5312" s="1">
        <v>-31.19</v>
      </c>
      <c r="H5312" s="1">
        <v>6.0</v>
      </c>
      <c r="I5312" s="1" t="s">
        <v>17</v>
      </c>
      <c r="J5312" s="1" t="s">
        <v>38</v>
      </c>
      <c r="K5312" s="1">
        <f t="shared" si="1"/>
        <v>2022</v>
      </c>
      <c r="L5312" s="1" t="str">
        <f t="shared" si="2"/>
        <v>Jun</v>
      </c>
      <c r="M5312" s="1" t="str">
        <f t="shared" si="3"/>
        <v>Loss</v>
      </c>
    </row>
    <row r="5313" ht="14.25" customHeight="1">
      <c r="A5313" s="1" t="s">
        <v>5347</v>
      </c>
      <c r="B5313" s="2">
        <v>44756.0</v>
      </c>
      <c r="C5313" s="1" t="s">
        <v>30</v>
      </c>
      <c r="D5313" s="1" t="s">
        <v>21</v>
      </c>
      <c r="E5313" s="1" t="s">
        <v>76</v>
      </c>
      <c r="F5313" s="1">
        <v>477.07</v>
      </c>
      <c r="G5313" s="1">
        <v>-64.47</v>
      </c>
      <c r="H5313" s="1">
        <v>5.0</v>
      </c>
      <c r="I5313" s="1" t="s">
        <v>17</v>
      </c>
      <c r="J5313" s="1" t="s">
        <v>24</v>
      </c>
      <c r="K5313" s="1">
        <f t="shared" si="1"/>
        <v>2022</v>
      </c>
      <c r="L5313" s="1" t="str">
        <f t="shared" si="2"/>
        <v>Jul</v>
      </c>
      <c r="M5313" s="1" t="str">
        <f t="shared" si="3"/>
        <v>Loss</v>
      </c>
    </row>
    <row r="5314" ht="14.25" customHeight="1">
      <c r="A5314" s="1" t="s">
        <v>5348</v>
      </c>
      <c r="B5314" s="2">
        <v>44760.0</v>
      </c>
      <c r="C5314" s="1" t="s">
        <v>26</v>
      </c>
      <c r="D5314" s="1" t="s">
        <v>27</v>
      </c>
      <c r="E5314" s="1" t="s">
        <v>40</v>
      </c>
      <c r="F5314" s="1">
        <v>558.03</v>
      </c>
      <c r="G5314" s="1">
        <v>230.91</v>
      </c>
      <c r="H5314" s="1">
        <v>10.0</v>
      </c>
      <c r="I5314" s="1" t="s">
        <v>23</v>
      </c>
      <c r="J5314" s="1" t="s">
        <v>35</v>
      </c>
      <c r="K5314" s="1">
        <f t="shared" si="1"/>
        <v>2022</v>
      </c>
      <c r="L5314" s="1" t="str">
        <f t="shared" si="2"/>
        <v>Jul</v>
      </c>
      <c r="M5314" s="1" t="str">
        <f t="shared" si="3"/>
        <v>Profit</v>
      </c>
    </row>
    <row r="5315" ht="14.25" customHeight="1">
      <c r="A5315" s="1" t="s">
        <v>5349</v>
      </c>
      <c r="B5315" s="2">
        <v>44601.0</v>
      </c>
      <c r="C5315" s="1" t="s">
        <v>30</v>
      </c>
      <c r="D5315" s="1" t="s">
        <v>15</v>
      </c>
      <c r="E5315" s="1" t="s">
        <v>16</v>
      </c>
      <c r="F5315" s="1">
        <v>920.41</v>
      </c>
      <c r="G5315" s="1">
        <v>194.38</v>
      </c>
      <c r="H5315" s="1">
        <v>2.0</v>
      </c>
      <c r="I5315" s="1" t="s">
        <v>17</v>
      </c>
      <c r="J5315" s="1" t="s">
        <v>38</v>
      </c>
      <c r="K5315" s="1">
        <f t="shared" si="1"/>
        <v>2022</v>
      </c>
      <c r="L5315" s="1" t="str">
        <f t="shared" si="2"/>
        <v>Feb</v>
      </c>
      <c r="M5315" s="1" t="str">
        <f t="shared" si="3"/>
        <v>Profit</v>
      </c>
    </row>
    <row r="5316" ht="14.25" customHeight="1">
      <c r="A5316" s="1" t="s">
        <v>5350</v>
      </c>
      <c r="B5316" s="2">
        <v>45014.0</v>
      </c>
      <c r="C5316" s="1" t="s">
        <v>26</v>
      </c>
      <c r="D5316" s="1" t="s">
        <v>15</v>
      </c>
      <c r="E5316" s="1" t="s">
        <v>16</v>
      </c>
      <c r="F5316" s="1">
        <v>636.99</v>
      </c>
      <c r="G5316" s="1">
        <v>10.59</v>
      </c>
      <c r="H5316" s="1">
        <v>2.0</v>
      </c>
      <c r="I5316" s="1" t="s">
        <v>23</v>
      </c>
      <c r="J5316" s="1" t="s">
        <v>35</v>
      </c>
      <c r="K5316" s="1">
        <f t="shared" si="1"/>
        <v>2023</v>
      </c>
      <c r="L5316" s="1" t="str">
        <f t="shared" si="2"/>
        <v>Mar</v>
      </c>
      <c r="M5316" s="1" t="str">
        <f t="shared" si="3"/>
        <v>Profit</v>
      </c>
    </row>
    <row r="5317" ht="14.25" customHeight="1">
      <c r="A5317" s="1" t="s">
        <v>5351</v>
      </c>
      <c r="B5317" s="2">
        <v>45241.0</v>
      </c>
      <c r="C5317" s="1" t="s">
        <v>26</v>
      </c>
      <c r="D5317" s="1" t="s">
        <v>15</v>
      </c>
      <c r="E5317" s="1" t="s">
        <v>54</v>
      </c>
      <c r="F5317" s="1">
        <v>229.47</v>
      </c>
      <c r="G5317" s="1">
        <v>99.78</v>
      </c>
      <c r="H5317" s="1">
        <v>10.0</v>
      </c>
      <c r="I5317" s="1" t="s">
        <v>23</v>
      </c>
      <c r="J5317" s="1" t="s">
        <v>24</v>
      </c>
      <c r="K5317" s="1">
        <f t="shared" si="1"/>
        <v>2023</v>
      </c>
      <c r="L5317" s="1" t="str">
        <f t="shared" si="2"/>
        <v>Nov</v>
      </c>
      <c r="M5317" s="1" t="str">
        <f t="shared" si="3"/>
        <v>Profit</v>
      </c>
    </row>
    <row r="5318" ht="14.25" customHeight="1">
      <c r="A5318" s="1" t="s">
        <v>5352</v>
      </c>
      <c r="B5318" s="2">
        <v>45197.0</v>
      </c>
      <c r="C5318" s="1" t="s">
        <v>14</v>
      </c>
      <c r="D5318" s="1" t="s">
        <v>27</v>
      </c>
      <c r="E5318" s="1" t="s">
        <v>33</v>
      </c>
      <c r="F5318" s="1">
        <v>266.76</v>
      </c>
      <c r="G5318" s="1">
        <v>-198.6</v>
      </c>
      <c r="H5318" s="1">
        <v>8.0</v>
      </c>
      <c r="I5318" s="1" t="s">
        <v>23</v>
      </c>
      <c r="J5318" s="1" t="s">
        <v>18</v>
      </c>
      <c r="K5318" s="1">
        <f t="shared" si="1"/>
        <v>2023</v>
      </c>
      <c r="L5318" s="1" t="str">
        <f t="shared" si="2"/>
        <v>Sep</v>
      </c>
      <c r="M5318" s="1" t="str">
        <f t="shared" si="3"/>
        <v>Loss</v>
      </c>
    </row>
    <row r="5319" ht="14.25" customHeight="1">
      <c r="A5319" s="1" t="s">
        <v>5353</v>
      </c>
      <c r="B5319" s="2">
        <v>44291.0</v>
      </c>
      <c r="C5319" s="1" t="s">
        <v>30</v>
      </c>
      <c r="D5319" s="1" t="s">
        <v>27</v>
      </c>
      <c r="E5319" s="1" t="s">
        <v>28</v>
      </c>
      <c r="F5319" s="1">
        <v>142.98</v>
      </c>
      <c r="G5319" s="1">
        <v>274.19</v>
      </c>
      <c r="H5319" s="1">
        <v>6.0</v>
      </c>
      <c r="I5319" s="1" t="s">
        <v>23</v>
      </c>
      <c r="J5319" s="1" t="s">
        <v>38</v>
      </c>
      <c r="K5319" s="1">
        <f t="shared" si="1"/>
        <v>2021</v>
      </c>
      <c r="L5319" s="1" t="str">
        <f t="shared" si="2"/>
        <v>Apr</v>
      </c>
      <c r="M5319" s="1" t="str">
        <f t="shared" si="3"/>
        <v>Profit</v>
      </c>
    </row>
    <row r="5320" ht="14.25" customHeight="1">
      <c r="A5320" s="1" t="s">
        <v>5354</v>
      </c>
      <c r="B5320" s="2">
        <v>44386.0</v>
      </c>
      <c r="C5320" s="1" t="s">
        <v>26</v>
      </c>
      <c r="D5320" s="1" t="s">
        <v>15</v>
      </c>
      <c r="E5320" s="1" t="s">
        <v>16</v>
      </c>
      <c r="F5320" s="1">
        <v>265.56</v>
      </c>
      <c r="G5320" s="1">
        <v>-137.11</v>
      </c>
      <c r="H5320" s="1">
        <v>2.0</v>
      </c>
      <c r="I5320" s="1" t="s">
        <v>34</v>
      </c>
      <c r="J5320" s="1" t="s">
        <v>38</v>
      </c>
      <c r="K5320" s="1">
        <f t="shared" si="1"/>
        <v>2021</v>
      </c>
      <c r="L5320" s="1" t="str">
        <f t="shared" si="2"/>
        <v>Jul</v>
      </c>
      <c r="M5320" s="1" t="str">
        <f t="shared" si="3"/>
        <v>Loss</v>
      </c>
    </row>
    <row r="5321" ht="14.25" customHeight="1">
      <c r="A5321" s="1" t="s">
        <v>5355</v>
      </c>
      <c r="B5321" s="2">
        <v>44816.0</v>
      </c>
      <c r="C5321" s="1" t="s">
        <v>20</v>
      </c>
      <c r="D5321" s="1" t="s">
        <v>21</v>
      </c>
      <c r="E5321" s="1" t="s">
        <v>37</v>
      </c>
      <c r="F5321" s="1">
        <v>380.94</v>
      </c>
      <c r="G5321" s="1">
        <v>-126.24</v>
      </c>
      <c r="H5321" s="1">
        <v>5.0</v>
      </c>
      <c r="I5321" s="1" t="s">
        <v>23</v>
      </c>
      <c r="J5321" s="1" t="s">
        <v>38</v>
      </c>
      <c r="K5321" s="1">
        <f t="shared" si="1"/>
        <v>2022</v>
      </c>
      <c r="L5321" s="1" t="str">
        <f t="shared" si="2"/>
        <v>Sep</v>
      </c>
      <c r="M5321" s="1" t="str">
        <f t="shared" si="3"/>
        <v>Loss</v>
      </c>
    </row>
    <row r="5322" ht="14.25" customHeight="1">
      <c r="A5322" s="1" t="s">
        <v>5356</v>
      </c>
      <c r="B5322" s="2">
        <v>44959.0</v>
      </c>
      <c r="C5322" s="1" t="s">
        <v>26</v>
      </c>
      <c r="D5322" s="1" t="s">
        <v>21</v>
      </c>
      <c r="E5322" s="1" t="s">
        <v>22</v>
      </c>
      <c r="F5322" s="1">
        <v>885.48</v>
      </c>
      <c r="G5322" s="1">
        <v>136.42</v>
      </c>
      <c r="H5322" s="1">
        <v>1.0</v>
      </c>
      <c r="I5322" s="1" t="s">
        <v>23</v>
      </c>
      <c r="J5322" s="1" t="s">
        <v>35</v>
      </c>
      <c r="K5322" s="1">
        <f t="shared" si="1"/>
        <v>2023</v>
      </c>
      <c r="L5322" s="1" t="str">
        <f t="shared" si="2"/>
        <v>Feb</v>
      </c>
      <c r="M5322" s="1" t="str">
        <f t="shared" si="3"/>
        <v>Profit</v>
      </c>
    </row>
    <row r="5323" ht="14.25" customHeight="1">
      <c r="A5323" s="1" t="s">
        <v>5357</v>
      </c>
      <c r="B5323" s="2">
        <v>45168.0</v>
      </c>
      <c r="C5323" s="1" t="s">
        <v>30</v>
      </c>
      <c r="D5323" s="1" t="s">
        <v>21</v>
      </c>
      <c r="E5323" s="1" t="s">
        <v>37</v>
      </c>
      <c r="F5323" s="1">
        <v>877.07</v>
      </c>
      <c r="G5323" s="1">
        <v>-4.27</v>
      </c>
      <c r="H5323" s="1">
        <v>4.0</v>
      </c>
      <c r="I5323" s="1" t="s">
        <v>23</v>
      </c>
      <c r="J5323" s="1" t="s">
        <v>35</v>
      </c>
      <c r="K5323" s="1">
        <f t="shared" si="1"/>
        <v>2023</v>
      </c>
      <c r="L5323" s="1" t="str">
        <f t="shared" si="2"/>
        <v>Aug</v>
      </c>
      <c r="M5323" s="1" t="str">
        <f t="shared" si="3"/>
        <v>Loss</v>
      </c>
    </row>
    <row r="5324" ht="14.25" customHeight="1">
      <c r="A5324" s="1" t="s">
        <v>5358</v>
      </c>
      <c r="B5324" s="2">
        <v>44855.0</v>
      </c>
      <c r="C5324" s="1" t="s">
        <v>14</v>
      </c>
      <c r="D5324" s="1" t="s">
        <v>27</v>
      </c>
      <c r="E5324" s="1" t="s">
        <v>33</v>
      </c>
      <c r="F5324" s="1">
        <v>528.81</v>
      </c>
      <c r="G5324" s="1">
        <v>174.44</v>
      </c>
      <c r="H5324" s="1">
        <v>2.0</v>
      </c>
      <c r="I5324" s="1" t="s">
        <v>23</v>
      </c>
      <c r="J5324" s="1" t="s">
        <v>24</v>
      </c>
      <c r="K5324" s="1">
        <f t="shared" si="1"/>
        <v>2022</v>
      </c>
      <c r="L5324" s="1" t="str">
        <f t="shared" si="2"/>
        <v>Oct</v>
      </c>
      <c r="M5324" s="1" t="str">
        <f t="shared" si="3"/>
        <v>Profit</v>
      </c>
    </row>
    <row r="5325" ht="14.25" customHeight="1">
      <c r="A5325" s="1" t="s">
        <v>5359</v>
      </c>
      <c r="B5325" s="2">
        <v>44996.0</v>
      </c>
      <c r="C5325" s="1" t="s">
        <v>14</v>
      </c>
      <c r="D5325" s="1" t="s">
        <v>21</v>
      </c>
      <c r="E5325" s="1" t="s">
        <v>37</v>
      </c>
      <c r="F5325" s="1">
        <v>288.52</v>
      </c>
      <c r="G5325" s="1">
        <v>-13.71</v>
      </c>
      <c r="H5325" s="1">
        <v>8.0</v>
      </c>
      <c r="I5325" s="1" t="s">
        <v>34</v>
      </c>
      <c r="J5325" s="1" t="s">
        <v>35</v>
      </c>
      <c r="K5325" s="1">
        <f t="shared" si="1"/>
        <v>2023</v>
      </c>
      <c r="L5325" s="1" t="str">
        <f t="shared" si="2"/>
        <v>Mar</v>
      </c>
      <c r="M5325" s="1" t="str">
        <f t="shared" si="3"/>
        <v>Loss</v>
      </c>
    </row>
    <row r="5326" ht="14.25" customHeight="1">
      <c r="A5326" s="1" t="s">
        <v>5360</v>
      </c>
      <c r="B5326" s="2">
        <v>44915.0</v>
      </c>
      <c r="C5326" s="1" t="s">
        <v>26</v>
      </c>
      <c r="D5326" s="1" t="s">
        <v>27</v>
      </c>
      <c r="E5326" s="1" t="s">
        <v>28</v>
      </c>
      <c r="F5326" s="1">
        <v>680.19</v>
      </c>
      <c r="G5326" s="1">
        <v>146.49</v>
      </c>
      <c r="H5326" s="1">
        <v>2.0</v>
      </c>
      <c r="I5326" s="1" t="s">
        <v>23</v>
      </c>
      <c r="J5326" s="1" t="s">
        <v>18</v>
      </c>
      <c r="K5326" s="1">
        <f t="shared" si="1"/>
        <v>2022</v>
      </c>
      <c r="L5326" s="1" t="str">
        <f t="shared" si="2"/>
        <v>Dec</v>
      </c>
      <c r="M5326" s="1" t="str">
        <f t="shared" si="3"/>
        <v>Profit</v>
      </c>
    </row>
    <row r="5327" ht="14.25" customHeight="1">
      <c r="A5327" s="1" t="s">
        <v>5361</v>
      </c>
      <c r="B5327" s="2">
        <v>44968.0</v>
      </c>
      <c r="C5327" s="1" t="s">
        <v>26</v>
      </c>
      <c r="D5327" s="1" t="s">
        <v>15</v>
      </c>
      <c r="E5327" s="1" t="s">
        <v>16</v>
      </c>
      <c r="F5327" s="1">
        <v>241.33</v>
      </c>
      <c r="G5327" s="1">
        <v>-68.42</v>
      </c>
      <c r="H5327" s="1">
        <v>3.0</v>
      </c>
      <c r="I5327" s="1" t="s">
        <v>34</v>
      </c>
      <c r="J5327" s="1" t="s">
        <v>24</v>
      </c>
      <c r="K5327" s="1">
        <f t="shared" si="1"/>
        <v>2023</v>
      </c>
      <c r="L5327" s="1" t="str">
        <f t="shared" si="2"/>
        <v>Feb</v>
      </c>
      <c r="M5327" s="1" t="str">
        <f t="shared" si="3"/>
        <v>Loss</v>
      </c>
    </row>
    <row r="5328" ht="14.25" customHeight="1">
      <c r="A5328" s="1" t="s">
        <v>5362</v>
      </c>
      <c r="B5328" s="2">
        <v>44363.0</v>
      </c>
      <c r="C5328" s="1" t="s">
        <v>20</v>
      </c>
      <c r="D5328" s="1" t="s">
        <v>27</v>
      </c>
      <c r="E5328" s="1" t="s">
        <v>28</v>
      </c>
      <c r="F5328" s="1">
        <v>629.87</v>
      </c>
      <c r="G5328" s="1">
        <v>-153.58</v>
      </c>
      <c r="H5328" s="1">
        <v>3.0</v>
      </c>
      <c r="I5328" s="1" t="s">
        <v>34</v>
      </c>
      <c r="J5328" s="1" t="s">
        <v>24</v>
      </c>
      <c r="K5328" s="1">
        <f t="shared" si="1"/>
        <v>2021</v>
      </c>
      <c r="L5328" s="1" t="str">
        <f t="shared" si="2"/>
        <v>Jun</v>
      </c>
      <c r="M5328" s="1" t="str">
        <f t="shared" si="3"/>
        <v>Loss</v>
      </c>
    </row>
    <row r="5329" ht="14.25" customHeight="1">
      <c r="A5329" s="1" t="s">
        <v>5363</v>
      </c>
      <c r="B5329" s="2">
        <v>44277.0</v>
      </c>
      <c r="C5329" s="1" t="s">
        <v>14</v>
      </c>
      <c r="D5329" s="1" t="s">
        <v>27</v>
      </c>
      <c r="E5329" s="1" t="s">
        <v>40</v>
      </c>
      <c r="F5329" s="1">
        <v>603.03</v>
      </c>
      <c r="G5329" s="1">
        <v>-131.77</v>
      </c>
      <c r="H5329" s="1">
        <v>3.0</v>
      </c>
      <c r="I5329" s="1" t="s">
        <v>23</v>
      </c>
      <c r="J5329" s="1" t="s">
        <v>18</v>
      </c>
      <c r="K5329" s="1">
        <f t="shared" si="1"/>
        <v>2021</v>
      </c>
      <c r="L5329" s="1" t="str">
        <f t="shared" si="2"/>
        <v>Mar</v>
      </c>
      <c r="M5329" s="1" t="str">
        <f t="shared" si="3"/>
        <v>Loss</v>
      </c>
    </row>
    <row r="5330" ht="14.25" customHeight="1">
      <c r="A5330" s="1" t="s">
        <v>5364</v>
      </c>
      <c r="B5330" s="2">
        <v>44435.0</v>
      </c>
      <c r="C5330" s="1" t="s">
        <v>30</v>
      </c>
      <c r="D5330" s="1" t="s">
        <v>27</v>
      </c>
      <c r="E5330" s="1" t="s">
        <v>40</v>
      </c>
      <c r="F5330" s="1">
        <v>757.6</v>
      </c>
      <c r="G5330" s="1">
        <v>11.86</v>
      </c>
      <c r="H5330" s="1">
        <v>5.0</v>
      </c>
      <c r="I5330" s="1" t="s">
        <v>23</v>
      </c>
      <c r="J5330" s="1" t="s">
        <v>18</v>
      </c>
      <c r="K5330" s="1">
        <f t="shared" si="1"/>
        <v>2021</v>
      </c>
      <c r="L5330" s="1" t="str">
        <f t="shared" si="2"/>
        <v>Aug</v>
      </c>
      <c r="M5330" s="1" t="str">
        <f t="shared" si="3"/>
        <v>Profit</v>
      </c>
    </row>
    <row r="5331" ht="14.25" customHeight="1">
      <c r="A5331" s="1" t="s">
        <v>5365</v>
      </c>
      <c r="B5331" s="2">
        <v>44625.0</v>
      </c>
      <c r="C5331" s="1" t="s">
        <v>30</v>
      </c>
      <c r="D5331" s="1" t="s">
        <v>27</v>
      </c>
      <c r="E5331" s="1" t="s">
        <v>40</v>
      </c>
      <c r="F5331" s="1">
        <v>547.04</v>
      </c>
      <c r="G5331" s="1">
        <v>-113.47</v>
      </c>
      <c r="H5331" s="1">
        <v>8.0</v>
      </c>
      <c r="I5331" s="1" t="s">
        <v>34</v>
      </c>
      <c r="J5331" s="1" t="s">
        <v>18</v>
      </c>
      <c r="K5331" s="1">
        <f t="shared" si="1"/>
        <v>2022</v>
      </c>
      <c r="L5331" s="1" t="str">
        <f t="shared" si="2"/>
        <v>Mar</v>
      </c>
      <c r="M5331" s="1" t="str">
        <f t="shared" si="3"/>
        <v>Loss</v>
      </c>
    </row>
    <row r="5332" ht="14.25" customHeight="1">
      <c r="A5332" s="1" t="s">
        <v>5366</v>
      </c>
      <c r="B5332" s="2">
        <v>44549.0</v>
      </c>
      <c r="C5332" s="1" t="s">
        <v>26</v>
      </c>
      <c r="D5332" s="1" t="s">
        <v>15</v>
      </c>
      <c r="E5332" s="1" t="s">
        <v>31</v>
      </c>
      <c r="F5332" s="1">
        <v>172.05</v>
      </c>
      <c r="G5332" s="1">
        <v>128.73</v>
      </c>
      <c r="H5332" s="1">
        <v>10.0</v>
      </c>
      <c r="I5332" s="1" t="s">
        <v>34</v>
      </c>
      <c r="J5332" s="1" t="s">
        <v>38</v>
      </c>
      <c r="K5332" s="1">
        <f t="shared" si="1"/>
        <v>2021</v>
      </c>
      <c r="L5332" s="1" t="str">
        <f t="shared" si="2"/>
        <v>Dec</v>
      </c>
      <c r="M5332" s="1" t="str">
        <f t="shared" si="3"/>
        <v>Profit</v>
      </c>
    </row>
    <row r="5333" ht="14.25" customHeight="1">
      <c r="A5333" s="1" t="s">
        <v>5367</v>
      </c>
      <c r="B5333" s="2">
        <v>44257.0</v>
      </c>
      <c r="C5333" s="1" t="s">
        <v>26</v>
      </c>
      <c r="D5333" s="1" t="s">
        <v>15</v>
      </c>
      <c r="E5333" s="1" t="s">
        <v>54</v>
      </c>
      <c r="F5333" s="1">
        <v>620.28</v>
      </c>
      <c r="G5333" s="1">
        <v>244.88</v>
      </c>
      <c r="H5333" s="1">
        <v>4.0</v>
      </c>
      <c r="I5333" s="1" t="s">
        <v>34</v>
      </c>
      <c r="J5333" s="1" t="s">
        <v>38</v>
      </c>
      <c r="K5333" s="1">
        <f t="shared" si="1"/>
        <v>2021</v>
      </c>
      <c r="L5333" s="1" t="str">
        <f t="shared" si="2"/>
        <v>Mar</v>
      </c>
      <c r="M5333" s="1" t="str">
        <f t="shared" si="3"/>
        <v>Profit</v>
      </c>
    </row>
    <row r="5334" ht="14.25" customHeight="1">
      <c r="A5334" s="1" t="s">
        <v>5368</v>
      </c>
      <c r="B5334" s="2">
        <v>44690.0</v>
      </c>
      <c r="C5334" s="1" t="s">
        <v>26</v>
      </c>
      <c r="D5334" s="1" t="s">
        <v>27</v>
      </c>
      <c r="E5334" s="1" t="s">
        <v>40</v>
      </c>
      <c r="F5334" s="1">
        <v>67.31</v>
      </c>
      <c r="G5334" s="1">
        <v>-193.13</v>
      </c>
      <c r="H5334" s="1">
        <v>6.0</v>
      </c>
      <c r="I5334" s="1" t="s">
        <v>34</v>
      </c>
      <c r="J5334" s="1" t="s">
        <v>38</v>
      </c>
      <c r="K5334" s="1">
        <f t="shared" si="1"/>
        <v>2022</v>
      </c>
      <c r="L5334" s="1" t="str">
        <f t="shared" si="2"/>
        <v>May</v>
      </c>
      <c r="M5334" s="1" t="str">
        <f t="shared" si="3"/>
        <v>Loss</v>
      </c>
    </row>
    <row r="5335" ht="14.25" customHeight="1">
      <c r="A5335" s="1" t="s">
        <v>5369</v>
      </c>
      <c r="B5335" s="2">
        <v>44780.0</v>
      </c>
      <c r="C5335" s="1" t="s">
        <v>14</v>
      </c>
      <c r="D5335" s="1" t="s">
        <v>27</v>
      </c>
      <c r="E5335" s="1" t="s">
        <v>28</v>
      </c>
      <c r="F5335" s="1">
        <v>538.43</v>
      </c>
      <c r="G5335" s="1">
        <v>273.64</v>
      </c>
      <c r="H5335" s="1">
        <v>9.0</v>
      </c>
      <c r="I5335" s="1" t="s">
        <v>34</v>
      </c>
      <c r="J5335" s="1" t="s">
        <v>38</v>
      </c>
      <c r="K5335" s="1">
        <f t="shared" si="1"/>
        <v>2022</v>
      </c>
      <c r="L5335" s="1" t="str">
        <f t="shared" si="2"/>
        <v>Aug</v>
      </c>
      <c r="M5335" s="1" t="str">
        <f t="shared" si="3"/>
        <v>Profit</v>
      </c>
    </row>
    <row r="5336" ht="14.25" customHeight="1">
      <c r="A5336" s="1" t="s">
        <v>5370</v>
      </c>
      <c r="B5336" s="2">
        <v>44761.0</v>
      </c>
      <c r="C5336" s="1" t="s">
        <v>30</v>
      </c>
      <c r="D5336" s="1" t="s">
        <v>27</v>
      </c>
      <c r="E5336" s="1" t="s">
        <v>28</v>
      </c>
      <c r="F5336" s="1">
        <v>519.9</v>
      </c>
      <c r="G5336" s="1">
        <v>-83.33</v>
      </c>
      <c r="H5336" s="1">
        <v>1.0</v>
      </c>
      <c r="I5336" s="1" t="s">
        <v>23</v>
      </c>
      <c r="J5336" s="1" t="s">
        <v>18</v>
      </c>
      <c r="K5336" s="1">
        <f t="shared" si="1"/>
        <v>2022</v>
      </c>
      <c r="L5336" s="1" t="str">
        <f t="shared" si="2"/>
        <v>Jul</v>
      </c>
      <c r="M5336" s="1" t="str">
        <f t="shared" si="3"/>
        <v>Loss</v>
      </c>
    </row>
    <row r="5337" ht="14.25" customHeight="1">
      <c r="A5337" s="1" t="s">
        <v>5371</v>
      </c>
      <c r="B5337" s="2">
        <v>45073.0</v>
      </c>
      <c r="C5337" s="1" t="s">
        <v>20</v>
      </c>
      <c r="D5337" s="1" t="s">
        <v>15</v>
      </c>
      <c r="E5337" s="1" t="s">
        <v>31</v>
      </c>
      <c r="F5337" s="1">
        <v>216.73</v>
      </c>
      <c r="G5337" s="1">
        <v>-131.65</v>
      </c>
      <c r="H5337" s="1">
        <v>8.0</v>
      </c>
      <c r="I5337" s="1" t="s">
        <v>17</v>
      </c>
      <c r="J5337" s="1" t="s">
        <v>24</v>
      </c>
      <c r="K5337" s="1">
        <f t="shared" si="1"/>
        <v>2023</v>
      </c>
      <c r="L5337" s="1" t="str">
        <f t="shared" si="2"/>
        <v>May</v>
      </c>
      <c r="M5337" s="1" t="str">
        <f t="shared" si="3"/>
        <v>Loss</v>
      </c>
    </row>
    <row r="5338" ht="14.25" customHeight="1">
      <c r="A5338" s="1" t="s">
        <v>5372</v>
      </c>
      <c r="B5338" s="2">
        <v>44225.0</v>
      </c>
      <c r="C5338" s="1" t="s">
        <v>14</v>
      </c>
      <c r="D5338" s="1" t="s">
        <v>21</v>
      </c>
      <c r="E5338" s="1" t="s">
        <v>37</v>
      </c>
      <c r="F5338" s="1">
        <v>288.04</v>
      </c>
      <c r="G5338" s="1">
        <v>-51.93</v>
      </c>
      <c r="H5338" s="1">
        <v>6.0</v>
      </c>
      <c r="I5338" s="1" t="s">
        <v>34</v>
      </c>
      <c r="J5338" s="1" t="s">
        <v>38</v>
      </c>
      <c r="K5338" s="1">
        <f t="shared" si="1"/>
        <v>2021</v>
      </c>
      <c r="L5338" s="1" t="str">
        <f t="shared" si="2"/>
        <v>Jan</v>
      </c>
      <c r="M5338" s="1" t="str">
        <f t="shared" si="3"/>
        <v>Loss</v>
      </c>
    </row>
    <row r="5339" ht="14.25" customHeight="1">
      <c r="A5339" s="1" t="s">
        <v>5373</v>
      </c>
      <c r="B5339" s="2">
        <v>44512.0</v>
      </c>
      <c r="C5339" s="1" t="s">
        <v>30</v>
      </c>
      <c r="D5339" s="1" t="s">
        <v>27</v>
      </c>
      <c r="E5339" s="1" t="s">
        <v>40</v>
      </c>
      <c r="F5339" s="1">
        <v>327.9</v>
      </c>
      <c r="G5339" s="1">
        <v>85.07</v>
      </c>
      <c r="H5339" s="1">
        <v>7.0</v>
      </c>
      <c r="I5339" s="1" t="s">
        <v>17</v>
      </c>
      <c r="J5339" s="1" t="s">
        <v>35</v>
      </c>
      <c r="K5339" s="1">
        <f t="shared" si="1"/>
        <v>2021</v>
      </c>
      <c r="L5339" s="1" t="str">
        <f t="shared" si="2"/>
        <v>Nov</v>
      </c>
      <c r="M5339" s="1" t="str">
        <f t="shared" si="3"/>
        <v>Profit</v>
      </c>
    </row>
    <row r="5340" ht="14.25" customHeight="1">
      <c r="A5340" s="1" t="s">
        <v>5374</v>
      </c>
      <c r="B5340" s="2">
        <v>45187.0</v>
      </c>
      <c r="C5340" s="1" t="s">
        <v>30</v>
      </c>
      <c r="D5340" s="1" t="s">
        <v>27</v>
      </c>
      <c r="E5340" s="1" t="s">
        <v>33</v>
      </c>
      <c r="F5340" s="1">
        <v>428.37</v>
      </c>
      <c r="G5340" s="1">
        <v>-160.51</v>
      </c>
      <c r="H5340" s="1">
        <v>3.0</v>
      </c>
      <c r="I5340" s="1" t="s">
        <v>23</v>
      </c>
      <c r="J5340" s="1" t="s">
        <v>35</v>
      </c>
      <c r="K5340" s="1">
        <f t="shared" si="1"/>
        <v>2023</v>
      </c>
      <c r="L5340" s="1" t="str">
        <f t="shared" si="2"/>
        <v>Sep</v>
      </c>
      <c r="M5340" s="1" t="str">
        <f t="shared" si="3"/>
        <v>Loss</v>
      </c>
    </row>
    <row r="5341" ht="14.25" customHeight="1">
      <c r="A5341" s="1" t="s">
        <v>5375</v>
      </c>
      <c r="B5341" s="2">
        <v>44370.0</v>
      </c>
      <c r="C5341" s="1" t="s">
        <v>20</v>
      </c>
      <c r="D5341" s="1" t="s">
        <v>15</v>
      </c>
      <c r="E5341" s="1" t="s">
        <v>54</v>
      </c>
      <c r="F5341" s="1">
        <v>860.97</v>
      </c>
      <c r="G5341" s="1">
        <v>-47.03</v>
      </c>
      <c r="H5341" s="1">
        <v>3.0</v>
      </c>
      <c r="I5341" s="1" t="s">
        <v>17</v>
      </c>
      <c r="J5341" s="1" t="s">
        <v>18</v>
      </c>
      <c r="K5341" s="1">
        <f t="shared" si="1"/>
        <v>2021</v>
      </c>
      <c r="L5341" s="1" t="str">
        <f t="shared" si="2"/>
        <v>Jun</v>
      </c>
      <c r="M5341" s="1" t="str">
        <f t="shared" si="3"/>
        <v>Loss</v>
      </c>
    </row>
    <row r="5342" ht="14.25" customHeight="1">
      <c r="A5342" s="1" t="s">
        <v>5376</v>
      </c>
      <c r="B5342" s="2">
        <v>45060.0</v>
      </c>
      <c r="C5342" s="1" t="s">
        <v>26</v>
      </c>
      <c r="D5342" s="1" t="s">
        <v>27</v>
      </c>
      <c r="E5342" s="1" t="s">
        <v>28</v>
      </c>
      <c r="F5342" s="1">
        <v>565.47</v>
      </c>
      <c r="G5342" s="1">
        <v>108.93</v>
      </c>
      <c r="H5342" s="1">
        <v>3.0</v>
      </c>
      <c r="I5342" s="1" t="s">
        <v>23</v>
      </c>
      <c r="J5342" s="1" t="s">
        <v>18</v>
      </c>
      <c r="K5342" s="1">
        <f t="shared" si="1"/>
        <v>2023</v>
      </c>
      <c r="L5342" s="1" t="str">
        <f t="shared" si="2"/>
        <v>May</v>
      </c>
      <c r="M5342" s="1" t="str">
        <f t="shared" si="3"/>
        <v>Profit</v>
      </c>
    </row>
    <row r="5343" ht="14.25" customHeight="1">
      <c r="A5343" s="1" t="s">
        <v>5377</v>
      </c>
      <c r="B5343" s="2">
        <v>44863.0</v>
      </c>
      <c r="C5343" s="1" t="s">
        <v>14</v>
      </c>
      <c r="D5343" s="1" t="s">
        <v>27</v>
      </c>
      <c r="E5343" s="1" t="s">
        <v>33</v>
      </c>
      <c r="F5343" s="1">
        <v>637.1</v>
      </c>
      <c r="G5343" s="1">
        <v>157.73</v>
      </c>
      <c r="H5343" s="1">
        <v>2.0</v>
      </c>
      <c r="I5343" s="1" t="s">
        <v>34</v>
      </c>
      <c r="J5343" s="1" t="s">
        <v>35</v>
      </c>
      <c r="K5343" s="1">
        <f t="shared" si="1"/>
        <v>2022</v>
      </c>
      <c r="L5343" s="1" t="str">
        <f t="shared" si="2"/>
        <v>Oct</v>
      </c>
      <c r="M5343" s="1" t="str">
        <f t="shared" si="3"/>
        <v>Profit</v>
      </c>
    </row>
    <row r="5344" ht="14.25" customHeight="1">
      <c r="A5344" s="1" t="s">
        <v>5378</v>
      </c>
      <c r="B5344" s="2">
        <v>45195.0</v>
      </c>
      <c r="C5344" s="1" t="s">
        <v>30</v>
      </c>
      <c r="D5344" s="1" t="s">
        <v>21</v>
      </c>
      <c r="E5344" s="1" t="s">
        <v>76</v>
      </c>
      <c r="F5344" s="1">
        <v>687.25</v>
      </c>
      <c r="G5344" s="1">
        <v>82.73</v>
      </c>
      <c r="H5344" s="1">
        <v>5.0</v>
      </c>
      <c r="I5344" s="1" t="s">
        <v>23</v>
      </c>
      <c r="J5344" s="1" t="s">
        <v>24</v>
      </c>
      <c r="K5344" s="1">
        <f t="shared" si="1"/>
        <v>2023</v>
      </c>
      <c r="L5344" s="1" t="str">
        <f t="shared" si="2"/>
        <v>Sep</v>
      </c>
      <c r="M5344" s="1" t="str">
        <f t="shared" si="3"/>
        <v>Profit</v>
      </c>
    </row>
    <row r="5345" ht="14.25" customHeight="1">
      <c r="A5345" s="1" t="s">
        <v>5379</v>
      </c>
      <c r="B5345" s="2">
        <v>44508.0</v>
      </c>
      <c r="C5345" s="1" t="s">
        <v>14</v>
      </c>
      <c r="D5345" s="1" t="s">
        <v>21</v>
      </c>
      <c r="E5345" s="1" t="s">
        <v>22</v>
      </c>
      <c r="F5345" s="1">
        <v>591.53</v>
      </c>
      <c r="G5345" s="1">
        <v>198.83</v>
      </c>
      <c r="H5345" s="1">
        <v>8.0</v>
      </c>
      <c r="I5345" s="1" t="s">
        <v>34</v>
      </c>
      <c r="J5345" s="1" t="s">
        <v>35</v>
      </c>
      <c r="K5345" s="1">
        <f t="shared" si="1"/>
        <v>2021</v>
      </c>
      <c r="L5345" s="1" t="str">
        <f t="shared" si="2"/>
        <v>Nov</v>
      </c>
      <c r="M5345" s="1" t="str">
        <f t="shared" si="3"/>
        <v>Profit</v>
      </c>
    </row>
    <row r="5346" ht="14.25" customHeight="1">
      <c r="A5346" s="1" t="s">
        <v>5380</v>
      </c>
      <c r="B5346" s="2">
        <v>44786.0</v>
      </c>
      <c r="C5346" s="1" t="s">
        <v>20</v>
      </c>
      <c r="D5346" s="1" t="s">
        <v>15</v>
      </c>
      <c r="E5346" s="1" t="s">
        <v>31</v>
      </c>
      <c r="F5346" s="1">
        <v>256.43</v>
      </c>
      <c r="G5346" s="1">
        <v>-45.94</v>
      </c>
      <c r="H5346" s="1">
        <v>3.0</v>
      </c>
      <c r="I5346" s="1" t="s">
        <v>17</v>
      </c>
      <c r="J5346" s="1" t="s">
        <v>24</v>
      </c>
      <c r="K5346" s="1">
        <f t="shared" si="1"/>
        <v>2022</v>
      </c>
      <c r="L5346" s="1" t="str">
        <f t="shared" si="2"/>
        <v>Aug</v>
      </c>
      <c r="M5346" s="1" t="str">
        <f t="shared" si="3"/>
        <v>Loss</v>
      </c>
    </row>
    <row r="5347" ht="14.25" customHeight="1">
      <c r="A5347" s="1" t="s">
        <v>5381</v>
      </c>
      <c r="B5347" s="2">
        <v>44940.0</v>
      </c>
      <c r="C5347" s="1" t="s">
        <v>14</v>
      </c>
      <c r="D5347" s="1" t="s">
        <v>15</v>
      </c>
      <c r="E5347" s="1" t="s">
        <v>31</v>
      </c>
      <c r="F5347" s="1">
        <v>948.68</v>
      </c>
      <c r="G5347" s="1">
        <v>120.04</v>
      </c>
      <c r="H5347" s="1">
        <v>5.0</v>
      </c>
      <c r="I5347" s="1" t="s">
        <v>34</v>
      </c>
      <c r="J5347" s="1" t="s">
        <v>35</v>
      </c>
      <c r="K5347" s="1">
        <f t="shared" si="1"/>
        <v>2023</v>
      </c>
      <c r="L5347" s="1" t="str">
        <f t="shared" si="2"/>
        <v>Jan</v>
      </c>
      <c r="M5347" s="1" t="str">
        <f t="shared" si="3"/>
        <v>Profit</v>
      </c>
    </row>
    <row r="5348" ht="14.25" customHeight="1">
      <c r="A5348" s="1" t="s">
        <v>5382</v>
      </c>
      <c r="B5348" s="2">
        <v>44867.0</v>
      </c>
      <c r="C5348" s="1" t="s">
        <v>20</v>
      </c>
      <c r="D5348" s="1" t="s">
        <v>27</v>
      </c>
      <c r="E5348" s="1" t="s">
        <v>40</v>
      </c>
      <c r="F5348" s="1">
        <v>689.69</v>
      </c>
      <c r="G5348" s="1">
        <v>110.91</v>
      </c>
      <c r="H5348" s="1">
        <v>6.0</v>
      </c>
      <c r="I5348" s="1" t="s">
        <v>17</v>
      </c>
      <c r="J5348" s="1" t="s">
        <v>18</v>
      </c>
      <c r="K5348" s="1">
        <f t="shared" si="1"/>
        <v>2022</v>
      </c>
      <c r="L5348" s="1" t="str">
        <f t="shared" si="2"/>
        <v>Nov</v>
      </c>
      <c r="M5348" s="1" t="str">
        <f t="shared" si="3"/>
        <v>Profit</v>
      </c>
    </row>
    <row r="5349" ht="14.25" customHeight="1">
      <c r="A5349" s="1" t="s">
        <v>5383</v>
      </c>
      <c r="B5349" s="2">
        <v>44954.0</v>
      </c>
      <c r="C5349" s="1" t="s">
        <v>20</v>
      </c>
      <c r="D5349" s="1" t="s">
        <v>21</v>
      </c>
      <c r="E5349" s="1" t="s">
        <v>76</v>
      </c>
      <c r="F5349" s="1">
        <v>444.21</v>
      </c>
      <c r="G5349" s="1">
        <v>55.65</v>
      </c>
      <c r="H5349" s="1">
        <v>9.0</v>
      </c>
      <c r="I5349" s="1" t="s">
        <v>34</v>
      </c>
      <c r="J5349" s="1" t="s">
        <v>35</v>
      </c>
      <c r="K5349" s="1">
        <f t="shared" si="1"/>
        <v>2023</v>
      </c>
      <c r="L5349" s="1" t="str">
        <f t="shared" si="2"/>
        <v>Jan</v>
      </c>
      <c r="M5349" s="1" t="str">
        <f t="shared" si="3"/>
        <v>Profit</v>
      </c>
    </row>
    <row r="5350" ht="14.25" customHeight="1">
      <c r="A5350" s="1" t="s">
        <v>5384</v>
      </c>
      <c r="B5350" s="2">
        <v>45211.0</v>
      </c>
      <c r="C5350" s="1" t="s">
        <v>14</v>
      </c>
      <c r="D5350" s="1" t="s">
        <v>27</v>
      </c>
      <c r="E5350" s="1" t="s">
        <v>40</v>
      </c>
      <c r="F5350" s="1">
        <v>62.9</v>
      </c>
      <c r="G5350" s="1">
        <v>-44.39</v>
      </c>
      <c r="H5350" s="1">
        <v>3.0</v>
      </c>
      <c r="I5350" s="1" t="s">
        <v>17</v>
      </c>
      <c r="J5350" s="1" t="s">
        <v>38</v>
      </c>
      <c r="K5350" s="1">
        <f t="shared" si="1"/>
        <v>2023</v>
      </c>
      <c r="L5350" s="1" t="str">
        <f t="shared" si="2"/>
        <v>Oct</v>
      </c>
      <c r="M5350" s="1" t="str">
        <f t="shared" si="3"/>
        <v>Loss</v>
      </c>
    </row>
    <row r="5351" ht="14.25" customHeight="1">
      <c r="A5351" s="1" t="s">
        <v>5385</v>
      </c>
      <c r="B5351" s="2">
        <v>44375.0</v>
      </c>
      <c r="C5351" s="1" t="s">
        <v>14</v>
      </c>
      <c r="D5351" s="1" t="s">
        <v>27</v>
      </c>
      <c r="E5351" s="1" t="s">
        <v>33</v>
      </c>
      <c r="F5351" s="1">
        <v>898.36</v>
      </c>
      <c r="G5351" s="1">
        <v>45.47</v>
      </c>
      <c r="H5351" s="1">
        <v>1.0</v>
      </c>
      <c r="I5351" s="1" t="s">
        <v>17</v>
      </c>
      <c r="J5351" s="1" t="s">
        <v>24</v>
      </c>
      <c r="K5351" s="1">
        <f t="shared" si="1"/>
        <v>2021</v>
      </c>
      <c r="L5351" s="1" t="str">
        <f t="shared" si="2"/>
        <v>Jun</v>
      </c>
      <c r="M5351" s="1" t="str">
        <f t="shared" si="3"/>
        <v>Profit</v>
      </c>
    </row>
    <row r="5352" ht="14.25" customHeight="1">
      <c r="A5352" s="1" t="s">
        <v>5386</v>
      </c>
      <c r="B5352" s="2">
        <v>45174.0</v>
      </c>
      <c r="C5352" s="1" t="s">
        <v>26</v>
      </c>
      <c r="D5352" s="1" t="s">
        <v>21</v>
      </c>
      <c r="E5352" s="1" t="s">
        <v>76</v>
      </c>
      <c r="F5352" s="1">
        <v>979.61</v>
      </c>
      <c r="G5352" s="1">
        <v>48.09</v>
      </c>
      <c r="H5352" s="1">
        <v>9.0</v>
      </c>
      <c r="I5352" s="1" t="s">
        <v>34</v>
      </c>
      <c r="J5352" s="1" t="s">
        <v>24</v>
      </c>
      <c r="K5352" s="1">
        <f t="shared" si="1"/>
        <v>2023</v>
      </c>
      <c r="L5352" s="1" t="str">
        <f t="shared" si="2"/>
        <v>Sep</v>
      </c>
      <c r="M5352" s="1" t="str">
        <f t="shared" si="3"/>
        <v>Profit</v>
      </c>
    </row>
    <row r="5353" ht="14.25" customHeight="1">
      <c r="A5353" s="1" t="s">
        <v>5387</v>
      </c>
      <c r="B5353" s="2">
        <v>44877.0</v>
      </c>
      <c r="C5353" s="1" t="s">
        <v>30</v>
      </c>
      <c r="D5353" s="1" t="s">
        <v>21</v>
      </c>
      <c r="E5353" s="1" t="s">
        <v>22</v>
      </c>
      <c r="F5353" s="1">
        <v>270.96</v>
      </c>
      <c r="G5353" s="1">
        <v>-198.46</v>
      </c>
      <c r="H5353" s="1">
        <v>5.0</v>
      </c>
      <c r="I5353" s="1" t="s">
        <v>34</v>
      </c>
      <c r="J5353" s="1" t="s">
        <v>35</v>
      </c>
      <c r="K5353" s="1">
        <f t="shared" si="1"/>
        <v>2022</v>
      </c>
      <c r="L5353" s="1" t="str">
        <f t="shared" si="2"/>
        <v>Nov</v>
      </c>
      <c r="M5353" s="1" t="str">
        <f t="shared" si="3"/>
        <v>Loss</v>
      </c>
    </row>
    <row r="5354" ht="14.25" customHeight="1">
      <c r="A5354" s="1" t="s">
        <v>5388</v>
      </c>
      <c r="B5354" s="2">
        <v>44403.0</v>
      </c>
      <c r="C5354" s="1" t="s">
        <v>20</v>
      </c>
      <c r="D5354" s="1" t="s">
        <v>21</v>
      </c>
      <c r="E5354" s="1" t="s">
        <v>22</v>
      </c>
      <c r="F5354" s="1">
        <v>75.8</v>
      </c>
      <c r="G5354" s="1">
        <v>206.77</v>
      </c>
      <c r="H5354" s="1">
        <v>10.0</v>
      </c>
      <c r="I5354" s="1" t="s">
        <v>23</v>
      </c>
      <c r="J5354" s="1" t="s">
        <v>38</v>
      </c>
      <c r="K5354" s="1">
        <f t="shared" si="1"/>
        <v>2021</v>
      </c>
      <c r="L5354" s="1" t="str">
        <f t="shared" si="2"/>
        <v>Jul</v>
      </c>
      <c r="M5354" s="1" t="str">
        <f t="shared" si="3"/>
        <v>Profit</v>
      </c>
    </row>
    <row r="5355" ht="14.25" customHeight="1">
      <c r="A5355" s="1" t="s">
        <v>5389</v>
      </c>
      <c r="B5355" s="2">
        <v>44736.0</v>
      </c>
      <c r="C5355" s="1" t="s">
        <v>14</v>
      </c>
      <c r="D5355" s="1" t="s">
        <v>27</v>
      </c>
      <c r="E5355" s="1" t="s">
        <v>40</v>
      </c>
      <c r="F5355" s="1">
        <v>592.88</v>
      </c>
      <c r="G5355" s="1">
        <v>-196.71</v>
      </c>
      <c r="H5355" s="1">
        <v>6.0</v>
      </c>
      <c r="I5355" s="1" t="s">
        <v>34</v>
      </c>
      <c r="J5355" s="1" t="s">
        <v>35</v>
      </c>
      <c r="K5355" s="1">
        <f t="shared" si="1"/>
        <v>2022</v>
      </c>
      <c r="L5355" s="1" t="str">
        <f t="shared" si="2"/>
        <v>Jun</v>
      </c>
      <c r="M5355" s="1" t="str">
        <f t="shared" si="3"/>
        <v>Loss</v>
      </c>
    </row>
    <row r="5356" ht="14.25" customHeight="1">
      <c r="A5356" s="1" t="s">
        <v>5390</v>
      </c>
      <c r="B5356" s="2">
        <v>44903.0</v>
      </c>
      <c r="C5356" s="1" t="s">
        <v>20</v>
      </c>
      <c r="D5356" s="1" t="s">
        <v>15</v>
      </c>
      <c r="E5356" s="1" t="s">
        <v>31</v>
      </c>
      <c r="F5356" s="1">
        <v>900.34</v>
      </c>
      <c r="G5356" s="1">
        <v>93.81</v>
      </c>
      <c r="H5356" s="1">
        <v>2.0</v>
      </c>
      <c r="I5356" s="1" t="s">
        <v>17</v>
      </c>
      <c r="J5356" s="1" t="s">
        <v>18</v>
      </c>
      <c r="K5356" s="1">
        <f t="shared" si="1"/>
        <v>2022</v>
      </c>
      <c r="L5356" s="1" t="str">
        <f t="shared" si="2"/>
        <v>Dec</v>
      </c>
      <c r="M5356" s="1" t="str">
        <f t="shared" si="3"/>
        <v>Profit</v>
      </c>
    </row>
    <row r="5357" ht="14.25" customHeight="1">
      <c r="A5357" s="1" t="s">
        <v>5391</v>
      </c>
      <c r="B5357" s="2">
        <v>44869.0</v>
      </c>
      <c r="C5357" s="1" t="s">
        <v>30</v>
      </c>
      <c r="D5357" s="1" t="s">
        <v>27</v>
      </c>
      <c r="E5357" s="1" t="s">
        <v>33</v>
      </c>
      <c r="F5357" s="1">
        <v>251.56</v>
      </c>
      <c r="G5357" s="1">
        <v>-84.21</v>
      </c>
      <c r="H5357" s="1">
        <v>5.0</v>
      </c>
      <c r="I5357" s="1" t="s">
        <v>34</v>
      </c>
      <c r="J5357" s="1" t="s">
        <v>38</v>
      </c>
      <c r="K5357" s="1">
        <f t="shared" si="1"/>
        <v>2022</v>
      </c>
      <c r="L5357" s="1" t="str">
        <f t="shared" si="2"/>
        <v>Nov</v>
      </c>
      <c r="M5357" s="1" t="str">
        <f t="shared" si="3"/>
        <v>Loss</v>
      </c>
    </row>
    <row r="5358" ht="14.25" customHeight="1">
      <c r="A5358" s="1" t="s">
        <v>5392</v>
      </c>
      <c r="B5358" s="2">
        <v>44924.0</v>
      </c>
      <c r="C5358" s="1" t="s">
        <v>30</v>
      </c>
      <c r="D5358" s="1" t="s">
        <v>27</v>
      </c>
      <c r="E5358" s="1" t="s">
        <v>28</v>
      </c>
      <c r="F5358" s="1">
        <v>456.89</v>
      </c>
      <c r="G5358" s="1">
        <v>-183.03</v>
      </c>
      <c r="H5358" s="1">
        <v>7.0</v>
      </c>
      <c r="I5358" s="1" t="s">
        <v>23</v>
      </c>
      <c r="J5358" s="1" t="s">
        <v>24</v>
      </c>
      <c r="K5358" s="1">
        <f t="shared" si="1"/>
        <v>2022</v>
      </c>
      <c r="L5358" s="1" t="str">
        <f t="shared" si="2"/>
        <v>Dec</v>
      </c>
      <c r="M5358" s="1" t="str">
        <f t="shared" si="3"/>
        <v>Loss</v>
      </c>
    </row>
    <row r="5359" ht="14.25" customHeight="1">
      <c r="A5359" s="1" t="s">
        <v>5393</v>
      </c>
      <c r="B5359" s="2">
        <v>44227.0</v>
      </c>
      <c r="C5359" s="1" t="s">
        <v>26</v>
      </c>
      <c r="D5359" s="1" t="s">
        <v>21</v>
      </c>
      <c r="E5359" s="1" t="s">
        <v>37</v>
      </c>
      <c r="F5359" s="1">
        <v>981.88</v>
      </c>
      <c r="G5359" s="1">
        <v>-4.35</v>
      </c>
      <c r="H5359" s="1">
        <v>9.0</v>
      </c>
      <c r="I5359" s="1" t="s">
        <v>23</v>
      </c>
      <c r="J5359" s="1" t="s">
        <v>24</v>
      </c>
      <c r="K5359" s="1">
        <f t="shared" si="1"/>
        <v>2021</v>
      </c>
      <c r="L5359" s="1" t="str">
        <f t="shared" si="2"/>
        <v>Jan</v>
      </c>
      <c r="M5359" s="1" t="str">
        <f t="shared" si="3"/>
        <v>Loss</v>
      </c>
    </row>
    <row r="5360" ht="14.25" customHeight="1">
      <c r="A5360" s="1" t="s">
        <v>5394</v>
      </c>
      <c r="B5360" s="2">
        <v>44676.0</v>
      </c>
      <c r="C5360" s="1" t="s">
        <v>26</v>
      </c>
      <c r="D5360" s="1" t="s">
        <v>15</v>
      </c>
      <c r="E5360" s="1" t="s">
        <v>31</v>
      </c>
      <c r="F5360" s="1">
        <v>473.73</v>
      </c>
      <c r="G5360" s="1">
        <v>287.05</v>
      </c>
      <c r="H5360" s="1">
        <v>4.0</v>
      </c>
      <c r="I5360" s="1" t="s">
        <v>17</v>
      </c>
      <c r="J5360" s="1" t="s">
        <v>38</v>
      </c>
      <c r="K5360" s="1">
        <f t="shared" si="1"/>
        <v>2022</v>
      </c>
      <c r="L5360" s="1" t="str">
        <f t="shared" si="2"/>
        <v>Apr</v>
      </c>
      <c r="M5360" s="1" t="str">
        <f t="shared" si="3"/>
        <v>Profit</v>
      </c>
    </row>
    <row r="5361" ht="14.25" customHeight="1">
      <c r="A5361" s="1" t="s">
        <v>5395</v>
      </c>
      <c r="B5361" s="2">
        <v>44956.0</v>
      </c>
      <c r="C5361" s="1" t="s">
        <v>30</v>
      </c>
      <c r="D5361" s="1" t="s">
        <v>15</v>
      </c>
      <c r="E5361" s="1" t="s">
        <v>31</v>
      </c>
      <c r="F5361" s="1">
        <v>136.23</v>
      </c>
      <c r="G5361" s="1">
        <v>-87.72</v>
      </c>
      <c r="H5361" s="1">
        <v>4.0</v>
      </c>
      <c r="I5361" s="1" t="s">
        <v>34</v>
      </c>
      <c r="J5361" s="1" t="s">
        <v>24</v>
      </c>
      <c r="K5361" s="1">
        <f t="shared" si="1"/>
        <v>2023</v>
      </c>
      <c r="L5361" s="1" t="str">
        <f t="shared" si="2"/>
        <v>Jan</v>
      </c>
      <c r="M5361" s="1" t="str">
        <f t="shared" si="3"/>
        <v>Loss</v>
      </c>
    </row>
    <row r="5362" ht="14.25" customHeight="1">
      <c r="A5362" s="1" t="s">
        <v>5396</v>
      </c>
      <c r="B5362" s="2">
        <v>44587.0</v>
      </c>
      <c r="C5362" s="1" t="s">
        <v>14</v>
      </c>
      <c r="D5362" s="1" t="s">
        <v>15</v>
      </c>
      <c r="E5362" s="1" t="s">
        <v>31</v>
      </c>
      <c r="F5362" s="1">
        <v>977.42</v>
      </c>
      <c r="G5362" s="1">
        <v>-161.58</v>
      </c>
      <c r="H5362" s="1">
        <v>5.0</v>
      </c>
      <c r="I5362" s="1" t="s">
        <v>23</v>
      </c>
      <c r="J5362" s="1" t="s">
        <v>24</v>
      </c>
      <c r="K5362" s="1">
        <f t="shared" si="1"/>
        <v>2022</v>
      </c>
      <c r="L5362" s="1" t="str">
        <f t="shared" si="2"/>
        <v>Jan</v>
      </c>
      <c r="M5362" s="1" t="str">
        <f t="shared" si="3"/>
        <v>Loss</v>
      </c>
    </row>
    <row r="5363" ht="14.25" customHeight="1">
      <c r="A5363" s="1" t="s">
        <v>5397</v>
      </c>
      <c r="B5363" s="2">
        <v>44300.0</v>
      </c>
      <c r="C5363" s="1" t="s">
        <v>30</v>
      </c>
      <c r="D5363" s="1" t="s">
        <v>21</v>
      </c>
      <c r="E5363" s="1" t="s">
        <v>76</v>
      </c>
      <c r="F5363" s="1">
        <v>205.06</v>
      </c>
      <c r="G5363" s="1">
        <v>26.21</v>
      </c>
      <c r="H5363" s="1">
        <v>7.0</v>
      </c>
      <c r="I5363" s="1" t="s">
        <v>34</v>
      </c>
      <c r="J5363" s="1" t="s">
        <v>18</v>
      </c>
      <c r="K5363" s="1">
        <f t="shared" si="1"/>
        <v>2021</v>
      </c>
      <c r="L5363" s="1" t="str">
        <f t="shared" si="2"/>
        <v>Apr</v>
      </c>
      <c r="M5363" s="1" t="str">
        <f t="shared" si="3"/>
        <v>Profit</v>
      </c>
    </row>
    <row r="5364" ht="14.25" customHeight="1">
      <c r="A5364" s="1" t="s">
        <v>5398</v>
      </c>
      <c r="B5364" s="2">
        <v>45044.0</v>
      </c>
      <c r="C5364" s="1" t="s">
        <v>20</v>
      </c>
      <c r="D5364" s="1" t="s">
        <v>15</v>
      </c>
      <c r="E5364" s="1" t="s">
        <v>16</v>
      </c>
      <c r="F5364" s="1">
        <v>962.16</v>
      </c>
      <c r="G5364" s="1">
        <v>259.77</v>
      </c>
      <c r="H5364" s="1">
        <v>10.0</v>
      </c>
      <c r="I5364" s="1" t="s">
        <v>17</v>
      </c>
      <c r="J5364" s="1" t="s">
        <v>24</v>
      </c>
      <c r="K5364" s="1">
        <f t="shared" si="1"/>
        <v>2023</v>
      </c>
      <c r="L5364" s="1" t="str">
        <f t="shared" si="2"/>
        <v>Apr</v>
      </c>
      <c r="M5364" s="1" t="str">
        <f t="shared" si="3"/>
        <v>Profit</v>
      </c>
    </row>
    <row r="5365" ht="14.25" customHeight="1">
      <c r="A5365" s="1" t="s">
        <v>5399</v>
      </c>
      <c r="B5365" s="2">
        <v>45048.0</v>
      </c>
      <c r="C5365" s="1" t="s">
        <v>14</v>
      </c>
      <c r="D5365" s="1" t="s">
        <v>27</v>
      </c>
      <c r="E5365" s="1" t="s">
        <v>33</v>
      </c>
      <c r="F5365" s="1">
        <v>75.22</v>
      </c>
      <c r="G5365" s="1">
        <v>-117.93</v>
      </c>
      <c r="H5365" s="1">
        <v>10.0</v>
      </c>
      <c r="I5365" s="1" t="s">
        <v>34</v>
      </c>
      <c r="J5365" s="1" t="s">
        <v>24</v>
      </c>
      <c r="K5365" s="1">
        <f t="shared" si="1"/>
        <v>2023</v>
      </c>
      <c r="L5365" s="1" t="str">
        <f t="shared" si="2"/>
        <v>May</v>
      </c>
      <c r="M5365" s="1" t="str">
        <f t="shared" si="3"/>
        <v>Loss</v>
      </c>
    </row>
    <row r="5366" ht="14.25" customHeight="1">
      <c r="A5366" s="1" t="s">
        <v>5400</v>
      </c>
      <c r="B5366" s="2">
        <v>45253.0</v>
      </c>
      <c r="C5366" s="1" t="s">
        <v>14</v>
      </c>
      <c r="D5366" s="1" t="s">
        <v>21</v>
      </c>
      <c r="E5366" s="1" t="s">
        <v>76</v>
      </c>
      <c r="F5366" s="1">
        <v>654.74</v>
      </c>
      <c r="G5366" s="1">
        <v>-110.41</v>
      </c>
      <c r="H5366" s="1">
        <v>5.0</v>
      </c>
      <c r="I5366" s="1" t="s">
        <v>34</v>
      </c>
      <c r="J5366" s="1" t="s">
        <v>18</v>
      </c>
      <c r="K5366" s="1">
        <f t="shared" si="1"/>
        <v>2023</v>
      </c>
      <c r="L5366" s="1" t="str">
        <f t="shared" si="2"/>
        <v>Nov</v>
      </c>
      <c r="M5366" s="1" t="str">
        <f t="shared" si="3"/>
        <v>Loss</v>
      </c>
    </row>
    <row r="5367" ht="14.25" customHeight="1">
      <c r="A5367" s="1" t="s">
        <v>5401</v>
      </c>
      <c r="B5367" s="2">
        <v>45241.0</v>
      </c>
      <c r="C5367" s="1" t="s">
        <v>14</v>
      </c>
      <c r="D5367" s="1" t="s">
        <v>15</v>
      </c>
      <c r="E5367" s="1" t="s">
        <v>54</v>
      </c>
      <c r="F5367" s="1">
        <v>561.41</v>
      </c>
      <c r="G5367" s="1">
        <v>10.73</v>
      </c>
      <c r="H5367" s="1">
        <v>3.0</v>
      </c>
      <c r="I5367" s="1" t="s">
        <v>34</v>
      </c>
      <c r="J5367" s="1" t="s">
        <v>35</v>
      </c>
      <c r="K5367" s="1">
        <f t="shared" si="1"/>
        <v>2023</v>
      </c>
      <c r="L5367" s="1" t="str">
        <f t="shared" si="2"/>
        <v>Nov</v>
      </c>
      <c r="M5367" s="1" t="str">
        <f t="shared" si="3"/>
        <v>Profit</v>
      </c>
    </row>
    <row r="5368" ht="14.25" customHeight="1">
      <c r="A5368" s="1" t="s">
        <v>5402</v>
      </c>
      <c r="B5368" s="2">
        <v>45139.0</v>
      </c>
      <c r="C5368" s="1" t="s">
        <v>30</v>
      </c>
      <c r="D5368" s="1" t="s">
        <v>15</v>
      </c>
      <c r="E5368" s="1" t="s">
        <v>31</v>
      </c>
      <c r="F5368" s="1">
        <v>419.48</v>
      </c>
      <c r="G5368" s="1">
        <v>-23.72</v>
      </c>
      <c r="H5368" s="1">
        <v>9.0</v>
      </c>
      <c r="I5368" s="1" t="s">
        <v>34</v>
      </c>
      <c r="J5368" s="1" t="s">
        <v>35</v>
      </c>
      <c r="K5368" s="1">
        <f t="shared" si="1"/>
        <v>2023</v>
      </c>
      <c r="L5368" s="1" t="str">
        <f t="shared" si="2"/>
        <v>Aug</v>
      </c>
      <c r="M5368" s="1" t="str">
        <f t="shared" si="3"/>
        <v>Loss</v>
      </c>
    </row>
    <row r="5369" ht="14.25" customHeight="1">
      <c r="A5369" s="1" t="s">
        <v>5403</v>
      </c>
      <c r="B5369" s="2">
        <v>44848.0</v>
      </c>
      <c r="C5369" s="1" t="s">
        <v>30</v>
      </c>
      <c r="D5369" s="1" t="s">
        <v>15</v>
      </c>
      <c r="E5369" s="1" t="s">
        <v>54</v>
      </c>
      <c r="F5369" s="1">
        <v>270.06</v>
      </c>
      <c r="G5369" s="1">
        <v>-154.21</v>
      </c>
      <c r="H5369" s="1">
        <v>3.0</v>
      </c>
      <c r="I5369" s="1" t="s">
        <v>23</v>
      </c>
      <c r="J5369" s="1" t="s">
        <v>24</v>
      </c>
      <c r="K5369" s="1">
        <f t="shared" si="1"/>
        <v>2022</v>
      </c>
      <c r="L5369" s="1" t="str">
        <f t="shared" si="2"/>
        <v>Oct</v>
      </c>
      <c r="M5369" s="1" t="str">
        <f t="shared" si="3"/>
        <v>Loss</v>
      </c>
    </row>
    <row r="5370" ht="14.25" customHeight="1">
      <c r="A5370" s="1" t="s">
        <v>5404</v>
      </c>
      <c r="B5370" s="2">
        <v>45125.0</v>
      </c>
      <c r="C5370" s="1" t="s">
        <v>20</v>
      </c>
      <c r="D5370" s="1" t="s">
        <v>27</v>
      </c>
      <c r="E5370" s="1" t="s">
        <v>28</v>
      </c>
      <c r="F5370" s="1">
        <v>206.24</v>
      </c>
      <c r="G5370" s="1">
        <v>113.58</v>
      </c>
      <c r="H5370" s="1">
        <v>8.0</v>
      </c>
      <c r="I5370" s="1" t="s">
        <v>23</v>
      </c>
      <c r="J5370" s="1" t="s">
        <v>18</v>
      </c>
      <c r="K5370" s="1">
        <f t="shared" si="1"/>
        <v>2023</v>
      </c>
      <c r="L5370" s="1" t="str">
        <f t="shared" si="2"/>
        <v>Jul</v>
      </c>
      <c r="M5370" s="1" t="str">
        <f t="shared" si="3"/>
        <v>Profit</v>
      </c>
    </row>
    <row r="5371" ht="14.25" customHeight="1">
      <c r="A5371" s="1" t="s">
        <v>5405</v>
      </c>
      <c r="B5371" s="2">
        <v>44369.0</v>
      </c>
      <c r="C5371" s="1" t="s">
        <v>14</v>
      </c>
      <c r="D5371" s="1" t="s">
        <v>27</v>
      </c>
      <c r="E5371" s="1" t="s">
        <v>40</v>
      </c>
      <c r="F5371" s="1">
        <v>569.81</v>
      </c>
      <c r="G5371" s="1">
        <v>-183.89</v>
      </c>
      <c r="H5371" s="1">
        <v>5.0</v>
      </c>
      <c r="I5371" s="1" t="s">
        <v>23</v>
      </c>
      <c r="J5371" s="1" t="s">
        <v>38</v>
      </c>
      <c r="K5371" s="1">
        <f t="shared" si="1"/>
        <v>2021</v>
      </c>
      <c r="L5371" s="1" t="str">
        <f t="shared" si="2"/>
        <v>Jun</v>
      </c>
      <c r="M5371" s="1" t="str">
        <f t="shared" si="3"/>
        <v>Loss</v>
      </c>
    </row>
    <row r="5372" ht="14.25" customHeight="1">
      <c r="A5372" s="1" t="s">
        <v>5406</v>
      </c>
      <c r="B5372" s="2">
        <v>45045.0</v>
      </c>
      <c r="C5372" s="1" t="s">
        <v>14</v>
      </c>
      <c r="D5372" s="1" t="s">
        <v>21</v>
      </c>
      <c r="E5372" s="1" t="s">
        <v>37</v>
      </c>
      <c r="F5372" s="1">
        <v>363.56</v>
      </c>
      <c r="G5372" s="1">
        <v>1.91</v>
      </c>
      <c r="H5372" s="1">
        <v>7.0</v>
      </c>
      <c r="I5372" s="1" t="s">
        <v>17</v>
      </c>
      <c r="J5372" s="1" t="s">
        <v>18</v>
      </c>
      <c r="K5372" s="1">
        <f t="shared" si="1"/>
        <v>2023</v>
      </c>
      <c r="L5372" s="1" t="str">
        <f t="shared" si="2"/>
        <v>Apr</v>
      </c>
      <c r="M5372" s="1" t="str">
        <f t="shared" si="3"/>
        <v>Profit</v>
      </c>
    </row>
    <row r="5373" ht="14.25" customHeight="1">
      <c r="A5373" s="1" t="s">
        <v>5407</v>
      </c>
      <c r="B5373" s="2">
        <v>44223.0</v>
      </c>
      <c r="C5373" s="1" t="s">
        <v>26</v>
      </c>
      <c r="D5373" s="1" t="s">
        <v>21</v>
      </c>
      <c r="E5373" s="1" t="s">
        <v>22</v>
      </c>
      <c r="F5373" s="1">
        <v>402.81</v>
      </c>
      <c r="G5373" s="1">
        <v>-112.66</v>
      </c>
      <c r="H5373" s="1">
        <v>10.0</v>
      </c>
      <c r="I5373" s="1" t="s">
        <v>34</v>
      </c>
      <c r="J5373" s="1" t="s">
        <v>24</v>
      </c>
      <c r="K5373" s="1">
        <f t="shared" si="1"/>
        <v>2021</v>
      </c>
      <c r="L5373" s="1" t="str">
        <f t="shared" si="2"/>
        <v>Jan</v>
      </c>
      <c r="M5373" s="1" t="str">
        <f t="shared" si="3"/>
        <v>Loss</v>
      </c>
    </row>
    <row r="5374" ht="14.25" customHeight="1">
      <c r="A5374" s="1" t="s">
        <v>5408</v>
      </c>
      <c r="B5374" s="2">
        <v>44518.0</v>
      </c>
      <c r="C5374" s="1" t="s">
        <v>30</v>
      </c>
      <c r="D5374" s="1" t="s">
        <v>15</v>
      </c>
      <c r="E5374" s="1" t="s">
        <v>54</v>
      </c>
      <c r="F5374" s="1">
        <v>344.66</v>
      </c>
      <c r="G5374" s="1">
        <v>128.39</v>
      </c>
      <c r="H5374" s="1">
        <v>4.0</v>
      </c>
      <c r="I5374" s="1" t="s">
        <v>23</v>
      </c>
      <c r="J5374" s="1" t="s">
        <v>18</v>
      </c>
      <c r="K5374" s="1">
        <f t="shared" si="1"/>
        <v>2021</v>
      </c>
      <c r="L5374" s="1" t="str">
        <f t="shared" si="2"/>
        <v>Nov</v>
      </c>
      <c r="M5374" s="1" t="str">
        <f t="shared" si="3"/>
        <v>Profit</v>
      </c>
    </row>
    <row r="5375" ht="14.25" customHeight="1">
      <c r="A5375" s="1" t="s">
        <v>5409</v>
      </c>
      <c r="B5375" s="2">
        <v>44633.0</v>
      </c>
      <c r="C5375" s="1" t="s">
        <v>14</v>
      </c>
      <c r="D5375" s="1" t="s">
        <v>21</v>
      </c>
      <c r="E5375" s="1" t="s">
        <v>22</v>
      </c>
      <c r="F5375" s="1">
        <v>782.74</v>
      </c>
      <c r="G5375" s="1">
        <v>235.37</v>
      </c>
      <c r="H5375" s="1">
        <v>4.0</v>
      </c>
      <c r="I5375" s="1" t="s">
        <v>34</v>
      </c>
      <c r="J5375" s="1" t="s">
        <v>38</v>
      </c>
      <c r="K5375" s="1">
        <f t="shared" si="1"/>
        <v>2022</v>
      </c>
      <c r="L5375" s="1" t="str">
        <f t="shared" si="2"/>
        <v>Mar</v>
      </c>
      <c r="M5375" s="1" t="str">
        <f t="shared" si="3"/>
        <v>Profit</v>
      </c>
    </row>
    <row r="5376" ht="14.25" customHeight="1">
      <c r="A5376" s="1" t="s">
        <v>5410</v>
      </c>
      <c r="B5376" s="2">
        <v>44731.0</v>
      </c>
      <c r="C5376" s="1" t="s">
        <v>14</v>
      </c>
      <c r="D5376" s="1" t="s">
        <v>27</v>
      </c>
      <c r="E5376" s="1" t="s">
        <v>28</v>
      </c>
      <c r="F5376" s="1">
        <v>799.18</v>
      </c>
      <c r="G5376" s="1">
        <v>-47.05</v>
      </c>
      <c r="H5376" s="1">
        <v>2.0</v>
      </c>
      <c r="I5376" s="1" t="s">
        <v>23</v>
      </c>
      <c r="J5376" s="1" t="s">
        <v>18</v>
      </c>
      <c r="K5376" s="1">
        <f t="shared" si="1"/>
        <v>2022</v>
      </c>
      <c r="L5376" s="1" t="str">
        <f t="shared" si="2"/>
        <v>Jun</v>
      </c>
      <c r="M5376" s="1" t="str">
        <f t="shared" si="3"/>
        <v>Loss</v>
      </c>
    </row>
    <row r="5377" ht="14.25" customHeight="1">
      <c r="A5377" s="1" t="s">
        <v>5411</v>
      </c>
      <c r="B5377" s="2">
        <v>44330.0</v>
      </c>
      <c r="C5377" s="1" t="s">
        <v>30</v>
      </c>
      <c r="D5377" s="1" t="s">
        <v>27</v>
      </c>
      <c r="E5377" s="1" t="s">
        <v>28</v>
      </c>
      <c r="F5377" s="1">
        <v>262.78</v>
      </c>
      <c r="G5377" s="1">
        <v>18.24</v>
      </c>
      <c r="H5377" s="1">
        <v>5.0</v>
      </c>
      <c r="I5377" s="1" t="s">
        <v>17</v>
      </c>
      <c r="J5377" s="1" t="s">
        <v>18</v>
      </c>
      <c r="K5377" s="1">
        <f t="shared" si="1"/>
        <v>2021</v>
      </c>
      <c r="L5377" s="1" t="str">
        <f t="shared" si="2"/>
        <v>May</v>
      </c>
      <c r="M5377" s="1" t="str">
        <f t="shared" si="3"/>
        <v>Profit</v>
      </c>
    </row>
    <row r="5378" ht="14.25" customHeight="1">
      <c r="A5378" s="1" t="s">
        <v>5412</v>
      </c>
      <c r="B5378" s="2">
        <v>44633.0</v>
      </c>
      <c r="C5378" s="1" t="s">
        <v>30</v>
      </c>
      <c r="D5378" s="1" t="s">
        <v>27</v>
      </c>
      <c r="E5378" s="1" t="s">
        <v>28</v>
      </c>
      <c r="F5378" s="1">
        <v>733.14</v>
      </c>
      <c r="G5378" s="1">
        <v>71.31</v>
      </c>
      <c r="H5378" s="1">
        <v>8.0</v>
      </c>
      <c r="I5378" s="1" t="s">
        <v>34</v>
      </c>
      <c r="J5378" s="1" t="s">
        <v>35</v>
      </c>
      <c r="K5378" s="1">
        <f t="shared" si="1"/>
        <v>2022</v>
      </c>
      <c r="L5378" s="1" t="str">
        <f t="shared" si="2"/>
        <v>Mar</v>
      </c>
      <c r="M5378" s="1" t="str">
        <f t="shared" si="3"/>
        <v>Profit</v>
      </c>
    </row>
    <row r="5379" ht="14.25" customHeight="1">
      <c r="A5379" s="1" t="s">
        <v>5413</v>
      </c>
      <c r="B5379" s="2">
        <v>45049.0</v>
      </c>
      <c r="C5379" s="1" t="s">
        <v>20</v>
      </c>
      <c r="D5379" s="1" t="s">
        <v>27</v>
      </c>
      <c r="E5379" s="1" t="s">
        <v>40</v>
      </c>
      <c r="F5379" s="1">
        <v>633.85</v>
      </c>
      <c r="G5379" s="1">
        <v>-47.85</v>
      </c>
      <c r="H5379" s="1">
        <v>1.0</v>
      </c>
      <c r="I5379" s="1" t="s">
        <v>17</v>
      </c>
      <c r="J5379" s="1" t="s">
        <v>24</v>
      </c>
      <c r="K5379" s="1">
        <f t="shared" si="1"/>
        <v>2023</v>
      </c>
      <c r="L5379" s="1" t="str">
        <f t="shared" si="2"/>
        <v>May</v>
      </c>
      <c r="M5379" s="1" t="str">
        <f t="shared" si="3"/>
        <v>Loss</v>
      </c>
    </row>
    <row r="5380" ht="14.25" customHeight="1">
      <c r="A5380" s="1" t="s">
        <v>5414</v>
      </c>
      <c r="B5380" s="2">
        <v>45022.0</v>
      </c>
      <c r="C5380" s="1" t="s">
        <v>26</v>
      </c>
      <c r="D5380" s="1" t="s">
        <v>27</v>
      </c>
      <c r="E5380" s="1" t="s">
        <v>33</v>
      </c>
      <c r="F5380" s="1">
        <v>132.33</v>
      </c>
      <c r="G5380" s="1">
        <v>99.27</v>
      </c>
      <c r="H5380" s="1">
        <v>6.0</v>
      </c>
      <c r="I5380" s="1" t="s">
        <v>23</v>
      </c>
      <c r="J5380" s="1" t="s">
        <v>38</v>
      </c>
      <c r="K5380" s="1">
        <f t="shared" si="1"/>
        <v>2023</v>
      </c>
      <c r="L5380" s="1" t="str">
        <f t="shared" si="2"/>
        <v>Apr</v>
      </c>
      <c r="M5380" s="1" t="str">
        <f t="shared" si="3"/>
        <v>Profit</v>
      </c>
    </row>
    <row r="5381" ht="14.25" customHeight="1">
      <c r="A5381" s="1" t="s">
        <v>5415</v>
      </c>
      <c r="B5381" s="2">
        <v>44967.0</v>
      </c>
      <c r="C5381" s="1" t="s">
        <v>14</v>
      </c>
      <c r="D5381" s="1" t="s">
        <v>15</v>
      </c>
      <c r="E5381" s="1" t="s">
        <v>31</v>
      </c>
      <c r="F5381" s="1">
        <v>68.05</v>
      </c>
      <c r="G5381" s="1">
        <v>287.6</v>
      </c>
      <c r="H5381" s="1">
        <v>2.0</v>
      </c>
      <c r="I5381" s="1" t="s">
        <v>23</v>
      </c>
      <c r="J5381" s="1" t="s">
        <v>38</v>
      </c>
      <c r="K5381" s="1">
        <f t="shared" si="1"/>
        <v>2023</v>
      </c>
      <c r="L5381" s="1" t="str">
        <f t="shared" si="2"/>
        <v>Feb</v>
      </c>
      <c r="M5381" s="1" t="str">
        <f t="shared" si="3"/>
        <v>Profit</v>
      </c>
    </row>
    <row r="5382" ht="14.25" customHeight="1">
      <c r="A5382" s="1" t="s">
        <v>5416</v>
      </c>
      <c r="B5382" s="2">
        <v>44635.0</v>
      </c>
      <c r="C5382" s="1" t="s">
        <v>26</v>
      </c>
      <c r="D5382" s="1" t="s">
        <v>27</v>
      </c>
      <c r="E5382" s="1" t="s">
        <v>33</v>
      </c>
      <c r="F5382" s="1">
        <v>860.36</v>
      </c>
      <c r="G5382" s="1">
        <v>156.55</v>
      </c>
      <c r="H5382" s="1">
        <v>3.0</v>
      </c>
      <c r="I5382" s="1" t="s">
        <v>34</v>
      </c>
      <c r="J5382" s="1" t="s">
        <v>24</v>
      </c>
      <c r="K5382" s="1">
        <f t="shared" si="1"/>
        <v>2022</v>
      </c>
      <c r="L5382" s="1" t="str">
        <f t="shared" si="2"/>
        <v>Mar</v>
      </c>
      <c r="M5382" s="1" t="str">
        <f t="shared" si="3"/>
        <v>Profit</v>
      </c>
    </row>
    <row r="5383" ht="14.25" customHeight="1">
      <c r="A5383" s="1" t="s">
        <v>5417</v>
      </c>
      <c r="B5383" s="2">
        <v>45073.0</v>
      </c>
      <c r="C5383" s="1" t="s">
        <v>20</v>
      </c>
      <c r="D5383" s="1" t="s">
        <v>15</v>
      </c>
      <c r="E5383" s="1" t="s">
        <v>31</v>
      </c>
      <c r="F5383" s="1">
        <v>821.93</v>
      </c>
      <c r="G5383" s="1">
        <v>282.85</v>
      </c>
      <c r="H5383" s="1">
        <v>10.0</v>
      </c>
      <c r="I5383" s="1" t="s">
        <v>34</v>
      </c>
      <c r="J5383" s="1" t="s">
        <v>24</v>
      </c>
      <c r="K5383" s="1">
        <f t="shared" si="1"/>
        <v>2023</v>
      </c>
      <c r="L5383" s="1" t="str">
        <f t="shared" si="2"/>
        <v>May</v>
      </c>
      <c r="M5383" s="1" t="str">
        <f t="shared" si="3"/>
        <v>Profit</v>
      </c>
    </row>
    <row r="5384" ht="14.25" customHeight="1">
      <c r="A5384" s="1" t="s">
        <v>5418</v>
      </c>
      <c r="B5384" s="2">
        <v>45056.0</v>
      </c>
      <c r="C5384" s="1" t="s">
        <v>14</v>
      </c>
      <c r="D5384" s="1" t="s">
        <v>27</v>
      </c>
      <c r="E5384" s="1" t="s">
        <v>40</v>
      </c>
      <c r="F5384" s="1">
        <v>695.49</v>
      </c>
      <c r="G5384" s="1">
        <v>215.16</v>
      </c>
      <c r="H5384" s="1">
        <v>4.0</v>
      </c>
      <c r="I5384" s="1" t="s">
        <v>23</v>
      </c>
      <c r="J5384" s="1" t="s">
        <v>24</v>
      </c>
      <c r="K5384" s="1">
        <f t="shared" si="1"/>
        <v>2023</v>
      </c>
      <c r="L5384" s="1" t="str">
        <f t="shared" si="2"/>
        <v>May</v>
      </c>
      <c r="M5384" s="1" t="str">
        <f t="shared" si="3"/>
        <v>Profit</v>
      </c>
    </row>
    <row r="5385" ht="14.25" customHeight="1">
      <c r="A5385" s="1" t="s">
        <v>5419</v>
      </c>
      <c r="B5385" s="2">
        <v>44343.0</v>
      </c>
      <c r="C5385" s="1" t="s">
        <v>30</v>
      </c>
      <c r="D5385" s="1" t="s">
        <v>27</v>
      </c>
      <c r="E5385" s="1" t="s">
        <v>28</v>
      </c>
      <c r="F5385" s="1">
        <v>565.23</v>
      </c>
      <c r="G5385" s="1">
        <v>163.97</v>
      </c>
      <c r="H5385" s="1">
        <v>2.0</v>
      </c>
      <c r="I5385" s="1" t="s">
        <v>17</v>
      </c>
      <c r="J5385" s="1" t="s">
        <v>18</v>
      </c>
      <c r="K5385" s="1">
        <f t="shared" si="1"/>
        <v>2021</v>
      </c>
      <c r="L5385" s="1" t="str">
        <f t="shared" si="2"/>
        <v>May</v>
      </c>
      <c r="M5385" s="1" t="str">
        <f t="shared" si="3"/>
        <v>Profit</v>
      </c>
    </row>
    <row r="5386" ht="14.25" customHeight="1">
      <c r="A5386" s="1" t="s">
        <v>5420</v>
      </c>
      <c r="B5386" s="2">
        <v>44615.0</v>
      </c>
      <c r="C5386" s="1" t="s">
        <v>30</v>
      </c>
      <c r="D5386" s="1" t="s">
        <v>21</v>
      </c>
      <c r="E5386" s="1" t="s">
        <v>37</v>
      </c>
      <c r="F5386" s="1">
        <v>860.52</v>
      </c>
      <c r="G5386" s="1">
        <v>-75.81</v>
      </c>
      <c r="H5386" s="1">
        <v>2.0</v>
      </c>
      <c r="I5386" s="1" t="s">
        <v>17</v>
      </c>
      <c r="J5386" s="1" t="s">
        <v>18</v>
      </c>
      <c r="K5386" s="1">
        <f t="shared" si="1"/>
        <v>2022</v>
      </c>
      <c r="L5386" s="1" t="str">
        <f t="shared" si="2"/>
        <v>Feb</v>
      </c>
      <c r="M5386" s="1" t="str">
        <f t="shared" si="3"/>
        <v>Loss</v>
      </c>
    </row>
    <row r="5387" ht="14.25" customHeight="1">
      <c r="A5387" s="1" t="s">
        <v>5421</v>
      </c>
      <c r="B5387" s="2">
        <v>45013.0</v>
      </c>
      <c r="C5387" s="1" t="s">
        <v>14</v>
      </c>
      <c r="D5387" s="1" t="s">
        <v>15</v>
      </c>
      <c r="E5387" s="1" t="s">
        <v>31</v>
      </c>
      <c r="F5387" s="1">
        <v>464.82</v>
      </c>
      <c r="G5387" s="1">
        <v>224.13</v>
      </c>
      <c r="H5387" s="1">
        <v>3.0</v>
      </c>
      <c r="I5387" s="1" t="s">
        <v>23</v>
      </c>
      <c r="J5387" s="1" t="s">
        <v>35</v>
      </c>
      <c r="K5387" s="1">
        <f t="shared" si="1"/>
        <v>2023</v>
      </c>
      <c r="L5387" s="1" t="str">
        <f t="shared" si="2"/>
        <v>Mar</v>
      </c>
      <c r="M5387" s="1" t="str">
        <f t="shared" si="3"/>
        <v>Profit</v>
      </c>
    </row>
    <row r="5388" ht="14.25" customHeight="1">
      <c r="A5388" s="1" t="s">
        <v>5422</v>
      </c>
      <c r="B5388" s="2">
        <v>44444.0</v>
      </c>
      <c r="C5388" s="1" t="s">
        <v>20</v>
      </c>
      <c r="D5388" s="1" t="s">
        <v>21</v>
      </c>
      <c r="E5388" s="1" t="s">
        <v>22</v>
      </c>
      <c r="F5388" s="1">
        <v>478.47</v>
      </c>
      <c r="G5388" s="1">
        <v>46.09</v>
      </c>
      <c r="H5388" s="1">
        <v>9.0</v>
      </c>
      <c r="I5388" s="1" t="s">
        <v>34</v>
      </c>
      <c r="J5388" s="1" t="s">
        <v>24</v>
      </c>
      <c r="K5388" s="1">
        <f t="shared" si="1"/>
        <v>2021</v>
      </c>
      <c r="L5388" s="1" t="str">
        <f t="shared" si="2"/>
        <v>Sep</v>
      </c>
      <c r="M5388" s="1" t="str">
        <f t="shared" si="3"/>
        <v>Profit</v>
      </c>
    </row>
    <row r="5389" ht="14.25" customHeight="1">
      <c r="A5389" s="1" t="s">
        <v>5423</v>
      </c>
      <c r="B5389" s="2">
        <v>44631.0</v>
      </c>
      <c r="C5389" s="1" t="s">
        <v>20</v>
      </c>
      <c r="D5389" s="1" t="s">
        <v>27</v>
      </c>
      <c r="E5389" s="1" t="s">
        <v>33</v>
      </c>
      <c r="F5389" s="1">
        <v>463.8</v>
      </c>
      <c r="G5389" s="1">
        <v>-133.99</v>
      </c>
      <c r="H5389" s="1">
        <v>3.0</v>
      </c>
      <c r="I5389" s="1" t="s">
        <v>17</v>
      </c>
      <c r="J5389" s="1" t="s">
        <v>35</v>
      </c>
      <c r="K5389" s="1">
        <f t="shared" si="1"/>
        <v>2022</v>
      </c>
      <c r="L5389" s="1" t="str">
        <f t="shared" si="2"/>
        <v>Mar</v>
      </c>
      <c r="M5389" s="1" t="str">
        <f t="shared" si="3"/>
        <v>Loss</v>
      </c>
    </row>
    <row r="5390" ht="14.25" customHeight="1">
      <c r="A5390" s="1" t="s">
        <v>5424</v>
      </c>
      <c r="B5390" s="2">
        <v>44248.0</v>
      </c>
      <c r="C5390" s="1" t="s">
        <v>30</v>
      </c>
      <c r="D5390" s="1" t="s">
        <v>21</v>
      </c>
      <c r="E5390" s="1" t="s">
        <v>37</v>
      </c>
      <c r="F5390" s="1">
        <v>663.07</v>
      </c>
      <c r="G5390" s="1">
        <v>69.73</v>
      </c>
      <c r="H5390" s="1">
        <v>6.0</v>
      </c>
      <c r="I5390" s="1" t="s">
        <v>17</v>
      </c>
      <c r="J5390" s="1" t="s">
        <v>18</v>
      </c>
      <c r="K5390" s="1">
        <f t="shared" si="1"/>
        <v>2021</v>
      </c>
      <c r="L5390" s="1" t="str">
        <f t="shared" si="2"/>
        <v>Feb</v>
      </c>
      <c r="M5390" s="1" t="str">
        <f t="shared" si="3"/>
        <v>Profit</v>
      </c>
    </row>
    <row r="5391" ht="14.25" customHeight="1">
      <c r="A5391" s="1" t="s">
        <v>5425</v>
      </c>
      <c r="B5391" s="2">
        <v>44352.0</v>
      </c>
      <c r="C5391" s="1" t="s">
        <v>26</v>
      </c>
      <c r="D5391" s="1" t="s">
        <v>27</v>
      </c>
      <c r="E5391" s="1" t="s">
        <v>28</v>
      </c>
      <c r="F5391" s="1">
        <v>983.94</v>
      </c>
      <c r="G5391" s="1">
        <v>-111.77</v>
      </c>
      <c r="H5391" s="1">
        <v>3.0</v>
      </c>
      <c r="I5391" s="1" t="s">
        <v>23</v>
      </c>
      <c r="J5391" s="1" t="s">
        <v>35</v>
      </c>
      <c r="K5391" s="1">
        <f t="shared" si="1"/>
        <v>2021</v>
      </c>
      <c r="L5391" s="1" t="str">
        <f t="shared" si="2"/>
        <v>Jun</v>
      </c>
      <c r="M5391" s="1" t="str">
        <f t="shared" si="3"/>
        <v>Loss</v>
      </c>
    </row>
    <row r="5392" ht="14.25" customHeight="1">
      <c r="A5392" s="1" t="s">
        <v>5426</v>
      </c>
      <c r="B5392" s="2">
        <v>45252.0</v>
      </c>
      <c r="C5392" s="1" t="s">
        <v>26</v>
      </c>
      <c r="D5392" s="1" t="s">
        <v>27</v>
      </c>
      <c r="E5392" s="1" t="s">
        <v>33</v>
      </c>
      <c r="F5392" s="1">
        <v>537.86</v>
      </c>
      <c r="G5392" s="1">
        <v>185.86</v>
      </c>
      <c r="H5392" s="1">
        <v>10.0</v>
      </c>
      <c r="I5392" s="1" t="s">
        <v>34</v>
      </c>
      <c r="J5392" s="1" t="s">
        <v>24</v>
      </c>
      <c r="K5392" s="1">
        <f t="shared" si="1"/>
        <v>2023</v>
      </c>
      <c r="L5392" s="1" t="str">
        <f t="shared" si="2"/>
        <v>Nov</v>
      </c>
      <c r="M5392" s="1" t="str">
        <f t="shared" si="3"/>
        <v>Profit</v>
      </c>
    </row>
    <row r="5393" ht="14.25" customHeight="1">
      <c r="A5393" s="1" t="s">
        <v>5427</v>
      </c>
      <c r="B5393" s="2">
        <v>44789.0</v>
      </c>
      <c r="C5393" s="1" t="s">
        <v>20</v>
      </c>
      <c r="D5393" s="1" t="s">
        <v>15</v>
      </c>
      <c r="E5393" s="1" t="s">
        <v>54</v>
      </c>
      <c r="F5393" s="1">
        <v>354.55</v>
      </c>
      <c r="G5393" s="1">
        <v>-18.23</v>
      </c>
      <c r="H5393" s="1">
        <v>7.0</v>
      </c>
      <c r="I5393" s="1" t="s">
        <v>34</v>
      </c>
      <c r="J5393" s="1" t="s">
        <v>24</v>
      </c>
      <c r="K5393" s="1">
        <f t="shared" si="1"/>
        <v>2022</v>
      </c>
      <c r="L5393" s="1" t="str">
        <f t="shared" si="2"/>
        <v>Aug</v>
      </c>
      <c r="M5393" s="1" t="str">
        <f t="shared" si="3"/>
        <v>Loss</v>
      </c>
    </row>
    <row r="5394" ht="14.25" customHeight="1">
      <c r="A5394" s="1" t="s">
        <v>5428</v>
      </c>
      <c r="B5394" s="2">
        <v>44816.0</v>
      </c>
      <c r="C5394" s="1" t="s">
        <v>20</v>
      </c>
      <c r="D5394" s="1" t="s">
        <v>21</v>
      </c>
      <c r="E5394" s="1" t="s">
        <v>76</v>
      </c>
      <c r="F5394" s="1">
        <v>923.59</v>
      </c>
      <c r="G5394" s="1">
        <v>-31.62</v>
      </c>
      <c r="H5394" s="1">
        <v>4.0</v>
      </c>
      <c r="I5394" s="1" t="s">
        <v>17</v>
      </c>
      <c r="J5394" s="1" t="s">
        <v>24</v>
      </c>
      <c r="K5394" s="1">
        <f t="shared" si="1"/>
        <v>2022</v>
      </c>
      <c r="L5394" s="1" t="str">
        <f t="shared" si="2"/>
        <v>Sep</v>
      </c>
      <c r="M5394" s="1" t="str">
        <f t="shared" si="3"/>
        <v>Loss</v>
      </c>
    </row>
    <row r="5395" ht="14.25" customHeight="1">
      <c r="A5395" s="1" t="s">
        <v>5429</v>
      </c>
      <c r="B5395" s="2">
        <v>45052.0</v>
      </c>
      <c r="C5395" s="1" t="s">
        <v>14</v>
      </c>
      <c r="D5395" s="1" t="s">
        <v>27</v>
      </c>
      <c r="E5395" s="1" t="s">
        <v>33</v>
      </c>
      <c r="F5395" s="1">
        <v>941.96</v>
      </c>
      <c r="G5395" s="1">
        <v>-86.46</v>
      </c>
      <c r="H5395" s="1">
        <v>4.0</v>
      </c>
      <c r="I5395" s="1" t="s">
        <v>17</v>
      </c>
      <c r="J5395" s="1" t="s">
        <v>38</v>
      </c>
      <c r="K5395" s="1">
        <f t="shared" si="1"/>
        <v>2023</v>
      </c>
      <c r="L5395" s="1" t="str">
        <f t="shared" si="2"/>
        <v>May</v>
      </c>
      <c r="M5395" s="1" t="str">
        <f t="shared" si="3"/>
        <v>Loss</v>
      </c>
    </row>
    <row r="5396" ht="14.25" customHeight="1">
      <c r="A5396" s="1" t="s">
        <v>5430</v>
      </c>
      <c r="B5396" s="2">
        <v>44702.0</v>
      </c>
      <c r="C5396" s="1" t="s">
        <v>14</v>
      </c>
      <c r="D5396" s="1" t="s">
        <v>21</v>
      </c>
      <c r="E5396" s="1" t="s">
        <v>37</v>
      </c>
      <c r="F5396" s="1">
        <v>82.33</v>
      </c>
      <c r="G5396" s="1">
        <v>-178.29</v>
      </c>
      <c r="H5396" s="1">
        <v>6.0</v>
      </c>
      <c r="I5396" s="1" t="s">
        <v>23</v>
      </c>
      <c r="J5396" s="1" t="s">
        <v>24</v>
      </c>
      <c r="K5396" s="1">
        <f t="shared" si="1"/>
        <v>2022</v>
      </c>
      <c r="L5396" s="1" t="str">
        <f t="shared" si="2"/>
        <v>May</v>
      </c>
      <c r="M5396" s="1" t="str">
        <f t="shared" si="3"/>
        <v>Loss</v>
      </c>
    </row>
    <row r="5397" ht="14.25" customHeight="1">
      <c r="A5397" s="1" t="s">
        <v>5431</v>
      </c>
      <c r="B5397" s="2">
        <v>44466.0</v>
      </c>
      <c r="C5397" s="1" t="s">
        <v>26</v>
      </c>
      <c r="D5397" s="1" t="s">
        <v>15</v>
      </c>
      <c r="E5397" s="1" t="s">
        <v>16</v>
      </c>
      <c r="F5397" s="1">
        <v>860.23</v>
      </c>
      <c r="G5397" s="1">
        <v>-119.42</v>
      </c>
      <c r="H5397" s="1">
        <v>8.0</v>
      </c>
      <c r="I5397" s="1" t="s">
        <v>23</v>
      </c>
      <c r="J5397" s="1" t="s">
        <v>18</v>
      </c>
      <c r="K5397" s="1">
        <f t="shared" si="1"/>
        <v>2021</v>
      </c>
      <c r="L5397" s="1" t="str">
        <f t="shared" si="2"/>
        <v>Sep</v>
      </c>
      <c r="M5397" s="1" t="str">
        <f t="shared" si="3"/>
        <v>Loss</v>
      </c>
    </row>
    <row r="5398" ht="14.25" customHeight="1">
      <c r="A5398" s="1" t="s">
        <v>5432</v>
      </c>
      <c r="B5398" s="2">
        <v>45289.0</v>
      </c>
      <c r="C5398" s="1" t="s">
        <v>20</v>
      </c>
      <c r="D5398" s="1" t="s">
        <v>21</v>
      </c>
      <c r="E5398" s="1" t="s">
        <v>76</v>
      </c>
      <c r="F5398" s="1">
        <v>941.2</v>
      </c>
      <c r="G5398" s="1">
        <v>139.58</v>
      </c>
      <c r="H5398" s="1">
        <v>4.0</v>
      </c>
      <c r="I5398" s="1" t="s">
        <v>23</v>
      </c>
      <c r="J5398" s="1" t="s">
        <v>24</v>
      </c>
      <c r="K5398" s="1">
        <f t="shared" si="1"/>
        <v>2023</v>
      </c>
      <c r="L5398" s="1" t="str">
        <f t="shared" si="2"/>
        <v>Dec</v>
      </c>
      <c r="M5398" s="1" t="str">
        <f t="shared" si="3"/>
        <v>Profit</v>
      </c>
    </row>
    <row r="5399" ht="14.25" customHeight="1">
      <c r="A5399" s="1" t="s">
        <v>5433</v>
      </c>
      <c r="B5399" s="2">
        <v>45182.0</v>
      </c>
      <c r="C5399" s="1" t="s">
        <v>20</v>
      </c>
      <c r="D5399" s="1" t="s">
        <v>15</v>
      </c>
      <c r="E5399" s="1" t="s">
        <v>54</v>
      </c>
      <c r="F5399" s="1">
        <v>238.55</v>
      </c>
      <c r="G5399" s="1">
        <v>-40.26</v>
      </c>
      <c r="H5399" s="1">
        <v>6.0</v>
      </c>
      <c r="I5399" s="1" t="s">
        <v>17</v>
      </c>
      <c r="J5399" s="1" t="s">
        <v>38</v>
      </c>
      <c r="K5399" s="1">
        <f t="shared" si="1"/>
        <v>2023</v>
      </c>
      <c r="L5399" s="1" t="str">
        <f t="shared" si="2"/>
        <v>Sep</v>
      </c>
      <c r="M5399" s="1" t="str">
        <f t="shared" si="3"/>
        <v>Loss</v>
      </c>
    </row>
    <row r="5400" ht="14.25" customHeight="1">
      <c r="A5400" s="1" t="s">
        <v>5434</v>
      </c>
      <c r="B5400" s="2">
        <v>44596.0</v>
      </c>
      <c r="C5400" s="1" t="s">
        <v>26</v>
      </c>
      <c r="D5400" s="1" t="s">
        <v>15</v>
      </c>
      <c r="E5400" s="1" t="s">
        <v>16</v>
      </c>
      <c r="F5400" s="1">
        <v>477.92</v>
      </c>
      <c r="G5400" s="1">
        <v>160.92</v>
      </c>
      <c r="H5400" s="1">
        <v>6.0</v>
      </c>
      <c r="I5400" s="1" t="s">
        <v>17</v>
      </c>
      <c r="J5400" s="1" t="s">
        <v>24</v>
      </c>
      <c r="K5400" s="1">
        <f t="shared" si="1"/>
        <v>2022</v>
      </c>
      <c r="L5400" s="1" t="str">
        <f t="shared" si="2"/>
        <v>Feb</v>
      </c>
      <c r="M5400" s="1" t="str">
        <f t="shared" si="3"/>
        <v>Profit</v>
      </c>
    </row>
    <row r="5401" ht="14.25" customHeight="1">
      <c r="A5401" s="1" t="s">
        <v>5435</v>
      </c>
      <c r="B5401" s="2">
        <v>44459.0</v>
      </c>
      <c r="C5401" s="1" t="s">
        <v>26</v>
      </c>
      <c r="D5401" s="1" t="s">
        <v>15</v>
      </c>
      <c r="E5401" s="1" t="s">
        <v>54</v>
      </c>
      <c r="F5401" s="1">
        <v>814.34</v>
      </c>
      <c r="G5401" s="1">
        <v>251.67</v>
      </c>
      <c r="H5401" s="1">
        <v>6.0</v>
      </c>
      <c r="I5401" s="1" t="s">
        <v>17</v>
      </c>
      <c r="J5401" s="1" t="s">
        <v>24</v>
      </c>
      <c r="K5401" s="1">
        <f t="shared" si="1"/>
        <v>2021</v>
      </c>
      <c r="L5401" s="1" t="str">
        <f t="shared" si="2"/>
        <v>Sep</v>
      </c>
      <c r="M5401" s="1" t="str">
        <f t="shared" si="3"/>
        <v>Profit</v>
      </c>
    </row>
    <row r="5402" ht="14.25" customHeight="1">
      <c r="A5402" s="1" t="s">
        <v>5436</v>
      </c>
      <c r="B5402" s="2">
        <v>45036.0</v>
      </c>
      <c r="C5402" s="1" t="s">
        <v>20</v>
      </c>
      <c r="D5402" s="1" t="s">
        <v>27</v>
      </c>
      <c r="E5402" s="1" t="s">
        <v>33</v>
      </c>
      <c r="F5402" s="1">
        <v>339.33</v>
      </c>
      <c r="G5402" s="1">
        <v>-184.1</v>
      </c>
      <c r="H5402" s="1">
        <v>2.0</v>
      </c>
      <c r="I5402" s="1" t="s">
        <v>17</v>
      </c>
      <c r="J5402" s="1" t="s">
        <v>35</v>
      </c>
      <c r="K5402" s="1">
        <f t="shared" si="1"/>
        <v>2023</v>
      </c>
      <c r="L5402" s="1" t="str">
        <f t="shared" si="2"/>
        <v>Apr</v>
      </c>
      <c r="M5402" s="1" t="str">
        <f t="shared" si="3"/>
        <v>Loss</v>
      </c>
    </row>
    <row r="5403" ht="14.25" customHeight="1">
      <c r="A5403" s="1" t="s">
        <v>5437</v>
      </c>
      <c r="B5403" s="2">
        <v>45122.0</v>
      </c>
      <c r="C5403" s="1" t="s">
        <v>20</v>
      </c>
      <c r="D5403" s="1" t="s">
        <v>15</v>
      </c>
      <c r="E5403" s="1" t="s">
        <v>16</v>
      </c>
      <c r="F5403" s="1">
        <v>465.22</v>
      </c>
      <c r="G5403" s="1">
        <v>-171.79</v>
      </c>
      <c r="H5403" s="1">
        <v>1.0</v>
      </c>
      <c r="I5403" s="1" t="s">
        <v>34</v>
      </c>
      <c r="J5403" s="1" t="s">
        <v>35</v>
      </c>
      <c r="K5403" s="1">
        <f t="shared" si="1"/>
        <v>2023</v>
      </c>
      <c r="L5403" s="1" t="str">
        <f t="shared" si="2"/>
        <v>Jul</v>
      </c>
      <c r="M5403" s="1" t="str">
        <f t="shared" si="3"/>
        <v>Loss</v>
      </c>
    </row>
    <row r="5404" ht="14.25" customHeight="1">
      <c r="A5404" s="1" t="s">
        <v>5438</v>
      </c>
      <c r="B5404" s="2">
        <v>44692.0</v>
      </c>
      <c r="C5404" s="1" t="s">
        <v>30</v>
      </c>
      <c r="D5404" s="1" t="s">
        <v>21</v>
      </c>
      <c r="E5404" s="1" t="s">
        <v>37</v>
      </c>
      <c r="F5404" s="1">
        <v>193.63</v>
      </c>
      <c r="G5404" s="1">
        <v>-31.91</v>
      </c>
      <c r="H5404" s="1">
        <v>6.0</v>
      </c>
      <c r="I5404" s="1" t="s">
        <v>17</v>
      </c>
      <c r="J5404" s="1" t="s">
        <v>38</v>
      </c>
      <c r="K5404" s="1">
        <f t="shared" si="1"/>
        <v>2022</v>
      </c>
      <c r="L5404" s="1" t="str">
        <f t="shared" si="2"/>
        <v>May</v>
      </c>
      <c r="M5404" s="1" t="str">
        <f t="shared" si="3"/>
        <v>Loss</v>
      </c>
    </row>
    <row r="5405" ht="14.25" customHeight="1">
      <c r="A5405" s="1" t="s">
        <v>5439</v>
      </c>
      <c r="B5405" s="2">
        <v>44892.0</v>
      </c>
      <c r="C5405" s="1" t="s">
        <v>26</v>
      </c>
      <c r="D5405" s="1" t="s">
        <v>15</v>
      </c>
      <c r="E5405" s="1" t="s">
        <v>54</v>
      </c>
      <c r="F5405" s="1">
        <v>217.0</v>
      </c>
      <c r="G5405" s="1">
        <v>41.13</v>
      </c>
      <c r="H5405" s="1">
        <v>4.0</v>
      </c>
      <c r="I5405" s="1" t="s">
        <v>23</v>
      </c>
      <c r="J5405" s="1" t="s">
        <v>38</v>
      </c>
      <c r="K5405" s="1">
        <f t="shared" si="1"/>
        <v>2022</v>
      </c>
      <c r="L5405" s="1" t="str">
        <f t="shared" si="2"/>
        <v>Nov</v>
      </c>
      <c r="M5405" s="1" t="str">
        <f t="shared" si="3"/>
        <v>Profit</v>
      </c>
    </row>
    <row r="5406" ht="14.25" customHeight="1">
      <c r="A5406" s="1" t="s">
        <v>5440</v>
      </c>
      <c r="B5406" s="2">
        <v>45095.0</v>
      </c>
      <c r="C5406" s="1" t="s">
        <v>14</v>
      </c>
      <c r="D5406" s="1" t="s">
        <v>15</v>
      </c>
      <c r="E5406" s="1" t="s">
        <v>54</v>
      </c>
      <c r="F5406" s="1">
        <v>953.06</v>
      </c>
      <c r="G5406" s="1">
        <v>67.76</v>
      </c>
      <c r="H5406" s="1">
        <v>10.0</v>
      </c>
      <c r="I5406" s="1" t="s">
        <v>34</v>
      </c>
      <c r="J5406" s="1" t="s">
        <v>24</v>
      </c>
      <c r="K5406" s="1">
        <f t="shared" si="1"/>
        <v>2023</v>
      </c>
      <c r="L5406" s="1" t="str">
        <f t="shared" si="2"/>
        <v>Jun</v>
      </c>
      <c r="M5406" s="1" t="str">
        <f t="shared" si="3"/>
        <v>Profit</v>
      </c>
    </row>
    <row r="5407" ht="14.25" customHeight="1">
      <c r="A5407" s="1" t="s">
        <v>5441</v>
      </c>
      <c r="B5407" s="2">
        <v>44254.0</v>
      </c>
      <c r="C5407" s="1" t="s">
        <v>20</v>
      </c>
      <c r="D5407" s="1" t="s">
        <v>27</v>
      </c>
      <c r="E5407" s="1" t="s">
        <v>33</v>
      </c>
      <c r="F5407" s="1">
        <v>35.39</v>
      </c>
      <c r="G5407" s="1">
        <v>202.07</v>
      </c>
      <c r="H5407" s="1">
        <v>3.0</v>
      </c>
      <c r="I5407" s="1" t="s">
        <v>34</v>
      </c>
      <c r="J5407" s="1" t="s">
        <v>38</v>
      </c>
      <c r="K5407" s="1">
        <f t="shared" si="1"/>
        <v>2021</v>
      </c>
      <c r="L5407" s="1" t="str">
        <f t="shared" si="2"/>
        <v>Feb</v>
      </c>
      <c r="M5407" s="1" t="str">
        <f t="shared" si="3"/>
        <v>Profit</v>
      </c>
    </row>
    <row r="5408" ht="14.25" customHeight="1">
      <c r="A5408" s="1" t="s">
        <v>5442</v>
      </c>
      <c r="B5408" s="2">
        <v>44532.0</v>
      </c>
      <c r="C5408" s="1" t="s">
        <v>26</v>
      </c>
      <c r="D5408" s="1" t="s">
        <v>27</v>
      </c>
      <c r="E5408" s="1" t="s">
        <v>33</v>
      </c>
      <c r="F5408" s="1">
        <v>401.74</v>
      </c>
      <c r="G5408" s="1">
        <v>257.49</v>
      </c>
      <c r="H5408" s="1">
        <v>7.0</v>
      </c>
      <c r="I5408" s="1" t="s">
        <v>23</v>
      </c>
      <c r="J5408" s="1" t="s">
        <v>24</v>
      </c>
      <c r="K5408" s="1">
        <f t="shared" si="1"/>
        <v>2021</v>
      </c>
      <c r="L5408" s="1" t="str">
        <f t="shared" si="2"/>
        <v>Dec</v>
      </c>
      <c r="M5408" s="1" t="str">
        <f t="shared" si="3"/>
        <v>Profit</v>
      </c>
    </row>
    <row r="5409" ht="14.25" customHeight="1">
      <c r="A5409" s="1" t="s">
        <v>5443</v>
      </c>
      <c r="B5409" s="2">
        <v>44225.0</v>
      </c>
      <c r="C5409" s="1" t="s">
        <v>26</v>
      </c>
      <c r="D5409" s="1" t="s">
        <v>27</v>
      </c>
      <c r="E5409" s="1" t="s">
        <v>40</v>
      </c>
      <c r="F5409" s="1">
        <v>931.61</v>
      </c>
      <c r="G5409" s="1">
        <v>287.1</v>
      </c>
      <c r="H5409" s="1">
        <v>7.0</v>
      </c>
      <c r="I5409" s="1" t="s">
        <v>34</v>
      </c>
      <c r="J5409" s="1" t="s">
        <v>18</v>
      </c>
      <c r="K5409" s="1">
        <f t="shared" si="1"/>
        <v>2021</v>
      </c>
      <c r="L5409" s="1" t="str">
        <f t="shared" si="2"/>
        <v>Jan</v>
      </c>
      <c r="M5409" s="1" t="str">
        <f t="shared" si="3"/>
        <v>Profit</v>
      </c>
    </row>
    <row r="5410" ht="14.25" customHeight="1">
      <c r="A5410" s="1" t="s">
        <v>5444</v>
      </c>
      <c r="B5410" s="2">
        <v>45153.0</v>
      </c>
      <c r="C5410" s="1" t="s">
        <v>30</v>
      </c>
      <c r="D5410" s="1" t="s">
        <v>21</v>
      </c>
      <c r="E5410" s="1" t="s">
        <v>76</v>
      </c>
      <c r="F5410" s="1">
        <v>985.48</v>
      </c>
      <c r="G5410" s="1">
        <v>201.19</v>
      </c>
      <c r="H5410" s="1">
        <v>3.0</v>
      </c>
      <c r="I5410" s="1" t="s">
        <v>17</v>
      </c>
      <c r="J5410" s="1" t="s">
        <v>35</v>
      </c>
      <c r="K5410" s="1">
        <f t="shared" si="1"/>
        <v>2023</v>
      </c>
      <c r="L5410" s="1" t="str">
        <f t="shared" si="2"/>
        <v>Aug</v>
      </c>
      <c r="M5410" s="1" t="str">
        <f t="shared" si="3"/>
        <v>Profit</v>
      </c>
    </row>
    <row r="5411" ht="14.25" customHeight="1">
      <c r="A5411" s="1" t="s">
        <v>5445</v>
      </c>
      <c r="B5411" s="2">
        <v>44786.0</v>
      </c>
      <c r="C5411" s="1" t="s">
        <v>14</v>
      </c>
      <c r="D5411" s="1" t="s">
        <v>27</v>
      </c>
      <c r="E5411" s="1" t="s">
        <v>40</v>
      </c>
      <c r="F5411" s="1">
        <v>683.36</v>
      </c>
      <c r="G5411" s="1">
        <v>-168.53</v>
      </c>
      <c r="H5411" s="1">
        <v>9.0</v>
      </c>
      <c r="I5411" s="1" t="s">
        <v>34</v>
      </c>
      <c r="J5411" s="1" t="s">
        <v>38</v>
      </c>
      <c r="K5411" s="1">
        <f t="shared" si="1"/>
        <v>2022</v>
      </c>
      <c r="L5411" s="1" t="str">
        <f t="shared" si="2"/>
        <v>Aug</v>
      </c>
      <c r="M5411" s="1" t="str">
        <f t="shared" si="3"/>
        <v>Loss</v>
      </c>
    </row>
    <row r="5412" ht="14.25" customHeight="1">
      <c r="A5412" s="1" t="s">
        <v>5446</v>
      </c>
      <c r="B5412" s="2">
        <v>44383.0</v>
      </c>
      <c r="C5412" s="1" t="s">
        <v>30</v>
      </c>
      <c r="D5412" s="1" t="s">
        <v>15</v>
      </c>
      <c r="E5412" s="1" t="s">
        <v>31</v>
      </c>
      <c r="F5412" s="1">
        <v>104.71</v>
      </c>
      <c r="G5412" s="1">
        <v>-49.29</v>
      </c>
      <c r="H5412" s="1">
        <v>3.0</v>
      </c>
      <c r="I5412" s="1" t="s">
        <v>23</v>
      </c>
      <c r="J5412" s="1" t="s">
        <v>18</v>
      </c>
      <c r="K5412" s="1">
        <f t="shared" si="1"/>
        <v>2021</v>
      </c>
      <c r="L5412" s="1" t="str">
        <f t="shared" si="2"/>
        <v>Jul</v>
      </c>
      <c r="M5412" s="1" t="str">
        <f t="shared" si="3"/>
        <v>Loss</v>
      </c>
    </row>
    <row r="5413" ht="14.25" customHeight="1">
      <c r="A5413" s="1" t="s">
        <v>5447</v>
      </c>
      <c r="B5413" s="2">
        <v>44507.0</v>
      </c>
      <c r="C5413" s="1" t="s">
        <v>30</v>
      </c>
      <c r="D5413" s="1" t="s">
        <v>27</v>
      </c>
      <c r="E5413" s="1" t="s">
        <v>33</v>
      </c>
      <c r="F5413" s="1">
        <v>604.18</v>
      </c>
      <c r="G5413" s="1">
        <v>180.92</v>
      </c>
      <c r="H5413" s="1">
        <v>2.0</v>
      </c>
      <c r="I5413" s="1" t="s">
        <v>17</v>
      </c>
      <c r="J5413" s="1" t="s">
        <v>24</v>
      </c>
      <c r="K5413" s="1">
        <f t="shared" si="1"/>
        <v>2021</v>
      </c>
      <c r="L5413" s="1" t="str">
        <f t="shared" si="2"/>
        <v>Nov</v>
      </c>
      <c r="M5413" s="1" t="str">
        <f t="shared" si="3"/>
        <v>Profit</v>
      </c>
    </row>
    <row r="5414" ht="14.25" customHeight="1">
      <c r="A5414" s="1" t="s">
        <v>5448</v>
      </c>
      <c r="B5414" s="2">
        <v>44823.0</v>
      </c>
      <c r="C5414" s="1" t="s">
        <v>20</v>
      </c>
      <c r="D5414" s="1" t="s">
        <v>27</v>
      </c>
      <c r="E5414" s="1" t="s">
        <v>33</v>
      </c>
      <c r="F5414" s="1">
        <v>563.02</v>
      </c>
      <c r="G5414" s="1">
        <v>-102.36</v>
      </c>
      <c r="H5414" s="1">
        <v>4.0</v>
      </c>
      <c r="I5414" s="1" t="s">
        <v>17</v>
      </c>
      <c r="J5414" s="1" t="s">
        <v>35</v>
      </c>
      <c r="K5414" s="1">
        <f t="shared" si="1"/>
        <v>2022</v>
      </c>
      <c r="L5414" s="1" t="str">
        <f t="shared" si="2"/>
        <v>Sep</v>
      </c>
      <c r="M5414" s="1" t="str">
        <f t="shared" si="3"/>
        <v>Loss</v>
      </c>
    </row>
    <row r="5415" ht="14.25" customHeight="1">
      <c r="A5415" s="1" t="s">
        <v>5449</v>
      </c>
      <c r="B5415" s="2">
        <v>45031.0</v>
      </c>
      <c r="C5415" s="1" t="s">
        <v>26</v>
      </c>
      <c r="D5415" s="1" t="s">
        <v>27</v>
      </c>
      <c r="E5415" s="1" t="s">
        <v>40</v>
      </c>
      <c r="F5415" s="1">
        <v>549.29</v>
      </c>
      <c r="G5415" s="1">
        <v>-92.63</v>
      </c>
      <c r="H5415" s="1">
        <v>6.0</v>
      </c>
      <c r="I5415" s="1" t="s">
        <v>23</v>
      </c>
      <c r="J5415" s="1" t="s">
        <v>35</v>
      </c>
      <c r="K5415" s="1">
        <f t="shared" si="1"/>
        <v>2023</v>
      </c>
      <c r="L5415" s="1" t="str">
        <f t="shared" si="2"/>
        <v>Apr</v>
      </c>
      <c r="M5415" s="1" t="str">
        <f t="shared" si="3"/>
        <v>Loss</v>
      </c>
    </row>
    <row r="5416" ht="14.25" customHeight="1">
      <c r="A5416" s="1" t="s">
        <v>5450</v>
      </c>
      <c r="B5416" s="2">
        <v>45082.0</v>
      </c>
      <c r="C5416" s="1" t="s">
        <v>14</v>
      </c>
      <c r="D5416" s="1" t="s">
        <v>27</v>
      </c>
      <c r="E5416" s="1" t="s">
        <v>33</v>
      </c>
      <c r="F5416" s="1">
        <v>620.7</v>
      </c>
      <c r="G5416" s="1">
        <v>129.91</v>
      </c>
      <c r="H5416" s="1">
        <v>6.0</v>
      </c>
      <c r="I5416" s="1" t="s">
        <v>23</v>
      </c>
      <c r="J5416" s="1" t="s">
        <v>38</v>
      </c>
      <c r="K5416" s="1">
        <f t="shared" si="1"/>
        <v>2023</v>
      </c>
      <c r="L5416" s="1" t="str">
        <f t="shared" si="2"/>
        <v>Jun</v>
      </c>
      <c r="M5416" s="1" t="str">
        <f t="shared" si="3"/>
        <v>Profit</v>
      </c>
    </row>
    <row r="5417" ht="14.25" customHeight="1">
      <c r="A5417" s="1" t="s">
        <v>5451</v>
      </c>
      <c r="B5417" s="2">
        <v>45275.0</v>
      </c>
      <c r="C5417" s="1" t="s">
        <v>26</v>
      </c>
      <c r="D5417" s="1" t="s">
        <v>21</v>
      </c>
      <c r="E5417" s="1" t="s">
        <v>76</v>
      </c>
      <c r="F5417" s="1">
        <v>634.43</v>
      </c>
      <c r="G5417" s="1">
        <v>-176.46</v>
      </c>
      <c r="H5417" s="1">
        <v>4.0</v>
      </c>
      <c r="I5417" s="1" t="s">
        <v>34</v>
      </c>
      <c r="J5417" s="1" t="s">
        <v>35</v>
      </c>
      <c r="K5417" s="1">
        <f t="shared" si="1"/>
        <v>2023</v>
      </c>
      <c r="L5417" s="1" t="str">
        <f t="shared" si="2"/>
        <v>Dec</v>
      </c>
      <c r="M5417" s="1" t="str">
        <f t="shared" si="3"/>
        <v>Loss</v>
      </c>
    </row>
    <row r="5418" ht="14.25" customHeight="1">
      <c r="A5418" s="1" t="s">
        <v>5452</v>
      </c>
      <c r="B5418" s="2">
        <v>44886.0</v>
      </c>
      <c r="C5418" s="1" t="s">
        <v>14</v>
      </c>
      <c r="D5418" s="1" t="s">
        <v>27</v>
      </c>
      <c r="E5418" s="1" t="s">
        <v>33</v>
      </c>
      <c r="F5418" s="1">
        <v>638.07</v>
      </c>
      <c r="G5418" s="1">
        <v>156.37</v>
      </c>
      <c r="H5418" s="1">
        <v>4.0</v>
      </c>
      <c r="I5418" s="1" t="s">
        <v>23</v>
      </c>
      <c r="J5418" s="1" t="s">
        <v>18</v>
      </c>
      <c r="K5418" s="1">
        <f t="shared" si="1"/>
        <v>2022</v>
      </c>
      <c r="L5418" s="1" t="str">
        <f t="shared" si="2"/>
        <v>Nov</v>
      </c>
      <c r="M5418" s="1" t="str">
        <f t="shared" si="3"/>
        <v>Profit</v>
      </c>
    </row>
    <row r="5419" ht="14.25" customHeight="1">
      <c r="A5419" s="1" t="s">
        <v>5453</v>
      </c>
      <c r="B5419" s="2">
        <v>44375.0</v>
      </c>
      <c r="C5419" s="1" t="s">
        <v>20</v>
      </c>
      <c r="D5419" s="1" t="s">
        <v>27</v>
      </c>
      <c r="E5419" s="1" t="s">
        <v>28</v>
      </c>
      <c r="F5419" s="1">
        <v>210.18</v>
      </c>
      <c r="G5419" s="1">
        <v>-172.27</v>
      </c>
      <c r="H5419" s="1">
        <v>5.0</v>
      </c>
      <c r="I5419" s="1" t="s">
        <v>17</v>
      </c>
      <c r="J5419" s="1" t="s">
        <v>24</v>
      </c>
      <c r="K5419" s="1">
        <f t="shared" si="1"/>
        <v>2021</v>
      </c>
      <c r="L5419" s="1" t="str">
        <f t="shared" si="2"/>
        <v>Jun</v>
      </c>
      <c r="M5419" s="1" t="str">
        <f t="shared" si="3"/>
        <v>Loss</v>
      </c>
    </row>
    <row r="5420" ht="14.25" customHeight="1">
      <c r="A5420" s="1" t="s">
        <v>5454</v>
      </c>
      <c r="B5420" s="2">
        <v>44801.0</v>
      </c>
      <c r="C5420" s="1" t="s">
        <v>20</v>
      </c>
      <c r="D5420" s="1" t="s">
        <v>27</v>
      </c>
      <c r="E5420" s="1" t="s">
        <v>40</v>
      </c>
      <c r="F5420" s="1">
        <v>120.62</v>
      </c>
      <c r="G5420" s="1">
        <v>29.54</v>
      </c>
      <c r="H5420" s="1">
        <v>8.0</v>
      </c>
      <c r="I5420" s="1" t="s">
        <v>17</v>
      </c>
      <c r="J5420" s="1" t="s">
        <v>35</v>
      </c>
      <c r="K5420" s="1">
        <f t="shared" si="1"/>
        <v>2022</v>
      </c>
      <c r="L5420" s="1" t="str">
        <f t="shared" si="2"/>
        <v>Aug</v>
      </c>
      <c r="M5420" s="1" t="str">
        <f t="shared" si="3"/>
        <v>Profit</v>
      </c>
    </row>
    <row r="5421" ht="14.25" customHeight="1">
      <c r="A5421" s="1" t="s">
        <v>5455</v>
      </c>
      <c r="B5421" s="2">
        <v>44788.0</v>
      </c>
      <c r="C5421" s="1" t="s">
        <v>26</v>
      </c>
      <c r="D5421" s="1" t="s">
        <v>27</v>
      </c>
      <c r="E5421" s="1" t="s">
        <v>40</v>
      </c>
      <c r="F5421" s="1">
        <v>61.76</v>
      </c>
      <c r="G5421" s="1">
        <v>60.11</v>
      </c>
      <c r="H5421" s="1">
        <v>1.0</v>
      </c>
      <c r="I5421" s="1" t="s">
        <v>17</v>
      </c>
      <c r="J5421" s="1" t="s">
        <v>38</v>
      </c>
      <c r="K5421" s="1">
        <f t="shared" si="1"/>
        <v>2022</v>
      </c>
      <c r="L5421" s="1" t="str">
        <f t="shared" si="2"/>
        <v>Aug</v>
      </c>
      <c r="M5421" s="1" t="str">
        <f t="shared" si="3"/>
        <v>Profit</v>
      </c>
    </row>
    <row r="5422" ht="14.25" customHeight="1">
      <c r="A5422" s="1" t="s">
        <v>5456</v>
      </c>
      <c r="B5422" s="2">
        <v>44439.0</v>
      </c>
      <c r="C5422" s="1" t="s">
        <v>14</v>
      </c>
      <c r="D5422" s="1" t="s">
        <v>15</v>
      </c>
      <c r="E5422" s="1" t="s">
        <v>31</v>
      </c>
      <c r="F5422" s="1">
        <v>315.15</v>
      </c>
      <c r="G5422" s="1">
        <v>-140.98</v>
      </c>
      <c r="H5422" s="1">
        <v>10.0</v>
      </c>
      <c r="I5422" s="1" t="s">
        <v>23</v>
      </c>
      <c r="J5422" s="1" t="s">
        <v>24</v>
      </c>
      <c r="K5422" s="1">
        <f t="shared" si="1"/>
        <v>2021</v>
      </c>
      <c r="L5422" s="1" t="str">
        <f t="shared" si="2"/>
        <v>Aug</v>
      </c>
      <c r="M5422" s="1" t="str">
        <f t="shared" si="3"/>
        <v>Loss</v>
      </c>
    </row>
    <row r="5423" ht="14.25" customHeight="1">
      <c r="A5423" s="1" t="s">
        <v>5457</v>
      </c>
      <c r="B5423" s="2">
        <v>44413.0</v>
      </c>
      <c r="C5423" s="1" t="s">
        <v>14</v>
      </c>
      <c r="D5423" s="1" t="s">
        <v>27</v>
      </c>
      <c r="E5423" s="1" t="s">
        <v>33</v>
      </c>
      <c r="F5423" s="1">
        <v>708.77</v>
      </c>
      <c r="G5423" s="1">
        <v>263.36</v>
      </c>
      <c r="H5423" s="1">
        <v>9.0</v>
      </c>
      <c r="I5423" s="1" t="s">
        <v>17</v>
      </c>
      <c r="J5423" s="1" t="s">
        <v>24</v>
      </c>
      <c r="K5423" s="1">
        <f t="shared" si="1"/>
        <v>2021</v>
      </c>
      <c r="L5423" s="1" t="str">
        <f t="shared" si="2"/>
        <v>Aug</v>
      </c>
      <c r="M5423" s="1" t="str">
        <f t="shared" si="3"/>
        <v>Profit</v>
      </c>
    </row>
    <row r="5424" ht="14.25" customHeight="1">
      <c r="A5424" s="1" t="s">
        <v>5458</v>
      </c>
      <c r="B5424" s="2">
        <v>44846.0</v>
      </c>
      <c r="C5424" s="1" t="s">
        <v>26</v>
      </c>
      <c r="D5424" s="1" t="s">
        <v>27</v>
      </c>
      <c r="E5424" s="1" t="s">
        <v>33</v>
      </c>
      <c r="F5424" s="1">
        <v>949.89</v>
      </c>
      <c r="G5424" s="1">
        <v>-55.26</v>
      </c>
      <c r="H5424" s="1">
        <v>1.0</v>
      </c>
      <c r="I5424" s="1" t="s">
        <v>23</v>
      </c>
      <c r="J5424" s="1" t="s">
        <v>18</v>
      </c>
      <c r="K5424" s="1">
        <f t="shared" si="1"/>
        <v>2022</v>
      </c>
      <c r="L5424" s="1" t="str">
        <f t="shared" si="2"/>
        <v>Oct</v>
      </c>
      <c r="M5424" s="1" t="str">
        <f t="shared" si="3"/>
        <v>Loss</v>
      </c>
    </row>
    <row r="5425" ht="14.25" customHeight="1">
      <c r="A5425" s="1" t="s">
        <v>5459</v>
      </c>
      <c r="B5425" s="2">
        <v>45194.0</v>
      </c>
      <c r="C5425" s="1" t="s">
        <v>20</v>
      </c>
      <c r="D5425" s="1" t="s">
        <v>15</v>
      </c>
      <c r="E5425" s="1" t="s">
        <v>16</v>
      </c>
      <c r="F5425" s="1">
        <v>25.99</v>
      </c>
      <c r="G5425" s="1">
        <v>232.99</v>
      </c>
      <c r="H5425" s="1">
        <v>1.0</v>
      </c>
      <c r="I5425" s="1" t="s">
        <v>34</v>
      </c>
      <c r="J5425" s="1" t="s">
        <v>18</v>
      </c>
      <c r="K5425" s="1">
        <f t="shared" si="1"/>
        <v>2023</v>
      </c>
      <c r="L5425" s="1" t="str">
        <f t="shared" si="2"/>
        <v>Sep</v>
      </c>
      <c r="M5425" s="1" t="str">
        <f t="shared" si="3"/>
        <v>Profit</v>
      </c>
    </row>
    <row r="5426" ht="14.25" customHeight="1">
      <c r="A5426" s="1" t="s">
        <v>5460</v>
      </c>
      <c r="B5426" s="2">
        <v>44292.0</v>
      </c>
      <c r="C5426" s="1" t="s">
        <v>26</v>
      </c>
      <c r="D5426" s="1" t="s">
        <v>27</v>
      </c>
      <c r="E5426" s="1" t="s">
        <v>33</v>
      </c>
      <c r="F5426" s="1">
        <v>949.26</v>
      </c>
      <c r="G5426" s="1">
        <v>-3.27</v>
      </c>
      <c r="H5426" s="1">
        <v>3.0</v>
      </c>
      <c r="I5426" s="1" t="s">
        <v>17</v>
      </c>
      <c r="J5426" s="1" t="s">
        <v>35</v>
      </c>
      <c r="K5426" s="1">
        <f t="shared" si="1"/>
        <v>2021</v>
      </c>
      <c r="L5426" s="1" t="str">
        <f t="shared" si="2"/>
        <v>Apr</v>
      </c>
      <c r="M5426" s="1" t="str">
        <f t="shared" si="3"/>
        <v>Loss</v>
      </c>
    </row>
    <row r="5427" ht="14.25" customHeight="1">
      <c r="A5427" s="1" t="s">
        <v>5461</v>
      </c>
      <c r="B5427" s="2">
        <v>44680.0</v>
      </c>
      <c r="C5427" s="1" t="s">
        <v>26</v>
      </c>
      <c r="D5427" s="1" t="s">
        <v>21</v>
      </c>
      <c r="E5427" s="1" t="s">
        <v>37</v>
      </c>
      <c r="F5427" s="1">
        <v>342.27</v>
      </c>
      <c r="G5427" s="1">
        <v>131.96</v>
      </c>
      <c r="H5427" s="1">
        <v>6.0</v>
      </c>
      <c r="I5427" s="1" t="s">
        <v>34</v>
      </c>
      <c r="J5427" s="1" t="s">
        <v>35</v>
      </c>
      <c r="K5427" s="1">
        <f t="shared" si="1"/>
        <v>2022</v>
      </c>
      <c r="L5427" s="1" t="str">
        <f t="shared" si="2"/>
        <v>Apr</v>
      </c>
      <c r="M5427" s="1" t="str">
        <f t="shared" si="3"/>
        <v>Profit</v>
      </c>
    </row>
    <row r="5428" ht="14.25" customHeight="1">
      <c r="A5428" s="1" t="s">
        <v>5462</v>
      </c>
      <c r="B5428" s="2">
        <v>44537.0</v>
      </c>
      <c r="C5428" s="1" t="s">
        <v>14</v>
      </c>
      <c r="D5428" s="1" t="s">
        <v>21</v>
      </c>
      <c r="E5428" s="1" t="s">
        <v>22</v>
      </c>
      <c r="F5428" s="1">
        <v>443.15</v>
      </c>
      <c r="G5428" s="1">
        <v>249.36</v>
      </c>
      <c r="H5428" s="1">
        <v>1.0</v>
      </c>
      <c r="I5428" s="1" t="s">
        <v>34</v>
      </c>
      <c r="J5428" s="1" t="s">
        <v>24</v>
      </c>
      <c r="K5428" s="1">
        <f t="shared" si="1"/>
        <v>2021</v>
      </c>
      <c r="L5428" s="1" t="str">
        <f t="shared" si="2"/>
        <v>Dec</v>
      </c>
      <c r="M5428" s="1" t="str">
        <f t="shared" si="3"/>
        <v>Profit</v>
      </c>
    </row>
    <row r="5429" ht="14.25" customHeight="1">
      <c r="A5429" s="1" t="s">
        <v>5463</v>
      </c>
      <c r="B5429" s="2">
        <v>45258.0</v>
      </c>
      <c r="C5429" s="1" t="s">
        <v>20</v>
      </c>
      <c r="D5429" s="1" t="s">
        <v>15</v>
      </c>
      <c r="E5429" s="1" t="s">
        <v>16</v>
      </c>
      <c r="F5429" s="1">
        <v>89.99</v>
      </c>
      <c r="G5429" s="1">
        <v>259.66</v>
      </c>
      <c r="H5429" s="1">
        <v>9.0</v>
      </c>
      <c r="I5429" s="1" t="s">
        <v>34</v>
      </c>
      <c r="J5429" s="1" t="s">
        <v>18</v>
      </c>
      <c r="K5429" s="1">
        <f t="shared" si="1"/>
        <v>2023</v>
      </c>
      <c r="L5429" s="1" t="str">
        <f t="shared" si="2"/>
        <v>Nov</v>
      </c>
      <c r="M5429" s="1" t="str">
        <f t="shared" si="3"/>
        <v>Profit</v>
      </c>
    </row>
    <row r="5430" ht="14.25" customHeight="1">
      <c r="A5430" s="1" t="s">
        <v>5464</v>
      </c>
      <c r="B5430" s="2">
        <v>45168.0</v>
      </c>
      <c r="C5430" s="1" t="s">
        <v>26</v>
      </c>
      <c r="D5430" s="1" t="s">
        <v>27</v>
      </c>
      <c r="E5430" s="1" t="s">
        <v>28</v>
      </c>
      <c r="F5430" s="1">
        <v>558.9</v>
      </c>
      <c r="G5430" s="1">
        <v>58.8</v>
      </c>
      <c r="H5430" s="1">
        <v>1.0</v>
      </c>
      <c r="I5430" s="1" t="s">
        <v>34</v>
      </c>
      <c r="J5430" s="1" t="s">
        <v>18</v>
      </c>
      <c r="K5430" s="1">
        <f t="shared" si="1"/>
        <v>2023</v>
      </c>
      <c r="L5430" s="1" t="str">
        <f t="shared" si="2"/>
        <v>Aug</v>
      </c>
      <c r="M5430" s="1" t="str">
        <f t="shared" si="3"/>
        <v>Profit</v>
      </c>
    </row>
    <row r="5431" ht="14.25" customHeight="1">
      <c r="A5431" s="1" t="s">
        <v>5465</v>
      </c>
      <c r="B5431" s="2">
        <v>45105.0</v>
      </c>
      <c r="C5431" s="1" t="s">
        <v>20</v>
      </c>
      <c r="D5431" s="1" t="s">
        <v>21</v>
      </c>
      <c r="E5431" s="1" t="s">
        <v>37</v>
      </c>
      <c r="F5431" s="1">
        <v>230.56</v>
      </c>
      <c r="G5431" s="1">
        <v>13.58</v>
      </c>
      <c r="H5431" s="1">
        <v>1.0</v>
      </c>
      <c r="I5431" s="1" t="s">
        <v>23</v>
      </c>
      <c r="J5431" s="1" t="s">
        <v>18</v>
      </c>
      <c r="K5431" s="1">
        <f t="shared" si="1"/>
        <v>2023</v>
      </c>
      <c r="L5431" s="1" t="str">
        <f t="shared" si="2"/>
        <v>Jun</v>
      </c>
      <c r="M5431" s="1" t="str">
        <f t="shared" si="3"/>
        <v>Profit</v>
      </c>
    </row>
    <row r="5432" ht="14.25" customHeight="1">
      <c r="A5432" s="1" t="s">
        <v>5466</v>
      </c>
      <c r="B5432" s="2">
        <v>44912.0</v>
      </c>
      <c r="C5432" s="1" t="s">
        <v>20</v>
      </c>
      <c r="D5432" s="1" t="s">
        <v>27</v>
      </c>
      <c r="E5432" s="1" t="s">
        <v>33</v>
      </c>
      <c r="F5432" s="1">
        <v>203.94</v>
      </c>
      <c r="G5432" s="1">
        <v>269.14</v>
      </c>
      <c r="H5432" s="1">
        <v>4.0</v>
      </c>
      <c r="I5432" s="1" t="s">
        <v>17</v>
      </c>
      <c r="J5432" s="1" t="s">
        <v>18</v>
      </c>
      <c r="K5432" s="1">
        <f t="shared" si="1"/>
        <v>2022</v>
      </c>
      <c r="L5432" s="1" t="str">
        <f t="shared" si="2"/>
        <v>Dec</v>
      </c>
      <c r="M5432" s="1" t="str">
        <f t="shared" si="3"/>
        <v>Profit</v>
      </c>
    </row>
    <row r="5433" ht="14.25" customHeight="1">
      <c r="A5433" s="1" t="s">
        <v>5467</v>
      </c>
      <c r="B5433" s="2">
        <v>44669.0</v>
      </c>
      <c r="C5433" s="1" t="s">
        <v>20</v>
      </c>
      <c r="D5433" s="1" t="s">
        <v>15</v>
      </c>
      <c r="E5433" s="1" t="s">
        <v>16</v>
      </c>
      <c r="F5433" s="1">
        <v>761.88</v>
      </c>
      <c r="G5433" s="1">
        <v>210.95</v>
      </c>
      <c r="H5433" s="1">
        <v>9.0</v>
      </c>
      <c r="I5433" s="1" t="s">
        <v>17</v>
      </c>
      <c r="J5433" s="1" t="s">
        <v>35</v>
      </c>
      <c r="K5433" s="1">
        <f t="shared" si="1"/>
        <v>2022</v>
      </c>
      <c r="L5433" s="1" t="str">
        <f t="shared" si="2"/>
        <v>Apr</v>
      </c>
      <c r="M5433" s="1" t="str">
        <f t="shared" si="3"/>
        <v>Profit</v>
      </c>
    </row>
    <row r="5434" ht="14.25" customHeight="1">
      <c r="A5434" s="1" t="s">
        <v>5468</v>
      </c>
      <c r="B5434" s="2">
        <v>44702.0</v>
      </c>
      <c r="C5434" s="1" t="s">
        <v>20</v>
      </c>
      <c r="D5434" s="1" t="s">
        <v>21</v>
      </c>
      <c r="E5434" s="1" t="s">
        <v>37</v>
      </c>
      <c r="F5434" s="1">
        <v>346.79</v>
      </c>
      <c r="G5434" s="1">
        <v>-122.02</v>
      </c>
      <c r="H5434" s="1">
        <v>9.0</v>
      </c>
      <c r="I5434" s="1" t="s">
        <v>17</v>
      </c>
      <c r="J5434" s="1" t="s">
        <v>24</v>
      </c>
      <c r="K5434" s="1">
        <f t="shared" si="1"/>
        <v>2022</v>
      </c>
      <c r="L5434" s="1" t="str">
        <f t="shared" si="2"/>
        <v>May</v>
      </c>
      <c r="M5434" s="1" t="str">
        <f t="shared" si="3"/>
        <v>Loss</v>
      </c>
    </row>
    <row r="5435" ht="14.25" customHeight="1">
      <c r="A5435" s="1" t="s">
        <v>5469</v>
      </c>
      <c r="B5435" s="2">
        <v>45018.0</v>
      </c>
      <c r="C5435" s="1" t="s">
        <v>26</v>
      </c>
      <c r="D5435" s="1" t="s">
        <v>27</v>
      </c>
      <c r="E5435" s="1" t="s">
        <v>28</v>
      </c>
      <c r="F5435" s="1">
        <v>592.99</v>
      </c>
      <c r="G5435" s="1">
        <v>160.98</v>
      </c>
      <c r="H5435" s="1">
        <v>7.0</v>
      </c>
      <c r="I5435" s="1" t="s">
        <v>17</v>
      </c>
      <c r="J5435" s="1" t="s">
        <v>24</v>
      </c>
      <c r="K5435" s="1">
        <f t="shared" si="1"/>
        <v>2023</v>
      </c>
      <c r="L5435" s="1" t="str">
        <f t="shared" si="2"/>
        <v>Apr</v>
      </c>
      <c r="M5435" s="1" t="str">
        <f t="shared" si="3"/>
        <v>Profit</v>
      </c>
    </row>
    <row r="5436" ht="14.25" customHeight="1">
      <c r="A5436" s="1" t="s">
        <v>5470</v>
      </c>
      <c r="B5436" s="2">
        <v>44653.0</v>
      </c>
      <c r="C5436" s="1" t="s">
        <v>20</v>
      </c>
      <c r="D5436" s="1" t="s">
        <v>21</v>
      </c>
      <c r="E5436" s="1" t="s">
        <v>22</v>
      </c>
      <c r="F5436" s="1">
        <v>569.34</v>
      </c>
      <c r="G5436" s="1">
        <v>143.51</v>
      </c>
      <c r="H5436" s="1">
        <v>4.0</v>
      </c>
      <c r="I5436" s="1" t="s">
        <v>34</v>
      </c>
      <c r="J5436" s="1" t="s">
        <v>35</v>
      </c>
      <c r="K5436" s="1">
        <f t="shared" si="1"/>
        <v>2022</v>
      </c>
      <c r="L5436" s="1" t="str">
        <f t="shared" si="2"/>
        <v>Apr</v>
      </c>
      <c r="M5436" s="1" t="str">
        <f t="shared" si="3"/>
        <v>Profit</v>
      </c>
    </row>
    <row r="5437" ht="14.25" customHeight="1">
      <c r="A5437" s="1" t="s">
        <v>5471</v>
      </c>
      <c r="B5437" s="2">
        <v>44755.0</v>
      </c>
      <c r="C5437" s="1" t="s">
        <v>30</v>
      </c>
      <c r="D5437" s="1" t="s">
        <v>21</v>
      </c>
      <c r="E5437" s="1" t="s">
        <v>37</v>
      </c>
      <c r="F5437" s="1">
        <v>387.44</v>
      </c>
      <c r="G5437" s="1">
        <v>155.99</v>
      </c>
      <c r="H5437" s="1">
        <v>1.0</v>
      </c>
      <c r="I5437" s="1" t="s">
        <v>23</v>
      </c>
      <c r="J5437" s="1" t="s">
        <v>35</v>
      </c>
      <c r="K5437" s="1">
        <f t="shared" si="1"/>
        <v>2022</v>
      </c>
      <c r="L5437" s="1" t="str">
        <f t="shared" si="2"/>
        <v>Jul</v>
      </c>
      <c r="M5437" s="1" t="str">
        <f t="shared" si="3"/>
        <v>Profit</v>
      </c>
    </row>
    <row r="5438" ht="14.25" customHeight="1">
      <c r="A5438" s="1" t="s">
        <v>5472</v>
      </c>
      <c r="B5438" s="2">
        <v>44495.0</v>
      </c>
      <c r="C5438" s="1" t="s">
        <v>30</v>
      </c>
      <c r="D5438" s="1" t="s">
        <v>15</v>
      </c>
      <c r="E5438" s="1" t="s">
        <v>54</v>
      </c>
      <c r="F5438" s="1">
        <v>969.85</v>
      </c>
      <c r="G5438" s="1">
        <v>213.57</v>
      </c>
      <c r="H5438" s="1">
        <v>7.0</v>
      </c>
      <c r="I5438" s="1" t="s">
        <v>34</v>
      </c>
      <c r="J5438" s="1" t="s">
        <v>18</v>
      </c>
      <c r="K5438" s="1">
        <f t="shared" si="1"/>
        <v>2021</v>
      </c>
      <c r="L5438" s="1" t="str">
        <f t="shared" si="2"/>
        <v>Oct</v>
      </c>
      <c r="M5438" s="1" t="str">
        <f t="shared" si="3"/>
        <v>Profit</v>
      </c>
    </row>
    <row r="5439" ht="14.25" customHeight="1">
      <c r="A5439" s="1" t="s">
        <v>5473</v>
      </c>
      <c r="B5439" s="2">
        <v>44921.0</v>
      </c>
      <c r="C5439" s="1" t="s">
        <v>20</v>
      </c>
      <c r="D5439" s="1" t="s">
        <v>27</v>
      </c>
      <c r="E5439" s="1" t="s">
        <v>40</v>
      </c>
      <c r="F5439" s="1">
        <v>879.75</v>
      </c>
      <c r="G5439" s="1">
        <v>15.25</v>
      </c>
      <c r="H5439" s="1">
        <v>9.0</v>
      </c>
      <c r="I5439" s="1" t="s">
        <v>34</v>
      </c>
      <c r="J5439" s="1" t="s">
        <v>38</v>
      </c>
      <c r="K5439" s="1">
        <f t="shared" si="1"/>
        <v>2022</v>
      </c>
      <c r="L5439" s="1" t="str">
        <f t="shared" si="2"/>
        <v>Dec</v>
      </c>
      <c r="M5439" s="1" t="str">
        <f t="shared" si="3"/>
        <v>Profit</v>
      </c>
    </row>
    <row r="5440" ht="14.25" customHeight="1">
      <c r="A5440" s="1" t="s">
        <v>5474</v>
      </c>
      <c r="B5440" s="2">
        <v>45238.0</v>
      </c>
      <c r="C5440" s="1" t="s">
        <v>20</v>
      </c>
      <c r="D5440" s="1" t="s">
        <v>21</v>
      </c>
      <c r="E5440" s="1" t="s">
        <v>37</v>
      </c>
      <c r="F5440" s="1">
        <v>791.58</v>
      </c>
      <c r="G5440" s="1">
        <v>-142.94</v>
      </c>
      <c r="H5440" s="1">
        <v>6.0</v>
      </c>
      <c r="I5440" s="1" t="s">
        <v>17</v>
      </c>
      <c r="J5440" s="1" t="s">
        <v>38</v>
      </c>
      <c r="K5440" s="1">
        <f t="shared" si="1"/>
        <v>2023</v>
      </c>
      <c r="L5440" s="1" t="str">
        <f t="shared" si="2"/>
        <v>Nov</v>
      </c>
      <c r="M5440" s="1" t="str">
        <f t="shared" si="3"/>
        <v>Loss</v>
      </c>
    </row>
    <row r="5441" ht="14.25" customHeight="1">
      <c r="A5441" s="1" t="s">
        <v>5475</v>
      </c>
      <c r="B5441" s="2">
        <v>44308.0</v>
      </c>
      <c r="C5441" s="1" t="s">
        <v>20</v>
      </c>
      <c r="D5441" s="1" t="s">
        <v>15</v>
      </c>
      <c r="E5441" s="1" t="s">
        <v>31</v>
      </c>
      <c r="F5441" s="1">
        <v>260.69</v>
      </c>
      <c r="G5441" s="1">
        <v>192.19</v>
      </c>
      <c r="H5441" s="1">
        <v>3.0</v>
      </c>
      <c r="I5441" s="1" t="s">
        <v>34</v>
      </c>
      <c r="J5441" s="1" t="s">
        <v>24</v>
      </c>
      <c r="K5441" s="1">
        <f t="shared" si="1"/>
        <v>2021</v>
      </c>
      <c r="L5441" s="1" t="str">
        <f t="shared" si="2"/>
        <v>Apr</v>
      </c>
      <c r="M5441" s="1" t="str">
        <f t="shared" si="3"/>
        <v>Profit</v>
      </c>
    </row>
    <row r="5442" ht="14.25" customHeight="1">
      <c r="A5442" s="1" t="s">
        <v>5476</v>
      </c>
      <c r="B5442" s="2">
        <v>44276.0</v>
      </c>
      <c r="C5442" s="1" t="s">
        <v>26</v>
      </c>
      <c r="D5442" s="1" t="s">
        <v>21</v>
      </c>
      <c r="E5442" s="1" t="s">
        <v>76</v>
      </c>
      <c r="F5442" s="1">
        <v>166.46</v>
      </c>
      <c r="G5442" s="1">
        <v>202.2</v>
      </c>
      <c r="H5442" s="1">
        <v>10.0</v>
      </c>
      <c r="I5442" s="1" t="s">
        <v>17</v>
      </c>
      <c r="J5442" s="1" t="s">
        <v>38</v>
      </c>
      <c r="K5442" s="1">
        <f t="shared" si="1"/>
        <v>2021</v>
      </c>
      <c r="L5442" s="1" t="str">
        <f t="shared" si="2"/>
        <v>Mar</v>
      </c>
      <c r="M5442" s="1" t="str">
        <f t="shared" si="3"/>
        <v>Profit</v>
      </c>
    </row>
    <row r="5443" ht="14.25" customHeight="1">
      <c r="A5443" s="1" t="s">
        <v>5477</v>
      </c>
      <c r="B5443" s="2">
        <v>44219.0</v>
      </c>
      <c r="C5443" s="1" t="s">
        <v>26</v>
      </c>
      <c r="D5443" s="1" t="s">
        <v>21</v>
      </c>
      <c r="E5443" s="1" t="s">
        <v>76</v>
      </c>
      <c r="F5443" s="1">
        <v>875.48</v>
      </c>
      <c r="G5443" s="1">
        <v>-154.61</v>
      </c>
      <c r="H5443" s="1">
        <v>9.0</v>
      </c>
      <c r="I5443" s="1" t="s">
        <v>34</v>
      </c>
      <c r="J5443" s="1" t="s">
        <v>18</v>
      </c>
      <c r="K5443" s="1">
        <f t="shared" si="1"/>
        <v>2021</v>
      </c>
      <c r="L5443" s="1" t="str">
        <f t="shared" si="2"/>
        <v>Jan</v>
      </c>
      <c r="M5443" s="1" t="str">
        <f t="shared" si="3"/>
        <v>Loss</v>
      </c>
    </row>
    <row r="5444" ht="14.25" customHeight="1">
      <c r="A5444" s="1" t="s">
        <v>5478</v>
      </c>
      <c r="B5444" s="2">
        <v>44677.0</v>
      </c>
      <c r="C5444" s="1" t="s">
        <v>14</v>
      </c>
      <c r="D5444" s="1" t="s">
        <v>15</v>
      </c>
      <c r="E5444" s="1" t="s">
        <v>16</v>
      </c>
      <c r="F5444" s="1">
        <v>786.68</v>
      </c>
      <c r="G5444" s="1">
        <v>-45.67</v>
      </c>
      <c r="H5444" s="1">
        <v>1.0</v>
      </c>
      <c r="I5444" s="1" t="s">
        <v>17</v>
      </c>
      <c r="J5444" s="1" t="s">
        <v>24</v>
      </c>
      <c r="K5444" s="1">
        <f t="shared" si="1"/>
        <v>2022</v>
      </c>
      <c r="L5444" s="1" t="str">
        <f t="shared" si="2"/>
        <v>Apr</v>
      </c>
      <c r="M5444" s="1" t="str">
        <f t="shared" si="3"/>
        <v>Loss</v>
      </c>
    </row>
    <row r="5445" ht="14.25" customHeight="1">
      <c r="A5445" s="1" t="s">
        <v>5479</v>
      </c>
      <c r="B5445" s="2">
        <v>44621.0</v>
      </c>
      <c r="C5445" s="1" t="s">
        <v>14</v>
      </c>
      <c r="D5445" s="1" t="s">
        <v>21</v>
      </c>
      <c r="E5445" s="1" t="s">
        <v>22</v>
      </c>
      <c r="F5445" s="1">
        <v>603.33</v>
      </c>
      <c r="G5445" s="1">
        <v>-148.72</v>
      </c>
      <c r="H5445" s="1">
        <v>7.0</v>
      </c>
      <c r="I5445" s="1" t="s">
        <v>17</v>
      </c>
      <c r="J5445" s="1" t="s">
        <v>24</v>
      </c>
      <c r="K5445" s="1">
        <f t="shared" si="1"/>
        <v>2022</v>
      </c>
      <c r="L5445" s="1" t="str">
        <f t="shared" si="2"/>
        <v>Mar</v>
      </c>
      <c r="M5445" s="1" t="str">
        <f t="shared" si="3"/>
        <v>Loss</v>
      </c>
    </row>
    <row r="5446" ht="14.25" customHeight="1">
      <c r="A5446" s="1" t="s">
        <v>5480</v>
      </c>
      <c r="B5446" s="2">
        <v>44810.0</v>
      </c>
      <c r="C5446" s="1" t="s">
        <v>30</v>
      </c>
      <c r="D5446" s="1" t="s">
        <v>21</v>
      </c>
      <c r="E5446" s="1" t="s">
        <v>22</v>
      </c>
      <c r="F5446" s="1">
        <v>278.9</v>
      </c>
      <c r="G5446" s="1">
        <v>194.12</v>
      </c>
      <c r="H5446" s="1">
        <v>7.0</v>
      </c>
      <c r="I5446" s="1" t="s">
        <v>34</v>
      </c>
      <c r="J5446" s="1" t="s">
        <v>35</v>
      </c>
      <c r="K5446" s="1">
        <f t="shared" si="1"/>
        <v>2022</v>
      </c>
      <c r="L5446" s="1" t="str">
        <f t="shared" si="2"/>
        <v>Sep</v>
      </c>
      <c r="M5446" s="1" t="str">
        <f t="shared" si="3"/>
        <v>Profit</v>
      </c>
    </row>
    <row r="5447" ht="14.25" customHeight="1">
      <c r="A5447" s="1" t="s">
        <v>5481</v>
      </c>
      <c r="B5447" s="2">
        <v>45096.0</v>
      </c>
      <c r="C5447" s="1" t="s">
        <v>20</v>
      </c>
      <c r="D5447" s="1" t="s">
        <v>27</v>
      </c>
      <c r="E5447" s="1" t="s">
        <v>28</v>
      </c>
      <c r="F5447" s="1">
        <v>489.9</v>
      </c>
      <c r="G5447" s="1">
        <v>96.37</v>
      </c>
      <c r="H5447" s="1">
        <v>2.0</v>
      </c>
      <c r="I5447" s="1" t="s">
        <v>17</v>
      </c>
      <c r="J5447" s="1" t="s">
        <v>18</v>
      </c>
      <c r="K5447" s="1">
        <f t="shared" si="1"/>
        <v>2023</v>
      </c>
      <c r="L5447" s="1" t="str">
        <f t="shared" si="2"/>
        <v>Jun</v>
      </c>
      <c r="M5447" s="1" t="str">
        <f t="shared" si="3"/>
        <v>Profit</v>
      </c>
    </row>
    <row r="5448" ht="14.25" customHeight="1">
      <c r="A5448" s="1" t="s">
        <v>5482</v>
      </c>
      <c r="B5448" s="2">
        <v>44677.0</v>
      </c>
      <c r="C5448" s="1" t="s">
        <v>30</v>
      </c>
      <c r="D5448" s="1" t="s">
        <v>27</v>
      </c>
      <c r="E5448" s="1" t="s">
        <v>28</v>
      </c>
      <c r="F5448" s="1">
        <v>359.99</v>
      </c>
      <c r="G5448" s="1">
        <v>-70.57</v>
      </c>
      <c r="H5448" s="1">
        <v>3.0</v>
      </c>
      <c r="I5448" s="1" t="s">
        <v>23</v>
      </c>
      <c r="J5448" s="1" t="s">
        <v>18</v>
      </c>
      <c r="K5448" s="1">
        <f t="shared" si="1"/>
        <v>2022</v>
      </c>
      <c r="L5448" s="1" t="str">
        <f t="shared" si="2"/>
        <v>Apr</v>
      </c>
      <c r="M5448" s="1" t="str">
        <f t="shared" si="3"/>
        <v>Loss</v>
      </c>
    </row>
    <row r="5449" ht="14.25" customHeight="1">
      <c r="A5449" s="1" t="s">
        <v>5483</v>
      </c>
      <c r="B5449" s="2">
        <v>44619.0</v>
      </c>
      <c r="C5449" s="1" t="s">
        <v>20</v>
      </c>
      <c r="D5449" s="1" t="s">
        <v>15</v>
      </c>
      <c r="E5449" s="1" t="s">
        <v>54</v>
      </c>
      <c r="F5449" s="1">
        <v>648.44</v>
      </c>
      <c r="G5449" s="1">
        <v>-91.64</v>
      </c>
      <c r="H5449" s="1">
        <v>3.0</v>
      </c>
      <c r="I5449" s="1" t="s">
        <v>17</v>
      </c>
      <c r="J5449" s="1" t="s">
        <v>38</v>
      </c>
      <c r="K5449" s="1">
        <f t="shared" si="1"/>
        <v>2022</v>
      </c>
      <c r="L5449" s="1" t="str">
        <f t="shared" si="2"/>
        <v>Feb</v>
      </c>
      <c r="M5449" s="1" t="str">
        <f t="shared" si="3"/>
        <v>Loss</v>
      </c>
    </row>
    <row r="5450" ht="14.25" customHeight="1">
      <c r="A5450" s="1" t="s">
        <v>5484</v>
      </c>
      <c r="B5450" s="2">
        <v>44452.0</v>
      </c>
      <c r="C5450" s="1" t="s">
        <v>14</v>
      </c>
      <c r="D5450" s="1" t="s">
        <v>27</v>
      </c>
      <c r="E5450" s="1" t="s">
        <v>40</v>
      </c>
      <c r="F5450" s="1">
        <v>677.95</v>
      </c>
      <c r="G5450" s="1">
        <v>157.78</v>
      </c>
      <c r="H5450" s="1">
        <v>4.0</v>
      </c>
      <c r="I5450" s="1" t="s">
        <v>17</v>
      </c>
      <c r="J5450" s="1" t="s">
        <v>18</v>
      </c>
      <c r="K5450" s="1">
        <f t="shared" si="1"/>
        <v>2021</v>
      </c>
      <c r="L5450" s="1" t="str">
        <f t="shared" si="2"/>
        <v>Sep</v>
      </c>
      <c r="M5450" s="1" t="str">
        <f t="shared" si="3"/>
        <v>Profit</v>
      </c>
    </row>
    <row r="5451" ht="14.25" customHeight="1">
      <c r="A5451" s="1" t="s">
        <v>5485</v>
      </c>
      <c r="B5451" s="2">
        <v>44898.0</v>
      </c>
      <c r="C5451" s="1" t="s">
        <v>14</v>
      </c>
      <c r="D5451" s="1" t="s">
        <v>15</v>
      </c>
      <c r="E5451" s="1" t="s">
        <v>16</v>
      </c>
      <c r="F5451" s="1">
        <v>927.47</v>
      </c>
      <c r="G5451" s="1">
        <v>-115.57</v>
      </c>
      <c r="H5451" s="1">
        <v>4.0</v>
      </c>
      <c r="I5451" s="1" t="s">
        <v>23</v>
      </c>
      <c r="J5451" s="1" t="s">
        <v>38</v>
      </c>
      <c r="K5451" s="1">
        <f t="shared" si="1"/>
        <v>2022</v>
      </c>
      <c r="L5451" s="1" t="str">
        <f t="shared" si="2"/>
        <v>Dec</v>
      </c>
      <c r="M5451" s="1" t="str">
        <f t="shared" si="3"/>
        <v>Loss</v>
      </c>
    </row>
    <row r="5452" ht="14.25" customHeight="1">
      <c r="A5452" s="1" t="s">
        <v>5486</v>
      </c>
      <c r="B5452" s="2">
        <v>44409.0</v>
      </c>
      <c r="C5452" s="1" t="s">
        <v>30</v>
      </c>
      <c r="D5452" s="1" t="s">
        <v>15</v>
      </c>
      <c r="E5452" s="1" t="s">
        <v>31</v>
      </c>
      <c r="F5452" s="1">
        <v>567.24</v>
      </c>
      <c r="G5452" s="1">
        <v>-188.35</v>
      </c>
      <c r="H5452" s="1">
        <v>3.0</v>
      </c>
      <c r="I5452" s="1" t="s">
        <v>23</v>
      </c>
      <c r="J5452" s="1" t="s">
        <v>38</v>
      </c>
      <c r="K5452" s="1">
        <f t="shared" si="1"/>
        <v>2021</v>
      </c>
      <c r="L5452" s="1" t="str">
        <f t="shared" si="2"/>
        <v>Aug</v>
      </c>
      <c r="M5452" s="1" t="str">
        <f t="shared" si="3"/>
        <v>Loss</v>
      </c>
    </row>
    <row r="5453" ht="14.25" customHeight="1">
      <c r="A5453" s="1" t="s">
        <v>5487</v>
      </c>
      <c r="B5453" s="2">
        <v>44662.0</v>
      </c>
      <c r="C5453" s="1" t="s">
        <v>30</v>
      </c>
      <c r="D5453" s="1" t="s">
        <v>21</v>
      </c>
      <c r="E5453" s="1" t="s">
        <v>76</v>
      </c>
      <c r="F5453" s="1">
        <v>727.55</v>
      </c>
      <c r="G5453" s="1">
        <v>191.55</v>
      </c>
      <c r="H5453" s="1">
        <v>5.0</v>
      </c>
      <c r="I5453" s="1" t="s">
        <v>17</v>
      </c>
      <c r="J5453" s="1" t="s">
        <v>35</v>
      </c>
      <c r="K5453" s="1">
        <f t="shared" si="1"/>
        <v>2022</v>
      </c>
      <c r="L5453" s="1" t="str">
        <f t="shared" si="2"/>
        <v>Apr</v>
      </c>
      <c r="M5453" s="1" t="str">
        <f t="shared" si="3"/>
        <v>Profit</v>
      </c>
    </row>
    <row r="5454" ht="14.25" customHeight="1">
      <c r="A5454" s="1" t="s">
        <v>5488</v>
      </c>
      <c r="B5454" s="2">
        <v>44371.0</v>
      </c>
      <c r="C5454" s="1" t="s">
        <v>20</v>
      </c>
      <c r="D5454" s="1" t="s">
        <v>15</v>
      </c>
      <c r="E5454" s="1" t="s">
        <v>16</v>
      </c>
      <c r="F5454" s="1">
        <v>425.0</v>
      </c>
      <c r="G5454" s="1">
        <v>171.87</v>
      </c>
      <c r="H5454" s="1">
        <v>5.0</v>
      </c>
      <c r="I5454" s="1" t="s">
        <v>23</v>
      </c>
      <c r="J5454" s="1" t="s">
        <v>24</v>
      </c>
      <c r="K5454" s="1">
        <f t="shared" si="1"/>
        <v>2021</v>
      </c>
      <c r="L5454" s="1" t="str">
        <f t="shared" si="2"/>
        <v>Jun</v>
      </c>
      <c r="M5454" s="1" t="str">
        <f t="shared" si="3"/>
        <v>Profit</v>
      </c>
    </row>
    <row r="5455" ht="14.25" customHeight="1">
      <c r="A5455" s="1" t="s">
        <v>5489</v>
      </c>
      <c r="B5455" s="2">
        <v>45152.0</v>
      </c>
      <c r="C5455" s="1" t="s">
        <v>26</v>
      </c>
      <c r="D5455" s="1" t="s">
        <v>15</v>
      </c>
      <c r="E5455" s="1" t="s">
        <v>16</v>
      </c>
      <c r="F5455" s="1">
        <v>373.34</v>
      </c>
      <c r="G5455" s="1">
        <v>-23.71</v>
      </c>
      <c r="H5455" s="1">
        <v>5.0</v>
      </c>
      <c r="I5455" s="1" t="s">
        <v>34</v>
      </c>
      <c r="J5455" s="1" t="s">
        <v>24</v>
      </c>
      <c r="K5455" s="1">
        <f t="shared" si="1"/>
        <v>2023</v>
      </c>
      <c r="L5455" s="1" t="str">
        <f t="shared" si="2"/>
        <v>Aug</v>
      </c>
      <c r="M5455" s="1" t="str">
        <f t="shared" si="3"/>
        <v>Loss</v>
      </c>
    </row>
    <row r="5456" ht="14.25" customHeight="1">
      <c r="A5456" s="1" t="s">
        <v>5490</v>
      </c>
      <c r="B5456" s="2">
        <v>45123.0</v>
      </c>
      <c r="C5456" s="1" t="s">
        <v>20</v>
      </c>
      <c r="D5456" s="1" t="s">
        <v>21</v>
      </c>
      <c r="E5456" s="1" t="s">
        <v>76</v>
      </c>
      <c r="F5456" s="1">
        <v>305.29</v>
      </c>
      <c r="G5456" s="1">
        <v>156.93</v>
      </c>
      <c r="H5456" s="1">
        <v>7.0</v>
      </c>
      <c r="I5456" s="1" t="s">
        <v>23</v>
      </c>
      <c r="J5456" s="1" t="s">
        <v>24</v>
      </c>
      <c r="K5456" s="1">
        <f t="shared" si="1"/>
        <v>2023</v>
      </c>
      <c r="L5456" s="1" t="str">
        <f t="shared" si="2"/>
        <v>Jul</v>
      </c>
      <c r="M5456" s="1" t="str">
        <f t="shared" si="3"/>
        <v>Profit</v>
      </c>
    </row>
    <row r="5457" ht="14.25" customHeight="1">
      <c r="A5457" s="1" t="s">
        <v>5491</v>
      </c>
      <c r="B5457" s="2">
        <v>44422.0</v>
      </c>
      <c r="C5457" s="1" t="s">
        <v>30</v>
      </c>
      <c r="D5457" s="1" t="s">
        <v>27</v>
      </c>
      <c r="E5457" s="1" t="s">
        <v>33</v>
      </c>
      <c r="F5457" s="1">
        <v>486.18</v>
      </c>
      <c r="G5457" s="1">
        <v>44.55</v>
      </c>
      <c r="H5457" s="1">
        <v>3.0</v>
      </c>
      <c r="I5457" s="1" t="s">
        <v>17</v>
      </c>
      <c r="J5457" s="1" t="s">
        <v>18</v>
      </c>
      <c r="K5457" s="1">
        <f t="shared" si="1"/>
        <v>2021</v>
      </c>
      <c r="L5457" s="1" t="str">
        <f t="shared" si="2"/>
        <v>Aug</v>
      </c>
      <c r="M5457" s="1" t="str">
        <f t="shared" si="3"/>
        <v>Profit</v>
      </c>
    </row>
    <row r="5458" ht="14.25" customHeight="1">
      <c r="A5458" s="1" t="s">
        <v>5492</v>
      </c>
      <c r="B5458" s="2">
        <v>45096.0</v>
      </c>
      <c r="C5458" s="1" t="s">
        <v>14</v>
      </c>
      <c r="D5458" s="1" t="s">
        <v>27</v>
      </c>
      <c r="E5458" s="1" t="s">
        <v>33</v>
      </c>
      <c r="F5458" s="1">
        <v>979.69</v>
      </c>
      <c r="G5458" s="1">
        <v>-161.9</v>
      </c>
      <c r="H5458" s="1">
        <v>7.0</v>
      </c>
      <c r="I5458" s="1" t="s">
        <v>23</v>
      </c>
      <c r="J5458" s="1" t="s">
        <v>35</v>
      </c>
      <c r="K5458" s="1">
        <f t="shared" si="1"/>
        <v>2023</v>
      </c>
      <c r="L5458" s="1" t="str">
        <f t="shared" si="2"/>
        <v>Jun</v>
      </c>
      <c r="M5458" s="1" t="str">
        <f t="shared" si="3"/>
        <v>Loss</v>
      </c>
    </row>
    <row r="5459" ht="14.25" customHeight="1">
      <c r="A5459" s="1" t="s">
        <v>5493</v>
      </c>
      <c r="B5459" s="2">
        <v>44772.0</v>
      </c>
      <c r="C5459" s="1" t="s">
        <v>30</v>
      </c>
      <c r="D5459" s="1" t="s">
        <v>15</v>
      </c>
      <c r="E5459" s="1" t="s">
        <v>54</v>
      </c>
      <c r="F5459" s="1">
        <v>355.88</v>
      </c>
      <c r="G5459" s="1">
        <v>90.35</v>
      </c>
      <c r="H5459" s="1">
        <v>5.0</v>
      </c>
      <c r="I5459" s="1" t="s">
        <v>34</v>
      </c>
      <c r="J5459" s="1" t="s">
        <v>24</v>
      </c>
      <c r="K5459" s="1">
        <f t="shared" si="1"/>
        <v>2022</v>
      </c>
      <c r="L5459" s="1" t="str">
        <f t="shared" si="2"/>
        <v>Jul</v>
      </c>
      <c r="M5459" s="1" t="str">
        <f t="shared" si="3"/>
        <v>Profit</v>
      </c>
    </row>
    <row r="5460" ht="14.25" customHeight="1">
      <c r="A5460" s="1" t="s">
        <v>5494</v>
      </c>
      <c r="B5460" s="2">
        <v>44995.0</v>
      </c>
      <c r="C5460" s="1" t="s">
        <v>20</v>
      </c>
      <c r="D5460" s="1" t="s">
        <v>21</v>
      </c>
      <c r="E5460" s="1" t="s">
        <v>76</v>
      </c>
      <c r="F5460" s="1">
        <v>565.48</v>
      </c>
      <c r="G5460" s="1">
        <v>-183.61</v>
      </c>
      <c r="H5460" s="1">
        <v>3.0</v>
      </c>
      <c r="I5460" s="1" t="s">
        <v>34</v>
      </c>
      <c r="J5460" s="1" t="s">
        <v>18</v>
      </c>
      <c r="K5460" s="1">
        <f t="shared" si="1"/>
        <v>2023</v>
      </c>
      <c r="L5460" s="1" t="str">
        <f t="shared" si="2"/>
        <v>Mar</v>
      </c>
      <c r="M5460" s="1" t="str">
        <f t="shared" si="3"/>
        <v>Loss</v>
      </c>
    </row>
    <row r="5461" ht="14.25" customHeight="1">
      <c r="A5461" s="1" t="s">
        <v>5495</v>
      </c>
      <c r="B5461" s="2">
        <v>44437.0</v>
      </c>
      <c r="C5461" s="1" t="s">
        <v>30</v>
      </c>
      <c r="D5461" s="1" t="s">
        <v>27</v>
      </c>
      <c r="E5461" s="1" t="s">
        <v>40</v>
      </c>
      <c r="F5461" s="1">
        <v>185.24</v>
      </c>
      <c r="G5461" s="1">
        <v>102.76</v>
      </c>
      <c r="H5461" s="1">
        <v>1.0</v>
      </c>
      <c r="I5461" s="1" t="s">
        <v>17</v>
      </c>
      <c r="J5461" s="1" t="s">
        <v>24</v>
      </c>
      <c r="K5461" s="1">
        <f t="shared" si="1"/>
        <v>2021</v>
      </c>
      <c r="L5461" s="1" t="str">
        <f t="shared" si="2"/>
        <v>Aug</v>
      </c>
      <c r="M5461" s="1" t="str">
        <f t="shared" si="3"/>
        <v>Profit</v>
      </c>
    </row>
    <row r="5462" ht="14.25" customHeight="1">
      <c r="A5462" s="1" t="s">
        <v>5496</v>
      </c>
      <c r="B5462" s="2">
        <v>45276.0</v>
      </c>
      <c r="C5462" s="1" t="s">
        <v>14</v>
      </c>
      <c r="D5462" s="1" t="s">
        <v>27</v>
      </c>
      <c r="E5462" s="1" t="s">
        <v>40</v>
      </c>
      <c r="F5462" s="1">
        <v>643.77</v>
      </c>
      <c r="G5462" s="1">
        <v>45.76</v>
      </c>
      <c r="H5462" s="1">
        <v>3.0</v>
      </c>
      <c r="I5462" s="1" t="s">
        <v>17</v>
      </c>
      <c r="J5462" s="1" t="s">
        <v>35</v>
      </c>
      <c r="K5462" s="1">
        <f t="shared" si="1"/>
        <v>2023</v>
      </c>
      <c r="L5462" s="1" t="str">
        <f t="shared" si="2"/>
        <v>Dec</v>
      </c>
      <c r="M5462" s="1" t="str">
        <f t="shared" si="3"/>
        <v>Profit</v>
      </c>
    </row>
    <row r="5463" ht="14.25" customHeight="1">
      <c r="A5463" s="1" t="s">
        <v>5497</v>
      </c>
      <c r="B5463" s="2">
        <v>44567.0</v>
      </c>
      <c r="C5463" s="1" t="s">
        <v>26</v>
      </c>
      <c r="D5463" s="1" t="s">
        <v>27</v>
      </c>
      <c r="E5463" s="1" t="s">
        <v>40</v>
      </c>
      <c r="F5463" s="1">
        <v>883.45</v>
      </c>
      <c r="G5463" s="1">
        <v>32.29</v>
      </c>
      <c r="H5463" s="1">
        <v>9.0</v>
      </c>
      <c r="I5463" s="1" t="s">
        <v>23</v>
      </c>
      <c r="J5463" s="1" t="s">
        <v>38</v>
      </c>
      <c r="K5463" s="1">
        <f t="shared" si="1"/>
        <v>2022</v>
      </c>
      <c r="L5463" s="1" t="str">
        <f t="shared" si="2"/>
        <v>Jan</v>
      </c>
      <c r="M5463" s="1" t="str">
        <f t="shared" si="3"/>
        <v>Profit</v>
      </c>
    </row>
    <row r="5464" ht="14.25" customHeight="1">
      <c r="A5464" s="1" t="s">
        <v>5498</v>
      </c>
      <c r="B5464" s="2">
        <v>44508.0</v>
      </c>
      <c r="C5464" s="1" t="s">
        <v>26</v>
      </c>
      <c r="D5464" s="1" t="s">
        <v>15</v>
      </c>
      <c r="E5464" s="1" t="s">
        <v>16</v>
      </c>
      <c r="F5464" s="1">
        <v>919.88</v>
      </c>
      <c r="G5464" s="1">
        <v>-29.68</v>
      </c>
      <c r="H5464" s="1">
        <v>9.0</v>
      </c>
      <c r="I5464" s="1" t="s">
        <v>23</v>
      </c>
      <c r="J5464" s="1" t="s">
        <v>24</v>
      </c>
      <c r="K5464" s="1">
        <f t="shared" si="1"/>
        <v>2021</v>
      </c>
      <c r="L5464" s="1" t="str">
        <f t="shared" si="2"/>
        <v>Nov</v>
      </c>
      <c r="M5464" s="1" t="str">
        <f t="shared" si="3"/>
        <v>Loss</v>
      </c>
    </row>
    <row r="5465" ht="14.25" customHeight="1">
      <c r="A5465" s="1" t="s">
        <v>5499</v>
      </c>
      <c r="B5465" s="2">
        <v>44563.0</v>
      </c>
      <c r="C5465" s="1" t="s">
        <v>26</v>
      </c>
      <c r="D5465" s="1" t="s">
        <v>27</v>
      </c>
      <c r="E5465" s="1" t="s">
        <v>40</v>
      </c>
      <c r="F5465" s="1">
        <v>189.2</v>
      </c>
      <c r="G5465" s="1">
        <v>271.79</v>
      </c>
      <c r="H5465" s="1">
        <v>1.0</v>
      </c>
      <c r="I5465" s="1" t="s">
        <v>23</v>
      </c>
      <c r="J5465" s="1" t="s">
        <v>38</v>
      </c>
      <c r="K5465" s="1">
        <f t="shared" si="1"/>
        <v>2022</v>
      </c>
      <c r="L5465" s="1" t="str">
        <f t="shared" si="2"/>
        <v>Jan</v>
      </c>
      <c r="M5465" s="1" t="str">
        <f t="shared" si="3"/>
        <v>Profit</v>
      </c>
    </row>
    <row r="5466" ht="14.25" customHeight="1">
      <c r="A5466" s="1" t="s">
        <v>5500</v>
      </c>
      <c r="B5466" s="2">
        <v>45154.0</v>
      </c>
      <c r="C5466" s="1" t="s">
        <v>30</v>
      </c>
      <c r="D5466" s="1" t="s">
        <v>21</v>
      </c>
      <c r="E5466" s="1" t="s">
        <v>37</v>
      </c>
      <c r="F5466" s="1">
        <v>94.25</v>
      </c>
      <c r="G5466" s="1">
        <v>115.69</v>
      </c>
      <c r="H5466" s="1">
        <v>1.0</v>
      </c>
      <c r="I5466" s="1" t="s">
        <v>17</v>
      </c>
      <c r="J5466" s="1" t="s">
        <v>38</v>
      </c>
      <c r="K5466" s="1">
        <f t="shared" si="1"/>
        <v>2023</v>
      </c>
      <c r="L5466" s="1" t="str">
        <f t="shared" si="2"/>
        <v>Aug</v>
      </c>
      <c r="M5466" s="1" t="str">
        <f t="shared" si="3"/>
        <v>Profit</v>
      </c>
    </row>
    <row r="5467" ht="14.25" customHeight="1">
      <c r="A5467" s="1" t="s">
        <v>5501</v>
      </c>
      <c r="B5467" s="2">
        <v>44893.0</v>
      </c>
      <c r="C5467" s="1" t="s">
        <v>20</v>
      </c>
      <c r="D5467" s="1" t="s">
        <v>21</v>
      </c>
      <c r="E5467" s="1" t="s">
        <v>37</v>
      </c>
      <c r="F5467" s="1">
        <v>550.39</v>
      </c>
      <c r="G5467" s="1">
        <v>76.4</v>
      </c>
      <c r="H5467" s="1">
        <v>3.0</v>
      </c>
      <c r="I5467" s="1" t="s">
        <v>23</v>
      </c>
      <c r="J5467" s="1" t="s">
        <v>24</v>
      </c>
      <c r="K5467" s="1">
        <f t="shared" si="1"/>
        <v>2022</v>
      </c>
      <c r="L5467" s="1" t="str">
        <f t="shared" si="2"/>
        <v>Nov</v>
      </c>
      <c r="M5467" s="1" t="str">
        <f t="shared" si="3"/>
        <v>Profit</v>
      </c>
    </row>
    <row r="5468" ht="14.25" customHeight="1">
      <c r="A5468" s="1" t="s">
        <v>5502</v>
      </c>
      <c r="B5468" s="2">
        <v>44256.0</v>
      </c>
      <c r="C5468" s="1" t="s">
        <v>30</v>
      </c>
      <c r="D5468" s="1" t="s">
        <v>15</v>
      </c>
      <c r="E5468" s="1" t="s">
        <v>16</v>
      </c>
      <c r="F5468" s="1">
        <v>561.74</v>
      </c>
      <c r="G5468" s="1">
        <v>237.12</v>
      </c>
      <c r="H5468" s="1">
        <v>9.0</v>
      </c>
      <c r="I5468" s="1" t="s">
        <v>34</v>
      </c>
      <c r="J5468" s="1" t="s">
        <v>18</v>
      </c>
      <c r="K5468" s="1">
        <f t="shared" si="1"/>
        <v>2021</v>
      </c>
      <c r="L5468" s="1" t="str">
        <f t="shared" si="2"/>
        <v>Mar</v>
      </c>
      <c r="M5468" s="1" t="str">
        <f t="shared" si="3"/>
        <v>Profit</v>
      </c>
    </row>
    <row r="5469" ht="14.25" customHeight="1">
      <c r="A5469" s="1" t="s">
        <v>5503</v>
      </c>
      <c r="B5469" s="2">
        <v>44916.0</v>
      </c>
      <c r="C5469" s="1" t="s">
        <v>14</v>
      </c>
      <c r="D5469" s="1" t="s">
        <v>21</v>
      </c>
      <c r="E5469" s="1" t="s">
        <v>22</v>
      </c>
      <c r="F5469" s="1">
        <v>781.93</v>
      </c>
      <c r="G5469" s="1">
        <v>212.49</v>
      </c>
      <c r="H5469" s="1">
        <v>5.0</v>
      </c>
      <c r="I5469" s="1" t="s">
        <v>34</v>
      </c>
      <c r="J5469" s="1" t="s">
        <v>24</v>
      </c>
      <c r="K5469" s="1">
        <f t="shared" si="1"/>
        <v>2022</v>
      </c>
      <c r="L5469" s="1" t="str">
        <f t="shared" si="2"/>
        <v>Dec</v>
      </c>
      <c r="M5469" s="1" t="str">
        <f t="shared" si="3"/>
        <v>Profit</v>
      </c>
    </row>
    <row r="5470" ht="14.25" customHeight="1">
      <c r="A5470" s="1" t="s">
        <v>5504</v>
      </c>
      <c r="B5470" s="2">
        <v>44709.0</v>
      </c>
      <c r="C5470" s="1" t="s">
        <v>14</v>
      </c>
      <c r="D5470" s="1" t="s">
        <v>21</v>
      </c>
      <c r="E5470" s="1" t="s">
        <v>76</v>
      </c>
      <c r="F5470" s="1">
        <v>744.65</v>
      </c>
      <c r="G5470" s="1">
        <v>-82.44</v>
      </c>
      <c r="H5470" s="1">
        <v>4.0</v>
      </c>
      <c r="I5470" s="1" t="s">
        <v>34</v>
      </c>
      <c r="J5470" s="1" t="s">
        <v>38</v>
      </c>
      <c r="K5470" s="1">
        <f t="shared" si="1"/>
        <v>2022</v>
      </c>
      <c r="L5470" s="1" t="str">
        <f t="shared" si="2"/>
        <v>May</v>
      </c>
      <c r="M5470" s="1" t="str">
        <f t="shared" si="3"/>
        <v>Loss</v>
      </c>
    </row>
    <row r="5471" ht="14.25" customHeight="1">
      <c r="A5471" s="1" t="s">
        <v>5505</v>
      </c>
      <c r="B5471" s="2">
        <v>45269.0</v>
      </c>
      <c r="C5471" s="1" t="s">
        <v>20</v>
      </c>
      <c r="D5471" s="1" t="s">
        <v>21</v>
      </c>
      <c r="E5471" s="1" t="s">
        <v>37</v>
      </c>
      <c r="F5471" s="1">
        <v>907.44</v>
      </c>
      <c r="G5471" s="1">
        <v>87.1</v>
      </c>
      <c r="H5471" s="1">
        <v>3.0</v>
      </c>
      <c r="I5471" s="1" t="s">
        <v>17</v>
      </c>
      <c r="J5471" s="1" t="s">
        <v>38</v>
      </c>
      <c r="K5471" s="1">
        <f t="shared" si="1"/>
        <v>2023</v>
      </c>
      <c r="L5471" s="1" t="str">
        <f t="shared" si="2"/>
        <v>Dec</v>
      </c>
      <c r="M5471" s="1" t="str">
        <f t="shared" si="3"/>
        <v>Profit</v>
      </c>
    </row>
    <row r="5472" ht="14.25" customHeight="1">
      <c r="A5472" s="1" t="s">
        <v>5506</v>
      </c>
      <c r="B5472" s="2">
        <v>45001.0</v>
      </c>
      <c r="C5472" s="1" t="s">
        <v>20</v>
      </c>
      <c r="D5472" s="1" t="s">
        <v>21</v>
      </c>
      <c r="E5472" s="1" t="s">
        <v>37</v>
      </c>
      <c r="F5472" s="1">
        <v>300.76</v>
      </c>
      <c r="G5472" s="1">
        <v>-9.88</v>
      </c>
      <c r="H5472" s="1">
        <v>2.0</v>
      </c>
      <c r="I5472" s="1" t="s">
        <v>17</v>
      </c>
      <c r="J5472" s="1" t="s">
        <v>35</v>
      </c>
      <c r="K5472" s="1">
        <f t="shared" si="1"/>
        <v>2023</v>
      </c>
      <c r="L5472" s="1" t="str">
        <f t="shared" si="2"/>
        <v>Mar</v>
      </c>
      <c r="M5472" s="1" t="str">
        <f t="shared" si="3"/>
        <v>Loss</v>
      </c>
    </row>
    <row r="5473" ht="14.25" customHeight="1">
      <c r="A5473" s="1" t="s">
        <v>5507</v>
      </c>
      <c r="B5473" s="2">
        <v>44487.0</v>
      </c>
      <c r="C5473" s="1" t="s">
        <v>14</v>
      </c>
      <c r="D5473" s="1" t="s">
        <v>21</v>
      </c>
      <c r="E5473" s="1" t="s">
        <v>37</v>
      </c>
      <c r="F5473" s="1">
        <v>105.15</v>
      </c>
      <c r="G5473" s="1">
        <v>202.14</v>
      </c>
      <c r="H5473" s="1">
        <v>9.0</v>
      </c>
      <c r="I5473" s="1" t="s">
        <v>17</v>
      </c>
      <c r="J5473" s="1" t="s">
        <v>18</v>
      </c>
      <c r="K5473" s="1">
        <f t="shared" si="1"/>
        <v>2021</v>
      </c>
      <c r="L5473" s="1" t="str">
        <f t="shared" si="2"/>
        <v>Oct</v>
      </c>
      <c r="M5473" s="1" t="str">
        <f t="shared" si="3"/>
        <v>Profit</v>
      </c>
    </row>
    <row r="5474" ht="14.25" customHeight="1">
      <c r="A5474" s="1" t="s">
        <v>5508</v>
      </c>
      <c r="B5474" s="2">
        <v>45025.0</v>
      </c>
      <c r="C5474" s="1" t="s">
        <v>30</v>
      </c>
      <c r="D5474" s="1" t="s">
        <v>27</v>
      </c>
      <c r="E5474" s="1" t="s">
        <v>33</v>
      </c>
      <c r="F5474" s="1">
        <v>196.68</v>
      </c>
      <c r="G5474" s="1">
        <v>117.78</v>
      </c>
      <c r="H5474" s="1">
        <v>5.0</v>
      </c>
      <c r="I5474" s="1" t="s">
        <v>17</v>
      </c>
      <c r="J5474" s="1" t="s">
        <v>38</v>
      </c>
      <c r="K5474" s="1">
        <f t="shared" si="1"/>
        <v>2023</v>
      </c>
      <c r="L5474" s="1" t="str">
        <f t="shared" si="2"/>
        <v>Apr</v>
      </c>
      <c r="M5474" s="1" t="str">
        <f t="shared" si="3"/>
        <v>Profit</v>
      </c>
    </row>
    <row r="5475" ht="14.25" customHeight="1">
      <c r="A5475" s="1" t="s">
        <v>5509</v>
      </c>
      <c r="B5475" s="2">
        <v>44665.0</v>
      </c>
      <c r="C5475" s="1" t="s">
        <v>14</v>
      </c>
      <c r="D5475" s="1" t="s">
        <v>21</v>
      </c>
      <c r="E5475" s="1" t="s">
        <v>37</v>
      </c>
      <c r="F5475" s="1">
        <v>409.33</v>
      </c>
      <c r="G5475" s="1">
        <v>54.96</v>
      </c>
      <c r="H5475" s="1">
        <v>10.0</v>
      </c>
      <c r="I5475" s="1" t="s">
        <v>23</v>
      </c>
      <c r="J5475" s="1" t="s">
        <v>35</v>
      </c>
      <c r="K5475" s="1">
        <f t="shared" si="1"/>
        <v>2022</v>
      </c>
      <c r="L5475" s="1" t="str">
        <f t="shared" si="2"/>
        <v>Apr</v>
      </c>
      <c r="M5475" s="1" t="str">
        <f t="shared" si="3"/>
        <v>Profit</v>
      </c>
    </row>
    <row r="5476" ht="14.25" customHeight="1">
      <c r="A5476" s="1" t="s">
        <v>5510</v>
      </c>
      <c r="B5476" s="2">
        <v>44797.0</v>
      </c>
      <c r="C5476" s="1" t="s">
        <v>20</v>
      </c>
      <c r="D5476" s="1" t="s">
        <v>27</v>
      </c>
      <c r="E5476" s="1" t="s">
        <v>28</v>
      </c>
      <c r="F5476" s="1">
        <v>639.79</v>
      </c>
      <c r="G5476" s="1">
        <v>244.74</v>
      </c>
      <c r="H5476" s="1">
        <v>6.0</v>
      </c>
      <c r="I5476" s="1" t="s">
        <v>23</v>
      </c>
      <c r="J5476" s="1" t="s">
        <v>38</v>
      </c>
      <c r="K5476" s="1">
        <f t="shared" si="1"/>
        <v>2022</v>
      </c>
      <c r="L5476" s="1" t="str">
        <f t="shared" si="2"/>
        <v>Aug</v>
      </c>
      <c r="M5476" s="1" t="str">
        <f t="shared" si="3"/>
        <v>Profit</v>
      </c>
    </row>
    <row r="5477" ht="14.25" customHeight="1">
      <c r="A5477" s="1" t="s">
        <v>5511</v>
      </c>
      <c r="B5477" s="2">
        <v>45008.0</v>
      </c>
      <c r="C5477" s="1" t="s">
        <v>14</v>
      </c>
      <c r="D5477" s="1" t="s">
        <v>21</v>
      </c>
      <c r="E5477" s="1" t="s">
        <v>22</v>
      </c>
      <c r="F5477" s="1">
        <v>338.41</v>
      </c>
      <c r="G5477" s="1">
        <v>34.63</v>
      </c>
      <c r="H5477" s="1">
        <v>1.0</v>
      </c>
      <c r="I5477" s="1" t="s">
        <v>17</v>
      </c>
      <c r="J5477" s="1" t="s">
        <v>24</v>
      </c>
      <c r="K5477" s="1">
        <f t="shared" si="1"/>
        <v>2023</v>
      </c>
      <c r="L5477" s="1" t="str">
        <f t="shared" si="2"/>
        <v>Mar</v>
      </c>
      <c r="M5477" s="1" t="str">
        <f t="shared" si="3"/>
        <v>Profit</v>
      </c>
    </row>
    <row r="5478" ht="14.25" customHeight="1">
      <c r="A5478" s="1" t="s">
        <v>5512</v>
      </c>
      <c r="B5478" s="2">
        <v>45192.0</v>
      </c>
      <c r="C5478" s="1" t="s">
        <v>20</v>
      </c>
      <c r="D5478" s="1" t="s">
        <v>15</v>
      </c>
      <c r="E5478" s="1" t="s">
        <v>16</v>
      </c>
      <c r="F5478" s="1">
        <v>334.47</v>
      </c>
      <c r="G5478" s="1">
        <v>235.86</v>
      </c>
      <c r="H5478" s="1">
        <v>1.0</v>
      </c>
      <c r="I5478" s="1" t="s">
        <v>23</v>
      </c>
      <c r="J5478" s="1" t="s">
        <v>35</v>
      </c>
      <c r="K5478" s="1">
        <f t="shared" si="1"/>
        <v>2023</v>
      </c>
      <c r="L5478" s="1" t="str">
        <f t="shared" si="2"/>
        <v>Sep</v>
      </c>
      <c r="M5478" s="1" t="str">
        <f t="shared" si="3"/>
        <v>Profit</v>
      </c>
    </row>
    <row r="5479" ht="14.25" customHeight="1">
      <c r="A5479" s="1" t="s">
        <v>5513</v>
      </c>
      <c r="B5479" s="2">
        <v>44959.0</v>
      </c>
      <c r="C5479" s="1" t="s">
        <v>20</v>
      </c>
      <c r="D5479" s="1" t="s">
        <v>15</v>
      </c>
      <c r="E5479" s="1" t="s">
        <v>31</v>
      </c>
      <c r="F5479" s="1">
        <v>364.0</v>
      </c>
      <c r="G5479" s="1">
        <v>-32.1</v>
      </c>
      <c r="H5479" s="1">
        <v>8.0</v>
      </c>
      <c r="I5479" s="1" t="s">
        <v>34</v>
      </c>
      <c r="J5479" s="1" t="s">
        <v>35</v>
      </c>
      <c r="K5479" s="1">
        <f t="shared" si="1"/>
        <v>2023</v>
      </c>
      <c r="L5479" s="1" t="str">
        <f t="shared" si="2"/>
        <v>Feb</v>
      </c>
      <c r="M5479" s="1" t="str">
        <f t="shared" si="3"/>
        <v>Loss</v>
      </c>
    </row>
    <row r="5480" ht="14.25" customHeight="1">
      <c r="A5480" s="1" t="s">
        <v>5514</v>
      </c>
      <c r="B5480" s="2">
        <v>45248.0</v>
      </c>
      <c r="C5480" s="1" t="s">
        <v>14</v>
      </c>
      <c r="D5480" s="1" t="s">
        <v>27</v>
      </c>
      <c r="E5480" s="1" t="s">
        <v>40</v>
      </c>
      <c r="F5480" s="1">
        <v>922.16</v>
      </c>
      <c r="G5480" s="1">
        <v>86.01</v>
      </c>
      <c r="H5480" s="1">
        <v>10.0</v>
      </c>
      <c r="I5480" s="1" t="s">
        <v>17</v>
      </c>
      <c r="J5480" s="1" t="s">
        <v>38</v>
      </c>
      <c r="K5480" s="1">
        <f t="shared" si="1"/>
        <v>2023</v>
      </c>
      <c r="L5480" s="1" t="str">
        <f t="shared" si="2"/>
        <v>Nov</v>
      </c>
      <c r="M5480" s="1" t="str">
        <f t="shared" si="3"/>
        <v>Profit</v>
      </c>
    </row>
    <row r="5481" ht="14.25" customHeight="1">
      <c r="A5481" s="1" t="s">
        <v>5515</v>
      </c>
      <c r="B5481" s="2">
        <v>44751.0</v>
      </c>
      <c r="C5481" s="1" t="s">
        <v>26</v>
      </c>
      <c r="D5481" s="1" t="s">
        <v>15</v>
      </c>
      <c r="E5481" s="1" t="s">
        <v>16</v>
      </c>
      <c r="F5481" s="1">
        <v>406.51</v>
      </c>
      <c r="G5481" s="1">
        <v>166.89</v>
      </c>
      <c r="H5481" s="1">
        <v>3.0</v>
      </c>
      <c r="I5481" s="1" t="s">
        <v>34</v>
      </c>
      <c r="J5481" s="1" t="s">
        <v>18</v>
      </c>
      <c r="K5481" s="1">
        <f t="shared" si="1"/>
        <v>2022</v>
      </c>
      <c r="L5481" s="1" t="str">
        <f t="shared" si="2"/>
        <v>Jul</v>
      </c>
      <c r="M5481" s="1" t="str">
        <f t="shared" si="3"/>
        <v>Profit</v>
      </c>
    </row>
    <row r="5482" ht="14.25" customHeight="1">
      <c r="A5482" s="1" t="s">
        <v>5516</v>
      </c>
      <c r="B5482" s="2">
        <v>44669.0</v>
      </c>
      <c r="C5482" s="1" t="s">
        <v>20</v>
      </c>
      <c r="D5482" s="1" t="s">
        <v>21</v>
      </c>
      <c r="E5482" s="1" t="s">
        <v>22</v>
      </c>
      <c r="F5482" s="1">
        <v>774.86</v>
      </c>
      <c r="G5482" s="1">
        <v>272.77</v>
      </c>
      <c r="H5482" s="1">
        <v>2.0</v>
      </c>
      <c r="I5482" s="1" t="s">
        <v>34</v>
      </c>
      <c r="J5482" s="1" t="s">
        <v>35</v>
      </c>
      <c r="K5482" s="1">
        <f t="shared" si="1"/>
        <v>2022</v>
      </c>
      <c r="L5482" s="1" t="str">
        <f t="shared" si="2"/>
        <v>Apr</v>
      </c>
      <c r="M5482" s="1" t="str">
        <f t="shared" si="3"/>
        <v>Profit</v>
      </c>
    </row>
    <row r="5483" ht="14.25" customHeight="1">
      <c r="A5483" s="1" t="s">
        <v>5517</v>
      </c>
      <c r="B5483" s="2">
        <v>44197.0</v>
      </c>
      <c r="C5483" s="1" t="s">
        <v>20</v>
      </c>
      <c r="D5483" s="1" t="s">
        <v>27</v>
      </c>
      <c r="E5483" s="1" t="s">
        <v>28</v>
      </c>
      <c r="F5483" s="1">
        <v>152.05</v>
      </c>
      <c r="G5483" s="1">
        <v>-79.48</v>
      </c>
      <c r="H5483" s="1">
        <v>1.0</v>
      </c>
      <c r="I5483" s="1" t="s">
        <v>34</v>
      </c>
      <c r="J5483" s="1" t="s">
        <v>24</v>
      </c>
      <c r="K5483" s="1">
        <f t="shared" si="1"/>
        <v>2021</v>
      </c>
      <c r="L5483" s="1" t="str">
        <f t="shared" si="2"/>
        <v>Jan</v>
      </c>
      <c r="M5483" s="1" t="str">
        <f t="shared" si="3"/>
        <v>Loss</v>
      </c>
    </row>
    <row r="5484" ht="14.25" customHeight="1">
      <c r="A5484" s="1" t="s">
        <v>5518</v>
      </c>
      <c r="B5484" s="2">
        <v>44915.0</v>
      </c>
      <c r="C5484" s="1" t="s">
        <v>20</v>
      </c>
      <c r="D5484" s="1" t="s">
        <v>15</v>
      </c>
      <c r="E5484" s="1" t="s">
        <v>54</v>
      </c>
      <c r="F5484" s="1">
        <v>164.3</v>
      </c>
      <c r="G5484" s="1">
        <v>-52.79</v>
      </c>
      <c r="H5484" s="1">
        <v>3.0</v>
      </c>
      <c r="I5484" s="1" t="s">
        <v>17</v>
      </c>
      <c r="J5484" s="1" t="s">
        <v>38</v>
      </c>
      <c r="K5484" s="1">
        <f t="shared" si="1"/>
        <v>2022</v>
      </c>
      <c r="L5484" s="1" t="str">
        <f t="shared" si="2"/>
        <v>Dec</v>
      </c>
      <c r="M5484" s="1" t="str">
        <f t="shared" si="3"/>
        <v>Loss</v>
      </c>
    </row>
    <row r="5485" ht="14.25" customHeight="1">
      <c r="A5485" s="1" t="s">
        <v>5519</v>
      </c>
      <c r="B5485" s="2">
        <v>44457.0</v>
      </c>
      <c r="C5485" s="1" t="s">
        <v>26</v>
      </c>
      <c r="D5485" s="1" t="s">
        <v>15</v>
      </c>
      <c r="E5485" s="1" t="s">
        <v>54</v>
      </c>
      <c r="F5485" s="1">
        <v>55.21</v>
      </c>
      <c r="G5485" s="1">
        <v>-179.31</v>
      </c>
      <c r="H5485" s="1">
        <v>1.0</v>
      </c>
      <c r="I5485" s="1" t="s">
        <v>23</v>
      </c>
      <c r="J5485" s="1" t="s">
        <v>38</v>
      </c>
      <c r="K5485" s="1">
        <f t="shared" si="1"/>
        <v>2021</v>
      </c>
      <c r="L5485" s="1" t="str">
        <f t="shared" si="2"/>
        <v>Sep</v>
      </c>
      <c r="M5485" s="1" t="str">
        <f t="shared" si="3"/>
        <v>Loss</v>
      </c>
    </row>
    <row r="5486" ht="14.25" customHeight="1">
      <c r="A5486" s="1" t="s">
        <v>5520</v>
      </c>
      <c r="B5486" s="2">
        <v>44567.0</v>
      </c>
      <c r="C5486" s="1" t="s">
        <v>26</v>
      </c>
      <c r="D5486" s="1" t="s">
        <v>15</v>
      </c>
      <c r="E5486" s="1" t="s">
        <v>16</v>
      </c>
      <c r="F5486" s="1">
        <v>802.61</v>
      </c>
      <c r="G5486" s="1">
        <v>248.54</v>
      </c>
      <c r="H5486" s="1">
        <v>6.0</v>
      </c>
      <c r="I5486" s="1" t="s">
        <v>17</v>
      </c>
      <c r="J5486" s="1" t="s">
        <v>38</v>
      </c>
      <c r="K5486" s="1">
        <f t="shared" si="1"/>
        <v>2022</v>
      </c>
      <c r="L5486" s="1" t="str">
        <f t="shared" si="2"/>
        <v>Jan</v>
      </c>
      <c r="M5486" s="1" t="str">
        <f t="shared" si="3"/>
        <v>Profit</v>
      </c>
    </row>
    <row r="5487" ht="14.25" customHeight="1">
      <c r="A5487" s="1" t="s">
        <v>5521</v>
      </c>
      <c r="B5487" s="2">
        <v>44508.0</v>
      </c>
      <c r="C5487" s="1" t="s">
        <v>14</v>
      </c>
      <c r="D5487" s="1" t="s">
        <v>21</v>
      </c>
      <c r="E5487" s="1" t="s">
        <v>22</v>
      </c>
      <c r="F5487" s="1">
        <v>562.37</v>
      </c>
      <c r="G5487" s="1">
        <v>180.05</v>
      </c>
      <c r="H5487" s="1">
        <v>7.0</v>
      </c>
      <c r="I5487" s="1" t="s">
        <v>23</v>
      </c>
      <c r="J5487" s="1" t="s">
        <v>38</v>
      </c>
      <c r="K5487" s="1">
        <f t="shared" si="1"/>
        <v>2021</v>
      </c>
      <c r="L5487" s="1" t="str">
        <f t="shared" si="2"/>
        <v>Nov</v>
      </c>
      <c r="M5487" s="1" t="str">
        <f t="shared" si="3"/>
        <v>Profit</v>
      </c>
    </row>
    <row r="5488" ht="14.25" customHeight="1">
      <c r="A5488" s="1" t="s">
        <v>5522</v>
      </c>
      <c r="B5488" s="2">
        <v>44521.0</v>
      </c>
      <c r="C5488" s="1" t="s">
        <v>20</v>
      </c>
      <c r="D5488" s="1" t="s">
        <v>27</v>
      </c>
      <c r="E5488" s="1" t="s">
        <v>40</v>
      </c>
      <c r="F5488" s="1">
        <v>221.36</v>
      </c>
      <c r="G5488" s="1">
        <v>-20.43</v>
      </c>
      <c r="H5488" s="1">
        <v>10.0</v>
      </c>
      <c r="I5488" s="1" t="s">
        <v>34</v>
      </c>
      <c r="J5488" s="1" t="s">
        <v>35</v>
      </c>
      <c r="K5488" s="1">
        <f t="shared" si="1"/>
        <v>2021</v>
      </c>
      <c r="L5488" s="1" t="str">
        <f t="shared" si="2"/>
        <v>Nov</v>
      </c>
      <c r="M5488" s="1" t="str">
        <f t="shared" si="3"/>
        <v>Loss</v>
      </c>
    </row>
    <row r="5489" ht="14.25" customHeight="1">
      <c r="A5489" s="1" t="s">
        <v>5523</v>
      </c>
      <c r="B5489" s="2">
        <v>44544.0</v>
      </c>
      <c r="C5489" s="1" t="s">
        <v>30</v>
      </c>
      <c r="D5489" s="1" t="s">
        <v>27</v>
      </c>
      <c r="E5489" s="1" t="s">
        <v>28</v>
      </c>
      <c r="F5489" s="1">
        <v>778.72</v>
      </c>
      <c r="G5489" s="1">
        <v>104.54</v>
      </c>
      <c r="H5489" s="1">
        <v>5.0</v>
      </c>
      <c r="I5489" s="1" t="s">
        <v>23</v>
      </c>
      <c r="J5489" s="1" t="s">
        <v>38</v>
      </c>
      <c r="K5489" s="1">
        <f t="shared" si="1"/>
        <v>2021</v>
      </c>
      <c r="L5489" s="1" t="str">
        <f t="shared" si="2"/>
        <v>Dec</v>
      </c>
      <c r="M5489" s="1" t="str">
        <f t="shared" si="3"/>
        <v>Profit</v>
      </c>
    </row>
    <row r="5490" ht="14.25" customHeight="1">
      <c r="A5490" s="1" t="s">
        <v>5524</v>
      </c>
      <c r="B5490" s="2">
        <v>44437.0</v>
      </c>
      <c r="C5490" s="1" t="s">
        <v>14</v>
      </c>
      <c r="D5490" s="1" t="s">
        <v>27</v>
      </c>
      <c r="E5490" s="1" t="s">
        <v>33</v>
      </c>
      <c r="F5490" s="1">
        <v>345.97</v>
      </c>
      <c r="G5490" s="1">
        <v>66.7</v>
      </c>
      <c r="H5490" s="1">
        <v>5.0</v>
      </c>
      <c r="I5490" s="1" t="s">
        <v>34</v>
      </c>
      <c r="J5490" s="1" t="s">
        <v>38</v>
      </c>
      <c r="K5490" s="1">
        <f t="shared" si="1"/>
        <v>2021</v>
      </c>
      <c r="L5490" s="1" t="str">
        <f t="shared" si="2"/>
        <v>Aug</v>
      </c>
      <c r="M5490" s="1" t="str">
        <f t="shared" si="3"/>
        <v>Profit</v>
      </c>
    </row>
    <row r="5491" ht="14.25" customHeight="1">
      <c r="A5491" s="1" t="s">
        <v>5525</v>
      </c>
      <c r="B5491" s="2">
        <v>44900.0</v>
      </c>
      <c r="C5491" s="1" t="s">
        <v>30</v>
      </c>
      <c r="D5491" s="1" t="s">
        <v>27</v>
      </c>
      <c r="E5491" s="1" t="s">
        <v>40</v>
      </c>
      <c r="F5491" s="1">
        <v>978.95</v>
      </c>
      <c r="G5491" s="1">
        <v>104.94</v>
      </c>
      <c r="H5491" s="1">
        <v>10.0</v>
      </c>
      <c r="I5491" s="1" t="s">
        <v>34</v>
      </c>
      <c r="J5491" s="1" t="s">
        <v>35</v>
      </c>
      <c r="K5491" s="1">
        <f t="shared" si="1"/>
        <v>2022</v>
      </c>
      <c r="L5491" s="1" t="str">
        <f t="shared" si="2"/>
        <v>Dec</v>
      </c>
      <c r="M5491" s="1" t="str">
        <f t="shared" si="3"/>
        <v>Profit</v>
      </c>
    </row>
    <row r="5492" ht="14.25" customHeight="1">
      <c r="A5492" s="1" t="s">
        <v>5526</v>
      </c>
      <c r="B5492" s="2">
        <v>44517.0</v>
      </c>
      <c r="C5492" s="1" t="s">
        <v>14</v>
      </c>
      <c r="D5492" s="1" t="s">
        <v>21</v>
      </c>
      <c r="E5492" s="1" t="s">
        <v>37</v>
      </c>
      <c r="F5492" s="1">
        <v>994.56</v>
      </c>
      <c r="G5492" s="1">
        <v>-11.6</v>
      </c>
      <c r="H5492" s="1">
        <v>4.0</v>
      </c>
      <c r="I5492" s="1" t="s">
        <v>23</v>
      </c>
      <c r="J5492" s="1" t="s">
        <v>24</v>
      </c>
      <c r="K5492" s="1">
        <f t="shared" si="1"/>
        <v>2021</v>
      </c>
      <c r="L5492" s="1" t="str">
        <f t="shared" si="2"/>
        <v>Nov</v>
      </c>
      <c r="M5492" s="1" t="str">
        <f t="shared" si="3"/>
        <v>Loss</v>
      </c>
    </row>
    <row r="5493" ht="14.25" customHeight="1">
      <c r="A5493" s="1" t="s">
        <v>5527</v>
      </c>
      <c r="B5493" s="2">
        <v>45043.0</v>
      </c>
      <c r="C5493" s="1" t="s">
        <v>14</v>
      </c>
      <c r="D5493" s="1" t="s">
        <v>21</v>
      </c>
      <c r="E5493" s="1" t="s">
        <v>22</v>
      </c>
      <c r="F5493" s="1">
        <v>200.83</v>
      </c>
      <c r="G5493" s="1">
        <v>26.16</v>
      </c>
      <c r="H5493" s="1">
        <v>3.0</v>
      </c>
      <c r="I5493" s="1" t="s">
        <v>17</v>
      </c>
      <c r="J5493" s="1" t="s">
        <v>24</v>
      </c>
      <c r="K5493" s="1">
        <f t="shared" si="1"/>
        <v>2023</v>
      </c>
      <c r="L5493" s="1" t="str">
        <f t="shared" si="2"/>
        <v>Apr</v>
      </c>
      <c r="M5493" s="1" t="str">
        <f t="shared" si="3"/>
        <v>Profit</v>
      </c>
    </row>
    <row r="5494" ht="14.25" customHeight="1">
      <c r="A5494" s="1" t="s">
        <v>5528</v>
      </c>
      <c r="B5494" s="2">
        <v>44240.0</v>
      </c>
      <c r="C5494" s="1" t="s">
        <v>30</v>
      </c>
      <c r="D5494" s="1" t="s">
        <v>21</v>
      </c>
      <c r="E5494" s="1" t="s">
        <v>22</v>
      </c>
      <c r="F5494" s="1">
        <v>306.59</v>
      </c>
      <c r="G5494" s="1">
        <v>-176.16</v>
      </c>
      <c r="H5494" s="1">
        <v>9.0</v>
      </c>
      <c r="I5494" s="1" t="s">
        <v>34</v>
      </c>
      <c r="J5494" s="1" t="s">
        <v>24</v>
      </c>
      <c r="K5494" s="1">
        <f t="shared" si="1"/>
        <v>2021</v>
      </c>
      <c r="L5494" s="1" t="str">
        <f t="shared" si="2"/>
        <v>Feb</v>
      </c>
      <c r="M5494" s="1" t="str">
        <f t="shared" si="3"/>
        <v>Loss</v>
      </c>
    </row>
    <row r="5495" ht="14.25" customHeight="1">
      <c r="A5495" s="1" t="s">
        <v>5529</v>
      </c>
      <c r="B5495" s="2">
        <v>44955.0</v>
      </c>
      <c r="C5495" s="1" t="s">
        <v>14</v>
      </c>
      <c r="D5495" s="1" t="s">
        <v>27</v>
      </c>
      <c r="E5495" s="1" t="s">
        <v>28</v>
      </c>
      <c r="F5495" s="1">
        <v>642.71</v>
      </c>
      <c r="G5495" s="1">
        <v>-170.08</v>
      </c>
      <c r="H5495" s="1">
        <v>2.0</v>
      </c>
      <c r="I5495" s="1" t="s">
        <v>34</v>
      </c>
      <c r="J5495" s="1" t="s">
        <v>38</v>
      </c>
      <c r="K5495" s="1">
        <f t="shared" si="1"/>
        <v>2023</v>
      </c>
      <c r="L5495" s="1" t="str">
        <f t="shared" si="2"/>
        <v>Jan</v>
      </c>
      <c r="M5495" s="1" t="str">
        <f t="shared" si="3"/>
        <v>Loss</v>
      </c>
    </row>
    <row r="5496" ht="14.25" customHeight="1">
      <c r="A5496" s="1" t="s">
        <v>5530</v>
      </c>
      <c r="B5496" s="2">
        <v>44969.0</v>
      </c>
      <c r="C5496" s="1" t="s">
        <v>26</v>
      </c>
      <c r="D5496" s="1" t="s">
        <v>21</v>
      </c>
      <c r="E5496" s="1" t="s">
        <v>76</v>
      </c>
      <c r="F5496" s="1">
        <v>942.68</v>
      </c>
      <c r="G5496" s="1">
        <v>-57.76</v>
      </c>
      <c r="H5496" s="1">
        <v>6.0</v>
      </c>
      <c r="I5496" s="1" t="s">
        <v>34</v>
      </c>
      <c r="J5496" s="1" t="s">
        <v>18</v>
      </c>
      <c r="K5496" s="1">
        <f t="shared" si="1"/>
        <v>2023</v>
      </c>
      <c r="L5496" s="1" t="str">
        <f t="shared" si="2"/>
        <v>Feb</v>
      </c>
      <c r="M5496" s="1" t="str">
        <f t="shared" si="3"/>
        <v>Loss</v>
      </c>
    </row>
    <row r="5497" ht="14.25" customHeight="1">
      <c r="A5497" s="1" t="s">
        <v>5531</v>
      </c>
      <c r="B5497" s="2">
        <v>44508.0</v>
      </c>
      <c r="C5497" s="1" t="s">
        <v>14</v>
      </c>
      <c r="D5497" s="1" t="s">
        <v>21</v>
      </c>
      <c r="E5497" s="1" t="s">
        <v>22</v>
      </c>
      <c r="F5497" s="1">
        <v>603.53</v>
      </c>
      <c r="G5497" s="1">
        <v>-51.63</v>
      </c>
      <c r="H5497" s="1">
        <v>5.0</v>
      </c>
      <c r="I5497" s="1" t="s">
        <v>34</v>
      </c>
      <c r="J5497" s="1" t="s">
        <v>24</v>
      </c>
      <c r="K5497" s="1">
        <f t="shared" si="1"/>
        <v>2021</v>
      </c>
      <c r="L5497" s="1" t="str">
        <f t="shared" si="2"/>
        <v>Nov</v>
      </c>
      <c r="M5497" s="1" t="str">
        <f t="shared" si="3"/>
        <v>Loss</v>
      </c>
    </row>
    <row r="5498" ht="14.25" customHeight="1">
      <c r="A5498" s="1" t="s">
        <v>5532</v>
      </c>
      <c r="B5498" s="2">
        <v>44533.0</v>
      </c>
      <c r="C5498" s="1" t="s">
        <v>30</v>
      </c>
      <c r="D5498" s="1" t="s">
        <v>15</v>
      </c>
      <c r="E5498" s="1" t="s">
        <v>54</v>
      </c>
      <c r="F5498" s="1">
        <v>902.58</v>
      </c>
      <c r="G5498" s="1">
        <v>222.05</v>
      </c>
      <c r="H5498" s="1">
        <v>2.0</v>
      </c>
      <c r="I5498" s="1" t="s">
        <v>17</v>
      </c>
      <c r="J5498" s="1" t="s">
        <v>18</v>
      </c>
      <c r="K5498" s="1">
        <f t="shared" si="1"/>
        <v>2021</v>
      </c>
      <c r="L5498" s="1" t="str">
        <f t="shared" si="2"/>
        <v>Dec</v>
      </c>
      <c r="M5498" s="1" t="str">
        <f t="shared" si="3"/>
        <v>Profit</v>
      </c>
    </row>
    <row r="5499" ht="14.25" customHeight="1">
      <c r="A5499" s="1" t="s">
        <v>5533</v>
      </c>
      <c r="B5499" s="2">
        <v>45284.0</v>
      </c>
      <c r="C5499" s="1" t="s">
        <v>14</v>
      </c>
      <c r="D5499" s="1" t="s">
        <v>27</v>
      </c>
      <c r="E5499" s="1" t="s">
        <v>40</v>
      </c>
      <c r="F5499" s="1">
        <v>985.97</v>
      </c>
      <c r="G5499" s="1">
        <v>-142.44</v>
      </c>
      <c r="H5499" s="1">
        <v>7.0</v>
      </c>
      <c r="I5499" s="1" t="s">
        <v>34</v>
      </c>
      <c r="J5499" s="1" t="s">
        <v>24</v>
      </c>
      <c r="K5499" s="1">
        <f t="shared" si="1"/>
        <v>2023</v>
      </c>
      <c r="L5499" s="1" t="str">
        <f t="shared" si="2"/>
        <v>Dec</v>
      </c>
      <c r="M5499" s="1" t="str">
        <f t="shared" si="3"/>
        <v>Loss</v>
      </c>
    </row>
    <row r="5500" ht="14.25" customHeight="1">
      <c r="A5500" s="1" t="s">
        <v>5534</v>
      </c>
      <c r="B5500" s="2">
        <v>44454.0</v>
      </c>
      <c r="C5500" s="1" t="s">
        <v>26</v>
      </c>
      <c r="D5500" s="1" t="s">
        <v>15</v>
      </c>
      <c r="E5500" s="1" t="s">
        <v>16</v>
      </c>
      <c r="F5500" s="1">
        <v>579.94</v>
      </c>
      <c r="G5500" s="1">
        <v>-103.38</v>
      </c>
      <c r="H5500" s="1">
        <v>10.0</v>
      </c>
      <c r="I5500" s="1" t="s">
        <v>34</v>
      </c>
      <c r="J5500" s="1" t="s">
        <v>24</v>
      </c>
      <c r="K5500" s="1">
        <f t="shared" si="1"/>
        <v>2021</v>
      </c>
      <c r="L5500" s="1" t="str">
        <f t="shared" si="2"/>
        <v>Sep</v>
      </c>
      <c r="M5500" s="1" t="str">
        <f t="shared" si="3"/>
        <v>Loss</v>
      </c>
    </row>
    <row r="5501" ht="14.25" customHeight="1">
      <c r="A5501" s="1" t="s">
        <v>5535</v>
      </c>
      <c r="B5501" s="2">
        <v>44923.0</v>
      </c>
      <c r="C5501" s="1" t="s">
        <v>26</v>
      </c>
      <c r="D5501" s="1" t="s">
        <v>27</v>
      </c>
      <c r="E5501" s="1" t="s">
        <v>28</v>
      </c>
      <c r="F5501" s="1">
        <v>867.96</v>
      </c>
      <c r="G5501" s="1">
        <v>136.67</v>
      </c>
      <c r="H5501" s="1">
        <v>8.0</v>
      </c>
      <c r="I5501" s="1" t="s">
        <v>23</v>
      </c>
      <c r="J5501" s="1" t="s">
        <v>35</v>
      </c>
      <c r="K5501" s="1">
        <f t="shared" si="1"/>
        <v>2022</v>
      </c>
      <c r="L5501" s="1" t="str">
        <f t="shared" si="2"/>
        <v>Dec</v>
      </c>
      <c r="M5501" s="1" t="str">
        <f t="shared" si="3"/>
        <v>Profit</v>
      </c>
    </row>
    <row r="5502" ht="14.25" customHeight="1">
      <c r="A5502" s="1" t="s">
        <v>5536</v>
      </c>
      <c r="B5502" s="2">
        <v>44783.0</v>
      </c>
      <c r="C5502" s="1" t="s">
        <v>30</v>
      </c>
      <c r="D5502" s="1" t="s">
        <v>21</v>
      </c>
      <c r="E5502" s="1" t="s">
        <v>22</v>
      </c>
      <c r="F5502" s="1">
        <v>740.06</v>
      </c>
      <c r="G5502" s="1">
        <v>-98.79</v>
      </c>
      <c r="H5502" s="1">
        <v>5.0</v>
      </c>
      <c r="I5502" s="1" t="s">
        <v>34</v>
      </c>
      <c r="J5502" s="1" t="s">
        <v>18</v>
      </c>
      <c r="K5502" s="1">
        <f t="shared" si="1"/>
        <v>2022</v>
      </c>
      <c r="L5502" s="1" t="str">
        <f t="shared" si="2"/>
        <v>Aug</v>
      </c>
      <c r="M5502" s="1" t="str">
        <f t="shared" si="3"/>
        <v>Loss</v>
      </c>
    </row>
    <row r="5503" ht="14.25" customHeight="1">
      <c r="A5503" s="1" t="s">
        <v>5537</v>
      </c>
      <c r="B5503" s="2">
        <v>44607.0</v>
      </c>
      <c r="C5503" s="1" t="s">
        <v>20</v>
      </c>
      <c r="D5503" s="1" t="s">
        <v>21</v>
      </c>
      <c r="E5503" s="1" t="s">
        <v>37</v>
      </c>
      <c r="F5503" s="1">
        <v>450.71</v>
      </c>
      <c r="G5503" s="1">
        <v>120.31</v>
      </c>
      <c r="H5503" s="1">
        <v>8.0</v>
      </c>
      <c r="I5503" s="1" t="s">
        <v>23</v>
      </c>
      <c r="J5503" s="1" t="s">
        <v>24</v>
      </c>
      <c r="K5503" s="1">
        <f t="shared" si="1"/>
        <v>2022</v>
      </c>
      <c r="L5503" s="1" t="str">
        <f t="shared" si="2"/>
        <v>Feb</v>
      </c>
      <c r="M5503" s="1" t="str">
        <f t="shared" si="3"/>
        <v>Profit</v>
      </c>
    </row>
    <row r="5504" ht="14.25" customHeight="1">
      <c r="A5504" s="1" t="s">
        <v>5538</v>
      </c>
      <c r="B5504" s="2">
        <v>44222.0</v>
      </c>
      <c r="C5504" s="1" t="s">
        <v>30</v>
      </c>
      <c r="D5504" s="1" t="s">
        <v>21</v>
      </c>
      <c r="E5504" s="1" t="s">
        <v>37</v>
      </c>
      <c r="F5504" s="1">
        <v>534.93</v>
      </c>
      <c r="G5504" s="1">
        <v>211.14</v>
      </c>
      <c r="H5504" s="1">
        <v>8.0</v>
      </c>
      <c r="I5504" s="1" t="s">
        <v>34</v>
      </c>
      <c r="J5504" s="1" t="s">
        <v>38</v>
      </c>
      <c r="K5504" s="1">
        <f t="shared" si="1"/>
        <v>2021</v>
      </c>
      <c r="L5504" s="1" t="str">
        <f t="shared" si="2"/>
        <v>Jan</v>
      </c>
      <c r="M5504" s="1" t="str">
        <f t="shared" si="3"/>
        <v>Profit</v>
      </c>
    </row>
    <row r="5505" ht="14.25" customHeight="1">
      <c r="A5505" s="1" t="s">
        <v>5539</v>
      </c>
      <c r="B5505" s="2">
        <v>44253.0</v>
      </c>
      <c r="C5505" s="1" t="s">
        <v>30</v>
      </c>
      <c r="D5505" s="1" t="s">
        <v>21</v>
      </c>
      <c r="E5505" s="1" t="s">
        <v>37</v>
      </c>
      <c r="F5505" s="1">
        <v>757.97</v>
      </c>
      <c r="G5505" s="1">
        <v>-102.47</v>
      </c>
      <c r="H5505" s="1">
        <v>10.0</v>
      </c>
      <c r="I5505" s="1" t="s">
        <v>23</v>
      </c>
      <c r="J5505" s="1" t="s">
        <v>18</v>
      </c>
      <c r="K5505" s="1">
        <f t="shared" si="1"/>
        <v>2021</v>
      </c>
      <c r="L5505" s="1" t="str">
        <f t="shared" si="2"/>
        <v>Feb</v>
      </c>
      <c r="M5505" s="1" t="str">
        <f t="shared" si="3"/>
        <v>Loss</v>
      </c>
    </row>
    <row r="5506" ht="14.25" customHeight="1">
      <c r="A5506" s="1" t="s">
        <v>5540</v>
      </c>
      <c r="B5506" s="2">
        <v>44964.0</v>
      </c>
      <c r="C5506" s="1" t="s">
        <v>30</v>
      </c>
      <c r="D5506" s="1" t="s">
        <v>21</v>
      </c>
      <c r="E5506" s="1" t="s">
        <v>22</v>
      </c>
      <c r="F5506" s="1">
        <v>334.37</v>
      </c>
      <c r="G5506" s="1">
        <v>-177.22</v>
      </c>
      <c r="H5506" s="1">
        <v>5.0</v>
      </c>
      <c r="I5506" s="1" t="s">
        <v>34</v>
      </c>
      <c r="J5506" s="1" t="s">
        <v>24</v>
      </c>
      <c r="K5506" s="1">
        <f t="shared" si="1"/>
        <v>2023</v>
      </c>
      <c r="L5506" s="1" t="str">
        <f t="shared" si="2"/>
        <v>Feb</v>
      </c>
      <c r="M5506" s="1" t="str">
        <f t="shared" si="3"/>
        <v>Loss</v>
      </c>
    </row>
    <row r="5507" ht="14.25" customHeight="1">
      <c r="A5507" s="1" t="s">
        <v>5541</v>
      </c>
      <c r="B5507" s="2">
        <v>45113.0</v>
      </c>
      <c r="C5507" s="1" t="s">
        <v>20</v>
      </c>
      <c r="D5507" s="1" t="s">
        <v>27</v>
      </c>
      <c r="E5507" s="1" t="s">
        <v>40</v>
      </c>
      <c r="F5507" s="1">
        <v>680.65</v>
      </c>
      <c r="G5507" s="1">
        <v>278.74</v>
      </c>
      <c r="H5507" s="1">
        <v>10.0</v>
      </c>
      <c r="I5507" s="1" t="s">
        <v>34</v>
      </c>
      <c r="J5507" s="1" t="s">
        <v>24</v>
      </c>
      <c r="K5507" s="1">
        <f t="shared" si="1"/>
        <v>2023</v>
      </c>
      <c r="L5507" s="1" t="str">
        <f t="shared" si="2"/>
        <v>Jul</v>
      </c>
      <c r="M5507" s="1" t="str">
        <f t="shared" si="3"/>
        <v>Profit</v>
      </c>
    </row>
    <row r="5508" ht="14.25" customHeight="1">
      <c r="A5508" s="1" t="s">
        <v>5542</v>
      </c>
      <c r="B5508" s="2">
        <v>44332.0</v>
      </c>
      <c r="C5508" s="1" t="s">
        <v>30</v>
      </c>
      <c r="D5508" s="1" t="s">
        <v>15</v>
      </c>
      <c r="E5508" s="1" t="s">
        <v>31</v>
      </c>
      <c r="F5508" s="1">
        <v>399.88</v>
      </c>
      <c r="G5508" s="1">
        <v>117.64</v>
      </c>
      <c r="H5508" s="1">
        <v>10.0</v>
      </c>
      <c r="I5508" s="1" t="s">
        <v>17</v>
      </c>
      <c r="J5508" s="1" t="s">
        <v>35</v>
      </c>
      <c r="K5508" s="1">
        <f t="shared" si="1"/>
        <v>2021</v>
      </c>
      <c r="L5508" s="1" t="str">
        <f t="shared" si="2"/>
        <v>May</v>
      </c>
      <c r="M5508" s="1" t="str">
        <f t="shared" si="3"/>
        <v>Profit</v>
      </c>
    </row>
    <row r="5509" ht="14.25" customHeight="1">
      <c r="A5509" s="1" t="s">
        <v>5543</v>
      </c>
      <c r="B5509" s="2">
        <v>45220.0</v>
      </c>
      <c r="C5509" s="1" t="s">
        <v>26</v>
      </c>
      <c r="D5509" s="1" t="s">
        <v>21</v>
      </c>
      <c r="E5509" s="1" t="s">
        <v>22</v>
      </c>
      <c r="F5509" s="1">
        <v>739.97</v>
      </c>
      <c r="G5509" s="1">
        <v>108.28</v>
      </c>
      <c r="H5509" s="1">
        <v>6.0</v>
      </c>
      <c r="I5509" s="1" t="s">
        <v>17</v>
      </c>
      <c r="J5509" s="1" t="s">
        <v>18</v>
      </c>
      <c r="K5509" s="1">
        <f t="shared" si="1"/>
        <v>2023</v>
      </c>
      <c r="L5509" s="1" t="str">
        <f t="shared" si="2"/>
        <v>Oct</v>
      </c>
      <c r="M5509" s="1" t="str">
        <f t="shared" si="3"/>
        <v>Profit</v>
      </c>
    </row>
    <row r="5510" ht="14.25" customHeight="1">
      <c r="A5510" s="1" t="s">
        <v>5544</v>
      </c>
      <c r="B5510" s="2">
        <v>45266.0</v>
      </c>
      <c r="C5510" s="1" t="s">
        <v>14</v>
      </c>
      <c r="D5510" s="1" t="s">
        <v>27</v>
      </c>
      <c r="E5510" s="1" t="s">
        <v>28</v>
      </c>
      <c r="F5510" s="1">
        <v>876.44</v>
      </c>
      <c r="G5510" s="1">
        <v>-116.89</v>
      </c>
      <c r="H5510" s="1">
        <v>4.0</v>
      </c>
      <c r="I5510" s="1" t="s">
        <v>34</v>
      </c>
      <c r="J5510" s="1" t="s">
        <v>35</v>
      </c>
      <c r="K5510" s="1">
        <f t="shared" si="1"/>
        <v>2023</v>
      </c>
      <c r="L5510" s="1" t="str">
        <f t="shared" si="2"/>
        <v>Dec</v>
      </c>
      <c r="M5510" s="1" t="str">
        <f t="shared" si="3"/>
        <v>Loss</v>
      </c>
    </row>
    <row r="5511" ht="14.25" customHeight="1">
      <c r="A5511" s="1" t="s">
        <v>5545</v>
      </c>
      <c r="B5511" s="2">
        <v>45152.0</v>
      </c>
      <c r="C5511" s="1" t="s">
        <v>30</v>
      </c>
      <c r="D5511" s="1" t="s">
        <v>21</v>
      </c>
      <c r="E5511" s="1" t="s">
        <v>37</v>
      </c>
      <c r="F5511" s="1">
        <v>795.13</v>
      </c>
      <c r="G5511" s="1">
        <v>165.07</v>
      </c>
      <c r="H5511" s="1">
        <v>7.0</v>
      </c>
      <c r="I5511" s="1" t="s">
        <v>23</v>
      </c>
      <c r="J5511" s="1" t="s">
        <v>24</v>
      </c>
      <c r="K5511" s="1">
        <f t="shared" si="1"/>
        <v>2023</v>
      </c>
      <c r="L5511" s="1" t="str">
        <f t="shared" si="2"/>
        <v>Aug</v>
      </c>
      <c r="M5511" s="1" t="str">
        <f t="shared" si="3"/>
        <v>Profit</v>
      </c>
    </row>
    <row r="5512" ht="14.25" customHeight="1">
      <c r="A5512" s="1" t="s">
        <v>5546</v>
      </c>
      <c r="B5512" s="2">
        <v>44610.0</v>
      </c>
      <c r="C5512" s="1" t="s">
        <v>30</v>
      </c>
      <c r="D5512" s="1" t="s">
        <v>27</v>
      </c>
      <c r="E5512" s="1" t="s">
        <v>33</v>
      </c>
      <c r="F5512" s="1">
        <v>828.23</v>
      </c>
      <c r="G5512" s="1">
        <v>-91.55</v>
      </c>
      <c r="H5512" s="1">
        <v>6.0</v>
      </c>
      <c r="I5512" s="1" t="s">
        <v>17</v>
      </c>
      <c r="J5512" s="1" t="s">
        <v>24</v>
      </c>
      <c r="K5512" s="1">
        <f t="shared" si="1"/>
        <v>2022</v>
      </c>
      <c r="L5512" s="1" t="str">
        <f t="shared" si="2"/>
        <v>Feb</v>
      </c>
      <c r="M5512" s="1" t="str">
        <f t="shared" si="3"/>
        <v>Loss</v>
      </c>
    </row>
    <row r="5513" ht="14.25" customHeight="1">
      <c r="A5513" s="1" t="s">
        <v>5547</v>
      </c>
      <c r="B5513" s="2">
        <v>44482.0</v>
      </c>
      <c r="C5513" s="1" t="s">
        <v>26</v>
      </c>
      <c r="D5513" s="1" t="s">
        <v>15</v>
      </c>
      <c r="E5513" s="1" t="s">
        <v>31</v>
      </c>
      <c r="F5513" s="1">
        <v>257.9</v>
      </c>
      <c r="G5513" s="1">
        <v>-149.14</v>
      </c>
      <c r="H5513" s="1">
        <v>4.0</v>
      </c>
      <c r="I5513" s="1" t="s">
        <v>23</v>
      </c>
      <c r="J5513" s="1" t="s">
        <v>24</v>
      </c>
      <c r="K5513" s="1">
        <f t="shared" si="1"/>
        <v>2021</v>
      </c>
      <c r="L5513" s="1" t="str">
        <f t="shared" si="2"/>
        <v>Oct</v>
      </c>
      <c r="M5513" s="1" t="str">
        <f t="shared" si="3"/>
        <v>Loss</v>
      </c>
    </row>
    <row r="5514" ht="14.25" customHeight="1">
      <c r="A5514" s="1" t="s">
        <v>5548</v>
      </c>
      <c r="B5514" s="2">
        <v>45027.0</v>
      </c>
      <c r="C5514" s="1" t="s">
        <v>26</v>
      </c>
      <c r="D5514" s="1" t="s">
        <v>15</v>
      </c>
      <c r="E5514" s="1" t="s">
        <v>54</v>
      </c>
      <c r="F5514" s="1">
        <v>554.69</v>
      </c>
      <c r="G5514" s="1">
        <v>194.01</v>
      </c>
      <c r="H5514" s="1">
        <v>7.0</v>
      </c>
      <c r="I5514" s="1" t="s">
        <v>23</v>
      </c>
      <c r="J5514" s="1" t="s">
        <v>35</v>
      </c>
      <c r="K5514" s="1">
        <f t="shared" si="1"/>
        <v>2023</v>
      </c>
      <c r="L5514" s="1" t="str">
        <f t="shared" si="2"/>
        <v>Apr</v>
      </c>
      <c r="M5514" s="1" t="str">
        <f t="shared" si="3"/>
        <v>Profit</v>
      </c>
    </row>
    <row r="5515" ht="14.25" customHeight="1">
      <c r="A5515" s="1" t="s">
        <v>5549</v>
      </c>
      <c r="B5515" s="2">
        <v>44718.0</v>
      </c>
      <c r="C5515" s="1" t="s">
        <v>26</v>
      </c>
      <c r="D5515" s="1" t="s">
        <v>21</v>
      </c>
      <c r="E5515" s="1" t="s">
        <v>37</v>
      </c>
      <c r="F5515" s="1">
        <v>79.06</v>
      </c>
      <c r="G5515" s="1">
        <v>218.42</v>
      </c>
      <c r="H5515" s="1">
        <v>3.0</v>
      </c>
      <c r="I5515" s="1" t="s">
        <v>23</v>
      </c>
      <c r="J5515" s="1" t="s">
        <v>24</v>
      </c>
      <c r="K5515" s="1">
        <f t="shared" si="1"/>
        <v>2022</v>
      </c>
      <c r="L5515" s="1" t="str">
        <f t="shared" si="2"/>
        <v>Jun</v>
      </c>
      <c r="M5515" s="1" t="str">
        <f t="shared" si="3"/>
        <v>Profit</v>
      </c>
    </row>
    <row r="5516" ht="14.25" customHeight="1">
      <c r="A5516" s="1" t="s">
        <v>5550</v>
      </c>
      <c r="B5516" s="2">
        <v>45232.0</v>
      </c>
      <c r="C5516" s="1" t="s">
        <v>30</v>
      </c>
      <c r="D5516" s="1" t="s">
        <v>27</v>
      </c>
      <c r="E5516" s="1" t="s">
        <v>40</v>
      </c>
      <c r="F5516" s="1">
        <v>980.25</v>
      </c>
      <c r="G5516" s="1">
        <v>256.37</v>
      </c>
      <c r="H5516" s="1">
        <v>4.0</v>
      </c>
      <c r="I5516" s="1" t="s">
        <v>17</v>
      </c>
      <c r="J5516" s="1" t="s">
        <v>38</v>
      </c>
      <c r="K5516" s="1">
        <f t="shared" si="1"/>
        <v>2023</v>
      </c>
      <c r="L5516" s="1" t="str">
        <f t="shared" si="2"/>
        <v>Nov</v>
      </c>
      <c r="M5516" s="1" t="str">
        <f t="shared" si="3"/>
        <v>Profit</v>
      </c>
    </row>
    <row r="5517" ht="14.25" customHeight="1">
      <c r="A5517" s="1" t="s">
        <v>5551</v>
      </c>
      <c r="B5517" s="2">
        <v>45259.0</v>
      </c>
      <c r="C5517" s="1" t="s">
        <v>30</v>
      </c>
      <c r="D5517" s="1" t="s">
        <v>27</v>
      </c>
      <c r="E5517" s="1" t="s">
        <v>40</v>
      </c>
      <c r="F5517" s="1">
        <v>20.87</v>
      </c>
      <c r="G5517" s="1">
        <v>28.28</v>
      </c>
      <c r="H5517" s="1">
        <v>6.0</v>
      </c>
      <c r="I5517" s="1" t="s">
        <v>23</v>
      </c>
      <c r="J5517" s="1" t="s">
        <v>35</v>
      </c>
      <c r="K5517" s="1">
        <f t="shared" si="1"/>
        <v>2023</v>
      </c>
      <c r="L5517" s="1" t="str">
        <f t="shared" si="2"/>
        <v>Nov</v>
      </c>
      <c r="M5517" s="1" t="str">
        <f t="shared" si="3"/>
        <v>Profit</v>
      </c>
    </row>
    <row r="5518" ht="14.25" customHeight="1">
      <c r="A5518" s="1" t="s">
        <v>5552</v>
      </c>
      <c r="B5518" s="2">
        <v>44541.0</v>
      </c>
      <c r="C5518" s="1" t="s">
        <v>30</v>
      </c>
      <c r="D5518" s="1" t="s">
        <v>15</v>
      </c>
      <c r="E5518" s="1" t="s">
        <v>31</v>
      </c>
      <c r="F5518" s="1">
        <v>729.24</v>
      </c>
      <c r="G5518" s="1">
        <v>-127.32</v>
      </c>
      <c r="H5518" s="1">
        <v>9.0</v>
      </c>
      <c r="I5518" s="1" t="s">
        <v>34</v>
      </c>
      <c r="J5518" s="1" t="s">
        <v>24</v>
      </c>
      <c r="K5518" s="1">
        <f t="shared" si="1"/>
        <v>2021</v>
      </c>
      <c r="L5518" s="1" t="str">
        <f t="shared" si="2"/>
        <v>Dec</v>
      </c>
      <c r="M5518" s="1" t="str">
        <f t="shared" si="3"/>
        <v>Loss</v>
      </c>
    </row>
    <row r="5519" ht="14.25" customHeight="1">
      <c r="A5519" s="1" t="s">
        <v>5553</v>
      </c>
      <c r="B5519" s="2">
        <v>44903.0</v>
      </c>
      <c r="C5519" s="1" t="s">
        <v>20</v>
      </c>
      <c r="D5519" s="1" t="s">
        <v>27</v>
      </c>
      <c r="E5519" s="1" t="s">
        <v>33</v>
      </c>
      <c r="F5519" s="1">
        <v>916.33</v>
      </c>
      <c r="G5519" s="1">
        <v>-128.71</v>
      </c>
      <c r="H5519" s="1">
        <v>3.0</v>
      </c>
      <c r="I5519" s="1" t="s">
        <v>23</v>
      </c>
      <c r="J5519" s="1" t="s">
        <v>24</v>
      </c>
      <c r="K5519" s="1">
        <f t="shared" si="1"/>
        <v>2022</v>
      </c>
      <c r="L5519" s="1" t="str">
        <f t="shared" si="2"/>
        <v>Dec</v>
      </c>
      <c r="M5519" s="1" t="str">
        <f t="shared" si="3"/>
        <v>Loss</v>
      </c>
    </row>
    <row r="5520" ht="14.25" customHeight="1">
      <c r="A5520" s="1" t="s">
        <v>5554</v>
      </c>
      <c r="B5520" s="2">
        <v>44463.0</v>
      </c>
      <c r="C5520" s="1" t="s">
        <v>30</v>
      </c>
      <c r="D5520" s="1" t="s">
        <v>21</v>
      </c>
      <c r="E5520" s="1" t="s">
        <v>76</v>
      </c>
      <c r="F5520" s="1">
        <v>913.98</v>
      </c>
      <c r="G5520" s="1">
        <v>193.44</v>
      </c>
      <c r="H5520" s="1">
        <v>5.0</v>
      </c>
      <c r="I5520" s="1" t="s">
        <v>17</v>
      </c>
      <c r="J5520" s="1" t="s">
        <v>18</v>
      </c>
      <c r="K5520" s="1">
        <f t="shared" si="1"/>
        <v>2021</v>
      </c>
      <c r="L5520" s="1" t="str">
        <f t="shared" si="2"/>
        <v>Sep</v>
      </c>
      <c r="M5520" s="1" t="str">
        <f t="shared" si="3"/>
        <v>Profit</v>
      </c>
    </row>
    <row r="5521" ht="14.25" customHeight="1">
      <c r="A5521" s="1" t="s">
        <v>5555</v>
      </c>
      <c r="B5521" s="2">
        <v>44658.0</v>
      </c>
      <c r="C5521" s="1" t="s">
        <v>30</v>
      </c>
      <c r="D5521" s="1" t="s">
        <v>27</v>
      </c>
      <c r="E5521" s="1" t="s">
        <v>33</v>
      </c>
      <c r="F5521" s="1">
        <v>787.1</v>
      </c>
      <c r="G5521" s="1">
        <v>84.33</v>
      </c>
      <c r="H5521" s="1">
        <v>9.0</v>
      </c>
      <c r="I5521" s="1" t="s">
        <v>17</v>
      </c>
      <c r="J5521" s="1" t="s">
        <v>18</v>
      </c>
      <c r="K5521" s="1">
        <f t="shared" si="1"/>
        <v>2022</v>
      </c>
      <c r="L5521" s="1" t="str">
        <f t="shared" si="2"/>
        <v>Apr</v>
      </c>
      <c r="M5521" s="1" t="str">
        <f t="shared" si="3"/>
        <v>Profit</v>
      </c>
    </row>
    <row r="5522" ht="14.25" customHeight="1">
      <c r="A5522" s="1" t="s">
        <v>5556</v>
      </c>
      <c r="B5522" s="2">
        <v>44864.0</v>
      </c>
      <c r="C5522" s="1" t="s">
        <v>30</v>
      </c>
      <c r="D5522" s="1" t="s">
        <v>27</v>
      </c>
      <c r="E5522" s="1" t="s">
        <v>40</v>
      </c>
      <c r="F5522" s="1">
        <v>472.35</v>
      </c>
      <c r="G5522" s="1">
        <v>160.82</v>
      </c>
      <c r="H5522" s="1">
        <v>6.0</v>
      </c>
      <c r="I5522" s="1" t="s">
        <v>17</v>
      </c>
      <c r="J5522" s="1" t="s">
        <v>24</v>
      </c>
      <c r="K5522" s="1">
        <f t="shared" si="1"/>
        <v>2022</v>
      </c>
      <c r="L5522" s="1" t="str">
        <f t="shared" si="2"/>
        <v>Oct</v>
      </c>
      <c r="M5522" s="1" t="str">
        <f t="shared" si="3"/>
        <v>Profit</v>
      </c>
    </row>
    <row r="5523" ht="14.25" customHeight="1">
      <c r="A5523" s="1" t="s">
        <v>5557</v>
      </c>
      <c r="B5523" s="2">
        <v>45135.0</v>
      </c>
      <c r="C5523" s="1" t="s">
        <v>26</v>
      </c>
      <c r="D5523" s="1" t="s">
        <v>15</v>
      </c>
      <c r="E5523" s="1" t="s">
        <v>31</v>
      </c>
      <c r="F5523" s="1">
        <v>218.99</v>
      </c>
      <c r="G5523" s="1">
        <v>-107.7</v>
      </c>
      <c r="H5523" s="1">
        <v>6.0</v>
      </c>
      <c r="I5523" s="1" t="s">
        <v>34</v>
      </c>
      <c r="J5523" s="1" t="s">
        <v>38</v>
      </c>
      <c r="K5523" s="1">
        <f t="shared" si="1"/>
        <v>2023</v>
      </c>
      <c r="L5523" s="1" t="str">
        <f t="shared" si="2"/>
        <v>Jul</v>
      </c>
      <c r="M5523" s="1" t="str">
        <f t="shared" si="3"/>
        <v>Loss</v>
      </c>
    </row>
    <row r="5524" ht="14.25" customHeight="1">
      <c r="A5524" s="1" t="s">
        <v>5558</v>
      </c>
      <c r="B5524" s="2">
        <v>45117.0</v>
      </c>
      <c r="C5524" s="1" t="s">
        <v>30</v>
      </c>
      <c r="D5524" s="1" t="s">
        <v>27</v>
      </c>
      <c r="E5524" s="1" t="s">
        <v>33</v>
      </c>
      <c r="F5524" s="1">
        <v>718.05</v>
      </c>
      <c r="G5524" s="1">
        <v>-6.71</v>
      </c>
      <c r="H5524" s="1">
        <v>2.0</v>
      </c>
      <c r="I5524" s="1" t="s">
        <v>17</v>
      </c>
      <c r="J5524" s="1" t="s">
        <v>38</v>
      </c>
      <c r="K5524" s="1">
        <f t="shared" si="1"/>
        <v>2023</v>
      </c>
      <c r="L5524" s="1" t="str">
        <f t="shared" si="2"/>
        <v>Jul</v>
      </c>
      <c r="M5524" s="1" t="str">
        <f t="shared" si="3"/>
        <v>Loss</v>
      </c>
    </row>
    <row r="5525" ht="14.25" customHeight="1">
      <c r="A5525" s="1" t="s">
        <v>5559</v>
      </c>
      <c r="B5525" s="2">
        <v>44804.0</v>
      </c>
      <c r="C5525" s="1" t="s">
        <v>26</v>
      </c>
      <c r="D5525" s="1" t="s">
        <v>27</v>
      </c>
      <c r="E5525" s="1" t="s">
        <v>40</v>
      </c>
      <c r="F5525" s="1">
        <v>227.91</v>
      </c>
      <c r="G5525" s="1">
        <v>293.99</v>
      </c>
      <c r="H5525" s="1">
        <v>9.0</v>
      </c>
      <c r="I5525" s="1" t="s">
        <v>34</v>
      </c>
      <c r="J5525" s="1" t="s">
        <v>38</v>
      </c>
      <c r="K5525" s="1">
        <f t="shared" si="1"/>
        <v>2022</v>
      </c>
      <c r="L5525" s="1" t="str">
        <f t="shared" si="2"/>
        <v>Aug</v>
      </c>
      <c r="M5525" s="1" t="str">
        <f t="shared" si="3"/>
        <v>Profit</v>
      </c>
    </row>
    <row r="5526" ht="14.25" customHeight="1">
      <c r="A5526" s="1" t="s">
        <v>5560</v>
      </c>
      <c r="B5526" s="2">
        <v>44778.0</v>
      </c>
      <c r="C5526" s="1" t="s">
        <v>26</v>
      </c>
      <c r="D5526" s="1" t="s">
        <v>21</v>
      </c>
      <c r="E5526" s="1" t="s">
        <v>76</v>
      </c>
      <c r="F5526" s="1">
        <v>452.1</v>
      </c>
      <c r="G5526" s="1">
        <v>151.22</v>
      </c>
      <c r="H5526" s="1">
        <v>9.0</v>
      </c>
      <c r="I5526" s="1" t="s">
        <v>17</v>
      </c>
      <c r="J5526" s="1" t="s">
        <v>35</v>
      </c>
      <c r="K5526" s="1">
        <f t="shared" si="1"/>
        <v>2022</v>
      </c>
      <c r="L5526" s="1" t="str">
        <f t="shared" si="2"/>
        <v>Aug</v>
      </c>
      <c r="M5526" s="1" t="str">
        <f t="shared" si="3"/>
        <v>Profit</v>
      </c>
    </row>
    <row r="5527" ht="14.25" customHeight="1">
      <c r="A5527" s="1" t="s">
        <v>5561</v>
      </c>
      <c r="B5527" s="2">
        <v>44457.0</v>
      </c>
      <c r="C5527" s="1" t="s">
        <v>20</v>
      </c>
      <c r="D5527" s="1" t="s">
        <v>27</v>
      </c>
      <c r="E5527" s="1" t="s">
        <v>33</v>
      </c>
      <c r="F5527" s="1">
        <v>212.87</v>
      </c>
      <c r="G5527" s="1">
        <v>231.75</v>
      </c>
      <c r="H5527" s="1">
        <v>5.0</v>
      </c>
      <c r="I5527" s="1" t="s">
        <v>34</v>
      </c>
      <c r="J5527" s="1" t="s">
        <v>24</v>
      </c>
      <c r="K5527" s="1">
        <f t="shared" si="1"/>
        <v>2021</v>
      </c>
      <c r="L5527" s="1" t="str">
        <f t="shared" si="2"/>
        <v>Sep</v>
      </c>
      <c r="M5527" s="1" t="str">
        <f t="shared" si="3"/>
        <v>Profit</v>
      </c>
    </row>
    <row r="5528" ht="14.25" customHeight="1">
      <c r="A5528" s="1" t="s">
        <v>5562</v>
      </c>
      <c r="B5528" s="2">
        <v>44740.0</v>
      </c>
      <c r="C5528" s="1" t="s">
        <v>14</v>
      </c>
      <c r="D5528" s="1" t="s">
        <v>27</v>
      </c>
      <c r="E5528" s="1" t="s">
        <v>28</v>
      </c>
      <c r="F5528" s="1">
        <v>811.72</v>
      </c>
      <c r="G5528" s="1">
        <v>-75.47</v>
      </c>
      <c r="H5528" s="1">
        <v>1.0</v>
      </c>
      <c r="I5528" s="1" t="s">
        <v>17</v>
      </c>
      <c r="J5528" s="1" t="s">
        <v>35</v>
      </c>
      <c r="K5528" s="1">
        <f t="shared" si="1"/>
        <v>2022</v>
      </c>
      <c r="L5528" s="1" t="str">
        <f t="shared" si="2"/>
        <v>Jun</v>
      </c>
      <c r="M5528" s="1" t="str">
        <f t="shared" si="3"/>
        <v>Loss</v>
      </c>
    </row>
    <row r="5529" ht="14.25" customHeight="1">
      <c r="A5529" s="1" t="s">
        <v>5563</v>
      </c>
      <c r="B5529" s="2">
        <v>44583.0</v>
      </c>
      <c r="C5529" s="1" t="s">
        <v>20</v>
      </c>
      <c r="D5529" s="1" t="s">
        <v>21</v>
      </c>
      <c r="E5529" s="1" t="s">
        <v>22</v>
      </c>
      <c r="F5529" s="1">
        <v>40.98</v>
      </c>
      <c r="G5529" s="1">
        <v>57.95</v>
      </c>
      <c r="H5529" s="1">
        <v>7.0</v>
      </c>
      <c r="I5529" s="1" t="s">
        <v>23</v>
      </c>
      <c r="J5529" s="1" t="s">
        <v>35</v>
      </c>
      <c r="K5529" s="1">
        <f t="shared" si="1"/>
        <v>2022</v>
      </c>
      <c r="L5529" s="1" t="str">
        <f t="shared" si="2"/>
        <v>Jan</v>
      </c>
      <c r="M5529" s="1" t="str">
        <f t="shared" si="3"/>
        <v>Profit</v>
      </c>
    </row>
    <row r="5530" ht="14.25" customHeight="1">
      <c r="A5530" s="1" t="s">
        <v>5564</v>
      </c>
      <c r="B5530" s="2">
        <v>44499.0</v>
      </c>
      <c r="C5530" s="1" t="s">
        <v>14</v>
      </c>
      <c r="D5530" s="1" t="s">
        <v>15</v>
      </c>
      <c r="E5530" s="1" t="s">
        <v>31</v>
      </c>
      <c r="F5530" s="1">
        <v>608.22</v>
      </c>
      <c r="G5530" s="1">
        <v>221.54</v>
      </c>
      <c r="H5530" s="1">
        <v>8.0</v>
      </c>
      <c r="I5530" s="1" t="s">
        <v>17</v>
      </c>
      <c r="J5530" s="1" t="s">
        <v>24</v>
      </c>
      <c r="K5530" s="1">
        <f t="shared" si="1"/>
        <v>2021</v>
      </c>
      <c r="L5530" s="1" t="str">
        <f t="shared" si="2"/>
        <v>Oct</v>
      </c>
      <c r="M5530" s="1" t="str">
        <f t="shared" si="3"/>
        <v>Profit</v>
      </c>
    </row>
    <row r="5531" ht="14.25" customHeight="1">
      <c r="A5531" s="1" t="s">
        <v>5565</v>
      </c>
      <c r="B5531" s="2">
        <v>45187.0</v>
      </c>
      <c r="C5531" s="1" t="s">
        <v>30</v>
      </c>
      <c r="D5531" s="1" t="s">
        <v>27</v>
      </c>
      <c r="E5531" s="1" t="s">
        <v>28</v>
      </c>
      <c r="F5531" s="1">
        <v>135.79</v>
      </c>
      <c r="G5531" s="1">
        <v>196.65</v>
      </c>
      <c r="H5531" s="1">
        <v>3.0</v>
      </c>
      <c r="I5531" s="1" t="s">
        <v>17</v>
      </c>
      <c r="J5531" s="1" t="s">
        <v>24</v>
      </c>
      <c r="K5531" s="1">
        <f t="shared" si="1"/>
        <v>2023</v>
      </c>
      <c r="L5531" s="1" t="str">
        <f t="shared" si="2"/>
        <v>Sep</v>
      </c>
      <c r="M5531" s="1" t="str">
        <f t="shared" si="3"/>
        <v>Profit</v>
      </c>
    </row>
    <row r="5532" ht="14.25" customHeight="1">
      <c r="A5532" s="1" t="s">
        <v>5566</v>
      </c>
      <c r="B5532" s="2">
        <v>45240.0</v>
      </c>
      <c r="C5532" s="1" t="s">
        <v>26</v>
      </c>
      <c r="D5532" s="1" t="s">
        <v>21</v>
      </c>
      <c r="E5532" s="1" t="s">
        <v>76</v>
      </c>
      <c r="F5532" s="1">
        <v>689.54</v>
      </c>
      <c r="G5532" s="1">
        <v>106.67</v>
      </c>
      <c r="H5532" s="1">
        <v>3.0</v>
      </c>
      <c r="I5532" s="1" t="s">
        <v>17</v>
      </c>
      <c r="J5532" s="1" t="s">
        <v>24</v>
      </c>
      <c r="K5532" s="1">
        <f t="shared" si="1"/>
        <v>2023</v>
      </c>
      <c r="L5532" s="1" t="str">
        <f t="shared" si="2"/>
        <v>Nov</v>
      </c>
      <c r="M5532" s="1" t="str">
        <f t="shared" si="3"/>
        <v>Profit</v>
      </c>
    </row>
    <row r="5533" ht="14.25" customHeight="1">
      <c r="A5533" s="1" t="s">
        <v>5567</v>
      </c>
      <c r="B5533" s="2">
        <v>44804.0</v>
      </c>
      <c r="C5533" s="1" t="s">
        <v>30</v>
      </c>
      <c r="D5533" s="1" t="s">
        <v>27</v>
      </c>
      <c r="E5533" s="1" t="s">
        <v>28</v>
      </c>
      <c r="F5533" s="1">
        <v>769.19</v>
      </c>
      <c r="G5533" s="1">
        <v>-113.89</v>
      </c>
      <c r="H5533" s="1">
        <v>4.0</v>
      </c>
      <c r="I5533" s="1" t="s">
        <v>23</v>
      </c>
      <c r="J5533" s="1" t="s">
        <v>35</v>
      </c>
      <c r="K5533" s="1">
        <f t="shared" si="1"/>
        <v>2022</v>
      </c>
      <c r="L5533" s="1" t="str">
        <f t="shared" si="2"/>
        <v>Aug</v>
      </c>
      <c r="M5533" s="1" t="str">
        <f t="shared" si="3"/>
        <v>Loss</v>
      </c>
    </row>
    <row r="5534" ht="14.25" customHeight="1">
      <c r="A5534" s="1" t="s">
        <v>5568</v>
      </c>
      <c r="B5534" s="2">
        <v>45051.0</v>
      </c>
      <c r="C5534" s="1" t="s">
        <v>14</v>
      </c>
      <c r="D5534" s="1" t="s">
        <v>27</v>
      </c>
      <c r="E5534" s="1" t="s">
        <v>40</v>
      </c>
      <c r="F5534" s="1">
        <v>329.91</v>
      </c>
      <c r="G5534" s="1">
        <v>222.87</v>
      </c>
      <c r="H5534" s="1">
        <v>7.0</v>
      </c>
      <c r="I5534" s="1" t="s">
        <v>34</v>
      </c>
      <c r="J5534" s="1" t="s">
        <v>35</v>
      </c>
      <c r="K5534" s="1">
        <f t="shared" si="1"/>
        <v>2023</v>
      </c>
      <c r="L5534" s="1" t="str">
        <f t="shared" si="2"/>
        <v>May</v>
      </c>
      <c r="M5534" s="1" t="str">
        <f t="shared" si="3"/>
        <v>Profit</v>
      </c>
    </row>
    <row r="5535" ht="14.25" customHeight="1">
      <c r="A5535" s="1" t="s">
        <v>5569</v>
      </c>
      <c r="B5535" s="2">
        <v>45145.0</v>
      </c>
      <c r="C5535" s="1" t="s">
        <v>14</v>
      </c>
      <c r="D5535" s="1" t="s">
        <v>21</v>
      </c>
      <c r="E5535" s="1" t="s">
        <v>22</v>
      </c>
      <c r="F5535" s="1">
        <v>524.82</v>
      </c>
      <c r="G5535" s="1">
        <v>36.08</v>
      </c>
      <c r="H5535" s="1">
        <v>2.0</v>
      </c>
      <c r="I5535" s="1" t="s">
        <v>34</v>
      </c>
      <c r="J5535" s="1" t="s">
        <v>35</v>
      </c>
      <c r="K5535" s="1">
        <f t="shared" si="1"/>
        <v>2023</v>
      </c>
      <c r="L5535" s="1" t="str">
        <f t="shared" si="2"/>
        <v>Aug</v>
      </c>
      <c r="M5535" s="1" t="str">
        <f t="shared" si="3"/>
        <v>Profit</v>
      </c>
    </row>
    <row r="5536" ht="14.25" customHeight="1">
      <c r="A5536" s="1" t="s">
        <v>5570</v>
      </c>
      <c r="B5536" s="2">
        <v>44439.0</v>
      </c>
      <c r="C5536" s="1" t="s">
        <v>26</v>
      </c>
      <c r="D5536" s="1" t="s">
        <v>21</v>
      </c>
      <c r="E5536" s="1" t="s">
        <v>37</v>
      </c>
      <c r="F5536" s="1">
        <v>502.03</v>
      </c>
      <c r="G5536" s="1">
        <v>-147.26</v>
      </c>
      <c r="H5536" s="1">
        <v>1.0</v>
      </c>
      <c r="I5536" s="1" t="s">
        <v>17</v>
      </c>
      <c r="J5536" s="1" t="s">
        <v>35</v>
      </c>
      <c r="K5536" s="1">
        <f t="shared" si="1"/>
        <v>2021</v>
      </c>
      <c r="L5536" s="1" t="str">
        <f t="shared" si="2"/>
        <v>Aug</v>
      </c>
      <c r="M5536" s="1" t="str">
        <f t="shared" si="3"/>
        <v>Loss</v>
      </c>
    </row>
    <row r="5537" ht="14.25" customHeight="1">
      <c r="A5537" s="1" t="s">
        <v>5571</v>
      </c>
      <c r="B5537" s="2">
        <v>44931.0</v>
      </c>
      <c r="C5537" s="1" t="s">
        <v>26</v>
      </c>
      <c r="D5537" s="1" t="s">
        <v>27</v>
      </c>
      <c r="E5537" s="1" t="s">
        <v>28</v>
      </c>
      <c r="F5537" s="1">
        <v>388.51</v>
      </c>
      <c r="G5537" s="1">
        <v>-168.37</v>
      </c>
      <c r="H5537" s="1">
        <v>10.0</v>
      </c>
      <c r="I5537" s="1" t="s">
        <v>23</v>
      </c>
      <c r="J5537" s="1" t="s">
        <v>35</v>
      </c>
      <c r="K5537" s="1">
        <f t="shared" si="1"/>
        <v>2023</v>
      </c>
      <c r="L5537" s="1" t="str">
        <f t="shared" si="2"/>
        <v>Jan</v>
      </c>
      <c r="M5537" s="1" t="str">
        <f t="shared" si="3"/>
        <v>Loss</v>
      </c>
    </row>
    <row r="5538" ht="14.25" customHeight="1">
      <c r="A5538" s="1" t="s">
        <v>5572</v>
      </c>
      <c r="B5538" s="2">
        <v>44901.0</v>
      </c>
      <c r="C5538" s="1" t="s">
        <v>26</v>
      </c>
      <c r="D5538" s="1" t="s">
        <v>27</v>
      </c>
      <c r="E5538" s="1" t="s">
        <v>28</v>
      </c>
      <c r="F5538" s="1">
        <v>156.75</v>
      </c>
      <c r="G5538" s="1">
        <v>-78.81</v>
      </c>
      <c r="H5538" s="1">
        <v>4.0</v>
      </c>
      <c r="I5538" s="1" t="s">
        <v>34</v>
      </c>
      <c r="J5538" s="1" t="s">
        <v>24</v>
      </c>
      <c r="K5538" s="1">
        <f t="shared" si="1"/>
        <v>2022</v>
      </c>
      <c r="L5538" s="1" t="str">
        <f t="shared" si="2"/>
        <v>Dec</v>
      </c>
      <c r="M5538" s="1" t="str">
        <f t="shared" si="3"/>
        <v>Loss</v>
      </c>
    </row>
    <row r="5539" ht="14.25" customHeight="1">
      <c r="A5539" s="1" t="s">
        <v>5573</v>
      </c>
      <c r="B5539" s="2">
        <v>44199.0</v>
      </c>
      <c r="C5539" s="1" t="s">
        <v>14</v>
      </c>
      <c r="D5539" s="1" t="s">
        <v>21</v>
      </c>
      <c r="E5539" s="1" t="s">
        <v>22</v>
      </c>
      <c r="F5539" s="1">
        <v>107.1</v>
      </c>
      <c r="G5539" s="1">
        <v>288.49</v>
      </c>
      <c r="H5539" s="1">
        <v>5.0</v>
      </c>
      <c r="I5539" s="1" t="s">
        <v>34</v>
      </c>
      <c r="J5539" s="1" t="s">
        <v>18</v>
      </c>
      <c r="K5539" s="1">
        <f t="shared" si="1"/>
        <v>2021</v>
      </c>
      <c r="L5539" s="1" t="str">
        <f t="shared" si="2"/>
        <v>Jan</v>
      </c>
      <c r="M5539" s="1" t="str">
        <f t="shared" si="3"/>
        <v>Profit</v>
      </c>
    </row>
    <row r="5540" ht="14.25" customHeight="1">
      <c r="A5540" s="1" t="s">
        <v>5574</v>
      </c>
      <c r="B5540" s="2">
        <v>44901.0</v>
      </c>
      <c r="C5540" s="1" t="s">
        <v>20</v>
      </c>
      <c r="D5540" s="1" t="s">
        <v>15</v>
      </c>
      <c r="E5540" s="1" t="s">
        <v>16</v>
      </c>
      <c r="F5540" s="1">
        <v>859.1</v>
      </c>
      <c r="G5540" s="1">
        <v>277.87</v>
      </c>
      <c r="H5540" s="1">
        <v>10.0</v>
      </c>
      <c r="I5540" s="1" t="s">
        <v>23</v>
      </c>
      <c r="J5540" s="1" t="s">
        <v>24</v>
      </c>
      <c r="K5540" s="1">
        <f t="shared" si="1"/>
        <v>2022</v>
      </c>
      <c r="L5540" s="1" t="str">
        <f t="shared" si="2"/>
        <v>Dec</v>
      </c>
      <c r="M5540" s="1" t="str">
        <f t="shared" si="3"/>
        <v>Profit</v>
      </c>
    </row>
    <row r="5541" ht="14.25" customHeight="1">
      <c r="A5541" s="1" t="s">
        <v>5575</v>
      </c>
      <c r="B5541" s="2">
        <v>44749.0</v>
      </c>
      <c r="C5541" s="1" t="s">
        <v>26</v>
      </c>
      <c r="D5541" s="1" t="s">
        <v>27</v>
      </c>
      <c r="E5541" s="1" t="s">
        <v>33</v>
      </c>
      <c r="F5541" s="1">
        <v>20.76</v>
      </c>
      <c r="G5541" s="1">
        <v>252.23</v>
      </c>
      <c r="H5541" s="1">
        <v>2.0</v>
      </c>
      <c r="I5541" s="1" t="s">
        <v>17</v>
      </c>
      <c r="J5541" s="1" t="s">
        <v>18</v>
      </c>
      <c r="K5541" s="1">
        <f t="shared" si="1"/>
        <v>2022</v>
      </c>
      <c r="L5541" s="1" t="str">
        <f t="shared" si="2"/>
        <v>Jul</v>
      </c>
      <c r="M5541" s="1" t="str">
        <f t="shared" si="3"/>
        <v>Profit</v>
      </c>
    </row>
    <row r="5542" ht="14.25" customHeight="1">
      <c r="A5542" s="1" t="s">
        <v>5576</v>
      </c>
      <c r="B5542" s="2">
        <v>44467.0</v>
      </c>
      <c r="C5542" s="1" t="s">
        <v>26</v>
      </c>
      <c r="D5542" s="1" t="s">
        <v>21</v>
      </c>
      <c r="E5542" s="1" t="s">
        <v>76</v>
      </c>
      <c r="F5542" s="1">
        <v>92.97</v>
      </c>
      <c r="G5542" s="1">
        <v>-91.55</v>
      </c>
      <c r="H5542" s="1">
        <v>4.0</v>
      </c>
      <c r="I5542" s="1" t="s">
        <v>34</v>
      </c>
      <c r="J5542" s="1" t="s">
        <v>38</v>
      </c>
      <c r="K5542" s="1">
        <f t="shared" si="1"/>
        <v>2021</v>
      </c>
      <c r="L5542" s="1" t="str">
        <f t="shared" si="2"/>
        <v>Sep</v>
      </c>
      <c r="M5542" s="1" t="str">
        <f t="shared" si="3"/>
        <v>Loss</v>
      </c>
    </row>
    <row r="5543" ht="14.25" customHeight="1">
      <c r="A5543" s="1" t="s">
        <v>5577</v>
      </c>
      <c r="B5543" s="2">
        <v>44544.0</v>
      </c>
      <c r="C5543" s="1" t="s">
        <v>14</v>
      </c>
      <c r="D5543" s="1" t="s">
        <v>21</v>
      </c>
      <c r="E5543" s="1" t="s">
        <v>37</v>
      </c>
      <c r="F5543" s="1">
        <v>118.85</v>
      </c>
      <c r="G5543" s="1">
        <v>-61.3</v>
      </c>
      <c r="H5543" s="1">
        <v>3.0</v>
      </c>
      <c r="I5543" s="1" t="s">
        <v>17</v>
      </c>
      <c r="J5543" s="1" t="s">
        <v>38</v>
      </c>
      <c r="K5543" s="1">
        <f t="shared" si="1"/>
        <v>2021</v>
      </c>
      <c r="L5543" s="1" t="str">
        <f t="shared" si="2"/>
        <v>Dec</v>
      </c>
      <c r="M5543" s="1" t="str">
        <f t="shared" si="3"/>
        <v>Loss</v>
      </c>
    </row>
    <row r="5544" ht="14.25" customHeight="1">
      <c r="A5544" s="1" t="s">
        <v>5578</v>
      </c>
      <c r="B5544" s="2">
        <v>45132.0</v>
      </c>
      <c r="C5544" s="1" t="s">
        <v>30</v>
      </c>
      <c r="D5544" s="1" t="s">
        <v>27</v>
      </c>
      <c r="E5544" s="1" t="s">
        <v>33</v>
      </c>
      <c r="F5544" s="1">
        <v>900.19</v>
      </c>
      <c r="G5544" s="1">
        <v>219.52</v>
      </c>
      <c r="H5544" s="1">
        <v>9.0</v>
      </c>
      <c r="I5544" s="1" t="s">
        <v>34</v>
      </c>
      <c r="J5544" s="1" t="s">
        <v>24</v>
      </c>
      <c r="K5544" s="1">
        <f t="shared" si="1"/>
        <v>2023</v>
      </c>
      <c r="L5544" s="1" t="str">
        <f t="shared" si="2"/>
        <v>Jul</v>
      </c>
      <c r="M5544" s="1" t="str">
        <f t="shared" si="3"/>
        <v>Profit</v>
      </c>
    </row>
    <row r="5545" ht="14.25" customHeight="1">
      <c r="A5545" s="1" t="s">
        <v>5579</v>
      </c>
      <c r="B5545" s="2">
        <v>44431.0</v>
      </c>
      <c r="C5545" s="1" t="s">
        <v>14</v>
      </c>
      <c r="D5545" s="1" t="s">
        <v>27</v>
      </c>
      <c r="E5545" s="1" t="s">
        <v>40</v>
      </c>
      <c r="F5545" s="1">
        <v>238.04</v>
      </c>
      <c r="G5545" s="1">
        <v>237.78</v>
      </c>
      <c r="H5545" s="1">
        <v>2.0</v>
      </c>
      <c r="I5545" s="1" t="s">
        <v>17</v>
      </c>
      <c r="J5545" s="1" t="s">
        <v>35</v>
      </c>
      <c r="K5545" s="1">
        <f t="shared" si="1"/>
        <v>2021</v>
      </c>
      <c r="L5545" s="1" t="str">
        <f t="shared" si="2"/>
        <v>Aug</v>
      </c>
      <c r="M5545" s="1" t="str">
        <f t="shared" si="3"/>
        <v>Profit</v>
      </c>
    </row>
    <row r="5546" ht="14.25" customHeight="1">
      <c r="A5546" s="1" t="s">
        <v>5580</v>
      </c>
      <c r="B5546" s="2">
        <v>44457.0</v>
      </c>
      <c r="C5546" s="1" t="s">
        <v>14</v>
      </c>
      <c r="D5546" s="1" t="s">
        <v>21</v>
      </c>
      <c r="E5546" s="1" t="s">
        <v>76</v>
      </c>
      <c r="F5546" s="1">
        <v>528.66</v>
      </c>
      <c r="G5546" s="1">
        <v>-80.76</v>
      </c>
      <c r="H5546" s="1">
        <v>9.0</v>
      </c>
      <c r="I5546" s="1" t="s">
        <v>17</v>
      </c>
      <c r="J5546" s="1" t="s">
        <v>35</v>
      </c>
      <c r="K5546" s="1">
        <f t="shared" si="1"/>
        <v>2021</v>
      </c>
      <c r="L5546" s="1" t="str">
        <f t="shared" si="2"/>
        <v>Sep</v>
      </c>
      <c r="M5546" s="1" t="str">
        <f t="shared" si="3"/>
        <v>Loss</v>
      </c>
    </row>
    <row r="5547" ht="14.25" customHeight="1">
      <c r="A5547" s="1" t="s">
        <v>5581</v>
      </c>
      <c r="B5547" s="2">
        <v>44677.0</v>
      </c>
      <c r="C5547" s="1" t="s">
        <v>26</v>
      </c>
      <c r="D5547" s="1" t="s">
        <v>27</v>
      </c>
      <c r="E5547" s="1" t="s">
        <v>40</v>
      </c>
      <c r="F5547" s="1">
        <v>53.45</v>
      </c>
      <c r="G5547" s="1">
        <v>-60.69</v>
      </c>
      <c r="H5547" s="1">
        <v>6.0</v>
      </c>
      <c r="I5547" s="1" t="s">
        <v>34</v>
      </c>
      <c r="J5547" s="1" t="s">
        <v>18</v>
      </c>
      <c r="K5547" s="1">
        <f t="shared" si="1"/>
        <v>2022</v>
      </c>
      <c r="L5547" s="1" t="str">
        <f t="shared" si="2"/>
        <v>Apr</v>
      </c>
      <c r="M5547" s="1" t="str">
        <f t="shared" si="3"/>
        <v>Loss</v>
      </c>
    </row>
    <row r="5548" ht="14.25" customHeight="1">
      <c r="A5548" s="1" t="s">
        <v>5582</v>
      </c>
      <c r="B5548" s="2">
        <v>44921.0</v>
      </c>
      <c r="C5548" s="1" t="s">
        <v>30</v>
      </c>
      <c r="D5548" s="1" t="s">
        <v>27</v>
      </c>
      <c r="E5548" s="1" t="s">
        <v>40</v>
      </c>
      <c r="F5548" s="1">
        <v>80.17</v>
      </c>
      <c r="G5548" s="1">
        <v>175.08</v>
      </c>
      <c r="H5548" s="1">
        <v>1.0</v>
      </c>
      <c r="I5548" s="1" t="s">
        <v>17</v>
      </c>
      <c r="J5548" s="1" t="s">
        <v>38</v>
      </c>
      <c r="K5548" s="1">
        <f t="shared" si="1"/>
        <v>2022</v>
      </c>
      <c r="L5548" s="1" t="str">
        <f t="shared" si="2"/>
        <v>Dec</v>
      </c>
      <c r="M5548" s="1" t="str">
        <f t="shared" si="3"/>
        <v>Profit</v>
      </c>
    </row>
    <row r="5549" ht="14.25" customHeight="1">
      <c r="A5549" s="1" t="s">
        <v>5583</v>
      </c>
      <c r="B5549" s="2">
        <v>44496.0</v>
      </c>
      <c r="C5549" s="1" t="s">
        <v>20</v>
      </c>
      <c r="D5549" s="1" t="s">
        <v>15</v>
      </c>
      <c r="E5549" s="1" t="s">
        <v>16</v>
      </c>
      <c r="F5549" s="1">
        <v>463.06</v>
      </c>
      <c r="G5549" s="1">
        <v>-47.18</v>
      </c>
      <c r="H5549" s="1">
        <v>7.0</v>
      </c>
      <c r="I5549" s="1" t="s">
        <v>17</v>
      </c>
      <c r="J5549" s="1" t="s">
        <v>18</v>
      </c>
      <c r="K5549" s="1">
        <f t="shared" si="1"/>
        <v>2021</v>
      </c>
      <c r="L5549" s="1" t="str">
        <f t="shared" si="2"/>
        <v>Oct</v>
      </c>
      <c r="M5549" s="1" t="str">
        <f t="shared" si="3"/>
        <v>Loss</v>
      </c>
    </row>
    <row r="5550" ht="14.25" customHeight="1">
      <c r="A5550" s="1" t="s">
        <v>5584</v>
      </c>
      <c r="B5550" s="2">
        <v>44832.0</v>
      </c>
      <c r="C5550" s="1" t="s">
        <v>30</v>
      </c>
      <c r="D5550" s="1" t="s">
        <v>21</v>
      </c>
      <c r="E5550" s="1" t="s">
        <v>37</v>
      </c>
      <c r="F5550" s="1">
        <v>147.63</v>
      </c>
      <c r="G5550" s="1">
        <v>3.23</v>
      </c>
      <c r="H5550" s="1">
        <v>3.0</v>
      </c>
      <c r="I5550" s="1" t="s">
        <v>17</v>
      </c>
      <c r="J5550" s="1" t="s">
        <v>35</v>
      </c>
      <c r="K5550" s="1">
        <f t="shared" si="1"/>
        <v>2022</v>
      </c>
      <c r="L5550" s="1" t="str">
        <f t="shared" si="2"/>
        <v>Sep</v>
      </c>
      <c r="M5550" s="1" t="str">
        <f t="shared" si="3"/>
        <v>Profit</v>
      </c>
    </row>
    <row r="5551" ht="14.25" customHeight="1">
      <c r="A5551" s="1" t="s">
        <v>5585</v>
      </c>
      <c r="B5551" s="2">
        <v>44988.0</v>
      </c>
      <c r="C5551" s="1" t="s">
        <v>30</v>
      </c>
      <c r="D5551" s="1" t="s">
        <v>27</v>
      </c>
      <c r="E5551" s="1" t="s">
        <v>28</v>
      </c>
      <c r="F5551" s="1">
        <v>192.47</v>
      </c>
      <c r="G5551" s="1">
        <v>9.58</v>
      </c>
      <c r="H5551" s="1">
        <v>3.0</v>
      </c>
      <c r="I5551" s="1" t="s">
        <v>34</v>
      </c>
      <c r="J5551" s="1" t="s">
        <v>38</v>
      </c>
      <c r="K5551" s="1">
        <f t="shared" si="1"/>
        <v>2023</v>
      </c>
      <c r="L5551" s="1" t="str">
        <f t="shared" si="2"/>
        <v>Mar</v>
      </c>
      <c r="M5551" s="1" t="str">
        <f t="shared" si="3"/>
        <v>Profit</v>
      </c>
    </row>
    <row r="5552" ht="14.25" customHeight="1">
      <c r="A5552" s="1" t="s">
        <v>5586</v>
      </c>
      <c r="B5552" s="2">
        <v>44789.0</v>
      </c>
      <c r="C5552" s="1" t="s">
        <v>14</v>
      </c>
      <c r="D5552" s="1" t="s">
        <v>15</v>
      </c>
      <c r="E5552" s="1" t="s">
        <v>54</v>
      </c>
      <c r="F5552" s="1">
        <v>415.34</v>
      </c>
      <c r="G5552" s="1">
        <v>138.49</v>
      </c>
      <c r="H5552" s="1">
        <v>8.0</v>
      </c>
      <c r="I5552" s="1" t="s">
        <v>34</v>
      </c>
      <c r="J5552" s="1" t="s">
        <v>38</v>
      </c>
      <c r="K5552" s="1">
        <f t="shared" si="1"/>
        <v>2022</v>
      </c>
      <c r="L5552" s="1" t="str">
        <f t="shared" si="2"/>
        <v>Aug</v>
      </c>
      <c r="M5552" s="1" t="str">
        <f t="shared" si="3"/>
        <v>Profit</v>
      </c>
    </row>
    <row r="5553" ht="14.25" customHeight="1">
      <c r="A5553" s="1" t="s">
        <v>5587</v>
      </c>
      <c r="B5553" s="2">
        <v>44592.0</v>
      </c>
      <c r="C5553" s="1" t="s">
        <v>14</v>
      </c>
      <c r="D5553" s="1" t="s">
        <v>27</v>
      </c>
      <c r="E5553" s="1" t="s">
        <v>33</v>
      </c>
      <c r="F5553" s="1">
        <v>150.47</v>
      </c>
      <c r="G5553" s="1">
        <v>229.09</v>
      </c>
      <c r="H5553" s="1">
        <v>2.0</v>
      </c>
      <c r="I5553" s="1" t="s">
        <v>34</v>
      </c>
      <c r="J5553" s="1" t="s">
        <v>24</v>
      </c>
      <c r="K5553" s="1">
        <f t="shared" si="1"/>
        <v>2022</v>
      </c>
      <c r="L5553" s="1" t="str">
        <f t="shared" si="2"/>
        <v>Jan</v>
      </c>
      <c r="M5553" s="1" t="str">
        <f t="shared" si="3"/>
        <v>Profit</v>
      </c>
    </row>
    <row r="5554" ht="14.25" customHeight="1">
      <c r="A5554" s="1" t="s">
        <v>5588</v>
      </c>
      <c r="B5554" s="2">
        <v>44281.0</v>
      </c>
      <c r="C5554" s="1" t="s">
        <v>14</v>
      </c>
      <c r="D5554" s="1" t="s">
        <v>27</v>
      </c>
      <c r="E5554" s="1" t="s">
        <v>33</v>
      </c>
      <c r="F5554" s="1">
        <v>627.95</v>
      </c>
      <c r="G5554" s="1">
        <v>210.85</v>
      </c>
      <c r="H5554" s="1">
        <v>5.0</v>
      </c>
      <c r="I5554" s="1" t="s">
        <v>34</v>
      </c>
      <c r="J5554" s="1" t="s">
        <v>24</v>
      </c>
      <c r="K5554" s="1">
        <f t="shared" si="1"/>
        <v>2021</v>
      </c>
      <c r="L5554" s="1" t="str">
        <f t="shared" si="2"/>
        <v>Mar</v>
      </c>
      <c r="M5554" s="1" t="str">
        <f t="shared" si="3"/>
        <v>Profit</v>
      </c>
    </row>
    <row r="5555" ht="14.25" customHeight="1">
      <c r="A5555" s="1" t="s">
        <v>5589</v>
      </c>
      <c r="B5555" s="2">
        <v>44434.0</v>
      </c>
      <c r="C5555" s="1" t="s">
        <v>20</v>
      </c>
      <c r="D5555" s="1" t="s">
        <v>15</v>
      </c>
      <c r="E5555" s="1" t="s">
        <v>31</v>
      </c>
      <c r="F5555" s="1">
        <v>466.83</v>
      </c>
      <c r="G5555" s="1">
        <v>295.5</v>
      </c>
      <c r="H5555" s="1">
        <v>1.0</v>
      </c>
      <c r="I5555" s="1" t="s">
        <v>23</v>
      </c>
      <c r="J5555" s="1" t="s">
        <v>18</v>
      </c>
      <c r="K5555" s="1">
        <f t="shared" si="1"/>
        <v>2021</v>
      </c>
      <c r="L5555" s="1" t="str">
        <f t="shared" si="2"/>
        <v>Aug</v>
      </c>
      <c r="M5555" s="1" t="str">
        <f t="shared" si="3"/>
        <v>Profit</v>
      </c>
    </row>
    <row r="5556" ht="14.25" customHeight="1">
      <c r="A5556" s="1" t="s">
        <v>5590</v>
      </c>
      <c r="B5556" s="2">
        <v>45222.0</v>
      </c>
      <c r="C5556" s="1" t="s">
        <v>30</v>
      </c>
      <c r="D5556" s="1" t="s">
        <v>27</v>
      </c>
      <c r="E5556" s="1" t="s">
        <v>33</v>
      </c>
      <c r="F5556" s="1">
        <v>426.02</v>
      </c>
      <c r="G5556" s="1">
        <v>-176.35</v>
      </c>
      <c r="H5556" s="1">
        <v>1.0</v>
      </c>
      <c r="I5556" s="1" t="s">
        <v>17</v>
      </c>
      <c r="J5556" s="1" t="s">
        <v>38</v>
      </c>
      <c r="K5556" s="1">
        <f t="shared" si="1"/>
        <v>2023</v>
      </c>
      <c r="L5556" s="1" t="str">
        <f t="shared" si="2"/>
        <v>Oct</v>
      </c>
      <c r="M5556" s="1" t="str">
        <f t="shared" si="3"/>
        <v>Loss</v>
      </c>
    </row>
    <row r="5557" ht="14.25" customHeight="1">
      <c r="A5557" s="1" t="s">
        <v>5591</v>
      </c>
      <c r="B5557" s="2">
        <v>45038.0</v>
      </c>
      <c r="C5557" s="1" t="s">
        <v>26</v>
      </c>
      <c r="D5557" s="1" t="s">
        <v>21</v>
      </c>
      <c r="E5557" s="1" t="s">
        <v>76</v>
      </c>
      <c r="F5557" s="1">
        <v>838.47</v>
      </c>
      <c r="G5557" s="1">
        <v>-160.26</v>
      </c>
      <c r="H5557" s="1">
        <v>3.0</v>
      </c>
      <c r="I5557" s="1" t="s">
        <v>17</v>
      </c>
      <c r="J5557" s="1" t="s">
        <v>18</v>
      </c>
      <c r="K5557" s="1">
        <f t="shared" si="1"/>
        <v>2023</v>
      </c>
      <c r="L5557" s="1" t="str">
        <f t="shared" si="2"/>
        <v>Apr</v>
      </c>
      <c r="M5557" s="1" t="str">
        <f t="shared" si="3"/>
        <v>Loss</v>
      </c>
    </row>
    <row r="5558" ht="14.25" customHeight="1">
      <c r="A5558" s="1" t="s">
        <v>5592</v>
      </c>
      <c r="B5558" s="2">
        <v>44790.0</v>
      </c>
      <c r="C5558" s="1" t="s">
        <v>30</v>
      </c>
      <c r="D5558" s="1" t="s">
        <v>27</v>
      </c>
      <c r="E5558" s="1" t="s">
        <v>40</v>
      </c>
      <c r="F5558" s="1">
        <v>457.31</v>
      </c>
      <c r="G5558" s="1">
        <v>31.75</v>
      </c>
      <c r="H5558" s="1">
        <v>7.0</v>
      </c>
      <c r="I5558" s="1" t="s">
        <v>23</v>
      </c>
      <c r="J5558" s="1" t="s">
        <v>35</v>
      </c>
      <c r="K5558" s="1">
        <f t="shared" si="1"/>
        <v>2022</v>
      </c>
      <c r="L5558" s="1" t="str">
        <f t="shared" si="2"/>
        <v>Aug</v>
      </c>
      <c r="M5558" s="1" t="str">
        <f t="shared" si="3"/>
        <v>Profit</v>
      </c>
    </row>
    <row r="5559" ht="14.25" customHeight="1">
      <c r="A5559" s="1" t="s">
        <v>5593</v>
      </c>
      <c r="B5559" s="2">
        <v>44526.0</v>
      </c>
      <c r="C5559" s="1" t="s">
        <v>14</v>
      </c>
      <c r="D5559" s="1" t="s">
        <v>15</v>
      </c>
      <c r="E5559" s="1" t="s">
        <v>54</v>
      </c>
      <c r="F5559" s="1">
        <v>767.44</v>
      </c>
      <c r="G5559" s="1">
        <v>245.0</v>
      </c>
      <c r="H5559" s="1">
        <v>3.0</v>
      </c>
      <c r="I5559" s="1" t="s">
        <v>17</v>
      </c>
      <c r="J5559" s="1" t="s">
        <v>18</v>
      </c>
      <c r="K5559" s="1">
        <f t="shared" si="1"/>
        <v>2021</v>
      </c>
      <c r="L5559" s="1" t="str">
        <f t="shared" si="2"/>
        <v>Nov</v>
      </c>
      <c r="M5559" s="1" t="str">
        <f t="shared" si="3"/>
        <v>Profit</v>
      </c>
    </row>
    <row r="5560" ht="14.25" customHeight="1">
      <c r="A5560" s="1" t="s">
        <v>5594</v>
      </c>
      <c r="B5560" s="2">
        <v>44962.0</v>
      </c>
      <c r="C5560" s="1" t="s">
        <v>26</v>
      </c>
      <c r="D5560" s="1" t="s">
        <v>21</v>
      </c>
      <c r="E5560" s="1" t="s">
        <v>76</v>
      </c>
      <c r="F5560" s="1">
        <v>614.37</v>
      </c>
      <c r="G5560" s="1">
        <v>-29.3</v>
      </c>
      <c r="H5560" s="1">
        <v>8.0</v>
      </c>
      <c r="I5560" s="1" t="s">
        <v>17</v>
      </c>
      <c r="J5560" s="1" t="s">
        <v>18</v>
      </c>
      <c r="K5560" s="1">
        <f t="shared" si="1"/>
        <v>2023</v>
      </c>
      <c r="L5560" s="1" t="str">
        <f t="shared" si="2"/>
        <v>Feb</v>
      </c>
      <c r="M5560" s="1" t="str">
        <f t="shared" si="3"/>
        <v>Loss</v>
      </c>
    </row>
    <row r="5561" ht="14.25" customHeight="1">
      <c r="A5561" s="1" t="s">
        <v>5595</v>
      </c>
      <c r="B5561" s="2">
        <v>44389.0</v>
      </c>
      <c r="C5561" s="1" t="s">
        <v>20</v>
      </c>
      <c r="D5561" s="1" t="s">
        <v>21</v>
      </c>
      <c r="E5561" s="1" t="s">
        <v>37</v>
      </c>
      <c r="F5561" s="1">
        <v>668.48</v>
      </c>
      <c r="G5561" s="1">
        <v>256.31</v>
      </c>
      <c r="H5561" s="1">
        <v>5.0</v>
      </c>
      <c r="I5561" s="1" t="s">
        <v>17</v>
      </c>
      <c r="J5561" s="1" t="s">
        <v>35</v>
      </c>
      <c r="K5561" s="1">
        <f t="shared" si="1"/>
        <v>2021</v>
      </c>
      <c r="L5561" s="1" t="str">
        <f t="shared" si="2"/>
        <v>Jul</v>
      </c>
      <c r="M5561" s="1" t="str">
        <f t="shared" si="3"/>
        <v>Profit</v>
      </c>
    </row>
    <row r="5562" ht="14.25" customHeight="1">
      <c r="A5562" s="1" t="s">
        <v>5596</v>
      </c>
      <c r="B5562" s="2">
        <v>45143.0</v>
      </c>
      <c r="C5562" s="1" t="s">
        <v>26</v>
      </c>
      <c r="D5562" s="1" t="s">
        <v>15</v>
      </c>
      <c r="E5562" s="1" t="s">
        <v>54</v>
      </c>
      <c r="F5562" s="1">
        <v>747.59</v>
      </c>
      <c r="G5562" s="1">
        <v>272.77</v>
      </c>
      <c r="H5562" s="1">
        <v>8.0</v>
      </c>
      <c r="I5562" s="1" t="s">
        <v>17</v>
      </c>
      <c r="J5562" s="1" t="s">
        <v>38</v>
      </c>
      <c r="K5562" s="1">
        <f t="shared" si="1"/>
        <v>2023</v>
      </c>
      <c r="L5562" s="1" t="str">
        <f t="shared" si="2"/>
        <v>Aug</v>
      </c>
      <c r="M5562" s="1" t="str">
        <f t="shared" si="3"/>
        <v>Profit</v>
      </c>
    </row>
    <row r="5563" ht="14.25" customHeight="1">
      <c r="A5563" s="1" t="s">
        <v>5597</v>
      </c>
      <c r="B5563" s="2">
        <v>44911.0</v>
      </c>
      <c r="C5563" s="1" t="s">
        <v>30</v>
      </c>
      <c r="D5563" s="1" t="s">
        <v>15</v>
      </c>
      <c r="E5563" s="1" t="s">
        <v>54</v>
      </c>
      <c r="F5563" s="1">
        <v>422.19</v>
      </c>
      <c r="G5563" s="1">
        <v>280.6</v>
      </c>
      <c r="H5563" s="1">
        <v>10.0</v>
      </c>
      <c r="I5563" s="1" t="s">
        <v>17</v>
      </c>
      <c r="J5563" s="1" t="s">
        <v>18</v>
      </c>
      <c r="K5563" s="1">
        <f t="shared" si="1"/>
        <v>2022</v>
      </c>
      <c r="L5563" s="1" t="str">
        <f t="shared" si="2"/>
        <v>Dec</v>
      </c>
      <c r="M5563" s="1" t="str">
        <f t="shared" si="3"/>
        <v>Profit</v>
      </c>
    </row>
    <row r="5564" ht="14.25" customHeight="1">
      <c r="A5564" s="1" t="s">
        <v>5598</v>
      </c>
      <c r="B5564" s="2">
        <v>45116.0</v>
      </c>
      <c r="C5564" s="1" t="s">
        <v>26</v>
      </c>
      <c r="D5564" s="1" t="s">
        <v>27</v>
      </c>
      <c r="E5564" s="1" t="s">
        <v>40</v>
      </c>
      <c r="F5564" s="1">
        <v>260.45</v>
      </c>
      <c r="G5564" s="1">
        <v>138.14</v>
      </c>
      <c r="H5564" s="1">
        <v>2.0</v>
      </c>
      <c r="I5564" s="1" t="s">
        <v>34</v>
      </c>
      <c r="J5564" s="1" t="s">
        <v>35</v>
      </c>
      <c r="K5564" s="1">
        <f t="shared" si="1"/>
        <v>2023</v>
      </c>
      <c r="L5564" s="1" t="str">
        <f t="shared" si="2"/>
        <v>Jul</v>
      </c>
      <c r="M5564" s="1" t="str">
        <f t="shared" si="3"/>
        <v>Profit</v>
      </c>
    </row>
    <row r="5565" ht="14.25" customHeight="1">
      <c r="A5565" s="1" t="s">
        <v>5599</v>
      </c>
      <c r="B5565" s="2">
        <v>45285.0</v>
      </c>
      <c r="C5565" s="1" t="s">
        <v>26</v>
      </c>
      <c r="D5565" s="1" t="s">
        <v>15</v>
      </c>
      <c r="E5565" s="1" t="s">
        <v>16</v>
      </c>
      <c r="F5565" s="1">
        <v>356.03</v>
      </c>
      <c r="G5565" s="1">
        <v>60.44</v>
      </c>
      <c r="H5565" s="1">
        <v>6.0</v>
      </c>
      <c r="I5565" s="1" t="s">
        <v>17</v>
      </c>
      <c r="J5565" s="1" t="s">
        <v>35</v>
      </c>
      <c r="K5565" s="1">
        <f t="shared" si="1"/>
        <v>2023</v>
      </c>
      <c r="L5565" s="1" t="str">
        <f t="shared" si="2"/>
        <v>Dec</v>
      </c>
      <c r="M5565" s="1" t="str">
        <f t="shared" si="3"/>
        <v>Profit</v>
      </c>
    </row>
    <row r="5566" ht="14.25" customHeight="1">
      <c r="A5566" s="1" t="s">
        <v>5600</v>
      </c>
      <c r="B5566" s="2">
        <v>44887.0</v>
      </c>
      <c r="C5566" s="1" t="s">
        <v>20</v>
      </c>
      <c r="D5566" s="1" t="s">
        <v>27</v>
      </c>
      <c r="E5566" s="1" t="s">
        <v>33</v>
      </c>
      <c r="F5566" s="1">
        <v>459.14</v>
      </c>
      <c r="G5566" s="1">
        <v>-38.56</v>
      </c>
      <c r="H5566" s="1">
        <v>1.0</v>
      </c>
      <c r="I5566" s="1" t="s">
        <v>34</v>
      </c>
      <c r="J5566" s="1" t="s">
        <v>18</v>
      </c>
      <c r="K5566" s="1">
        <f t="shared" si="1"/>
        <v>2022</v>
      </c>
      <c r="L5566" s="1" t="str">
        <f t="shared" si="2"/>
        <v>Nov</v>
      </c>
      <c r="M5566" s="1" t="str">
        <f t="shared" si="3"/>
        <v>Loss</v>
      </c>
    </row>
    <row r="5567" ht="14.25" customHeight="1">
      <c r="A5567" s="1" t="s">
        <v>5601</v>
      </c>
      <c r="B5567" s="2">
        <v>44493.0</v>
      </c>
      <c r="C5567" s="1" t="s">
        <v>26</v>
      </c>
      <c r="D5567" s="1" t="s">
        <v>27</v>
      </c>
      <c r="E5567" s="1" t="s">
        <v>40</v>
      </c>
      <c r="F5567" s="1">
        <v>78.42</v>
      </c>
      <c r="G5567" s="1">
        <v>171.1</v>
      </c>
      <c r="H5567" s="1">
        <v>9.0</v>
      </c>
      <c r="I5567" s="1" t="s">
        <v>23</v>
      </c>
      <c r="J5567" s="1" t="s">
        <v>18</v>
      </c>
      <c r="K5567" s="1">
        <f t="shared" si="1"/>
        <v>2021</v>
      </c>
      <c r="L5567" s="1" t="str">
        <f t="shared" si="2"/>
        <v>Oct</v>
      </c>
      <c r="M5567" s="1" t="str">
        <f t="shared" si="3"/>
        <v>Profit</v>
      </c>
    </row>
    <row r="5568" ht="14.25" customHeight="1">
      <c r="A5568" s="1" t="s">
        <v>5602</v>
      </c>
      <c r="B5568" s="2">
        <v>44605.0</v>
      </c>
      <c r="C5568" s="1" t="s">
        <v>30</v>
      </c>
      <c r="D5568" s="1" t="s">
        <v>15</v>
      </c>
      <c r="E5568" s="1" t="s">
        <v>31</v>
      </c>
      <c r="F5568" s="1">
        <v>824.12</v>
      </c>
      <c r="G5568" s="1">
        <v>201.15</v>
      </c>
      <c r="H5568" s="1">
        <v>10.0</v>
      </c>
      <c r="I5568" s="1" t="s">
        <v>34</v>
      </c>
      <c r="J5568" s="1" t="s">
        <v>18</v>
      </c>
      <c r="K5568" s="1">
        <f t="shared" si="1"/>
        <v>2022</v>
      </c>
      <c r="L5568" s="1" t="str">
        <f t="shared" si="2"/>
        <v>Feb</v>
      </c>
      <c r="M5568" s="1" t="str">
        <f t="shared" si="3"/>
        <v>Profit</v>
      </c>
    </row>
    <row r="5569" ht="14.25" customHeight="1">
      <c r="A5569" s="1" t="s">
        <v>5603</v>
      </c>
      <c r="B5569" s="2">
        <v>44901.0</v>
      </c>
      <c r="C5569" s="1" t="s">
        <v>14</v>
      </c>
      <c r="D5569" s="1" t="s">
        <v>27</v>
      </c>
      <c r="E5569" s="1" t="s">
        <v>40</v>
      </c>
      <c r="F5569" s="1">
        <v>628.83</v>
      </c>
      <c r="G5569" s="1">
        <v>-145.62</v>
      </c>
      <c r="H5569" s="1">
        <v>8.0</v>
      </c>
      <c r="I5569" s="1" t="s">
        <v>17</v>
      </c>
      <c r="J5569" s="1" t="s">
        <v>24</v>
      </c>
      <c r="K5569" s="1">
        <f t="shared" si="1"/>
        <v>2022</v>
      </c>
      <c r="L5569" s="1" t="str">
        <f t="shared" si="2"/>
        <v>Dec</v>
      </c>
      <c r="M5569" s="1" t="str">
        <f t="shared" si="3"/>
        <v>Loss</v>
      </c>
    </row>
    <row r="5570" ht="14.25" customHeight="1">
      <c r="A5570" s="1" t="s">
        <v>5604</v>
      </c>
      <c r="B5570" s="2">
        <v>45131.0</v>
      </c>
      <c r="C5570" s="1" t="s">
        <v>30</v>
      </c>
      <c r="D5570" s="1" t="s">
        <v>15</v>
      </c>
      <c r="E5570" s="1" t="s">
        <v>16</v>
      </c>
      <c r="F5570" s="1">
        <v>392.08</v>
      </c>
      <c r="G5570" s="1">
        <v>297.97</v>
      </c>
      <c r="H5570" s="1">
        <v>5.0</v>
      </c>
      <c r="I5570" s="1" t="s">
        <v>23</v>
      </c>
      <c r="J5570" s="1" t="s">
        <v>38</v>
      </c>
      <c r="K5570" s="1">
        <f t="shared" si="1"/>
        <v>2023</v>
      </c>
      <c r="L5570" s="1" t="str">
        <f t="shared" si="2"/>
        <v>Jul</v>
      </c>
      <c r="M5570" s="1" t="str">
        <f t="shared" si="3"/>
        <v>Profit</v>
      </c>
    </row>
    <row r="5571" ht="14.25" customHeight="1">
      <c r="A5571" s="1" t="s">
        <v>5605</v>
      </c>
      <c r="B5571" s="2">
        <v>44846.0</v>
      </c>
      <c r="C5571" s="1" t="s">
        <v>20</v>
      </c>
      <c r="D5571" s="1" t="s">
        <v>27</v>
      </c>
      <c r="E5571" s="1" t="s">
        <v>28</v>
      </c>
      <c r="F5571" s="1">
        <v>578.12</v>
      </c>
      <c r="G5571" s="1">
        <v>119.45</v>
      </c>
      <c r="H5571" s="1">
        <v>6.0</v>
      </c>
      <c r="I5571" s="1" t="s">
        <v>17</v>
      </c>
      <c r="J5571" s="1" t="s">
        <v>24</v>
      </c>
      <c r="K5571" s="1">
        <f t="shared" si="1"/>
        <v>2022</v>
      </c>
      <c r="L5571" s="1" t="str">
        <f t="shared" si="2"/>
        <v>Oct</v>
      </c>
      <c r="M5571" s="1" t="str">
        <f t="shared" si="3"/>
        <v>Profit</v>
      </c>
    </row>
    <row r="5572" ht="14.25" customHeight="1">
      <c r="A5572" s="1" t="s">
        <v>5606</v>
      </c>
      <c r="B5572" s="2">
        <v>44342.0</v>
      </c>
      <c r="C5572" s="1" t="s">
        <v>14</v>
      </c>
      <c r="D5572" s="1" t="s">
        <v>21</v>
      </c>
      <c r="E5572" s="1" t="s">
        <v>22</v>
      </c>
      <c r="F5572" s="1">
        <v>804.92</v>
      </c>
      <c r="G5572" s="1">
        <v>202.85</v>
      </c>
      <c r="H5572" s="1">
        <v>8.0</v>
      </c>
      <c r="I5572" s="1" t="s">
        <v>17</v>
      </c>
      <c r="J5572" s="1" t="s">
        <v>35</v>
      </c>
      <c r="K5572" s="1">
        <f t="shared" si="1"/>
        <v>2021</v>
      </c>
      <c r="L5572" s="1" t="str">
        <f t="shared" si="2"/>
        <v>May</v>
      </c>
      <c r="M5572" s="1" t="str">
        <f t="shared" si="3"/>
        <v>Profit</v>
      </c>
    </row>
    <row r="5573" ht="14.25" customHeight="1">
      <c r="A5573" s="1" t="s">
        <v>5607</v>
      </c>
      <c r="B5573" s="2">
        <v>44719.0</v>
      </c>
      <c r="C5573" s="1" t="s">
        <v>30</v>
      </c>
      <c r="D5573" s="1" t="s">
        <v>15</v>
      </c>
      <c r="E5573" s="1" t="s">
        <v>16</v>
      </c>
      <c r="F5573" s="1">
        <v>521.49</v>
      </c>
      <c r="G5573" s="1">
        <v>-188.08</v>
      </c>
      <c r="H5573" s="1">
        <v>1.0</v>
      </c>
      <c r="I5573" s="1" t="s">
        <v>23</v>
      </c>
      <c r="J5573" s="1" t="s">
        <v>38</v>
      </c>
      <c r="K5573" s="1">
        <f t="shared" si="1"/>
        <v>2022</v>
      </c>
      <c r="L5573" s="1" t="str">
        <f t="shared" si="2"/>
        <v>Jun</v>
      </c>
      <c r="M5573" s="1" t="str">
        <f t="shared" si="3"/>
        <v>Loss</v>
      </c>
    </row>
    <row r="5574" ht="14.25" customHeight="1">
      <c r="A5574" s="1" t="s">
        <v>5608</v>
      </c>
      <c r="B5574" s="2">
        <v>44583.0</v>
      </c>
      <c r="C5574" s="1" t="s">
        <v>30</v>
      </c>
      <c r="D5574" s="1" t="s">
        <v>15</v>
      </c>
      <c r="E5574" s="1" t="s">
        <v>31</v>
      </c>
      <c r="F5574" s="1">
        <v>734.28</v>
      </c>
      <c r="G5574" s="1">
        <v>-179.87</v>
      </c>
      <c r="H5574" s="1">
        <v>3.0</v>
      </c>
      <c r="I5574" s="1" t="s">
        <v>34</v>
      </c>
      <c r="J5574" s="1" t="s">
        <v>35</v>
      </c>
      <c r="K5574" s="1">
        <f t="shared" si="1"/>
        <v>2022</v>
      </c>
      <c r="L5574" s="1" t="str">
        <f t="shared" si="2"/>
        <v>Jan</v>
      </c>
      <c r="M5574" s="1" t="str">
        <f t="shared" si="3"/>
        <v>Loss</v>
      </c>
    </row>
    <row r="5575" ht="14.25" customHeight="1">
      <c r="A5575" s="1" t="s">
        <v>5609</v>
      </c>
      <c r="B5575" s="2">
        <v>44443.0</v>
      </c>
      <c r="C5575" s="1" t="s">
        <v>20</v>
      </c>
      <c r="D5575" s="1" t="s">
        <v>21</v>
      </c>
      <c r="E5575" s="1" t="s">
        <v>76</v>
      </c>
      <c r="F5575" s="1">
        <v>906.75</v>
      </c>
      <c r="G5575" s="1">
        <v>-98.79</v>
      </c>
      <c r="H5575" s="1">
        <v>6.0</v>
      </c>
      <c r="I5575" s="1" t="s">
        <v>23</v>
      </c>
      <c r="J5575" s="1" t="s">
        <v>38</v>
      </c>
      <c r="K5575" s="1">
        <f t="shared" si="1"/>
        <v>2021</v>
      </c>
      <c r="L5575" s="1" t="str">
        <f t="shared" si="2"/>
        <v>Sep</v>
      </c>
      <c r="M5575" s="1" t="str">
        <f t="shared" si="3"/>
        <v>Loss</v>
      </c>
    </row>
    <row r="5576" ht="14.25" customHeight="1">
      <c r="A5576" s="1" t="s">
        <v>5610</v>
      </c>
      <c r="B5576" s="2">
        <v>44546.0</v>
      </c>
      <c r="C5576" s="1" t="s">
        <v>30</v>
      </c>
      <c r="D5576" s="1" t="s">
        <v>15</v>
      </c>
      <c r="E5576" s="1" t="s">
        <v>54</v>
      </c>
      <c r="F5576" s="1">
        <v>441.64</v>
      </c>
      <c r="G5576" s="1">
        <v>87.38</v>
      </c>
      <c r="H5576" s="1">
        <v>3.0</v>
      </c>
      <c r="I5576" s="1" t="s">
        <v>34</v>
      </c>
      <c r="J5576" s="1" t="s">
        <v>38</v>
      </c>
      <c r="K5576" s="1">
        <f t="shared" si="1"/>
        <v>2021</v>
      </c>
      <c r="L5576" s="1" t="str">
        <f t="shared" si="2"/>
        <v>Dec</v>
      </c>
      <c r="M5576" s="1" t="str">
        <f t="shared" si="3"/>
        <v>Profit</v>
      </c>
    </row>
    <row r="5577" ht="14.25" customHeight="1">
      <c r="A5577" s="1" t="s">
        <v>5611</v>
      </c>
      <c r="B5577" s="2">
        <v>45029.0</v>
      </c>
      <c r="C5577" s="1" t="s">
        <v>30</v>
      </c>
      <c r="D5577" s="1" t="s">
        <v>21</v>
      </c>
      <c r="E5577" s="1" t="s">
        <v>22</v>
      </c>
      <c r="F5577" s="1">
        <v>392.52</v>
      </c>
      <c r="G5577" s="1">
        <v>108.3</v>
      </c>
      <c r="H5577" s="1">
        <v>3.0</v>
      </c>
      <c r="I5577" s="1" t="s">
        <v>34</v>
      </c>
      <c r="J5577" s="1" t="s">
        <v>18</v>
      </c>
      <c r="K5577" s="1">
        <f t="shared" si="1"/>
        <v>2023</v>
      </c>
      <c r="L5577" s="1" t="str">
        <f t="shared" si="2"/>
        <v>Apr</v>
      </c>
      <c r="M5577" s="1" t="str">
        <f t="shared" si="3"/>
        <v>Profit</v>
      </c>
    </row>
    <row r="5578" ht="14.25" customHeight="1">
      <c r="A5578" s="1" t="s">
        <v>5612</v>
      </c>
      <c r="B5578" s="2">
        <v>44849.0</v>
      </c>
      <c r="C5578" s="1" t="s">
        <v>26</v>
      </c>
      <c r="D5578" s="1" t="s">
        <v>15</v>
      </c>
      <c r="E5578" s="1" t="s">
        <v>16</v>
      </c>
      <c r="F5578" s="1">
        <v>796.68</v>
      </c>
      <c r="G5578" s="1">
        <v>98.91</v>
      </c>
      <c r="H5578" s="1">
        <v>4.0</v>
      </c>
      <c r="I5578" s="1" t="s">
        <v>17</v>
      </c>
      <c r="J5578" s="1" t="s">
        <v>18</v>
      </c>
      <c r="K5578" s="1">
        <f t="shared" si="1"/>
        <v>2022</v>
      </c>
      <c r="L5578" s="1" t="str">
        <f t="shared" si="2"/>
        <v>Oct</v>
      </c>
      <c r="M5578" s="1" t="str">
        <f t="shared" si="3"/>
        <v>Profit</v>
      </c>
    </row>
    <row r="5579" ht="14.25" customHeight="1">
      <c r="A5579" s="1" t="s">
        <v>5613</v>
      </c>
      <c r="B5579" s="2">
        <v>45231.0</v>
      </c>
      <c r="C5579" s="1" t="s">
        <v>30</v>
      </c>
      <c r="D5579" s="1" t="s">
        <v>21</v>
      </c>
      <c r="E5579" s="1" t="s">
        <v>76</v>
      </c>
      <c r="F5579" s="1">
        <v>313.04</v>
      </c>
      <c r="G5579" s="1">
        <v>123.93</v>
      </c>
      <c r="H5579" s="1">
        <v>8.0</v>
      </c>
      <c r="I5579" s="1" t="s">
        <v>23</v>
      </c>
      <c r="J5579" s="1" t="s">
        <v>18</v>
      </c>
      <c r="K5579" s="1">
        <f t="shared" si="1"/>
        <v>2023</v>
      </c>
      <c r="L5579" s="1" t="str">
        <f t="shared" si="2"/>
        <v>Nov</v>
      </c>
      <c r="M5579" s="1" t="str">
        <f t="shared" si="3"/>
        <v>Profit</v>
      </c>
    </row>
    <row r="5580" ht="14.25" customHeight="1">
      <c r="A5580" s="1" t="s">
        <v>5614</v>
      </c>
      <c r="B5580" s="2">
        <v>44679.0</v>
      </c>
      <c r="C5580" s="1" t="s">
        <v>20</v>
      </c>
      <c r="D5580" s="1" t="s">
        <v>27</v>
      </c>
      <c r="E5580" s="1" t="s">
        <v>28</v>
      </c>
      <c r="F5580" s="1">
        <v>651.28</v>
      </c>
      <c r="G5580" s="1">
        <v>177.05</v>
      </c>
      <c r="H5580" s="1">
        <v>6.0</v>
      </c>
      <c r="I5580" s="1" t="s">
        <v>17</v>
      </c>
      <c r="J5580" s="1" t="s">
        <v>24</v>
      </c>
      <c r="K5580" s="1">
        <f t="shared" si="1"/>
        <v>2022</v>
      </c>
      <c r="L5580" s="1" t="str">
        <f t="shared" si="2"/>
        <v>Apr</v>
      </c>
      <c r="M5580" s="1" t="str">
        <f t="shared" si="3"/>
        <v>Profit</v>
      </c>
    </row>
    <row r="5581" ht="14.25" customHeight="1">
      <c r="A5581" s="1" t="s">
        <v>5615</v>
      </c>
      <c r="B5581" s="2">
        <v>44909.0</v>
      </c>
      <c r="C5581" s="1" t="s">
        <v>14</v>
      </c>
      <c r="D5581" s="1" t="s">
        <v>15</v>
      </c>
      <c r="E5581" s="1" t="s">
        <v>16</v>
      </c>
      <c r="F5581" s="1">
        <v>681.75</v>
      </c>
      <c r="G5581" s="1">
        <v>198.15</v>
      </c>
      <c r="H5581" s="1">
        <v>1.0</v>
      </c>
      <c r="I5581" s="1" t="s">
        <v>17</v>
      </c>
      <c r="J5581" s="1" t="s">
        <v>38</v>
      </c>
      <c r="K5581" s="1">
        <f t="shared" si="1"/>
        <v>2022</v>
      </c>
      <c r="L5581" s="1" t="str">
        <f t="shared" si="2"/>
        <v>Dec</v>
      </c>
      <c r="M5581" s="1" t="str">
        <f t="shared" si="3"/>
        <v>Profit</v>
      </c>
    </row>
    <row r="5582" ht="14.25" customHeight="1">
      <c r="A5582" s="1" t="s">
        <v>5616</v>
      </c>
      <c r="B5582" s="2">
        <v>44574.0</v>
      </c>
      <c r="C5582" s="1" t="s">
        <v>30</v>
      </c>
      <c r="D5582" s="1" t="s">
        <v>27</v>
      </c>
      <c r="E5582" s="1" t="s">
        <v>28</v>
      </c>
      <c r="F5582" s="1">
        <v>232.51</v>
      </c>
      <c r="G5582" s="1">
        <v>-162.72</v>
      </c>
      <c r="H5582" s="1">
        <v>1.0</v>
      </c>
      <c r="I5582" s="1" t="s">
        <v>17</v>
      </c>
      <c r="J5582" s="1" t="s">
        <v>38</v>
      </c>
      <c r="K5582" s="1">
        <f t="shared" si="1"/>
        <v>2022</v>
      </c>
      <c r="L5582" s="1" t="str">
        <f t="shared" si="2"/>
        <v>Jan</v>
      </c>
      <c r="M5582" s="1" t="str">
        <f t="shared" si="3"/>
        <v>Loss</v>
      </c>
    </row>
    <row r="5583" ht="14.25" customHeight="1">
      <c r="A5583" s="1" t="s">
        <v>5617</v>
      </c>
      <c r="B5583" s="2">
        <v>44892.0</v>
      </c>
      <c r="C5583" s="1" t="s">
        <v>26</v>
      </c>
      <c r="D5583" s="1" t="s">
        <v>21</v>
      </c>
      <c r="E5583" s="1" t="s">
        <v>37</v>
      </c>
      <c r="F5583" s="1">
        <v>490.01</v>
      </c>
      <c r="G5583" s="1">
        <v>-42.25</v>
      </c>
      <c r="H5583" s="1">
        <v>7.0</v>
      </c>
      <c r="I5583" s="1" t="s">
        <v>17</v>
      </c>
      <c r="J5583" s="1" t="s">
        <v>18</v>
      </c>
      <c r="K5583" s="1">
        <f t="shared" si="1"/>
        <v>2022</v>
      </c>
      <c r="L5583" s="1" t="str">
        <f t="shared" si="2"/>
        <v>Nov</v>
      </c>
      <c r="M5583" s="1" t="str">
        <f t="shared" si="3"/>
        <v>Loss</v>
      </c>
    </row>
    <row r="5584" ht="14.25" customHeight="1">
      <c r="A5584" s="1" t="s">
        <v>5618</v>
      </c>
      <c r="B5584" s="2">
        <v>44310.0</v>
      </c>
      <c r="C5584" s="1" t="s">
        <v>30</v>
      </c>
      <c r="D5584" s="1" t="s">
        <v>27</v>
      </c>
      <c r="E5584" s="1" t="s">
        <v>40</v>
      </c>
      <c r="F5584" s="1">
        <v>55.28</v>
      </c>
      <c r="G5584" s="1">
        <v>188.27</v>
      </c>
      <c r="H5584" s="1">
        <v>9.0</v>
      </c>
      <c r="I5584" s="1" t="s">
        <v>34</v>
      </c>
      <c r="J5584" s="1" t="s">
        <v>18</v>
      </c>
      <c r="K5584" s="1">
        <f t="shared" si="1"/>
        <v>2021</v>
      </c>
      <c r="L5584" s="1" t="str">
        <f t="shared" si="2"/>
        <v>Apr</v>
      </c>
      <c r="M5584" s="1" t="str">
        <f t="shared" si="3"/>
        <v>Profit</v>
      </c>
    </row>
    <row r="5585" ht="14.25" customHeight="1">
      <c r="A5585" s="1" t="s">
        <v>5619</v>
      </c>
      <c r="B5585" s="2">
        <v>45112.0</v>
      </c>
      <c r="C5585" s="1" t="s">
        <v>30</v>
      </c>
      <c r="D5585" s="1" t="s">
        <v>27</v>
      </c>
      <c r="E5585" s="1" t="s">
        <v>28</v>
      </c>
      <c r="F5585" s="1">
        <v>800.9</v>
      </c>
      <c r="G5585" s="1">
        <v>188.33</v>
      </c>
      <c r="H5585" s="1">
        <v>10.0</v>
      </c>
      <c r="I5585" s="1" t="s">
        <v>34</v>
      </c>
      <c r="J5585" s="1" t="s">
        <v>18</v>
      </c>
      <c r="K5585" s="1">
        <f t="shared" si="1"/>
        <v>2023</v>
      </c>
      <c r="L5585" s="1" t="str">
        <f t="shared" si="2"/>
        <v>Jul</v>
      </c>
      <c r="M5585" s="1" t="str">
        <f t="shared" si="3"/>
        <v>Profit</v>
      </c>
    </row>
    <row r="5586" ht="14.25" customHeight="1">
      <c r="A5586" s="1" t="s">
        <v>5620</v>
      </c>
      <c r="B5586" s="2">
        <v>44711.0</v>
      </c>
      <c r="C5586" s="1" t="s">
        <v>26</v>
      </c>
      <c r="D5586" s="1" t="s">
        <v>15</v>
      </c>
      <c r="E5586" s="1" t="s">
        <v>31</v>
      </c>
      <c r="F5586" s="1">
        <v>112.4</v>
      </c>
      <c r="G5586" s="1">
        <v>-100.59</v>
      </c>
      <c r="H5586" s="1">
        <v>5.0</v>
      </c>
      <c r="I5586" s="1" t="s">
        <v>34</v>
      </c>
      <c r="J5586" s="1" t="s">
        <v>24</v>
      </c>
      <c r="K5586" s="1">
        <f t="shared" si="1"/>
        <v>2022</v>
      </c>
      <c r="L5586" s="1" t="str">
        <f t="shared" si="2"/>
        <v>May</v>
      </c>
      <c r="M5586" s="1" t="str">
        <f t="shared" si="3"/>
        <v>Loss</v>
      </c>
    </row>
    <row r="5587" ht="14.25" customHeight="1">
      <c r="A5587" s="1" t="s">
        <v>5621</v>
      </c>
      <c r="B5587" s="2">
        <v>45203.0</v>
      </c>
      <c r="C5587" s="1" t="s">
        <v>20</v>
      </c>
      <c r="D5587" s="1" t="s">
        <v>21</v>
      </c>
      <c r="E5587" s="1" t="s">
        <v>22</v>
      </c>
      <c r="F5587" s="1">
        <v>294.7</v>
      </c>
      <c r="G5587" s="1">
        <v>203.29</v>
      </c>
      <c r="H5587" s="1">
        <v>3.0</v>
      </c>
      <c r="I5587" s="1" t="s">
        <v>23</v>
      </c>
      <c r="J5587" s="1" t="s">
        <v>35</v>
      </c>
      <c r="K5587" s="1">
        <f t="shared" si="1"/>
        <v>2023</v>
      </c>
      <c r="L5587" s="1" t="str">
        <f t="shared" si="2"/>
        <v>Oct</v>
      </c>
      <c r="M5587" s="1" t="str">
        <f t="shared" si="3"/>
        <v>Profit</v>
      </c>
    </row>
    <row r="5588" ht="14.25" customHeight="1">
      <c r="A5588" s="1" t="s">
        <v>5622</v>
      </c>
      <c r="B5588" s="2">
        <v>44662.0</v>
      </c>
      <c r="C5588" s="1" t="s">
        <v>14</v>
      </c>
      <c r="D5588" s="1" t="s">
        <v>15</v>
      </c>
      <c r="E5588" s="1" t="s">
        <v>54</v>
      </c>
      <c r="F5588" s="1">
        <v>739.31</v>
      </c>
      <c r="G5588" s="1">
        <v>-5.83</v>
      </c>
      <c r="H5588" s="1">
        <v>2.0</v>
      </c>
      <c r="I5588" s="1" t="s">
        <v>34</v>
      </c>
      <c r="J5588" s="1" t="s">
        <v>24</v>
      </c>
      <c r="K5588" s="1">
        <f t="shared" si="1"/>
        <v>2022</v>
      </c>
      <c r="L5588" s="1" t="str">
        <f t="shared" si="2"/>
        <v>Apr</v>
      </c>
      <c r="M5588" s="1" t="str">
        <f t="shared" si="3"/>
        <v>Loss</v>
      </c>
    </row>
    <row r="5589" ht="14.25" customHeight="1">
      <c r="A5589" s="1" t="s">
        <v>5623</v>
      </c>
      <c r="B5589" s="2">
        <v>44463.0</v>
      </c>
      <c r="C5589" s="1" t="s">
        <v>20</v>
      </c>
      <c r="D5589" s="1" t="s">
        <v>27</v>
      </c>
      <c r="E5589" s="1" t="s">
        <v>28</v>
      </c>
      <c r="F5589" s="1">
        <v>767.39</v>
      </c>
      <c r="G5589" s="1">
        <v>-154.88</v>
      </c>
      <c r="H5589" s="1">
        <v>1.0</v>
      </c>
      <c r="I5589" s="1" t="s">
        <v>17</v>
      </c>
      <c r="J5589" s="1" t="s">
        <v>35</v>
      </c>
      <c r="K5589" s="1">
        <f t="shared" si="1"/>
        <v>2021</v>
      </c>
      <c r="L5589" s="1" t="str">
        <f t="shared" si="2"/>
        <v>Sep</v>
      </c>
      <c r="M5589" s="1" t="str">
        <f t="shared" si="3"/>
        <v>Loss</v>
      </c>
    </row>
    <row r="5590" ht="14.25" customHeight="1">
      <c r="A5590" s="1" t="s">
        <v>5624</v>
      </c>
      <c r="B5590" s="2">
        <v>44335.0</v>
      </c>
      <c r="C5590" s="1" t="s">
        <v>30</v>
      </c>
      <c r="D5590" s="1" t="s">
        <v>15</v>
      </c>
      <c r="E5590" s="1" t="s">
        <v>16</v>
      </c>
      <c r="F5590" s="1">
        <v>92.44</v>
      </c>
      <c r="G5590" s="1">
        <v>103.27</v>
      </c>
      <c r="H5590" s="1">
        <v>7.0</v>
      </c>
      <c r="I5590" s="1" t="s">
        <v>34</v>
      </c>
      <c r="J5590" s="1" t="s">
        <v>38</v>
      </c>
      <c r="K5590" s="1">
        <f t="shared" si="1"/>
        <v>2021</v>
      </c>
      <c r="L5590" s="1" t="str">
        <f t="shared" si="2"/>
        <v>May</v>
      </c>
      <c r="M5590" s="1" t="str">
        <f t="shared" si="3"/>
        <v>Profit</v>
      </c>
    </row>
    <row r="5591" ht="14.25" customHeight="1">
      <c r="A5591" s="1" t="s">
        <v>5625</v>
      </c>
      <c r="B5591" s="2">
        <v>44321.0</v>
      </c>
      <c r="C5591" s="1" t="s">
        <v>26</v>
      </c>
      <c r="D5591" s="1" t="s">
        <v>27</v>
      </c>
      <c r="E5591" s="1" t="s">
        <v>28</v>
      </c>
      <c r="F5591" s="1">
        <v>776.97</v>
      </c>
      <c r="G5591" s="1">
        <v>157.97</v>
      </c>
      <c r="H5591" s="1">
        <v>9.0</v>
      </c>
      <c r="I5591" s="1" t="s">
        <v>34</v>
      </c>
      <c r="J5591" s="1" t="s">
        <v>35</v>
      </c>
      <c r="K5591" s="1">
        <f t="shared" si="1"/>
        <v>2021</v>
      </c>
      <c r="L5591" s="1" t="str">
        <f t="shared" si="2"/>
        <v>May</v>
      </c>
      <c r="M5591" s="1" t="str">
        <f t="shared" si="3"/>
        <v>Profit</v>
      </c>
    </row>
    <row r="5592" ht="14.25" customHeight="1">
      <c r="A5592" s="1" t="s">
        <v>5626</v>
      </c>
      <c r="B5592" s="2">
        <v>44366.0</v>
      </c>
      <c r="C5592" s="1" t="s">
        <v>14</v>
      </c>
      <c r="D5592" s="1" t="s">
        <v>27</v>
      </c>
      <c r="E5592" s="1" t="s">
        <v>28</v>
      </c>
      <c r="F5592" s="1">
        <v>708.32</v>
      </c>
      <c r="G5592" s="1">
        <v>-17.64</v>
      </c>
      <c r="H5592" s="1">
        <v>5.0</v>
      </c>
      <c r="I5592" s="1" t="s">
        <v>17</v>
      </c>
      <c r="J5592" s="1" t="s">
        <v>35</v>
      </c>
      <c r="K5592" s="1">
        <f t="shared" si="1"/>
        <v>2021</v>
      </c>
      <c r="L5592" s="1" t="str">
        <f t="shared" si="2"/>
        <v>Jun</v>
      </c>
      <c r="M5592" s="1" t="str">
        <f t="shared" si="3"/>
        <v>Loss</v>
      </c>
    </row>
    <row r="5593" ht="14.25" customHeight="1">
      <c r="A5593" s="1" t="s">
        <v>5627</v>
      </c>
      <c r="B5593" s="2">
        <v>44907.0</v>
      </c>
      <c r="C5593" s="1" t="s">
        <v>30</v>
      </c>
      <c r="D5593" s="1" t="s">
        <v>15</v>
      </c>
      <c r="E5593" s="1" t="s">
        <v>31</v>
      </c>
      <c r="F5593" s="1">
        <v>892.94</v>
      </c>
      <c r="G5593" s="1">
        <v>78.15</v>
      </c>
      <c r="H5593" s="1">
        <v>9.0</v>
      </c>
      <c r="I5593" s="1" t="s">
        <v>23</v>
      </c>
      <c r="J5593" s="1" t="s">
        <v>38</v>
      </c>
      <c r="K5593" s="1">
        <f t="shared" si="1"/>
        <v>2022</v>
      </c>
      <c r="L5593" s="1" t="str">
        <f t="shared" si="2"/>
        <v>Dec</v>
      </c>
      <c r="M5593" s="1" t="str">
        <f t="shared" si="3"/>
        <v>Profit</v>
      </c>
    </row>
    <row r="5594" ht="14.25" customHeight="1">
      <c r="A5594" s="1" t="s">
        <v>5628</v>
      </c>
      <c r="B5594" s="2">
        <v>45254.0</v>
      </c>
      <c r="C5594" s="1" t="s">
        <v>14</v>
      </c>
      <c r="D5594" s="1" t="s">
        <v>15</v>
      </c>
      <c r="E5594" s="1" t="s">
        <v>16</v>
      </c>
      <c r="F5594" s="1">
        <v>487.29</v>
      </c>
      <c r="G5594" s="1">
        <v>154.26</v>
      </c>
      <c r="H5594" s="1">
        <v>9.0</v>
      </c>
      <c r="I5594" s="1" t="s">
        <v>34</v>
      </c>
      <c r="J5594" s="1" t="s">
        <v>18</v>
      </c>
      <c r="K5594" s="1">
        <f t="shared" si="1"/>
        <v>2023</v>
      </c>
      <c r="L5594" s="1" t="str">
        <f t="shared" si="2"/>
        <v>Nov</v>
      </c>
      <c r="M5594" s="1" t="str">
        <f t="shared" si="3"/>
        <v>Profit</v>
      </c>
    </row>
    <row r="5595" ht="14.25" customHeight="1">
      <c r="A5595" s="1" t="s">
        <v>5629</v>
      </c>
      <c r="B5595" s="2">
        <v>44548.0</v>
      </c>
      <c r="C5595" s="1" t="s">
        <v>30</v>
      </c>
      <c r="D5595" s="1" t="s">
        <v>15</v>
      </c>
      <c r="E5595" s="1" t="s">
        <v>31</v>
      </c>
      <c r="F5595" s="1">
        <v>115.33</v>
      </c>
      <c r="G5595" s="1">
        <v>135.32</v>
      </c>
      <c r="H5595" s="1">
        <v>7.0</v>
      </c>
      <c r="I5595" s="1" t="s">
        <v>17</v>
      </c>
      <c r="J5595" s="1" t="s">
        <v>35</v>
      </c>
      <c r="K5595" s="1">
        <f t="shared" si="1"/>
        <v>2021</v>
      </c>
      <c r="L5595" s="1" t="str">
        <f t="shared" si="2"/>
        <v>Dec</v>
      </c>
      <c r="M5595" s="1" t="str">
        <f t="shared" si="3"/>
        <v>Profit</v>
      </c>
    </row>
    <row r="5596" ht="14.25" customHeight="1">
      <c r="A5596" s="1" t="s">
        <v>5630</v>
      </c>
      <c r="B5596" s="2">
        <v>44645.0</v>
      </c>
      <c r="C5596" s="1" t="s">
        <v>26</v>
      </c>
      <c r="D5596" s="1" t="s">
        <v>21</v>
      </c>
      <c r="E5596" s="1" t="s">
        <v>76</v>
      </c>
      <c r="F5596" s="1">
        <v>739.22</v>
      </c>
      <c r="G5596" s="1">
        <v>-156.42</v>
      </c>
      <c r="H5596" s="1">
        <v>4.0</v>
      </c>
      <c r="I5596" s="1" t="s">
        <v>23</v>
      </c>
      <c r="J5596" s="1" t="s">
        <v>24</v>
      </c>
      <c r="K5596" s="1">
        <f t="shared" si="1"/>
        <v>2022</v>
      </c>
      <c r="L5596" s="1" t="str">
        <f t="shared" si="2"/>
        <v>Mar</v>
      </c>
      <c r="M5596" s="1" t="str">
        <f t="shared" si="3"/>
        <v>Loss</v>
      </c>
    </row>
    <row r="5597" ht="14.25" customHeight="1">
      <c r="A5597" s="1" t="s">
        <v>5631</v>
      </c>
      <c r="B5597" s="2">
        <v>44869.0</v>
      </c>
      <c r="C5597" s="1" t="s">
        <v>30</v>
      </c>
      <c r="D5597" s="1" t="s">
        <v>15</v>
      </c>
      <c r="E5597" s="1" t="s">
        <v>54</v>
      </c>
      <c r="F5597" s="1">
        <v>194.84</v>
      </c>
      <c r="G5597" s="1">
        <v>-43.96</v>
      </c>
      <c r="H5597" s="1">
        <v>5.0</v>
      </c>
      <c r="I5597" s="1" t="s">
        <v>17</v>
      </c>
      <c r="J5597" s="1" t="s">
        <v>18</v>
      </c>
      <c r="K5597" s="1">
        <f t="shared" si="1"/>
        <v>2022</v>
      </c>
      <c r="L5597" s="1" t="str">
        <f t="shared" si="2"/>
        <v>Nov</v>
      </c>
      <c r="M5597" s="1" t="str">
        <f t="shared" si="3"/>
        <v>Loss</v>
      </c>
    </row>
    <row r="5598" ht="14.25" customHeight="1">
      <c r="A5598" s="1" t="s">
        <v>5632</v>
      </c>
      <c r="B5598" s="2">
        <v>44882.0</v>
      </c>
      <c r="C5598" s="1" t="s">
        <v>20</v>
      </c>
      <c r="D5598" s="1" t="s">
        <v>21</v>
      </c>
      <c r="E5598" s="1" t="s">
        <v>22</v>
      </c>
      <c r="F5598" s="1">
        <v>537.38</v>
      </c>
      <c r="G5598" s="1">
        <v>-167.6</v>
      </c>
      <c r="H5598" s="1">
        <v>5.0</v>
      </c>
      <c r="I5598" s="1" t="s">
        <v>23</v>
      </c>
      <c r="J5598" s="1" t="s">
        <v>18</v>
      </c>
      <c r="K5598" s="1">
        <f t="shared" si="1"/>
        <v>2022</v>
      </c>
      <c r="L5598" s="1" t="str">
        <f t="shared" si="2"/>
        <v>Nov</v>
      </c>
      <c r="M5598" s="1" t="str">
        <f t="shared" si="3"/>
        <v>Loss</v>
      </c>
    </row>
    <row r="5599" ht="14.25" customHeight="1">
      <c r="A5599" s="1" t="s">
        <v>5633</v>
      </c>
      <c r="B5599" s="2">
        <v>44501.0</v>
      </c>
      <c r="C5599" s="1" t="s">
        <v>20</v>
      </c>
      <c r="D5599" s="1" t="s">
        <v>27</v>
      </c>
      <c r="E5599" s="1" t="s">
        <v>28</v>
      </c>
      <c r="F5599" s="1">
        <v>592.86</v>
      </c>
      <c r="G5599" s="1">
        <v>128.98</v>
      </c>
      <c r="H5599" s="1">
        <v>4.0</v>
      </c>
      <c r="I5599" s="1" t="s">
        <v>17</v>
      </c>
      <c r="J5599" s="1" t="s">
        <v>38</v>
      </c>
      <c r="K5599" s="1">
        <f t="shared" si="1"/>
        <v>2021</v>
      </c>
      <c r="L5599" s="1" t="str">
        <f t="shared" si="2"/>
        <v>Nov</v>
      </c>
      <c r="M5599" s="1" t="str">
        <f t="shared" si="3"/>
        <v>Profit</v>
      </c>
    </row>
    <row r="5600" ht="14.25" customHeight="1">
      <c r="A5600" s="1" t="s">
        <v>5634</v>
      </c>
      <c r="B5600" s="2">
        <v>44794.0</v>
      </c>
      <c r="C5600" s="1" t="s">
        <v>14</v>
      </c>
      <c r="D5600" s="1" t="s">
        <v>27</v>
      </c>
      <c r="E5600" s="1" t="s">
        <v>28</v>
      </c>
      <c r="F5600" s="1">
        <v>793.93</v>
      </c>
      <c r="G5600" s="1">
        <v>-63.46</v>
      </c>
      <c r="H5600" s="1">
        <v>6.0</v>
      </c>
      <c r="I5600" s="1" t="s">
        <v>17</v>
      </c>
      <c r="J5600" s="1" t="s">
        <v>24</v>
      </c>
      <c r="K5600" s="1">
        <f t="shared" si="1"/>
        <v>2022</v>
      </c>
      <c r="L5600" s="1" t="str">
        <f t="shared" si="2"/>
        <v>Aug</v>
      </c>
      <c r="M5600" s="1" t="str">
        <f t="shared" si="3"/>
        <v>Loss</v>
      </c>
    </row>
    <row r="5601" ht="14.25" customHeight="1">
      <c r="A5601" s="1" t="s">
        <v>5635</v>
      </c>
      <c r="B5601" s="2">
        <v>44483.0</v>
      </c>
      <c r="C5601" s="1" t="s">
        <v>26</v>
      </c>
      <c r="D5601" s="1" t="s">
        <v>27</v>
      </c>
      <c r="E5601" s="1" t="s">
        <v>33</v>
      </c>
      <c r="F5601" s="1">
        <v>215.15</v>
      </c>
      <c r="G5601" s="1">
        <v>221.3</v>
      </c>
      <c r="H5601" s="1">
        <v>5.0</v>
      </c>
      <c r="I5601" s="1" t="s">
        <v>17</v>
      </c>
      <c r="J5601" s="1" t="s">
        <v>18</v>
      </c>
      <c r="K5601" s="1">
        <f t="shared" si="1"/>
        <v>2021</v>
      </c>
      <c r="L5601" s="1" t="str">
        <f t="shared" si="2"/>
        <v>Oct</v>
      </c>
      <c r="M5601" s="1" t="str">
        <f t="shared" si="3"/>
        <v>Profit</v>
      </c>
    </row>
    <row r="5602" ht="14.25" customHeight="1">
      <c r="A5602" s="1" t="s">
        <v>5636</v>
      </c>
      <c r="B5602" s="2">
        <v>45205.0</v>
      </c>
      <c r="C5602" s="1" t="s">
        <v>30</v>
      </c>
      <c r="D5602" s="1" t="s">
        <v>27</v>
      </c>
      <c r="E5602" s="1" t="s">
        <v>33</v>
      </c>
      <c r="F5602" s="1">
        <v>911.66</v>
      </c>
      <c r="G5602" s="1">
        <v>-16.48</v>
      </c>
      <c r="H5602" s="1">
        <v>9.0</v>
      </c>
      <c r="I5602" s="1" t="s">
        <v>17</v>
      </c>
      <c r="J5602" s="1" t="s">
        <v>38</v>
      </c>
      <c r="K5602" s="1">
        <f t="shared" si="1"/>
        <v>2023</v>
      </c>
      <c r="L5602" s="1" t="str">
        <f t="shared" si="2"/>
        <v>Oct</v>
      </c>
      <c r="M5602" s="1" t="str">
        <f t="shared" si="3"/>
        <v>Loss</v>
      </c>
    </row>
    <row r="5603" ht="14.25" customHeight="1">
      <c r="A5603" s="1" t="s">
        <v>5637</v>
      </c>
      <c r="B5603" s="2">
        <v>44771.0</v>
      </c>
      <c r="C5603" s="1" t="s">
        <v>14</v>
      </c>
      <c r="D5603" s="1" t="s">
        <v>15</v>
      </c>
      <c r="E5603" s="1" t="s">
        <v>16</v>
      </c>
      <c r="F5603" s="1">
        <v>545.12</v>
      </c>
      <c r="G5603" s="1">
        <v>244.48</v>
      </c>
      <c r="H5603" s="1">
        <v>9.0</v>
      </c>
      <c r="I5603" s="1" t="s">
        <v>34</v>
      </c>
      <c r="J5603" s="1" t="s">
        <v>35</v>
      </c>
      <c r="K5603" s="1">
        <f t="shared" si="1"/>
        <v>2022</v>
      </c>
      <c r="L5603" s="1" t="str">
        <f t="shared" si="2"/>
        <v>Jul</v>
      </c>
      <c r="M5603" s="1" t="str">
        <f t="shared" si="3"/>
        <v>Profit</v>
      </c>
    </row>
    <row r="5604" ht="14.25" customHeight="1">
      <c r="A5604" s="1" t="s">
        <v>5638</v>
      </c>
      <c r="B5604" s="2">
        <v>44546.0</v>
      </c>
      <c r="C5604" s="1" t="s">
        <v>14</v>
      </c>
      <c r="D5604" s="1" t="s">
        <v>15</v>
      </c>
      <c r="E5604" s="1" t="s">
        <v>54</v>
      </c>
      <c r="F5604" s="1">
        <v>783.8</v>
      </c>
      <c r="G5604" s="1">
        <v>282.93</v>
      </c>
      <c r="H5604" s="1">
        <v>3.0</v>
      </c>
      <c r="I5604" s="1" t="s">
        <v>17</v>
      </c>
      <c r="J5604" s="1" t="s">
        <v>24</v>
      </c>
      <c r="K5604" s="1">
        <f t="shared" si="1"/>
        <v>2021</v>
      </c>
      <c r="L5604" s="1" t="str">
        <f t="shared" si="2"/>
        <v>Dec</v>
      </c>
      <c r="M5604" s="1" t="str">
        <f t="shared" si="3"/>
        <v>Profit</v>
      </c>
    </row>
    <row r="5605" ht="14.25" customHeight="1">
      <c r="A5605" s="1" t="s">
        <v>5639</v>
      </c>
      <c r="B5605" s="2">
        <v>45187.0</v>
      </c>
      <c r="C5605" s="1" t="s">
        <v>14</v>
      </c>
      <c r="D5605" s="1" t="s">
        <v>27</v>
      </c>
      <c r="E5605" s="1" t="s">
        <v>33</v>
      </c>
      <c r="F5605" s="1">
        <v>719.74</v>
      </c>
      <c r="G5605" s="1">
        <v>-85.79</v>
      </c>
      <c r="H5605" s="1">
        <v>7.0</v>
      </c>
      <c r="I5605" s="1" t="s">
        <v>23</v>
      </c>
      <c r="J5605" s="1" t="s">
        <v>35</v>
      </c>
      <c r="K5605" s="1">
        <f t="shared" si="1"/>
        <v>2023</v>
      </c>
      <c r="L5605" s="1" t="str">
        <f t="shared" si="2"/>
        <v>Sep</v>
      </c>
      <c r="M5605" s="1" t="str">
        <f t="shared" si="3"/>
        <v>Loss</v>
      </c>
    </row>
    <row r="5606" ht="14.25" customHeight="1">
      <c r="A5606" s="1" t="s">
        <v>5640</v>
      </c>
      <c r="B5606" s="2">
        <v>44786.0</v>
      </c>
      <c r="C5606" s="1" t="s">
        <v>20</v>
      </c>
      <c r="D5606" s="1" t="s">
        <v>15</v>
      </c>
      <c r="E5606" s="1" t="s">
        <v>54</v>
      </c>
      <c r="F5606" s="1">
        <v>897.3</v>
      </c>
      <c r="G5606" s="1">
        <v>-198.56</v>
      </c>
      <c r="H5606" s="1">
        <v>10.0</v>
      </c>
      <c r="I5606" s="1" t="s">
        <v>23</v>
      </c>
      <c r="J5606" s="1" t="s">
        <v>38</v>
      </c>
      <c r="K5606" s="1">
        <f t="shared" si="1"/>
        <v>2022</v>
      </c>
      <c r="L5606" s="1" t="str">
        <f t="shared" si="2"/>
        <v>Aug</v>
      </c>
      <c r="M5606" s="1" t="str">
        <f t="shared" si="3"/>
        <v>Loss</v>
      </c>
    </row>
    <row r="5607" ht="14.25" customHeight="1">
      <c r="A5607" s="1" t="s">
        <v>5641</v>
      </c>
      <c r="B5607" s="2">
        <v>44338.0</v>
      </c>
      <c r="C5607" s="1" t="s">
        <v>26</v>
      </c>
      <c r="D5607" s="1" t="s">
        <v>27</v>
      </c>
      <c r="E5607" s="1" t="s">
        <v>33</v>
      </c>
      <c r="F5607" s="1">
        <v>813.49</v>
      </c>
      <c r="G5607" s="1">
        <v>129.67</v>
      </c>
      <c r="H5607" s="1">
        <v>3.0</v>
      </c>
      <c r="I5607" s="1" t="s">
        <v>23</v>
      </c>
      <c r="J5607" s="1" t="s">
        <v>38</v>
      </c>
      <c r="K5607" s="1">
        <f t="shared" si="1"/>
        <v>2021</v>
      </c>
      <c r="L5607" s="1" t="str">
        <f t="shared" si="2"/>
        <v>May</v>
      </c>
      <c r="M5607" s="1" t="str">
        <f t="shared" si="3"/>
        <v>Profit</v>
      </c>
    </row>
    <row r="5608" ht="14.25" customHeight="1">
      <c r="A5608" s="1" t="s">
        <v>5642</v>
      </c>
      <c r="B5608" s="2">
        <v>45290.0</v>
      </c>
      <c r="C5608" s="1" t="s">
        <v>30</v>
      </c>
      <c r="D5608" s="1" t="s">
        <v>27</v>
      </c>
      <c r="E5608" s="1" t="s">
        <v>40</v>
      </c>
      <c r="F5608" s="1">
        <v>251.98</v>
      </c>
      <c r="G5608" s="1">
        <v>112.96</v>
      </c>
      <c r="H5608" s="1">
        <v>6.0</v>
      </c>
      <c r="I5608" s="1" t="s">
        <v>17</v>
      </c>
      <c r="J5608" s="1" t="s">
        <v>38</v>
      </c>
      <c r="K5608" s="1">
        <f t="shared" si="1"/>
        <v>2023</v>
      </c>
      <c r="L5608" s="1" t="str">
        <f t="shared" si="2"/>
        <v>Dec</v>
      </c>
      <c r="M5608" s="1" t="str">
        <f t="shared" si="3"/>
        <v>Profit</v>
      </c>
    </row>
    <row r="5609" ht="14.25" customHeight="1">
      <c r="A5609" s="1" t="s">
        <v>5643</v>
      </c>
      <c r="B5609" s="2">
        <v>44830.0</v>
      </c>
      <c r="C5609" s="1" t="s">
        <v>14</v>
      </c>
      <c r="D5609" s="1" t="s">
        <v>15</v>
      </c>
      <c r="E5609" s="1" t="s">
        <v>54</v>
      </c>
      <c r="F5609" s="1">
        <v>45.47</v>
      </c>
      <c r="G5609" s="1">
        <v>-137.94</v>
      </c>
      <c r="H5609" s="1">
        <v>2.0</v>
      </c>
      <c r="I5609" s="1" t="s">
        <v>23</v>
      </c>
      <c r="J5609" s="1" t="s">
        <v>38</v>
      </c>
      <c r="K5609" s="1">
        <f t="shared" si="1"/>
        <v>2022</v>
      </c>
      <c r="L5609" s="1" t="str">
        <f t="shared" si="2"/>
        <v>Sep</v>
      </c>
      <c r="M5609" s="1" t="str">
        <f t="shared" si="3"/>
        <v>Loss</v>
      </c>
    </row>
    <row r="5610" ht="14.25" customHeight="1">
      <c r="A5610" s="1" t="s">
        <v>5644</v>
      </c>
      <c r="B5610" s="2">
        <v>44562.0</v>
      </c>
      <c r="C5610" s="1" t="s">
        <v>26</v>
      </c>
      <c r="D5610" s="1" t="s">
        <v>27</v>
      </c>
      <c r="E5610" s="1" t="s">
        <v>33</v>
      </c>
      <c r="F5610" s="1">
        <v>610.75</v>
      </c>
      <c r="G5610" s="1">
        <v>39.66</v>
      </c>
      <c r="H5610" s="1">
        <v>4.0</v>
      </c>
      <c r="I5610" s="1" t="s">
        <v>34</v>
      </c>
      <c r="J5610" s="1" t="s">
        <v>35</v>
      </c>
      <c r="K5610" s="1">
        <f t="shared" si="1"/>
        <v>2022</v>
      </c>
      <c r="L5610" s="1" t="str">
        <f t="shared" si="2"/>
        <v>Jan</v>
      </c>
      <c r="M5610" s="1" t="str">
        <f t="shared" si="3"/>
        <v>Profit</v>
      </c>
    </row>
    <row r="5611" ht="14.25" customHeight="1">
      <c r="A5611" s="1" t="s">
        <v>5645</v>
      </c>
      <c r="B5611" s="2">
        <v>45014.0</v>
      </c>
      <c r="C5611" s="1" t="s">
        <v>20</v>
      </c>
      <c r="D5611" s="1" t="s">
        <v>21</v>
      </c>
      <c r="E5611" s="1" t="s">
        <v>76</v>
      </c>
      <c r="F5611" s="1">
        <v>963.52</v>
      </c>
      <c r="G5611" s="1">
        <v>265.3</v>
      </c>
      <c r="H5611" s="1">
        <v>4.0</v>
      </c>
      <c r="I5611" s="1" t="s">
        <v>23</v>
      </c>
      <c r="J5611" s="1" t="s">
        <v>18</v>
      </c>
      <c r="K5611" s="1">
        <f t="shared" si="1"/>
        <v>2023</v>
      </c>
      <c r="L5611" s="1" t="str">
        <f t="shared" si="2"/>
        <v>Mar</v>
      </c>
      <c r="M5611" s="1" t="str">
        <f t="shared" si="3"/>
        <v>Profit</v>
      </c>
    </row>
    <row r="5612" ht="14.25" customHeight="1">
      <c r="A5612" s="1" t="s">
        <v>5646</v>
      </c>
      <c r="B5612" s="2">
        <v>45037.0</v>
      </c>
      <c r="C5612" s="1" t="s">
        <v>20</v>
      </c>
      <c r="D5612" s="1" t="s">
        <v>21</v>
      </c>
      <c r="E5612" s="1" t="s">
        <v>37</v>
      </c>
      <c r="F5612" s="1">
        <v>763.45</v>
      </c>
      <c r="G5612" s="1">
        <v>-116.07</v>
      </c>
      <c r="H5612" s="1">
        <v>7.0</v>
      </c>
      <c r="I5612" s="1" t="s">
        <v>23</v>
      </c>
      <c r="J5612" s="1" t="s">
        <v>38</v>
      </c>
      <c r="K5612" s="1">
        <f t="shared" si="1"/>
        <v>2023</v>
      </c>
      <c r="L5612" s="1" t="str">
        <f t="shared" si="2"/>
        <v>Apr</v>
      </c>
      <c r="M5612" s="1" t="str">
        <f t="shared" si="3"/>
        <v>Loss</v>
      </c>
    </row>
    <row r="5613" ht="14.25" customHeight="1">
      <c r="A5613" s="1" t="s">
        <v>5647</v>
      </c>
      <c r="B5613" s="2">
        <v>44311.0</v>
      </c>
      <c r="C5613" s="1" t="s">
        <v>30</v>
      </c>
      <c r="D5613" s="1" t="s">
        <v>15</v>
      </c>
      <c r="E5613" s="1" t="s">
        <v>31</v>
      </c>
      <c r="F5613" s="1">
        <v>118.58</v>
      </c>
      <c r="G5613" s="1">
        <v>-28.3</v>
      </c>
      <c r="H5613" s="1">
        <v>1.0</v>
      </c>
      <c r="I5613" s="1" t="s">
        <v>23</v>
      </c>
      <c r="J5613" s="1" t="s">
        <v>38</v>
      </c>
      <c r="K5613" s="1">
        <f t="shared" si="1"/>
        <v>2021</v>
      </c>
      <c r="L5613" s="1" t="str">
        <f t="shared" si="2"/>
        <v>Apr</v>
      </c>
      <c r="M5613" s="1" t="str">
        <f t="shared" si="3"/>
        <v>Loss</v>
      </c>
    </row>
    <row r="5614" ht="14.25" customHeight="1">
      <c r="A5614" s="1" t="s">
        <v>5648</v>
      </c>
      <c r="B5614" s="2">
        <v>45087.0</v>
      </c>
      <c r="C5614" s="1" t="s">
        <v>26</v>
      </c>
      <c r="D5614" s="1" t="s">
        <v>27</v>
      </c>
      <c r="E5614" s="1" t="s">
        <v>33</v>
      </c>
      <c r="F5614" s="1">
        <v>59.39</v>
      </c>
      <c r="G5614" s="1">
        <v>-7.71</v>
      </c>
      <c r="H5614" s="1">
        <v>6.0</v>
      </c>
      <c r="I5614" s="1" t="s">
        <v>34</v>
      </c>
      <c r="J5614" s="1" t="s">
        <v>24</v>
      </c>
      <c r="K5614" s="1">
        <f t="shared" si="1"/>
        <v>2023</v>
      </c>
      <c r="L5614" s="1" t="str">
        <f t="shared" si="2"/>
        <v>Jun</v>
      </c>
      <c r="M5614" s="1" t="str">
        <f t="shared" si="3"/>
        <v>Loss</v>
      </c>
    </row>
    <row r="5615" ht="14.25" customHeight="1">
      <c r="A5615" s="1" t="s">
        <v>5649</v>
      </c>
      <c r="B5615" s="2">
        <v>45215.0</v>
      </c>
      <c r="C5615" s="1" t="s">
        <v>26</v>
      </c>
      <c r="D5615" s="1" t="s">
        <v>21</v>
      </c>
      <c r="E5615" s="1" t="s">
        <v>22</v>
      </c>
      <c r="F5615" s="1">
        <v>829.1</v>
      </c>
      <c r="G5615" s="1">
        <v>246.31</v>
      </c>
      <c r="H5615" s="1">
        <v>7.0</v>
      </c>
      <c r="I5615" s="1" t="s">
        <v>23</v>
      </c>
      <c r="J5615" s="1" t="s">
        <v>18</v>
      </c>
      <c r="K5615" s="1">
        <f t="shared" si="1"/>
        <v>2023</v>
      </c>
      <c r="L5615" s="1" t="str">
        <f t="shared" si="2"/>
        <v>Oct</v>
      </c>
      <c r="M5615" s="1" t="str">
        <f t="shared" si="3"/>
        <v>Profit</v>
      </c>
    </row>
    <row r="5616" ht="14.25" customHeight="1">
      <c r="A5616" s="1" t="s">
        <v>5650</v>
      </c>
      <c r="B5616" s="2">
        <v>45024.0</v>
      </c>
      <c r="C5616" s="1" t="s">
        <v>30</v>
      </c>
      <c r="D5616" s="1" t="s">
        <v>21</v>
      </c>
      <c r="E5616" s="1" t="s">
        <v>22</v>
      </c>
      <c r="F5616" s="1">
        <v>28.1</v>
      </c>
      <c r="G5616" s="1">
        <v>-141.98</v>
      </c>
      <c r="H5616" s="1">
        <v>9.0</v>
      </c>
      <c r="I5616" s="1" t="s">
        <v>17</v>
      </c>
      <c r="J5616" s="1" t="s">
        <v>38</v>
      </c>
      <c r="K5616" s="1">
        <f t="shared" si="1"/>
        <v>2023</v>
      </c>
      <c r="L5616" s="1" t="str">
        <f t="shared" si="2"/>
        <v>Apr</v>
      </c>
      <c r="M5616" s="1" t="str">
        <f t="shared" si="3"/>
        <v>Loss</v>
      </c>
    </row>
    <row r="5617" ht="14.25" customHeight="1">
      <c r="A5617" s="1" t="s">
        <v>5651</v>
      </c>
      <c r="B5617" s="2">
        <v>45018.0</v>
      </c>
      <c r="C5617" s="1" t="s">
        <v>30</v>
      </c>
      <c r="D5617" s="1" t="s">
        <v>27</v>
      </c>
      <c r="E5617" s="1" t="s">
        <v>28</v>
      </c>
      <c r="F5617" s="1">
        <v>524.78</v>
      </c>
      <c r="G5617" s="1">
        <v>186.92</v>
      </c>
      <c r="H5617" s="1">
        <v>9.0</v>
      </c>
      <c r="I5617" s="1" t="s">
        <v>23</v>
      </c>
      <c r="J5617" s="1" t="s">
        <v>38</v>
      </c>
      <c r="K5617" s="1">
        <f t="shared" si="1"/>
        <v>2023</v>
      </c>
      <c r="L5617" s="1" t="str">
        <f t="shared" si="2"/>
        <v>Apr</v>
      </c>
      <c r="M5617" s="1" t="str">
        <f t="shared" si="3"/>
        <v>Profit</v>
      </c>
    </row>
    <row r="5618" ht="14.25" customHeight="1">
      <c r="A5618" s="1" t="s">
        <v>5652</v>
      </c>
      <c r="B5618" s="2">
        <v>44339.0</v>
      </c>
      <c r="C5618" s="1" t="s">
        <v>20</v>
      </c>
      <c r="D5618" s="1" t="s">
        <v>15</v>
      </c>
      <c r="E5618" s="1" t="s">
        <v>31</v>
      </c>
      <c r="F5618" s="1">
        <v>128.96</v>
      </c>
      <c r="G5618" s="1">
        <v>-129.88</v>
      </c>
      <c r="H5618" s="1">
        <v>10.0</v>
      </c>
      <c r="I5618" s="1" t="s">
        <v>34</v>
      </c>
      <c r="J5618" s="1" t="s">
        <v>38</v>
      </c>
      <c r="K5618" s="1">
        <f t="shared" si="1"/>
        <v>2021</v>
      </c>
      <c r="L5618" s="1" t="str">
        <f t="shared" si="2"/>
        <v>May</v>
      </c>
      <c r="M5618" s="1" t="str">
        <f t="shared" si="3"/>
        <v>Loss</v>
      </c>
    </row>
    <row r="5619" ht="14.25" customHeight="1">
      <c r="A5619" s="1" t="s">
        <v>5653</v>
      </c>
      <c r="B5619" s="2">
        <v>44482.0</v>
      </c>
      <c r="C5619" s="1" t="s">
        <v>20</v>
      </c>
      <c r="D5619" s="1" t="s">
        <v>15</v>
      </c>
      <c r="E5619" s="1" t="s">
        <v>31</v>
      </c>
      <c r="F5619" s="1">
        <v>627.81</v>
      </c>
      <c r="G5619" s="1">
        <v>180.01</v>
      </c>
      <c r="H5619" s="1">
        <v>5.0</v>
      </c>
      <c r="I5619" s="1" t="s">
        <v>34</v>
      </c>
      <c r="J5619" s="1" t="s">
        <v>24</v>
      </c>
      <c r="K5619" s="1">
        <f t="shared" si="1"/>
        <v>2021</v>
      </c>
      <c r="L5619" s="1" t="str">
        <f t="shared" si="2"/>
        <v>Oct</v>
      </c>
      <c r="M5619" s="1" t="str">
        <f t="shared" si="3"/>
        <v>Profit</v>
      </c>
    </row>
    <row r="5620" ht="14.25" customHeight="1">
      <c r="A5620" s="1" t="s">
        <v>5654</v>
      </c>
      <c r="B5620" s="2">
        <v>45272.0</v>
      </c>
      <c r="C5620" s="1" t="s">
        <v>14</v>
      </c>
      <c r="D5620" s="1" t="s">
        <v>15</v>
      </c>
      <c r="E5620" s="1" t="s">
        <v>16</v>
      </c>
      <c r="F5620" s="1">
        <v>652.04</v>
      </c>
      <c r="G5620" s="1">
        <v>-101.97</v>
      </c>
      <c r="H5620" s="1">
        <v>4.0</v>
      </c>
      <c r="I5620" s="1" t="s">
        <v>23</v>
      </c>
      <c r="J5620" s="1" t="s">
        <v>35</v>
      </c>
      <c r="K5620" s="1">
        <f t="shared" si="1"/>
        <v>2023</v>
      </c>
      <c r="L5620" s="1" t="str">
        <f t="shared" si="2"/>
        <v>Dec</v>
      </c>
      <c r="M5620" s="1" t="str">
        <f t="shared" si="3"/>
        <v>Loss</v>
      </c>
    </row>
    <row r="5621" ht="14.25" customHeight="1">
      <c r="A5621" s="1" t="s">
        <v>5655</v>
      </c>
      <c r="B5621" s="2">
        <v>44210.0</v>
      </c>
      <c r="C5621" s="1" t="s">
        <v>20</v>
      </c>
      <c r="D5621" s="1" t="s">
        <v>21</v>
      </c>
      <c r="E5621" s="1" t="s">
        <v>76</v>
      </c>
      <c r="F5621" s="1">
        <v>68.44</v>
      </c>
      <c r="G5621" s="1">
        <v>-136.02</v>
      </c>
      <c r="H5621" s="1">
        <v>2.0</v>
      </c>
      <c r="I5621" s="1" t="s">
        <v>23</v>
      </c>
      <c r="J5621" s="1" t="s">
        <v>18</v>
      </c>
      <c r="K5621" s="1">
        <f t="shared" si="1"/>
        <v>2021</v>
      </c>
      <c r="L5621" s="1" t="str">
        <f t="shared" si="2"/>
        <v>Jan</v>
      </c>
      <c r="M5621" s="1" t="str">
        <f t="shared" si="3"/>
        <v>Loss</v>
      </c>
    </row>
    <row r="5622" ht="14.25" customHeight="1">
      <c r="A5622" s="1" t="s">
        <v>5656</v>
      </c>
      <c r="B5622" s="2">
        <v>44448.0</v>
      </c>
      <c r="C5622" s="1" t="s">
        <v>26</v>
      </c>
      <c r="D5622" s="1" t="s">
        <v>21</v>
      </c>
      <c r="E5622" s="1" t="s">
        <v>37</v>
      </c>
      <c r="F5622" s="1">
        <v>282.63</v>
      </c>
      <c r="G5622" s="1">
        <v>-38.95</v>
      </c>
      <c r="H5622" s="1">
        <v>9.0</v>
      </c>
      <c r="I5622" s="1" t="s">
        <v>23</v>
      </c>
      <c r="J5622" s="1" t="s">
        <v>38</v>
      </c>
      <c r="K5622" s="1">
        <f t="shared" si="1"/>
        <v>2021</v>
      </c>
      <c r="L5622" s="1" t="str">
        <f t="shared" si="2"/>
        <v>Sep</v>
      </c>
      <c r="M5622" s="1" t="str">
        <f t="shared" si="3"/>
        <v>Loss</v>
      </c>
    </row>
    <row r="5623" ht="14.25" customHeight="1">
      <c r="A5623" s="1" t="s">
        <v>5657</v>
      </c>
      <c r="B5623" s="2">
        <v>44681.0</v>
      </c>
      <c r="C5623" s="1" t="s">
        <v>30</v>
      </c>
      <c r="D5623" s="1" t="s">
        <v>27</v>
      </c>
      <c r="E5623" s="1" t="s">
        <v>28</v>
      </c>
      <c r="F5623" s="1">
        <v>270.1</v>
      </c>
      <c r="G5623" s="1">
        <v>272.6</v>
      </c>
      <c r="H5623" s="1">
        <v>7.0</v>
      </c>
      <c r="I5623" s="1" t="s">
        <v>23</v>
      </c>
      <c r="J5623" s="1" t="s">
        <v>35</v>
      </c>
      <c r="K5623" s="1">
        <f t="shared" si="1"/>
        <v>2022</v>
      </c>
      <c r="L5623" s="1" t="str">
        <f t="shared" si="2"/>
        <v>Apr</v>
      </c>
      <c r="M5623" s="1" t="str">
        <f t="shared" si="3"/>
        <v>Profit</v>
      </c>
    </row>
    <row r="5624" ht="14.25" customHeight="1">
      <c r="A5624" s="1" t="s">
        <v>5658</v>
      </c>
      <c r="B5624" s="2">
        <v>44334.0</v>
      </c>
      <c r="C5624" s="1" t="s">
        <v>14</v>
      </c>
      <c r="D5624" s="1" t="s">
        <v>27</v>
      </c>
      <c r="E5624" s="1" t="s">
        <v>28</v>
      </c>
      <c r="F5624" s="1">
        <v>933.4</v>
      </c>
      <c r="G5624" s="1">
        <v>81.66</v>
      </c>
      <c r="H5624" s="1">
        <v>2.0</v>
      </c>
      <c r="I5624" s="1" t="s">
        <v>34</v>
      </c>
      <c r="J5624" s="1" t="s">
        <v>24</v>
      </c>
      <c r="K5624" s="1">
        <f t="shared" si="1"/>
        <v>2021</v>
      </c>
      <c r="L5624" s="1" t="str">
        <f t="shared" si="2"/>
        <v>May</v>
      </c>
      <c r="M5624" s="1" t="str">
        <f t="shared" si="3"/>
        <v>Profit</v>
      </c>
    </row>
    <row r="5625" ht="14.25" customHeight="1">
      <c r="A5625" s="1" t="s">
        <v>5659</v>
      </c>
      <c r="B5625" s="2">
        <v>44761.0</v>
      </c>
      <c r="C5625" s="1" t="s">
        <v>14</v>
      </c>
      <c r="D5625" s="1" t="s">
        <v>27</v>
      </c>
      <c r="E5625" s="1" t="s">
        <v>28</v>
      </c>
      <c r="F5625" s="1">
        <v>160.53</v>
      </c>
      <c r="G5625" s="1">
        <v>-113.73</v>
      </c>
      <c r="H5625" s="1">
        <v>10.0</v>
      </c>
      <c r="I5625" s="1" t="s">
        <v>17</v>
      </c>
      <c r="J5625" s="1" t="s">
        <v>38</v>
      </c>
      <c r="K5625" s="1">
        <f t="shared" si="1"/>
        <v>2022</v>
      </c>
      <c r="L5625" s="1" t="str">
        <f t="shared" si="2"/>
        <v>Jul</v>
      </c>
      <c r="M5625" s="1" t="str">
        <f t="shared" si="3"/>
        <v>Loss</v>
      </c>
    </row>
    <row r="5626" ht="14.25" customHeight="1">
      <c r="A5626" s="1" t="s">
        <v>5660</v>
      </c>
      <c r="B5626" s="2">
        <v>44332.0</v>
      </c>
      <c r="C5626" s="1" t="s">
        <v>30</v>
      </c>
      <c r="D5626" s="1" t="s">
        <v>27</v>
      </c>
      <c r="E5626" s="1" t="s">
        <v>33</v>
      </c>
      <c r="F5626" s="1">
        <v>55.14</v>
      </c>
      <c r="G5626" s="1">
        <v>58.77</v>
      </c>
      <c r="H5626" s="1">
        <v>3.0</v>
      </c>
      <c r="I5626" s="1" t="s">
        <v>17</v>
      </c>
      <c r="J5626" s="1" t="s">
        <v>24</v>
      </c>
      <c r="K5626" s="1">
        <f t="shared" si="1"/>
        <v>2021</v>
      </c>
      <c r="L5626" s="1" t="str">
        <f t="shared" si="2"/>
        <v>May</v>
      </c>
      <c r="M5626" s="1" t="str">
        <f t="shared" si="3"/>
        <v>Profit</v>
      </c>
    </row>
    <row r="5627" ht="14.25" customHeight="1">
      <c r="A5627" s="1" t="s">
        <v>5661</v>
      </c>
      <c r="B5627" s="2">
        <v>44922.0</v>
      </c>
      <c r="C5627" s="1" t="s">
        <v>30</v>
      </c>
      <c r="D5627" s="1" t="s">
        <v>15</v>
      </c>
      <c r="E5627" s="1" t="s">
        <v>31</v>
      </c>
      <c r="F5627" s="1">
        <v>279.87</v>
      </c>
      <c r="G5627" s="1">
        <v>-99.24</v>
      </c>
      <c r="H5627" s="1">
        <v>5.0</v>
      </c>
      <c r="I5627" s="1" t="s">
        <v>34</v>
      </c>
      <c r="J5627" s="1" t="s">
        <v>18</v>
      </c>
      <c r="K5627" s="1">
        <f t="shared" si="1"/>
        <v>2022</v>
      </c>
      <c r="L5627" s="1" t="str">
        <f t="shared" si="2"/>
        <v>Dec</v>
      </c>
      <c r="M5627" s="1" t="str">
        <f t="shared" si="3"/>
        <v>Loss</v>
      </c>
    </row>
    <row r="5628" ht="14.25" customHeight="1">
      <c r="A5628" s="1" t="s">
        <v>5662</v>
      </c>
      <c r="B5628" s="2">
        <v>44496.0</v>
      </c>
      <c r="C5628" s="1" t="s">
        <v>20</v>
      </c>
      <c r="D5628" s="1" t="s">
        <v>15</v>
      </c>
      <c r="E5628" s="1" t="s">
        <v>16</v>
      </c>
      <c r="F5628" s="1">
        <v>651.46</v>
      </c>
      <c r="G5628" s="1">
        <v>-78.17</v>
      </c>
      <c r="H5628" s="1">
        <v>4.0</v>
      </c>
      <c r="I5628" s="1" t="s">
        <v>17</v>
      </c>
      <c r="J5628" s="1" t="s">
        <v>24</v>
      </c>
      <c r="K5628" s="1">
        <f t="shared" si="1"/>
        <v>2021</v>
      </c>
      <c r="L5628" s="1" t="str">
        <f t="shared" si="2"/>
        <v>Oct</v>
      </c>
      <c r="M5628" s="1" t="str">
        <f t="shared" si="3"/>
        <v>Loss</v>
      </c>
    </row>
    <row r="5629" ht="14.25" customHeight="1">
      <c r="A5629" s="1" t="s">
        <v>5663</v>
      </c>
      <c r="B5629" s="2">
        <v>44675.0</v>
      </c>
      <c r="C5629" s="1" t="s">
        <v>26</v>
      </c>
      <c r="D5629" s="1" t="s">
        <v>21</v>
      </c>
      <c r="E5629" s="1" t="s">
        <v>22</v>
      </c>
      <c r="F5629" s="1">
        <v>789.5</v>
      </c>
      <c r="G5629" s="1">
        <v>19.56</v>
      </c>
      <c r="H5629" s="1">
        <v>4.0</v>
      </c>
      <c r="I5629" s="1" t="s">
        <v>23</v>
      </c>
      <c r="J5629" s="1" t="s">
        <v>24</v>
      </c>
      <c r="K5629" s="1">
        <f t="shared" si="1"/>
        <v>2022</v>
      </c>
      <c r="L5629" s="1" t="str">
        <f t="shared" si="2"/>
        <v>Apr</v>
      </c>
      <c r="M5629" s="1" t="str">
        <f t="shared" si="3"/>
        <v>Profit</v>
      </c>
    </row>
    <row r="5630" ht="14.25" customHeight="1">
      <c r="A5630" s="1" t="s">
        <v>5664</v>
      </c>
      <c r="B5630" s="2">
        <v>45265.0</v>
      </c>
      <c r="C5630" s="1" t="s">
        <v>20</v>
      </c>
      <c r="D5630" s="1" t="s">
        <v>21</v>
      </c>
      <c r="E5630" s="1" t="s">
        <v>37</v>
      </c>
      <c r="F5630" s="1">
        <v>191.18</v>
      </c>
      <c r="G5630" s="1">
        <v>-61.74</v>
      </c>
      <c r="H5630" s="1">
        <v>2.0</v>
      </c>
      <c r="I5630" s="1" t="s">
        <v>34</v>
      </c>
      <c r="J5630" s="1" t="s">
        <v>38</v>
      </c>
      <c r="K5630" s="1">
        <f t="shared" si="1"/>
        <v>2023</v>
      </c>
      <c r="L5630" s="1" t="str">
        <f t="shared" si="2"/>
        <v>Dec</v>
      </c>
      <c r="M5630" s="1" t="str">
        <f t="shared" si="3"/>
        <v>Loss</v>
      </c>
    </row>
    <row r="5631" ht="14.25" customHeight="1">
      <c r="A5631" s="1" t="s">
        <v>5665</v>
      </c>
      <c r="B5631" s="2">
        <v>44848.0</v>
      </c>
      <c r="C5631" s="1" t="s">
        <v>26</v>
      </c>
      <c r="D5631" s="1" t="s">
        <v>27</v>
      </c>
      <c r="E5631" s="1" t="s">
        <v>33</v>
      </c>
      <c r="F5631" s="1">
        <v>897.13</v>
      </c>
      <c r="G5631" s="1">
        <v>277.46</v>
      </c>
      <c r="H5631" s="1">
        <v>4.0</v>
      </c>
      <c r="I5631" s="1" t="s">
        <v>23</v>
      </c>
      <c r="J5631" s="1" t="s">
        <v>38</v>
      </c>
      <c r="K5631" s="1">
        <f t="shared" si="1"/>
        <v>2022</v>
      </c>
      <c r="L5631" s="1" t="str">
        <f t="shared" si="2"/>
        <v>Oct</v>
      </c>
      <c r="M5631" s="1" t="str">
        <f t="shared" si="3"/>
        <v>Profit</v>
      </c>
    </row>
    <row r="5632" ht="14.25" customHeight="1">
      <c r="A5632" s="1" t="s">
        <v>5666</v>
      </c>
      <c r="B5632" s="2">
        <v>44503.0</v>
      </c>
      <c r="C5632" s="1" t="s">
        <v>26</v>
      </c>
      <c r="D5632" s="1" t="s">
        <v>21</v>
      </c>
      <c r="E5632" s="1" t="s">
        <v>37</v>
      </c>
      <c r="F5632" s="1">
        <v>733.74</v>
      </c>
      <c r="G5632" s="1">
        <v>292.49</v>
      </c>
      <c r="H5632" s="1">
        <v>2.0</v>
      </c>
      <c r="I5632" s="1" t="s">
        <v>17</v>
      </c>
      <c r="J5632" s="1" t="s">
        <v>18</v>
      </c>
      <c r="K5632" s="1">
        <f t="shared" si="1"/>
        <v>2021</v>
      </c>
      <c r="L5632" s="1" t="str">
        <f t="shared" si="2"/>
        <v>Nov</v>
      </c>
      <c r="M5632" s="1" t="str">
        <f t="shared" si="3"/>
        <v>Profit</v>
      </c>
    </row>
    <row r="5633" ht="14.25" customHeight="1">
      <c r="A5633" s="1" t="s">
        <v>5667</v>
      </c>
      <c r="B5633" s="2">
        <v>45138.0</v>
      </c>
      <c r="C5633" s="1" t="s">
        <v>14</v>
      </c>
      <c r="D5633" s="1" t="s">
        <v>21</v>
      </c>
      <c r="E5633" s="1" t="s">
        <v>76</v>
      </c>
      <c r="F5633" s="1">
        <v>302.74</v>
      </c>
      <c r="G5633" s="1">
        <v>88.33</v>
      </c>
      <c r="H5633" s="1">
        <v>9.0</v>
      </c>
      <c r="I5633" s="1" t="s">
        <v>17</v>
      </c>
      <c r="J5633" s="1" t="s">
        <v>24</v>
      </c>
      <c r="K5633" s="1">
        <f t="shared" si="1"/>
        <v>2023</v>
      </c>
      <c r="L5633" s="1" t="str">
        <f t="shared" si="2"/>
        <v>Jul</v>
      </c>
      <c r="M5633" s="1" t="str">
        <f t="shared" si="3"/>
        <v>Profit</v>
      </c>
    </row>
    <row r="5634" ht="14.25" customHeight="1">
      <c r="A5634" s="1" t="s">
        <v>5668</v>
      </c>
      <c r="B5634" s="2">
        <v>44701.0</v>
      </c>
      <c r="C5634" s="1" t="s">
        <v>14</v>
      </c>
      <c r="D5634" s="1" t="s">
        <v>15</v>
      </c>
      <c r="E5634" s="1" t="s">
        <v>54</v>
      </c>
      <c r="F5634" s="1">
        <v>413.69</v>
      </c>
      <c r="G5634" s="1">
        <v>178.15</v>
      </c>
      <c r="H5634" s="1">
        <v>2.0</v>
      </c>
      <c r="I5634" s="1" t="s">
        <v>17</v>
      </c>
      <c r="J5634" s="1" t="s">
        <v>35</v>
      </c>
      <c r="K5634" s="1">
        <f t="shared" si="1"/>
        <v>2022</v>
      </c>
      <c r="L5634" s="1" t="str">
        <f t="shared" si="2"/>
        <v>May</v>
      </c>
      <c r="M5634" s="1" t="str">
        <f t="shared" si="3"/>
        <v>Profit</v>
      </c>
    </row>
    <row r="5635" ht="14.25" customHeight="1">
      <c r="A5635" s="1" t="s">
        <v>5669</v>
      </c>
      <c r="B5635" s="2">
        <v>45180.0</v>
      </c>
      <c r="C5635" s="1" t="s">
        <v>14</v>
      </c>
      <c r="D5635" s="1" t="s">
        <v>21</v>
      </c>
      <c r="E5635" s="1" t="s">
        <v>37</v>
      </c>
      <c r="F5635" s="1">
        <v>91.52</v>
      </c>
      <c r="G5635" s="1">
        <v>75.96</v>
      </c>
      <c r="H5635" s="1">
        <v>6.0</v>
      </c>
      <c r="I5635" s="1" t="s">
        <v>17</v>
      </c>
      <c r="J5635" s="1" t="s">
        <v>18</v>
      </c>
      <c r="K5635" s="1">
        <f t="shared" si="1"/>
        <v>2023</v>
      </c>
      <c r="L5635" s="1" t="str">
        <f t="shared" si="2"/>
        <v>Sep</v>
      </c>
      <c r="M5635" s="1" t="str">
        <f t="shared" si="3"/>
        <v>Profit</v>
      </c>
    </row>
    <row r="5636" ht="14.25" customHeight="1">
      <c r="A5636" s="1" t="s">
        <v>5670</v>
      </c>
      <c r="B5636" s="2">
        <v>44216.0</v>
      </c>
      <c r="C5636" s="1" t="s">
        <v>20</v>
      </c>
      <c r="D5636" s="1" t="s">
        <v>15</v>
      </c>
      <c r="E5636" s="1" t="s">
        <v>31</v>
      </c>
      <c r="F5636" s="1">
        <v>540.7</v>
      </c>
      <c r="G5636" s="1">
        <v>178.18</v>
      </c>
      <c r="H5636" s="1">
        <v>5.0</v>
      </c>
      <c r="I5636" s="1" t="s">
        <v>34</v>
      </c>
      <c r="J5636" s="1" t="s">
        <v>18</v>
      </c>
      <c r="K5636" s="1">
        <f t="shared" si="1"/>
        <v>2021</v>
      </c>
      <c r="L5636" s="1" t="str">
        <f t="shared" si="2"/>
        <v>Jan</v>
      </c>
      <c r="M5636" s="1" t="str">
        <f t="shared" si="3"/>
        <v>Profit</v>
      </c>
    </row>
    <row r="5637" ht="14.25" customHeight="1">
      <c r="A5637" s="1" t="s">
        <v>5671</v>
      </c>
      <c r="B5637" s="2">
        <v>44443.0</v>
      </c>
      <c r="C5637" s="1" t="s">
        <v>14</v>
      </c>
      <c r="D5637" s="1" t="s">
        <v>15</v>
      </c>
      <c r="E5637" s="1" t="s">
        <v>16</v>
      </c>
      <c r="F5637" s="1">
        <v>592.0</v>
      </c>
      <c r="G5637" s="1">
        <v>-177.76</v>
      </c>
      <c r="H5637" s="1">
        <v>4.0</v>
      </c>
      <c r="I5637" s="1" t="s">
        <v>34</v>
      </c>
      <c r="J5637" s="1" t="s">
        <v>38</v>
      </c>
      <c r="K5637" s="1">
        <f t="shared" si="1"/>
        <v>2021</v>
      </c>
      <c r="L5637" s="1" t="str">
        <f t="shared" si="2"/>
        <v>Sep</v>
      </c>
      <c r="M5637" s="1" t="str">
        <f t="shared" si="3"/>
        <v>Loss</v>
      </c>
    </row>
    <row r="5638" ht="14.25" customHeight="1">
      <c r="A5638" s="1" t="s">
        <v>5672</v>
      </c>
      <c r="B5638" s="2">
        <v>44770.0</v>
      </c>
      <c r="C5638" s="1" t="s">
        <v>20</v>
      </c>
      <c r="D5638" s="1" t="s">
        <v>21</v>
      </c>
      <c r="E5638" s="1" t="s">
        <v>22</v>
      </c>
      <c r="F5638" s="1">
        <v>350.24</v>
      </c>
      <c r="G5638" s="1">
        <v>61.63</v>
      </c>
      <c r="H5638" s="1">
        <v>1.0</v>
      </c>
      <c r="I5638" s="1" t="s">
        <v>34</v>
      </c>
      <c r="J5638" s="1" t="s">
        <v>35</v>
      </c>
      <c r="K5638" s="1">
        <f t="shared" si="1"/>
        <v>2022</v>
      </c>
      <c r="L5638" s="1" t="str">
        <f t="shared" si="2"/>
        <v>Jul</v>
      </c>
      <c r="M5638" s="1" t="str">
        <f t="shared" si="3"/>
        <v>Profit</v>
      </c>
    </row>
    <row r="5639" ht="14.25" customHeight="1">
      <c r="A5639" s="1" t="s">
        <v>5673</v>
      </c>
      <c r="B5639" s="2">
        <v>44960.0</v>
      </c>
      <c r="C5639" s="1" t="s">
        <v>20</v>
      </c>
      <c r="D5639" s="1" t="s">
        <v>21</v>
      </c>
      <c r="E5639" s="1" t="s">
        <v>76</v>
      </c>
      <c r="F5639" s="1">
        <v>791.47</v>
      </c>
      <c r="G5639" s="1">
        <v>230.62</v>
      </c>
      <c r="H5639" s="1">
        <v>6.0</v>
      </c>
      <c r="I5639" s="1" t="s">
        <v>34</v>
      </c>
      <c r="J5639" s="1" t="s">
        <v>18</v>
      </c>
      <c r="K5639" s="1">
        <f t="shared" si="1"/>
        <v>2023</v>
      </c>
      <c r="L5639" s="1" t="str">
        <f t="shared" si="2"/>
        <v>Feb</v>
      </c>
      <c r="M5639" s="1" t="str">
        <f t="shared" si="3"/>
        <v>Profit</v>
      </c>
    </row>
    <row r="5640" ht="14.25" customHeight="1">
      <c r="A5640" s="1" t="s">
        <v>5674</v>
      </c>
      <c r="B5640" s="2">
        <v>44871.0</v>
      </c>
      <c r="C5640" s="1" t="s">
        <v>20</v>
      </c>
      <c r="D5640" s="1" t="s">
        <v>27</v>
      </c>
      <c r="E5640" s="1" t="s">
        <v>40</v>
      </c>
      <c r="F5640" s="1">
        <v>596.12</v>
      </c>
      <c r="G5640" s="1">
        <v>143.34</v>
      </c>
      <c r="H5640" s="1">
        <v>5.0</v>
      </c>
      <c r="I5640" s="1" t="s">
        <v>23</v>
      </c>
      <c r="J5640" s="1" t="s">
        <v>35</v>
      </c>
      <c r="K5640" s="1">
        <f t="shared" si="1"/>
        <v>2022</v>
      </c>
      <c r="L5640" s="1" t="str">
        <f t="shared" si="2"/>
        <v>Nov</v>
      </c>
      <c r="M5640" s="1" t="str">
        <f t="shared" si="3"/>
        <v>Profit</v>
      </c>
    </row>
    <row r="5641" ht="14.25" customHeight="1">
      <c r="A5641" s="1" t="s">
        <v>5675</v>
      </c>
      <c r="B5641" s="2">
        <v>44554.0</v>
      </c>
      <c r="C5641" s="1" t="s">
        <v>20</v>
      </c>
      <c r="D5641" s="1" t="s">
        <v>21</v>
      </c>
      <c r="E5641" s="1" t="s">
        <v>37</v>
      </c>
      <c r="F5641" s="1">
        <v>717.26</v>
      </c>
      <c r="G5641" s="1">
        <v>85.19</v>
      </c>
      <c r="H5641" s="1">
        <v>6.0</v>
      </c>
      <c r="I5641" s="1" t="s">
        <v>34</v>
      </c>
      <c r="J5641" s="1" t="s">
        <v>38</v>
      </c>
      <c r="K5641" s="1">
        <f t="shared" si="1"/>
        <v>2021</v>
      </c>
      <c r="L5641" s="1" t="str">
        <f t="shared" si="2"/>
        <v>Dec</v>
      </c>
      <c r="M5641" s="1" t="str">
        <f t="shared" si="3"/>
        <v>Profit</v>
      </c>
    </row>
    <row r="5642" ht="14.25" customHeight="1">
      <c r="A5642" s="1" t="s">
        <v>5676</v>
      </c>
      <c r="B5642" s="2">
        <v>44424.0</v>
      </c>
      <c r="C5642" s="1" t="s">
        <v>30</v>
      </c>
      <c r="D5642" s="1" t="s">
        <v>27</v>
      </c>
      <c r="E5642" s="1" t="s">
        <v>40</v>
      </c>
      <c r="F5642" s="1">
        <v>200.51</v>
      </c>
      <c r="G5642" s="1">
        <v>159.44</v>
      </c>
      <c r="H5642" s="1">
        <v>8.0</v>
      </c>
      <c r="I5642" s="1" t="s">
        <v>23</v>
      </c>
      <c r="J5642" s="1" t="s">
        <v>18</v>
      </c>
      <c r="K5642" s="1">
        <f t="shared" si="1"/>
        <v>2021</v>
      </c>
      <c r="L5642" s="1" t="str">
        <f t="shared" si="2"/>
        <v>Aug</v>
      </c>
      <c r="M5642" s="1" t="str">
        <f t="shared" si="3"/>
        <v>Profit</v>
      </c>
    </row>
    <row r="5643" ht="14.25" customHeight="1">
      <c r="A5643" s="1" t="s">
        <v>5677</v>
      </c>
      <c r="B5643" s="2">
        <v>44757.0</v>
      </c>
      <c r="C5643" s="1" t="s">
        <v>14</v>
      </c>
      <c r="D5643" s="1" t="s">
        <v>15</v>
      </c>
      <c r="E5643" s="1" t="s">
        <v>16</v>
      </c>
      <c r="F5643" s="1">
        <v>755.0</v>
      </c>
      <c r="G5643" s="1">
        <v>35.59</v>
      </c>
      <c r="H5643" s="1">
        <v>9.0</v>
      </c>
      <c r="I5643" s="1" t="s">
        <v>34</v>
      </c>
      <c r="J5643" s="1" t="s">
        <v>35</v>
      </c>
      <c r="K5643" s="1">
        <f t="shared" si="1"/>
        <v>2022</v>
      </c>
      <c r="L5643" s="1" t="str">
        <f t="shared" si="2"/>
        <v>Jul</v>
      </c>
      <c r="M5643" s="1" t="str">
        <f t="shared" si="3"/>
        <v>Profit</v>
      </c>
    </row>
    <row r="5644" ht="14.25" customHeight="1">
      <c r="A5644" s="1" t="s">
        <v>5678</v>
      </c>
      <c r="B5644" s="2">
        <v>45136.0</v>
      </c>
      <c r="C5644" s="1" t="s">
        <v>14</v>
      </c>
      <c r="D5644" s="1" t="s">
        <v>21</v>
      </c>
      <c r="E5644" s="1" t="s">
        <v>37</v>
      </c>
      <c r="F5644" s="1">
        <v>590.1</v>
      </c>
      <c r="G5644" s="1">
        <v>208.72</v>
      </c>
      <c r="H5644" s="1">
        <v>9.0</v>
      </c>
      <c r="I5644" s="1" t="s">
        <v>17</v>
      </c>
      <c r="J5644" s="1" t="s">
        <v>38</v>
      </c>
      <c r="K5644" s="1">
        <f t="shared" si="1"/>
        <v>2023</v>
      </c>
      <c r="L5644" s="1" t="str">
        <f t="shared" si="2"/>
        <v>Jul</v>
      </c>
      <c r="M5644" s="1" t="str">
        <f t="shared" si="3"/>
        <v>Profit</v>
      </c>
    </row>
    <row r="5645" ht="14.25" customHeight="1">
      <c r="A5645" s="1" t="s">
        <v>5679</v>
      </c>
      <c r="B5645" s="2">
        <v>44714.0</v>
      </c>
      <c r="C5645" s="1" t="s">
        <v>30</v>
      </c>
      <c r="D5645" s="1" t="s">
        <v>15</v>
      </c>
      <c r="E5645" s="1" t="s">
        <v>16</v>
      </c>
      <c r="F5645" s="1">
        <v>172.95</v>
      </c>
      <c r="G5645" s="1">
        <v>0.87</v>
      </c>
      <c r="H5645" s="1">
        <v>10.0</v>
      </c>
      <c r="I5645" s="1" t="s">
        <v>17</v>
      </c>
      <c r="J5645" s="1" t="s">
        <v>18</v>
      </c>
      <c r="K5645" s="1">
        <f t="shared" si="1"/>
        <v>2022</v>
      </c>
      <c r="L5645" s="1" t="str">
        <f t="shared" si="2"/>
        <v>Jun</v>
      </c>
      <c r="M5645" s="1" t="str">
        <f t="shared" si="3"/>
        <v>Profit</v>
      </c>
    </row>
    <row r="5646" ht="14.25" customHeight="1">
      <c r="A5646" s="1" t="s">
        <v>5680</v>
      </c>
      <c r="B5646" s="2">
        <v>44548.0</v>
      </c>
      <c r="C5646" s="1" t="s">
        <v>30</v>
      </c>
      <c r="D5646" s="1" t="s">
        <v>15</v>
      </c>
      <c r="E5646" s="1" t="s">
        <v>54</v>
      </c>
      <c r="F5646" s="1">
        <v>400.91</v>
      </c>
      <c r="G5646" s="1">
        <v>138.85</v>
      </c>
      <c r="H5646" s="1">
        <v>6.0</v>
      </c>
      <c r="I5646" s="1" t="s">
        <v>17</v>
      </c>
      <c r="J5646" s="1" t="s">
        <v>24</v>
      </c>
      <c r="K5646" s="1">
        <f t="shared" si="1"/>
        <v>2021</v>
      </c>
      <c r="L5646" s="1" t="str">
        <f t="shared" si="2"/>
        <v>Dec</v>
      </c>
      <c r="M5646" s="1" t="str">
        <f t="shared" si="3"/>
        <v>Profit</v>
      </c>
    </row>
    <row r="5647" ht="14.25" customHeight="1">
      <c r="A5647" s="1" t="s">
        <v>5681</v>
      </c>
      <c r="B5647" s="2">
        <v>44272.0</v>
      </c>
      <c r="C5647" s="1" t="s">
        <v>26</v>
      </c>
      <c r="D5647" s="1" t="s">
        <v>27</v>
      </c>
      <c r="E5647" s="1" t="s">
        <v>33</v>
      </c>
      <c r="F5647" s="1">
        <v>759.9</v>
      </c>
      <c r="G5647" s="1">
        <v>-184.43</v>
      </c>
      <c r="H5647" s="1">
        <v>2.0</v>
      </c>
      <c r="I5647" s="1" t="s">
        <v>23</v>
      </c>
      <c r="J5647" s="1" t="s">
        <v>35</v>
      </c>
      <c r="K5647" s="1">
        <f t="shared" si="1"/>
        <v>2021</v>
      </c>
      <c r="L5647" s="1" t="str">
        <f t="shared" si="2"/>
        <v>Mar</v>
      </c>
      <c r="M5647" s="1" t="str">
        <f t="shared" si="3"/>
        <v>Loss</v>
      </c>
    </row>
    <row r="5648" ht="14.25" customHeight="1">
      <c r="A5648" s="1" t="s">
        <v>5682</v>
      </c>
      <c r="B5648" s="2">
        <v>45144.0</v>
      </c>
      <c r="C5648" s="1" t="s">
        <v>26</v>
      </c>
      <c r="D5648" s="1" t="s">
        <v>15</v>
      </c>
      <c r="E5648" s="1" t="s">
        <v>16</v>
      </c>
      <c r="F5648" s="1">
        <v>294.46</v>
      </c>
      <c r="G5648" s="1">
        <v>286.65</v>
      </c>
      <c r="H5648" s="1">
        <v>2.0</v>
      </c>
      <c r="I5648" s="1" t="s">
        <v>34</v>
      </c>
      <c r="J5648" s="1" t="s">
        <v>18</v>
      </c>
      <c r="K5648" s="1">
        <f t="shared" si="1"/>
        <v>2023</v>
      </c>
      <c r="L5648" s="1" t="str">
        <f t="shared" si="2"/>
        <v>Aug</v>
      </c>
      <c r="M5648" s="1" t="str">
        <f t="shared" si="3"/>
        <v>Profit</v>
      </c>
    </row>
    <row r="5649" ht="14.25" customHeight="1">
      <c r="A5649" s="1" t="s">
        <v>5683</v>
      </c>
      <c r="B5649" s="2">
        <v>45040.0</v>
      </c>
      <c r="C5649" s="1" t="s">
        <v>14</v>
      </c>
      <c r="D5649" s="1" t="s">
        <v>27</v>
      </c>
      <c r="E5649" s="1" t="s">
        <v>28</v>
      </c>
      <c r="F5649" s="1">
        <v>917.1</v>
      </c>
      <c r="G5649" s="1">
        <v>228.53</v>
      </c>
      <c r="H5649" s="1">
        <v>2.0</v>
      </c>
      <c r="I5649" s="1" t="s">
        <v>34</v>
      </c>
      <c r="J5649" s="1" t="s">
        <v>24</v>
      </c>
      <c r="K5649" s="1">
        <f t="shared" si="1"/>
        <v>2023</v>
      </c>
      <c r="L5649" s="1" t="str">
        <f t="shared" si="2"/>
        <v>Apr</v>
      </c>
      <c r="M5649" s="1" t="str">
        <f t="shared" si="3"/>
        <v>Profit</v>
      </c>
    </row>
    <row r="5650" ht="14.25" customHeight="1">
      <c r="A5650" s="1" t="s">
        <v>5684</v>
      </c>
      <c r="B5650" s="2">
        <v>45175.0</v>
      </c>
      <c r="C5650" s="1" t="s">
        <v>14</v>
      </c>
      <c r="D5650" s="1" t="s">
        <v>27</v>
      </c>
      <c r="E5650" s="1" t="s">
        <v>40</v>
      </c>
      <c r="F5650" s="1">
        <v>342.37</v>
      </c>
      <c r="G5650" s="1">
        <v>85.4</v>
      </c>
      <c r="H5650" s="1">
        <v>4.0</v>
      </c>
      <c r="I5650" s="1" t="s">
        <v>23</v>
      </c>
      <c r="J5650" s="1" t="s">
        <v>35</v>
      </c>
      <c r="K5650" s="1">
        <f t="shared" si="1"/>
        <v>2023</v>
      </c>
      <c r="L5650" s="1" t="str">
        <f t="shared" si="2"/>
        <v>Sep</v>
      </c>
      <c r="M5650" s="1" t="str">
        <f t="shared" si="3"/>
        <v>Profit</v>
      </c>
    </row>
    <row r="5651" ht="14.25" customHeight="1">
      <c r="A5651" s="1" t="s">
        <v>5685</v>
      </c>
      <c r="B5651" s="2">
        <v>44917.0</v>
      </c>
      <c r="C5651" s="1" t="s">
        <v>26</v>
      </c>
      <c r="D5651" s="1" t="s">
        <v>27</v>
      </c>
      <c r="E5651" s="1" t="s">
        <v>33</v>
      </c>
      <c r="F5651" s="1">
        <v>163.33</v>
      </c>
      <c r="G5651" s="1">
        <v>-85.04</v>
      </c>
      <c r="H5651" s="1">
        <v>3.0</v>
      </c>
      <c r="I5651" s="1" t="s">
        <v>34</v>
      </c>
      <c r="J5651" s="1" t="s">
        <v>18</v>
      </c>
      <c r="K5651" s="1">
        <f t="shared" si="1"/>
        <v>2022</v>
      </c>
      <c r="L5651" s="1" t="str">
        <f t="shared" si="2"/>
        <v>Dec</v>
      </c>
      <c r="M5651" s="1" t="str">
        <f t="shared" si="3"/>
        <v>Loss</v>
      </c>
    </row>
    <row r="5652" ht="14.25" customHeight="1">
      <c r="A5652" s="1" t="s">
        <v>5686</v>
      </c>
      <c r="B5652" s="2">
        <v>45261.0</v>
      </c>
      <c r="C5652" s="1" t="s">
        <v>14</v>
      </c>
      <c r="D5652" s="1" t="s">
        <v>15</v>
      </c>
      <c r="E5652" s="1" t="s">
        <v>54</v>
      </c>
      <c r="F5652" s="1">
        <v>786.81</v>
      </c>
      <c r="G5652" s="1">
        <v>61.38</v>
      </c>
      <c r="H5652" s="1">
        <v>10.0</v>
      </c>
      <c r="I5652" s="1" t="s">
        <v>23</v>
      </c>
      <c r="J5652" s="1" t="s">
        <v>24</v>
      </c>
      <c r="K5652" s="1">
        <f t="shared" si="1"/>
        <v>2023</v>
      </c>
      <c r="L5652" s="1" t="str">
        <f t="shared" si="2"/>
        <v>Dec</v>
      </c>
      <c r="M5652" s="1" t="str">
        <f t="shared" si="3"/>
        <v>Profit</v>
      </c>
    </row>
    <row r="5653" ht="14.25" customHeight="1">
      <c r="A5653" s="1" t="s">
        <v>5687</v>
      </c>
      <c r="B5653" s="2">
        <v>45008.0</v>
      </c>
      <c r="C5653" s="1" t="s">
        <v>26</v>
      </c>
      <c r="D5653" s="1" t="s">
        <v>21</v>
      </c>
      <c r="E5653" s="1" t="s">
        <v>22</v>
      </c>
      <c r="F5653" s="1">
        <v>985.3</v>
      </c>
      <c r="G5653" s="1">
        <v>199.89</v>
      </c>
      <c r="H5653" s="1">
        <v>6.0</v>
      </c>
      <c r="I5653" s="1" t="s">
        <v>17</v>
      </c>
      <c r="J5653" s="1" t="s">
        <v>18</v>
      </c>
      <c r="K5653" s="1">
        <f t="shared" si="1"/>
        <v>2023</v>
      </c>
      <c r="L5653" s="1" t="str">
        <f t="shared" si="2"/>
        <v>Mar</v>
      </c>
      <c r="M5653" s="1" t="str">
        <f t="shared" si="3"/>
        <v>Profit</v>
      </c>
    </row>
    <row r="5654" ht="14.25" customHeight="1">
      <c r="A5654" s="1" t="s">
        <v>5688</v>
      </c>
      <c r="B5654" s="2">
        <v>45076.0</v>
      </c>
      <c r="C5654" s="1" t="s">
        <v>26</v>
      </c>
      <c r="D5654" s="1" t="s">
        <v>21</v>
      </c>
      <c r="E5654" s="1" t="s">
        <v>22</v>
      </c>
      <c r="F5654" s="1">
        <v>350.13</v>
      </c>
      <c r="G5654" s="1">
        <v>27.29</v>
      </c>
      <c r="H5654" s="1">
        <v>3.0</v>
      </c>
      <c r="I5654" s="1" t="s">
        <v>34</v>
      </c>
      <c r="J5654" s="1" t="s">
        <v>18</v>
      </c>
      <c r="K5654" s="1">
        <f t="shared" si="1"/>
        <v>2023</v>
      </c>
      <c r="L5654" s="1" t="str">
        <f t="shared" si="2"/>
        <v>May</v>
      </c>
      <c r="M5654" s="1" t="str">
        <f t="shared" si="3"/>
        <v>Profit</v>
      </c>
    </row>
    <row r="5655" ht="14.25" customHeight="1">
      <c r="A5655" s="1" t="s">
        <v>5689</v>
      </c>
      <c r="B5655" s="2">
        <v>45212.0</v>
      </c>
      <c r="C5655" s="1" t="s">
        <v>30</v>
      </c>
      <c r="D5655" s="1" t="s">
        <v>27</v>
      </c>
      <c r="E5655" s="1" t="s">
        <v>40</v>
      </c>
      <c r="F5655" s="1">
        <v>827.41</v>
      </c>
      <c r="G5655" s="1">
        <v>57.46</v>
      </c>
      <c r="H5655" s="1">
        <v>6.0</v>
      </c>
      <c r="I5655" s="1" t="s">
        <v>34</v>
      </c>
      <c r="J5655" s="1" t="s">
        <v>18</v>
      </c>
      <c r="K5655" s="1">
        <f t="shared" si="1"/>
        <v>2023</v>
      </c>
      <c r="L5655" s="1" t="str">
        <f t="shared" si="2"/>
        <v>Oct</v>
      </c>
      <c r="M5655" s="1" t="str">
        <f t="shared" si="3"/>
        <v>Profit</v>
      </c>
    </row>
    <row r="5656" ht="14.25" customHeight="1">
      <c r="A5656" s="1" t="s">
        <v>5690</v>
      </c>
      <c r="B5656" s="2">
        <v>44797.0</v>
      </c>
      <c r="C5656" s="1" t="s">
        <v>20</v>
      </c>
      <c r="D5656" s="1" t="s">
        <v>27</v>
      </c>
      <c r="E5656" s="1" t="s">
        <v>28</v>
      </c>
      <c r="F5656" s="1">
        <v>583.93</v>
      </c>
      <c r="G5656" s="1">
        <v>-165.28</v>
      </c>
      <c r="H5656" s="1">
        <v>4.0</v>
      </c>
      <c r="I5656" s="1" t="s">
        <v>23</v>
      </c>
      <c r="J5656" s="1" t="s">
        <v>18</v>
      </c>
      <c r="K5656" s="1">
        <f t="shared" si="1"/>
        <v>2022</v>
      </c>
      <c r="L5656" s="1" t="str">
        <f t="shared" si="2"/>
        <v>Aug</v>
      </c>
      <c r="M5656" s="1" t="str">
        <f t="shared" si="3"/>
        <v>Loss</v>
      </c>
    </row>
    <row r="5657" ht="14.25" customHeight="1">
      <c r="A5657" s="1" t="s">
        <v>5691</v>
      </c>
      <c r="B5657" s="2">
        <v>45249.0</v>
      </c>
      <c r="C5657" s="1" t="s">
        <v>30</v>
      </c>
      <c r="D5657" s="1" t="s">
        <v>27</v>
      </c>
      <c r="E5657" s="1" t="s">
        <v>33</v>
      </c>
      <c r="F5657" s="1">
        <v>904.38</v>
      </c>
      <c r="G5657" s="1">
        <v>70.64</v>
      </c>
      <c r="H5657" s="1">
        <v>8.0</v>
      </c>
      <c r="I5657" s="1" t="s">
        <v>23</v>
      </c>
      <c r="J5657" s="1" t="s">
        <v>35</v>
      </c>
      <c r="K5657" s="1">
        <f t="shared" si="1"/>
        <v>2023</v>
      </c>
      <c r="L5657" s="1" t="str">
        <f t="shared" si="2"/>
        <v>Nov</v>
      </c>
      <c r="M5657" s="1" t="str">
        <f t="shared" si="3"/>
        <v>Profit</v>
      </c>
    </row>
    <row r="5658" ht="14.25" customHeight="1">
      <c r="A5658" s="1" t="s">
        <v>5692</v>
      </c>
      <c r="B5658" s="2">
        <v>44695.0</v>
      </c>
      <c r="C5658" s="1" t="s">
        <v>20</v>
      </c>
      <c r="D5658" s="1" t="s">
        <v>21</v>
      </c>
      <c r="E5658" s="1" t="s">
        <v>22</v>
      </c>
      <c r="F5658" s="1">
        <v>763.63</v>
      </c>
      <c r="G5658" s="1">
        <v>-87.19</v>
      </c>
      <c r="H5658" s="1">
        <v>5.0</v>
      </c>
      <c r="I5658" s="1" t="s">
        <v>23</v>
      </c>
      <c r="J5658" s="1" t="s">
        <v>38</v>
      </c>
      <c r="K5658" s="1">
        <f t="shared" si="1"/>
        <v>2022</v>
      </c>
      <c r="L5658" s="1" t="str">
        <f t="shared" si="2"/>
        <v>May</v>
      </c>
      <c r="M5658" s="1" t="str">
        <f t="shared" si="3"/>
        <v>Loss</v>
      </c>
    </row>
    <row r="5659" ht="14.25" customHeight="1">
      <c r="A5659" s="1" t="s">
        <v>5693</v>
      </c>
      <c r="B5659" s="2">
        <v>44920.0</v>
      </c>
      <c r="C5659" s="1" t="s">
        <v>20</v>
      </c>
      <c r="D5659" s="1" t="s">
        <v>27</v>
      </c>
      <c r="E5659" s="1" t="s">
        <v>40</v>
      </c>
      <c r="F5659" s="1">
        <v>67.22</v>
      </c>
      <c r="G5659" s="1">
        <v>90.73</v>
      </c>
      <c r="H5659" s="1">
        <v>10.0</v>
      </c>
      <c r="I5659" s="1" t="s">
        <v>34</v>
      </c>
      <c r="J5659" s="1" t="s">
        <v>38</v>
      </c>
      <c r="K5659" s="1">
        <f t="shared" si="1"/>
        <v>2022</v>
      </c>
      <c r="L5659" s="1" t="str">
        <f t="shared" si="2"/>
        <v>Dec</v>
      </c>
      <c r="M5659" s="1" t="str">
        <f t="shared" si="3"/>
        <v>Profit</v>
      </c>
    </row>
    <row r="5660" ht="14.25" customHeight="1">
      <c r="A5660" s="1" t="s">
        <v>5694</v>
      </c>
      <c r="B5660" s="2">
        <v>45137.0</v>
      </c>
      <c r="C5660" s="1" t="s">
        <v>30</v>
      </c>
      <c r="D5660" s="1" t="s">
        <v>15</v>
      </c>
      <c r="E5660" s="1" t="s">
        <v>54</v>
      </c>
      <c r="F5660" s="1">
        <v>477.16</v>
      </c>
      <c r="G5660" s="1">
        <v>-163.25</v>
      </c>
      <c r="H5660" s="1">
        <v>2.0</v>
      </c>
      <c r="I5660" s="1" t="s">
        <v>34</v>
      </c>
      <c r="J5660" s="1" t="s">
        <v>35</v>
      </c>
      <c r="K5660" s="1">
        <f t="shared" si="1"/>
        <v>2023</v>
      </c>
      <c r="L5660" s="1" t="str">
        <f t="shared" si="2"/>
        <v>Jul</v>
      </c>
      <c r="M5660" s="1" t="str">
        <f t="shared" si="3"/>
        <v>Loss</v>
      </c>
    </row>
    <row r="5661" ht="14.25" customHeight="1">
      <c r="A5661" s="1" t="s">
        <v>5695</v>
      </c>
      <c r="B5661" s="2">
        <v>44816.0</v>
      </c>
      <c r="C5661" s="1" t="s">
        <v>20</v>
      </c>
      <c r="D5661" s="1" t="s">
        <v>15</v>
      </c>
      <c r="E5661" s="1" t="s">
        <v>16</v>
      </c>
      <c r="F5661" s="1">
        <v>453.27</v>
      </c>
      <c r="G5661" s="1">
        <v>-86.86</v>
      </c>
      <c r="H5661" s="1">
        <v>8.0</v>
      </c>
      <c r="I5661" s="1" t="s">
        <v>23</v>
      </c>
      <c r="J5661" s="1" t="s">
        <v>24</v>
      </c>
      <c r="K5661" s="1">
        <f t="shared" si="1"/>
        <v>2022</v>
      </c>
      <c r="L5661" s="1" t="str">
        <f t="shared" si="2"/>
        <v>Sep</v>
      </c>
      <c r="M5661" s="1" t="str">
        <f t="shared" si="3"/>
        <v>Loss</v>
      </c>
    </row>
    <row r="5662" ht="14.25" customHeight="1">
      <c r="A5662" s="1" t="s">
        <v>5696</v>
      </c>
      <c r="B5662" s="2">
        <v>44806.0</v>
      </c>
      <c r="C5662" s="1" t="s">
        <v>26</v>
      </c>
      <c r="D5662" s="1" t="s">
        <v>15</v>
      </c>
      <c r="E5662" s="1" t="s">
        <v>31</v>
      </c>
      <c r="F5662" s="1">
        <v>584.83</v>
      </c>
      <c r="G5662" s="1">
        <v>77.02</v>
      </c>
      <c r="H5662" s="1">
        <v>1.0</v>
      </c>
      <c r="I5662" s="1" t="s">
        <v>34</v>
      </c>
      <c r="J5662" s="1" t="s">
        <v>35</v>
      </c>
      <c r="K5662" s="1">
        <f t="shared" si="1"/>
        <v>2022</v>
      </c>
      <c r="L5662" s="1" t="str">
        <f t="shared" si="2"/>
        <v>Sep</v>
      </c>
      <c r="M5662" s="1" t="str">
        <f t="shared" si="3"/>
        <v>Profit</v>
      </c>
    </row>
    <row r="5663" ht="14.25" customHeight="1">
      <c r="A5663" s="1" t="s">
        <v>5697</v>
      </c>
      <c r="B5663" s="2">
        <v>44408.0</v>
      </c>
      <c r="C5663" s="1" t="s">
        <v>26</v>
      </c>
      <c r="D5663" s="1" t="s">
        <v>21</v>
      </c>
      <c r="E5663" s="1" t="s">
        <v>76</v>
      </c>
      <c r="F5663" s="1">
        <v>647.17</v>
      </c>
      <c r="G5663" s="1">
        <v>-129.19</v>
      </c>
      <c r="H5663" s="1">
        <v>5.0</v>
      </c>
      <c r="I5663" s="1" t="s">
        <v>17</v>
      </c>
      <c r="J5663" s="1" t="s">
        <v>38</v>
      </c>
      <c r="K5663" s="1">
        <f t="shared" si="1"/>
        <v>2021</v>
      </c>
      <c r="L5663" s="1" t="str">
        <f t="shared" si="2"/>
        <v>Jul</v>
      </c>
      <c r="M5663" s="1" t="str">
        <f t="shared" si="3"/>
        <v>Loss</v>
      </c>
    </row>
    <row r="5664" ht="14.25" customHeight="1">
      <c r="A5664" s="1" t="s">
        <v>5698</v>
      </c>
      <c r="B5664" s="2">
        <v>44690.0</v>
      </c>
      <c r="C5664" s="1" t="s">
        <v>30</v>
      </c>
      <c r="D5664" s="1" t="s">
        <v>15</v>
      </c>
      <c r="E5664" s="1" t="s">
        <v>54</v>
      </c>
      <c r="F5664" s="1">
        <v>63.79</v>
      </c>
      <c r="G5664" s="1">
        <v>185.58</v>
      </c>
      <c r="H5664" s="1">
        <v>5.0</v>
      </c>
      <c r="I5664" s="1" t="s">
        <v>34</v>
      </c>
      <c r="J5664" s="1" t="s">
        <v>18</v>
      </c>
      <c r="K5664" s="1">
        <f t="shared" si="1"/>
        <v>2022</v>
      </c>
      <c r="L5664" s="1" t="str">
        <f t="shared" si="2"/>
        <v>May</v>
      </c>
      <c r="M5664" s="1" t="str">
        <f t="shared" si="3"/>
        <v>Profit</v>
      </c>
    </row>
    <row r="5665" ht="14.25" customHeight="1">
      <c r="A5665" s="1" t="s">
        <v>5699</v>
      </c>
      <c r="B5665" s="2">
        <v>44582.0</v>
      </c>
      <c r="C5665" s="1" t="s">
        <v>20</v>
      </c>
      <c r="D5665" s="1" t="s">
        <v>27</v>
      </c>
      <c r="E5665" s="1" t="s">
        <v>40</v>
      </c>
      <c r="F5665" s="1">
        <v>574.35</v>
      </c>
      <c r="G5665" s="1">
        <v>99.46</v>
      </c>
      <c r="H5665" s="1">
        <v>4.0</v>
      </c>
      <c r="I5665" s="1" t="s">
        <v>34</v>
      </c>
      <c r="J5665" s="1" t="s">
        <v>24</v>
      </c>
      <c r="K5665" s="1">
        <f t="shared" si="1"/>
        <v>2022</v>
      </c>
      <c r="L5665" s="1" t="str">
        <f t="shared" si="2"/>
        <v>Jan</v>
      </c>
      <c r="M5665" s="1" t="str">
        <f t="shared" si="3"/>
        <v>Profit</v>
      </c>
    </row>
    <row r="5666" ht="14.25" customHeight="1">
      <c r="A5666" s="1" t="s">
        <v>5700</v>
      </c>
      <c r="B5666" s="2">
        <v>44221.0</v>
      </c>
      <c r="C5666" s="1" t="s">
        <v>20</v>
      </c>
      <c r="D5666" s="1" t="s">
        <v>21</v>
      </c>
      <c r="E5666" s="1" t="s">
        <v>37</v>
      </c>
      <c r="F5666" s="1">
        <v>34.36</v>
      </c>
      <c r="G5666" s="1">
        <v>69.18</v>
      </c>
      <c r="H5666" s="1">
        <v>6.0</v>
      </c>
      <c r="I5666" s="1" t="s">
        <v>34</v>
      </c>
      <c r="J5666" s="1" t="s">
        <v>35</v>
      </c>
      <c r="K5666" s="1">
        <f t="shared" si="1"/>
        <v>2021</v>
      </c>
      <c r="L5666" s="1" t="str">
        <f t="shared" si="2"/>
        <v>Jan</v>
      </c>
      <c r="M5666" s="1" t="str">
        <f t="shared" si="3"/>
        <v>Profit</v>
      </c>
    </row>
    <row r="5667" ht="14.25" customHeight="1">
      <c r="A5667" s="1" t="s">
        <v>5701</v>
      </c>
      <c r="B5667" s="2">
        <v>45284.0</v>
      </c>
      <c r="C5667" s="1" t="s">
        <v>20</v>
      </c>
      <c r="D5667" s="1" t="s">
        <v>27</v>
      </c>
      <c r="E5667" s="1" t="s">
        <v>28</v>
      </c>
      <c r="F5667" s="1">
        <v>360.12</v>
      </c>
      <c r="G5667" s="1">
        <v>-10.95</v>
      </c>
      <c r="H5667" s="1">
        <v>2.0</v>
      </c>
      <c r="I5667" s="1" t="s">
        <v>17</v>
      </c>
      <c r="J5667" s="1" t="s">
        <v>18</v>
      </c>
      <c r="K5667" s="1">
        <f t="shared" si="1"/>
        <v>2023</v>
      </c>
      <c r="L5667" s="1" t="str">
        <f t="shared" si="2"/>
        <v>Dec</v>
      </c>
      <c r="M5667" s="1" t="str">
        <f t="shared" si="3"/>
        <v>Loss</v>
      </c>
    </row>
    <row r="5668" ht="14.25" customHeight="1">
      <c r="A5668" s="1" t="s">
        <v>5702</v>
      </c>
      <c r="B5668" s="2">
        <v>45015.0</v>
      </c>
      <c r="C5668" s="1" t="s">
        <v>20</v>
      </c>
      <c r="D5668" s="1" t="s">
        <v>21</v>
      </c>
      <c r="E5668" s="1" t="s">
        <v>37</v>
      </c>
      <c r="F5668" s="1">
        <v>256.49</v>
      </c>
      <c r="G5668" s="1">
        <v>-90.86</v>
      </c>
      <c r="H5668" s="1">
        <v>4.0</v>
      </c>
      <c r="I5668" s="1" t="s">
        <v>17</v>
      </c>
      <c r="J5668" s="1" t="s">
        <v>18</v>
      </c>
      <c r="K5668" s="1">
        <f t="shared" si="1"/>
        <v>2023</v>
      </c>
      <c r="L5668" s="1" t="str">
        <f t="shared" si="2"/>
        <v>Mar</v>
      </c>
      <c r="M5668" s="1" t="str">
        <f t="shared" si="3"/>
        <v>Loss</v>
      </c>
    </row>
    <row r="5669" ht="14.25" customHeight="1">
      <c r="A5669" s="1" t="s">
        <v>5703</v>
      </c>
      <c r="B5669" s="2">
        <v>44717.0</v>
      </c>
      <c r="C5669" s="1" t="s">
        <v>30</v>
      </c>
      <c r="D5669" s="1" t="s">
        <v>27</v>
      </c>
      <c r="E5669" s="1" t="s">
        <v>40</v>
      </c>
      <c r="F5669" s="1">
        <v>544.32</v>
      </c>
      <c r="G5669" s="1">
        <v>123.06</v>
      </c>
      <c r="H5669" s="1">
        <v>10.0</v>
      </c>
      <c r="I5669" s="1" t="s">
        <v>34</v>
      </c>
      <c r="J5669" s="1" t="s">
        <v>24</v>
      </c>
      <c r="K5669" s="1">
        <f t="shared" si="1"/>
        <v>2022</v>
      </c>
      <c r="L5669" s="1" t="str">
        <f t="shared" si="2"/>
        <v>Jun</v>
      </c>
      <c r="M5669" s="1" t="str">
        <f t="shared" si="3"/>
        <v>Profit</v>
      </c>
    </row>
    <row r="5670" ht="14.25" customHeight="1">
      <c r="A5670" s="1" t="s">
        <v>5704</v>
      </c>
      <c r="B5670" s="2">
        <v>45072.0</v>
      </c>
      <c r="C5670" s="1" t="s">
        <v>20</v>
      </c>
      <c r="D5670" s="1" t="s">
        <v>21</v>
      </c>
      <c r="E5670" s="1" t="s">
        <v>76</v>
      </c>
      <c r="F5670" s="1">
        <v>956.13</v>
      </c>
      <c r="G5670" s="1">
        <v>107.06</v>
      </c>
      <c r="H5670" s="1">
        <v>8.0</v>
      </c>
      <c r="I5670" s="1" t="s">
        <v>23</v>
      </c>
      <c r="J5670" s="1" t="s">
        <v>35</v>
      </c>
      <c r="K5670" s="1">
        <f t="shared" si="1"/>
        <v>2023</v>
      </c>
      <c r="L5670" s="1" t="str">
        <f t="shared" si="2"/>
        <v>May</v>
      </c>
      <c r="M5670" s="1" t="str">
        <f t="shared" si="3"/>
        <v>Profit</v>
      </c>
    </row>
    <row r="5671" ht="14.25" customHeight="1">
      <c r="A5671" s="1" t="s">
        <v>5705</v>
      </c>
      <c r="B5671" s="2">
        <v>44317.0</v>
      </c>
      <c r="C5671" s="1" t="s">
        <v>14</v>
      </c>
      <c r="D5671" s="1" t="s">
        <v>27</v>
      </c>
      <c r="E5671" s="1" t="s">
        <v>28</v>
      </c>
      <c r="F5671" s="1">
        <v>570.59</v>
      </c>
      <c r="G5671" s="1">
        <v>160.28</v>
      </c>
      <c r="H5671" s="1">
        <v>10.0</v>
      </c>
      <c r="I5671" s="1" t="s">
        <v>23</v>
      </c>
      <c r="J5671" s="1" t="s">
        <v>18</v>
      </c>
      <c r="K5671" s="1">
        <f t="shared" si="1"/>
        <v>2021</v>
      </c>
      <c r="L5671" s="1" t="str">
        <f t="shared" si="2"/>
        <v>May</v>
      </c>
      <c r="M5671" s="1" t="str">
        <f t="shared" si="3"/>
        <v>Profit</v>
      </c>
    </row>
    <row r="5672" ht="14.25" customHeight="1">
      <c r="A5672" s="1" t="s">
        <v>5706</v>
      </c>
      <c r="B5672" s="2">
        <v>44535.0</v>
      </c>
      <c r="C5672" s="1" t="s">
        <v>14</v>
      </c>
      <c r="D5672" s="1" t="s">
        <v>15</v>
      </c>
      <c r="E5672" s="1" t="s">
        <v>31</v>
      </c>
      <c r="F5672" s="1">
        <v>571.01</v>
      </c>
      <c r="G5672" s="1">
        <v>65.82</v>
      </c>
      <c r="H5672" s="1">
        <v>5.0</v>
      </c>
      <c r="I5672" s="1" t="s">
        <v>23</v>
      </c>
      <c r="J5672" s="1" t="s">
        <v>35</v>
      </c>
      <c r="K5672" s="1">
        <f t="shared" si="1"/>
        <v>2021</v>
      </c>
      <c r="L5672" s="1" t="str">
        <f t="shared" si="2"/>
        <v>Dec</v>
      </c>
      <c r="M5672" s="1" t="str">
        <f t="shared" si="3"/>
        <v>Profit</v>
      </c>
    </row>
    <row r="5673" ht="14.25" customHeight="1">
      <c r="A5673" s="1" t="s">
        <v>5707</v>
      </c>
      <c r="B5673" s="2">
        <v>45034.0</v>
      </c>
      <c r="C5673" s="1" t="s">
        <v>14</v>
      </c>
      <c r="D5673" s="1" t="s">
        <v>15</v>
      </c>
      <c r="E5673" s="1" t="s">
        <v>16</v>
      </c>
      <c r="F5673" s="1">
        <v>57.88</v>
      </c>
      <c r="G5673" s="1">
        <v>-83.81</v>
      </c>
      <c r="H5673" s="1">
        <v>9.0</v>
      </c>
      <c r="I5673" s="1" t="s">
        <v>23</v>
      </c>
      <c r="J5673" s="1" t="s">
        <v>35</v>
      </c>
      <c r="K5673" s="1">
        <f t="shared" si="1"/>
        <v>2023</v>
      </c>
      <c r="L5673" s="1" t="str">
        <f t="shared" si="2"/>
        <v>Apr</v>
      </c>
      <c r="M5673" s="1" t="str">
        <f t="shared" si="3"/>
        <v>Loss</v>
      </c>
    </row>
    <row r="5674" ht="14.25" customHeight="1">
      <c r="A5674" s="1" t="s">
        <v>5708</v>
      </c>
      <c r="B5674" s="2">
        <v>44976.0</v>
      </c>
      <c r="C5674" s="1" t="s">
        <v>26</v>
      </c>
      <c r="D5674" s="1" t="s">
        <v>15</v>
      </c>
      <c r="E5674" s="1" t="s">
        <v>16</v>
      </c>
      <c r="F5674" s="1">
        <v>257.94</v>
      </c>
      <c r="G5674" s="1">
        <v>-70.27</v>
      </c>
      <c r="H5674" s="1">
        <v>2.0</v>
      </c>
      <c r="I5674" s="1" t="s">
        <v>34</v>
      </c>
      <c r="J5674" s="1" t="s">
        <v>18</v>
      </c>
      <c r="K5674" s="1">
        <f t="shared" si="1"/>
        <v>2023</v>
      </c>
      <c r="L5674" s="1" t="str">
        <f t="shared" si="2"/>
        <v>Feb</v>
      </c>
      <c r="M5674" s="1" t="str">
        <f t="shared" si="3"/>
        <v>Loss</v>
      </c>
    </row>
    <row r="5675" ht="14.25" customHeight="1">
      <c r="A5675" s="1" t="s">
        <v>5709</v>
      </c>
      <c r="B5675" s="2">
        <v>44322.0</v>
      </c>
      <c r="C5675" s="1" t="s">
        <v>14</v>
      </c>
      <c r="D5675" s="1" t="s">
        <v>21</v>
      </c>
      <c r="E5675" s="1" t="s">
        <v>22</v>
      </c>
      <c r="F5675" s="1">
        <v>406.19</v>
      </c>
      <c r="G5675" s="1">
        <v>139.46</v>
      </c>
      <c r="H5675" s="1">
        <v>10.0</v>
      </c>
      <c r="I5675" s="1" t="s">
        <v>23</v>
      </c>
      <c r="J5675" s="1" t="s">
        <v>38</v>
      </c>
      <c r="K5675" s="1">
        <f t="shared" si="1"/>
        <v>2021</v>
      </c>
      <c r="L5675" s="1" t="str">
        <f t="shared" si="2"/>
        <v>May</v>
      </c>
      <c r="M5675" s="1" t="str">
        <f t="shared" si="3"/>
        <v>Profit</v>
      </c>
    </row>
    <row r="5676" ht="14.25" customHeight="1">
      <c r="A5676" s="1" t="s">
        <v>5710</v>
      </c>
      <c r="B5676" s="2">
        <v>44463.0</v>
      </c>
      <c r="C5676" s="1" t="s">
        <v>30</v>
      </c>
      <c r="D5676" s="1" t="s">
        <v>15</v>
      </c>
      <c r="E5676" s="1" t="s">
        <v>16</v>
      </c>
      <c r="F5676" s="1">
        <v>64.43</v>
      </c>
      <c r="G5676" s="1">
        <v>137.32</v>
      </c>
      <c r="H5676" s="1">
        <v>6.0</v>
      </c>
      <c r="I5676" s="1" t="s">
        <v>17</v>
      </c>
      <c r="J5676" s="1" t="s">
        <v>18</v>
      </c>
      <c r="K5676" s="1">
        <f t="shared" si="1"/>
        <v>2021</v>
      </c>
      <c r="L5676" s="1" t="str">
        <f t="shared" si="2"/>
        <v>Sep</v>
      </c>
      <c r="M5676" s="1" t="str">
        <f t="shared" si="3"/>
        <v>Profit</v>
      </c>
    </row>
    <row r="5677" ht="14.25" customHeight="1">
      <c r="A5677" s="1" t="s">
        <v>5711</v>
      </c>
      <c r="B5677" s="2">
        <v>45151.0</v>
      </c>
      <c r="C5677" s="1" t="s">
        <v>20</v>
      </c>
      <c r="D5677" s="1" t="s">
        <v>21</v>
      </c>
      <c r="E5677" s="1" t="s">
        <v>22</v>
      </c>
      <c r="F5677" s="1">
        <v>837.61</v>
      </c>
      <c r="G5677" s="1">
        <v>89.59</v>
      </c>
      <c r="H5677" s="1">
        <v>5.0</v>
      </c>
      <c r="I5677" s="1" t="s">
        <v>23</v>
      </c>
      <c r="J5677" s="1" t="s">
        <v>35</v>
      </c>
      <c r="K5677" s="1">
        <f t="shared" si="1"/>
        <v>2023</v>
      </c>
      <c r="L5677" s="1" t="str">
        <f t="shared" si="2"/>
        <v>Aug</v>
      </c>
      <c r="M5677" s="1" t="str">
        <f t="shared" si="3"/>
        <v>Profit</v>
      </c>
    </row>
    <row r="5678" ht="14.25" customHeight="1">
      <c r="A5678" s="1" t="s">
        <v>5712</v>
      </c>
      <c r="B5678" s="2">
        <v>45185.0</v>
      </c>
      <c r="C5678" s="1" t="s">
        <v>30</v>
      </c>
      <c r="D5678" s="1" t="s">
        <v>15</v>
      </c>
      <c r="E5678" s="1" t="s">
        <v>16</v>
      </c>
      <c r="F5678" s="1">
        <v>470.11</v>
      </c>
      <c r="G5678" s="1">
        <v>193.93</v>
      </c>
      <c r="H5678" s="1">
        <v>7.0</v>
      </c>
      <c r="I5678" s="1" t="s">
        <v>17</v>
      </c>
      <c r="J5678" s="1" t="s">
        <v>35</v>
      </c>
      <c r="K5678" s="1">
        <f t="shared" si="1"/>
        <v>2023</v>
      </c>
      <c r="L5678" s="1" t="str">
        <f t="shared" si="2"/>
        <v>Sep</v>
      </c>
      <c r="M5678" s="1" t="str">
        <f t="shared" si="3"/>
        <v>Profit</v>
      </c>
    </row>
    <row r="5679" ht="14.25" customHeight="1">
      <c r="A5679" s="1" t="s">
        <v>5713</v>
      </c>
      <c r="B5679" s="2">
        <v>44788.0</v>
      </c>
      <c r="C5679" s="1" t="s">
        <v>26</v>
      </c>
      <c r="D5679" s="1" t="s">
        <v>15</v>
      </c>
      <c r="E5679" s="1" t="s">
        <v>31</v>
      </c>
      <c r="F5679" s="1">
        <v>593.29</v>
      </c>
      <c r="G5679" s="1">
        <v>158.49</v>
      </c>
      <c r="H5679" s="1">
        <v>1.0</v>
      </c>
      <c r="I5679" s="1" t="s">
        <v>17</v>
      </c>
      <c r="J5679" s="1" t="s">
        <v>18</v>
      </c>
      <c r="K5679" s="1">
        <f t="shared" si="1"/>
        <v>2022</v>
      </c>
      <c r="L5679" s="1" t="str">
        <f t="shared" si="2"/>
        <v>Aug</v>
      </c>
      <c r="M5679" s="1" t="str">
        <f t="shared" si="3"/>
        <v>Profit</v>
      </c>
    </row>
    <row r="5680" ht="14.25" customHeight="1">
      <c r="A5680" s="1" t="s">
        <v>5714</v>
      </c>
      <c r="B5680" s="2">
        <v>44199.0</v>
      </c>
      <c r="C5680" s="1" t="s">
        <v>30</v>
      </c>
      <c r="D5680" s="1" t="s">
        <v>27</v>
      </c>
      <c r="E5680" s="1" t="s">
        <v>33</v>
      </c>
      <c r="F5680" s="1">
        <v>601.85</v>
      </c>
      <c r="G5680" s="1">
        <v>289.03</v>
      </c>
      <c r="H5680" s="1">
        <v>5.0</v>
      </c>
      <c r="I5680" s="1" t="s">
        <v>23</v>
      </c>
      <c r="J5680" s="1" t="s">
        <v>24</v>
      </c>
      <c r="K5680" s="1">
        <f t="shared" si="1"/>
        <v>2021</v>
      </c>
      <c r="L5680" s="1" t="str">
        <f t="shared" si="2"/>
        <v>Jan</v>
      </c>
      <c r="M5680" s="1" t="str">
        <f t="shared" si="3"/>
        <v>Profit</v>
      </c>
    </row>
    <row r="5681" ht="14.25" customHeight="1">
      <c r="A5681" s="1" t="s">
        <v>5715</v>
      </c>
      <c r="B5681" s="2">
        <v>44559.0</v>
      </c>
      <c r="C5681" s="1" t="s">
        <v>30</v>
      </c>
      <c r="D5681" s="1" t="s">
        <v>21</v>
      </c>
      <c r="E5681" s="1" t="s">
        <v>76</v>
      </c>
      <c r="F5681" s="1">
        <v>365.52</v>
      </c>
      <c r="G5681" s="1">
        <v>-6.88</v>
      </c>
      <c r="H5681" s="1">
        <v>1.0</v>
      </c>
      <c r="I5681" s="1" t="s">
        <v>34</v>
      </c>
      <c r="J5681" s="1" t="s">
        <v>24</v>
      </c>
      <c r="K5681" s="1">
        <f t="shared" si="1"/>
        <v>2021</v>
      </c>
      <c r="L5681" s="1" t="str">
        <f t="shared" si="2"/>
        <v>Dec</v>
      </c>
      <c r="M5681" s="1" t="str">
        <f t="shared" si="3"/>
        <v>Loss</v>
      </c>
    </row>
    <row r="5682" ht="14.25" customHeight="1">
      <c r="A5682" s="1" t="s">
        <v>5716</v>
      </c>
      <c r="B5682" s="2">
        <v>44496.0</v>
      </c>
      <c r="C5682" s="1" t="s">
        <v>14</v>
      </c>
      <c r="D5682" s="1" t="s">
        <v>21</v>
      </c>
      <c r="E5682" s="1" t="s">
        <v>76</v>
      </c>
      <c r="F5682" s="1">
        <v>904.16</v>
      </c>
      <c r="G5682" s="1">
        <v>99.16</v>
      </c>
      <c r="H5682" s="1">
        <v>7.0</v>
      </c>
      <c r="I5682" s="1" t="s">
        <v>17</v>
      </c>
      <c r="J5682" s="1" t="s">
        <v>35</v>
      </c>
      <c r="K5682" s="1">
        <f t="shared" si="1"/>
        <v>2021</v>
      </c>
      <c r="L5682" s="1" t="str">
        <f t="shared" si="2"/>
        <v>Oct</v>
      </c>
      <c r="M5682" s="1" t="str">
        <f t="shared" si="3"/>
        <v>Profit</v>
      </c>
    </row>
    <row r="5683" ht="14.25" customHeight="1">
      <c r="A5683" s="1" t="s">
        <v>5717</v>
      </c>
      <c r="B5683" s="2">
        <v>44462.0</v>
      </c>
      <c r="C5683" s="1" t="s">
        <v>20</v>
      </c>
      <c r="D5683" s="1" t="s">
        <v>15</v>
      </c>
      <c r="E5683" s="1" t="s">
        <v>31</v>
      </c>
      <c r="F5683" s="1">
        <v>636.28</v>
      </c>
      <c r="G5683" s="1">
        <v>52.01</v>
      </c>
      <c r="H5683" s="1">
        <v>8.0</v>
      </c>
      <c r="I5683" s="1" t="s">
        <v>17</v>
      </c>
      <c r="J5683" s="1" t="s">
        <v>35</v>
      </c>
      <c r="K5683" s="1">
        <f t="shared" si="1"/>
        <v>2021</v>
      </c>
      <c r="L5683" s="1" t="str">
        <f t="shared" si="2"/>
        <v>Sep</v>
      </c>
      <c r="M5683" s="1" t="str">
        <f t="shared" si="3"/>
        <v>Profit</v>
      </c>
    </row>
    <row r="5684" ht="14.25" customHeight="1">
      <c r="A5684" s="1" t="s">
        <v>5718</v>
      </c>
      <c r="B5684" s="2">
        <v>45173.0</v>
      </c>
      <c r="C5684" s="1" t="s">
        <v>14</v>
      </c>
      <c r="D5684" s="1" t="s">
        <v>15</v>
      </c>
      <c r="E5684" s="1" t="s">
        <v>16</v>
      </c>
      <c r="F5684" s="1">
        <v>950.93</v>
      </c>
      <c r="G5684" s="1">
        <v>-164.77</v>
      </c>
      <c r="H5684" s="1">
        <v>8.0</v>
      </c>
      <c r="I5684" s="1" t="s">
        <v>34</v>
      </c>
      <c r="J5684" s="1" t="s">
        <v>35</v>
      </c>
      <c r="K5684" s="1">
        <f t="shared" si="1"/>
        <v>2023</v>
      </c>
      <c r="L5684" s="1" t="str">
        <f t="shared" si="2"/>
        <v>Sep</v>
      </c>
      <c r="M5684" s="1" t="str">
        <f t="shared" si="3"/>
        <v>Loss</v>
      </c>
    </row>
    <row r="5685" ht="14.25" customHeight="1">
      <c r="A5685" s="1" t="s">
        <v>5719</v>
      </c>
      <c r="B5685" s="2">
        <v>44649.0</v>
      </c>
      <c r="C5685" s="1" t="s">
        <v>14</v>
      </c>
      <c r="D5685" s="1" t="s">
        <v>21</v>
      </c>
      <c r="E5685" s="1" t="s">
        <v>76</v>
      </c>
      <c r="F5685" s="1">
        <v>780.42</v>
      </c>
      <c r="G5685" s="1">
        <v>148.3</v>
      </c>
      <c r="H5685" s="1">
        <v>10.0</v>
      </c>
      <c r="I5685" s="1" t="s">
        <v>23</v>
      </c>
      <c r="J5685" s="1" t="s">
        <v>24</v>
      </c>
      <c r="K5685" s="1">
        <f t="shared" si="1"/>
        <v>2022</v>
      </c>
      <c r="L5685" s="1" t="str">
        <f t="shared" si="2"/>
        <v>Mar</v>
      </c>
      <c r="M5685" s="1" t="str">
        <f t="shared" si="3"/>
        <v>Profit</v>
      </c>
    </row>
    <row r="5686" ht="14.25" customHeight="1">
      <c r="A5686" s="1" t="s">
        <v>5720</v>
      </c>
      <c r="B5686" s="2">
        <v>45021.0</v>
      </c>
      <c r="C5686" s="1" t="s">
        <v>30</v>
      </c>
      <c r="D5686" s="1" t="s">
        <v>21</v>
      </c>
      <c r="E5686" s="1" t="s">
        <v>22</v>
      </c>
      <c r="F5686" s="1">
        <v>165.71</v>
      </c>
      <c r="G5686" s="1">
        <v>214.48</v>
      </c>
      <c r="H5686" s="1">
        <v>8.0</v>
      </c>
      <c r="I5686" s="1" t="s">
        <v>23</v>
      </c>
      <c r="J5686" s="1" t="s">
        <v>35</v>
      </c>
      <c r="K5686" s="1">
        <f t="shared" si="1"/>
        <v>2023</v>
      </c>
      <c r="L5686" s="1" t="str">
        <f t="shared" si="2"/>
        <v>Apr</v>
      </c>
      <c r="M5686" s="1" t="str">
        <f t="shared" si="3"/>
        <v>Profit</v>
      </c>
    </row>
    <row r="5687" ht="14.25" customHeight="1">
      <c r="A5687" s="1" t="s">
        <v>5721</v>
      </c>
      <c r="B5687" s="2">
        <v>44690.0</v>
      </c>
      <c r="C5687" s="1" t="s">
        <v>20</v>
      </c>
      <c r="D5687" s="1" t="s">
        <v>15</v>
      </c>
      <c r="E5687" s="1" t="s">
        <v>31</v>
      </c>
      <c r="F5687" s="1">
        <v>464.37</v>
      </c>
      <c r="G5687" s="1">
        <v>283.5</v>
      </c>
      <c r="H5687" s="1">
        <v>10.0</v>
      </c>
      <c r="I5687" s="1" t="s">
        <v>34</v>
      </c>
      <c r="J5687" s="1" t="s">
        <v>38</v>
      </c>
      <c r="K5687" s="1">
        <f t="shared" si="1"/>
        <v>2022</v>
      </c>
      <c r="L5687" s="1" t="str">
        <f t="shared" si="2"/>
        <v>May</v>
      </c>
      <c r="M5687" s="1" t="str">
        <f t="shared" si="3"/>
        <v>Profit</v>
      </c>
    </row>
    <row r="5688" ht="14.25" customHeight="1">
      <c r="A5688" s="1" t="s">
        <v>5722</v>
      </c>
      <c r="B5688" s="2">
        <v>44306.0</v>
      </c>
      <c r="C5688" s="1" t="s">
        <v>26</v>
      </c>
      <c r="D5688" s="1" t="s">
        <v>15</v>
      </c>
      <c r="E5688" s="1" t="s">
        <v>31</v>
      </c>
      <c r="F5688" s="1">
        <v>674.51</v>
      </c>
      <c r="G5688" s="1">
        <v>-120.11</v>
      </c>
      <c r="H5688" s="1">
        <v>3.0</v>
      </c>
      <c r="I5688" s="1" t="s">
        <v>17</v>
      </c>
      <c r="J5688" s="1" t="s">
        <v>24</v>
      </c>
      <c r="K5688" s="1">
        <f t="shared" si="1"/>
        <v>2021</v>
      </c>
      <c r="L5688" s="1" t="str">
        <f t="shared" si="2"/>
        <v>Apr</v>
      </c>
      <c r="M5688" s="1" t="str">
        <f t="shared" si="3"/>
        <v>Loss</v>
      </c>
    </row>
    <row r="5689" ht="14.25" customHeight="1">
      <c r="A5689" s="1" t="s">
        <v>5723</v>
      </c>
      <c r="B5689" s="2">
        <v>44806.0</v>
      </c>
      <c r="C5689" s="1" t="s">
        <v>20</v>
      </c>
      <c r="D5689" s="1" t="s">
        <v>15</v>
      </c>
      <c r="E5689" s="1" t="s">
        <v>54</v>
      </c>
      <c r="F5689" s="1">
        <v>773.21</v>
      </c>
      <c r="G5689" s="1">
        <v>202.5</v>
      </c>
      <c r="H5689" s="1">
        <v>4.0</v>
      </c>
      <c r="I5689" s="1" t="s">
        <v>23</v>
      </c>
      <c r="J5689" s="1" t="s">
        <v>38</v>
      </c>
      <c r="K5689" s="1">
        <f t="shared" si="1"/>
        <v>2022</v>
      </c>
      <c r="L5689" s="1" t="str">
        <f t="shared" si="2"/>
        <v>Sep</v>
      </c>
      <c r="M5689" s="1" t="str">
        <f t="shared" si="3"/>
        <v>Profit</v>
      </c>
    </row>
    <row r="5690" ht="14.25" customHeight="1">
      <c r="A5690" s="1" t="s">
        <v>5724</v>
      </c>
      <c r="B5690" s="2">
        <v>44383.0</v>
      </c>
      <c r="C5690" s="1" t="s">
        <v>30</v>
      </c>
      <c r="D5690" s="1" t="s">
        <v>27</v>
      </c>
      <c r="E5690" s="1" t="s">
        <v>40</v>
      </c>
      <c r="F5690" s="1">
        <v>796.82</v>
      </c>
      <c r="G5690" s="1">
        <v>102.73</v>
      </c>
      <c r="H5690" s="1">
        <v>10.0</v>
      </c>
      <c r="I5690" s="1" t="s">
        <v>23</v>
      </c>
      <c r="J5690" s="1" t="s">
        <v>35</v>
      </c>
      <c r="K5690" s="1">
        <f t="shared" si="1"/>
        <v>2021</v>
      </c>
      <c r="L5690" s="1" t="str">
        <f t="shared" si="2"/>
        <v>Jul</v>
      </c>
      <c r="M5690" s="1" t="str">
        <f t="shared" si="3"/>
        <v>Profit</v>
      </c>
    </row>
    <row r="5691" ht="14.25" customHeight="1">
      <c r="A5691" s="1" t="s">
        <v>5725</v>
      </c>
      <c r="B5691" s="2">
        <v>44347.0</v>
      </c>
      <c r="C5691" s="1" t="s">
        <v>14</v>
      </c>
      <c r="D5691" s="1" t="s">
        <v>15</v>
      </c>
      <c r="E5691" s="1" t="s">
        <v>16</v>
      </c>
      <c r="F5691" s="1">
        <v>88.52</v>
      </c>
      <c r="G5691" s="1">
        <v>-107.7</v>
      </c>
      <c r="H5691" s="1">
        <v>6.0</v>
      </c>
      <c r="I5691" s="1" t="s">
        <v>34</v>
      </c>
      <c r="J5691" s="1" t="s">
        <v>35</v>
      </c>
      <c r="K5691" s="1">
        <f t="shared" si="1"/>
        <v>2021</v>
      </c>
      <c r="L5691" s="1" t="str">
        <f t="shared" si="2"/>
        <v>May</v>
      </c>
      <c r="M5691" s="1" t="str">
        <f t="shared" si="3"/>
        <v>Loss</v>
      </c>
    </row>
    <row r="5692" ht="14.25" customHeight="1">
      <c r="A5692" s="1" t="s">
        <v>5726</v>
      </c>
      <c r="B5692" s="2">
        <v>45232.0</v>
      </c>
      <c r="C5692" s="1" t="s">
        <v>20</v>
      </c>
      <c r="D5692" s="1" t="s">
        <v>21</v>
      </c>
      <c r="E5692" s="1" t="s">
        <v>37</v>
      </c>
      <c r="F5692" s="1">
        <v>592.71</v>
      </c>
      <c r="G5692" s="1">
        <v>18.45</v>
      </c>
      <c r="H5692" s="1">
        <v>5.0</v>
      </c>
      <c r="I5692" s="1" t="s">
        <v>17</v>
      </c>
      <c r="J5692" s="1" t="s">
        <v>35</v>
      </c>
      <c r="K5692" s="1">
        <f t="shared" si="1"/>
        <v>2023</v>
      </c>
      <c r="L5692" s="1" t="str">
        <f t="shared" si="2"/>
        <v>Nov</v>
      </c>
      <c r="M5692" s="1" t="str">
        <f t="shared" si="3"/>
        <v>Profit</v>
      </c>
    </row>
    <row r="5693" ht="14.25" customHeight="1">
      <c r="A5693" s="1" t="s">
        <v>5727</v>
      </c>
      <c r="B5693" s="2">
        <v>44858.0</v>
      </c>
      <c r="C5693" s="1" t="s">
        <v>26</v>
      </c>
      <c r="D5693" s="1" t="s">
        <v>27</v>
      </c>
      <c r="E5693" s="1" t="s">
        <v>33</v>
      </c>
      <c r="F5693" s="1">
        <v>864.39</v>
      </c>
      <c r="G5693" s="1">
        <v>-58.62</v>
      </c>
      <c r="H5693" s="1">
        <v>3.0</v>
      </c>
      <c r="I5693" s="1" t="s">
        <v>23</v>
      </c>
      <c r="J5693" s="1" t="s">
        <v>24</v>
      </c>
      <c r="K5693" s="1">
        <f t="shared" si="1"/>
        <v>2022</v>
      </c>
      <c r="L5693" s="1" t="str">
        <f t="shared" si="2"/>
        <v>Oct</v>
      </c>
      <c r="M5693" s="1" t="str">
        <f t="shared" si="3"/>
        <v>Loss</v>
      </c>
    </row>
    <row r="5694" ht="14.25" customHeight="1">
      <c r="A5694" s="1" t="s">
        <v>5728</v>
      </c>
      <c r="B5694" s="2">
        <v>44501.0</v>
      </c>
      <c r="C5694" s="1" t="s">
        <v>30</v>
      </c>
      <c r="D5694" s="1" t="s">
        <v>15</v>
      </c>
      <c r="E5694" s="1" t="s">
        <v>16</v>
      </c>
      <c r="F5694" s="1">
        <v>386.38</v>
      </c>
      <c r="G5694" s="1">
        <v>274.97</v>
      </c>
      <c r="H5694" s="1">
        <v>2.0</v>
      </c>
      <c r="I5694" s="1" t="s">
        <v>17</v>
      </c>
      <c r="J5694" s="1" t="s">
        <v>24</v>
      </c>
      <c r="K5694" s="1">
        <f t="shared" si="1"/>
        <v>2021</v>
      </c>
      <c r="L5694" s="1" t="str">
        <f t="shared" si="2"/>
        <v>Nov</v>
      </c>
      <c r="M5694" s="1" t="str">
        <f t="shared" si="3"/>
        <v>Profit</v>
      </c>
    </row>
    <row r="5695" ht="14.25" customHeight="1">
      <c r="A5695" s="1" t="s">
        <v>5729</v>
      </c>
      <c r="B5695" s="2">
        <v>45081.0</v>
      </c>
      <c r="C5695" s="1" t="s">
        <v>30</v>
      </c>
      <c r="D5695" s="1" t="s">
        <v>21</v>
      </c>
      <c r="E5695" s="1" t="s">
        <v>37</v>
      </c>
      <c r="F5695" s="1">
        <v>252.39</v>
      </c>
      <c r="G5695" s="1">
        <v>90.68</v>
      </c>
      <c r="H5695" s="1">
        <v>5.0</v>
      </c>
      <c r="I5695" s="1" t="s">
        <v>17</v>
      </c>
      <c r="J5695" s="1" t="s">
        <v>24</v>
      </c>
      <c r="K5695" s="1">
        <f t="shared" si="1"/>
        <v>2023</v>
      </c>
      <c r="L5695" s="1" t="str">
        <f t="shared" si="2"/>
        <v>Jun</v>
      </c>
      <c r="M5695" s="1" t="str">
        <f t="shared" si="3"/>
        <v>Profit</v>
      </c>
    </row>
    <row r="5696" ht="14.25" customHeight="1">
      <c r="A5696" s="1" t="s">
        <v>5730</v>
      </c>
      <c r="B5696" s="2">
        <v>44585.0</v>
      </c>
      <c r="C5696" s="1" t="s">
        <v>20</v>
      </c>
      <c r="D5696" s="1" t="s">
        <v>27</v>
      </c>
      <c r="E5696" s="1" t="s">
        <v>40</v>
      </c>
      <c r="F5696" s="1">
        <v>579.4</v>
      </c>
      <c r="G5696" s="1">
        <v>212.61</v>
      </c>
      <c r="H5696" s="1">
        <v>3.0</v>
      </c>
      <c r="I5696" s="1" t="s">
        <v>17</v>
      </c>
      <c r="J5696" s="1" t="s">
        <v>38</v>
      </c>
      <c r="K5696" s="1">
        <f t="shared" si="1"/>
        <v>2022</v>
      </c>
      <c r="L5696" s="1" t="str">
        <f t="shared" si="2"/>
        <v>Jan</v>
      </c>
      <c r="M5696" s="1" t="str">
        <f t="shared" si="3"/>
        <v>Profit</v>
      </c>
    </row>
    <row r="5697" ht="14.25" customHeight="1">
      <c r="A5697" s="1" t="s">
        <v>5731</v>
      </c>
      <c r="B5697" s="2">
        <v>45070.0</v>
      </c>
      <c r="C5697" s="1" t="s">
        <v>20</v>
      </c>
      <c r="D5697" s="1" t="s">
        <v>21</v>
      </c>
      <c r="E5697" s="1" t="s">
        <v>22</v>
      </c>
      <c r="F5697" s="1">
        <v>170.37</v>
      </c>
      <c r="G5697" s="1">
        <v>72.55</v>
      </c>
      <c r="H5697" s="1">
        <v>10.0</v>
      </c>
      <c r="I5697" s="1" t="s">
        <v>34</v>
      </c>
      <c r="J5697" s="1" t="s">
        <v>35</v>
      </c>
      <c r="K5697" s="1">
        <f t="shared" si="1"/>
        <v>2023</v>
      </c>
      <c r="L5697" s="1" t="str">
        <f t="shared" si="2"/>
        <v>May</v>
      </c>
      <c r="M5697" s="1" t="str">
        <f t="shared" si="3"/>
        <v>Profit</v>
      </c>
    </row>
    <row r="5698" ht="14.25" customHeight="1">
      <c r="A5698" s="1" t="s">
        <v>5732</v>
      </c>
      <c r="B5698" s="2">
        <v>45032.0</v>
      </c>
      <c r="C5698" s="1" t="s">
        <v>26</v>
      </c>
      <c r="D5698" s="1" t="s">
        <v>15</v>
      </c>
      <c r="E5698" s="1" t="s">
        <v>54</v>
      </c>
      <c r="F5698" s="1">
        <v>27.22</v>
      </c>
      <c r="G5698" s="1">
        <v>-133.56</v>
      </c>
      <c r="H5698" s="1">
        <v>10.0</v>
      </c>
      <c r="I5698" s="1" t="s">
        <v>23</v>
      </c>
      <c r="J5698" s="1" t="s">
        <v>24</v>
      </c>
      <c r="K5698" s="1">
        <f t="shared" si="1"/>
        <v>2023</v>
      </c>
      <c r="L5698" s="1" t="str">
        <f t="shared" si="2"/>
        <v>Apr</v>
      </c>
      <c r="M5698" s="1" t="str">
        <f t="shared" si="3"/>
        <v>Loss</v>
      </c>
    </row>
    <row r="5699" ht="14.25" customHeight="1">
      <c r="A5699" s="1" t="s">
        <v>5733</v>
      </c>
      <c r="B5699" s="2">
        <v>44246.0</v>
      </c>
      <c r="C5699" s="1" t="s">
        <v>14</v>
      </c>
      <c r="D5699" s="1" t="s">
        <v>15</v>
      </c>
      <c r="E5699" s="1" t="s">
        <v>31</v>
      </c>
      <c r="F5699" s="1">
        <v>298.74</v>
      </c>
      <c r="G5699" s="1">
        <v>24.33</v>
      </c>
      <c r="H5699" s="1">
        <v>4.0</v>
      </c>
      <c r="I5699" s="1" t="s">
        <v>23</v>
      </c>
      <c r="J5699" s="1" t="s">
        <v>18</v>
      </c>
      <c r="K5699" s="1">
        <f t="shared" si="1"/>
        <v>2021</v>
      </c>
      <c r="L5699" s="1" t="str">
        <f t="shared" si="2"/>
        <v>Feb</v>
      </c>
      <c r="M5699" s="1" t="str">
        <f t="shared" si="3"/>
        <v>Profit</v>
      </c>
    </row>
    <row r="5700" ht="14.25" customHeight="1">
      <c r="A5700" s="1" t="s">
        <v>5734</v>
      </c>
      <c r="B5700" s="2">
        <v>44664.0</v>
      </c>
      <c r="C5700" s="1" t="s">
        <v>30</v>
      </c>
      <c r="D5700" s="1" t="s">
        <v>15</v>
      </c>
      <c r="E5700" s="1" t="s">
        <v>54</v>
      </c>
      <c r="F5700" s="1">
        <v>728.59</v>
      </c>
      <c r="G5700" s="1">
        <v>153.66</v>
      </c>
      <c r="H5700" s="1">
        <v>2.0</v>
      </c>
      <c r="I5700" s="1" t="s">
        <v>17</v>
      </c>
      <c r="J5700" s="1" t="s">
        <v>18</v>
      </c>
      <c r="K5700" s="1">
        <f t="shared" si="1"/>
        <v>2022</v>
      </c>
      <c r="L5700" s="1" t="str">
        <f t="shared" si="2"/>
        <v>Apr</v>
      </c>
      <c r="M5700" s="1" t="str">
        <f t="shared" si="3"/>
        <v>Profit</v>
      </c>
    </row>
    <row r="5701" ht="14.25" customHeight="1">
      <c r="A5701" s="1" t="s">
        <v>5735</v>
      </c>
      <c r="B5701" s="2">
        <v>44962.0</v>
      </c>
      <c r="C5701" s="1" t="s">
        <v>26</v>
      </c>
      <c r="D5701" s="1" t="s">
        <v>27</v>
      </c>
      <c r="E5701" s="1" t="s">
        <v>40</v>
      </c>
      <c r="F5701" s="1">
        <v>234.5</v>
      </c>
      <c r="G5701" s="1">
        <v>-134.71</v>
      </c>
      <c r="H5701" s="1">
        <v>2.0</v>
      </c>
      <c r="I5701" s="1" t="s">
        <v>23</v>
      </c>
      <c r="J5701" s="1" t="s">
        <v>38</v>
      </c>
      <c r="K5701" s="1">
        <f t="shared" si="1"/>
        <v>2023</v>
      </c>
      <c r="L5701" s="1" t="str">
        <f t="shared" si="2"/>
        <v>Feb</v>
      </c>
      <c r="M5701" s="1" t="str">
        <f t="shared" si="3"/>
        <v>Loss</v>
      </c>
    </row>
    <row r="5702" ht="14.25" customHeight="1">
      <c r="A5702" s="1" t="s">
        <v>5736</v>
      </c>
      <c r="B5702" s="2">
        <v>44282.0</v>
      </c>
      <c r="C5702" s="1" t="s">
        <v>30</v>
      </c>
      <c r="D5702" s="1" t="s">
        <v>15</v>
      </c>
      <c r="E5702" s="1" t="s">
        <v>31</v>
      </c>
      <c r="F5702" s="1">
        <v>293.18</v>
      </c>
      <c r="G5702" s="1">
        <v>166.6</v>
      </c>
      <c r="H5702" s="1">
        <v>1.0</v>
      </c>
      <c r="I5702" s="1" t="s">
        <v>17</v>
      </c>
      <c r="J5702" s="1" t="s">
        <v>38</v>
      </c>
      <c r="K5702" s="1">
        <f t="shared" si="1"/>
        <v>2021</v>
      </c>
      <c r="L5702" s="1" t="str">
        <f t="shared" si="2"/>
        <v>Mar</v>
      </c>
      <c r="M5702" s="1" t="str">
        <f t="shared" si="3"/>
        <v>Profit</v>
      </c>
    </row>
    <row r="5703" ht="14.25" customHeight="1">
      <c r="A5703" s="1" t="s">
        <v>5737</v>
      </c>
      <c r="B5703" s="2">
        <v>45157.0</v>
      </c>
      <c r="C5703" s="1" t="s">
        <v>30</v>
      </c>
      <c r="D5703" s="1" t="s">
        <v>27</v>
      </c>
      <c r="E5703" s="1" t="s">
        <v>40</v>
      </c>
      <c r="F5703" s="1">
        <v>979.83</v>
      </c>
      <c r="G5703" s="1">
        <v>277.4</v>
      </c>
      <c r="H5703" s="1">
        <v>10.0</v>
      </c>
      <c r="I5703" s="1" t="s">
        <v>17</v>
      </c>
      <c r="J5703" s="1" t="s">
        <v>38</v>
      </c>
      <c r="K5703" s="1">
        <f t="shared" si="1"/>
        <v>2023</v>
      </c>
      <c r="L5703" s="1" t="str">
        <f t="shared" si="2"/>
        <v>Aug</v>
      </c>
      <c r="M5703" s="1" t="str">
        <f t="shared" si="3"/>
        <v>Profit</v>
      </c>
    </row>
    <row r="5704" ht="14.25" customHeight="1">
      <c r="A5704" s="1" t="s">
        <v>5738</v>
      </c>
      <c r="B5704" s="2">
        <v>44536.0</v>
      </c>
      <c r="C5704" s="1" t="s">
        <v>30</v>
      </c>
      <c r="D5704" s="1" t="s">
        <v>21</v>
      </c>
      <c r="E5704" s="1" t="s">
        <v>22</v>
      </c>
      <c r="F5704" s="1">
        <v>45.78</v>
      </c>
      <c r="G5704" s="1">
        <v>108.0</v>
      </c>
      <c r="H5704" s="1">
        <v>2.0</v>
      </c>
      <c r="I5704" s="1" t="s">
        <v>23</v>
      </c>
      <c r="J5704" s="1" t="s">
        <v>35</v>
      </c>
      <c r="K5704" s="1">
        <f t="shared" si="1"/>
        <v>2021</v>
      </c>
      <c r="L5704" s="1" t="str">
        <f t="shared" si="2"/>
        <v>Dec</v>
      </c>
      <c r="M5704" s="1" t="str">
        <f t="shared" si="3"/>
        <v>Profit</v>
      </c>
    </row>
    <row r="5705" ht="14.25" customHeight="1">
      <c r="A5705" s="1" t="s">
        <v>5739</v>
      </c>
      <c r="B5705" s="2">
        <v>45195.0</v>
      </c>
      <c r="C5705" s="1" t="s">
        <v>26</v>
      </c>
      <c r="D5705" s="1" t="s">
        <v>21</v>
      </c>
      <c r="E5705" s="1" t="s">
        <v>37</v>
      </c>
      <c r="F5705" s="1">
        <v>594.88</v>
      </c>
      <c r="G5705" s="1">
        <v>184.61</v>
      </c>
      <c r="H5705" s="1">
        <v>6.0</v>
      </c>
      <c r="I5705" s="1" t="s">
        <v>23</v>
      </c>
      <c r="J5705" s="1" t="s">
        <v>24</v>
      </c>
      <c r="K5705" s="1">
        <f t="shared" si="1"/>
        <v>2023</v>
      </c>
      <c r="L5705" s="1" t="str">
        <f t="shared" si="2"/>
        <v>Sep</v>
      </c>
      <c r="M5705" s="1" t="str">
        <f t="shared" si="3"/>
        <v>Profit</v>
      </c>
    </row>
    <row r="5706" ht="14.25" customHeight="1">
      <c r="A5706" s="1" t="s">
        <v>5740</v>
      </c>
      <c r="B5706" s="2">
        <v>44291.0</v>
      </c>
      <c r="C5706" s="1" t="s">
        <v>20</v>
      </c>
      <c r="D5706" s="1" t="s">
        <v>27</v>
      </c>
      <c r="E5706" s="1" t="s">
        <v>28</v>
      </c>
      <c r="F5706" s="1">
        <v>554.87</v>
      </c>
      <c r="G5706" s="1">
        <v>-120.79</v>
      </c>
      <c r="H5706" s="1">
        <v>4.0</v>
      </c>
      <c r="I5706" s="1" t="s">
        <v>17</v>
      </c>
      <c r="J5706" s="1" t="s">
        <v>18</v>
      </c>
      <c r="K5706" s="1">
        <f t="shared" si="1"/>
        <v>2021</v>
      </c>
      <c r="L5706" s="1" t="str">
        <f t="shared" si="2"/>
        <v>Apr</v>
      </c>
      <c r="M5706" s="1" t="str">
        <f t="shared" si="3"/>
        <v>Loss</v>
      </c>
    </row>
    <row r="5707" ht="14.25" customHeight="1">
      <c r="A5707" s="1" t="s">
        <v>5741</v>
      </c>
      <c r="B5707" s="2">
        <v>45195.0</v>
      </c>
      <c r="C5707" s="1" t="s">
        <v>26</v>
      </c>
      <c r="D5707" s="1" t="s">
        <v>27</v>
      </c>
      <c r="E5707" s="1" t="s">
        <v>28</v>
      </c>
      <c r="F5707" s="1">
        <v>327.65</v>
      </c>
      <c r="G5707" s="1">
        <v>-150.53</v>
      </c>
      <c r="H5707" s="1">
        <v>4.0</v>
      </c>
      <c r="I5707" s="1" t="s">
        <v>17</v>
      </c>
      <c r="J5707" s="1" t="s">
        <v>18</v>
      </c>
      <c r="K5707" s="1">
        <f t="shared" si="1"/>
        <v>2023</v>
      </c>
      <c r="L5707" s="1" t="str">
        <f t="shared" si="2"/>
        <v>Sep</v>
      </c>
      <c r="M5707" s="1" t="str">
        <f t="shared" si="3"/>
        <v>Loss</v>
      </c>
    </row>
    <row r="5708" ht="14.25" customHeight="1">
      <c r="A5708" s="1" t="s">
        <v>5742</v>
      </c>
      <c r="B5708" s="2">
        <v>44643.0</v>
      </c>
      <c r="C5708" s="1" t="s">
        <v>30</v>
      </c>
      <c r="D5708" s="1" t="s">
        <v>15</v>
      </c>
      <c r="E5708" s="1" t="s">
        <v>54</v>
      </c>
      <c r="F5708" s="1">
        <v>695.66</v>
      </c>
      <c r="G5708" s="1">
        <v>-163.03</v>
      </c>
      <c r="H5708" s="1">
        <v>10.0</v>
      </c>
      <c r="I5708" s="1" t="s">
        <v>34</v>
      </c>
      <c r="J5708" s="1" t="s">
        <v>38</v>
      </c>
      <c r="K5708" s="1">
        <f t="shared" si="1"/>
        <v>2022</v>
      </c>
      <c r="L5708" s="1" t="str">
        <f t="shared" si="2"/>
        <v>Mar</v>
      </c>
      <c r="M5708" s="1" t="str">
        <f t="shared" si="3"/>
        <v>Loss</v>
      </c>
    </row>
    <row r="5709" ht="14.25" customHeight="1">
      <c r="A5709" s="1" t="s">
        <v>5743</v>
      </c>
      <c r="B5709" s="2">
        <v>44967.0</v>
      </c>
      <c r="C5709" s="1" t="s">
        <v>30</v>
      </c>
      <c r="D5709" s="1" t="s">
        <v>15</v>
      </c>
      <c r="E5709" s="1" t="s">
        <v>31</v>
      </c>
      <c r="F5709" s="1">
        <v>228.91</v>
      </c>
      <c r="G5709" s="1">
        <v>231.15</v>
      </c>
      <c r="H5709" s="1">
        <v>7.0</v>
      </c>
      <c r="I5709" s="1" t="s">
        <v>34</v>
      </c>
      <c r="J5709" s="1" t="s">
        <v>24</v>
      </c>
      <c r="K5709" s="1">
        <f t="shared" si="1"/>
        <v>2023</v>
      </c>
      <c r="L5709" s="1" t="str">
        <f t="shared" si="2"/>
        <v>Feb</v>
      </c>
      <c r="M5709" s="1" t="str">
        <f t="shared" si="3"/>
        <v>Profit</v>
      </c>
    </row>
    <row r="5710" ht="14.25" customHeight="1">
      <c r="A5710" s="1" t="s">
        <v>5744</v>
      </c>
      <c r="B5710" s="2">
        <v>44517.0</v>
      </c>
      <c r="C5710" s="1" t="s">
        <v>20</v>
      </c>
      <c r="D5710" s="1" t="s">
        <v>21</v>
      </c>
      <c r="E5710" s="1" t="s">
        <v>76</v>
      </c>
      <c r="F5710" s="1">
        <v>908.89</v>
      </c>
      <c r="G5710" s="1">
        <v>-180.32</v>
      </c>
      <c r="H5710" s="1">
        <v>10.0</v>
      </c>
      <c r="I5710" s="1" t="s">
        <v>17</v>
      </c>
      <c r="J5710" s="1" t="s">
        <v>38</v>
      </c>
      <c r="K5710" s="1">
        <f t="shared" si="1"/>
        <v>2021</v>
      </c>
      <c r="L5710" s="1" t="str">
        <f t="shared" si="2"/>
        <v>Nov</v>
      </c>
      <c r="M5710" s="1" t="str">
        <f t="shared" si="3"/>
        <v>Loss</v>
      </c>
    </row>
    <row r="5711" ht="14.25" customHeight="1">
      <c r="A5711" s="1" t="s">
        <v>5745</v>
      </c>
      <c r="B5711" s="2">
        <v>44628.0</v>
      </c>
      <c r="C5711" s="1" t="s">
        <v>14</v>
      </c>
      <c r="D5711" s="1" t="s">
        <v>27</v>
      </c>
      <c r="E5711" s="1" t="s">
        <v>33</v>
      </c>
      <c r="F5711" s="1">
        <v>540.72</v>
      </c>
      <c r="G5711" s="1">
        <v>254.08</v>
      </c>
      <c r="H5711" s="1">
        <v>7.0</v>
      </c>
      <c r="I5711" s="1" t="s">
        <v>34</v>
      </c>
      <c r="J5711" s="1" t="s">
        <v>18</v>
      </c>
      <c r="K5711" s="1">
        <f t="shared" si="1"/>
        <v>2022</v>
      </c>
      <c r="L5711" s="1" t="str">
        <f t="shared" si="2"/>
        <v>Mar</v>
      </c>
      <c r="M5711" s="1" t="str">
        <f t="shared" si="3"/>
        <v>Profit</v>
      </c>
    </row>
    <row r="5712" ht="14.25" customHeight="1">
      <c r="A5712" s="1" t="s">
        <v>5746</v>
      </c>
      <c r="B5712" s="2">
        <v>44696.0</v>
      </c>
      <c r="C5712" s="1" t="s">
        <v>26</v>
      </c>
      <c r="D5712" s="1" t="s">
        <v>15</v>
      </c>
      <c r="E5712" s="1" t="s">
        <v>54</v>
      </c>
      <c r="F5712" s="1">
        <v>474.88</v>
      </c>
      <c r="G5712" s="1">
        <v>-75.92</v>
      </c>
      <c r="H5712" s="1">
        <v>1.0</v>
      </c>
      <c r="I5712" s="1" t="s">
        <v>34</v>
      </c>
      <c r="J5712" s="1" t="s">
        <v>35</v>
      </c>
      <c r="K5712" s="1">
        <f t="shared" si="1"/>
        <v>2022</v>
      </c>
      <c r="L5712" s="1" t="str">
        <f t="shared" si="2"/>
        <v>May</v>
      </c>
      <c r="M5712" s="1" t="str">
        <f t="shared" si="3"/>
        <v>Loss</v>
      </c>
    </row>
    <row r="5713" ht="14.25" customHeight="1">
      <c r="A5713" s="1" t="s">
        <v>5747</v>
      </c>
      <c r="B5713" s="2">
        <v>44329.0</v>
      </c>
      <c r="C5713" s="1" t="s">
        <v>14</v>
      </c>
      <c r="D5713" s="1" t="s">
        <v>27</v>
      </c>
      <c r="E5713" s="1" t="s">
        <v>28</v>
      </c>
      <c r="F5713" s="1">
        <v>591.74</v>
      </c>
      <c r="G5713" s="1">
        <v>272.06</v>
      </c>
      <c r="H5713" s="1">
        <v>10.0</v>
      </c>
      <c r="I5713" s="1" t="s">
        <v>23</v>
      </c>
      <c r="J5713" s="1" t="s">
        <v>35</v>
      </c>
      <c r="K5713" s="1">
        <f t="shared" si="1"/>
        <v>2021</v>
      </c>
      <c r="L5713" s="1" t="str">
        <f t="shared" si="2"/>
        <v>May</v>
      </c>
      <c r="M5713" s="1" t="str">
        <f t="shared" si="3"/>
        <v>Profit</v>
      </c>
    </row>
    <row r="5714" ht="14.25" customHeight="1">
      <c r="A5714" s="1" t="s">
        <v>5748</v>
      </c>
      <c r="B5714" s="2">
        <v>45200.0</v>
      </c>
      <c r="C5714" s="1" t="s">
        <v>26</v>
      </c>
      <c r="D5714" s="1" t="s">
        <v>21</v>
      </c>
      <c r="E5714" s="1" t="s">
        <v>76</v>
      </c>
      <c r="F5714" s="1">
        <v>128.61</v>
      </c>
      <c r="G5714" s="1">
        <v>295.83</v>
      </c>
      <c r="H5714" s="1">
        <v>4.0</v>
      </c>
      <c r="I5714" s="1" t="s">
        <v>34</v>
      </c>
      <c r="J5714" s="1" t="s">
        <v>24</v>
      </c>
      <c r="K5714" s="1">
        <f t="shared" si="1"/>
        <v>2023</v>
      </c>
      <c r="L5714" s="1" t="str">
        <f t="shared" si="2"/>
        <v>Oct</v>
      </c>
      <c r="M5714" s="1" t="str">
        <f t="shared" si="3"/>
        <v>Profit</v>
      </c>
    </row>
    <row r="5715" ht="14.25" customHeight="1">
      <c r="A5715" s="1" t="s">
        <v>5749</v>
      </c>
      <c r="B5715" s="2">
        <v>44224.0</v>
      </c>
      <c r="C5715" s="1" t="s">
        <v>14</v>
      </c>
      <c r="D5715" s="1" t="s">
        <v>21</v>
      </c>
      <c r="E5715" s="1" t="s">
        <v>76</v>
      </c>
      <c r="F5715" s="1">
        <v>713.75</v>
      </c>
      <c r="G5715" s="1">
        <v>71.57</v>
      </c>
      <c r="H5715" s="1">
        <v>6.0</v>
      </c>
      <c r="I5715" s="1" t="s">
        <v>23</v>
      </c>
      <c r="J5715" s="1" t="s">
        <v>24</v>
      </c>
      <c r="K5715" s="1">
        <f t="shared" si="1"/>
        <v>2021</v>
      </c>
      <c r="L5715" s="1" t="str">
        <f t="shared" si="2"/>
        <v>Jan</v>
      </c>
      <c r="M5715" s="1" t="str">
        <f t="shared" si="3"/>
        <v>Profit</v>
      </c>
    </row>
    <row r="5716" ht="14.25" customHeight="1">
      <c r="A5716" s="1" t="s">
        <v>5750</v>
      </c>
      <c r="B5716" s="2">
        <v>45173.0</v>
      </c>
      <c r="C5716" s="1" t="s">
        <v>20</v>
      </c>
      <c r="D5716" s="1" t="s">
        <v>27</v>
      </c>
      <c r="E5716" s="1" t="s">
        <v>33</v>
      </c>
      <c r="F5716" s="1">
        <v>358.26</v>
      </c>
      <c r="G5716" s="1">
        <v>-68.95</v>
      </c>
      <c r="H5716" s="1">
        <v>8.0</v>
      </c>
      <c r="I5716" s="1" t="s">
        <v>23</v>
      </c>
      <c r="J5716" s="1" t="s">
        <v>38</v>
      </c>
      <c r="K5716" s="1">
        <f t="shared" si="1"/>
        <v>2023</v>
      </c>
      <c r="L5716" s="1" t="str">
        <f t="shared" si="2"/>
        <v>Sep</v>
      </c>
      <c r="M5716" s="1" t="str">
        <f t="shared" si="3"/>
        <v>Loss</v>
      </c>
    </row>
    <row r="5717" ht="14.25" customHeight="1">
      <c r="A5717" s="1" t="s">
        <v>5751</v>
      </c>
      <c r="B5717" s="2">
        <v>44356.0</v>
      </c>
      <c r="C5717" s="1" t="s">
        <v>26</v>
      </c>
      <c r="D5717" s="1" t="s">
        <v>15</v>
      </c>
      <c r="E5717" s="1" t="s">
        <v>16</v>
      </c>
      <c r="F5717" s="1">
        <v>719.45</v>
      </c>
      <c r="G5717" s="1">
        <v>254.05</v>
      </c>
      <c r="H5717" s="1">
        <v>3.0</v>
      </c>
      <c r="I5717" s="1" t="s">
        <v>34</v>
      </c>
      <c r="J5717" s="1" t="s">
        <v>38</v>
      </c>
      <c r="K5717" s="1">
        <f t="shared" si="1"/>
        <v>2021</v>
      </c>
      <c r="L5717" s="1" t="str">
        <f t="shared" si="2"/>
        <v>Jun</v>
      </c>
      <c r="M5717" s="1" t="str">
        <f t="shared" si="3"/>
        <v>Profit</v>
      </c>
    </row>
    <row r="5718" ht="14.25" customHeight="1">
      <c r="A5718" s="1" t="s">
        <v>5752</v>
      </c>
      <c r="B5718" s="2">
        <v>44217.0</v>
      </c>
      <c r="C5718" s="1" t="s">
        <v>26</v>
      </c>
      <c r="D5718" s="1" t="s">
        <v>15</v>
      </c>
      <c r="E5718" s="1" t="s">
        <v>31</v>
      </c>
      <c r="F5718" s="1">
        <v>699.07</v>
      </c>
      <c r="G5718" s="1">
        <v>-124.53</v>
      </c>
      <c r="H5718" s="1">
        <v>6.0</v>
      </c>
      <c r="I5718" s="1" t="s">
        <v>17</v>
      </c>
      <c r="J5718" s="1" t="s">
        <v>38</v>
      </c>
      <c r="K5718" s="1">
        <f t="shared" si="1"/>
        <v>2021</v>
      </c>
      <c r="L5718" s="1" t="str">
        <f t="shared" si="2"/>
        <v>Jan</v>
      </c>
      <c r="M5718" s="1" t="str">
        <f t="shared" si="3"/>
        <v>Loss</v>
      </c>
    </row>
    <row r="5719" ht="14.25" customHeight="1">
      <c r="A5719" s="1" t="s">
        <v>5753</v>
      </c>
      <c r="B5719" s="2">
        <v>44850.0</v>
      </c>
      <c r="C5719" s="1" t="s">
        <v>14</v>
      </c>
      <c r="D5719" s="1" t="s">
        <v>27</v>
      </c>
      <c r="E5719" s="1" t="s">
        <v>28</v>
      </c>
      <c r="F5719" s="1">
        <v>410.78</v>
      </c>
      <c r="G5719" s="1">
        <v>238.42</v>
      </c>
      <c r="H5719" s="1">
        <v>5.0</v>
      </c>
      <c r="I5719" s="1" t="s">
        <v>34</v>
      </c>
      <c r="J5719" s="1" t="s">
        <v>38</v>
      </c>
      <c r="K5719" s="1">
        <f t="shared" si="1"/>
        <v>2022</v>
      </c>
      <c r="L5719" s="1" t="str">
        <f t="shared" si="2"/>
        <v>Oct</v>
      </c>
      <c r="M5719" s="1" t="str">
        <f t="shared" si="3"/>
        <v>Profit</v>
      </c>
    </row>
    <row r="5720" ht="14.25" customHeight="1">
      <c r="A5720" s="1" t="s">
        <v>5754</v>
      </c>
      <c r="B5720" s="2">
        <v>45220.0</v>
      </c>
      <c r="C5720" s="1" t="s">
        <v>26</v>
      </c>
      <c r="D5720" s="1" t="s">
        <v>21</v>
      </c>
      <c r="E5720" s="1" t="s">
        <v>22</v>
      </c>
      <c r="F5720" s="1">
        <v>295.15</v>
      </c>
      <c r="G5720" s="1">
        <v>98.49</v>
      </c>
      <c r="H5720" s="1">
        <v>8.0</v>
      </c>
      <c r="I5720" s="1" t="s">
        <v>23</v>
      </c>
      <c r="J5720" s="1" t="s">
        <v>38</v>
      </c>
      <c r="K5720" s="1">
        <f t="shared" si="1"/>
        <v>2023</v>
      </c>
      <c r="L5720" s="1" t="str">
        <f t="shared" si="2"/>
        <v>Oct</v>
      </c>
      <c r="M5720" s="1" t="str">
        <f t="shared" si="3"/>
        <v>Profit</v>
      </c>
    </row>
    <row r="5721" ht="14.25" customHeight="1">
      <c r="A5721" s="1" t="s">
        <v>5755</v>
      </c>
      <c r="B5721" s="2">
        <v>44658.0</v>
      </c>
      <c r="C5721" s="1" t="s">
        <v>30</v>
      </c>
      <c r="D5721" s="1" t="s">
        <v>21</v>
      </c>
      <c r="E5721" s="1" t="s">
        <v>22</v>
      </c>
      <c r="F5721" s="1">
        <v>166.15</v>
      </c>
      <c r="G5721" s="1">
        <v>93.84</v>
      </c>
      <c r="H5721" s="1">
        <v>7.0</v>
      </c>
      <c r="I5721" s="1" t="s">
        <v>34</v>
      </c>
      <c r="J5721" s="1" t="s">
        <v>38</v>
      </c>
      <c r="K5721" s="1">
        <f t="shared" si="1"/>
        <v>2022</v>
      </c>
      <c r="L5721" s="1" t="str">
        <f t="shared" si="2"/>
        <v>Apr</v>
      </c>
      <c r="M5721" s="1" t="str">
        <f t="shared" si="3"/>
        <v>Profit</v>
      </c>
    </row>
    <row r="5722" ht="14.25" customHeight="1">
      <c r="A5722" s="1" t="s">
        <v>5756</v>
      </c>
      <c r="B5722" s="2">
        <v>44251.0</v>
      </c>
      <c r="C5722" s="1" t="s">
        <v>20</v>
      </c>
      <c r="D5722" s="1" t="s">
        <v>21</v>
      </c>
      <c r="E5722" s="1" t="s">
        <v>76</v>
      </c>
      <c r="F5722" s="1">
        <v>387.99</v>
      </c>
      <c r="G5722" s="1">
        <v>-170.63</v>
      </c>
      <c r="H5722" s="1">
        <v>3.0</v>
      </c>
      <c r="I5722" s="1" t="s">
        <v>23</v>
      </c>
      <c r="J5722" s="1" t="s">
        <v>18</v>
      </c>
      <c r="K5722" s="1">
        <f t="shared" si="1"/>
        <v>2021</v>
      </c>
      <c r="L5722" s="1" t="str">
        <f t="shared" si="2"/>
        <v>Feb</v>
      </c>
      <c r="M5722" s="1" t="str">
        <f t="shared" si="3"/>
        <v>Loss</v>
      </c>
    </row>
    <row r="5723" ht="14.25" customHeight="1">
      <c r="A5723" s="1" t="s">
        <v>5757</v>
      </c>
      <c r="B5723" s="2">
        <v>44369.0</v>
      </c>
      <c r="C5723" s="1" t="s">
        <v>26</v>
      </c>
      <c r="D5723" s="1" t="s">
        <v>21</v>
      </c>
      <c r="E5723" s="1" t="s">
        <v>22</v>
      </c>
      <c r="F5723" s="1">
        <v>933.11</v>
      </c>
      <c r="G5723" s="1">
        <v>142.65</v>
      </c>
      <c r="H5723" s="1">
        <v>6.0</v>
      </c>
      <c r="I5723" s="1" t="s">
        <v>34</v>
      </c>
      <c r="J5723" s="1" t="s">
        <v>18</v>
      </c>
      <c r="K5723" s="1">
        <f t="shared" si="1"/>
        <v>2021</v>
      </c>
      <c r="L5723" s="1" t="str">
        <f t="shared" si="2"/>
        <v>Jun</v>
      </c>
      <c r="M5723" s="1" t="str">
        <f t="shared" si="3"/>
        <v>Profit</v>
      </c>
    </row>
    <row r="5724" ht="14.25" customHeight="1">
      <c r="A5724" s="1" t="s">
        <v>5758</v>
      </c>
      <c r="B5724" s="2">
        <v>44669.0</v>
      </c>
      <c r="C5724" s="1" t="s">
        <v>20</v>
      </c>
      <c r="D5724" s="1" t="s">
        <v>21</v>
      </c>
      <c r="E5724" s="1" t="s">
        <v>22</v>
      </c>
      <c r="F5724" s="1">
        <v>46.55</v>
      </c>
      <c r="G5724" s="1">
        <v>-184.32</v>
      </c>
      <c r="H5724" s="1">
        <v>1.0</v>
      </c>
      <c r="I5724" s="1" t="s">
        <v>17</v>
      </c>
      <c r="J5724" s="1" t="s">
        <v>35</v>
      </c>
      <c r="K5724" s="1">
        <f t="shared" si="1"/>
        <v>2022</v>
      </c>
      <c r="L5724" s="1" t="str">
        <f t="shared" si="2"/>
        <v>Apr</v>
      </c>
      <c r="M5724" s="1" t="str">
        <f t="shared" si="3"/>
        <v>Loss</v>
      </c>
    </row>
    <row r="5725" ht="14.25" customHeight="1">
      <c r="A5725" s="1" t="s">
        <v>5759</v>
      </c>
      <c r="B5725" s="2">
        <v>44503.0</v>
      </c>
      <c r="C5725" s="1" t="s">
        <v>30</v>
      </c>
      <c r="D5725" s="1" t="s">
        <v>21</v>
      </c>
      <c r="E5725" s="1" t="s">
        <v>37</v>
      </c>
      <c r="F5725" s="1">
        <v>953.46</v>
      </c>
      <c r="G5725" s="1">
        <v>235.44</v>
      </c>
      <c r="H5725" s="1">
        <v>2.0</v>
      </c>
      <c r="I5725" s="1" t="s">
        <v>17</v>
      </c>
      <c r="J5725" s="1" t="s">
        <v>38</v>
      </c>
      <c r="K5725" s="1">
        <f t="shared" si="1"/>
        <v>2021</v>
      </c>
      <c r="L5725" s="1" t="str">
        <f t="shared" si="2"/>
        <v>Nov</v>
      </c>
      <c r="M5725" s="1" t="str">
        <f t="shared" si="3"/>
        <v>Profit</v>
      </c>
    </row>
    <row r="5726" ht="14.25" customHeight="1">
      <c r="A5726" s="1" t="s">
        <v>5760</v>
      </c>
      <c r="B5726" s="2">
        <v>45198.0</v>
      </c>
      <c r="C5726" s="1" t="s">
        <v>20</v>
      </c>
      <c r="D5726" s="1" t="s">
        <v>27</v>
      </c>
      <c r="E5726" s="1" t="s">
        <v>28</v>
      </c>
      <c r="F5726" s="1">
        <v>312.26</v>
      </c>
      <c r="G5726" s="1">
        <v>-126.42</v>
      </c>
      <c r="H5726" s="1">
        <v>5.0</v>
      </c>
      <c r="I5726" s="1" t="s">
        <v>23</v>
      </c>
      <c r="J5726" s="1" t="s">
        <v>24</v>
      </c>
      <c r="K5726" s="1">
        <f t="shared" si="1"/>
        <v>2023</v>
      </c>
      <c r="L5726" s="1" t="str">
        <f t="shared" si="2"/>
        <v>Sep</v>
      </c>
      <c r="M5726" s="1" t="str">
        <f t="shared" si="3"/>
        <v>Loss</v>
      </c>
    </row>
    <row r="5727" ht="14.25" customHeight="1">
      <c r="A5727" s="1" t="s">
        <v>5761</v>
      </c>
      <c r="B5727" s="2">
        <v>44419.0</v>
      </c>
      <c r="C5727" s="1" t="s">
        <v>26</v>
      </c>
      <c r="D5727" s="1" t="s">
        <v>27</v>
      </c>
      <c r="E5727" s="1" t="s">
        <v>28</v>
      </c>
      <c r="F5727" s="1">
        <v>977.52</v>
      </c>
      <c r="G5727" s="1">
        <v>186.82</v>
      </c>
      <c r="H5727" s="1">
        <v>3.0</v>
      </c>
      <c r="I5727" s="1" t="s">
        <v>34</v>
      </c>
      <c r="J5727" s="1" t="s">
        <v>18</v>
      </c>
      <c r="K5727" s="1">
        <f t="shared" si="1"/>
        <v>2021</v>
      </c>
      <c r="L5727" s="1" t="str">
        <f t="shared" si="2"/>
        <v>Aug</v>
      </c>
      <c r="M5727" s="1" t="str">
        <f t="shared" si="3"/>
        <v>Profit</v>
      </c>
    </row>
    <row r="5728" ht="14.25" customHeight="1">
      <c r="A5728" s="1" t="s">
        <v>5762</v>
      </c>
      <c r="B5728" s="2">
        <v>44903.0</v>
      </c>
      <c r="C5728" s="1" t="s">
        <v>14</v>
      </c>
      <c r="D5728" s="1" t="s">
        <v>15</v>
      </c>
      <c r="E5728" s="1" t="s">
        <v>16</v>
      </c>
      <c r="F5728" s="1">
        <v>472.74</v>
      </c>
      <c r="G5728" s="1">
        <v>-93.12</v>
      </c>
      <c r="H5728" s="1">
        <v>4.0</v>
      </c>
      <c r="I5728" s="1" t="s">
        <v>23</v>
      </c>
      <c r="J5728" s="1" t="s">
        <v>24</v>
      </c>
      <c r="K5728" s="1">
        <f t="shared" si="1"/>
        <v>2022</v>
      </c>
      <c r="L5728" s="1" t="str">
        <f t="shared" si="2"/>
        <v>Dec</v>
      </c>
      <c r="M5728" s="1" t="str">
        <f t="shared" si="3"/>
        <v>Loss</v>
      </c>
    </row>
    <row r="5729" ht="14.25" customHeight="1">
      <c r="A5729" s="1" t="s">
        <v>5763</v>
      </c>
      <c r="B5729" s="2">
        <v>44392.0</v>
      </c>
      <c r="C5729" s="1" t="s">
        <v>14</v>
      </c>
      <c r="D5729" s="1" t="s">
        <v>15</v>
      </c>
      <c r="E5729" s="1" t="s">
        <v>16</v>
      </c>
      <c r="F5729" s="1">
        <v>34.07</v>
      </c>
      <c r="G5729" s="1">
        <v>213.74</v>
      </c>
      <c r="H5729" s="1">
        <v>7.0</v>
      </c>
      <c r="I5729" s="1" t="s">
        <v>17</v>
      </c>
      <c r="J5729" s="1" t="s">
        <v>38</v>
      </c>
      <c r="K5729" s="1">
        <f t="shared" si="1"/>
        <v>2021</v>
      </c>
      <c r="L5729" s="1" t="str">
        <f t="shared" si="2"/>
        <v>Jul</v>
      </c>
      <c r="M5729" s="1" t="str">
        <f t="shared" si="3"/>
        <v>Profit</v>
      </c>
    </row>
    <row r="5730" ht="14.25" customHeight="1">
      <c r="A5730" s="1" t="s">
        <v>5764</v>
      </c>
      <c r="B5730" s="2">
        <v>45134.0</v>
      </c>
      <c r="C5730" s="1" t="s">
        <v>30</v>
      </c>
      <c r="D5730" s="1" t="s">
        <v>21</v>
      </c>
      <c r="E5730" s="1" t="s">
        <v>76</v>
      </c>
      <c r="F5730" s="1">
        <v>674.39</v>
      </c>
      <c r="G5730" s="1">
        <v>-171.48</v>
      </c>
      <c r="H5730" s="1">
        <v>7.0</v>
      </c>
      <c r="I5730" s="1" t="s">
        <v>17</v>
      </c>
      <c r="J5730" s="1" t="s">
        <v>35</v>
      </c>
      <c r="K5730" s="1">
        <f t="shared" si="1"/>
        <v>2023</v>
      </c>
      <c r="L5730" s="1" t="str">
        <f t="shared" si="2"/>
        <v>Jul</v>
      </c>
      <c r="M5730" s="1" t="str">
        <f t="shared" si="3"/>
        <v>Loss</v>
      </c>
    </row>
    <row r="5731" ht="14.25" customHeight="1">
      <c r="A5731" s="1" t="s">
        <v>5765</v>
      </c>
      <c r="B5731" s="2">
        <v>44394.0</v>
      </c>
      <c r="C5731" s="1" t="s">
        <v>20</v>
      </c>
      <c r="D5731" s="1" t="s">
        <v>21</v>
      </c>
      <c r="E5731" s="1" t="s">
        <v>22</v>
      </c>
      <c r="F5731" s="1">
        <v>697.04</v>
      </c>
      <c r="G5731" s="1">
        <v>-100.0</v>
      </c>
      <c r="H5731" s="1">
        <v>6.0</v>
      </c>
      <c r="I5731" s="1" t="s">
        <v>34</v>
      </c>
      <c r="J5731" s="1" t="s">
        <v>35</v>
      </c>
      <c r="K5731" s="1">
        <f t="shared" si="1"/>
        <v>2021</v>
      </c>
      <c r="L5731" s="1" t="str">
        <f t="shared" si="2"/>
        <v>Jul</v>
      </c>
      <c r="M5731" s="1" t="str">
        <f t="shared" si="3"/>
        <v>Loss</v>
      </c>
    </row>
    <row r="5732" ht="14.25" customHeight="1">
      <c r="A5732" s="1" t="s">
        <v>5766</v>
      </c>
      <c r="B5732" s="2">
        <v>44925.0</v>
      </c>
      <c r="C5732" s="1" t="s">
        <v>14</v>
      </c>
      <c r="D5732" s="1" t="s">
        <v>27</v>
      </c>
      <c r="E5732" s="1" t="s">
        <v>28</v>
      </c>
      <c r="F5732" s="1">
        <v>498.23</v>
      </c>
      <c r="G5732" s="1">
        <v>-68.96</v>
      </c>
      <c r="H5732" s="1">
        <v>4.0</v>
      </c>
      <c r="I5732" s="1" t="s">
        <v>23</v>
      </c>
      <c r="J5732" s="1" t="s">
        <v>38</v>
      </c>
      <c r="K5732" s="1">
        <f t="shared" si="1"/>
        <v>2022</v>
      </c>
      <c r="L5732" s="1" t="str">
        <f t="shared" si="2"/>
        <v>Dec</v>
      </c>
      <c r="M5732" s="1" t="str">
        <f t="shared" si="3"/>
        <v>Loss</v>
      </c>
    </row>
    <row r="5733" ht="14.25" customHeight="1">
      <c r="A5733" s="1" t="s">
        <v>5767</v>
      </c>
      <c r="B5733" s="2">
        <v>44630.0</v>
      </c>
      <c r="C5733" s="1" t="s">
        <v>26</v>
      </c>
      <c r="D5733" s="1" t="s">
        <v>21</v>
      </c>
      <c r="E5733" s="1" t="s">
        <v>76</v>
      </c>
      <c r="F5733" s="1">
        <v>25.3</v>
      </c>
      <c r="G5733" s="1">
        <v>112.78</v>
      </c>
      <c r="H5733" s="1">
        <v>8.0</v>
      </c>
      <c r="I5733" s="1" t="s">
        <v>23</v>
      </c>
      <c r="J5733" s="1" t="s">
        <v>18</v>
      </c>
      <c r="K5733" s="1">
        <f t="shared" si="1"/>
        <v>2022</v>
      </c>
      <c r="L5733" s="1" t="str">
        <f t="shared" si="2"/>
        <v>Mar</v>
      </c>
      <c r="M5733" s="1" t="str">
        <f t="shared" si="3"/>
        <v>Profit</v>
      </c>
    </row>
    <row r="5734" ht="14.25" customHeight="1">
      <c r="A5734" s="1" t="s">
        <v>5768</v>
      </c>
      <c r="B5734" s="2">
        <v>44348.0</v>
      </c>
      <c r="C5734" s="1" t="s">
        <v>20</v>
      </c>
      <c r="D5734" s="1" t="s">
        <v>27</v>
      </c>
      <c r="E5734" s="1" t="s">
        <v>33</v>
      </c>
      <c r="F5734" s="1">
        <v>378.28</v>
      </c>
      <c r="G5734" s="1">
        <v>-36.84</v>
      </c>
      <c r="H5734" s="1">
        <v>10.0</v>
      </c>
      <c r="I5734" s="1" t="s">
        <v>23</v>
      </c>
      <c r="J5734" s="1" t="s">
        <v>24</v>
      </c>
      <c r="K5734" s="1">
        <f t="shared" si="1"/>
        <v>2021</v>
      </c>
      <c r="L5734" s="1" t="str">
        <f t="shared" si="2"/>
        <v>Jun</v>
      </c>
      <c r="M5734" s="1" t="str">
        <f t="shared" si="3"/>
        <v>Loss</v>
      </c>
    </row>
    <row r="5735" ht="14.25" customHeight="1">
      <c r="A5735" s="1" t="s">
        <v>5769</v>
      </c>
      <c r="B5735" s="2">
        <v>45071.0</v>
      </c>
      <c r="C5735" s="1" t="s">
        <v>30</v>
      </c>
      <c r="D5735" s="1" t="s">
        <v>15</v>
      </c>
      <c r="E5735" s="1" t="s">
        <v>31</v>
      </c>
      <c r="F5735" s="1">
        <v>530.96</v>
      </c>
      <c r="G5735" s="1">
        <v>-72.49</v>
      </c>
      <c r="H5735" s="1">
        <v>9.0</v>
      </c>
      <c r="I5735" s="1" t="s">
        <v>17</v>
      </c>
      <c r="J5735" s="1" t="s">
        <v>18</v>
      </c>
      <c r="K5735" s="1">
        <f t="shared" si="1"/>
        <v>2023</v>
      </c>
      <c r="L5735" s="1" t="str">
        <f t="shared" si="2"/>
        <v>May</v>
      </c>
      <c r="M5735" s="1" t="str">
        <f t="shared" si="3"/>
        <v>Loss</v>
      </c>
    </row>
    <row r="5736" ht="14.25" customHeight="1">
      <c r="A5736" s="1" t="s">
        <v>5770</v>
      </c>
      <c r="B5736" s="2">
        <v>44765.0</v>
      </c>
      <c r="C5736" s="1" t="s">
        <v>26</v>
      </c>
      <c r="D5736" s="1" t="s">
        <v>27</v>
      </c>
      <c r="E5736" s="1" t="s">
        <v>28</v>
      </c>
      <c r="F5736" s="1">
        <v>428.31</v>
      </c>
      <c r="G5736" s="1">
        <v>131.53</v>
      </c>
      <c r="H5736" s="1">
        <v>1.0</v>
      </c>
      <c r="I5736" s="1" t="s">
        <v>23</v>
      </c>
      <c r="J5736" s="1" t="s">
        <v>35</v>
      </c>
      <c r="K5736" s="1">
        <f t="shared" si="1"/>
        <v>2022</v>
      </c>
      <c r="L5736" s="1" t="str">
        <f t="shared" si="2"/>
        <v>Jul</v>
      </c>
      <c r="M5736" s="1" t="str">
        <f t="shared" si="3"/>
        <v>Profit</v>
      </c>
    </row>
    <row r="5737" ht="14.25" customHeight="1">
      <c r="A5737" s="1" t="s">
        <v>5771</v>
      </c>
      <c r="B5737" s="2">
        <v>44201.0</v>
      </c>
      <c r="C5737" s="1" t="s">
        <v>20</v>
      </c>
      <c r="D5737" s="1" t="s">
        <v>27</v>
      </c>
      <c r="E5737" s="1" t="s">
        <v>33</v>
      </c>
      <c r="F5737" s="1">
        <v>598.0</v>
      </c>
      <c r="G5737" s="1">
        <v>-188.21</v>
      </c>
      <c r="H5737" s="1">
        <v>3.0</v>
      </c>
      <c r="I5737" s="1" t="s">
        <v>17</v>
      </c>
      <c r="J5737" s="1" t="s">
        <v>24</v>
      </c>
      <c r="K5737" s="1">
        <f t="shared" si="1"/>
        <v>2021</v>
      </c>
      <c r="L5737" s="1" t="str">
        <f t="shared" si="2"/>
        <v>Jan</v>
      </c>
      <c r="M5737" s="1" t="str">
        <f t="shared" si="3"/>
        <v>Loss</v>
      </c>
    </row>
    <row r="5738" ht="14.25" customHeight="1">
      <c r="A5738" s="1" t="s">
        <v>5772</v>
      </c>
      <c r="B5738" s="2">
        <v>44641.0</v>
      </c>
      <c r="C5738" s="1" t="s">
        <v>26</v>
      </c>
      <c r="D5738" s="1" t="s">
        <v>27</v>
      </c>
      <c r="E5738" s="1" t="s">
        <v>40</v>
      </c>
      <c r="F5738" s="1">
        <v>199.94</v>
      </c>
      <c r="G5738" s="1">
        <v>218.03</v>
      </c>
      <c r="H5738" s="1">
        <v>6.0</v>
      </c>
      <c r="I5738" s="1" t="s">
        <v>17</v>
      </c>
      <c r="J5738" s="1" t="s">
        <v>18</v>
      </c>
      <c r="K5738" s="1">
        <f t="shared" si="1"/>
        <v>2022</v>
      </c>
      <c r="L5738" s="1" t="str">
        <f t="shared" si="2"/>
        <v>Mar</v>
      </c>
      <c r="M5738" s="1" t="str">
        <f t="shared" si="3"/>
        <v>Profit</v>
      </c>
    </row>
    <row r="5739" ht="14.25" customHeight="1">
      <c r="A5739" s="1" t="s">
        <v>5773</v>
      </c>
      <c r="B5739" s="2">
        <v>44301.0</v>
      </c>
      <c r="C5739" s="1" t="s">
        <v>30</v>
      </c>
      <c r="D5739" s="1" t="s">
        <v>21</v>
      </c>
      <c r="E5739" s="1" t="s">
        <v>37</v>
      </c>
      <c r="F5739" s="1">
        <v>903.93</v>
      </c>
      <c r="G5739" s="1">
        <v>33.58</v>
      </c>
      <c r="H5739" s="1">
        <v>7.0</v>
      </c>
      <c r="I5739" s="1" t="s">
        <v>23</v>
      </c>
      <c r="J5739" s="1" t="s">
        <v>24</v>
      </c>
      <c r="K5739" s="1">
        <f t="shared" si="1"/>
        <v>2021</v>
      </c>
      <c r="L5739" s="1" t="str">
        <f t="shared" si="2"/>
        <v>Apr</v>
      </c>
      <c r="M5739" s="1" t="str">
        <f t="shared" si="3"/>
        <v>Profit</v>
      </c>
    </row>
    <row r="5740" ht="14.25" customHeight="1">
      <c r="A5740" s="1" t="s">
        <v>5774</v>
      </c>
      <c r="B5740" s="2">
        <v>44569.0</v>
      </c>
      <c r="C5740" s="1" t="s">
        <v>26</v>
      </c>
      <c r="D5740" s="1" t="s">
        <v>27</v>
      </c>
      <c r="E5740" s="1" t="s">
        <v>33</v>
      </c>
      <c r="F5740" s="1">
        <v>645.32</v>
      </c>
      <c r="G5740" s="1">
        <v>-1.32</v>
      </c>
      <c r="H5740" s="1">
        <v>8.0</v>
      </c>
      <c r="I5740" s="1" t="s">
        <v>23</v>
      </c>
      <c r="J5740" s="1" t="s">
        <v>38</v>
      </c>
      <c r="K5740" s="1">
        <f t="shared" si="1"/>
        <v>2022</v>
      </c>
      <c r="L5740" s="1" t="str">
        <f t="shared" si="2"/>
        <v>Jan</v>
      </c>
      <c r="M5740" s="1" t="str">
        <f t="shared" si="3"/>
        <v>Loss</v>
      </c>
    </row>
    <row r="5741" ht="14.25" customHeight="1">
      <c r="A5741" s="1" t="s">
        <v>5775</v>
      </c>
      <c r="B5741" s="2">
        <v>44408.0</v>
      </c>
      <c r="C5741" s="1" t="s">
        <v>14</v>
      </c>
      <c r="D5741" s="1" t="s">
        <v>15</v>
      </c>
      <c r="E5741" s="1" t="s">
        <v>16</v>
      </c>
      <c r="F5741" s="1">
        <v>895.3</v>
      </c>
      <c r="G5741" s="1">
        <v>13.28</v>
      </c>
      <c r="H5741" s="1">
        <v>1.0</v>
      </c>
      <c r="I5741" s="1" t="s">
        <v>23</v>
      </c>
      <c r="J5741" s="1" t="s">
        <v>24</v>
      </c>
      <c r="K5741" s="1">
        <f t="shared" si="1"/>
        <v>2021</v>
      </c>
      <c r="L5741" s="1" t="str">
        <f t="shared" si="2"/>
        <v>Jul</v>
      </c>
      <c r="M5741" s="1" t="str">
        <f t="shared" si="3"/>
        <v>Profit</v>
      </c>
    </row>
    <row r="5742" ht="14.25" customHeight="1">
      <c r="A5742" s="1" t="s">
        <v>5776</v>
      </c>
      <c r="B5742" s="2">
        <v>44924.0</v>
      </c>
      <c r="C5742" s="1" t="s">
        <v>30</v>
      </c>
      <c r="D5742" s="1" t="s">
        <v>27</v>
      </c>
      <c r="E5742" s="1" t="s">
        <v>33</v>
      </c>
      <c r="F5742" s="1">
        <v>508.2</v>
      </c>
      <c r="G5742" s="1">
        <v>-148.67</v>
      </c>
      <c r="H5742" s="1">
        <v>5.0</v>
      </c>
      <c r="I5742" s="1" t="s">
        <v>34</v>
      </c>
      <c r="J5742" s="1" t="s">
        <v>24</v>
      </c>
      <c r="K5742" s="1">
        <f t="shared" si="1"/>
        <v>2022</v>
      </c>
      <c r="L5742" s="1" t="str">
        <f t="shared" si="2"/>
        <v>Dec</v>
      </c>
      <c r="M5742" s="1" t="str">
        <f t="shared" si="3"/>
        <v>Loss</v>
      </c>
    </row>
    <row r="5743" ht="14.25" customHeight="1">
      <c r="A5743" s="1" t="s">
        <v>5777</v>
      </c>
      <c r="B5743" s="2">
        <v>44596.0</v>
      </c>
      <c r="C5743" s="1" t="s">
        <v>26</v>
      </c>
      <c r="D5743" s="1" t="s">
        <v>27</v>
      </c>
      <c r="E5743" s="1" t="s">
        <v>28</v>
      </c>
      <c r="F5743" s="1">
        <v>677.52</v>
      </c>
      <c r="G5743" s="1">
        <v>47.5</v>
      </c>
      <c r="H5743" s="1">
        <v>6.0</v>
      </c>
      <c r="I5743" s="1" t="s">
        <v>34</v>
      </c>
      <c r="J5743" s="1" t="s">
        <v>18</v>
      </c>
      <c r="K5743" s="1">
        <f t="shared" si="1"/>
        <v>2022</v>
      </c>
      <c r="L5743" s="1" t="str">
        <f t="shared" si="2"/>
        <v>Feb</v>
      </c>
      <c r="M5743" s="1" t="str">
        <f t="shared" si="3"/>
        <v>Profit</v>
      </c>
    </row>
    <row r="5744" ht="14.25" customHeight="1">
      <c r="A5744" s="1" t="s">
        <v>5778</v>
      </c>
      <c r="B5744" s="2">
        <v>44207.0</v>
      </c>
      <c r="C5744" s="1" t="s">
        <v>26</v>
      </c>
      <c r="D5744" s="1" t="s">
        <v>21</v>
      </c>
      <c r="E5744" s="1" t="s">
        <v>22</v>
      </c>
      <c r="F5744" s="1">
        <v>374.44</v>
      </c>
      <c r="G5744" s="1">
        <v>254.61</v>
      </c>
      <c r="H5744" s="1">
        <v>5.0</v>
      </c>
      <c r="I5744" s="1" t="s">
        <v>17</v>
      </c>
      <c r="J5744" s="1" t="s">
        <v>35</v>
      </c>
      <c r="K5744" s="1">
        <f t="shared" si="1"/>
        <v>2021</v>
      </c>
      <c r="L5744" s="1" t="str">
        <f t="shared" si="2"/>
        <v>Jan</v>
      </c>
      <c r="M5744" s="1" t="str">
        <f t="shared" si="3"/>
        <v>Profit</v>
      </c>
    </row>
    <row r="5745" ht="14.25" customHeight="1">
      <c r="A5745" s="1" t="s">
        <v>5779</v>
      </c>
      <c r="B5745" s="2">
        <v>44564.0</v>
      </c>
      <c r="C5745" s="1" t="s">
        <v>26</v>
      </c>
      <c r="D5745" s="1" t="s">
        <v>27</v>
      </c>
      <c r="E5745" s="1" t="s">
        <v>33</v>
      </c>
      <c r="F5745" s="1">
        <v>950.47</v>
      </c>
      <c r="G5745" s="1">
        <v>-100.26</v>
      </c>
      <c r="H5745" s="1">
        <v>10.0</v>
      </c>
      <c r="I5745" s="1" t="s">
        <v>34</v>
      </c>
      <c r="J5745" s="1" t="s">
        <v>24</v>
      </c>
      <c r="K5745" s="1">
        <f t="shared" si="1"/>
        <v>2022</v>
      </c>
      <c r="L5745" s="1" t="str">
        <f t="shared" si="2"/>
        <v>Jan</v>
      </c>
      <c r="M5745" s="1" t="str">
        <f t="shared" si="3"/>
        <v>Loss</v>
      </c>
    </row>
    <row r="5746" ht="14.25" customHeight="1">
      <c r="A5746" s="1" t="s">
        <v>5780</v>
      </c>
      <c r="B5746" s="2">
        <v>44915.0</v>
      </c>
      <c r="C5746" s="1" t="s">
        <v>26</v>
      </c>
      <c r="D5746" s="1" t="s">
        <v>15</v>
      </c>
      <c r="E5746" s="1" t="s">
        <v>54</v>
      </c>
      <c r="F5746" s="1">
        <v>480.38</v>
      </c>
      <c r="G5746" s="1">
        <v>60.32</v>
      </c>
      <c r="H5746" s="1">
        <v>9.0</v>
      </c>
      <c r="I5746" s="1" t="s">
        <v>23</v>
      </c>
      <c r="J5746" s="1" t="s">
        <v>24</v>
      </c>
      <c r="K5746" s="1">
        <f t="shared" si="1"/>
        <v>2022</v>
      </c>
      <c r="L5746" s="1" t="str">
        <f t="shared" si="2"/>
        <v>Dec</v>
      </c>
      <c r="M5746" s="1" t="str">
        <f t="shared" si="3"/>
        <v>Profit</v>
      </c>
    </row>
    <row r="5747" ht="14.25" customHeight="1">
      <c r="A5747" s="1" t="s">
        <v>5781</v>
      </c>
      <c r="B5747" s="2">
        <v>44230.0</v>
      </c>
      <c r="C5747" s="1" t="s">
        <v>20</v>
      </c>
      <c r="D5747" s="1" t="s">
        <v>15</v>
      </c>
      <c r="E5747" s="1" t="s">
        <v>54</v>
      </c>
      <c r="F5747" s="1">
        <v>96.06</v>
      </c>
      <c r="G5747" s="1">
        <v>257.63</v>
      </c>
      <c r="H5747" s="1">
        <v>9.0</v>
      </c>
      <c r="I5747" s="1" t="s">
        <v>17</v>
      </c>
      <c r="J5747" s="1" t="s">
        <v>38</v>
      </c>
      <c r="K5747" s="1">
        <f t="shared" si="1"/>
        <v>2021</v>
      </c>
      <c r="L5747" s="1" t="str">
        <f t="shared" si="2"/>
        <v>Feb</v>
      </c>
      <c r="M5747" s="1" t="str">
        <f t="shared" si="3"/>
        <v>Profit</v>
      </c>
    </row>
    <row r="5748" ht="14.25" customHeight="1">
      <c r="A5748" s="1" t="s">
        <v>5782</v>
      </c>
      <c r="B5748" s="2">
        <v>44709.0</v>
      </c>
      <c r="C5748" s="1" t="s">
        <v>30</v>
      </c>
      <c r="D5748" s="1" t="s">
        <v>15</v>
      </c>
      <c r="E5748" s="1" t="s">
        <v>16</v>
      </c>
      <c r="F5748" s="1">
        <v>603.05</v>
      </c>
      <c r="G5748" s="1">
        <v>-82.94</v>
      </c>
      <c r="H5748" s="1">
        <v>7.0</v>
      </c>
      <c r="I5748" s="1" t="s">
        <v>34</v>
      </c>
      <c r="J5748" s="1" t="s">
        <v>38</v>
      </c>
      <c r="K5748" s="1">
        <f t="shared" si="1"/>
        <v>2022</v>
      </c>
      <c r="L5748" s="1" t="str">
        <f t="shared" si="2"/>
        <v>May</v>
      </c>
      <c r="M5748" s="1" t="str">
        <f t="shared" si="3"/>
        <v>Loss</v>
      </c>
    </row>
    <row r="5749" ht="14.25" customHeight="1">
      <c r="A5749" s="1" t="s">
        <v>5783</v>
      </c>
      <c r="B5749" s="2">
        <v>44850.0</v>
      </c>
      <c r="C5749" s="1" t="s">
        <v>14</v>
      </c>
      <c r="D5749" s="1" t="s">
        <v>27</v>
      </c>
      <c r="E5749" s="1" t="s">
        <v>40</v>
      </c>
      <c r="F5749" s="1">
        <v>185.89</v>
      </c>
      <c r="G5749" s="1">
        <v>-20.22</v>
      </c>
      <c r="H5749" s="1">
        <v>4.0</v>
      </c>
      <c r="I5749" s="1" t="s">
        <v>34</v>
      </c>
      <c r="J5749" s="1" t="s">
        <v>18</v>
      </c>
      <c r="K5749" s="1">
        <f t="shared" si="1"/>
        <v>2022</v>
      </c>
      <c r="L5749" s="1" t="str">
        <f t="shared" si="2"/>
        <v>Oct</v>
      </c>
      <c r="M5749" s="1" t="str">
        <f t="shared" si="3"/>
        <v>Loss</v>
      </c>
    </row>
    <row r="5750" ht="14.25" customHeight="1">
      <c r="A5750" s="1" t="s">
        <v>5784</v>
      </c>
      <c r="B5750" s="2">
        <v>44951.0</v>
      </c>
      <c r="C5750" s="1" t="s">
        <v>14</v>
      </c>
      <c r="D5750" s="1" t="s">
        <v>27</v>
      </c>
      <c r="E5750" s="1" t="s">
        <v>33</v>
      </c>
      <c r="F5750" s="1">
        <v>850.18</v>
      </c>
      <c r="G5750" s="1">
        <v>58.97</v>
      </c>
      <c r="H5750" s="1">
        <v>2.0</v>
      </c>
      <c r="I5750" s="1" t="s">
        <v>17</v>
      </c>
      <c r="J5750" s="1" t="s">
        <v>18</v>
      </c>
      <c r="K5750" s="1">
        <f t="shared" si="1"/>
        <v>2023</v>
      </c>
      <c r="L5750" s="1" t="str">
        <f t="shared" si="2"/>
        <v>Jan</v>
      </c>
      <c r="M5750" s="1" t="str">
        <f t="shared" si="3"/>
        <v>Profit</v>
      </c>
    </row>
    <row r="5751" ht="14.25" customHeight="1">
      <c r="A5751" s="1" t="s">
        <v>5785</v>
      </c>
      <c r="B5751" s="2">
        <v>44404.0</v>
      </c>
      <c r="C5751" s="1" t="s">
        <v>20</v>
      </c>
      <c r="D5751" s="1" t="s">
        <v>27</v>
      </c>
      <c r="E5751" s="1" t="s">
        <v>28</v>
      </c>
      <c r="F5751" s="1">
        <v>782.33</v>
      </c>
      <c r="G5751" s="1">
        <v>-126.7</v>
      </c>
      <c r="H5751" s="1">
        <v>8.0</v>
      </c>
      <c r="I5751" s="1" t="s">
        <v>34</v>
      </c>
      <c r="J5751" s="1" t="s">
        <v>38</v>
      </c>
      <c r="K5751" s="1">
        <f t="shared" si="1"/>
        <v>2021</v>
      </c>
      <c r="L5751" s="1" t="str">
        <f t="shared" si="2"/>
        <v>Jul</v>
      </c>
      <c r="M5751" s="1" t="str">
        <f t="shared" si="3"/>
        <v>Loss</v>
      </c>
    </row>
    <row r="5752" ht="14.25" customHeight="1">
      <c r="A5752" s="1" t="s">
        <v>5786</v>
      </c>
      <c r="B5752" s="2">
        <v>44336.0</v>
      </c>
      <c r="C5752" s="1" t="s">
        <v>30</v>
      </c>
      <c r="D5752" s="1" t="s">
        <v>21</v>
      </c>
      <c r="E5752" s="1" t="s">
        <v>76</v>
      </c>
      <c r="F5752" s="1">
        <v>969.29</v>
      </c>
      <c r="G5752" s="1">
        <v>50.3</v>
      </c>
      <c r="H5752" s="1">
        <v>7.0</v>
      </c>
      <c r="I5752" s="1" t="s">
        <v>17</v>
      </c>
      <c r="J5752" s="1" t="s">
        <v>38</v>
      </c>
      <c r="K5752" s="1">
        <f t="shared" si="1"/>
        <v>2021</v>
      </c>
      <c r="L5752" s="1" t="str">
        <f t="shared" si="2"/>
        <v>May</v>
      </c>
      <c r="M5752" s="1" t="str">
        <f t="shared" si="3"/>
        <v>Profit</v>
      </c>
    </row>
    <row r="5753" ht="14.25" customHeight="1">
      <c r="A5753" s="1" t="s">
        <v>5787</v>
      </c>
      <c r="B5753" s="2">
        <v>44835.0</v>
      </c>
      <c r="C5753" s="1" t="s">
        <v>26</v>
      </c>
      <c r="D5753" s="1" t="s">
        <v>27</v>
      </c>
      <c r="E5753" s="1" t="s">
        <v>28</v>
      </c>
      <c r="F5753" s="1">
        <v>837.74</v>
      </c>
      <c r="G5753" s="1">
        <v>262.5</v>
      </c>
      <c r="H5753" s="1">
        <v>9.0</v>
      </c>
      <c r="I5753" s="1" t="s">
        <v>17</v>
      </c>
      <c r="J5753" s="1" t="s">
        <v>24</v>
      </c>
      <c r="K5753" s="1">
        <f t="shared" si="1"/>
        <v>2022</v>
      </c>
      <c r="L5753" s="1" t="str">
        <f t="shared" si="2"/>
        <v>Oct</v>
      </c>
      <c r="M5753" s="1" t="str">
        <f t="shared" si="3"/>
        <v>Profit</v>
      </c>
    </row>
    <row r="5754" ht="14.25" customHeight="1">
      <c r="A5754" s="1" t="s">
        <v>5788</v>
      </c>
      <c r="B5754" s="2">
        <v>44659.0</v>
      </c>
      <c r="C5754" s="1" t="s">
        <v>26</v>
      </c>
      <c r="D5754" s="1" t="s">
        <v>15</v>
      </c>
      <c r="E5754" s="1" t="s">
        <v>54</v>
      </c>
      <c r="F5754" s="1">
        <v>963.13</v>
      </c>
      <c r="G5754" s="1">
        <v>-147.58</v>
      </c>
      <c r="H5754" s="1">
        <v>7.0</v>
      </c>
      <c r="I5754" s="1" t="s">
        <v>17</v>
      </c>
      <c r="J5754" s="1" t="s">
        <v>24</v>
      </c>
      <c r="K5754" s="1">
        <f t="shared" si="1"/>
        <v>2022</v>
      </c>
      <c r="L5754" s="1" t="str">
        <f t="shared" si="2"/>
        <v>Apr</v>
      </c>
      <c r="M5754" s="1" t="str">
        <f t="shared" si="3"/>
        <v>Loss</v>
      </c>
    </row>
    <row r="5755" ht="14.25" customHeight="1">
      <c r="A5755" s="1" t="s">
        <v>5789</v>
      </c>
      <c r="B5755" s="2">
        <v>44314.0</v>
      </c>
      <c r="C5755" s="1" t="s">
        <v>20</v>
      </c>
      <c r="D5755" s="1" t="s">
        <v>21</v>
      </c>
      <c r="E5755" s="1" t="s">
        <v>76</v>
      </c>
      <c r="F5755" s="1">
        <v>458.82</v>
      </c>
      <c r="G5755" s="1">
        <v>45.54</v>
      </c>
      <c r="H5755" s="1">
        <v>7.0</v>
      </c>
      <c r="I5755" s="1" t="s">
        <v>17</v>
      </c>
      <c r="J5755" s="1" t="s">
        <v>18</v>
      </c>
      <c r="K5755" s="1">
        <f t="shared" si="1"/>
        <v>2021</v>
      </c>
      <c r="L5755" s="1" t="str">
        <f t="shared" si="2"/>
        <v>Apr</v>
      </c>
      <c r="M5755" s="1" t="str">
        <f t="shared" si="3"/>
        <v>Profit</v>
      </c>
    </row>
    <row r="5756" ht="14.25" customHeight="1">
      <c r="A5756" s="1" t="s">
        <v>5790</v>
      </c>
      <c r="B5756" s="2">
        <v>44210.0</v>
      </c>
      <c r="C5756" s="1" t="s">
        <v>14</v>
      </c>
      <c r="D5756" s="1" t="s">
        <v>21</v>
      </c>
      <c r="E5756" s="1" t="s">
        <v>22</v>
      </c>
      <c r="F5756" s="1">
        <v>366.77</v>
      </c>
      <c r="G5756" s="1">
        <v>-138.27</v>
      </c>
      <c r="H5756" s="1">
        <v>7.0</v>
      </c>
      <c r="I5756" s="1" t="s">
        <v>23</v>
      </c>
      <c r="J5756" s="1" t="s">
        <v>24</v>
      </c>
      <c r="K5756" s="1">
        <f t="shared" si="1"/>
        <v>2021</v>
      </c>
      <c r="L5756" s="1" t="str">
        <f t="shared" si="2"/>
        <v>Jan</v>
      </c>
      <c r="M5756" s="1" t="str">
        <f t="shared" si="3"/>
        <v>Loss</v>
      </c>
    </row>
    <row r="5757" ht="14.25" customHeight="1">
      <c r="A5757" s="1" t="s">
        <v>5791</v>
      </c>
      <c r="B5757" s="2">
        <v>44199.0</v>
      </c>
      <c r="C5757" s="1" t="s">
        <v>30</v>
      </c>
      <c r="D5757" s="1" t="s">
        <v>15</v>
      </c>
      <c r="E5757" s="1" t="s">
        <v>54</v>
      </c>
      <c r="F5757" s="1">
        <v>60.11</v>
      </c>
      <c r="G5757" s="1">
        <v>271.02</v>
      </c>
      <c r="H5757" s="1">
        <v>4.0</v>
      </c>
      <c r="I5757" s="1" t="s">
        <v>34</v>
      </c>
      <c r="J5757" s="1" t="s">
        <v>38</v>
      </c>
      <c r="K5757" s="1">
        <f t="shared" si="1"/>
        <v>2021</v>
      </c>
      <c r="L5757" s="1" t="str">
        <f t="shared" si="2"/>
        <v>Jan</v>
      </c>
      <c r="M5757" s="1" t="str">
        <f t="shared" si="3"/>
        <v>Profit</v>
      </c>
    </row>
    <row r="5758" ht="14.25" customHeight="1">
      <c r="A5758" s="1" t="s">
        <v>5792</v>
      </c>
      <c r="B5758" s="2">
        <v>44198.0</v>
      </c>
      <c r="C5758" s="1" t="s">
        <v>30</v>
      </c>
      <c r="D5758" s="1" t="s">
        <v>21</v>
      </c>
      <c r="E5758" s="1" t="s">
        <v>22</v>
      </c>
      <c r="F5758" s="1">
        <v>409.67</v>
      </c>
      <c r="G5758" s="1">
        <v>110.04</v>
      </c>
      <c r="H5758" s="1">
        <v>4.0</v>
      </c>
      <c r="I5758" s="1" t="s">
        <v>23</v>
      </c>
      <c r="J5758" s="1" t="s">
        <v>24</v>
      </c>
      <c r="K5758" s="1">
        <f t="shared" si="1"/>
        <v>2021</v>
      </c>
      <c r="L5758" s="1" t="str">
        <f t="shared" si="2"/>
        <v>Jan</v>
      </c>
      <c r="M5758" s="1" t="str">
        <f t="shared" si="3"/>
        <v>Profit</v>
      </c>
    </row>
    <row r="5759" ht="14.25" customHeight="1">
      <c r="A5759" s="1" t="s">
        <v>5793</v>
      </c>
      <c r="B5759" s="2">
        <v>45063.0</v>
      </c>
      <c r="C5759" s="1" t="s">
        <v>30</v>
      </c>
      <c r="D5759" s="1" t="s">
        <v>27</v>
      </c>
      <c r="E5759" s="1" t="s">
        <v>28</v>
      </c>
      <c r="F5759" s="1">
        <v>471.3</v>
      </c>
      <c r="G5759" s="1">
        <v>149.06</v>
      </c>
      <c r="H5759" s="1">
        <v>7.0</v>
      </c>
      <c r="I5759" s="1" t="s">
        <v>34</v>
      </c>
      <c r="J5759" s="1" t="s">
        <v>24</v>
      </c>
      <c r="K5759" s="1">
        <f t="shared" si="1"/>
        <v>2023</v>
      </c>
      <c r="L5759" s="1" t="str">
        <f t="shared" si="2"/>
        <v>May</v>
      </c>
      <c r="M5759" s="1" t="str">
        <f t="shared" si="3"/>
        <v>Profit</v>
      </c>
    </row>
    <row r="5760" ht="14.25" customHeight="1">
      <c r="A5760" s="1" t="s">
        <v>5794</v>
      </c>
      <c r="B5760" s="2">
        <v>44216.0</v>
      </c>
      <c r="C5760" s="1" t="s">
        <v>26</v>
      </c>
      <c r="D5760" s="1" t="s">
        <v>21</v>
      </c>
      <c r="E5760" s="1" t="s">
        <v>37</v>
      </c>
      <c r="F5760" s="1">
        <v>589.36</v>
      </c>
      <c r="G5760" s="1">
        <v>229.6</v>
      </c>
      <c r="H5760" s="1">
        <v>6.0</v>
      </c>
      <c r="I5760" s="1" t="s">
        <v>34</v>
      </c>
      <c r="J5760" s="1" t="s">
        <v>35</v>
      </c>
      <c r="K5760" s="1">
        <f t="shared" si="1"/>
        <v>2021</v>
      </c>
      <c r="L5760" s="1" t="str">
        <f t="shared" si="2"/>
        <v>Jan</v>
      </c>
      <c r="M5760" s="1" t="str">
        <f t="shared" si="3"/>
        <v>Profit</v>
      </c>
    </row>
    <row r="5761" ht="14.25" customHeight="1">
      <c r="A5761" s="1" t="s">
        <v>5795</v>
      </c>
      <c r="B5761" s="2">
        <v>44222.0</v>
      </c>
      <c r="C5761" s="1" t="s">
        <v>26</v>
      </c>
      <c r="D5761" s="1" t="s">
        <v>21</v>
      </c>
      <c r="E5761" s="1" t="s">
        <v>22</v>
      </c>
      <c r="F5761" s="1">
        <v>149.33</v>
      </c>
      <c r="G5761" s="1">
        <v>32.12</v>
      </c>
      <c r="H5761" s="1">
        <v>6.0</v>
      </c>
      <c r="I5761" s="1" t="s">
        <v>23</v>
      </c>
      <c r="J5761" s="1" t="s">
        <v>38</v>
      </c>
      <c r="K5761" s="1">
        <f t="shared" si="1"/>
        <v>2021</v>
      </c>
      <c r="L5761" s="1" t="str">
        <f t="shared" si="2"/>
        <v>Jan</v>
      </c>
      <c r="M5761" s="1" t="str">
        <f t="shared" si="3"/>
        <v>Profit</v>
      </c>
    </row>
    <row r="5762" ht="14.25" customHeight="1">
      <c r="A5762" s="1" t="s">
        <v>5796</v>
      </c>
      <c r="B5762" s="2">
        <v>44902.0</v>
      </c>
      <c r="C5762" s="1" t="s">
        <v>30</v>
      </c>
      <c r="D5762" s="1" t="s">
        <v>21</v>
      </c>
      <c r="E5762" s="1" t="s">
        <v>37</v>
      </c>
      <c r="F5762" s="1">
        <v>480.3</v>
      </c>
      <c r="G5762" s="1">
        <v>-90.18</v>
      </c>
      <c r="H5762" s="1">
        <v>8.0</v>
      </c>
      <c r="I5762" s="1" t="s">
        <v>34</v>
      </c>
      <c r="J5762" s="1" t="s">
        <v>38</v>
      </c>
      <c r="K5762" s="1">
        <f t="shared" si="1"/>
        <v>2022</v>
      </c>
      <c r="L5762" s="1" t="str">
        <f t="shared" si="2"/>
        <v>Dec</v>
      </c>
      <c r="M5762" s="1" t="str">
        <f t="shared" si="3"/>
        <v>Loss</v>
      </c>
    </row>
    <row r="5763" ht="14.25" customHeight="1">
      <c r="A5763" s="1" t="s">
        <v>5797</v>
      </c>
      <c r="B5763" s="2">
        <v>44771.0</v>
      </c>
      <c r="C5763" s="1" t="s">
        <v>20</v>
      </c>
      <c r="D5763" s="1" t="s">
        <v>15</v>
      </c>
      <c r="E5763" s="1" t="s">
        <v>31</v>
      </c>
      <c r="F5763" s="1">
        <v>345.22</v>
      </c>
      <c r="G5763" s="1">
        <v>115.01</v>
      </c>
      <c r="H5763" s="1">
        <v>1.0</v>
      </c>
      <c r="I5763" s="1" t="s">
        <v>23</v>
      </c>
      <c r="J5763" s="1" t="s">
        <v>24</v>
      </c>
      <c r="K5763" s="1">
        <f t="shared" si="1"/>
        <v>2022</v>
      </c>
      <c r="L5763" s="1" t="str">
        <f t="shared" si="2"/>
        <v>Jul</v>
      </c>
      <c r="M5763" s="1" t="str">
        <f t="shared" si="3"/>
        <v>Profit</v>
      </c>
    </row>
    <row r="5764" ht="14.25" customHeight="1">
      <c r="A5764" s="1" t="s">
        <v>5798</v>
      </c>
      <c r="B5764" s="2">
        <v>44325.0</v>
      </c>
      <c r="C5764" s="1" t="s">
        <v>14</v>
      </c>
      <c r="D5764" s="1" t="s">
        <v>15</v>
      </c>
      <c r="E5764" s="1" t="s">
        <v>16</v>
      </c>
      <c r="F5764" s="1">
        <v>444.7</v>
      </c>
      <c r="G5764" s="1">
        <v>144.86</v>
      </c>
      <c r="H5764" s="1">
        <v>10.0</v>
      </c>
      <c r="I5764" s="1" t="s">
        <v>34</v>
      </c>
      <c r="J5764" s="1" t="s">
        <v>35</v>
      </c>
      <c r="K5764" s="1">
        <f t="shared" si="1"/>
        <v>2021</v>
      </c>
      <c r="L5764" s="1" t="str">
        <f t="shared" si="2"/>
        <v>May</v>
      </c>
      <c r="M5764" s="1" t="str">
        <f t="shared" si="3"/>
        <v>Profit</v>
      </c>
    </row>
    <row r="5765" ht="14.25" customHeight="1">
      <c r="A5765" s="1" t="s">
        <v>5799</v>
      </c>
      <c r="B5765" s="2">
        <v>44572.0</v>
      </c>
      <c r="C5765" s="1" t="s">
        <v>26</v>
      </c>
      <c r="D5765" s="1" t="s">
        <v>21</v>
      </c>
      <c r="E5765" s="1" t="s">
        <v>37</v>
      </c>
      <c r="F5765" s="1">
        <v>572.23</v>
      </c>
      <c r="G5765" s="1">
        <v>-38.55</v>
      </c>
      <c r="H5765" s="1">
        <v>6.0</v>
      </c>
      <c r="I5765" s="1" t="s">
        <v>34</v>
      </c>
      <c r="J5765" s="1" t="s">
        <v>38</v>
      </c>
      <c r="K5765" s="1">
        <f t="shared" si="1"/>
        <v>2022</v>
      </c>
      <c r="L5765" s="1" t="str">
        <f t="shared" si="2"/>
        <v>Jan</v>
      </c>
      <c r="M5765" s="1" t="str">
        <f t="shared" si="3"/>
        <v>Loss</v>
      </c>
    </row>
    <row r="5766" ht="14.25" customHeight="1">
      <c r="A5766" s="1" t="s">
        <v>5800</v>
      </c>
      <c r="B5766" s="2">
        <v>44449.0</v>
      </c>
      <c r="C5766" s="1" t="s">
        <v>26</v>
      </c>
      <c r="D5766" s="1" t="s">
        <v>21</v>
      </c>
      <c r="E5766" s="1" t="s">
        <v>37</v>
      </c>
      <c r="F5766" s="1">
        <v>803.43</v>
      </c>
      <c r="G5766" s="1">
        <v>-93.27</v>
      </c>
      <c r="H5766" s="1">
        <v>8.0</v>
      </c>
      <c r="I5766" s="1" t="s">
        <v>17</v>
      </c>
      <c r="J5766" s="1" t="s">
        <v>35</v>
      </c>
      <c r="K5766" s="1">
        <f t="shared" si="1"/>
        <v>2021</v>
      </c>
      <c r="L5766" s="1" t="str">
        <f t="shared" si="2"/>
        <v>Sep</v>
      </c>
      <c r="M5766" s="1" t="str">
        <f t="shared" si="3"/>
        <v>Loss</v>
      </c>
    </row>
    <row r="5767" ht="14.25" customHeight="1">
      <c r="A5767" s="1" t="s">
        <v>5801</v>
      </c>
      <c r="B5767" s="2">
        <v>44332.0</v>
      </c>
      <c r="C5767" s="1" t="s">
        <v>26</v>
      </c>
      <c r="D5767" s="1" t="s">
        <v>15</v>
      </c>
      <c r="E5767" s="1" t="s">
        <v>31</v>
      </c>
      <c r="F5767" s="1">
        <v>794.44</v>
      </c>
      <c r="G5767" s="1">
        <v>-170.25</v>
      </c>
      <c r="H5767" s="1">
        <v>1.0</v>
      </c>
      <c r="I5767" s="1" t="s">
        <v>34</v>
      </c>
      <c r="J5767" s="1" t="s">
        <v>24</v>
      </c>
      <c r="K5767" s="1">
        <f t="shared" si="1"/>
        <v>2021</v>
      </c>
      <c r="L5767" s="1" t="str">
        <f t="shared" si="2"/>
        <v>May</v>
      </c>
      <c r="M5767" s="1" t="str">
        <f t="shared" si="3"/>
        <v>Loss</v>
      </c>
    </row>
    <row r="5768" ht="14.25" customHeight="1">
      <c r="A5768" s="1" t="s">
        <v>5802</v>
      </c>
      <c r="B5768" s="2">
        <v>44712.0</v>
      </c>
      <c r="C5768" s="1" t="s">
        <v>14</v>
      </c>
      <c r="D5768" s="1" t="s">
        <v>27</v>
      </c>
      <c r="E5768" s="1" t="s">
        <v>28</v>
      </c>
      <c r="F5768" s="1">
        <v>689.92</v>
      </c>
      <c r="G5768" s="1">
        <v>108.62</v>
      </c>
      <c r="H5768" s="1">
        <v>9.0</v>
      </c>
      <c r="I5768" s="1" t="s">
        <v>17</v>
      </c>
      <c r="J5768" s="1" t="s">
        <v>18</v>
      </c>
      <c r="K5768" s="1">
        <f t="shared" si="1"/>
        <v>2022</v>
      </c>
      <c r="L5768" s="1" t="str">
        <f t="shared" si="2"/>
        <v>May</v>
      </c>
      <c r="M5768" s="1" t="str">
        <f t="shared" si="3"/>
        <v>Profit</v>
      </c>
    </row>
    <row r="5769" ht="14.25" customHeight="1">
      <c r="A5769" s="1" t="s">
        <v>5803</v>
      </c>
      <c r="B5769" s="2">
        <v>45280.0</v>
      </c>
      <c r="C5769" s="1" t="s">
        <v>30</v>
      </c>
      <c r="D5769" s="1" t="s">
        <v>21</v>
      </c>
      <c r="E5769" s="1" t="s">
        <v>76</v>
      </c>
      <c r="F5769" s="1">
        <v>102.16</v>
      </c>
      <c r="G5769" s="1">
        <v>-70.32</v>
      </c>
      <c r="H5769" s="1">
        <v>2.0</v>
      </c>
      <c r="I5769" s="1" t="s">
        <v>23</v>
      </c>
      <c r="J5769" s="1" t="s">
        <v>18</v>
      </c>
      <c r="K5769" s="1">
        <f t="shared" si="1"/>
        <v>2023</v>
      </c>
      <c r="L5769" s="1" t="str">
        <f t="shared" si="2"/>
        <v>Dec</v>
      </c>
      <c r="M5769" s="1" t="str">
        <f t="shared" si="3"/>
        <v>Loss</v>
      </c>
    </row>
    <row r="5770" ht="14.25" customHeight="1">
      <c r="A5770" s="1" t="s">
        <v>5804</v>
      </c>
      <c r="B5770" s="2">
        <v>44894.0</v>
      </c>
      <c r="C5770" s="1" t="s">
        <v>26</v>
      </c>
      <c r="D5770" s="1" t="s">
        <v>27</v>
      </c>
      <c r="E5770" s="1" t="s">
        <v>40</v>
      </c>
      <c r="F5770" s="1">
        <v>582.43</v>
      </c>
      <c r="G5770" s="1">
        <v>298.13</v>
      </c>
      <c r="H5770" s="1">
        <v>4.0</v>
      </c>
      <c r="I5770" s="1" t="s">
        <v>23</v>
      </c>
      <c r="J5770" s="1" t="s">
        <v>38</v>
      </c>
      <c r="K5770" s="1">
        <f t="shared" si="1"/>
        <v>2022</v>
      </c>
      <c r="L5770" s="1" t="str">
        <f t="shared" si="2"/>
        <v>Nov</v>
      </c>
      <c r="M5770" s="1" t="str">
        <f t="shared" si="3"/>
        <v>Profit</v>
      </c>
    </row>
    <row r="5771" ht="14.25" customHeight="1">
      <c r="A5771" s="1" t="s">
        <v>5805</v>
      </c>
      <c r="B5771" s="2">
        <v>44947.0</v>
      </c>
      <c r="C5771" s="1" t="s">
        <v>14</v>
      </c>
      <c r="D5771" s="1" t="s">
        <v>27</v>
      </c>
      <c r="E5771" s="1" t="s">
        <v>33</v>
      </c>
      <c r="F5771" s="1">
        <v>529.51</v>
      </c>
      <c r="G5771" s="1">
        <v>-10.01</v>
      </c>
      <c r="H5771" s="1">
        <v>7.0</v>
      </c>
      <c r="I5771" s="1" t="s">
        <v>34</v>
      </c>
      <c r="J5771" s="1" t="s">
        <v>35</v>
      </c>
      <c r="K5771" s="1">
        <f t="shared" si="1"/>
        <v>2023</v>
      </c>
      <c r="L5771" s="1" t="str">
        <f t="shared" si="2"/>
        <v>Jan</v>
      </c>
      <c r="M5771" s="1" t="str">
        <f t="shared" si="3"/>
        <v>Loss</v>
      </c>
    </row>
    <row r="5772" ht="14.25" customHeight="1">
      <c r="A5772" s="1" t="s">
        <v>5806</v>
      </c>
      <c r="B5772" s="2">
        <v>45005.0</v>
      </c>
      <c r="C5772" s="1" t="s">
        <v>20</v>
      </c>
      <c r="D5772" s="1" t="s">
        <v>15</v>
      </c>
      <c r="E5772" s="1" t="s">
        <v>54</v>
      </c>
      <c r="F5772" s="1">
        <v>468.05</v>
      </c>
      <c r="G5772" s="1">
        <v>-39.35</v>
      </c>
      <c r="H5772" s="1">
        <v>5.0</v>
      </c>
      <c r="I5772" s="1" t="s">
        <v>17</v>
      </c>
      <c r="J5772" s="1" t="s">
        <v>35</v>
      </c>
      <c r="K5772" s="1">
        <f t="shared" si="1"/>
        <v>2023</v>
      </c>
      <c r="L5772" s="1" t="str">
        <f t="shared" si="2"/>
        <v>Mar</v>
      </c>
      <c r="M5772" s="1" t="str">
        <f t="shared" si="3"/>
        <v>Loss</v>
      </c>
    </row>
    <row r="5773" ht="14.25" customHeight="1">
      <c r="A5773" s="1" t="s">
        <v>5807</v>
      </c>
      <c r="B5773" s="2">
        <v>44440.0</v>
      </c>
      <c r="C5773" s="1" t="s">
        <v>30</v>
      </c>
      <c r="D5773" s="1" t="s">
        <v>21</v>
      </c>
      <c r="E5773" s="1" t="s">
        <v>76</v>
      </c>
      <c r="F5773" s="1">
        <v>188.57</v>
      </c>
      <c r="G5773" s="1">
        <v>94.64</v>
      </c>
      <c r="H5773" s="1">
        <v>8.0</v>
      </c>
      <c r="I5773" s="1" t="s">
        <v>23</v>
      </c>
      <c r="J5773" s="1" t="s">
        <v>18</v>
      </c>
      <c r="K5773" s="1">
        <f t="shared" si="1"/>
        <v>2021</v>
      </c>
      <c r="L5773" s="1" t="str">
        <f t="shared" si="2"/>
        <v>Sep</v>
      </c>
      <c r="M5773" s="1" t="str">
        <f t="shared" si="3"/>
        <v>Profit</v>
      </c>
    </row>
    <row r="5774" ht="14.25" customHeight="1">
      <c r="A5774" s="1" t="s">
        <v>5808</v>
      </c>
      <c r="B5774" s="2">
        <v>44857.0</v>
      </c>
      <c r="C5774" s="1" t="s">
        <v>26</v>
      </c>
      <c r="D5774" s="1" t="s">
        <v>21</v>
      </c>
      <c r="E5774" s="1" t="s">
        <v>22</v>
      </c>
      <c r="F5774" s="1">
        <v>686.46</v>
      </c>
      <c r="G5774" s="1">
        <v>136.87</v>
      </c>
      <c r="H5774" s="1">
        <v>8.0</v>
      </c>
      <c r="I5774" s="1" t="s">
        <v>23</v>
      </c>
      <c r="J5774" s="1" t="s">
        <v>35</v>
      </c>
      <c r="K5774" s="1">
        <f t="shared" si="1"/>
        <v>2022</v>
      </c>
      <c r="L5774" s="1" t="str">
        <f t="shared" si="2"/>
        <v>Oct</v>
      </c>
      <c r="M5774" s="1" t="str">
        <f t="shared" si="3"/>
        <v>Profit</v>
      </c>
    </row>
    <row r="5775" ht="14.25" customHeight="1">
      <c r="A5775" s="1" t="s">
        <v>5809</v>
      </c>
      <c r="B5775" s="2">
        <v>44998.0</v>
      </c>
      <c r="C5775" s="1" t="s">
        <v>26</v>
      </c>
      <c r="D5775" s="1" t="s">
        <v>15</v>
      </c>
      <c r="E5775" s="1" t="s">
        <v>31</v>
      </c>
      <c r="F5775" s="1">
        <v>561.96</v>
      </c>
      <c r="G5775" s="1">
        <v>-124.87</v>
      </c>
      <c r="H5775" s="1">
        <v>6.0</v>
      </c>
      <c r="I5775" s="1" t="s">
        <v>17</v>
      </c>
      <c r="J5775" s="1" t="s">
        <v>24</v>
      </c>
      <c r="K5775" s="1">
        <f t="shared" si="1"/>
        <v>2023</v>
      </c>
      <c r="L5775" s="1" t="str">
        <f t="shared" si="2"/>
        <v>Mar</v>
      </c>
      <c r="M5775" s="1" t="str">
        <f t="shared" si="3"/>
        <v>Loss</v>
      </c>
    </row>
    <row r="5776" ht="14.25" customHeight="1">
      <c r="A5776" s="1" t="s">
        <v>5810</v>
      </c>
      <c r="B5776" s="2">
        <v>44551.0</v>
      </c>
      <c r="C5776" s="1" t="s">
        <v>20</v>
      </c>
      <c r="D5776" s="1" t="s">
        <v>27</v>
      </c>
      <c r="E5776" s="1" t="s">
        <v>40</v>
      </c>
      <c r="F5776" s="1">
        <v>63.12</v>
      </c>
      <c r="G5776" s="1">
        <v>-107.89</v>
      </c>
      <c r="H5776" s="1">
        <v>5.0</v>
      </c>
      <c r="I5776" s="1" t="s">
        <v>17</v>
      </c>
      <c r="J5776" s="1" t="s">
        <v>18</v>
      </c>
      <c r="K5776" s="1">
        <f t="shared" si="1"/>
        <v>2021</v>
      </c>
      <c r="L5776" s="1" t="str">
        <f t="shared" si="2"/>
        <v>Dec</v>
      </c>
      <c r="M5776" s="1" t="str">
        <f t="shared" si="3"/>
        <v>Loss</v>
      </c>
    </row>
    <row r="5777" ht="14.25" customHeight="1">
      <c r="A5777" s="1" t="s">
        <v>5811</v>
      </c>
      <c r="B5777" s="2">
        <v>44707.0</v>
      </c>
      <c r="C5777" s="1" t="s">
        <v>26</v>
      </c>
      <c r="D5777" s="1" t="s">
        <v>15</v>
      </c>
      <c r="E5777" s="1" t="s">
        <v>54</v>
      </c>
      <c r="F5777" s="1">
        <v>771.68</v>
      </c>
      <c r="G5777" s="1">
        <v>3.47</v>
      </c>
      <c r="H5777" s="1">
        <v>8.0</v>
      </c>
      <c r="I5777" s="1" t="s">
        <v>34</v>
      </c>
      <c r="J5777" s="1" t="s">
        <v>38</v>
      </c>
      <c r="K5777" s="1">
        <f t="shared" si="1"/>
        <v>2022</v>
      </c>
      <c r="L5777" s="1" t="str">
        <f t="shared" si="2"/>
        <v>May</v>
      </c>
      <c r="M5777" s="1" t="str">
        <f t="shared" si="3"/>
        <v>Profit</v>
      </c>
    </row>
    <row r="5778" ht="14.25" customHeight="1">
      <c r="A5778" s="1" t="s">
        <v>5812</v>
      </c>
      <c r="B5778" s="2">
        <v>44866.0</v>
      </c>
      <c r="C5778" s="1" t="s">
        <v>26</v>
      </c>
      <c r="D5778" s="1" t="s">
        <v>27</v>
      </c>
      <c r="E5778" s="1" t="s">
        <v>33</v>
      </c>
      <c r="F5778" s="1">
        <v>592.62</v>
      </c>
      <c r="G5778" s="1">
        <v>89.03</v>
      </c>
      <c r="H5778" s="1">
        <v>1.0</v>
      </c>
      <c r="I5778" s="1" t="s">
        <v>23</v>
      </c>
      <c r="J5778" s="1" t="s">
        <v>38</v>
      </c>
      <c r="K5778" s="1">
        <f t="shared" si="1"/>
        <v>2022</v>
      </c>
      <c r="L5778" s="1" t="str">
        <f t="shared" si="2"/>
        <v>Nov</v>
      </c>
      <c r="M5778" s="1" t="str">
        <f t="shared" si="3"/>
        <v>Profit</v>
      </c>
    </row>
    <row r="5779" ht="14.25" customHeight="1">
      <c r="A5779" s="1" t="s">
        <v>5813</v>
      </c>
      <c r="B5779" s="2">
        <v>44594.0</v>
      </c>
      <c r="C5779" s="1" t="s">
        <v>20</v>
      </c>
      <c r="D5779" s="1" t="s">
        <v>21</v>
      </c>
      <c r="E5779" s="1" t="s">
        <v>37</v>
      </c>
      <c r="F5779" s="1">
        <v>964.37</v>
      </c>
      <c r="G5779" s="1">
        <v>129.95</v>
      </c>
      <c r="H5779" s="1">
        <v>6.0</v>
      </c>
      <c r="I5779" s="1" t="s">
        <v>23</v>
      </c>
      <c r="J5779" s="1" t="s">
        <v>18</v>
      </c>
      <c r="K5779" s="1">
        <f t="shared" si="1"/>
        <v>2022</v>
      </c>
      <c r="L5779" s="1" t="str">
        <f t="shared" si="2"/>
        <v>Feb</v>
      </c>
      <c r="M5779" s="1" t="str">
        <f t="shared" si="3"/>
        <v>Profit</v>
      </c>
    </row>
    <row r="5780" ht="14.25" customHeight="1">
      <c r="A5780" s="1" t="s">
        <v>5814</v>
      </c>
      <c r="B5780" s="2">
        <v>45146.0</v>
      </c>
      <c r="C5780" s="1" t="s">
        <v>20</v>
      </c>
      <c r="D5780" s="1" t="s">
        <v>27</v>
      </c>
      <c r="E5780" s="1" t="s">
        <v>40</v>
      </c>
      <c r="F5780" s="1">
        <v>824.34</v>
      </c>
      <c r="G5780" s="1">
        <v>124.63</v>
      </c>
      <c r="H5780" s="1">
        <v>10.0</v>
      </c>
      <c r="I5780" s="1" t="s">
        <v>34</v>
      </c>
      <c r="J5780" s="1" t="s">
        <v>24</v>
      </c>
      <c r="K5780" s="1">
        <f t="shared" si="1"/>
        <v>2023</v>
      </c>
      <c r="L5780" s="1" t="str">
        <f t="shared" si="2"/>
        <v>Aug</v>
      </c>
      <c r="M5780" s="1" t="str">
        <f t="shared" si="3"/>
        <v>Profit</v>
      </c>
    </row>
    <row r="5781" ht="14.25" customHeight="1">
      <c r="A5781" s="1" t="s">
        <v>5815</v>
      </c>
      <c r="B5781" s="2">
        <v>44763.0</v>
      </c>
      <c r="C5781" s="1" t="s">
        <v>20</v>
      </c>
      <c r="D5781" s="1" t="s">
        <v>27</v>
      </c>
      <c r="E5781" s="1" t="s">
        <v>33</v>
      </c>
      <c r="F5781" s="1">
        <v>85.6</v>
      </c>
      <c r="G5781" s="1">
        <v>49.3</v>
      </c>
      <c r="H5781" s="1">
        <v>10.0</v>
      </c>
      <c r="I5781" s="1" t="s">
        <v>17</v>
      </c>
      <c r="J5781" s="1" t="s">
        <v>24</v>
      </c>
      <c r="K5781" s="1">
        <f t="shared" si="1"/>
        <v>2022</v>
      </c>
      <c r="L5781" s="1" t="str">
        <f t="shared" si="2"/>
        <v>Jul</v>
      </c>
      <c r="M5781" s="1" t="str">
        <f t="shared" si="3"/>
        <v>Profit</v>
      </c>
    </row>
    <row r="5782" ht="14.25" customHeight="1">
      <c r="A5782" s="1" t="s">
        <v>5816</v>
      </c>
      <c r="B5782" s="2">
        <v>44668.0</v>
      </c>
      <c r="C5782" s="1" t="s">
        <v>20</v>
      </c>
      <c r="D5782" s="1" t="s">
        <v>15</v>
      </c>
      <c r="E5782" s="1" t="s">
        <v>54</v>
      </c>
      <c r="F5782" s="1">
        <v>742.03</v>
      </c>
      <c r="G5782" s="1">
        <v>4.32</v>
      </c>
      <c r="H5782" s="1">
        <v>9.0</v>
      </c>
      <c r="I5782" s="1" t="s">
        <v>23</v>
      </c>
      <c r="J5782" s="1" t="s">
        <v>18</v>
      </c>
      <c r="K5782" s="1">
        <f t="shared" si="1"/>
        <v>2022</v>
      </c>
      <c r="L5782" s="1" t="str">
        <f t="shared" si="2"/>
        <v>Apr</v>
      </c>
      <c r="M5782" s="1" t="str">
        <f t="shared" si="3"/>
        <v>Profit</v>
      </c>
    </row>
    <row r="5783" ht="14.25" customHeight="1">
      <c r="A5783" s="1" t="s">
        <v>5817</v>
      </c>
      <c r="B5783" s="2">
        <v>45168.0</v>
      </c>
      <c r="C5783" s="1" t="s">
        <v>20</v>
      </c>
      <c r="D5783" s="1" t="s">
        <v>15</v>
      </c>
      <c r="E5783" s="1" t="s">
        <v>16</v>
      </c>
      <c r="F5783" s="1">
        <v>263.63</v>
      </c>
      <c r="G5783" s="1">
        <v>116.35</v>
      </c>
      <c r="H5783" s="1">
        <v>1.0</v>
      </c>
      <c r="I5783" s="1" t="s">
        <v>17</v>
      </c>
      <c r="J5783" s="1" t="s">
        <v>38</v>
      </c>
      <c r="K5783" s="1">
        <f t="shared" si="1"/>
        <v>2023</v>
      </c>
      <c r="L5783" s="1" t="str">
        <f t="shared" si="2"/>
        <v>Aug</v>
      </c>
      <c r="M5783" s="1" t="str">
        <f t="shared" si="3"/>
        <v>Profit</v>
      </c>
    </row>
    <row r="5784" ht="14.25" customHeight="1">
      <c r="A5784" s="1" t="s">
        <v>5818</v>
      </c>
      <c r="B5784" s="2">
        <v>44799.0</v>
      </c>
      <c r="C5784" s="1" t="s">
        <v>26</v>
      </c>
      <c r="D5784" s="1" t="s">
        <v>21</v>
      </c>
      <c r="E5784" s="1" t="s">
        <v>76</v>
      </c>
      <c r="F5784" s="1">
        <v>362.28</v>
      </c>
      <c r="G5784" s="1">
        <v>-111.6</v>
      </c>
      <c r="H5784" s="1">
        <v>7.0</v>
      </c>
      <c r="I5784" s="1" t="s">
        <v>34</v>
      </c>
      <c r="J5784" s="1" t="s">
        <v>18</v>
      </c>
      <c r="K5784" s="1">
        <f t="shared" si="1"/>
        <v>2022</v>
      </c>
      <c r="L5784" s="1" t="str">
        <f t="shared" si="2"/>
        <v>Aug</v>
      </c>
      <c r="M5784" s="1" t="str">
        <f t="shared" si="3"/>
        <v>Loss</v>
      </c>
    </row>
    <row r="5785" ht="14.25" customHeight="1">
      <c r="A5785" s="1" t="s">
        <v>5819</v>
      </c>
      <c r="B5785" s="2">
        <v>44977.0</v>
      </c>
      <c r="C5785" s="1" t="s">
        <v>20</v>
      </c>
      <c r="D5785" s="1" t="s">
        <v>15</v>
      </c>
      <c r="E5785" s="1" t="s">
        <v>16</v>
      </c>
      <c r="F5785" s="1">
        <v>321.42</v>
      </c>
      <c r="G5785" s="1">
        <v>179.17</v>
      </c>
      <c r="H5785" s="1">
        <v>4.0</v>
      </c>
      <c r="I5785" s="1" t="s">
        <v>23</v>
      </c>
      <c r="J5785" s="1" t="s">
        <v>35</v>
      </c>
      <c r="K5785" s="1">
        <f t="shared" si="1"/>
        <v>2023</v>
      </c>
      <c r="L5785" s="1" t="str">
        <f t="shared" si="2"/>
        <v>Feb</v>
      </c>
      <c r="M5785" s="1" t="str">
        <f t="shared" si="3"/>
        <v>Profit</v>
      </c>
    </row>
    <row r="5786" ht="14.25" customHeight="1">
      <c r="A5786" s="1" t="s">
        <v>5820</v>
      </c>
      <c r="B5786" s="2">
        <v>44712.0</v>
      </c>
      <c r="C5786" s="1" t="s">
        <v>26</v>
      </c>
      <c r="D5786" s="1" t="s">
        <v>15</v>
      </c>
      <c r="E5786" s="1" t="s">
        <v>16</v>
      </c>
      <c r="F5786" s="1">
        <v>489.1</v>
      </c>
      <c r="G5786" s="1">
        <v>-1.97</v>
      </c>
      <c r="H5786" s="1">
        <v>5.0</v>
      </c>
      <c r="I5786" s="1" t="s">
        <v>23</v>
      </c>
      <c r="J5786" s="1" t="s">
        <v>24</v>
      </c>
      <c r="K5786" s="1">
        <f t="shared" si="1"/>
        <v>2022</v>
      </c>
      <c r="L5786" s="1" t="str">
        <f t="shared" si="2"/>
        <v>May</v>
      </c>
      <c r="M5786" s="1" t="str">
        <f t="shared" si="3"/>
        <v>Loss</v>
      </c>
    </row>
    <row r="5787" ht="14.25" customHeight="1">
      <c r="A5787" s="1" t="s">
        <v>5821</v>
      </c>
      <c r="B5787" s="2">
        <v>44861.0</v>
      </c>
      <c r="C5787" s="1" t="s">
        <v>14</v>
      </c>
      <c r="D5787" s="1" t="s">
        <v>27</v>
      </c>
      <c r="E5787" s="1" t="s">
        <v>28</v>
      </c>
      <c r="F5787" s="1">
        <v>304.32</v>
      </c>
      <c r="G5787" s="1">
        <v>-132.65</v>
      </c>
      <c r="H5787" s="1">
        <v>1.0</v>
      </c>
      <c r="I5787" s="1" t="s">
        <v>34</v>
      </c>
      <c r="J5787" s="1" t="s">
        <v>35</v>
      </c>
      <c r="K5787" s="1">
        <f t="shared" si="1"/>
        <v>2022</v>
      </c>
      <c r="L5787" s="1" t="str">
        <f t="shared" si="2"/>
        <v>Oct</v>
      </c>
      <c r="M5787" s="1" t="str">
        <f t="shared" si="3"/>
        <v>Loss</v>
      </c>
    </row>
    <row r="5788" ht="14.25" customHeight="1">
      <c r="A5788" s="1" t="s">
        <v>5822</v>
      </c>
      <c r="B5788" s="2">
        <v>45093.0</v>
      </c>
      <c r="C5788" s="1" t="s">
        <v>30</v>
      </c>
      <c r="D5788" s="1" t="s">
        <v>27</v>
      </c>
      <c r="E5788" s="1" t="s">
        <v>40</v>
      </c>
      <c r="F5788" s="1">
        <v>790.04</v>
      </c>
      <c r="G5788" s="1">
        <v>43.49</v>
      </c>
      <c r="H5788" s="1">
        <v>8.0</v>
      </c>
      <c r="I5788" s="1" t="s">
        <v>17</v>
      </c>
      <c r="J5788" s="1" t="s">
        <v>38</v>
      </c>
      <c r="K5788" s="1">
        <f t="shared" si="1"/>
        <v>2023</v>
      </c>
      <c r="L5788" s="1" t="str">
        <f t="shared" si="2"/>
        <v>Jun</v>
      </c>
      <c r="M5788" s="1" t="str">
        <f t="shared" si="3"/>
        <v>Profit</v>
      </c>
    </row>
    <row r="5789" ht="14.25" customHeight="1">
      <c r="A5789" s="1" t="s">
        <v>5823</v>
      </c>
      <c r="B5789" s="2">
        <v>44346.0</v>
      </c>
      <c r="C5789" s="1" t="s">
        <v>30</v>
      </c>
      <c r="D5789" s="1" t="s">
        <v>21</v>
      </c>
      <c r="E5789" s="1" t="s">
        <v>22</v>
      </c>
      <c r="F5789" s="1">
        <v>144.36</v>
      </c>
      <c r="G5789" s="1">
        <v>292.05</v>
      </c>
      <c r="H5789" s="1">
        <v>4.0</v>
      </c>
      <c r="I5789" s="1" t="s">
        <v>34</v>
      </c>
      <c r="J5789" s="1" t="s">
        <v>24</v>
      </c>
      <c r="K5789" s="1">
        <f t="shared" si="1"/>
        <v>2021</v>
      </c>
      <c r="L5789" s="1" t="str">
        <f t="shared" si="2"/>
        <v>May</v>
      </c>
      <c r="M5789" s="1" t="str">
        <f t="shared" si="3"/>
        <v>Profit</v>
      </c>
    </row>
    <row r="5790" ht="14.25" customHeight="1">
      <c r="A5790" s="1" t="s">
        <v>5824</v>
      </c>
      <c r="B5790" s="2">
        <v>44958.0</v>
      </c>
      <c r="C5790" s="1" t="s">
        <v>26</v>
      </c>
      <c r="D5790" s="1" t="s">
        <v>27</v>
      </c>
      <c r="E5790" s="1" t="s">
        <v>28</v>
      </c>
      <c r="F5790" s="1">
        <v>640.43</v>
      </c>
      <c r="G5790" s="1">
        <v>8.43</v>
      </c>
      <c r="H5790" s="1">
        <v>10.0</v>
      </c>
      <c r="I5790" s="1" t="s">
        <v>17</v>
      </c>
      <c r="J5790" s="1" t="s">
        <v>24</v>
      </c>
      <c r="K5790" s="1">
        <f t="shared" si="1"/>
        <v>2023</v>
      </c>
      <c r="L5790" s="1" t="str">
        <f t="shared" si="2"/>
        <v>Feb</v>
      </c>
      <c r="M5790" s="1" t="str">
        <f t="shared" si="3"/>
        <v>Profit</v>
      </c>
    </row>
    <row r="5791" ht="14.25" customHeight="1">
      <c r="A5791" s="1" t="s">
        <v>5825</v>
      </c>
      <c r="B5791" s="2">
        <v>44856.0</v>
      </c>
      <c r="C5791" s="1" t="s">
        <v>26</v>
      </c>
      <c r="D5791" s="1" t="s">
        <v>21</v>
      </c>
      <c r="E5791" s="1" t="s">
        <v>37</v>
      </c>
      <c r="F5791" s="1">
        <v>153.76</v>
      </c>
      <c r="G5791" s="1">
        <v>146.01</v>
      </c>
      <c r="H5791" s="1">
        <v>4.0</v>
      </c>
      <c r="I5791" s="1" t="s">
        <v>23</v>
      </c>
      <c r="J5791" s="1" t="s">
        <v>35</v>
      </c>
      <c r="K5791" s="1">
        <f t="shared" si="1"/>
        <v>2022</v>
      </c>
      <c r="L5791" s="1" t="str">
        <f t="shared" si="2"/>
        <v>Oct</v>
      </c>
      <c r="M5791" s="1" t="str">
        <f t="shared" si="3"/>
        <v>Profit</v>
      </c>
    </row>
    <row r="5792" ht="14.25" customHeight="1">
      <c r="A5792" s="1" t="s">
        <v>5826</v>
      </c>
      <c r="B5792" s="2">
        <v>44694.0</v>
      </c>
      <c r="C5792" s="1" t="s">
        <v>26</v>
      </c>
      <c r="D5792" s="1" t="s">
        <v>27</v>
      </c>
      <c r="E5792" s="1" t="s">
        <v>33</v>
      </c>
      <c r="F5792" s="1">
        <v>927.93</v>
      </c>
      <c r="G5792" s="1">
        <v>286.6</v>
      </c>
      <c r="H5792" s="1">
        <v>2.0</v>
      </c>
      <c r="I5792" s="1" t="s">
        <v>34</v>
      </c>
      <c r="J5792" s="1" t="s">
        <v>24</v>
      </c>
      <c r="K5792" s="1">
        <f t="shared" si="1"/>
        <v>2022</v>
      </c>
      <c r="L5792" s="1" t="str">
        <f t="shared" si="2"/>
        <v>May</v>
      </c>
      <c r="M5792" s="1" t="str">
        <f t="shared" si="3"/>
        <v>Profit</v>
      </c>
    </row>
    <row r="5793" ht="14.25" customHeight="1">
      <c r="A5793" s="1" t="s">
        <v>5827</v>
      </c>
      <c r="B5793" s="2">
        <v>45055.0</v>
      </c>
      <c r="C5793" s="1" t="s">
        <v>26</v>
      </c>
      <c r="D5793" s="1" t="s">
        <v>15</v>
      </c>
      <c r="E5793" s="1" t="s">
        <v>16</v>
      </c>
      <c r="F5793" s="1">
        <v>930.83</v>
      </c>
      <c r="G5793" s="1">
        <v>-129.73</v>
      </c>
      <c r="H5793" s="1">
        <v>10.0</v>
      </c>
      <c r="I5793" s="1" t="s">
        <v>17</v>
      </c>
      <c r="J5793" s="1" t="s">
        <v>38</v>
      </c>
      <c r="K5793" s="1">
        <f t="shared" si="1"/>
        <v>2023</v>
      </c>
      <c r="L5793" s="1" t="str">
        <f t="shared" si="2"/>
        <v>May</v>
      </c>
      <c r="M5793" s="1" t="str">
        <f t="shared" si="3"/>
        <v>Loss</v>
      </c>
    </row>
    <row r="5794" ht="14.25" customHeight="1">
      <c r="A5794" s="1" t="s">
        <v>5828</v>
      </c>
      <c r="B5794" s="2">
        <v>45166.0</v>
      </c>
      <c r="C5794" s="1" t="s">
        <v>20</v>
      </c>
      <c r="D5794" s="1" t="s">
        <v>15</v>
      </c>
      <c r="E5794" s="1" t="s">
        <v>54</v>
      </c>
      <c r="F5794" s="1">
        <v>180.37</v>
      </c>
      <c r="G5794" s="1">
        <v>-155.59</v>
      </c>
      <c r="H5794" s="1">
        <v>7.0</v>
      </c>
      <c r="I5794" s="1" t="s">
        <v>23</v>
      </c>
      <c r="J5794" s="1" t="s">
        <v>38</v>
      </c>
      <c r="K5794" s="1">
        <f t="shared" si="1"/>
        <v>2023</v>
      </c>
      <c r="L5794" s="1" t="str">
        <f t="shared" si="2"/>
        <v>Aug</v>
      </c>
      <c r="M5794" s="1" t="str">
        <f t="shared" si="3"/>
        <v>Loss</v>
      </c>
    </row>
    <row r="5795" ht="14.25" customHeight="1">
      <c r="A5795" s="1" t="s">
        <v>5829</v>
      </c>
      <c r="B5795" s="2">
        <v>45207.0</v>
      </c>
      <c r="C5795" s="1" t="s">
        <v>20</v>
      </c>
      <c r="D5795" s="1" t="s">
        <v>27</v>
      </c>
      <c r="E5795" s="1" t="s">
        <v>28</v>
      </c>
      <c r="F5795" s="1">
        <v>971.42</v>
      </c>
      <c r="G5795" s="1">
        <v>253.34</v>
      </c>
      <c r="H5795" s="1">
        <v>10.0</v>
      </c>
      <c r="I5795" s="1" t="s">
        <v>23</v>
      </c>
      <c r="J5795" s="1" t="s">
        <v>24</v>
      </c>
      <c r="K5795" s="1">
        <f t="shared" si="1"/>
        <v>2023</v>
      </c>
      <c r="L5795" s="1" t="str">
        <f t="shared" si="2"/>
        <v>Oct</v>
      </c>
      <c r="M5795" s="1" t="str">
        <f t="shared" si="3"/>
        <v>Profit</v>
      </c>
    </row>
    <row r="5796" ht="14.25" customHeight="1">
      <c r="A5796" s="1" t="s">
        <v>5830</v>
      </c>
      <c r="B5796" s="2">
        <v>44691.0</v>
      </c>
      <c r="C5796" s="1" t="s">
        <v>26</v>
      </c>
      <c r="D5796" s="1" t="s">
        <v>27</v>
      </c>
      <c r="E5796" s="1" t="s">
        <v>33</v>
      </c>
      <c r="F5796" s="1">
        <v>160.05</v>
      </c>
      <c r="G5796" s="1">
        <v>-87.5</v>
      </c>
      <c r="H5796" s="1">
        <v>1.0</v>
      </c>
      <c r="I5796" s="1" t="s">
        <v>17</v>
      </c>
      <c r="J5796" s="1" t="s">
        <v>38</v>
      </c>
      <c r="K5796" s="1">
        <f t="shared" si="1"/>
        <v>2022</v>
      </c>
      <c r="L5796" s="1" t="str">
        <f t="shared" si="2"/>
        <v>May</v>
      </c>
      <c r="M5796" s="1" t="str">
        <f t="shared" si="3"/>
        <v>Loss</v>
      </c>
    </row>
    <row r="5797" ht="14.25" customHeight="1">
      <c r="A5797" s="1" t="s">
        <v>5831</v>
      </c>
      <c r="B5797" s="2">
        <v>44607.0</v>
      </c>
      <c r="C5797" s="1" t="s">
        <v>20</v>
      </c>
      <c r="D5797" s="1" t="s">
        <v>27</v>
      </c>
      <c r="E5797" s="1" t="s">
        <v>28</v>
      </c>
      <c r="F5797" s="1">
        <v>869.38</v>
      </c>
      <c r="G5797" s="1">
        <v>-95.11</v>
      </c>
      <c r="H5797" s="1">
        <v>6.0</v>
      </c>
      <c r="I5797" s="1" t="s">
        <v>34</v>
      </c>
      <c r="J5797" s="1" t="s">
        <v>35</v>
      </c>
      <c r="K5797" s="1">
        <f t="shared" si="1"/>
        <v>2022</v>
      </c>
      <c r="L5797" s="1" t="str">
        <f t="shared" si="2"/>
        <v>Feb</v>
      </c>
      <c r="M5797" s="1" t="str">
        <f t="shared" si="3"/>
        <v>Loss</v>
      </c>
    </row>
    <row r="5798" ht="14.25" customHeight="1">
      <c r="A5798" s="1" t="s">
        <v>5832</v>
      </c>
      <c r="B5798" s="2">
        <v>44653.0</v>
      </c>
      <c r="C5798" s="1" t="s">
        <v>30</v>
      </c>
      <c r="D5798" s="1" t="s">
        <v>15</v>
      </c>
      <c r="E5798" s="1" t="s">
        <v>31</v>
      </c>
      <c r="F5798" s="1">
        <v>458.81</v>
      </c>
      <c r="G5798" s="1">
        <v>-184.87</v>
      </c>
      <c r="H5798" s="1">
        <v>2.0</v>
      </c>
      <c r="I5798" s="1" t="s">
        <v>34</v>
      </c>
      <c r="J5798" s="1" t="s">
        <v>24</v>
      </c>
      <c r="K5798" s="1">
        <f t="shared" si="1"/>
        <v>2022</v>
      </c>
      <c r="L5798" s="1" t="str">
        <f t="shared" si="2"/>
        <v>Apr</v>
      </c>
      <c r="M5798" s="1" t="str">
        <f t="shared" si="3"/>
        <v>Loss</v>
      </c>
    </row>
    <row r="5799" ht="14.25" customHeight="1">
      <c r="A5799" s="1" t="s">
        <v>5833</v>
      </c>
      <c r="B5799" s="2">
        <v>44798.0</v>
      </c>
      <c r="C5799" s="1" t="s">
        <v>20</v>
      </c>
      <c r="D5799" s="1" t="s">
        <v>21</v>
      </c>
      <c r="E5799" s="1" t="s">
        <v>22</v>
      </c>
      <c r="F5799" s="1">
        <v>333.29</v>
      </c>
      <c r="G5799" s="1">
        <v>10.31</v>
      </c>
      <c r="H5799" s="1">
        <v>7.0</v>
      </c>
      <c r="I5799" s="1" t="s">
        <v>34</v>
      </c>
      <c r="J5799" s="1" t="s">
        <v>18</v>
      </c>
      <c r="K5799" s="1">
        <f t="shared" si="1"/>
        <v>2022</v>
      </c>
      <c r="L5799" s="1" t="str">
        <f t="shared" si="2"/>
        <v>Aug</v>
      </c>
      <c r="M5799" s="1" t="str">
        <f t="shared" si="3"/>
        <v>Profit</v>
      </c>
    </row>
    <row r="5800" ht="14.25" customHeight="1">
      <c r="A5800" s="1" t="s">
        <v>5834</v>
      </c>
      <c r="B5800" s="2">
        <v>44530.0</v>
      </c>
      <c r="C5800" s="1" t="s">
        <v>26</v>
      </c>
      <c r="D5800" s="1" t="s">
        <v>27</v>
      </c>
      <c r="E5800" s="1" t="s">
        <v>33</v>
      </c>
      <c r="F5800" s="1">
        <v>633.52</v>
      </c>
      <c r="G5800" s="1">
        <v>100.11</v>
      </c>
      <c r="H5800" s="1">
        <v>1.0</v>
      </c>
      <c r="I5800" s="1" t="s">
        <v>34</v>
      </c>
      <c r="J5800" s="1" t="s">
        <v>24</v>
      </c>
      <c r="K5800" s="1">
        <f t="shared" si="1"/>
        <v>2021</v>
      </c>
      <c r="L5800" s="1" t="str">
        <f t="shared" si="2"/>
        <v>Nov</v>
      </c>
      <c r="M5800" s="1" t="str">
        <f t="shared" si="3"/>
        <v>Profit</v>
      </c>
    </row>
    <row r="5801" ht="14.25" customHeight="1">
      <c r="A5801" s="1" t="s">
        <v>5835</v>
      </c>
      <c r="B5801" s="2">
        <v>44598.0</v>
      </c>
      <c r="C5801" s="1" t="s">
        <v>14</v>
      </c>
      <c r="D5801" s="1" t="s">
        <v>15</v>
      </c>
      <c r="E5801" s="1" t="s">
        <v>31</v>
      </c>
      <c r="F5801" s="1">
        <v>160.36</v>
      </c>
      <c r="G5801" s="1">
        <v>239.02</v>
      </c>
      <c r="H5801" s="1">
        <v>1.0</v>
      </c>
      <c r="I5801" s="1" t="s">
        <v>34</v>
      </c>
      <c r="J5801" s="1" t="s">
        <v>18</v>
      </c>
      <c r="K5801" s="1">
        <f t="shared" si="1"/>
        <v>2022</v>
      </c>
      <c r="L5801" s="1" t="str">
        <f t="shared" si="2"/>
        <v>Feb</v>
      </c>
      <c r="M5801" s="1" t="str">
        <f t="shared" si="3"/>
        <v>Profit</v>
      </c>
    </row>
    <row r="5802" ht="14.25" customHeight="1">
      <c r="A5802" s="1" t="s">
        <v>5836</v>
      </c>
      <c r="B5802" s="2">
        <v>44693.0</v>
      </c>
      <c r="C5802" s="1" t="s">
        <v>14</v>
      </c>
      <c r="D5802" s="1" t="s">
        <v>15</v>
      </c>
      <c r="E5802" s="1" t="s">
        <v>31</v>
      </c>
      <c r="F5802" s="1">
        <v>68.58</v>
      </c>
      <c r="G5802" s="1">
        <v>-36.49</v>
      </c>
      <c r="H5802" s="1">
        <v>7.0</v>
      </c>
      <c r="I5802" s="1" t="s">
        <v>17</v>
      </c>
      <c r="J5802" s="1" t="s">
        <v>35</v>
      </c>
      <c r="K5802" s="1">
        <f t="shared" si="1"/>
        <v>2022</v>
      </c>
      <c r="L5802" s="1" t="str">
        <f t="shared" si="2"/>
        <v>May</v>
      </c>
      <c r="M5802" s="1" t="str">
        <f t="shared" si="3"/>
        <v>Loss</v>
      </c>
    </row>
    <row r="5803" ht="14.25" customHeight="1">
      <c r="A5803" s="1" t="s">
        <v>5837</v>
      </c>
      <c r="B5803" s="2">
        <v>44287.0</v>
      </c>
      <c r="C5803" s="1" t="s">
        <v>26</v>
      </c>
      <c r="D5803" s="1" t="s">
        <v>15</v>
      </c>
      <c r="E5803" s="1" t="s">
        <v>54</v>
      </c>
      <c r="F5803" s="1">
        <v>52.2</v>
      </c>
      <c r="G5803" s="1">
        <v>96.81</v>
      </c>
      <c r="H5803" s="1">
        <v>3.0</v>
      </c>
      <c r="I5803" s="1" t="s">
        <v>17</v>
      </c>
      <c r="J5803" s="1" t="s">
        <v>35</v>
      </c>
      <c r="K5803" s="1">
        <f t="shared" si="1"/>
        <v>2021</v>
      </c>
      <c r="L5803" s="1" t="str">
        <f t="shared" si="2"/>
        <v>Apr</v>
      </c>
      <c r="M5803" s="1" t="str">
        <f t="shared" si="3"/>
        <v>Profit</v>
      </c>
    </row>
    <row r="5804" ht="14.25" customHeight="1">
      <c r="A5804" s="1" t="s">
        <v>5838</v>
      </c>
      <c r="B5804" s="2">
        <v>44783.0</v>
      </c>
      <c r="C5804" s="1" t="s">
        <v>20</v>
      </c>
      <c r="D5804" s="1" t="s">
        <v>15</v>
      </c>
      <c r="E5804" s="1" t="s">
        <v>54</v>
      </c>
      <c r="F5804" s="1">
        <v>610.79</v>
      </c>
      <c r="G5804" s="1">
        <v>32.51</v>
      </c>
      <c r="H5804" s="1">
        <v>10.0</v>
      </c>
      <c r="I5804" s="1" t="s">
        <v>34</v>
      </c>
      <c r="J5804" s="1" t="s">
        <v>35</v>
      </c>
      <c r="K5804" s="1">
        <f t="shared" si="1"/>
        <v>2022</v>
      </c>
      <c r="L5804" s="1" t="str">
        <f t="shared" si="2"/>
        <v>Aug</v>
      </c>
      <c r="M5804" s="1" t="str">
        <f t="shared" si="3"/>
        <v>Profit</v>
      </c>
    </row>
    <row r="5805" ht="14.25" customHeight="1">
      <c r="A5805" s="1" t="s">
        <v>5839</v>
      </c>
      <c r="B5805" s="2">
        <v>45105.0</v>
      </c>
      <c r="C5805" s="1" t="s">
        <v>30</v>
      </c>
      <c r="D5805" s="1" t="s">
        <v>15</v>
      </c>
      <c r="E5805" s="1" t="s">
        <v>16</v>
      </c>
      <c r="F5805" s="1">
        <v>765.72</v>
      </c>
      <c r="G5805" s="1">
        <v>286.17</v>
      </c>
      <c r="H5805" s="1">
        <v>9.0</v>
      </c>
      <c r="I5805" s="1" t="s">
        <v>17</v>
      </c>
      <c r="J5805" s="1" t="s">
        <v>24</v>
      </c>
      <c r="K5805" s="1">
        <f t="shared" si="1"/>
        <v>2023</v>
      </c>
      <c r="L5805" s="1" t="str">
        <f t="shared" si="2"/>
        <v>Jun</v>
      </c>
      <c r="M5805" s="1" t="str">
        <f t="shared" si="3"/>
        <v>Profit</v>
      </c>
    </row>
    <row r="5806" ht="14.25" customHeight="1">
      <c r="A5806" s="1" t="s">
        <v>5840</v>
      </c>
      <c r="B5806" s="2">
        <v>44916.0</v>
      </c>
      <c r="C5806" s="1" t="s">
        <v>14</v>
      </c>
      <c r="D5806" s="1" t="s">
        <v>27</v>
      </c>
      <c r="E5806" s="1" t="s">
        <v>40</v>
      </c>
      <c r="F5806" s="1">
        <v>586.38</v>
      </c>
      <c r="G5806" s="1">
        <v>203.73</v>
      </c>
      <c r="H5806" s="1">
        <v>5.0</v>
      </c>
      <c r="I5806" s="1" t="s">
        <v>23</v>
      </c>
      <c r="J5806" s="1" t="s">
        <v>18</v>
      </c>
      <c r="K5806" s="1">
        <f t="shared" si="1"/>
        <v>2022</v>
      </c>
      <c r="L5806" s="1" t="str">
        <f t="shared" si="2"/>
        <v>Dec</v>
      </c>
      <c r="M5806" s="1" t="str">
        <f t="shared" si="3"/>
        <v>Profit</v>
      </c>
    </row>
    <row r="5807" ht="14.25" customHeight="1">
      <c r="A5807" s="1" t="s">
        <v>5841</v>
      </c>
      <c r="B5807" s="2">
        <v>44563.0</v>
      </c>
      <c r="C5807" s="1" t="s">
        <v>20</v>
      </c>
      <c r="D5807" s="1" t="s">
        <v>15</v>
      </c>
      <c r="E5807" s="1" t="s">
        <v>54</v>
      </c>
      <c r="F5807" s="1">
        <v>677.66</v>
      </c>
      <c r="G5807" s="1">
        <v>-104.31</v>
      </c>
      <c r="H5807" s="1">
        <v>5.0</v>
      </c>
      <c r="I5807" s="1" t="s">
        <v>17</v>
      </c>
      <c r="J5807" s="1" t="s">
        <v>38</v>
      </c>
      <c r="K5807" s="1">
        <f t="shared" si="1"/>
        <v>2022</v>
      </c>
      <c r="L5807" s="1" t="str">
        <f t="shared" si="2"/>
        <v>Jan</v>
      </c>
      <c r="M5807" s="1" t="str">
        <f t="shared" si="3"/>
        <v>Loss</v>
      </c>
    </row>
    <row r="5808" ht="14.25" customHeight="1">
      <c r="A5808" s="1" t="s">
        <v>5842</v>
      </c>
      <c r="B5808" s="2">
        <v>44649.0</v>
      </c>
      <c r="C5808" s="1" t="s">
        <v>14</v>
      </c>
      <c r="D5808" s="1" t="s">
        <v>21</v>
      </c>
      <c r="E5808" s="1" t="s">
        <v>37</v>
      </c>
      <c r="F5808" s="1">
        <v>645.23</v>
      </c>
      <c r="G5808" s="1">
        <v>208.75</v>
      </c>
      <c r="H5808" s="1">
        <v>2.0</v>
      </c>
      <c r="I5808" s="1" t="s">
        <v>23</v>
      </c>
      <c r="J5808" s="1" t="s">
        <v>18</v>
      </c>
      <c r="K5808" s="1">
        <f t="shared" si="1"/>
        <v>2022</v>
      </c>
      <c r="L5808" s="1" t="str">
        <f t="shared" si="2"/>
        <v>Mar</v>
      </c>
      <c r="M5808" s="1" t="str">
        <f t="shared" si="3"/>
        <v>Profit</v>
      </c>
    </row>
    <row r="5809" ht="14.25" customHeight="1">
      <c r="A5809" s="1" t="s">
        <v>5843</v>
      </c>
      <c r="B5809" s="2">
        <v>44295.0</v>
      </c>
      <c r="C5809" s="1" t="s">
        <v>26</v>
      </c>
      <c r="D5809" s="1" t="s">
        <v>21</v>
      </c>
      <c r="E5809" s="1" t="s">
        <v>22</v>
      </c>
      <c r="F5809" s="1">
        <v>789.53</v>
      </c>
      <c r="G5809" s="1">
        <v>63.79</v>
      </c>
      <c r="H5809" s="1">
        <v>6.0</v>
      </c>
      <c r="I5809" s="1" t="s">
        <v>17</v>
      </c>
      <c r="J5809" s="1" t="s">
        <v>24</v>
      </c>
      <c r="K5809" s="1">
        <f t="shared" si="1"/>
        <v>2021</v>
      </c>
      <c r="L5809" s="1" t="str">
        <f t="shared" si="2"/>
        <v>Apr</v>
      </c>
      <c r="M5809" s="1" t="str">
        <f t="shared" si="3"/>
        <v>Profit</v>
      </c>
    </row>
    <row r="5810" ht="14.25" customHeight="1">
      <c r="A5810" s="1" t="s">
        <v>5844</v>
      </c>
      <c r="B5810" s="2">
        <v>44706.0</v>
      </c>
      <c r="C5810" s="1" t="s">
        <v>30</v>
      </c>
      <c r="D5810" s="1" t="s">
        <v>27</v>
      </c>
      <c r="E5810" s="1" t="s">
        <v>33</v>
      </c>
      <c r="F5810" s="1">
        <v>113.1</v>
      </c>
      <c r="G5810" s="1">
        <v>24.04</v>
      </c>
      <c r="H5810" s="1">
        <v>6.0</v>
      </c>
      <c r="I5810" s="1" t="s">
        <v>23</v>
      </c>
      <c r="J5810" s="1" t="s">
        <v>38</v>
      </c>
      <c r="K5810" s="1">
        <f t="shared" si="1"/>
        <v>2022</v>
      </c>
      <c r="L5810" s="1" t="str">
        <f t="shared" si="2"/>
        <v>May</v>
      </c>
      <c r="M5810" s="1" t="str">
        <f t="shared" si="3"/>
        <v>Profit</v>
      </c>
    </row>
    <row r="5811" ht="14.25" customHeight="1">
      <c r="A5811" s="1" t="s">
        <v>5845</v>
      </c>
      <c r="B5811" s="2">
        <v>44769.0</v>
      </c>
      <c r="C5811" s="1" t="s">
        <v>20</v>
      </c>
      <c r="D5811" s="1" t="s">
        <v>15</v>
      </c>
      <c r="E5811" s="1" t="s">
        <v>54</v>
      </c>
      <c r="F5811" s="1">
        <v>795.75</v>
      </c>
      <c r="G5811" s="1">
        <v>142.82</v>
      </c>
      <c r="H5811" s="1">
        <v>1.0</v>
      </c>
      <c r="I5811" s="1" t="s">
        <v>17</v>
      </c>
      <c r="J5811" s="1" t="s">
        <v>38</v>
      </c>
      <c r="K5811" s="1">
        <f t="shared" si="1"/>
        <v>2022</v>
      </c>
      <c r="L5811" s="1" t="str">
        <f t="shared" si="2"/>
        <v>Jul</v>
      </c>
      <c r="M5811" s="1" t="str">
        <f t="shared" si="3"/>
        <v>Profit</v>
      </c>
    </row>
    <row r="5812" ht="14.25" customHeight="1">
      <c r="A5812" s="1" t="s">
        <v>5846</v>
      </c>
      <c r="B5812" s="2">
        <v>44592.0</v>
      </c>
      <c r="C5812" s="1" t="s">
        <v>14</v>
      </c>
      <c r="D5812" s="1" t="s">
        <v>21</v>
      </c>
      <c r="E5812" s="1" t="s">
        <v>76</v>
      </c>
      <c r="F5812" s="1">
        <v>916.15</v>
      </c>
      <c r="G5812" s="1">
        <v>-27.12</v>
      </c>
      <c r="H5812" s="1">
        <v>7.0</v>
      </c>
      <c r="I5812" s="1" t="s">
        <v>17</v>
      </c>
      <c r="J5812" s="1" t="s">
        <v>35</v>
      </c>
      <c r="K5812" s="1">
        <f t="shared" si="1"/>
        <v>2022</v>
      </c>
      <c r="L5812" s="1" t="str">
        <f t="shared" si="2"/>
        <v>Jan</v>
      </c>
      <c r="M5812" s="1" t="str">
        <f t="shared" si="3"/>
        <v>Loss</v>
      </c>
    </row>
    <row r="5813" ht="14.25" customHeight="1">
      <c r="A5813" s="1" t="s">
        <v>5847</v>
      </c>
      <c r="B5813" s="2">
        <v>44886.0</v>
      </c>
      <c r="C5813" s="1" t="s">
        <v>26</v>
      </c>
      <c r="D5813" s="1" t="s">
        <v>15</v>
      </c>
      <c r="E5813" s="1" t="s">
        <v>16</v>
      </c>
      <c r="F5813" s="1">
        <v>826.08</v>
      </c>
      <c r="G5813" s="1">
        <v>185.93</v>
      </c>
      <c r="H5813" s="1">
        <v>2.0</v>
      </c>
      <c r="I5813" s="1" t="s">
        <v>34</v>
      </c>
      <c r="J5813" s="1" t="s">
        <v>38</v>
      </c>
      <c r="K5813" s="1">
        <f t="shared" si="1"/>
        <v>2022</v>
      </c>
      <c r="L5813" s="1" t="str">
        <f t="shared" si="2"/>
        <v>Nov</v>
      </c>
      <c r="M5813" s="1" t="str">
        <f t="shared" si="3"/>
        <v>Profit</v>
      </c>
    </row>
    <row r="5814" ht="14.25" customHeight="1">
      <c r="A5814" s="1" t="s">
        <v>5848</v>
      </c>
      <c r="B5814" s="2">
        <v>44399.0</v>
      </c>
      <c r="C5814" s="1" t="s">
        <v>26</v>
      </c>
      <c r="D5814" s="1" t="s">
        <v>21</v>
      </c>
      <c r="E5814" s="1" t="s">
        <v>76</v>
      </c>
      <c r="F5814" s="1">
        <v>485.77</v>
      </c>
      <c r="G5814" s="1">
        <v>-126.99</v>
      </c>
      <c r="H5814" s="1">
        <v>1.0</v>
      </c>
      <c r="I5814" s="1" t="s">
        <v>17</v>
      </c>
      <c r="J5814" s="1" t="s">
        <v>38</v>
      </c>
      <c r="K5814" s="1">
        <f t="shared" si="1"/>
        <v>2021</v>
      </c>
      <c r="L5814" s="1" t="str">
        <f t="shared" si="2"/>
        <v>Jul</v>
      </c>
      <c r="M5814" s="1" t="str">
        <f t="shared" si="3"/>
        <v>Loss</v>
      </c>
    </row>
    <row r="5815" ht="14.25" customHeight="1">
      <c r="A5815" s="1" t="s">
        <v>5849</v>
      </c>
      <c r="B5815" s="2">
        <v>44884.0</v>
      </c>
      <c r="C5815" s="1" t="s">
        <v>20</v>
      </c>
      <c r="D5815" s="1" t="s">
        <v>15</v>
      </c>
      <c r="E5815" s="1" t="s">
        <v>31</v>
      </c>
      <c r="F5815" s="1">
        <v>802.73</v>
      </c>
      <c r="G5815" s="1">
        <v>-47.26</v>
      </c>
      <c r="H5815" s="1">
        <v>7.0</v>
      </c>
      <c r="I5815" s="1" t="s">
        <v>17</v>
      </c>
      <c r="J5815" s="1" t="s">
        <v>38</v>
      </c>
      <c r="K5815" s="1">
        <f t="shared" si="1"/>
        <v>2022</v>
      </c>
      <c r="L5815" s="1" t="str">
        <f t="shared" si="2"/>
        <v>Nov</v>
      </c>
      <c r="M5815" s="1" t="str">
        <f t="shared" si="3"/>
        <v>Loss</v>
      </c>
    </row>
    <row r="5816" ht="14.25" customHeight="1">
      <c r="A5816" s="1" t="s">
        <v>5850</v>
      </c>
      <c r="B5816" s="2">
        <v>44211.0</v>
      </c>
      <c r="C5816" s="1" t="s">
        <v>14</v>
      </c>
      <c r="D5816" s="1" t="s">
        <v>27</v>
      </c>
      <c r="E5816" s="1" t="s">
        <v>33</v>
      </c>
      <c r="F5816" s="1">
        <v>817.51</v>
      </c>
      <c r="G5816" s="1">
        <v>103.2</v>
      </c>
      <c r="H5816" s="1">
        <v>4.0</v>
      </c>
      <c r="I5816" s="1" t="s">
        <v>34</v>
      </c>
      <c r="J5816" s="1" t="s">
        <v>38</v>
      </c>
      <c r="K5816" s="1">
        <f t="shared" si="1"/>
        <v>2021</v>
      </c>
      <c r="L5816" s="1" t="str">
        <f t="shared" si="2"/>
        <v>Jan</v>
      </c>
      <c r="M5816" s="1" t="str">
        <f t="shared" si="3"/>
        <v>Profit</v>
      </c>
    </row>
    <row r="5817" ht="14.25" customHeight="1">
      <c r="A5817" s="1" t="s">
        <v>5851</v>
      </c>
      <c r="B5817" s="2">
        <v>44699.0</v>
      </c>
      <c r="C5817" s="1" t="s">
        <v>26</v>
      </c>
      <c r="D5817" s="1" t="s">
        <v>27</v>
      </c>
      <c r="E5817" s="1" t="s">
        <v>28</v>
      </c>
      <c r="F5817" s="1">
        <v>243.09</v>
      </c>
      <c r="G5817" s="1">
        <v>109.47</v>
      </c>
      <c r="H5817" s="1">
        <v>2.0</v>
      </c>
      <c r="I5817" s="1" t="s">
        <v>23</v>
      </c>
      <c r="J5817" s="1" t="s">
        <v>18</v>
      </c>
      <c r="K5817" s="1">
        <f t="shared" si="1"/>
        <v>2022</v>
      </c>
      <c r="L5817" s="1" t="str">
        <f t="shared" si="2"/>
        <v>May</v>
      </c>
      <c r="M5817" s="1" t="str">
        <f t="shared" si="3"/>
        <v>Profit</v>
      </c>
    </row>
    <row r="5818" ht="14.25" customHeight="1">
      <c r="A5818" s="1" t="s">
        <v>5852</v>
      </c>
      <c r="B5818" s="2">
        <v>44337.0</v>
      </c>
      <c r="C5818" s="1" t="s">
        <v>20</v>
      </c>
      <c r="D5818" s="1" t="s">
        <v>27</v>
      </c>
      <c r="E5818" s="1" t="s">
        <v>40</v>
      </c>
      <c r="F5818" s="1">
        <v>829.04</v>
      </c>
      <c r="G5818" s="1">
        <v>50.8</v>
      </c>
      <c r="H5818" s="1">
        <v>6.0</v>
      </c>
      <c r="I5818" s="1" t="s">
        <v>23</v>
      </c>
      <c r="J5818" s="1" t="s">
        <v>38</v>
      </c>
      <c r="K5818" s="1">
        <f t="shared" si="1"/>
        <v>2021</v>
      </c>
      <c r="L5818" s="1" t="str">
        <f t="shared" si="2"/>
        <v>May</v>
      </c>
      <c r="M5818" s="1" t="str">
        <f t="shared" si="3"/>
        <v>Profit</v>
      </c>
    </row>
    <row r="5819" ht="14.25" customHeight="1">
      <c r="A5819" s="1" t="s">
        <v>5853</v>
      </c>
      <c r="B5819" s="2">
        <v>44397.0</v>
      </c>
      <c r="C5819" s="1" t="s">
        <v>26</v>
      </c>
      <c r="D5819" s="1" t="s">
        <v>21</v>
      </c>
      <c r="E5819" s="1" t="s">
        <v>76</v>
      </c>
      <c r="F5819" s="1">
        <v>991.04</v>
      </c>
      <c r="G5819" s="1">
        <v>15.92</v>
      </c>
      <c r="H5819" s="1">
        <v>1.0</v>
      </c>
      <c r="I5819" s="1" t="s">
        <v>23</v>
      </c>
      <c r="J5819" s="1" t="s">
        <v>38</v>
      </c>
      <c r="K5819" s="1">
        <f t="shared" si="1"/>
        <v>2021</v>
      </c>
      <c r="L5819" s="1" t="str">
        <f t="shared" si="2"/>
        <v>Jul</v>
      </c>
      <c r="M5819" s="1" t="str">
        <f t="shared" si="3"/>
        <v>Profit</v>
      </c>
    </row>
    <row r="5820" ht="14.25" customHeight="1">
      <c r="A5820" s="1" t="s">
        <v>5854</v>
      </c>
      <c r="B5820" s="2">
        <v>44410.0</v>
      </c>
      <c r="C5820" s="1" t="s">
        <v>20</v>
      </c>
      <c r="D5820" s="1" t="s">
        <v>21</v>
      </c>
      <c r="E5820" s="1" t="s">
        <v>22</v>
      </c>
      <c r="F5820" s="1">
        <v>402.03</v>
      </c>
      <c r="G5820" s="1">
        <v>289.75</v>
      </c>
      <c r="H5820" s="1">
        <v>5.0</v>
      </c>
      <c r="I5820" s="1" t="s">
        <v>23</v>
      </c>
      <c r="J5820" s="1" t="s">
        <v>35</v>
      </c>
      <c r="K5820" s="1">
        <f t="shared" si="1"/>
        <v>2021</v>
      </c>
      <c r="L5820" s="1" t="str">
        <f t="shared" si="2"/>
        <v>Aug</v>
      </c>
      <c r="M5820" s="1" t="str">
        <f t="shared" si="3"/>
        <v>Profit</v>
      </c>
    </row>
    <row r="5821" ht="14.25" customHeight="1">
      <c r="A5821" s="1" t="s">
        <v>5855</v>
      </c>
      <c r="B5821" s="2">
        <v>44755.0</v>
      </c>
      <c r="C5821" s="1" t="s">
        <v>14</v>
      </c>
      <c r="D5821" s="1" t="s">
        <v>27</v>
      </c>
      <c r="E5821" s="1" t="s">
        <v>33</v>
      </c>
      <c r="F5821" s="1">
        <v>998.49</v>
      </c>
      <c r="G5821" s="1">
        <v>201.63</v>
      </c>
      <c r="H5821" s="1">
        <v>6.0</v>
      </c>
      <c r="I5821" s="1" t="s">
        <v>17</v>
      </c>
      <c r="J5821" s="1" t="s">
        <v>18</v>
      </c>
      <c r="K5821" s="1">
        <f t="shared" si="1"/>
        <v>2022</v>
      </c>
      <c r="L5821" s="1" t="str">
        <f t="shared" si="2"/>
        <v>Jul</v>
      </c>
      <c r="M5821" s="1" t="str">
        <f t="shared" si="3"/>
        <v>Profit</v>
      </c>
    </row>
    <row r="5822" ht="14.25" customHeight="1">
      <c r="A5822" s="1" t="s">
        <v>5856</v>
      </c>
      <c r="B5822" s="2">
        <v>44254.0</v>
      </c>
      <c r="C5822" s="1" t="s">
        <v>20</v>
      </c>
      <c r="D5822" s="1" t="s">
        <v>27</v>
      </c>
      <c r="E5822" s="1" t="s">
        <v>28</v>
      </c>
      <c r="F5822" s="1">
        <v>358.43</v>
      </c>
      <c r="G5822" s="1">
        <v>-120.28</v>
      </c>
      <c r="H5822" s="1">
        <v>4.0</v>
      </c>
      <c r="I5822" s="1" t="s">
        <v>34</v>
      </c>
      <c r="J5822" s="1" t="s">
        <v>18</v>
      </c>
      <c r="K5822" s="1">
        <f t="shared" si="1"/>
        <v>2021</v>
      </c>
      <c r="L5822" s="1" t="str">
        <f t="shared" si="2"/>
        <v>Feb</v>
      </c>
      <c r="M5822" s="1" t="str">
        <f t="shared" si="3"/>
        <v>Loss</v>
      </c>
    </row>
    <row r="5823" ht="14.25" customHeight="1">
      <c r="A5823" s="1" t="s">
        <v>5857</v>
      </c>
      <c r="B5823" s="2">
        <v>45180.0</v>
      </c>
      <c r="C5823" s="1" t="s">
        <v>14</v>
      </c>
      <c r="D5823" s="1" t="s">
        <v>15</v>
      </c>
      <c r="E5823" s="1" t="s">
        <v>31</v>
      </c>
      <c r="F5823" s="1">
        <v>311.61</v>
      </c>
      <c r="G5823" s="1">
        <v>111.95</v>
      </c>
      <c r="H5823" s="1">
        <v>7.0</v>
      </c>
      <c r="I5823" s="1" t="s">
        <v>34</v>
      </c>
      <c r="J5823" s="1" t="s">
        <v>18</v>
      </c>
      <c r="K5823" s="1">
        <f t="shared" si="1"/>
        <v>2023</v>
      </c>
      <c r="L5823" s="1" t="str">
        <f t="shared" si="2"/>
        <v>Sep</v>
      </c>
      <c r="M5823" s="1" t="str">
        <f t="shared" si="3"/>
        <v>Profit</v>
      </c>
    </row>
    <row r="5824" ht="14.25" customHeight="1">
      <c r="A5824" s="1" t="s">
        <v>5858</v>
      </c>
      <c r="B5824" s="2">
        <v>44735.0</v>
      </c>
      <c r="C5824" s="1" t="s">
        <v>26</v>
      </c>
      <c r="D5824" s="1" t="s">
        <v>15</v>
      </c>
      <c r="E5824" s="1" t="s">
        <v>16</v>
      </c>
      <c r="F5824" s="1">
        <v>239.29</v>
      </c>
      <c r="G5824" s="1">
        <v>241.24</v>
      </c>
      <c r="H5824" s="1">
        <v>4.0</v>
      </c>
      <c r="I5824" s="1" t="s">
        <v>17</v>
      </c>
      <c r="J5824" s="1" t="s">
        <v>35</v>
      </c>
      <c r="K5824" s="1">
        <f t="shared" si="1"/>
        <v>2022</v>
      </c>
      <c r="L5824" s="1" t="str">
        <f t="shared" si="2"/>
        <v>Jun</v>
      </c>
      <c r="M5824" s="1" t="str">
        <f t="shared" si="3"/>
        <v>Profit</v>
      </c>
    </row>
    <row r="5825" ht="14.25" customHeight="1">
      <c r="A5825" s="1" t="s">
        <v>5859</v>
      </c>
      <c r="B5825" s="2">
        <v>44704.0</v>
      </c>
      <c r="C5825" s="1" t="s">
        <v>14</v>
      </c>
      <c r="D5825" s="1" t="s">
        <v>27</v>
      </c>
      <c r="E5825" s="1" t="s">
        <v>33</v>
      </c>
      <c r="F5825" s="1">
        <v>784.54</v>
      </c>
      <c r="G5825" s="1">
        <v>68.43</v>
      </c>
      <c r="H5825" s="1">
        <v>1.0</v>
      </c>
      <c r="I5825" s="1" t="s">
        <v>23</v>
      </c>
      <c r="J5825" s="1" t="s">
        <v>18</v>
      </c>
      <c r="K5825" s="1">
        <f t="shared" si="1"/>
        <v>2022</v>
      </c>
      <c r="L5825" s="1" t="str">
        <f t="shared" si="2"/>
        <v>May</v>
      </c>
      <c r="M5825" s="1" t="str">
        <f t="shared" si="3"/>
        <v>Profit</v>
      </c>
    </row>
    <row r="5826" ht="14.25" customHeight="1">
      <c r="A5826" s="1" t="s">
        <v>5860</v>
      </c>
      <c r="B5826" s="2">
        <v>44756.0</v>
      </c>
      <c r="C5826" s="1" t="s">
        <v>14</v>
      </c>
      <c r="D5826" s="1" t="s">
        <v>15</v>
      </c>
      <c r="E5826" s="1" t="s">
        <v>16</v>
      </c>
      <c r="F5826" s="1">
        <v>630.87</v>
      </c>
      <c r="G5826" s="1">
        <v>275.35</v>
      </c>
      <c r="H5826" s="1">
        <v>10.0</v>
      </c>
      <c r="I5826" s="1" t="s">
        <v>34</v>
      </c>
      <c r="J5826" s="1" t="s">
        <v>35</v>
      </c>
      <c r="K5826" s="1">
        <f t="shared" si="1"/>
        <v>2022</v>
      </c>
      <c r="L5826" s="1" t="str">
        <f t="shared" si="2"/>
        <v>Jul</v>
      </c>
      <c r="M5826" s="1" t="str">
        <f t="shared" si="3"/>
        <v>Profit</v>
      </c>
    </row>
    <row r="5827" ht="14.25" customHeight="1">
      <c r="A5827" s="1" t="s">
        <v>5861</v>
      </c>
      <c r="B5827" s="2">
        <v>44683.0</v>
      </c>
      <c r="C5827" s="1" t="s">
        <v>14</v>
      </c>
      <c r="D5827" s="1" t="s">
        <v>15</v>
      </c>
      <c r="E5827" s="1" t="s">
        <v>16</v>
      </c>
      <c r="F5827" s="1">
        <v>936.51</v>
      </c>
      <c r="G5827" s="1">
        <v>281.25</v>
      </c>
      <c r="H5827" s="1">
        <v>8.0</v>
      </c>
      <c r="I5827" s="1" t="s">
        <v>17</v>
      </c>
      <c r="J5827" s="1" t="s">
        <v>24</v>
      </c>
      <c r="K5827" s="1">
        <f t="shared" si="1"/>
        <v>2022</v>
      </c>
      <c r="L5827" s="1" t="str">
        <f t="shared" si="2"/>
        <v>May</v>
      </c>
      <c r="M5827" s="1" t="str">
        <f t="shared" si="3"/>
        <v>Profit</v>
      </c>
    </row>
    <row r="5828" ht="14.25" customHeight="1">
      <c r="A5828" s="1" t="s">
        <v>5862</v>
      </c>
      <c r="B5828" s="2">
        <v>44859.0</v>
      </c>
      <c r="C5828" s="1" t="s">
        <v>26</v>
      </c>
      <c r="D5828" s="1" t="s">
        <v>27</v>
      </c>
      <c r="E5828" s="1" t="s">
        <v>28</v>
      </c>
      <c r="F5828" s="1">
        <v>848.83</v>
      </c>
      <c r="G5828" s="1">
        <v>-28.87</v>
      </c>
      <c r="H5828" s="1">
        <v>10.0</v>
      </c>
      <c r="I5828" s="1" t="s">
        <v>23</v>
      </c>
      <c r="J5828" s="1" t="s">
        <v>24</v>
      </c>
      <c r="K5828" s="1">
        <f t="shared" si="1"/>
        <v>2022</v>
      </c>
      <c r="L5828" s="1" t="str">
        <f t="shared" si="2"/>
        <v>Oct</v>
      </c>
      <c r="M5828" s="1" t="str">
        <f t="shared" si="3"/>
        <v>Loss</v>
      </c>
    </row>
    <row r="5829" ht="14.25" customHeight="1">
      <c r="A5829" s="1" t="s">
        <v>5863</v>
      </c>
      <c r="B5829" s="2">
        <v>44607.0</v>
      </c>
      <c r="C5829" s="1" t="s">
        <v>30</v>
      </c>
      <c r="D5829" s="1" t="s">
        <v>21</v>
      </c>
      <c r="E5829" s="1" t="s">
        <v>37</v>
      </c>
      <c r="F5829" s="1">
        <v>496.44</v>
      </c>
      <c r="G5829" s="1">
        <v>167.8</v>
      </c>
      <c r="H5829" s="1">
        <v>1.0</v>
      </c>
      <c r="I5829" s="1" t="s">
        <v>17</v>
      </c>
      <c r="J5829" s="1" t="s">
        <v>24</v>
      </c>
      <c r="K5829" s="1">
        <f t="shared" si="1"/>
        <v>2022</v>
      </c>
      <c r="L5829" s="1" t="str">
        <f t="shared" si="2"/>
        <v>Feb</v>
      </c>
      <c r="M5829" s="1" t="str">
        <f t="shared" si="3"/>
        <v>Profit</v>
      </c>
    </row>
    <row r="5830" ht="14.25" customHeight="1">
      <c r="A5830" s="1" t="s">
        <v>5864</v>
      </c>
      <c r="B5830" s="2">
        <v>44893.0</v>
      </c>
      <c r="C5830" s="1" t="s">
        <v>26</v>
      </c>
      <c r="D5830" s="1" t="s">
        <v>21</v>
      </c>
      <c r="E5830" s="1" t="s">
        <v>22</v>
      </c>
      <c r="F5830" s="1">
        <v>34.53</v>
      </c>
      <c r="G5830" s="1">
        <v>-135.72</v>
      </c>
      <c r="H5830" s="1">
        <v>5.0</v>
      </c>
      <c r="I5830" s="1" t="s">
        <v>23</v>
      </c>
      <c r="J5830" s="1" t="s">
        <v>24</v>
      </c>
      <c r="K5830" s="1">
        <f t="shared" si="1"/>
        <v>2022</v>
      </c>
      <c r="L5830" s="1" t="str">
        <f t="shared" si="2"/>
        <v>Nov</v>
      </c>
      <c r="M5830" s="1" t="str">
        <f t="shared" si="3"/>
        <v>Loss</v>
      </c>
    </row>
    <row r="5831" ht="14.25" customHeight="1">
      <c r="A5831" s="1" t="s">
        <v>5865</v>
      </c>
      <c r="B5831" s="2">
        <v>44723.0</v>
      </c>
      <c r="C5831" s="1" t="s">
        <v>26</v>
      </c>
      <c r="D5831" s="1" t="s">
        <v>27</v>
      </c>
      <c r="E5831" s="1" t="s">
        <v>28</v>
      </c>
      <c r="F5831" s="1">
        <v>179.65</v>
      </c>
      <c r="G5831" s="1">
        <v>23.01</v>
      </c>
      <c r="H5831" s="1">
        <v>3.0</v>
      </c>
      <c r="I5831" s="1" t="s">
        <v>23</v>
      </c>
      <c r="J5831" s="1" t="s">
        <v>24</v>
      </c>
      <c r="K5831" s="1">
        <f t="shared" si="1"/>
        <v>2022</v>
      </c>
      <c r="L5831" s="1" t="str">
        <f t="shared" si="2"/>
        <v>Jun</v>
      </c>
      <c r="M5831" s="1" t="str">
        <f t="shared" si="3"/>
        <v>Profit</v>
      </c>
    </row>
    <row r="5832" ht="14.25" customHeight="1">
      <c r="A5832" s="1" t="s">
        <v>5866</v>
      </c>
      <c r="B5832" s="2">
        <v>44811.0</v>
      </c>
      <c r="C5832" s="1" t="s">
        <v>30</v>
      </c>
      <c r="D5832" s="1" t="s">
        <v>15</v>
      </c>
      <c r="E5832" s="1" t="s">
        <v>54</v>
      </c>
      <c r="F5832" s="1">
        <v>186.17</v>
      </c>
      <c r="G5832" s="1">
        <v>-91.16</v>
      </c>
      <c r="H5832" s="1">
        <v>3.0</v>
      </c>
      <c r="I5832" s="1" t="s">
        <v>23</v>
      </c>
      <c r="J5832" s="1" t="s">
        <v>24</v>
      </c>
      <c r="K5832" s="1">
        <f t="shared" si="1"/>
        <v>2022</v>
      </c>
      <c r="L5832" s="1" t="str">
        <f t="shared" si="2"/>
        <v>Sep</v>
      </c>
      <c r="M5832" s="1" t="str">
        <f t="shared" si="3"/>
        <v>Loss</v>
      </c>
    </row>
    <row r="5833" ht="14.25" customHeight="1">
      <c r="A5833" s="1" t="s">
        <v>5867</v>
      </c>
      <c r="B5833" s="2">
        <v>44252.0</v>
      </c>
      <c r="C5833" s="1" t="s">
        <v>14</v>
      </c>
      <c r="D5833" s="1" t="s">
        <v>15</v>
      </c>
      <c r="E5833" s="1" t="s">
        <v>16</v>
      </c>
      <c r="F5833" s="1">
        <v>493.65</v>
      </c>
      <c r="G5833" s="1">
        <v>-172.56</v>
      </c>
      <c r="H5833" s="1">
        <v>2.0</v>
      </c>
      <c r="I5833" s="1" t="s">
        <v>34</v>
      </c>
      <c r="J5833" s="1" t="s">
        <v>18</v>
      </c>
      <c r="K5833" s="1">
        <f t="shared" si="1"/>
        <v>2021</v>
      </c>
      <c r="L5833" s="1" t="str">
        <f t="shared" si="2"/>
        <v>Feb</v>
      </c>
      <c r="M5833" s="1" t="str">
        <f t="shared" si="3"/>
        <v>Loss</v>
      </c>
    </row>
    <row r="5834" ht="14.25" customHeight="1">
      <c r="A5834" s="1" t="s">
        <v>5868</v>
      </c>
      <c r="B5834" s="2">
        <v>44589.0</v>
      </c>
      <c r="C5834" s="1" t="s">
        <v>14</v>
      </c>
      <c r="D5834" s="1" t="s">
        <v>15</v>
      </c>
      <c r="E5834" s="1" t="s">
        <v>31</v>
      </c>
      <c r="F5834" s="1">
        <v>842.61</v>
      </c>
      <c r="G5834" s="1">
        <v>239.3</v>
      </c>
      <c r="H5834" s="1">
        <v>7.0</v>
      </c>
      <c r="I5834" s="1" t="s">
        <v>17</v>
      </c>
      <c r="J5834" s="1" t="s">
        <v>38</v>
      </c>
      <c r="K5834" s="1">
        <f t="shared" si="1"/>
        <v>2022</v>
      </c>
      <c r="L5834" s="1" t="str">
        <f t="shared" si="2"/>
        <v>Jan</v>
      </c>
      <c r="M5834" s="1" t="str">
        <f t="shared" si="3"/>
        <v>Profit</v>
      </c>
    </row>
    <row r="5835" ht="14.25" customHeight="1">
      <c r="A5835" s="1" t="s">
        <v>5869</v>
      </c>
      <c r="B5835" s="2">
        <v>44650.0</v>
      </c>
      <c r="C5835" s="1" t="s">
        <v>26</v>
      </c>
      <c r="D5835" s="1" t="s">
        <v>27</v>
      </c>
      <c r="E5835" s="1" t="s">
        <v>28</v>
      </c>
      <c r="F5835" s="1">
        <v>554.1</v>
      </c>
      <c r="G5835" s="1">
        <v>-135.77</v>
      </c>
      <c r="H5835" s="1">
        <v>1.0</v>
      </c>
      <c r="I5835" s="1" t="s">
        <v>23</v>
      </c>
      <c r="J5835" s="1" t="s">
        <v>35</v>
      </c>
      <c r="K5835" s="1">
        <f t="shared" si="1"/>
        <v>2022</v>
      </c>
      <c r="L5835" s="1" t="str">
        <f t="shared" si="2"/>
        <v>Mar</v>
      </c>
      <c r="M5835" s="1" t="str">
        <f t="shared" si="3"/>
        <v>Loss</v>
      </c>
    </row>
    <row r="5836" ht="14.25" customHeight="1">
      <c r="A5836" s="1" t="s">
        <v>5870</v>
      </c>
      <c r="B5836" s="2">
        <v>44992.0</v>
      </c>
      <c r="C5836" s="1" t="s">
        <v>14</v>
      </c>
      <c r="D5836" s="1" t="s">
        <v>27</v>
      </c>
      <c r="E5836" s="1" t="s">
        <v>40</v>
      </c>
      <c r="F5836" s="1">
        <v>94.27</v>
      </c>
      <c r="G5836" s="1">
        <v>-119.31</v>
      </c>
      <c r="H5836" s="1">
        <v>8.0</v>
      </c>
      <c r="I5836" s="1" t="s">
        <v>23</v>
      </c>
      <c r="J5836" s="1" t="s">
        <v>35</v>
      </c>
      <c r="K5836" s="1">
        <f t="shared" si="1"/>
        <v>2023</v>
      </c>
      <c r="L5836" s="1" t="str">
        <f t="shared" si="2"/>
        <v>Mar</v>
      </c>
      <c r="M5836" s="1" t="str">
        <f t="shared" si="3"/>
        <v>Loss</v>
      </c>
    </row>
    <row r="5837" ht="14.25" customHeight="1">
      <c r="A5837" s="1" t="s">
        <v>5871</v>
      </c>
      <c r="B5837" s="2">
        <v>44859.0</v>
      </c>
      <c r="C5837" s="1" t="s">
        <v>20</v>
      </c>
      <c r="D5837" s="1" t="s">
        <v>21</v>
      </c>
      <c r="E5837" s="1" t="s">
        <v>37</v>
      </c>
      <c r="F5837" s="1">
        <v>637.12</v>
      </c>
      <c r="G5837" s="1">
        <v>224.19</v>
      </c>
      <c r="H5837" s="1">
        <v>9.0</v>
      </c>
      <c r="I5837" s="1" t="s">
        <v>23</v>
      </c>
      <c r="J5837" s="1" t="s">
        <v>38</v>
      </c>
      <c r="K5837" s="1">
        <f t="shared" si="1"/>
        <v>2022</v>
      </c>
      <c r="L5837" s="1" t="str">
        <f t="shared" si="2"/>
        <v>Oct</v>
      </c>
      <c r="M5837" s="1" t="str">
        <f t="shared" si="3"/>
        <v>Profit</v>
      </c>
    </row>
    <row r="5838" ht="14.25" customHeight="1">
      <c r="A5838" s="1" t="s">
        <v>5872</v>
      </c>
      <c r="B5838" s="2">
        <v>45204.0</v>
      </c>
      <c r="C5838" s="1" t="s">
        <v>26</v>
      </c>
      <c r="D5838" s="1" t="s">
        <v>21</v>
      </c>
      <c r="E5838" s="1" t="s">
        <v>22</v>
      </c>
      <c r="F5838" s="1">
        <v>480.33</v>
      </c>
      <c r="G5838" s="1">
        <v>222.33</v>
      </c>
      <c r="H5838" s="1">
        <v>8.0</v>
      </c>
      <c r="I5838" s="1" t="s">
        <v>17</v>
      </c>
      <c r="J5838" s="1" t="s">
        <v>38</v>
      </c>
      <c r="K5838" s="1">
        <f t="shared" si="1"/>
        <v>2023</v>
      </c>
      <c r="L5838" s="1" t="str">
        <f t="shared" si="2"/>
        <v>Oct</v>
      </c>
      <c r="M5838" s="1" t="str">
        <f t="shared" si="3"/>
        <v>Profit</v>
      </c>
    </row>
    <row r="5839" ht="14.25" customHeight="1">
      <c r="A5839" s="1" t="s">
        <v>5873</v>
      </c>
      <c r="B5839" s="2">
        <v>44836.0</v>
      </c>
      <c r="C5839" s="1" t="s">
        <v>20</v>
      </c>
      <c r="D5839" s="1" t="s">
        <v>21</v>
      </c>
      <c r="E5839" s="1" t="s">
        <v>22</v>
      </c>
      <c r="F5839" s="1">
        <v>253.23</v>
      </c>
      <c r="G5839" s="1">
        <v>114.96</v>
      </c>
      <c r="H5839" s="1">
        <v>5.0</v>
      </c>
      <c r="I5839" s="1" t="s">
        <v>34</v>
      </c>
      <c r="J5839" s="1" t="s">
        <v>38</v>
      </c>
      <c r="K5839" s="1">
        <f t="shared" si="1"/>
        <v>2022</v>
      </c>
      <c r="L5839" s="1" t="str">
        <f t="shared" si="2"/>
        <v>Oct</v>
      </c>
      <c r="M5839" s="1" t="str">
        <f t="shared" si="3"/>
        <v>Profit</v>
      </c>
    </row>
    <row r="5840" ht="14.25" customHeight="1">
      <c r="A5840" s="1" t="s">
        <v>5874</v>
      </c>
      <c r="B5840" s="2">
        <v>44727.0</v>
      </c>
      <c r="C5840" s="1" t="s">
        <v>26</v>
      </c>
      <c r="D5840" s="1" t="s">
        <v>21</v>
      </c>
      <c r="E5840" s="1" t="s">
        <v>76</v>
      </c>
      <c r="F5840" s="1">
        <v>27.73</v>
      </c>
      <c r="G5840" s="1">
        <v>102.07</v>
      </c>
      <c r="H5840" s="1">
        <v>10.0</v>
      </c>
      <c r="I5840" s="1" t="s">
        <v>23</v>
      </c>
      <c r="J5840" s="1" t="s">
        <v>24</v>
      </c>
      <c r="K5840" s="1">
        <f t="shared" si="1"/>
        <v>2022</v>
      </c>
      <c r="L5840" s="1" t="str">
        <f t="shared" si="2"/>
        <v>Jun</v>
      </c>
      <c r="M5840" s="1" t="str">
        <f t="shared" si="3"/>
        <v>Profit</v>
      </c>
    </row>
    <row r="5841" ht="14.25" customHeight="1">
      <c r="A5841" s="1" t="s">
        <v>5875</v>
      </c>
      <c r="B5841" s="2">
        <v>44538.0</v>
      </c>
      <c r="C5841" s="1" t="s">
        <v>30</v>
      </c>
      <c r="D5841" s="1" t="s">
        <v>21</v>
      </c>
      <c r="E5841" s="1" t="s">
        <v>37</v>
      </c>
      <c r="F5841" s="1">
        <v>220.33</v>
      </c>
      <c r="G5841" s="1">
        <v>-168.91</v>
      </c>
      <c r="H5841" s="1">
        <v>3.0</v>
      </c>
      <c r="I5841" s="1" t="s">
        <v>34</v>
      </c>
      <c r="J5841" s="1" t="s">
        <v>38</v>
      </c>
      <c r="K5841" s="1">
        <f t="shared" si="1"/>
        <v>2021</v>
      </c>
      <c r="L5841" s="1" t="str">
        <f t="shared" si="2"/>
        <v>Dec</v>
      </c>
      <c r="M5841" s="1" t="str">
        <f t="shared" si="3"/>
        <v>Loss</v>
      </c>
    </row>
    <row r="5842" ht="14.25" customHeight="1">
      <c r="A5842" s="1" t="s">
        <v>5876</v>
      </c>
      <c r="B5842" s="2">
        <v>45244.0</v>
      </c>
      <c r="C5842" s="1" t="s">
        <v>26</v>
      </c>
      <c r="D5842" s="1" t="s">
        <v>27</v>
      </c>
      <c r="E5842" s="1" t="s">
        <v>40</v>
      </c>
      <c r="F5842" s="1">
        <v>840.52</v>
      </c>
      <c r="G5842" s="1">
        <v>232.09</v>
      </c>
      <c r="H5842" s="1">
        <v>4.0</v>
      </c>
      <c r="I5842" s="1" t="s">
        <v>23</v>
      </c>
      <c r="J5842" s="1" t="s">
        <v>35</v>
      </c>
      <c r="K5842" s="1">
        <f t="shared" si="1"/>
        <v>2023</v>
      </c>
      <c r="L5842" s="1" t="str">
        <f t="shared" si="2"/>
        <v>Nov</v>
      </c>
      <c r="M5842" s="1" t="str">
        <f t="shared" si="3"/>
        <v>Profit</v>
      </c>
    </row>
    <row r="5843" ht="14.25" customHeight="1">
      <c r="A5843" s="1" t="s">
        <v>5877</v>
      </c>
      <c r="B5843" s="2">
        <v>44907.0</v>
      </c>
      <c r="C5843" s="1" t="s">
        <v>20</v>
      </c>
      <c r="D5843" s="1" t="s">
        <v>27</v>
      </c>
      <c r="E5843" s="1" t="s">
        <v>28</v>
      </c>
      <c r="F5843" s="1">
        <v>751.85</v>
      </c>
      <c r="G5843" s="1">
        <v>96.13</v>
      </c>
      <c r="H5843" s="1">
        <v>4.0</v>
      </c>
      <c r="I5843" s="1" t="s">
        <v>34</v>
      </c>
      <c r="J5843" s="1" t="s">
        <v>38</v>
      </c>
      <c r="K5843" s="1">
        <f t="shared" si="1"/>
        <v>2022</v>
      </c>
      <c r="L5843" s="1" t="str">
        <f t="shared" si="2"/>
        <v>Dec</v>
      </c>
      <c r="M5843" s="1" t="str">
        <f t="shared" si="3"/>
        <v>Profit</v>
      </c>
    </row>
    <row r="5844" ht="14.25" customHeight="1">
      <c r="A5844" s="1" t="s">
        <v>5878</v>
      </c>
      <c r="B5844" s="2">
        <v>44303.0</v>
      </c>
      <c r="C5844" s="1" t="s">
        <v>14</v>
      </c>
      <c r="D5844" s="1" t="s">
        <v>15</v>
      </c>
      <c r="E5844" s="1" t="s">
        <v>16</v>
      </c>
      <c r="F5844" s="1">
        <v>970.47</v>
      </c>
      <c r="G5844" s="1">
        <v>-102.53</v>
      </c>
      <c r="H5844" s="1">
        <v>6.0</v>
      </c>
      <c r="I5844" s="1" t="s">
        <v>34</v>
      </c>
      <c r="J5844" s="1" t="s">
        <v>38</v>
      </c>
      <c r="K5844" s="1">
        <f t="shared" si="1"/>
        <v>2021</v>
      </c>
      <c r="L5844" s="1" t="str">
        <f t="shared" si="2"/>
        <v>Apr</v>
      </c>
      <c r="M5844" s="1" t="str">
        <f t="shared" si="3"/>
        <v>Loss</v>
      </c>
    </row>
    <row r="5845" ht="14.25" customHeight="1">
      <c r="A5845" s="1" t="s">
        <v>5879</v>
      </c>
      <c r="B5845" s="2">
        <v>44951.0</v>
      </c>
      <c r="C5845" s="1" t="s">
        <v>20</v>
      </c>
      <c r="D5845" s="1" t="s">
        <v>21</v>
      </c>
      <c r="E5845" s="1" t="s">
        <v>37</v>
      </c>
      <c r="F5845" s="1">
        <v>427.79</v>
      </c>
      <c r="G5845" s="1">
        <v>150.17</v>
      </c>
      <c r="H5845" s="1">
        <v>5.0</v>
      </c>
      <c r="I5845" s="1" t="s">
        <v>34</v>
      </c>
      <c r="J5845" s="1" t="s">
        <v>24</v>
      </c>
      <c r="K5845" s="1">
        <f t="shared" si="1"/>
        <v>2023</v>
      </c>
      <c r="L5845" s="1" t="str">
        <f t="shared" si="2"/>
        <v>Jan</v>
      </c>
      <c r="M5845" s="1" t="str">
        <f t="shared" si="3"/>
        <v>Profit</v>
      </c>
    </row>
    <row r="5846" ht="14.25" customHeight="1">
      <c r="A5846" s="1" t="s">
        <v>5880</v>
      </c>
      <c r="B5846" s="2">
        <v>45187.0</v>
      </c>
      <c r="C5846" s="1" t="s">
        <v>30</v>
      </c>
      <c r="D5846" s="1" t="s">
        <v>21</v>
      </c>
      <c r="E5846" s="1" t="s">
        <v>76</v>
      </c>
      <c r="F5846" s="1">
        <v>373.75</v>
      </c>
      <c r="G5846" s="1">
        <v>-34.09</v>
      </c>
      <c r="H5846" s="1">
        <v>6.0</v>
      </c>
      <c r="I5846" s="1" t="s">
        <v>34</v>
      </c>
      <c r="J5846" s="1" t="s">
        <v>24</v>
      </c>
      <c r="K5846" s="1">
        <f t="shared" si="1"/>
        <v>2023</v>
      </c>
      <c r="L5846" s="1" t="str">
        <f t="shared" si="2"/>
        <v>Sep</v>
      </c>
      <c r="M5846" s="1" t="str">
        <f t="shared" si="3"/>
        <v>Loss</v>
      </c>
    </row>
    <row r="5847" ht="14.25" customHeight="1">
      <c r="A5847" s="1" t="s">
        <v>5881</v>
      </c>
      <c r="B5847" s="2">
        <v>45110.0</v>
      </c>
      <c r="C5847" s="1" t="s">
        <v>26</v>
      </c>
      <c r="D5847" s="1" t="s">
        <v>27</v>
      </c>
      <c r="E5847" s="1" t="s">
        <v>40</v>
      </c>
      <c r="F5847" s="1">
        <v>795.12</v>
      </c>
      <c r="G5847" s="1">
        <v>-182.14</v>
      </c>
      <c r="H5847" s="1">
        <v>8.0</v>
      </c>
      <c r="I5847" s="1" t="s">
        <v>23</v>
      </c>
      <c r="J5847" s="1" t="s">
        <v>35</v>
      </c>
      <c r="K5847" s="1">
        <f t="shared" si="1"/>
        <v>2023</v>
      </c>
      <c r="L5847" s="1" t="str">
        <f t="shared" si="2"/>
        <v>Jul</v>
      </c>
      <c r="M5847" s="1" t="str">
        <f t="shared" si="3"/>
        <v>Loss</v>
      </c>
    </row>
    <row r="5848" ht="14.25" customHeight="1">
      <c r="A5848" s="1" t="s">
        <v>5882</v>
      </c>
      <c r="B5848" s="2">
        <v>44292.0</v>
      </c>
      <c r="C5848" s="1" t="s">
        <v>14</v>
      </c>
      <c r="D5848" s="1" t="s">
        <v>15</v>
      </c>
      <c r="E5848" s="1" t="s">
        <v>16</v>
      </c>
      <c r="F5848" s="1">
        <v>647.7</v>
      </c>
      <c r="G5848" s="1">
        <v>210.03</v>
      </c>
      <c r="H5848" s="1">
        <v>1.0</v>
      </c>
      <c r="I5848" s="1" t="s">
        <v>34</v>
      </c>
      <c r="J5848" s="1" t="s">
        <v>38</v>
      </c>
      <c r="K5848" s="1">
        <f t="shared" si="1"/>
        <v>2021</v>
      </c>
      <c r="L5848" s="1" t="str">
        <f t="shared" si="2"/>
        <v>Apr</v>
      </c>
      <c r="M5848" s="1" t="str">
        <f t="shared" si="3"/>
        <v>Profit</v>
      </c>
    </row>
    <row r="5849" ht="14.25" customHeight="1">
      <c r="A5849" s="1" t="s">
        <v>5883</v>
      </c>
      <c r="B5849" s="2">
        <v>45024.0</v>
      </c>
      <c r="C5849" s="1" t="s">
        <v>26</v>
      </c>
      <c r="D5849" s="1" t="s">
        <v>21</v>
      </c>
      <c r="E5849" s="1" t="s">
        <v>76</v>
      </c>
      <c r="F5849" s="1">
        <v>657.94</v>
      </c>
      <c r="G5849" s="1">
        <v>284.77</v>
      </c>
      <c r="H5849" s="1">
        <v>5.0</v>
      </c>
      <c r="I5849" s="1" t="s">
        <v>17</v>
      </c>
      <c r="J5849" s="1" t="s">
        <v>18</v>
      </c>
      <c r="K5849" s="1">
        <f t="shared" si="1"/>
        <v>2023</v>
      </c>
      <c r="L5849" s="1" t="str">
        <f t="shared" si="2"/>
        <v>Apr</v>
      </c>
      <c r="M5849" s="1" t="str">
        <f t="shared" si="3"/>
        <v>Profit</v>
      </c>
    </row>
    <row r="5850" ht="14.25" customHeight="1">
      <c r="A5850" s="1" t="s">
        <v>5884</v>
      </c>
      <c r="B5850" s="2">
        <v>45146.0</v>
      </c>
      <c r="C5850" s="1" t="s">
        <v>20</v>
      </c>
      <c r="D5850" s="1" t="s">
        <v>27</v>
      </c>
      <c r="E5850" s="1" t="s">
        <v>33</v>
      </c>
      <c r="F5850" s="1">
        <v>359.76</v>
      </c>
      <c r="G5850" s="1">
        <v>196.34</v>
      </c>
      <c r="H5850" s="1">
        <v>6.0</v>
      </c>
      <c r="I5850" s="1" t="s">
        <v>34</v>
      </c>
      <c r="J5850" s="1" t="s">
        <v>35</v>
      </c>
      <c r="K5850" s="1">
        <f t="shared" si="1"/>
        <v>2023</v>
      </c>
      <c r="L5850" s="1" t="str">
        <f t="shared" si="2"/>
        <v>Aug</v>
      </c>
      <c r="M5850" s="1" t="str">
        <f t="shared" si="3"/>
        <v>Profit</v>
      </c>
    </row>
    <row r="5851" ht="14.25" customHeight="1">
      <c r="A5851" s="1" t="s">
        <v>5885</v>
      </c>
      <c r="B5851" s="2">
        <v>44405.0</v>
      </c>
      <c r="C5851" s="1" t="s">
        <v>20</v>
      </c>
      <c r="D5851" s="1" t="s">
        <v>21</v>
      </c>
      <c r="E5851" s="1" t="s">
        <v>37</v>
      </c>
      <c r="F5851" s="1">
        <v>600.74</v>
      </c>
      <c r="G5851" s="1">
        <v>121.81</v>
      </c>
      <c r="H5851" s="1">
        <v>10.0</v>
      </c>
      <c r="I5851" s="1" t="s">
        <v>23</v>
      </c>
      <c r="J5851" s="1" t="s">
        <v>24</v>
      </c>
      <c r="K5851" s="1">
        <f t="shared" si="1"/>
        <v>2021</v>
      </c>
      <c r="L5851" s="1" t="str">
        <f t="shared" si="2"/>
        <v>Jul</v>
      </c>
      <c r="M5851" s="1" t="str">
        <f t="shared" si="3"/>
        <v>Profit</v>
      </c>
    </row>
    <row r="5852" ht="14.25" customHeight="1">
      <c r="A5852" s="1" t="s">
        <v>5886</v>
      </c>
      <c r="B5852" s="2">
        <v>44586.0</v>
      </c>
      <c r="C5852" s="1" t="s">
        <v>20</v>
      </c>
      <c r="D5852" s="1" t="s">
        <v>21</v>
      </c>
      <c r="E5852" s="1" t="s">
        <v>22</v>
      </c>
      <c r="F5852" s="1">
        <v>548.08</v>
      </c>
      <c r="G5852" s="1">
        <v>288.54</v>
      </c>
      <c r="H5852" s="1">
        <v>10.0</v>
      </c>
      <c r="I5852" s="1" t="s">
        <v>17</v>
      </c>
      <c r="J5852" s="1" t="s">
        <v>38</v>
      </c>
      <c r="K5852" s="1">
        <f t="shared" si="1"/>
        <v>2022</v>
      </c>
      <c r="L5852" s="1" t="str">
        <f t="shared" si="2"/>
        <v>Jan</v>
      </c>
      <c r="M5852" s="1" t="str">
        <f t="shared" si="3"/>
        <v>Profit</v>
      </c>
    </row>
    <row r="5853" ht="14.25" customHeight="1">
      <c r="A5853" s="1" t="s">
        <v>5887</v>
      </c>
      <c r="B5853" s="2">
        <v>45261.0</v>
      </c>
      <c r="C5853" s="1" t="s">
        <v>30</v>
      </c>
      <c r="D5853" s="1" t="s">
        <v>27</v>
      </c>
      <c r="E5853" s="1" t="s">
        <v>33</v>
      </c>
      <c r="F5853" s="1">
        <v>22.13</v>
      </c>
      <c r="G5853" s="1">
        <v>-148.8</v>
      </c>
      <c r="H5853" s="1">
        <v>7.0</v>
      </c>
      <c r="I5853" s="1" t="s">
        <v>23</v>
      </c>
      <c r="J5853" s="1" t="s">
        <v>24</v>
      </c>
      <c r="K5853" s="1">
        <f t="shared" si="1"/>
        <v>2023</v>
      </c>
      <c r="L5853" s="1" t="str">
        <f t="shared" si="2"/>
        <v>Dec</v>
      </c>
      <c r="M5853" s="1" t="str">
        <f t="shared" si="3"/>
        <v>Loss</v>
      </c>
    </row>
    <row r="5854" ht="14.25" customHeight="1">
      <c r="A5854" s="1" t="s">
        <v>5888</v>
      </c>
      <c r="B5854" s="2">
        <v>45043.0</v>
      </c>
      <c r="C5854" s="1" t="s">
        <v>26</v>
      </c>
      <c r="D5854" s="1" t="s">
        <v>15</v>
      </c>
      <c r="E5854" s="1" t="s">
        <v>31</v>
      </c>
      <c r="F5854" s="1">
        <v>503.48</v>
      </c>
      <c r="G5854" s="1">
        <v>65.71</v>
      </c>
      <c r="H5854" s="1">
        <v>8.0</v>
      </c>
      <c r="I5854" s="1" t="s">
        <v>34</v>
      </c>
      <c r="J5854" s="1" t="s">
        <v>35</v>
      </c>
      <c r="K5854" s="1">
        <f t="shared" si="1"/>
        <v>2023</v>
      </c>
      <c r="L5854" s="1" t="str">
        <f t="shared" si="2"/>
        <v>Apr</v>
      </c>
      <c r="M5854" s="1" t="str">
        <f t="shared" si="3"/>
        <v>Profit</v>
      </c>
    </row>
    <row r="5855" ht="14.25" customHeight="1">
      <c r="A5855" s="1" t="s">
        <v>5889</v>
      </c>
      <c r="B5855" s="2">
        <v>45007.0</v>
      </c>
      <c r="C5855" s="1" t="s">
        <v>20</v>
      </c>
      <c r="D5855" s="1" t="s">
        <v>15</v>
      </c>
      <c r="E5855" s="1" t="s">
        <v>16</v>
      </c>
      <c r="F5855" s="1">
        <v>326.9</v>
      </c>
      <c r="G5855" s="1">
        <v>93.59</v>
      </c>
      <c r="H5855" s="1">
        <v>3.0</v>
      </c>
      <c r="I5855" s="1" t="s">
        <v>17</v>
      </c>
      <c r="J5855" s="1" t="s">
        <v>18</v>
      </c>
      <c r="K5855" s="1">
        <f t="shared" si="1"/>
        <v>2023</v>
      </c>
      <c r="L5855" s="1" t="str">
        <f t="shared" si="2"/>
        <v>Mar</v>
      </c>
      <c r="M5855" s="1" t="str">
        <f t="shared" si="3"/>
        <v>Profit</v>
      </c>
    </row>
    <row r="5856" ht="14.25" customHeight="1">
      <c r="A5856" s="1" t="s">
        <v>5890</v>
      </c>
      <c r="B5856" s="2">
        <v>45050.0</v>
      </c>
      <c r="C5856" s="1" t="s">
        <v>30</v>
      </c>
      <c r="D5856" s="1" t="s">
        <v>15</v>
      </c>
      <c r="E5856" s="1" t="s">
        <v>54</v>
      </c>
      <c r="F5856" s="1">
        <v>588.55</v>
      </c>
      <c r="G5856" s="1">
        <v>-26.9</v>
      </c>
      <c r="H5856" s="1">
        <v>8.0</v>
      </c>
      <c r="I5856" s="1" t="s">
        <v>23</v>
      </c>
      <c r="J5856" s="1" t="s">
        <v>38</v>
      </c>
      <c r="K5856" s="1">
        <f t="shared" si="1"/>
        <v>2023</v>
      </c>
      <c r="L5856" s="1" t="str">
        <f t="shared" si="2"/>
        <v>May</v>
      </c>
      <c r="M5856" s="1" t="str">
        <f t="shared" si="3"/>
        <v>Loss</v>
      </c>
    </row>
    <row r="5857" ht="14.25" customHeight="1">
      <c r="A5857" s="1" t="s">
        <v>5891</v>
      </c>
      <c r="B5857" s="2">
        <v>44740.0</v>
      </c>
      <c r="C5857" s="1" t="s">
        <v>14</v>
      </c>
      <c r="D5857" s="1" t="s">
        <v>27</v>
      </c>
      <c r="E5857" s="1" t="s">
        <v>28</v>
      </c>
      <c r="F5857" s="1">
        <v>897.92</v>
      </c>
      <c r="G5857" s="1">
        <v>-24.15</v>
      </c>
      <c r="H5857" s="1">
        <v>7.0</v>
      </c>
      <c r="I5857" s="1" t="s">
        <v>17</v>
      </c>
      <c r="J5857" s="1" t="s">
        <v>24</v>
      </c>
      <c r="K5857" s="1">
        <f t="shared" si="1"/>
        <v>2022</v>
      </c>
      <c r="L5857" s="1" t="str">
        <f t="shared" si="2"/>
        <v>Jun</v>
      </c>
      <c r="M5857" s="1" t="str">
        <f t="shared" si="3"/>
        <v>Loss</v>
      </c>
    </row>
    <row r="5858" ht="14.25" customHeight="1">
      <c r="A5858" s="1" t="s">
        <v>5892</v>
      </c>
      <c r="B5858" s="2">
        <v>45052.0</v>
      </c>
      <c r="C5858" s="1" t="s">
        <v>20</v>
      </c>
      <c r="D5858" s="1" t="s">
        <v>15</v>
      </c>
      <c r="E5858" s="1" t="s">
        <v>16</v>
      </c>
      <c r="F5858" s="1">
        <v>342.11</v>
      </c>
      <c r="G5858" s="1">
        <v>-155.09</v>
      </c>
      <c r="H5858" s="1">
        <v>3.0</v>
      </c>
      <c r="I5858" s="1" t="s">
        <v>34</v>
      </c>
      <c r="J5858" s="1" t="s">
        <v>24</v>
      </c>
      <c r="K5858" s="1">
        <f t="shared" si="1"/>
        <v>2023</v>
      </c>
      <c r="L5858" s="1" t="str">
        <f t="shared" si="2"/>
        <v>May</v>
      </c>
      <c r="M5858" s="1" t="str">
        <f t="shared" si="3"/>
        <v>Loss</v>
      </c>
    </row>
    <row r="5859" ht="14.25" customHeight="1">
      <c r="A5859" s="1" t="s">
        <v>5893</v>
      </c>
      <c r="B5859" s="2">
        <v>44426.0</v>
      </c>
      <c r="C5859" s="1" t="s">
        <v>20</v>
      </c>
      <c r="D5859" s="1" t="s">
        <v>27</v>
      </c>
      <c r="E5859" s="1" t="s">
        <v>28</v>
      </c>
      <c r="F5859" s="1">
        <v>699.25</v>
      </c>
      <c r="G5859" s="1">
        <v>232.6</v>
      </c>
      <c r="H5859" s="1">
        <v>8.0</v>
      </c>
      <c r="I5859" s="1" t="s">
        <v>34</v>
      </c>
      <c r="J5859" s="1" t="s">
        <v>35</v>
      </c>
      <c r="K5859" s="1">
        <f t="shared" si="1"/>
        <v>2021</v>
      </c>
      <c r="L5859" s="1" t="str">
        <f t="shared" si="2"/>
        <v>Aug</v>
      </c>
      <c r="M5859" s="1" t="str">
        <f t="shared" si="3"/>
        <v>Profit</v>
      </c>
    </row>
    <row r="5860" ht="14.25" customHeight="1">
      <c r="A5860" s="1" t="s">
        <v>5894</v>
      </c>
      <c r="B5860" s="2">
        <v>44930.0</v>
      </c>
      <c r="C5860" s="1" t="s">
        <v>26</v>
      </c>
      <c r="D5860" s="1" t="s">
        <v>15</v>
      </c>
      <c r="E5860" s="1" t="s">
        <v>16</v>
      </c>
      <c r="F5860" s="1">
        <v>74.28</v>
      </c>
      <c r="G5860" s="1">
        <v>-146.96</v>
      </c>
      <c r="H5860" s="1">
        <v>8.0</v>
      </c>
      <c r="I5860" s="1" t="s">
        <v>23</v>
      </c>
      <c r="J5860" s="1" t="s">
        <v>24</v>
      </c>
      <c r="K5860" s="1">
        <f t="shared" si="1"/>
        <v>2023</v>
      </c>
      <c r="L5860" s="1" t="str">
        <f t="shared" si="2"/>
        <v>Jan</v>
      </c>
      <c r="M5860" s="1" t="str">
        <f t="shared" si="3"/>
        <v>Loss</v>
      </c>
    </row>
    <row r="5861" ht="14.25" customHeight="1">
      <c r="A5861" s="1" t="s">
        <v>5895</v>
      </c>
      <c r="B5861" s="2">
        <v>44411.0</v>
      </c>
      <c r="C5861" s="1" t="s">
        <v>20</v>
      </c>
      <c r="D5861" s="1" t="s">
        <v>15</v>
      </c>
      <c r="E5861" s="1" t="s">
        <v>31</v>
      </c>
      <c r="F5861" s="1">
        <v>32.41</v>
      </c>
      <c r="G5861" s="1">
        <v>136.44</v>
      </c>
      <c r="H5861" s="1">
        <v>2.0</v>
      </c>
      <c r="I5861" s="1" t="s">
        <v>23</v>
      </c>
      <c r="J5861" s="1" t="s">
        <v>18</v>
      </c>
      <c r="K5861" s="1">
        <f t="shared" si="1"/>
        <v>2021</v>
      </c>
      <c r="L5861" s="1" t="str">
        <f t="shared" si="2"/>
        <v>Aug</v>
      </c>
      <c r="M5861" s="1" t="str">
        <f t="shared" si="3"/>
        <v>Profit</v>
      </c>
    </row>
    <row r="5862" ht="14.25" customHeight="1">
      <c r="A5862" s="1" t="s">
        <v>5896</v>
      </c>
      <c r="B5862" s="2">
        <v>44693.0</v>
      </c>
      <c r="C5862" s="1" t="s">
        <v>30</v>
      </c>
      <c r="D5862" s="1" t="s">
        <v>15</v>
      </c>
      <c r="E5862" s="1" t="s">
        <v>16</v>
      </c>
      <c r="F5862" s="1">
        <v>855.21</v>
      </c>
      <c r="G5862" s="1">
        <v>-102.3</v>
      </c>
      <c r="H5862" s="1">
        <v>2.0</v>
      </c>
      <c r="I5862" s="1" t="s">
        <v>34</v>
      </c>
      <c r="J5862" s="1" t="s">
        <v>18</v>
      </c>
      <c r="K5862" s="1">
        <f t="shared" si="1"/>
        <v>2022</v>
      </c>
      <c r="L5862" s="1" t="str">
        <f t="shared" si="2"/>
        <v>May</v>
      </c>
      <c r="M5862" s="1" t="str">
        <f t="shared" si="3"/>
        <v>Loss</v>
      </c>
    </row>
    <row r="5863" ht="14.25" customHeight="1">
      <c r="A5863" s="1" t="s">
        <v>5897</v>
      </c>
      <c r="B5863" s="2">
        <v>45062.0</v>
      </c>
      <c r="C5863" s="1" t="s">
        <v>14</v>
      </c>
      <c r="D5863" s="1" t="s">
        <v>15</v>
      </c>
      <c r="E5863" s="1" t="s">
        <v>54</v>
      </c>
      <c r="F5863" s="1">
        <v>244.28</v>
      </c>
      <c r="G5863" s="1">
        <v>29.33</v>
      </c>
      <c r="H5863" s="1">
        <v>6.0</v>
      </c>
      <c r="I5863" s="1" t="s">
        <v>17</v>
      </c>
      <c r="J5863" s="1" t="s">
        <v>24</v>
      </c>
      <c r="K5863" s="1">
        <f t="shared" si="1"/>
        <v>2023</v>
      </c>
      <c r="L5863" s="1" t="str">
        <f t="shared" si="2"/>
        <v>May</v>
      </c>
      <c r="M5863" s="1" t="str">
        <f t="shared" si="3"/>
        <v>Profit</v>
      </c>
    </row>
    <row r="5864" ht="14.25" customHeight="1">
      <c r="A5864" s="1" t="s">
        <v>5898</v>
      </c>
      <c r="B5864" s="2">
        <v>45226.0</v>
      </c>
      <c r="C5864" s="1" t="s">
        <v>20</v>
      </c>
      <c r="D5864" s="1" t="s">
        <v>15</v>
      </c>
      <c r="E5864" s="1" t="s">
        <v>54</v>
      </c>
      <c r="F5864" s="1">
        <v>994.39</v>
      </c>
      <c r="G5864" s="1">
        <v>26.09</v>
      </c>
      <c r="H5864" s="1">
        <v>9.0</v>
      </c>
      <c r="I5864" s="1" t="s">
        <v>17</v>
      </c>
      <c r="J5864" s="1" t="s">
        <v>18</v>
      </c>
      <c r="K5864" s="1">
        <f t="shared" si="1"/>
        <v>2023</v>
      </c>
      <c r="L5864" s="1" t="str">
        <f t="shared" si="2"/>
        <v>Oct</v>
      </c>
      <c r="M5864" s="1" t="str">
        <f t="shared" si="3"/>
        <v>Profit</v>
      </c>
    </row>
    <row r="5865" ht="14.25" customHeight="1">
      <c r="A5865" s="1" t="s">
        <v>5899</v>
      </c>
      <c r="B5865" s="2">
        <v>44417.0</v>
      </c>
      <c r="C5865" s="1" t="s">
        <v>30</v>
      </c>
      <c r="D5865" s="1" t="s">
        <v>21</v>
      </c>
      <c r="E5865" s="1" t="s">
        <v>22</v>
      </c>
      <c r="F5865" s="1">
        <v>71.31</v>
      </c>
      <c r="G5865" s="1">
        <v>14.81</v>
      </c>
      <c r="H5865" s="1">
        <v>3.0</v>
      </c>
      <c r="I5865" s="1" t="s">
        <v>34</v>
      </c>
      <c r="J5865" s="1" t="s">
        <v>18</v>
      </c>
      <c r="K5865" s="1">
        <f t="shared" si="1"/>
        <v>2021</v>
      </c>
      <c r="L5865" s="1" t="str">
        <f t="shared" si="2"/>
        <v>Aug</v>
      </c>
      <c r="M5865" s="1" t="str">
        <f t="shared" si="3"/>
        <v>Profit</v>
      </c>
    </row>
    <row r="5866" ht="14.25" customHeight="1">
      <c r="A5866" s="1" t="s">
        <v>5900</v>
      </c>
      <c r="B5866" s="2">
        <v>45152.0</v>
      </c>
      <c r="C5866" s="1" t="s">
        <v>14</v>
      </c>
      <c r="D5866" s="1" t="s">
        <v>15</v>
      </c>
      <c r="E5866" s="1" t="s">
        <v>31</v>
      </c>
      <c r="F5866" s="1">
        <v>462.22</v>
      </c>
      <c r="G5866" s="1">
        <v>134.78</v>
      </c>
      <c r="H5866" s="1">
        <v>8.0</v>
      </c>
      <c r="I5866" s="1" t="s">
        <v>23</v>
      </c>
      <c r="J5866" s="1" t="s">
        <v>18</v>
      </c>
      <c r="K5866" s="1">
        <f t="shared" si="1"/>
        <v>2023</v>
      </c>
      <c r="L5866" s="1" t="str">
        <f t="shared" si="2"/>
        <v>Aug</v>
      </c>
      <c r="M5866" s="1" t="str">
        <f t="shared" si="3"/>
        <v>Profit</v>
      </c>
    </row>
    <row r="5867" ht="14.25" customHeight="1">
      <c r="A5867" s="1" t="s">
        <v>5901</v>
      </c>
      <c r="B5867" s="2">
        <v>45101.0</v>
      </c>
      <c r="C5867" s="1" t="s">
        <v>20</v>
      </c>
      <c r="D5867" s="1" t="s">
        <v>15</v>
      </c>
      <c r="E5867" s="1" t="s">
        <v>54</v>
      </c>
      <c r="F5867" s="1">
        <v>865.95</v>
      </c>
      <c r="G5867" s="1">
        <v>176.49</v>
      </c>
      <c r="H5867" s="1">
        <v>4.0</v>
      </c>
      <c r="I5867" s="1" t="s">
        <v>17</v>
      </c>
      <c r="J5867" s="1" t="s">
        <v>18</v>
      </c>
      <c r="K5867" s="1">
        <f t="shared" si="1"/>
        <v>2023</v>
      </c>
      <c r="L5867" s="1" t="str">
        <f t="shared" si="2"/>
        <v>Jun</v>
      </c>
      <c r="M5867" s="1" t="str">
        <f t="shared" si="3"/>
        <v>Profit</v>
      </c>
    </row>
    <row r="5868" ht="14.25" customHeight="1">
      <c r="A5868" s="1" t="s">
        <v>5902</v>
      </c>
      <c r="B5868" s="2">
        <v>44634.0</v>
      </c>
      <c r="C5868" s="1" t="s">
        <v>30</v>
      </c>
      <c r="D5868" s="1" t="s">
        <v>15</v>
      </c>
      <c r="E5868" s="1" t="s">
        <v>16</v>
      </c>
      <c r="F5868" s="1">
        <v>226.66</v>
      </c>
      <c r="G5868" s="1">
        <v>85.04</v>
      </c>
      <c r="H5868" s="1">
        <v>3.0</v>
      </c>
      <c r="I5868" s="1" t="s">
        <v>17</v>
      </c>
      <c r="J5868" s="1" t="s">
        <v>35</v>
      </c>
      <c r="K5868" s="1">
        <f t="shared" si="1"/>
        <v>2022</v>
      </c>
      <c r="L5868" s="1" t="str">
        <f t="shared" si="2"/>
        <v>Mar</v>
      </c>
      <c r="M5868" s="1" t="str">
        <f t="shared" si="3"/>
        <v>Profit</v>
      </c>
    </row>
    <row r="5869" ht="14.25" customHeight="1">
      <c r="A5869" s="1" t="s">
        <v>5903</v>
      </c>
      <c r="B5869" s="2">
        <v>44743.0</v>
      </c>
      <c r="C5869" s="1" t="s">
        <v>14</v>
      </c>
      <c r="D5869" s="1" t="s">
        <v>27</v>
      </c>
      <c r="E5869" s="1" t="s">
        <v>33</v>
      </c>
      <c r="F5869" s="1">
        <v>502.04</v>
      </c>
      <c r="G5869" s="1">
        <v>88.62</v>
      </c>
      <c r="H5869" s="1">
        <v>1.0</v>
      </c>
      <c r="I5869" s="1" t="s">
        <v>34</v>
      </c>
      <c r="J5869" s="1" t="s">
        <v>24</v>
      </c>
      <c r="K5869" s="1">
        <f t="shared" si="1"/>
        <v>2022</v>
      </c>
      <c r="L5869" s="1" t="str">
        <f t="shared" si="2"/>
        <v>Jul</v>
      </c>
      <c r="M5869" s="1" t="str">
        <f t="shared" si="3"/>
        <v>Profit</v>
      </c>
    </row>
    <row r="5870" ht="14.25" customHeight="1">
      <c r="A5870" s="1" t="s">
        <v>5904</v>
      </c>
      <c r="B5870" s="2">
        <v>45188.0</v>
      </c>
      <c r="C5870" s="1" t="s">
        <v>30</v>
      </c>
      <c r="D5870" s="1" t="s">
        <v>21</v>
      </c>
      <c r="E5870" s="1" t="s">
        <v>37</v>
      </c>
      <c r="F5870" s="1">
        <v>366.21</v>
      </c>
      <c r="G5870" s="1">
        <v>74.87</v>
      </c>
      <c r="H5870" s="1">
        <v>6.0</v>
      </c>
      <c r="I5870" s="1" t="s">
        <v>34</v>
      </c>
      <c r="J5870" s="1" t="s">
        <v>35</v>
      </c>
      <c r="K5870" s="1">
        <f t="shared" si="1"/>
        <v>2023</v>
      </c>
      <c r="L5870" s="1" t="str">
        <f t="shared" si="2"/>
        <v>Sep</v>
      </c>
      <c r="M5870" s="1" t="str">
        <f t="shared" si="3"/>
        <v>Profit</v>
      </c>
    </row>
    <row r="5871" ht="14.25" customHeight="1">
      <c r="A5871" s="1" t="s">
        <v>5905</v>
      </c>
      <c r="B5871" s="2">
        <v>44206.0</v>
      </c>
      <c r="C5871" s="1" t="s">
        <v>20</v>
      </c>
      <c r="D5871" s="1" t="s">
        <v>21</v>
      </c>
      <c r="E5871" s="1" t="s">
        <v>22</v>
      </c>
      <c r="F5871" s="1">
        <v>528.34</v>
      </c>
      <c r="G5871" s="1">
        <v>225.1</v>
      </c>
      <c r="H5871" s="1">
        <v>7.0</v>
      </c>
      <c r="I5871" s="1" t="s">
        <v>34</v>
      </c>
      <c r="J5871" s="1" t="s">
        <v>35</v>
      </c>
      <c r="K5871" s="1">
        <f t="shared" si="1"/>
        <v>2021</v>
      </c>
      <c r="L5871" s="1" t="str">
        <f t="shared" si="2"/>
        <v>Jan</v>
      </c>
      <c r="M5871" s="1" t="str">
        <f t="shared" si="3"/>
        <v>Profit</v>
      </c>
    </row>
    <row r="5872" ht="14.25" customHeight="1">
      <c r="A5872" s="1" t="s">
        <v>5906</v>
      </c>
      <c r="B5872" s="2">
        <v>44467.0</v>
      </c>
      <c r="C5872" s="1" t="s">
        <v>30</v>
      </c>
      <c r="D5872" s="1" t="s">
        <v>21</v>
      </c>
      <c r="E5872" s="1" t="s">
        <v>37</v>
      </c>
      <c r="F5872" s="1">
        <v>208.26</v>
      </c>
      <c r="G5872" s="1">
        <v>181.7</v>
      </c>
      <c r="H5872" s="1">
        <v>5.0</v>
      </c>
      <c r="I5872" s="1" t="s">
        <v>23</v>
      </c>
      <c r="J5872" s="1" t="s">
        <v>24</v>
      </c>
      <c r="K5872" s="1">
        <f t="shared" si="1"/>
        <v>2021</v>
      </c>
      <c r="L5872" s="1" t="str">
        <f t="shared" si="2"/>
        <v>Sep</v>
      </c>
      <c r="M5872" s="1" t="str">
        <f t="shared" si="3"/>
        <v>Profit</v>
      </c>
    </row>
    <row r="5873" ht="14.25" customHeight="1">
      <c r="A5873" s="1" t="s">
        <v>5907</v>
      </c>
      <c r="B5873" s="2">
        <v>45276.0</v>
      </c>
      <c r="C5873" s="1" t="s">
        <v>26</v>
      </c>
      <c r="D5873" s="1" t="s">
        <v>27</v>
      </c>
      <c r="E5873" s="1" t="s">
        <v>33</v>
      </c>
      <c r="F5873" s="1">
        <v>732.9</v>
      </c>
      <c r="G5873" s="1">
        <v>-147.17</v>
      </c>
      <c r="H5873" s="1">
        <v>1.0</v>
      </c>
      <c r="I5873" s="1" t="s">
        <v>23</v>
      </c>
      <c r="J5873" s="1" t="s">
        <v>38</v>
      </c>
      <c r="K5873" s="1">
        <f t="shared" si="1"/>
        <v>2023</v>
      </c>
      <c r="L5873" s="1" t="str">
        <f t="shared" si="2"/>
        <v>Dec</v>
      </c>
      <c r="M5873" s="1" t="str">
        <f t="shared" si="3"/>
        <v>Loss</v>
      </c>
    </row>
    <row r="5874" ht="14.25" customHeight="1">
      <c r="A5874" s="1" t="s">
        <v>5908</v>
      </c>
      <c r="B5874" s="2">
        <v>44557.0</v>
      </c>
      <c r="C5874" s="1" t="s">
        <v>20</v>
      </c>
      <c r="D5874" s="1" t="s">
        <v>15</v>
      </c>
      <c r="E5874" s="1" t="s">
        <v>16</v>
      </c>
      <c r="F5874" s="1">
        <v>472.93</v>
      </c>
      <c r="G5874" s="1">
        <v>42.08</v>
      </c>
      <c r="H5874" s="1">
        <v>7.0</v>
      </c>
      <c r="I5874" s="1" t="s">
        <v>17</v>
      </c>
      <c r="J5874" s="1" t="s">
        <v>24</v>
      </c>
      <c r="K5874" s="1">
        <f t="shared" si="1"/>
        <v>2021</v>
      </c>
      <c r="L5874" s="1" t="str">
        <f t="shared" si="2"/>
        <v>Dec</v>
      </c>
      <c r="M5874" s="1" t="str">
        <f t="shared" si="3"/>
        <v>Profit</v>
      </c>
    </row>
    <row r="5875" ht="14.25" customHeight="1">
      <c r="A5875" s="1" t="s">
        <v>5909</v>
      </c>
      <c r="B5875" s="2">
        <v>44735.0</v>
      </c>
      <c r="C5875" s="1" t="s">
        <v>14</v>
      </c>
      <c r="D5875" s="1" t="s">
        <v>21</v>
      </c>
      <c r="E5875" s="1" t="s">
        <v>37</v>
      </c>
      <c r="F5875" s="1">
        <v>766.6</v>
      </c>
      <c r="G5875" s="1">
        <v>-93.71</v>
      </c>
      <c r="H5875" s="1">
        <v>3.0</v>
      </c>
      <c r="I5875" s="1" t="s">
        <v>34</v>
      </c>
      <c r="J5875" s="1" t="s">
        <v>38</v>
      </c>
      <c r="K5875" s="1">
        <f t="shared" si="1"/>
        <v>2022</v>
      </c>
      <c r="L5875" s="1" t="str">
        <f t="shared" si="2"/>
        <v>Jun</v>
      </c>
      <c r="M5875" s="1" t="str">
        <f t="shared" si="3"/>
        <v>Loss</v>
      </c>
    </row>
    <row r="5876" ht="14.25" customHeight="1">
      <c r="A5876" s="1" t="s">
        <v>5910</v>
      </c>
      <c r="B5876" s="2">
        <v>45108.0</v>
      </c>
      <c r="C5876" s="1" t="s">
        <v>26</v>
      </c>
      <c r="D5876" s="1" t="s">
        <v>21</v>
      </c>
      <c r="E5876" s="1" t="s">
        <v>22</v>
      </c>
      <c r="F5876" s="1">
        <v>117.14</v>
      </c>
      <c r="G5876" s="1">
        <v>41.2</v>
      </c>
      <c r="H5876" s="1">
        <v>1.0</v>
      </c>
      <c r="I5876" s="1" t="s">
        <v>34</v>
      </c>
      <c r="J5876" s="1" t="s">
        <v>24</v>
      </c>
      <c r="K5876" s="1">
        <f t="shared" si="1"/>
        <v>2023</v>
      </c>
      <c r="L5876" s="1" t="str">
        <f t="shared" si="2"/>
        <v>Jul</v>
      </c>
      <c r="M5876" s="1" t="str">
        <f t="shared" si="3"/>
        <v>Profit</v>
      </c>
    </row>
    <row r="5877" ht="14.25" customHeight="1">
      <c r="A5877" s="1" t="s">
        <v>5911</v>
      </c>
      <c r="B5877" s="2">
        <v>45002.0</v>
      </c>
      <c r="C5877" s="1" t="s">
        <v>14</v>
      </c>
      <c r="D5877" s="1" t="s">
        <v>15</v>
      </c>
      <c r="E5877" s="1" t="s">
        <v>31</v>
      </c>
      <c r="F5877" s="1">
        <v>375.17</v>
      </c>
      <c r="G5877" s="1">
        <v>294.84</v>
      </c>
      <c r="H5877" s="1">
        <v>3.0</v>
      </c>
      <c r="I5877" s="1" t="s">
        <v>34</v>
      </c>
      <c r="J5877" s="1" t="s">
        <v>24</v>
      </c>
      <c r="K5877" s="1">
        <f t="shared" si="1"/>
        <v>2023</v>
      </c>
      <c r="L5877" s="1" t="str">
        <f t="shared" si="2"/>
        <v>Mar</v>
      </c>
      <c r="M5877" s="1" t="str">
        <f t="shared" si="3"/>
        <v>Profit</v>
      </c>
    </row>
    <row r="5878" ht="14.25" customHeight="1">
      <c r="A5878" s="1" t="s">
        <v>5912</v>
      </c>
      <c r="B5878" s="2">
        <v>44345.0</v>
      </c>
      <c r="C5878" s="1" t="s">
        <v>20</v>
      </c>
      <c r="D5878" s="1" t="s">
        <v>21</v>
      </c>
      <c r="E5878" s="1" t="s">
        <v>37</v>
      </c>
      <c r="F5878" s="1">
        <v>666.98</v>
      </c>
      <c r="G5878" s="1">
        <v>143.41</v>
      </c>
      <c r="H5878" s="1">
        <v>7.0</v>
      </c>
      <c r="I5878" s="1" t="s">
        <v>34</v>
      </c>
      <c r="J5878" s="1" t="s">
        <v>18</v>
      </c>
      <c r="K5878" s="1">
        <f t="shared" si="1"/>
        <v>2021</v>
      </c>
      <c r="L5878" s="1" t="str">
        <f t="shared" si="2"/>
        <v>May</v>
      </c>
      <c r="M5878" s="1" t="str">
        <f t="shared" si="3"/>
        <v>Profit</v>
      </c>
    </row>
    <row r="5879" ht="14.25" customHeight="1">
      <c r="A5879" s="1" t="s">
        <v>5913</v>
      </c>
      <c r="B5879" s="2">
        <v>44803.0</v>
      </c>
      <c r="C5879" s="1" t="s">
        <v>14</v>
      </c>
      <c r="D5879" s="1" t="s">
        <v>27</v>
      </c>
      <c r="E5879" s="1" t="s">
        <v>40</v>
      </c>
      <c r="F5879" s="1">
        <v>666.92</v>
      </c>
      <c r="G5879" s="1">
        <v>-136.17</v>
      </c>
      <c r="H5879" s="1">
        <v>6.0</v>
      </c>
      <c r="I5879" s="1" t="s">
        <v>17</v>
      </c>
      <c r="J5879" s="1" t="s">
        <v>24</v>
      </c>
      <c r="K5879" s="1">
        <f t="shared" si="1"/>
        <v>2022</v>
      </c>
      <c r="L5879" s="1" t="str">
        <f t="shared" si="2"/>
        <v>Aug</v>
      </c>
      <c r="M5879" s="1" t="str">
        <f t="shared" si="3"/>
        <v>Loss</v>
      </c>
    </row>
    <row r="5880" ht="14.25" customHeight="1">
      <c r="A5880" s="1" t="s">
        <v>5914</v>
      </c>
      <c r="B5880" s="2">
        <v>44606.0</v>
      </c>
      <c r="C5880" s="1" t="s">
        <v>30</v>
      </c>
      <c r="D5880" s="1" t="s">
        <v>27</v>
      </c>
      <c r="E5880" s="1" t="s">
        <v>28</v>
      </c>
      <c r="F5880" s="1">
        <v>619.55</v>
      </c>
      <c r="G5880" s="1">
        <v>299.9</v>
      </c>
      <c r="H5880" s="1">
        <v>5.0</v>
      </c>
      <c r="I5880" s="1" t="s">
        <v>23</v>
      </c>
      <c r="J5880" s="1" t="s">
        <v>35</v>
      </c>
      <c r="K5880" s="1">
        <f t="shared" si="1"/>
        <v>2022</v>
      </c>
      <c r="L5880" s="1" t="str">
        <f t="shared" si="2"/>
        <v>Feb</v>
      </c>
      <c r="M5880" s="1" t="str">
        <f t="shared" si="3"/>
        <v>Profit</v>
      </c>
    </row>
    <row r="5881" ht="14.25" customHeight="1">
      <c r="A5881" s="1" t="s">
        <v>5915</v>
      </c>
      <c r="B5881" s="2">
        <v>45007.0</v>
      </c>
      <c r="C5881" s="1" t="s">
        <v>20</v>
      </c>
      <c r="D5881" s="1" t="s">
        <v>27</v>
      </c>
      <c r="E5881" s="1" t="s">
        <v>28</v>
      </c>
      <c r="F5881" s="1">
        <v>667.21</v>
      </c>
      <c r="G5881" s="1">
        <v>94.26</v>
      </c>
      <c r="H5881" s="1">
        <v>10.0</v>
      </c>
      <c r="I5881" s="1" t="s">
        <v>34</v>
      </c>
      <c r="J5881" s="1" t="s">
        <v>24</v>
      </c>
      <c r="K5881" s="1">
        <f t="shared" si="1"/>
        <v>2023</v>
      </c>
      <c r="L5881" s="1" t="str">
        <f t="shared" si="2"/>
        <v>Mar</v>
      </c>
      <c r="M5881" s="1" t="str">
        <f t="shared" si="3"/>
        <v>Profit</v>
      </c>
    </row>
    <row r="5882" ht="14.25" customHeight="1">
      <c r="A5882" s="1" t="s">
        <v>5916</v>
      </c>
      <c r="B5882" s="2">
        <v>45151.0</v>
      </c>
      <c r="C5882" s="1" t="s">
        <v>30</v>
      </c>
      <c r="D5882" s="1" t="s">
        <v>27</v>
      </c>
      <c r="E5882" s="1" t="s">
        <v>28</v>
      </c>
      <c r="F5882" s="1">
        <v>418.33</v>
      </c>
      <c r="G5882" s="1">
        <v>-107.21</v>
      </c>
      <c r="H5882" s="1">
        <v>8.0</v>
      </c>
      <c r="I5882" s="1" t="s">
        <v>23</v>
      </c>
      <c r="J5882" s="1" t="s">
        <v>35</v>
      </c>
      <c r="K5882" s="1">
        <f t="shared" si="1"/>
        <v>2023</v>
      </c>
      <c r="L5882" s="1" t="str">
        <f t="shared" si="2"/>
        <v>Aug</v>
      </c>
      <c r="M5882" s="1" t="str">
        <f t="shared" si="3"/>
        <v>Loss</v>
      </c>
    </row>
    <row r="5883" ht="14.25" customHeight="1">
      <c r="A5883" s="1" t="s">
        <v>5917</v>
      </c>
      <c r="B5883" s="2">
        <v>44499.0</v>
      </c>
      <c r="C5883" s="1" t="s">
        <v>30</v>
      </c>
      <c r="D5883" s="1" t="s">
        <v>27</v>
      </c>
      <c r="E5883" s="1" t="s">
        <v>40</v>
      </c>
      <c r="F5883" s="1">
        <v>70.59</v>
      </c>
      <c r="G5883" s="1">
        <v>-183.81</v>
      </c>
      <c r="H5883" s="1">
        <v>5.0</v>
      </c>
      <c r="I5883" s="1" t="s">
        <v>23</v>
      </c>
      <c r="J5883" s="1" t="s">
        <v>18</v>
      </c>
      <c r="K5883" s="1">
        <f t="shared" si="1"/>
        <v>2021</v>
      </c>
      <c r="L5883" s="1" t="str">
        <f t="shared" si="2"/>
        <v>Oct</v>
      </c>
      <c r="M5883" s="1" t="str">
        <f t="shared" si="3"/>
        <v>Loss</v>
      </c>
    </row>
    <row r="5884" ht="14.25" customHeight="1">
      <c r="A5884" s="1" t="s">
        <v>5918</v>
      </c>
      <c r="B5884" s="2">
        <v>44974.0</v>
      </c>
      <c r="C5884" s="1" t="s">
        <v>14</v>
      </c>
      <c r="D5884" s="1" t="s">
        <v>15</v>
      </c>
      <c r="E5884" s="1" t="s">
        <v>54</v>
      </c>
      <c r="F5884" s="1">
        <v>94.54</v>
      </c>
      <c r="G5884" s="1">
        <v>261.58</v>
      </c>
      <c r="H5884" s="1">
        <v>9.0</v>
      </c>
      <c r="I5884" s="1" t="s">
        <v>23</v>
      </c>
      <c r="J5884" s="1" t="s">
        <v>18</v>
      </c>
      <c r="K5884" s="1">
        <f t="shared" si="1"/>
        <v>2023</v>
      </c>
      <c r="L5884" s="1" t="str">
        <f t="shared" si="2"/>
        <v>Feb</v>
      </c>
      <c r="M5884" s="1" t="str">
        <f t="shared" si="3"/>
        <v>Profit</v>
      </c>
    </row>
    <row r="5885" ht="14.25" customHeight="1">
      <c r="A5885" s="1" t="s">
        <v>5919</v>
      </c>
      <c r="B5885" s="2">
        <v>44615.0</v>
      </c>
      <c r="C5885" s="1" t="s">
        <v>20</v>
      </c>
      <c r="D5885" s="1" t="s">
        <v>27</v>
      </c>
      <c r="E5885" s="1" t="s">
        <v>40</v>
      </c>
      <c r="F5885" s="1">
        <v>429.66</v>
      </c>
      <c r="G5885" s="1">
        <v>244.47</v>
      </c>
      <c r="H5885" s="1">
        <v>8.0</v>
      </c>
      <c r="I5885" s="1" t="s">
        <v>34</v>
      </c>
      <c r="J5885" s="1" t="s">
        <v>18</v>
      </c>
      <c r="K5885" s="1">
        <f t="shared" si="1"/>
        <v>2022</v>
      </c>
      <c r="L5885" s="1" t="str">
        <f t="shared" si="2"/>
        <v>Feb</v>
      </c>
      <c r="M5885" s="1" t="str">
        <f t="shared" si="3"/>
        <v>Profit</v>
      </c>
    </row>
    <row r="5886" ht="14.25" customHeight="1">
      <c r="A5886" s="1" t="s">
        <v>5920</v>
      </c>
      <c r="B5886" s="2">
        <v>44341.0</v>
      </c>
      <c r="C5886" s="1" t="s">
        <v>26</v>
      </c>
      <c r="D5886" s="1" t="s">
        <v>27</v>
      </c>
      <c r="E5886" s="1" t="s">
        <v>28</v>
      </c>
      <c r="F5886" s="1">
        <v>511.19</v>
      </c>
      <c r="G5886" s="1">
        <v>-78.31</v>
      </c>
      <c r="H5886" s="1">
        <v>2.0</v>
      </c>
      <c r="I5886" s="1" t="s">
        <v>23</v>
      </c>
      <c r="J5886" s="1" t="s">
        <v>35</v>
      </c>
      <c r="K5886" s="1">
        <f t="shared" si="1"/>
        <v>2021</v>
      </c>
      <c r="L5886" s="1" t="str">
        <f t="shared" si="2"/>
        <v>May</v>
      </c>
      <c r="M5886" s="1" t="str">
        <f t="shared" si="3"/>
        <v>Loss</v>
      </c>
    </row>
    <row r="5887" ht="14.25" customHeight="1">
      <c r="A5887" s="1" t="s">
        <v>5921</v>
      </c>
      <c r="B5887" s="2">
        <v>45091.0</v>
      </c>
      <c r="C5887" s="1" t="s">
        <v>30</v>
      </c>
      <c r="D5887" s="1" t="s">
        <v>21</v>
      </c>
      <c r="E5887" s="1" t="s">
        <v>76</v>
      </c>
      <c r="F5887" s="1">
        <v>467.68</v>
      </c>
      <c r="G5887" s="1">
        <v>68.15</v>
      </c>
      <c r="H5887" s="1">
        <v>5.0</v>
      </c>
      <c r="I5887" s="1" t="s">
        <v>34</v>
      </c>
      <c r="J5887" s="1" t="s">
        <v>38</v>
      </c>
      <c r="K5887" s="1">
        <f t="shared" si="1"/>
        <v>2023</v>
      </c>
      <c r="L5887" s="1" t="str">
        <f t="shared" si="2"/>
        <v>Jun</v>
      </c>
      <c r="M5887" s="1" t="str">
        <f t="shared" si="3"/>
        <v>Profit</v>
      </c>
    </row>
    <row r="5888" ht="14.25" customHeight="1">
      <c r="A5888" s="1" t="s">
        <v>5922</v>
      </c>
      <c r="B5888" s="2">
        <v>45047.0</v>
      </c>
      <c r="C5888" s="1" t="s">
        <v>26</v>
      </c>
      <c r="D5888" s="1" t="s">
        <v>15</v>
      </c>
      <c r="E5888" s="1" t="s">
        <v>54</v>
      </c>
      <c r="F5888" s="1">
        <v>951.83</v>
      </c>
      <c r="G5888" s="1">
        <v>148.86</v>
      </c>
      <c r="H5888" s="1">
        <v>10.0</v>
      </c>
      <c r="I5888" s="1" t="s">
        <v>23</v>
      </c>
      <c r="J5888" s="1" t="s">
        <v>24</v>
      </c>
      <c r="K5888" s="1">
        <f t="shared" si="1"/>
        <v>2023</v>
      </c>
      <c r="L5888" s="1" t="str">
        <f t="shared" si="2"/>
        <v>May</v>
      </c>
      <c r="M5888" s="1" t="str">
        <f t="shared" si="3"/>
        <v>Profit</v>
      </c>
    </row>
    <row r="5889" ht="14.25" customHeight="1">
      <c r="A5889" s="1" t="s">
        <v>5923</v>
      </c>
      <c r="B5889" s="2">
        <v>44828.0</v>
      </c>
      <c r="C5889" s="1" t="s">
        <v>20</v>
      </c>
      <c r="D5889" s="1" t="s">
        <v>27</v>
      </c>
      <c r="E5889" s="1" t="s">
        <v>28</v>
      </c>
      <c r="F5889" s="1">
        <v>720.95</v>
      </c>
      <c r="G5889" s="1">
        <v>62.85</v>
      </c>
      <c r="H5889" s="1">
        <v>1.0</v>
      </c>
      <c r="I5889" s="1" t="s">
        <v>34</v>
      </c>
      <c r="J5889" s="1" t="s">
        <v>35</v>
      </c>
      <c r="K5889" s="1">
        <f t="shared" si="1"/>
        <v>2022</v>
      </c>
      <c r="L5889" s="1" t="str">
        <f t="shared" si="2"/>
        <v>Sep</v>
      </c>
      <c r="M5889" s="1" t="str">
        <f t="shared" si="3"/>
        <v>Profit</v>
      </c>
    </row>
    <row r="5890" ht="14.25" customHeight="1">
      <c r="A5890" s="1" t="s">
        <v>5924</v>
      </c>
      <c r="B5890" s="2">
        <v>44502.0</v>
      </c>
      <c r="C5890" s="1" t="s">
        <v>14</v>
      </c>
      <c r="D5890" s="1" t="s">
        <v>15</v>
      </c>
      <c r="E5890" s="1" t="s">
        <v>31</v>
      </c>
      <c r="F5890" s="1">
        <v>519.51</v>
      </c>
      <c r="G5890" s="1">
        <v>9.56</v>
      </c>
      <c r="H5890" s="1">
        <v>2.0</v>
      </c>
      <c r="I5890" s="1" t="s">
        <v>34</v>
      </c>
      <c r="J5890" s="1" t="s">
        <v>35</v>
      </c>
      <c r="K5890" s="1">
        <f t="shared" si="1"/>
        <v>2021</v>
      </c>
      <c r="L5890" s="1" t="str">
        <f t="shared" si="2"/>
        <v>Nov</v>
      </c>
      <c r="M5890" s="1" t="str">
        <f t="shared" si="3"/>
        <v>Profit</v>
      </c>
    </row>
    <row r="5891" ht="14.25" customHeight="1">
      <c r="A5891" s="1" t="s">
        <v>5925</v>
      </c>
      <c r="B5891" s="2">
        <v>45156.0</v>
      </c>
      <c r="C5891" s="1" t="s">
        <v>26</v>
      </c>
      <c r="D5891" s="1" t="s">
        <v>15</v>
      </c>
      <c r="E5891" s="1" t="s">
        <v>31</v>
      </c>
      <c r="F5891" s="1">
        <v>471.26</v>
      </c>
      <c r="G5891" s="1">
        <v>181.88</v>
      </c>
      <c r="H5891" s="1">
        <v>3.0</v>
      </c>
      <c r="I5891" s="1" t="s">
        <v>17</v>
      </c>
      <c r="J5891" s="1" t="s">
        <v>18</v>
      </c>
      <c r="K5891" s="1">
        <f t="shared" si="1"/>
        <v>2023</v>
      </c>
      <c r="L5891" s="1" t="str">
        <f t="shared" si="2"/>
        <v>Aug</v>
      </c>
      <c r="M5891" s="1" t="str">
        <f t="shared" si="3"/>
        <v>Profit</v>
      </c>
    </row>
    <row r="5892" ht="14.25" customHeight="1">
      <c r="A5892" s="1" t="s">
        <v>5926</v>
      </c>
      <c r="B5892" s="2">
        <v>44857.0</v>
      </c>
      <c r="C5892" s="1" t="s">
        <v>30</v>
      </c>
      <c r="D5892" s="1" t="s">
        <v>15</v>
      </c>
      <c r="E5892" s="1" t="s">
        <v>54</v>
      </c>
      <c r="F5892" s="1">
        <v>348.76</v>
      </c>
      <c r="G5892" s="1">
        <v>-164.18</v>
      </c>
      <c r="H5892" s="1">
        <v>7.0</v>
      </c>
      <c r="I5892" s="1" t="s">
        <v>17</v>
      </c>
      <c r="J5892" s="1" t="s">
        <v>38</v>
      </c>
      <c r="K5892" s="1">
        <f t="shared" si="1"/>
        <v>2022</v>
      </c>
      <c r="L5892" s="1" t="str">
        <f t="shared" si="2"/>
        <v>Oct</v>
      </c>
      <c r="M5892" s="1" t="str">
        <f t="shared" si="3"/>
        <v>Loss</v>
      </c>
    </row>
    <row r="5893" ht="14.25" customHeight="1">
      <c r="A5893" s="1" t="s">
        <v>5927</v>
      </c>
      <c r="B5893" s="2">
        <v>45192.0</v>
      </c>
      <c r="C5893" s="1" t="s">
        <v>20</v>
      </c>
      <c r="D5893" s="1" t="s">
        <v>21</v>
      </c>
      <c r="E5893" s="1" t="s">
        <v>22</v>
      </c>
      <c r="F5893" s="1">
        <v>118.49</v>
      </c>
      <c r="G5893" s="1">
        <v>108.62</v>
      </c>
      <c r="H5893" s="1">
        <v>2.0</v>
      </c>
      <c r="I5893" s="1" t="s">
        <v>34</v>
      </c>
      <c r="J5893" s="1" t="s">
        <v>35</v>
      </c>
      <c r="K5893" s="1">
        <f t="shared" si="1"/>
        <v>2023</v>
      </c>
      <c r="L5893" s="1" t="str">
        <f t="shared" si="2"/>
        <v>Sep</v>
      </c>
      <c r="M5893" s="1" t="str">
        <f t="shared" si="3"/>
        <v>Profit</v>
      </c>
    </row>
    <row r="5894" ht="14.25" customHeight="1">
      <c r="A5894" s="1" t="s">
        <v>5928</v>
      </c>
      <c r="B5894" s="2">
        <v>44453.0</v>
      </c>
      <c r="C5894" s="1" t="s">
        <v>14</v>
      </c>
      <c r="D5894" s="1" t="s">
        <v>15</v>
      </c>
      <c r="E5894" s="1" t="s">
        <v>16</v>
      </c>
      <c r="F5894" s="1">
        <v>550.43</v>
      </c>
      <c r="G5894" s="1">
        <v>-193.51</v>
      </c>
      <c r="H5894" s="1">
        <v>9.0</v>
      </c>
      <c r="I5894" s="1" t="s">
        <v>34</v>
      </c>
      <c r="J5894" s="1" t="s">
        <v>24</v>
      </c>
      <c r="K5894" s="1">
        <f t="shared" si="1"/>
        <v>2021</v>
      </c>
      <c r="L5894" s="1" t="str">
        <f t="shared" si="2"/>
        <v>Sep</v>
      </c>
      <c r="M5894" s="1" t="str">
        <f t="shared" si="3"/>
        <v>Loss</v>
      </c>
    </row>
    <row r="5895" ht="14.25" customHeight="1">
      <c r="A5895" s="1" t="s">
        <v>5929</v>
      </c>
      <c r="B5895" s="2">
        <v>45096.0</v>
      </c>
      <c r="C5895" s="1" t="s">
        <v>14</v>
      </c>
      <c r="D5895" s="1" t="s">
        <v>27</v>
      </c>
      <c r="E5895" s="1" t="s">
        <v>40</v>
      </c>
      <c r="F5895" s="1">
        <v>810.64</v>
      </c>
      <c r="G5895" s="1">
        <v>265.26</v>
      </c>
      <c r="H5895" s="1">
        <v>7.0</v>
      </c>
      <c r="I5895" s="1" t="s">
        <v>17</v>
      </c>
      <c r="J5895" s="1" t="s">
        <v>24</v>
      </c>
      <c r="K5895" s="1">
        <f t="shared" si="1"/>
        <v>2023</v>
      </c>
      <c r="L5895" s="1" t="str">
        <f t="shared" si="2"/>
        <v>Jun</v>
      </c>
      <c r="M5895" s="1" t="str">
        <f t="shared" si="3"/>
        <v>Profit</v>
      </c>
    </row>
    <row r="5896" ht="14.25" customHeight="1">
      <c r="A5896" s="1" t="s">
        <v>5930</v>
      </c>
      <c r="B5896" s="2">
        <v>44971.0</v>
      </c>
      <c r="C5896" s="1" t="s">
        <v>30</v>
      </c>
      <c r="D5896" s="1" t="s">
        <v>27</v>
      </c>
      <c r="E5896" s="1" t="s">
        <v>40</v>
      </c>
      <c r="F5896" s="1">
        <v>941.7</v>
      </c>
      <c r="G5896" s="1">
        <v>275.26</v>
      </c>
      <c r="H5896" s="1">
        <v>10.0</v>
      </c>
      <c r="I5896" s="1" t="s">
        <v>23</v>
      </c>
      <c r="J5896" s="1" t="s">
        <v>35</v>
      </c>
      <c r="K5896" s="1">
        <f t="shared" si="1"/>
        <v>2023</v>
      </c>
      <c r="L5896" s="1" t="str">
        <f t="shared" si="2"/>
        <v>Feb</v>
      </c>
      <c r="M5896" s="1" t="str">
        <f t="shared" si="3"/>
        <v>Profit</v>
      </c>
    </row>
    <row r="5897" ht="14.25" customHeight="1">
      <c r="A5897" s="1" t="s">
        <v>5931</v>
      </c>
      <c r="B5897" s="2">
        <v>44824.0</v>
      </c>
      <c r="C5897" s="1" t="s">
        <v>26</v>
      </c>
      <c r="D5897" s="1" t="s">
        <v>15</v>
      </c>
      <c r="E5897" s="1" t="s">
        <v>54</v>
      </c>
      <c r="F5897" s="1">
        <v>395.85</v>
      </c>
      <c r="G5897" s="1">
        <v>233.89</v>
      </c>
      <c r="H5897" s="1">
        <v>6.0</v>
      </c>
      <c r="I5897" s="1" t="s">
        <v>34</v>
      </c>
      <c r="J5897" s="1" t="s">
        <v>38</v>
      </c>
      <c r="K5897" s="1">
        <f t="shared" si="1"/>
        <v>2022</v>
      </c>
      <c r="L5897" s="1" t="str">
        <f t="shared" si="2"/>
        <v>Sep</v>
      </c>
      <c r="M5897" s="1" t="str">
        <f t="shared" si="3"/>
        <v>Profit</v>
      </c>
    </row>
    <row r="5898" ht="14.25" customHeight="1">
      <c r="A5898" s="1" t="s">
        <v>5932</v>
      </c>
      <c r="B5898" s="2">
        <v>44389.0</v>
      </c>
      <c r="C5898" s="1" t="s">
        <v>26</v>
      </c>
      <c r="D5898" s="1" t="s">
        <v>15</v>
      </c>
      <c r="E5898" s="1" t="s">
        <v>54</v>
      </c>
      <c r="F5898" s="1">
        <v>93.2</v>
      </c>
      <c r="G5898" s="1">
        <v>12.55</v>
      </c>
      <c r="H5898" s="1">
        <v>4.0</v>
      </c>
      <c r="I5898" s="1" t="s">
        <v>34</v>
      </c>
      <c r="J5898" s="1" t="s">
        <v>24</v>
      </c>
      <c r="K5898" s="1">
        <f t="shared" si="1"/>
        <v>2021</v>
      </c>
      <c r="L5898" s="1" t="str">
        <f t="shared" si="2"/>
        <v>Jul</v>
      </c>
      <c r="M5898" s="1" t="str">
        <f t="shared" si="3"/>
        <v>Profit</v>
      </c>
    </row>
    <row r="5899" ht="14.25" customHeight="1">
      <c r="A5899" s="1" t="s">
        <v>5933</v>
      </c>
      <c r="B5899" s="2">
        <v>45044.0</v>
      </c>
      <c r="C5899" s="1" t="s">
        <v>30</v>
      </c>
      <c r="D5899" s="1" t="s">
        <v>27</v>
      </c>
      <c r="E5899" s="1" t="s">
        <v>28</v>
      </c>
      <c r="F5899" s="1">
        <v>477.71</v>
      </c>
      <c r="G5899" s="1">
        <v>190.59</v>
      </c>
      <c r="H5899" s="1">
        <v>8.0</v>
      </c>
      <c r="I5899" s="1" t="s">
        <v>23</v>
      </c>
      <c r="J5899" s="1" t="s">
        <v>24</v>
      </c>
      <c r="K5899" s="1">
        <f t="shared" si="1"/>
        <v>2023</v>
      </c>
      <c r="L5899" s="1" t="str">
        <f t="shared" si="2"/>
        <v>Apr</v>
      </c>
      <c r="M5899" s="1" t="str">
        <f t="shared" si="3"/>
        <v>Profit</v>
      </c>
    </row>
    <row r="5900" ht="14.25" customHeight="1">
      <c r="A5900" s="1" t="s">
        <v>5934</v>
      </c>
      <c r="B5900" s="2">
        <v>44734.0</v>
      </c>
      <c r="C5900" s="1" t="s">
        <v>26</v>
      </c>
      <c r="D5900" s="1" t="s">
        <v>21</v>
      </c>
      <c r="E5900" s="1" t="s">
        <v>76</v>
      </c>
      <c r="F5900" s="1">
        <v>204.58</v>
      </c>
      <c r="G5900" s="1">
        <v>229.58</v>
      </c>
      <c r="H5900" s="1">
        <v>2.0</v>
      </c>
      <c r="I5900" s="1" t="s">
        <v>34</v>
      </c>
      <c r="J5900" s="1" t="s">
        <v>18</v>
      </c>
      <c r="K5900" s="1">
        <f t="shared" si="1"/>
        <v>2022</v>
      </c>
      <c r="L5900" s="1" t="str">
        <f t="shared" si="2"/>
        <v>Jun</v>
      </c>
      <c r="M5900" s="1" t="str">
        <f t="shared" si="3"/>
        <v>Profit</v>
      </c>
    </row>
    <row r="5901" ht="14.25" customHeight="1">
      <c r="A5901" s="1" t="s">
        <v>5935</v>
      </c>
      <c r="B5901" s="2">
        <v>44674.0</v>
      </c>
      <c r="C5901" s="1" t="s">
        <v>30</v>
      </c>
      <c r="D5901" s="1" t="s">
        <v>15</v>
      </c>
      <c r="E5901" s="1" t="s">
        <v>16</v>
      </c>
      <c r="F5901" s="1">
        <v>169.21</v>
      </c>
      <c r="G5901" s="1">
        <v>-10.2</v>
      </c>
      <c r="H5901" s="1">
        <v>7.0</v>
      </c>
      <c r="I5901" s="1" t="s">
        <v>23</v>
      </c>
      <c r="J5901" s="1" t="s">
        <v>38</v>
      </c>
      <c r="K5901" s="1">
        <f t="shared" si="1"/>
        <v>2022</v>
      </c>
      <c r="L5901" s="1" t="str">
        <f t="shared" si="2"/>
        <v>Apr</v>
      </c>
      <c r="M5901" s="1" t="str">
        <f t="shared" si="3"/>
        <v>Loss</v>
      </c>
    </row>
    <row r="5902" ht="14.25" customHeight="1">
      <c r="A5902" s="1" t="s">
        <v>5936</v>
      </c>
      <c r="B5902" s="2">
        <v>44771.0</v>
      </c>
      <c r="C5902" s="1" t="s">
        <v>30</v>
      </c>
      <c r="D5902" s="1" t="s">
        <v>21</v>
      </c>
      <c r="E5902" s="1" t="s">
        <v>76</v>
      </c>
      <c r="F5902" s="1">
        <v>354.31</v>
      </c>
      <c r="G5902" s="1">
        <v>-88.32</v>
      </c>
      <c r="H5902" s="1">
        <v>4.0</v>
      </c>
      <c r="I5902" s="1" t="s">
        <v>34</v>
      </c>
      <c r="J5902" s="1" t="s">
        <v>24</v>
      </c>
      <c r="K5902" s="1">
        <f t="shared" si="1"/>
        <v>2022</v>
      </c>
      <c r="L5902" s="1" t="str">
        <f t="shared" si="2"/>
        <v>Jul</v>
      </c>
      <c r="M5902" s="1" t="str">
        <f t="shared" si="3"/>
        <v>Loss</v>
      </c>
    </row>
    <row r="5903" ht="14.25" customHeight="1">
      <c r="A5903" s="1" t="s">
        <v>5937</v>
      </c>
      <c r="B5903" s="2">
        <v>44849.0</v>
      </c>
      <c r="C5903" s="1" t="s">
        <v>20</v>
      </c>
      <c r="D5903" s="1" t="s">
        <v>15</v>
      </c>
      <c r="E5903" s="1" t="s">
        <v>31</v>
      </c>
      <c r="F5903" s="1">
        <v>118.15</v>
      </c>
      <c r="G5903" s="1">
        <v>-74.1</v>
      </c>
      <c r="H5903" s="1">
        <v>8.0</v>
      </c>
      <c r="I5903" s="1" t="s">
        <v>23</v>
      </c>
      <c r="J5903" s="1" t="s">
        <v>24</v>
      </c>
      <c r="K5903" s="1">
        <f t="shared" si="1"/>
        <v>2022</v>
      </c>
      <c r="L5903" s="1" t="str">
        <f t="shared" si="2"/>
        <v>Oct</v>
      </c>
      <c r="M5903" s="1" t="str">
        <f t="shared" si="3"/>
        <v>Loss</v>
      </c>
    </row>
    <row r="5904" ht="14.25" customHeight="1">
      <c r="A5904" s="1" t="s">
        <v>5938</v>
      </c>
      <c r="B5904" s="2">
        <v>44532.0</v>
      </c>
      <c r="C5904" s="1" t="s">
        <v>26</v>
      </c>
      <c r="D5904" s="1" t="s">
        <v>15</v>
      </c>
      <c r="E5904" s="1" t="s">
        <v>31</v>
      </c>
      <c r="F5904" s="1">
        <v>400.21</v>
      </c>
      <c r="G5904" s="1">
        <v>-199.71</v>
      </c>
      <c r="H5904" s="1">
        <v>6.0</v>
      </c>
      <c r="I5904" s="1" t="s">
        <v>34</v>
      </c>
      <c r="J5904" s="1" t="s">
        <v>18</v>
      </c>
      <c r="K5904" s="1">
        <f t="shared" si="1"/>
        <v>2021</v>
      </c>
      <c r="L5904" s="1" t="str">
        <f t="shared" si="2"/>
        <v>Dec</v>
      </c>
      <c r="M5904" s="1" t="str">
        <f t="shared" si="3"/>
        <v>Loss</v>
      </c>
    </row>
    <row r="5905" ht="14.25" customHeight="1">
      <c r="A5905" s="1" t="s">
        <v>5939</v>
      </c>
      <c r="B5905" s="2">
        <v>44498.0</v>
      </c>
      <c r="C5905" s="1" t="s">
        <v>26</v>
      </c>
      <c r="D5905" s="1" t="s">
        <v>21</v>
      </c>
      <c r="E5905" s="1" t="s">
        <v>76</v>
      </c>
      <c r="F5905" s="1">
        <v>749.36</v>
      </c>
      <c r="G5905" s="1">
        <v>119.01</v>
      </c>
      <c r="H5905" s="1">
        <v>7.0</v>
      </c>
      <c r="I5905" s="1" t="s">
        <v>23</v>
      </c>
      <c r="J5905" s="1" t="s">
        <v>38</v>
      </c>
      <c r="K5905" s="1">
        <f t="shared" si="1"/>
        <v>2021</v>
      </c>
      <c r="L5905" s="1" t="str">
        <f t="shared" si="2"/>
        <v>Oct</v>
      </c>
      <c r="M5905" s="1" t="str">
        <f t="shared" si="3"/>
        <v>Profit</v>
      </c>
    </row>
    <row r="5906" ht="14.25" customHeight="1">
      <c r="A5906" s="1" t="s">
        <v>5940</v>
      </c>
      <c r="B5906" s="2">
        <v>44995.0</v>
      </c>
      <c r="C5906" s="1" t="s">
        <v>14</v>
      </c>
      <c r="D5906" s="1" t="s">
        <v>15</v>
      </c>
      <c r="E5906" s="1" t="s">
        <v>16</v>
      </c>
      <c r="F5906" s="1">
        <v>426.4</v>
      </c>
      <c r="G5906" s="1">
        <v>0.13</v>
      </c>
      <c r="H5906" s="1">
        <v>7.0</v>
      </c>
      <c r="I5906" s="1" t="s">
        <v>17</v>
      </c>
      <c r="J5906" s="1" t="s">
        <v>35</v>
      </c>
      <c r="K5906" s="1">
        <f t="shared" si="1"/>
        <v>2023</v>
      </c>
      <c r="L5906" s="1" t="str">
        <f t="shared" si="2"/>
        <v>Mar</v>
      </c>
      <c r="M5906" s="1" t="str">
        <f t="shared" si="3"/>
        <v>Profit</v>
      </c>
    </row>
    <row r="5907" ht="14.25" customHeight="1">
      <c r="A5907" s="1" t="s">
        <v>5941</v>
      </c>
      <c r="B5907" s="2">
        <v>44508.0</v>
      </c>
      <c r="C5907" s="1" t="s">
        <v>30</v>
      </c>
      <c r="D5907" s="1" t="s">
        <v>27</v>
      </c>
      <c r="E5907" s="1" t="s">
        <v>40</v>
      </c>
      <c r="F5907" s="1">
        <v>890.46</v>
      </c>
      <c r="G5907" s="1">
        <v>-183.84</v>
      </c>
      <c r="H5907" s="1">
        <v>8.0</v>
      </c>
      <c r="I5907" s="1" t="s">
        <v>34</v>
      </c>
      <c r="J5907" s="1" t="s">
        <v>35</v>
      </c>
      <c r="K5907" s="1">
        <f t="shared" si="1"/>
        <v>2021</v>
      </c>
      <c r="L5907" s="1" t="str">
        <f t="shared" si="2"/>
        <v>Nov</v>
      </c>
      <c r="M5907" s="1" t="str">
        <f t="shared" si="3"/>
        <v>Loss</v>
      </c>
    </row>
    <row r="5908" ht="14.25" customHeight="1">
      <c r="A5908" s="1" t="s">
        <v>5942</v>
      </c>
      <c r="B5908" s="2">
        <v>45040.0</v>
      </c>
      <c r="C5908" s="1" t="s">
        <v>20</v>
      </c>
      <c r="D5908" s="1" t="s">
        <v>21</v>
      </c>
      <c r="E5908" s="1" t="s">
        <v>37</v>
      </c>
      <c r="F5908" s="1">
        <v>418.61</v>
      </c>
      <c r="G5908" s="1">
        <v>250.27</v>
      </c>
      <c r="H5908" s="1">
        <v>1.0</v>
      </c>
      <c r="I5908" s="1" t="s">
        <v>34</v>
      </c>
      <c r="J5908" s="1" t="s">
        <v>24</v>
      </c>
      <c r="K5908" s="1">
        <f t="shared" si="1"/>
        <v>2023</v>
      </c>
      <c r="L5908" s="1" t="str">
        <f t="shared" si="2"/>
        <v>Apr</v>
      </c>
      <c r="M5908" s="1" t="str">
        <f t="shared" si="3"/>
        <v>Profit</v>
      </c>
    </row>
    <row r="5909" ht="14.25" customHeight="1">
      <c r="A5909" s="1" t="s">
        <v>5943</v>
      </c>
      <c r="B5909" s="2">
        <v>44785.0</v>
      </c>
      <c r="C5909" s="1" t="s">
        <v>26</v>
      </c>
      <c r="D5909" s="1" t="s">
        <v>27</v>
      </c>
      <c r="E5909" s="1" t="s">
        <v>33</v>
      </c>
      <c r="F5909" s="1">
        <v>271.63</v>
      </c>
      <c r="G5909" s="1">
        <v>237.97</v>
      </c>
      <c r="H5909" s="1">
        <v>6.0</v>
      </c>
      <c r="I5909" s="1" t="s">
        <v>23</v>
      </c>
      <c r="J5909" s="1" t="s">
        <v>24</v>
      </c>
      <c r="K5909" s="1">
        <f t="shared" si="1"/>
        <v>2022</v>
      </c>
      <c r="L5909" s="1" t="str">
        <f t="shared" si="2"/>
        <v>Aug</v>
      </c>
      <c r="M5909" s="1" t="str">
        <f t="shared" si="3"/>
        <v>Profit</v>
      </c>
    </row>
    <row r="5910" ht="14.25" customHeight="1">
      <c r="A5910" s="1" t="s">
        <v>5944</v>
      </c>
      <c r="B5910" s="2">
        <v>44257.0</v>
      </c>
      <c r="C5910" s="1" t="s">
        <v>26</v>
      </c>
      <c r="D5910" s="1" t="s">
        <v>15</v>
      </c>
      <c r="E5910" s="1" t="s">
        <v>31</v>
      </c>
      <c r="F5910" s="1">
        <v>21.38</v>
      </c>
      <c r="G5910" s="1">
        <v>-45.54</v>
      </c>
      <c r="H5910" s="1">
        <v>9.0</v>
      </c>
      <c r="I5910" s="1" t="s">
        <v>34</v>
      </c>
      <c r="J5910" s="1" t="s">
        <v>38</v>
      </c>
      <c r="K5910" s="1">
        <f t="shared" si="1"/>
        <v>2021</v>
      </c>
      <c r="L5910" s="1" t="str">
        <f t="shared" si="2"/>
        <v>Mar</v>
      </c>
      <c r="M5910" s="1" t="str">
        <f t="shared" si="3"/>
        <v>Loss</v>
      </c>
    </row>
    <row r="5911" ht="14.25" customHeight="1">
      <c r="A5911" s="1" t="s">
        <v>5945</v>
      </c>
      <c r="B5911" s="2">
        <v>44486.0</v>
      </c>
      <c r="C5911" s="1" t="s">
        <v>26</v>
      </c>
      <c r="D5911" s="1" t="s">
        <v>27</v>
      </c>
      <c r="E5911" s="1" t="s">
        <v>40</v>
      </c>
      <c r="F5911" s="1">
        <v>711.01</v>
      </c>
      <c r="G5911" s="1">
        <v>-134.35</v>
      </c>
      <c r="H5911" s="1">
        <v>5.0</v>
      </c>
      <c r="I5911" s="1" t="s">
        <v>23</v>
      </c>
      <c r="J5911" s="1" t="s">
        <v>24</v>
      </c>
      <c r="K5911" s="1">
        <f t="shared" si="1"/>
        <v>2021</v>
      </c>
      <c r="L5911" s="1" t="str">
        <f t="shared" si="2"/>
        <v>Oct</v>
      </c>
      <c r="M5911" s="1" t="str">
        <f t="shared" si="3"/>
        <v>Loss</v>
      </c>
    </row>
    <row r="5912" ht="14.25" customHeight="1">
      <c r="A5912" s="1" t="s">
        <v>5946</v>
      </c>
      <c r="B5912" s="2">
        <v>45236.0</v>
      </c>
      <c r="C5912" s="1" t="s">
        <v>30</v>
      </c>
      <c r="D5912" s="1" t="s">
        <v>27</v>
      </c>
      <c r="E5912" s="1" t="s">
        <v>28</v>
      </c>
      <c r="F5912" s="1">
        <v>679.12</v>
      </c>
      <c r="G5912" s="1">
        <v>-56.94</v>
      </c>
      <c r="H5912" s="1">
        <v>1.0</v>
      </c>
      <c r="I5912" s="1" t="s">
        <v>23</v>
      </c>
      <c r="J5912" s="1" t="s">
        <v>35</v>
      </c>
      <c r="K5912" s="1">
        <f t="shared" si="1"/>
        <v>2023</v>
      </c>
      <c r="L5912" s="1" t="str">
        <f t="shared" si="2"/>
        <v>Nov</v>
      </c>
      <c r="M5912" s="1" t="str">
        <f t="shared" si="3"/>
        <v>Loss</v>
      </c>
    </row>
    <row r="5913" ht="14.25" customHeight="1">
      <c r="A5913" s="1" t="s">
        <v>5947</v>
      </c>
      <c r="B5913" s="2">
        <v>45021.0</v>
      </c>
      <c r="C5913" s="1" t="s">
        <v>26</v>
      </c>
      <c r="D5913" s="1" t="s">
        <v>27</v>
      </c>
      <c r="E5913" s="1" t="s">
        <v>28</v>
      </c>
      <c r="F5913" s="1">
        <v>558.85</v>
      </c>
      <c r="G5913" s="1">
        <v>-39.05</v>
      </c>
      <c r="H5913" s="1">
        <v>9.0</v>
      </c>
      <c r="I5913" s="1" t="s">
        <v>17</v>
      </c>
      <c r="J5913" s="1" t="s">
        <v>38</v>
      </c>
      <c r="K5913" s="1">
        <f t="shared" si="1"/>
        <v>2023</v>
      </c>
      <c r="L5913" s="1" t="str">
        <f t="shared" si="2"/>
        <v>Apr</v>
      </c>
      <c r="M5913" s="1" t="str">
        <f t="shared" si="3"/>
        <v>Loss</v>
      </c>
    </row>
    <row r="5914" ht="14.25" customHeight="1">
      <c r="A5914" s="1" t="s">
        <v>5948</v>
      </c>
      <c r="B5914" s="2">
        <v>45288.0</v>
      </c>
      <c r="C5914" s="1" t="s">
        <v>26</v>
      </c>
      <c r="D5914" s="1" t="s">
        <v>21</v>
      </c>
      <c r="E5914" s="1" t="s">
        <v>37</v>
      </c>
      <c r="F5914" s="1">
        <v>189.71</v>
      </c>
      <c r="G5914" s="1">
        <v>-168.56</v>
      </c>
      <c r="H5914" s="1">
        <v>8.0</v>
      </c>
      <c r="I5914" s="1" t="s">
        <v>34</v>
      </c>
      <c r="J5914" s="1" t="s">
        <v>18</v>
      </c>
      <c r="K5914" s="1">
        <f t="shared" si="1"/>
        <v>2023</v>
      </c>
      <c r="L5914" s="1" t="str">
        <f t="shared" si="2"/>
        <v>Dec</v>
      </c>
      <c r="M5914" s="1" t="str">
        <f t="shared" si="3"/>
        <v>Loss</v>
      </c>
    </row>
    <row r="5915" ht="14.25" customHeight="1">
      <c r="A5915" s="1" t="s">
        <v>5949</v>
      </c>
      <c r="B5915" s="2">
        <v>45252.0</v>
      </c>
      <c r="C5915" s="1" t="s">
        <v>26</v>
      </c>
      <c r="D5915" s="1" t="s">
        <v>27</v>
      </c>
      <c r="E5915" s="1" t="s">
        <v>33</v>
      </c>
      <c r="F5915" s="1">
        <v>676.87</v>
      </c>
      <c r="G5915" s="1">
        <v>151.55</v>
      </c>
      <c r="H5915" s="1">
        <v>4.0</v>
      </c>
      <c r="I5915" s="1" t="s">
        <v>17</v>
      </c>
      <c r="J5915" s="1" t="s">
        <v>38</v>
      </c>
      <c r="K5915" s="1">
        <f t="shared" si="1"/>
        <v>2023</v>
      </c>
      <c r="L5915" s="1" t="str">
        <f t="shared" si="2"/>
        <v>Nov</v>
      </c>
      <c r="M5915" s="1" t="str">
        <f t="shared" si="3"/>
        <v>Profit</v>
      </c>
    </row>
    <row r="5916" ht="14.25" customHeight="1">
      <c r="A5916" s="1" t="s">
        <v>5950</v>
      </c>
      <c r="B5916" s="2">
        <v>44209.0</v>
      </c>
      <c r="C5916" s="1" t="s">
        <v>14</v>
      </c>
      <c r="D5916" s="1" t="s">
        <v>27</v>
      </c>
      <c r="E5916" s="1" t="s">
        <v>33</v>
      </c>
      <c r="F5916" s="1">
        <v>862.38</v>
      </c>
      <c r="G5916" s="1">
        <v>224.12</v>
      </c>
      <c r="H5916" s="1">
        <v>1.0</v>
      </c>
      <c r="I5916" s="1" t="s">
        <v>34</v>
      </c>
      <c r="J5916" s="1" t="s">
        <v>35</v>
      </c>
      <c r="K5916" s="1">
        <f t="shared" si="1"/>
        <v>2021</v>
      </c>
      <c r="L5916" s="1" t="str">
        <f t="shared" si="2"/>
        <v>Jan</v>
      </c>
      <c r="M5916" s="1" t="str">
        <f t="shared" si="3"/>
        <v>Profit</v>
      </c>
    </row>
    <row r="5917" ht="14.25" customHeight="1">
      <c r="A5917" s="1" t="s">
        <v>5951</v>
      </c>
      <c r="B5917" s="2">
        <v>44611.0</v>
      </c>
      <c r="C5917" s="1" t="s">
        <v>20</v>
      </c>
      <c r="D5917" s="1" t="s">
        <v>27</v>
      </c>
      <c r="E5917" s="1" t="s">
        <v>33</v>
      </c>
      <c r="F5917" s="1">
        <v>601.81</v>
      </c>
      <c r="G5917" s="1">
        <v>158.04</v>
      </c>
      <c r="H5917" s="1">
        <v>10.0</v>
      </c>
      <c r="I5917" s="1" t="s">
        <v>34</v>
      </c>
      <c r="J5917" s="1" t="s">
        <v>18</v>
      </c>
      <c r="K5917" s="1">
        <f t="shared" si="1"/>
        <v>2022</v>
      </c>
      <c r="L5917" s="1" t="str">
        <f t="shared" si="2"/>
        <v>Feb</v>
      </c>
      <c r="M5917" s="1" t="str">
        <f t="shared" si="3"/>
        <v>Profit</v>
      </c>
    </row>
    <row r="5918" ht="14.25" customHeight="1">
      <c r="A5918" s="1" t="s">
        <v>5952</v>
      </c>
      <c r="B5918" s="2">
        <v>44954.0</v>
      </c>
      <c r="C5918" s="1" t="s">
        <v>26</v>
      </c>
      <c r="D5918" s="1" t="s">
        <v>15</v>
      </c>
      <c r="E5918" s="1" t="s">
        <v>31</v>
      </c>
      <c r="F5918" s="1">
        <v>977.01</v>
      </c>
      <c r="G5918" s="1">
        <v>28.72</v>
      </c>
      <c r="H5918" s="1">
        <v>10.0</v>
      </c>
      <c r="I5918" s="1" t="s">
        <v>34</v>
      </c>
      <c r="J5918" s="1" t="s">
        <v>38</v>
      </c>
      <c r="K5918" s="1">
        <f t="shared" si="1"/>
        <v>2023</v>
      </c>
      <c r="L5918" s="1" t="str">
        <f t="shared" si="2"/>
        <v>Jan</v>
      </c>
      <c r="M5918" s="1" t="str">
        <f t="shared" si="3"/>
        <v>Profit</v>
      </c>
    </row>
    <row r="5919" ht="14.25" customHeight="1">
      <c r="A5919" s="1" t="s">
        <v>5953</v>
      </c>
      <c r="B5919" s="2">
        <v>44725.0</v>
      </c>
      <c r="C5919" s="1" t="s">
        <v>26</v>
      </c>
      <c r="D5919" s="1" t="s">
        <v>21</v>
      </c>
      <c r="E5919" s="1" t="s">
        <v>37</v>
      </c>
      <c r="F5919" s="1">
        <v>515.0</v>
      </c>
      <c r="G5919" s="1">
        <v>112.41</v>
      </c>
      <c r="H5919" s="1">
        <v>7.0</v>
      </c>
      <c r="I5919" s="1" t="s">
        <v>17</v>
      </c>
      <c r="J5919" s="1" t="s">
        <v>18</v>
      </c>
      <c r="K5919" s="1">
        <f t="shared" si="1"/>
        <v>2022</v>
      </c>
      <c r="L5919" s="1" t="str">
        <f t="shared" si="2"/>
        <v>Jun</v>
      </c>
      <c r="M5919" s="1" t="str">
        <f t="shared" si="3"/>
        <v>Profit</v>
      </c>
    </row>
    <row r="5920" ht="14.25" customHeight="1">
      <c r="A5920" s="1" t="s">
        <v>5954</v>
      </c>
      <c r="B5920" s="2">
        <v>45179.0</v>
      </c>
      <c r="C5920" s="1" t="s">
        <v>26</v>
      </c>
      <c r="D5920" s="1" t="s">
        <v>21</v>
      </c>
      <c r="E5920" s="1" t="s">
        <v>22</v>
      </c>
      <c r="F5920" s="1">
        <v>705.65</v>
      </c>
      <c r="G5920" s="1">
        <v>265.65</v>
      </c>
      <c r="H5920" s="1">
        <v>8.0</v>
      </c>
      <c r="I5920" s="1" t="s">
        <v>34</v>
      </c>
      <c r="J5920" s="1" t="s">
        <v>24</v>
      </c>
      <c r="K5920" s="1">
        <f t="shared" si="1"/>
        <v>2023</v>
      </c>
      <c r="L5920" s="1" t="str">
        <f t="shared" si="2"/>
        <v>Sep</v>
      </c>
      <c r="M5920" s="1" t="str">
        <f t="shared" si="3"/>
        <v>Profit</v>
      </c>
    </row>
    <row r="5921" ht="14.25" customHeight="1">
      <c r="A5921" s="1" t="s">
        <v>5955</v>
      </c>
      <c r="B5921" s="2">
        <v>45164.0</v>
      </c>
      <c r="C5921" s="1" t="s">
        <v>20</v>
      </c>
      <c r="D5921" s="1" t="s">
        <v>15</v>
      </c>
      <c r="E5921" s="1" t="s">
        <v>31</v>
      </c>
      <c r="F5921" s="1">
        <v>646.37</v>
      </c>
      <c r="G5921" s="1">
        <v>-185.17</v>
      </c>
      <c r="H5921" s="1">
        <v>6.0</v>
      </c>
      <c r="I5921" s="1" t="s">
        <v>17</v>
      </c>
      <c r="J5921" s="1" t="s">
        <v>24</v>
      </c>
      <c r="K5921" s="1">
        <f t="shared" si="1"/>
        <v>2023</v>
      </c>
      <c r="L5921" s="1" t="str">
        <f t="shared" si="2"/>
        <v>Aug</v>
      </c>
      <c r="M5921" s="1" t="str">
        <f t="shared" si="3"/>
        <v>Loss</v>
      </c>
    </row>
    <row r="5922" ht="14.25" customHeight="1">
      <c r="A5922" s="1" t="s">
        <v>5956</v>
      </c>
      <c r="B5922" s="2">
        <v>44263.0</v>
      </c>
      <c r="C5922" s="1" t="s">
        <v>26</v>
      </c>
      <c r="D5922" s="1" t="s">
        <v>15</v>
      </c>
      <c r="E5922" s="1" t="s">
        <v>16</v>
      </c>
      <c r="F5922" s="1">
        <v>813.84</v>
      </c>
      <c r="G5922" s="1">
        <v>205.2</v>
      </c>
      <c r="H5922" s="1">
        <v>8.0</v>
      </c>
      <c r="I5922" s="1" t="s">
        <v>17</v>
      </c>
      <c r="J5922" s="1" t="s">
        <v>24</v>
      </c>
      <c r="K5922" s="1">
        <f t="shared" si="1"/>
        <v>2021</v>
      </c>
      <c r="L5922" s="1" t="str">
        <f t="shared" si="2"/>
        <v>Mar</v>
      </c>
      <c r="M5922" s="1" t="str">
        <f t="shared" si="3"/>
        <v>Profit</v>
      </c>
    </row>
    <row r="5923" ht="14.25" customHeight="1">
      <c r="A5923" s="1" t="s">
        <v>5957</v>
      </c>
      <c r="B5923" s="2">
        <v>44304.0</v>
      </c>
      <c r="C5923" s="1" t="s">
        <v>20</v>
      </c>
      <c r="D5923" s="1" t="s">
        <v>21</v>
      </c>
      <c r="E5923" s="1" t="s">
        <v>76</v>
      </c>
      <c r="F5923" s="1">
        <v>744.2</v>
      </c>
      <c r="G5923" s="1">
        <v>247.99</v>
      </c>
      <c r="H5923" s="1">
        <v>3.0</v>
      </c>
      <c r="I5923" s="1" t="s">
        <v>34</v>
      </c>
      <c r="J5923" s="1" t="s">
        <v>38</v>
      </c>
      <c r="K5923" s="1">
        <f t="shared" si="1"/>
        <v>2021</v>
      </c>
      <c r="L5923" s="1" t="str">
        <f t="shared" si="2"/>
        <v>Apr</v>
      </c>
      <c r="M5923" s="1" t="str">
        <f t="shared" si="3"/>
        <v>Profit</v>
      </c>
    </row>
    <row r="5924" ht="14.25" customHeight="1">
      <c r="A5924" s="1" t="s">
        <v>5958</v>
      </c>
      <c r="B5924" s="2">
        <v>44959.0</v>
      </c>
      <c r="C5924" s="1" t="s">
        <v>30</v>
      </c>
      <c r="D5924" s="1" t="s">
        <v>27</v>
      </c>
      <c r="E5924" s="1" t="s">
        <v>28</v>
      </c>
      <c r="F5924" s="1">
        <v>397.8</v>
      </c>
      <c r="G5924" s="1">
        <v>251.47</v>
      </c>
      <c r="H5924" s="1">
        <v>4.0</v>
      </c>
      <c r="I5924" s="1" t="s">
        <v>17</v>
      </c>
      <c r="J5924" s="1" t="s">
        <v>35</v>
      </c>
      <c r="K5924" s="1">
        <f t="shared" si="1"/>
        <v>2023</v>
      </c>
      <c r="L5924" s="1" t="str">
        <f t="shared" si="2"/>
        <v>Feb</v>
      </c>
      <c r="M5924" s="1" t="str">
        <f t="shared" si="3"/>
        <v>Profit</v>
      </c>
    </row>
    <row r="5925" ht="14.25" customHeight="1">
      <c r="A5925" s="1" t="s">
        <v>5959</v>
      </c>
      <c r="B5925" s="2">
        <v>44649.0</v>
      </c>
      <c r="C5925" s="1" t="s">
        <v>14</v>
      </c>
      <c r="D5925" s="1" t="s">
        <v>21</v>
      </c>
      <c r="E5925" s="1" t="s">
        <v>76</v>
      </c>
      <c r="F5925" s="1">
        <v>269.69</v>
      </c>
      <c r="G5925" s="1">
        <v>-31.64</v>
      </c>
      <c r="H5925" s="1">
        <v>2.0</v>
      </c>
      <c r="I5925" s="1" t="s">
        <v>34</v>
      </c>
      <c r="J5925" s="1" t="s">
        <v>18</v>
      </c>
      <c r="K5925" s="1">
        <f t="shared" si="1"/>
        <v>2022</v>
      </c>
      <c r="L5925" s="1" t="str">
        <f t="shared" si="2"/>
        <v>Mar</v>
      </c>
      <c r="M5925" s="1" t="str">
        <f t="shared" si="3"/>
        <v>Loss</v>
      </c>
    </row>
    <row r="5926" ht="14.25" customHeight="1">
      <c r="A5926" s="1" t="s">
        <v>5960</v>
      </c>
      <c r="B5926" s="2">
        <v>44537.0</v>
      </c>
      <c r="C5926" s="1" t="s">
        <v>30</v>
      </c>
      <c r="D5926" s="1" t="s">
        <v>15</v>
      </c>
      <c r="E5926" s="1" t="s">
        <v>54</v>
      </c>
      <c r="F5926" s="1">
        <v>562.56</v>
      </c>
      <c r="G5926" s="1">
        <v>242.49</v>
      </c>
      <c r="H5926" s="1">
        <v>3.0</v>
      </c>
      <c r="I5926" s="1" t="s">
        <v>34</v>
      </c>
      <c r="J5926" s="1" t="s">
        <v>24</v>
      </c>
      <c r="K5926" s="1">
        <f t="shared" si="1"/>
        <v>2021</v>
      </c>
      <c r="L5926" s="1" t="str">
        <f t="shared" si="2"/>
        <v>Dec</v>
      </c>
      <c r="M5926" s="1" t="str">
        <f t="shared" si="3"/>
        <v>Profit</v>
      </c>
    </row>
    <row r="5927" ht="14.25" customHeight="1">
      <c r="A5927" s="1" t="s">
        <v>5961</v>
      </c>
      <c r="B5927" s="2">
        <v>44334.0</v>
      </c>
      <c r="C5927" s="1" t="s">
        <v>20</v>
      </c>
      <c r="D5927" s="1" t="s">
        <v>15</v>
      </c>
      <c r="E5927" s="1" t="s">
        <v>54</v>
      </c>
      <c r="F5927" s="1">
        <v>66.96</v>
      </c>
      <c r="G5927" s="1">
        <v>-189.79</v>
      </c>
      <c r="H5927" s="1">
        <v>7.0</v>
      </c>
      <c r="I5927" s="1" t="s">
        <v>17</v>
      </c>
      <c r="J5927" s="1" t="s">
        <v>38</v>
      </c>
      <c r="K5927" s="1">
        <f t="shared" si="1"/>
        <v>2021</v>
      </c>
      <c r="L5927" s="1" t="str">
        <f t="shared" si="2"/>
        <v>May</v>
      </c>
      <c r="M5927" s="1" t="str">
        <f t="shared" si="3"/>
        <v>Loss</v>
      </c>
    </row>
    <row r="5928" ht="14.25" customHeight="1">
      <c r="A5928" s="1" t="s">
        <v>5962</v>
      </c>
      <c r="B5928" s="2">
        <v>44524.0</v>
      </c>
      <c r="C5928" s="1" t="s">
        <v>26</v>
      </c>
      <c r="D5928" s="1" t="s">
        <v>15</v>
      </c>
      <c r="E5928" s="1" t="s">
        <v>16</v>
      </c>
      <c r="F5928" s="1">
        <v>46.49</v>
      </c>
      <c r="G5928" s="1">
        <v>29.7</v>
      </c>
      <c r="H5928" s="1">
        <v>5.0</v>
      </c>
      <c r="I5928" s="1" t="s">
        <v>34</v>
      </c>
      <c r="J5928" s="1" t="s">
        <v>38</v>
      </c>
      <c r="K5928" s="1">
        <f t="shared" si="1"/>
        <v>2021</v>
      </c>
      <c r="L5928" s="1" t="str">
        <f t="shared" si="2"/>
        <v>Nov</v>
      </c>
      <c r="M5928" s="1" t="str">
        <f t="shared" si="3"/>
        <v>Profit</v>
      </c>
    </row>
    <row r="5929" ht="14.25" customHeight="1">
      <c r="A5929" s="1" t="s">
        <v>5963</v>
      </c>
      <c r="B5929" s="2">
        <v>45071.0</v>
      </c>
      <c r="C5929" s="1" t="s">
        <v>26</v>
      </c>
      <c r="D5929" s="1" t="s">
        <v>27</v>
      </c>
      <c r="E5929" s="1" t="s">
        <v>33</v>
      </c>
      <c r="F5929" s="1">
        <v>646.75</v>
      </c>
      <c r="G5929" s="1">
        <v>174.28</v>
      </c>
      <c r="H5929" s="1">
        <v>5.0</v>
      </c>
      <c r="I5929" s="1" t="s">
        <v>34</v>
      </c>
      <c r="J5929" s="1" t="s">
        <v>38</v>
      </c>
      <c r="K5929" s="1">
        <f t="shared" si="1"/>
        <v>2023</v>
      </c>
      <c r="L5929" s="1" t="str">
        <f t="shared" si="2"/>
        <v>May</v>
      </c>
      <c r="M5929" s="1" t="str">
        <f t="shared" si="3"/>
        <v>Profit</v>
      </c>
    </row>
    <row r="5930" ht="14.25" customHeight="1">
      <c r="A5930" s="1" t="s">
        <v>5964</v>
      </c>
      <c r="B5930" s="2">
        <v>44721.0</v>
      </c>
      <c r="C5930" s="1" t="s">
        <v>26</v>
      </c>
      <c r="D5930" s="1" t="s">
        <v>27</v>
      </c>
      <c r="E5930" s="1" t="s">
        <v>28</v>
      </c>
      <c r="F5930" s="1">
        <v>404.49</v>
      </c>
      <c r="G5930" s="1">
        <v>92.83</v>
      </c>
      <c r="H5930" s="1">
        <v>10.0</v>
      </c>
      <c r="I5930" s="1" t="s">
        <v>17</v>
      </c>
      <c r="J5930" s="1" t="s">
        <v>35</v>
      </c>
      <c r="K5930" s="1">
        <f t="shared" si="1"/>
        <v>2022</v>
      </c>
      <c r="L5930" s="1" t="str">
        <f t="shared" si="2"/>
        <v>Jun</v>
      </c>
      <c r="M5930" s="1" t="str">
        <f t="shared" si="3"/>
        <v>Profit</v>
      </c>
    </row>
    <row r="5931" ht="14.25" customHeight="1">
      <c r="A5931" s="1" t="s">
        <v>5965</v>
      </c>
      <c r="B5931" s="2">
        <v>44670.0</v>
      </c>
      <c r="C5931" s="1" t="s">
        <v>30</v>
      </c>
      <c r="D5931" s="1" t="s">
        <v>21</v>
      </c>
      <c r="E5931" s="1" t="s">
        <v>22</v>
      </c>
      <c r="F5931" s="1">
        <v>974.66</v>
      </c>
      <c r="G5931" s="1">
        <v>-13.67</v>
      </c>
      <c r="H5931" s="1">
        <v>1.0</v>
      </c>
      <c r="I5931" s="1" t="s">
        <v>34</v>
      </c>
      <c r="J5931" s="1" t="s">
        <v>24</v>
      </c>
      <c r="K5931" s="1">
        <f t="shared" si="1"/>
        <v>2022</v>
      </c>
      <c r="L5931" s="1" t="str">
        <f t="shared" si="2"/>
        <v>Apr</v>
      </c>
      <c r="M5931" s="1" t="str">
        <f t="shared" si="3"/>
        <v>Loss</v>
      </c>
    </row>
    <row r="5932" ht="14.25" customHeight="1">
      <c r="A5932" s="1" t="s">
        <v>5966</v>
      </c>
      <c r="B5932" s="2">
        <v>44723.0</v>
      </c>
      <c r="C5932" s="1" t="s">
        <v>30</v>
      </c>
      <c r="D5932" s="1" t="s">
        <v>21</v>
      </c>
      <c r="E5932" s="1" t="s">
        <v>22</v>
      </c>
      <c r="F5932" s="1">
        <v>349.09</v>
      </c>
      <c r="G5932" s="1">
        <v>103.54</v>
      </c>
      <c r="H5932" s="1">
        <v>7.0</v>
      </c>
      <c r="I5932" s="1" t="s">
        <v>23</v>
      </c>
      <c r="J5932" s="1" t="s">
        <v>18</v>
      </c>
      <c r="K5932" s="1">
        <f t="shared" si="1"/>
        <v>2022</v>
      </c>
      <c r="L5932" s="1" t="str">
        <f t="shared" si="2"/>
        <v>Jun</v>
      </c>
      <c r="M5932" s="1" t="str">
        <f t="shared" si="3"/>
        <v>Profit</v>
      </c>
    </row>
    <row r="5933" ht="14.25" customHeight="1">
      <c r="A5933" s="1" t="s">
        <v>5967</v>
      </c>
      <c r="B5933" s="2">
        <v>44626.0</v>
      </c>
      <c r="C5933" s="1" t="s">
        <v>30</v>
      </c>
      <c r="D5933" s="1" t="s">
        <v>27</v>
      </c>
      <c r="E5933" s="1" t="s">
        <v>28</v>
      </c>
      <c r="F5933" s="1">
        <v>137.69</v>
      </c>
      <c r="G5933" s="1">
        <v>-27.99</v>
      </c>
      <c r="H5933" s="1">
        <v>8.0</v>
      </c>
      <c r="I5933" s="1" t="s">
        <v>17</v>
      </c>
      <c r="J5933" s="1" t="s">
        <v>35</v>
      </c>
      <c r="K5933" s="1">
        <f t="shared" si="1"/>
        <v>2022</v>
      </c>
      <c r="L5933" s="1" t="str">
        <f t="shared" si="2"/>
        <v>Mar</v>
      </c>
      <c r="M5933" s="1" t="str">
        <f t="shared" si="3"/>
        <v>Loss</v>
      </c>
    </row>
    <row r="5934" ht="14.25" customHeight="1">
      <c r="A5934" s="1" t="s">
        <v>5968</v>
      </c>
      <c r="B5934" s="2">
        <v>44823.0</v>
      </c>
      <c r="C5934" s="1" t="s">
        <v>26</v>
      </c>
      <c r="D5934" s="1" t="s">
        <v>27</v>
      </c>
      <c r="E5934" s="1" t="s">
        <v>33</v>
      </c>
      <c r="F5934" s="1">
        <v>951.2</v>
      </c>
      <c r="G5934" s="1">
        <v>142.84</v>
      </c>
      <c r="H5934" s="1">
        <v>8.0</v>
      </c>
      <c r="I5934" s="1" t="s">
        <v>34</v>
      </c>
      <c r="J5934" s="1" t="s">
        <v>35</v>
      </c>
      <c r="K5934" s="1">
        <f t="shared" si="1"/>
        <v>2022</v>
      </c>
      <c r="L5934" s="1" t="str">
        <f t="shared" si="2"/>
        <v>Sep</v>
      </c>
      <c r="M5934" s="1" t="str">
        <f t="shared" si="3"/>
        <v>Profit</v>
      </c>
    </row>
    <row r="5935" ht="14.25" customHeight="1">
      <c r="A5935" s="1" t="s">
        <v>5969</v>
      </c>
      <c r="B5935" s="2">
        <v>44791.0</v>
      </c>
      <c r="C5935" s="1" t="s">
        <v>20</v>
      </c>
      <c r="D5935" s="1" t="s">
        <v>15</v>
      </c>
      <c r="E5935" s="1" t="s">
        <v>16</v>
      </c>
      <c r="F5935" s="1">
        <v>564.67</v>
      </c>
      <c r="G5935" s="1">
        <v>-51.37</v>
      </c>
      <c r="H5935" s="1">
        <v>6.0</v>
      </c>
      <c r="I5935" s="1" t="s">
        <v>23</v>
      </c>
      <c r="J5935" s="1" t="s">
        <v>38</v>
      </c>
      <c r="K5935" s="1">
        <f t="shared" si="1"/>
        <v>2022</v>
      </c>
      <c r="L5935" s="1" t="str">
        <f t="shared" si="2"/>
        <v>Aug</v>
      </c>
      <c r="M5935" s="1" t="str">
        <f t="shared" si="3"/>
        <v>Loss</v>
      </c>
    </row>
    <row r="5936" ht="14.25" customHeight="1">
      <c r="A5936" s="1" t="s">
        <v>5970</v>
      </c>
      <c r="B5936" s="2">
        <v>44773.0</v>
      </c>
      <c r="C5936" s="1" t="s">
        <v>20</v>
      </c>
      <c r="D5936" s="1" t="s">
        <v>21</v>
      </c>
      <c r="E5936" s="1" t="s">
        <v>76</v>
      </c>
      <c r="F5936" s="1">
        <v>937.25</v>
      </c>
      <c r="G5936" s="1">
        <v>20.49</v>
      </c>
      <c r="H5936" s="1">
        <v>1.0</v>
      </c>
      <c r="I5936" s="1" t="s">
        <v>23</v>
      </c>
      <c r="J5936" s="1" t="s">
        <v>24</v>
      </c>
      <c r="K5936" s="1">
        <f t="shared" si="1"/>
        <v>2022</v>
      </c>
      <c r="L5936" s="1" t="str">
        <f t="shared" si="2"/>
        <v>Jul</v>
      </c>
      <c r="M5936" s="1" t="str">
        <f t="shared" si="3"/>
        <v>Profit</v>
      </c>
    </row>
    <row r="5937" ht="14.25" customHeight="1">
      <c r="A5937" s="1" t="s">
        <v>5971</v>
      </c>
      <c r="B5937" s="2">
        <v>44737.0</v>
      </c>
      <c r="C5937" s="1" t="s">
        <v>30</v>
      </c>
      <c r="D5937" s="1" t="s">
        <v>27</v>
      </c>
      <c r="E5937" s="1" t="s">
        <v>40</v>
      </c>
      <c r="F5937" s="1">
        <v>998.49</v>
      </c>
      <c r="G5937" s="1">
        <v>84.45</v>
      </c>
      <c r="H5937" s="1">
        <v>8.0</v>
      </c>
      <c r="I5937" s="1" t="s">
        <v>17</v>
      </c>
      <c r="J5937" s="1" t="s">
        <v>24</v>
      </c>
      <c r="K5937" s="1">
        <f t="shared" si="1"/>
        <v>2022</v>
      </c>
      <c r="L5937" s="1" t="str">
        <f t="shared" si="2"/>
        <v>Jun</v>
      </c>
      <c r="M5937" s="1" t="str">
        <f t="shared" si="3"/>
        <v>Profit</v>
      </c>
    </row>
    <row r="5938" ht="14.25" customHeight="1">
      <c r="A5938" s="1" t="s">
        <v>5972</v>
      </c>
      <c r="B5938" s="2">
        <v>44239.0</v>
      </c>
      <c r="C5938" s="1" t="s">
        <v>26</v>
      </c>
      <c r="D5938" s="1" t="s">
        <v>21</v>
      </c>
      <c r="E5938" s="1" t="s">
        <v>22</v>
      </c>
      <c r="F5938" s="1">
        <v>469.41</v>
      </c>
      <c r="G5938" s="1">
        <v>207.35</v>
      </c>
      <c r="H5938" s="1">
        <v>3.0</v>
      </c>
      <c r="I5938" s="1" t="s">
        <v>23</v>
      </c>
      <c r="J5938" s="1" t="s">
        <v>18</v>
      </c>
      <c r="K5938" s="1">
        <f t="shared" si="1"/>
        <v>2021</v>
      </c>
      <c r="L5938" s="1" t="str">
        <f t="shared" si="2"/>
        <v>Feb</v>
      </c>
      <c r="M5938" s="1" t="str">
        <f t="shared" si="3"/>
        <v>Profit</v>
      </c>
    </row>
    <row r="5939" ht="14.25" customHeight="1">
      <c r="A5939" s="1" t="s">
        <v>5973</v>
      </c>
      <c r="B5939" s="2">
        <v>45043.0</v>
      </c>
      <c r="C5939" s="1" t="s">
        <v>20</v>
      </c>
      <c r="D5939" s="1" t="s">
        <v>15</v>
      </c>
      <c r="E5939" s="1" t="s">
        <v>16</v>
      </c>
      <c r="F5939" s="1">
        <v>254.54</v>
      </c>
      <c r="G5939" s="1">
        <v>37.55</v>
      </c>
      <c r="H5939" s="1">
        <v>6.0</v>
      </c>
      <c r="I5939" s="1" t="s">
        <v>34</v>
      </c>
      <c r="J5939" s="1" t="s">
        <v>38</v>
      </c>
      <c r="K5939" s="1">
        <f t="shared" si="1"/>
        <v>2023</v>
      </c>
      <c r="L5939" s="1" t="str">
        <f t="shared" si="2"/>
        <v>Apr</v>
      </c>
      <c r="M5939" s="1" t="str">
        <f t="shared" si="3"/>
        <v>Profit</v>
      </c>
    </row>
    <row r="5940" ht="14.25" customHeight="1">
      <c r="A5940" s="1" t="s">
        <v>5974</v>
      </c>
      <c r="B5940" s="2">
        <v>45095.0</v>
      </c>
      <c r="C5940" s="1" t="s">
        <v>30</v>
      </c>
      <c r="D5940" s="1" t="s">
        <v>15</v>
      </c>
      <c r="E5940" s="1" t="s">
        <v>54</v>
      </c>
      <c r="F5940" s="1">
        <v>357.39</v>
      </c>
      <c r="G5940" s="1">
        <v>-152.11</v>
      </c>
      <c r="H5940" s="1">
        <v>6.0</v>
      </c>
      <c r="I5940" s="1" t="s">
        <v>17</v>
      </c>
      <c r="J5940" s="1" t="s">
        <v>35</v>
      </c>
      <c r="K5940" s="1">
        <f t="shared" si="1"/>
        <v>2023</v>
      </c>
      <c r="L5940" s="1" t="str">
        <f t="shared" si="2"/>
        <v>Jun</v>
      </c>
      <c r="M5940" s="1" t="str">
        <f t="shared" si="3"/>
        <v>Loss</v>
      </c>
    </row>
    <row r="5941" ht="14.25" customHeight="1">
      <c r="A5941" s="1" t="s">
        <v>5975</v>
      </c>
      <c r="B5941" s="2">
        <v>44557.0</v>
      </c>
      <c r="C5941" s="1" t="s">
        <v>14</v>
      </c>
      <c r="D5941" s="1" t="s">
        <v>27</v>
      </c>
      <c r="E5941" s="1" t="s">
        <v>28</v>
      </c>
      <c r="F5941" s="1">
        <v>64.62</v>
      </c>
      <c r="G5941" s="1">
        <v>-122.0</v>
      </c>
      <c r="H5941" s="1">
        <v>1.0</v>
      </c>
      <c r="I5941" s="1" t="s">
        <v>23</v>
      </c>
      <c r="J5941" s="1" t="s">
        <v>24</v>
      </c>
      <c r="K5941" s="1">
        <f t="shared" si="1"/>
        <v>2021</v>
      </c>
      <c r="L5941" s="1" t="str">
        <f t="shared" si="2"/>
        <v>Dec</v>
      </c>
      <c r="M5941" s="1" t="str">
        <f t="shared" si="3"/>
        <v>Loss</v>
      </c>
    </row>
    <row r="5942" ht="14.25" customHeight="1">
      <c r="A5942" s="1" t="s">
        <v>5976</v>
      </c>
      <c r="B5942" s="2">
        <v>45265.0</v>
      </c>
      <c r="C5942" s="1" t="s">
        <v>30</v>
      </c>
      <c r="D5942" s="1" t="s">
        <v>27</v>
      </c>
      <c r="E5942" s="1" t="s">
        <v>33</v>
      </c>
      <c r="F5942" s="1">
        <v>494.0</v>
      </c>
      <c r="G5942" s="1">
        <v>-55.66</v>
      </c>
      <c r="H5942" s="1">
        <v>10.0</v>
      </c>
      <c r="I5942" s="1" t="s">
        <v>17</v>
      </c>
      <c r="J5942" s="1" t="s">
        <v>35</v>
      </c>
      <c r="K5942" s="1">
        <f t="shared" si="1"/>
        <v>2023</v>
      </c>
      <c r="L5942" s="1" t="str">
        <f t="shared" si="2"/>
        <v>Dec</v>
      </c>
      <c r="M5942" s="1" t="str">
        <f t="shared" si="3"/>
        <v>Loss</v>
      </c>
    </row>
    <row r="5943" ht="14.25" customHeight="1">
      <c r="A5943" s="1" t="s">
        <v>5977</v>
      </c>
      <c r="B5943" s="2">
        <v>44561.0</v>
      </c>
      <c r="C5943" s="1" t="s">
        <v>26</v>
      </c>
      <c r="D5943" s="1" t="s">
        <v>21</v>
      </c>
      <c r="E5943" s="1" t="s">
        <v>22</v>
      </c>
      <c r="F5943" s="1">
        <v>182.1</v>
      </c>
      <c r="G5943" s="1">
        <v>-171.58</v>
      </c>
      <c r="H5943" s="1">
        <v>5.0</v>
      </c>
      <c r="I5943" s="1" t="s">
        <v>17</v>
      </c>
      <c r="J5943" s="1" t="s">
        <v>24</v>
      </c>
      <c r="K5943" s="1">
        <f t="shared" si="1"/>
        <v>2021</v>
      </c>
      <c r="L5943" s="1" t="str">
        <f t="shared" si="2"/>
        <v>Dec</v>
      </c>
      <c r="M5943" s="1" t="str">
        <f t="shared" si="3"/>
        <v>Loss</v>
      </c>
    </row>
    <row r="5944" ht="14.25" customHeight="1">
      <c r="A5944" s="1" t="s">
        <v>5978</v>
      </c>
      <c r="B5944" s="2">
        <v>44299.0</v>
      </c>
      <c r="C5944" s="1" t="s">
        <v>26</v>
      </c>
      <c r="D5944" s="1" t="s">
        <v>27</v>
      </c>
      <c r="E5944" s="1" t="s">
        <v>40</v>
      </c>
      <c r="F5944" s="1">
        <v>891.65</v>
      </c>
      <c r="G5944" s="1">
        <v>-113.37</v>
      </c>
      <c r="H5944" s="1">
        <v>3.0</v>
      </c>
      <c r="I5944" s="1" t="s">
        <v>17</v>
      </c>
      <c r="J5944" s="1" t="s">
        <v>18</v>
      </c>
      <c r="K5944" s="1">
        <f t="shared" si="1"/>
        <v>2021</v>
      </c>
      <c r="L5944" s="1" t="str">
        <f t="shared" si="2"/>
        <v>Apr</v>
      </c>
      <c r="M5944" s="1" t="str">
        <f t="shared" si="3"/>
        <v>Loss</v>
      </c>
    </row>
    <row r="5945" ht="14.25" customHeight="1">
      <c r="A5945" s="1" t="s">
        <v>5979</v>
      </c>
      <c r="B5945" s="2">
        <v>44269.0</v>
      </c>
      <c r="C5945" s="1" t="s">
        <v>20</v>
      </c>
      <c r="D5945" s="1" t="s">
        <v>27</v>
      </c>
      <c r="E5945" s="1" t="s">
        <v>28</v>
      </c>
      <c r="F5945" s="1">
        <v>825.59</v>
      </c>
      <c r="G5945" s="1">
        <v>68.02</v>
      </c>
      <c r="H5945" s="1">
        <v>4.0</v>
      </c>
      <c r="I5945" s="1" t="s">
        <v>34</v>
      </c>
      <c r="J5945" s="1" t="s">
        <v>38</v>
      </c>
      <c r="K5945" s="1">
        <f t="shared" si="1"/>
        <v>2021</v>
      </c>
      <c r="L5945" s="1" t="str">
        <f t="shared" si="2"/>
        <v>Mar</v>
      </c>
      <c r="M5945" s="1" t="str">
        <f t="shared" si="3"/>
        <v>Profit</v>
      </c>
    </row>
    <row r="5946" ht="14.25" customHeight="1">
      <c r="A5946" s="1" t="s">
        <v>5980</v>
      </c>
      <c r="B5946" s="2">
        <v>44674.0</v>
      </c>
      <c r="C5946" s="1" t="s">
        <v>26</v>
      </c>
      <c r="D5946" s="1" t="s">
        <v>15</v>
      </c>
      <c r="E5946" s="1" t="s">
        <v>54</v>
      </c>
      <c r="F5946" s="1">
        <v>431.35</v>
      </c>
      <c r="G5946" s="1">
        <v>-75.79</v>
      </c>
      <c r="H5946" s="1">
        <v>10.0</v>
      </c>
      <c r="I5946" s="1" t="s">
        <v>34</v>
      </c>
      <c r="J5946" s="1" t="s">
        <v>38</v>
      </c>
      <c r="K5946" s="1">
        <f t="shared" si="1"/>
        <v>2022</v>
      </c>
      <c r="L5946" s="1" t="str">
        <f t="shared" si="2"/>
        <v>Apr</v>
      </c>
      <c r="M5946" s="1" t="str">
        <f t="shared" si="3"/>
        <v>Loss</v>
      </c>
    </row>
    <row r="5947" ht="14.25" customHeight="1">
      <c r="A5947" s="1" t="s">
        <v>5981</v>
      </c>
      <c r="B5947" s="2">
        <v>44828.0</v>
      </c>
      <c r="C5947" s="1" t="s">
        <v>26</v>
      </c>
      <c r="D5947" s="1" t="s">
        <v>21</v>
      </c>
      <c r="E5947" s="1" t="s">
        <v>22</v>
      </c>
      <c r="F5947" s="1">
        <v>125.63</v>
      </c>
      <c r="G5947" s="1">
        <v>101.32</v>
      </c>
      <c r="H5947" s="1">
        <v>3.0</v>
      </c>
      <c r="I5947" s="1" t="s">
        <v>34</v>
      </c>
      <c r="J5947" s="1" t="s">
        <v>38</v>
      </c>
      <c r="K5947" s="1">
        <f t="shared" si="1"/>
        <v>2022</v>
      </c>
      <c r="L5947" s="1" t="str">
        <f t="shared" si="2"/>
        <v>Sep</v>
      </c>
      <c r="M5947" s="1" t="str">
        <f t="shared" si="3"/>
        <v>Profit</v>
      </c>
    </row>
    <row r="5948" ht="14.25" customHeight="1">
      <c r="A5948" s="1" t="s">
        <v>5982</v>
      </c>
      <c r="B5948" s="2">
        <v>44827.0</v>
      </c>
      <c r="C5948" s="1" t="s">
        <v>30</v>
      </c>
      <c r="D5948" s="1" t="s">
        <v>27</v>
      </c>
      <c r="E5948" s="1" t="s">
        <v>28</v>
      </c>
      <c r="F5948" s="1">
        <v>491.92</v>
      </c>
      <c r="G5948" s="1">
        <v>295.06</v>
      </c>
      <c r="H5948" s="1">
        <v>6.0</v>
      </c>
      <c r="I5948" s="1" t="s">
        <v>34</v>
      </c>
      <c r="J5948" s="1" t="s">
        <v>18</v>
      </c>
      <c r="K5948" s="1">
        <f t="shared" si="1"/>
        <v>2022</v>
      </c>
      <c r="L5948" s="1" t="str">
        <f t="shared" si="2"/>
        <v>Sep</v>
      </c>
      <c r="M5948" s="1" t="str">
        <f t="shared" si="3"/>
        <v>Profit</v>
      </c>
    </row>
    <row r="5949" ht="14.25" customHeight="1">
      <c r="A5949" s="1" t="s">
        <v>5983</v>
      </c>
      <c r="B5949" s="2">
        <v>44452.0</v>
      </c>
      <c r="C5949" s="1" t="s">
        <v>20</v>
      </c>
      <c r="D5949" s="1" t="s">
        <v>21</v>
      </c>
      <c r="E5949" s="1" t="s">
        <v>22</v>
      </c>
      <c r="F5949" s="1">
        <v>566.31</v>
      </c>
      <c r="G5949" s="1">
        <v>-48.76</v>
      </c>
      <c r="H5949" s="1">
        <v>6.0</v>
      </c>
      <c r="I5949" s="1" t="s">
        <v>17</v>
      </c>
      <c r="J5949" s="1" t="s">
        <v>38</v>
      </c>
      <c r="K5949" s="1">
        <f t="shared" si="1"/>
        <v>2021</v>
      </c>
      <c r="L5949" s="1" t="str">
        <f t="shared" si="2"/>
        <v>Sep</v>
      </c>
      <c r="M5949" s="1" t="str">
        <f t="shared" si="3"/>
        <v>Loss</v>
      </c>
    </row>
    <row r="5950" ht="14.25" customHeight="1">
      <c r="A5950" s="1" t="s">
        <v>5984</v>
      </c>
      <c r="B5950" s="2">
        <v>44878.0</v>
      </c>
      <c r="C5950" s="1" t="s">
        <v>20</v>
      </c>
      <c r="D5950" s="1" t="s">
        <v>21</v>
      </c>
      <c r="E5950" s="1" t="s">
        <v>37</v>
      </c>
      <c r="F5950" s="1">
        <v>236.78</v>
      </c>
      <c r="G5950" s="1">
        <v>-27.16</v>
      </c>
      <c r="H5950" s="1">
        <v>10.0</v>
      </c>
      <c r="I5950" s="1" t="s">
        <v>23</v>
      </c>
      <c r="J5950" s="1" t="s">
        <v>35</v>
      </c>
      <c r="K5950" s="1">
        <f t="shared" si="1"/>
        <v>2022</v>
      </c>
      <c r="L5950" s="1" t="str">
        <f t="shared" si="2"/>
        <v>Nov</v>
      </c>
      <c r="M5950" s="1" t="str">
        <f t="shared" si="3"/>
        <v>Loss</v>
      </c>
    </row>
    <row r="5951" ht="14.25" customHeight="1">
      <c r="A5951" s="1" t="s">
        <v>5985</v>
      </c>
      <c r="B5951" s="2">
        <v>44464.0</v>
      </c>
      <c r="C5951" s="1" t="s">
        <v>14</v>
      </c>
      <c r="D5951" s="1" t="s">
        <v>27</v>
      </c>
      <c r="E5951" s="1" t="s">
        <v>28</v>
      </c>
      <c r="F5951" s="1">
        <v>954.93</v>
      </c>
      <c r="G5951" s="1">
        <v>37.0</v>
      </c>
      <c r="H5951" s="1">
        <v>1.0</v>
      </c>
      <c r="I5951" s="1" t="s">
        <v>34</v>
      </c>
      <c r="J5951" s="1" t="s">
        <v>35</v>
      </c>
      <c r="K5951" s="1">
        <f t="shared" si="1"/>
        <v>2021</v>
      </c>
      <c r="L5951" s="1" t="str">
        <f t="shared" si="2"/>
        <v>Sep</v>
      </c>
      <c r="M5951" s="1" t="str">
        <f t="shared" si="3"/>
        <v>Profit</v>
      </c>
    </row>
    <row r="5952" ht="14.25" customHeight="1">
      <c r="A5952" s="1" t="s">
        <v>5986</v>
      </c>
      <c r="B5952" s="2">
        <v>44894.0</v>
      </c>
      <c r="C5952" s="1" t="s">
        <v>26</v>
      </c>
      <c r="D5952" s="1" t="s">
        <v>15</v>
      </c>
      <c r="E5952" s="1" t="s">
        <v>54</v>
      </c>
      <c r="F5952" s="1">
        <v>858.49</v>
      </c>
      <c r="G5952" s="1">
        <v>138.09</v>
      </c>
      <c r="H5952" s="1">
        <v>7.0</v>
      </c>
      <c r="I5952" s="1" t="s">
        <v>23</v>
      </c>
      <c r="J5952" s="1" t="s">
        <v>38</v>
      </c>
      <c r="K5952" s="1">
        <f t="shared" si="1"/>
        <v>2022</v>
      </c>
      <c r="L5952" s="1" t="str">
        <f t="shared" si="2"/>
        <v>Nov</v>
      </c>
      <c r="M5952" s="1" t="str">
        <f t="shared" si="3"/>
        <v>Profit</v>
      </c>
    </row>
    <row r="5953" ht="14.25" customHeight="1">
      <c r="A5953" s="1" t="s">
        <v>5987</v>
      </c>
      <c r="B5953" s="2">
        <v>44262.0</v>
      </c>
      <c r="C5953" s="1" t="s">
        <v>14</v>
      </c>
      <c r="D5953" s="1" t="s">
        <v>15</v>
      </c>
      <c r="E5953" s="1" t="s">
        <v>16</v>
      </c>
      <c r="F5953" s="1">
        <v>560.53</v>
      </c>
      <c r="G5953" s="1">
        <v>70.84</v>
      </c>
      <c r="H5953" s="1">
        <v>3.0</v>
      </c>
      <c r="I5953" s="1" t="s">
        <v>23</v>
      </c>
      <c r="J5953" s="1" t="s">
        <v>24</v>
      </c>
      <c r="K5953" s="1">
        <f t="shared" si="1"/>
        <v>2021</v>
      </c>
      <c r="L5953" s="1" t="str">
        <f t="shared" si="2"/>
        <v>Mar</v>
      </c>
      <c r="M5953" s="1" t="str">
        <f t="shared" si="3"/>
        <v>Profit</v>
      </c>
    </row>
    <row r="5954" ht="14.25" customHeight="1">
      <c r="A5954" s="1" t="s">
        <v>5988</v>
      </c>
      <c r="B5954" s="2">
        <v>45016.0</v>
      </c>
      <c r="C5954" s="1" t="s">
        <v>14</v>
      </c>
      <c r="D5954" s="1" t="s">
        <v>21</v>
      </c>
      <c r="E5954" s="1" t="s">
        <v>22</v>
      </c>
      <c r="F5954" s="1">
        <v>799.76</v>
      </c>
      <c r="G5954" s="1">
        <v>-96.29</v>
      </c>
      <c r="H5954" s="1">
        <v>6.0</v>
      </c>
      <c r="I5954" s="1" t="s">
        <v>17</v>
      </c>
      <c r="J5954" s="1" t="s">
        <v>18</v>
      </c>
      <c r="K5954" s="1">
        <f t="shared" si="1"/>
        <v>2023</v>
      </c>
      <c r="L5954" s="1" t="str">
        <f t="shared" si="2"/>
        <v>Mar</v>
      </c>
      <c r="M5954" s="1" t="str">
        <f t="shared" si="3"/>
        <v>Loss</v>
      </c>
    </row>
    <row r="5955" ht="14.25" customHeight="1">
      <c r="A5955" s="1" t="s">
        <v>5989</v>
      </c>
      <c r="B5955" s="2">
        <v>44500.0</v>
      </c>
      <c r="C5955" s="1" t="s">
        <v>20</v>
      </c>
      <c r="D5955" s="1" t="s">
        <v>21</v>
      </c>
      <c r="E5955" s="1" t="s">
        <v>37</v>
      </c>
      <c r="F5955" s="1">
        <v>852.46</v>
      </c>
      <c r="G5955" s="1">
        <v>-116.09</v>
      </c>
      <c r="H5955" s="1">
        <v>6.0</v>
      </c>
      <c r="I5955" s="1" t="s">
        <v>17</v>
      </c>
      <c r="J5955" s="1" t="s">
        <v>38</v>
      </c>
      <c r="K5955" s="1">
        <f t="shared" si="1"/>
        <v>2021</v>
      </c>
      <c r="L5955" s="1" t="str">
        <f t="shared" si="2"/>
        <v>Oct</v>
      </c>
      <c r="M5955" s="1" t="str">
        <f t="shared" si="3"/>
        <v>Loss</v>
      </c>
    </row>
    <row r="5956" ht="14.25" customHeight="1">
      <c r="A5956" s="1" t="s">
        <v>5990</v>
      </c>
      <c r="B5956" s="2">
        <v>44580.0</v>
      </c>
      <c r="C5956" s="1" t="s">
        <v>26</v>
      </c>
      <c r="D5956" s="1" t="s">
        <v>27</v>
      </c>
      <c r="E5956" s="1" t="s">
        <v>28</v>
      </c>
      <c r="F5956" s="1">
        <v>673.28</v>
      </c>
      <c r="G5956" s="1">
        <v>-36.11</v>
      </c>
      <c r="H5956" s="1">
        <v>4.0</v>
      </c>
      <c r="I5956" s="1" t="s">
        <v>17</v>
      </c>
      <c r="J5956" s="1" t="s">
        <v>35</v>
      </c>
      <c r="K5956" s="1">
        <f t="shared" si="1"/>
        <v>2022</v>
      </c>
      <c r="L5956" s="1" t="str">
        <f t="shared" si="2"/>
        <v>Jan</v>
      </c>
      <c r="M5956" s="1" t="str">
        <f t="shared" si="3"/>
        <v>Loss</v>
      </c>
    </row>
    <row r="5957" ht="14.25" customHeight="1">
      <c r="A5957" s="1" t="s">
        <v>5991</v>
      </c>
      <c r="B5957" s="2">
        <v>44447.0</v>
      </c>
      <c r="C5957" s="1" t="s">
        <v>14</v>
      </c>
      <c r="D5957" s="1" t="s">
        <v>15</v>
      </c>
      <c r="E5957" s="1" t="s">
        <v>54</v>
      </c>
      <c r="F5957" s="1">
        <v>353.37</v>
      </c>
      <c r="G5957" s="1">
        <v>39.62</v>
      </c>
      <c r="H5957" s="1">
        <v>9.0</v>
      </c>
      <c r="I5957" s="1" t="s">
        <v>17</v>
      </c>
      <c r="J5957" s="1" t="s">
        <v>24</v>
      </c>
      <c r="K5957" s="1">
        <f t="shared" si="1"/>
        <v>2021</v>
      </c>
      <c r="L5957" s="1" t="str">
        <f t="shared" si="2"/>
        <v>Sep</v>
      </c>
      <c r="M5957" s="1" t="str">
        <f t="shared" si="3"/>
        <v>Profit</v>
      </c>
    </row>
    <row r="5958" ht="14.25" customHeight="1">
      <c r="A5958" s="1" t="s">
        <v>5992</v>
      </c>
      <c r="B5958" s="2">
        <v>45184.0</v>
      </c>
      <c r="C5958" s="1" t="s">
        <v>14</v>
      </c>
      <c r="D5958" s="1" t="s">
        <v>27</v>
      </c>
      <c r="E5958" s="1" t="s">
        <v>40</v>
      </c>
      <c r="F5958" s="1">
        <v>255.52</v>
      </c>
      <c r="G5958" s="1">
        <v>82.78</v>
      </c>
      <c r="H5958" s="1">
        <v>7.0</v>
      </c>
      <c r="I5958" s="1" t="s">
        <v>17</v>
      </c>
      <c r="J5958" s="1" t="s">
        <v>24</v>
      </c>
      <c r="K5958" s="1">
        <f t="shared" si="1"/>
        <v>2023</v>
      </c>
      <c r="L5958" s="1" t="str">
        <f t="shared" si="2"/>
        <v>Sep</v>
      </c>
      <c r="M5958" s="1" t="str">
        <f t="shared" si="3"/>
        <v>Profit</v>
      </c>
    </row>
    <row r="5959" ht="14.25" customHeight="1">
      <c r="A5959" s="1" t="s">
        <v>5993</v>
      </c>
      <c r="B5959" s="2">
        <v>45119.0</v>
      </c>
      <c r="C5959" s="1" t="s">
        <v>20</v>
      </c>
      <c r="D5959" s="1" t="s">
        <v>27</v>
      </c>
      <c r="E5959" s="1" t="s">
        <v>33</v>
      </c>
      <c r="F5959" s="1">
        <v>188.07</v>
      </c>
      <c r="G5959" s="1">
        <v>-181.83</v>
      </c>
      <c r="H5959" s="1">
        <v>2.0</v>
      </c>
      <c r="I5959" s="1" t="s">
        <v>17</v>
      </c>
      <c r="J5959" s="1" t="s">
        <v>24</v>
      </c>
      <c r="K5959" s="1">
        <f t="shared" si="1"/>
        <v>2023</v>
      </c>
      <c r="L5959" s="1" t="str">
        <f t="shared" si="2"/>
        <v>Jul</v>
      </c>
      <c r="M5959" s="1" t="str">
        <f t="shared" si="3"/>
        <v>Loss</v>
      </c>
    </row>
    <row r="5960" ht="14.25" customHeight="1">
      <c r="A5960" s="1" t="s">
        <v>5994</v>
      </c>
      <c r="B5960" s="2">
        <v>44605.0</v>
      </c>
      <c r="C5960" s="1" t="s">
        <v>20</v>
      </c>
      <c r="D5960" s="1" t="s">
        <v>15</v>
      </c>
      <c r="E5960" s="1" t="s">
        <v>16</v>
      </c>
      <c r="F5960" s="1">
        <v>68.18</v>
      </c>
      <c r="G5960" s="1">
        <v>163.62</v>
      </c>
      <c r="H5960" s="1">
        <v>8.0</v>
      </c>
      <c r="I5960" s="1" t="s">
        <v>17</v>
      </c>
      <c r="J5960" s="1" t="s">
        <v>24</v>
      </c>
      <c r="K5960" s="1">
        <f t="shared" si="1"/>
        <v>2022</v>
      </c>
      <c r="L5960" s="1" t="str">
        <f t="shared" si="2"/>
        <v>Feb</v>
      </c>
      <c r="M5960" s="1" t="str">
        <f t="shared" si="3"/>
        <v>Profit</v>
      </c>
    </row>
    <row r="5961" ht="14.25" customHeight="1">
      <c r="A5961" s="1" t="s">
        <v>5995</v>
      </c>
      <c r="B5961" s="2">
        <v>44711.0</v>
      </c>
      <c r="C5961" s="1" t="s">
        <v>14</v>
      </c>
      <c r="D5961" s="1" t="s">
        <v>27</v>
      </c>
      <c r="E5961" s="1" t="s">
        <v>33</v>
      </c>
      <c r="F5961" s="1">
        <v>551.66</v>
      </c>
      <c r="G5961" s="1">
        <v>13.12</v>
      </c>
      <c r="H5961" s="1">
        <v>6.0</v>
      </c>
      <c r="I5961" s="1" t="s">
        <v>23</v>
      </c>
      <c r="J5961" s="1" t="s">
        <v>38</v>
      </c>
      <c r="K5961" s="1">
        <f t="shared" si="1"/>
        <v>2022</v>
      </c>
      <c r="L5961" s="1" t="str">
        <f t="shared" si="2"/>
        <v>May</v>
      </c>
      <c r="M5961" s="1" t="str">
        <f t="shared" si="3"/>
        <v>Profit</v>
      </c>
    </row>
    <row r="5962" ht="14.25" customHeight="1">
      <c r="A5962" s="1" t="s">
        <v>5996</v>
      </c>
      <c r="B5962" s="2">
        <v>44645.0</v>
      </c>
      <c r="C5962" s="1" t="s">
        <v>26</v>
      </c>
      <c r="D5962" s="1" t="s">
        <v>21</v>
      </c>
      <c r="E5962" s="1" t="s">
        <v>37</v>
      </c>
      <c r="F5962" s="1">
        <v>458.04</v>
      </c>
      <c r="G5962" s="1">
        <v>-52.82</v>
      </c>
      <c r="H5962" s="1">
        <v>4.0</v>
      </c>
      <c r="I5962" s="1" t="s">
        <v>17</v>
      </c>
      <c r="J5962" s="1" t="s">
        <v>24</v>
      </c>
      <c r="K5962" s="1">
        <f t="shared" si="1"/>
        <v>2022</v>
      </c>
      <c r="L5962" s="1" t="str">
        <f t="shared" si="2"/>
        <v>Mar</v>
      </c>
      <c r="M5962" s="1" t="str">
        <f t="shared" si="3"/>
        <v>Loss</v>
      </c>
    </row>
    <row r="5963" ht="14.25" customHeight="1">
      <c r="A5963" s="1" t="s">
        <v>5997</v>
      </c>
      <c r="B5963" s="2">
        <v>45112.0</v>
      </c>
      <c r="C5963" s="1" t="s">
        <v>14</v>
      </c>
      <c r="D5963" s="1" t="s">
        <v>15</v>
      </c>
      <c r="E5963" s="1" t="s">
        <v>31</v>
      </c>
      <c r="F5963" s="1">
        <v>32.7</v>
      </c>
      <c r="G5963" s="1">
        <v>49.91</v>
      </c>
      <c r="H5963" s="1">
        <v>5.0</v>
      </c>
      <c r="I5963" s="1" t="s">
        <v>17</v>
      </c>
      <c r="J5963" s="1" t="s">
        <v>24</v>
      </c>
      <c r="K5963" s="1">
        <f t="shared" si="1"/>
        <v>2023</v>
      </c>
      <c r="L5963" s="1" t="str">
        <f t="shared" si="2"/>
        <v>Jul</v>
      </c>
      <c r="M5963" s="1" t="str">
        <f t="shared" si="3"/>
        <v>Profit</v>
      </c>
    </row>
    <row r="5964" ht="14.25" customHeight="1">
      <c r="A5964" s="1" t="s">
        <v>5998</v>
      </c>
      <c r="B5964" s="2">
        <v>44864.0</v>
      </c>
      <c r="C5964" s="1" t="s">
        <v>30</v>
      </c>
      <c r="D5964" s="1" t="s">
        <v>15</v>
      </c>
      <c r="E5964" s="1" t="s">
        <v>54</v>
      </c>
      <c r="F5964" s="1">
        <v>515.8</v>
      </c>
      <c r="G5964" s="1">
        <v>69.9</v>
      </c>
      <c r="H5964" s="1">
        <v>6.0</v>
      </c>
      <c r="I5964" s="1" t="s">
        <v>17</v>
      </c>
      <c r="J5964" s="1" t="s">
        <v>18</v>
      </c>
      <c r="K5964" s="1">
        <f t="shared" si="1"/>
        <v>2022</v>
      </c>
      <c r="L5964" s="1" t="str">
        <f t="shared" si="2"/>
        <v>Oct</v>
      </c>
      <c r="M5964" s="1" t="str">
        <f t="shared" si="3"/>
        <v>Profit</v>
      </c>
    </row>
    <row r="5965" ht="14.25" customHeight="1">
      <c r="A5965" s="1" t="s">
        <v>5999</v>
      </c>
      <c r="B5965" s="2">
        <v>44654.0</v>
      </c>
      <c r="C5965" s="1" t="s">
        <v>14</v>
      </c>
      <c r="D5965" s="1" t="s">
        <v>27</v>
      </c>
      <c r="E5965" s="1" t="s">
        <v>28</v>
      </c>
      <c r="F5965" s="1">
        <v>467.78</v>
      </c>
      <c r="G5965" s="1">
        <v>132.05</v>
      </c>
      <c r="H5965" s="1">
        <v>2.0</v>
      </c>
      <c r="I5965" s="1" t="s">
        <v>34</v>
      </c>
      <c r="J5965" s="1" t="s">
        <v>35</v>
      </c>
      <c r="K5965" s="1">
        <f t="shared" si="1"/>
        <v>2022</v>
      </c>
      <c r="L5965" s="1" t="str">
        <f t="shared" si="2"/>
        <v>Apr</v>
      </c>
      <c r="M5965" s="1" t="str">
        <f t="shared" si="3"/>
        <v>Profit</v>
      </c>
    </row>
    <row r="5966" ht="14.25" customHeight="1">
      <c r="A5966" s="1" t="s">
        <v>6000</v>
      </c>
      <c r="B5966" s="2">
        <v>44627.0</v>
      </c>
      <c r="C5966" s="1" t="s">
        <v>26</v>
      </c>
      <c r="D5966" s="1" t="s">
        <v>15</v>
      </c>
      <c r="E5966" s="1" t="s">
        <v>31</v>
      </c>
      <c r="F5966" s="1">
        <v>654.15</v>
      </c>
      <c r="G5966" s="1">
        <v>156.03</v>
      </c>
      <c r="H5966" s="1">
        <v>2.0</v>
      </c>
      <c r="I5966" s="1" t="s">
        <v>23</v>
      </c>
      <c r="J5966" s="1" t="s">
        <v>35</v>
      </c>
      <c r="K5966" s="1">
        <f t="shared" si="1"/>
        <v>2022</v>
      </c>
      <c r="L5966" s="1" t="str">
        <f t="shared" si="2"/>
        <v>Mar</v>
      </c>
      <c r="M5966" s="1" t="str">
        <f t="shared" si="3"/>
        <v>Profit</v>
      </c>
    </row>
    <row r="5967" ht="14.25" customHeight="1">
      <c r="A5967" s="1" t="s">
        <v>6001</v>
      </c>
      <c r="B5967" s="2">
        <v>44776.0</v>
      </c>
      <c r="C5967" s="1" t="s">
        <v>14</v>
      </c>
      <c r="D5967" s="1" t="s">
        <v>15</v>
      </c>
      <c r="E5967" s="1" t="s">
        <v>31</v>
      </c>
      <c r="F5967" s="1">
        <v>459.75</v>
      </c>
      <c r="G5967" s="1">
        <v>70.91</v>
      </c>
      <c r="H5967" s="1">
        <v>1.0</v>
      </c>
      <c r="I5967" s="1" t="s">
        <v>34</v>
      </c>
      <c r="J5967" s="1" t="s">
        <v>38</v>
      </c>
      <c r="K5967" s="1">
        <f t="shared" si="1"/>
        <v>2022</v>
      </c>
      <c r="L5967" s="1" t="str">
        <f t="shared" si="2"/>
        <v>Aug</v>
      </c>
      <c r="M5967" s="1" t="str">
        <f t="shared" si="3"/>
        <v>Profit</v>
      </c>
    </row>
    <row r="5968" ht="14.25" customHeight="1">
      <c r="A5968" s="1" t="s">
        <v>6002</v>
      </c>
      <c r="B5968" s="2">
        <v>44891.0</v>
      </c>
      <c r="C5968" s="1" t="s">
        <v>20</v>
      </c>
      <c r="D5968" s="1" t="s">
        <v>27</v>
      </c>
      <c r="E5968" s="1" t="s">
        <v>28</v>
      </c>
      <c r="F5968" s="1">
        <v>557.14</v>
      </c>
      <c r="G5968" s="1">
        <v>238.4</v>
      </c>
      <c r="H5968" s="1">
        <v>9.0</v>
      </c>
      <c r="I5968" s="1" t="s">
        <v>17</v>
      </c>
      <c r="J5968" s="1" t="s">
        <v>24</v>
      </c>
      <c r="K5968" s="1">
        <f t="shared" si="1"/>
        <v>2022</v>
      </c>
      <c r="L5968" s="1" t="str">
        <f t="shared" si="2"/>
        <v>Nov</v>
      </c>
      <c r="M5968" s="1" t="str">
        <f t="shared" si="3"/>
        <v>Profit</v>
      </c>
    </row>
    <row r="5969" ht="14.25" customHeight="1">
      <c r="A5969" s="1" t="s">
        <v>6003</v>
      </c>
      <c r="B5969" s="2">
        <v>44999.0</v>
      </c>
      <c r="C5969" s="1" t="s">
        <v>26</v>
      </c>
      <c r="D5969" s="1" t="s">
        <v>15</v>
      </c>
      <c r="E5969" s="1" t="s">
        <v>16</v>
      </c>
      <c r="F5969" s="1">
        <v>442.82</v>
      </c>
      <c r="G5969" s="1">
        <v>167.93</v>
      </c>
      <c r="H5969" s="1">
        <v>2.0</v>
      </c>
      <c r="I5969" s="1" t="s">
        <v>34</v>
      </c>
      <c r="J5969" s="1" t="s">
        <v>35</v>
      </c>
      <c r="K5969" s="1">
        <f t="shared" si="1"/>
        <v>2023</v>
      </c>
      <c r="L5969" s="1" t="str">
        <f t="shared" si="2"/>
        <v>Mar</v>
      </c>
      <c r="M5969" s="1" t="str">
        <f t="shared" si="3"/>
        <v>Profit</v>
      </c>
    </row>
    <row r="5970" ht="14.25" customHeight="1">
      <c r="A5970" s="1" t="s">
        <v>6004</v>
      </c>
      <c r="B5970" s="2">
        <v>44466.0</v>
      </c>
      <c r="C5970" s="1" t="s">
        <v>26</v>
      </c>
      <c r="D5970" s="1" t="s">
        <v>27</v>
      </c>
      <c r="E5970" s="1" t="s">
        <v>40</v>
      </c>
      <c r="F5970" s="1">
        <v>298.67</v>
      </c>
      <c r="G5970" s="1">
        <v>207.44</v>
      </c>
      <c r="H5970" s="1">
        <v>10.0</v>
      </c>
      <c r="I5970" s="1" t="s">
        <v>23</v>
      </c>
      <c r="J5970" s="1" t="s">
        <v>18</v>
      </c>
      <c r="K5970" s="1">
        <f t="shared" si="1"/>
        <v>2021</v>
      </c>
      <c r="L5970" s="1" t="str">
        <f t="shared" si="2"/>
        <v>Sep</v>
      </c>
      <c r="M5970" s="1" t="str">
        <f t="shared" si="3"/>
        <v>Profit</v>
      </c>
    </row>
    <row r="5971" ht="14.25" customHeight="1">
      <c r="A5971" s="1" t="s">
        <v>6005</v>
      </c>
      <c r="B5971" s="2">
        <v>44408.0</v>
      </c>
      <c r="C5971" s="1" t="s">
        <v>26</v>
      </c>
      <c r="D5971" s="1" t="s">
        <v>15</v>
      </c>
      <c r="E5971" s="1" t="s">
        <v>16</v>
      </c>
      <c r="F5971" s="1">
        <v>35.14</v>
      </c>
      <c r="G5971" s="1">
        <v>-68.85</v>
      </c>
      <c r="H5971" s="1">
        <v>6.0</v>
      </c>
      <c r="I5971" s="1" t="s">
        <v>34</v>
      </c>
      <c r="J5971" s="1" t="s">
        <v>38</v>
      </c>
      <c r="K5971" s="1">
        <f t="shared" si="1"/>
        <v>2021</v>
      </c>
      <c r="L5971" s="1" t="str">
        <f t="shared" si="2"/>
        <v>Jul</v>
      </c>
      <c r="M5971" s="1" t="str">
        <f t="shared" si="3"/>
        <v>Loss</v>
      </c>
    </row>
    <row r="5972" ht="14.25" customHeight="1">
      <c r="A5972" s="1" t="s">
        <v>6006</v>
      </c>
      <c r="B5972" s="2">
        <v>44249.0</v>
      </c>
      <c r="C5972" s="1" t="s">
        <v>20</v>
      </c>
      <c r="D5972" s="1" t="s">
        <v>27</v>
      </c>
      <c r="E5972" s="1" t="s">
        <v>28</v>
      </c>
      <c r="F5972" s="1">
        <v>267.79</v>
      </c>
      <c r="G5972" s="1">
        <v>48.17</v>
      </c>
      <c r="H5972" s="1">
        <v>7.0</v>
      </c>
      <c r="I5972" s="1" t="s">
        <v>34</v>
      </c>
      <c r="J5972" s="1" t="s">
        <v>24</v>
      </c>
      <c r="K5972" s="1">
        <f t="shared" si="1"/>
        <v>2021</v>
      </c>
      <c r="L5972" s="1" t="str">
        <f t="shared" si="2"/>
        <v>Feb</v>
      </c>
      <c r="M5972" s="1" t="str">
        <f t="shared" si="3"/>
        <v>Profit</v>
      </c>
    </row>
    <row r="5973" ht="14.25" customHeight="1">
      <c r="A5973" s="1" t="s">
        <v>6007</v>
      </c>
      <c r="B5973" s="2">
        <v>44399.0</v>
      </c>
      <c r="C5973" s="1" t="s">
        <v>26</v>
      </c>
      <c r="D5973" s="1" t="s">
        <v>21</v>
      </c>
      <c r="E5973" s="1" t="s">
        <v>37</v>
      </c>
      <c r="F5973" s="1">
        <v>588.41</v>
      </c>
      <c r="G5973" s="1">
        <v>262.02</v>
      </c>
      <c r="H5973" s="1">
        <v>10.0</v>
      </c>
      <c r="I5973" s="1" t="s">
        <v>23</v>
      </c>
      <c r="J5973" s="1" t="s">
        <v>18</v>
      </c>
      <c r="K5973" s="1">
        <f t="shared" si="1"/>
        <v>2021</v>
      </c>
      <c r="L5973" s="1" t="str">
        <f t="shared" si="2"/>
        <v>Jul</v>
      </c>
      <c r="M5973" s="1" t="str">
        <f t="shared" si="3"/>
        <v>Profit</v>
      </c>
    </row>
    <row r="5974" ht="14.25" customHeight="1">
      <c r="A5974" s="1" t="s">
        <v>6008</v>
      </c>
      <c r="B5974" s="2">
        <v>44271.0</v>
      </c>
      <c r="C5974" s="1" t="s">
        <v>26</v>
      </c>
      <c r="D5974" s="1" t="s">
        <v>15</v>
      </c>
      <c r="E5974" s="1" t="s">
        <v>31</v>
      </c>
      <c r="F5974" s="1">
        <v>391.42</v>
      </c>
      <c r="G5974" s="1">
        <v>225.44</v>
      </c>
      <c r="H5974" s="1">
        <v>6.0</v>
      </c>
      <c r="I5974" s="1" t="s">
        <v>23</v>
      </c>
      <c r="J5974" s="1" t="s">
        <v>18</v>
      </c>
      <c r="K5974" s="1">
        <f t="shared" si="1"/>
        <v>2021</v>
      </c>
      <c r="L5974" s="1" t="str">
        <f t="shared" si="2"/>
        <v>Mar</v>
      </c>
      <c r="M5974" s="1" t="str">
        <f t="shared" si="3"/>
        <v>Profit</v>
      </c>
    </row>
    <row r="5975" ht="14.25" customHeight="1">
      <c r="A5975" s="1" t="s">
        <v>6009</v>
      </c>
      <c r="B5975" s="2">
        <v>45036.0</v>
      </c>
      <c r="C5975" s="1" t="s">
        <v>14</v>
      </c>
      <c r="D5975" s="1" t="s">
        <v>27</v>
      </c>
      <c r="E5975" s="1" t="s">
        <v>40</v>
      </c>
      <c r="F5975" s="1">
        <v>776.17</v>
      </c>
      <c r="G5975" s="1">
        <v>-62.7</v>
      </c>
      <c r="H5975" s="1">
        <v>4.0</v>
      </c>
      <c r="I5975" s="1" t="s">
        <v>17</v>
      </c>
      <c r="J5975" s="1" t="s">
        <v>38</v>
      </c>
      <c r="K5975" s="1">
        <f t="shared" si="1"/>
        <v>2023</v>
      </c>
      <c r="L5975" s="1" t="str">
        <f t="shared" si="2"/>
        <v>Apr</v>
      </c>
      <c r="M5975" s="1" t="str">
        <f t="shared" si="3"/>
        <v>Loss</v>
      </c>
    </row>
    <row r="5976" ht="14.25" customHeight="1">
      <c r="A5976" s="1" t="s">
        <v>6010</v>
      </c>
      <c r="B5976" s="2">
        <v>44504.0</v>
      </c>
      <c r="C5976" s="1" t="s">
        <v>30</v>
      </c>
      <c r="D5976" s="1" t="s">
        <v>21</v>
      </c>
      <c r="E5976" s="1" t="s">
        <v>22</v>
      </c>
      <c r="F5976" s="1">
        <v>963.85</v>
      </c>
      <c r="G5976" s="1">
        <v>214.36</v>
      </c>
      <c r="H5976" s="1">
        <v>10.0</v>
      </c>
      <c r="I5976" s="1" t="s">
        <v>23</v>
      </c>
      <c r="J5976" s="1" t="s">
        <v>35</v>
      </c>
      <c r="K5976" s="1">
        <f t="shared" si="1"/>
        <v>2021</v>
      </c>
      <c r="L5976" s="1" t="str">
        <f t="shared" si="2"/>
        <v>Nov</v>
      </c>
      <c r="M5976" s="1" t="str">
        <f t="shared" si="3"/>
        <v>Profit</v>
      </c>
    </row>
    <row r="5977" ht="14.25" customHeight="1">
      <c r="A5977" s="1" t="s">
        <v>6011</v>
      </c>
      <c r="B5977" s="2">
        <v>44967.0</v>
      </c>
      <c r="C5977" s="1" t="s">
        <v>30</v>
      </c>
      <c r="D5977" s="1" t="s">
        <v>27</v>
      </c>
      <c r="E5977" s="1" t="s">
        <v>33</v>
      </c>
      <c r="F5977" s="1">
        <v>343.49</v>
      </c>
      <c r="G5977" s="1">
        <v>10.72</v>
      </c>
      <c r="H5977" s="1">
        <v>2.0</v>
      </c>
      <c r="I5977" s="1" t="s">
        <v>34</v>
      </c>
      <c r="J5977" s="1" t="s">
        <v>24</v>
      </c>
      <c r="K5977" s="1">
        <f t="shared" si="1"/>
        <v>2023</v>
      </c>
      <c r="L5977" s="1" t="str">
        <f t="shared" si="2"/>
        <v>Feb</v>
      </c>
      <c r="M5977" s="1" t="str">
        <f t="shared" si="3"/>
        <v>Profit</v>
      </c>
    </row>
    <row r="5978" ht="14.25" customHeight="1">
      <c r="A5978" s="1" t="s">
        <v>6012</v>
      </c>
      <c r="B5978" s="2">
        <v>44501.0</v>
      </c>
      <c r="C5978" s="1" t="s">
        <v>14</v>
      </c>
      <c r="D5978" s="1" t="s">
        <v>27</v>
      </c>
      <c r="E5978" s="1" t="s">
        <v>40</v>
      </c>
      <c r="F5978" s="1">
        <v>645.02</v>
      </c>
      <c r="G5978" s="1">
        <v>159.78</v>
      </c>
      <c r="H5978" s="1">
        <v>8.0</v>
      </c>
      <c r="I5978" s="1" t="s">
        <v>34</v>
      </c>
      <c r="J5978" s="1" t="s">
        <v>24</v>
      </c>
      <c r="K5978" s="1">
        <f t="shared" si="1"/>
        <v>2021</v>
      </c>
      <c r="L5978" s="1" t="str">
        <f t="shared" si="2"/>
        <v>Nov</v>
      </c>
      <c r="M5978" s="1" t="str">
        <f t="shared" si="3"/>
        <v>Profit</v>
      </c>
    </row>
    <row r="5979" ht="14.25" customHeight="1">
      <c r="A5979" s="1" t="s">
        <v>6013</v>
      </c>
      <c r="B5979" s="2">
        <v>44543.0</v>
      </c>
      <c r="C5979" s="1" t="s">
        <v>14</v>
      </c>
      <c r="D5979" s="1" t="s">
        <v>15</v>
      </c>
      <c r="E5979" s="1" t="s">
        <v>54</v>
      </c>
      <c r="F5979" s="1">
        <v>162.6</v>
      </c>
      <c r="G5979" s="1">
        <v>101.99</v>
      </c>
      <c r="H5979" s="1">
        <v>3.0</v>
      </c>
      <c r="I5979" s="1" t="s">
        <v>34</v>
      </c>
      <c r="J5979" s="1" t="s">
        <v>38</v>
      </c>
      <c r="K5979" s="1">
        <f t="shared" si="1"/>
        <v>2021</v>
      </c>
      <c r="L5979" s="1" t="str">
        <f t="shared" si="2"/>
        <v>Dec</v>
      </c>
      <c r="M5979" s="1" t="str">
        <f t="shared" si="3"/>
        <v>Profit</v>
      </c>
    </row>
    <row r="5980" ht="14.25" customHeight="1">
      <c r="A5980" s="1" t="s">
        <v>6014</v>
      </c>
      <c r="B5980" s="2">
        <v>45276.0</v>
      </c>
      <c r="C5980" s="1" t="s">
        <v>30</v>
      </c>
      <c r="D5980" s="1" t="s">
        <v>21</v>
      </c>
      <c r="E5980" s="1" t="s">
        <v>22</v>
      </c>
      <c r="F5980" s="1">
        <v>641.34</v>
      </c>
      <c r="G5980" s="1">
        <v>-178.68</v>
      </c>
      <c r="H5980" s="1">
        <v>8.0</v>
      </c>
      <c r="I5980" s="1" t="s">
        <v>17</v>
      </c>
      <c r="J5980" s="1" t="s">
        <v>38</v>
      </c>
      <c r="K5980" s="1">
        <f t="shared" si="1"/>
        <v>2023</v>
      </c>
      <c r="L5980" s="1" t="str">
        <f t="shared" si="2"/>
        <v>Dec</v>
      </c>
      <c r="M5980" s="1" t="str">
        <f t="shared" si="3"/>
        <v>Loss</v>
      </c>
    </row>
    <row r="5981" ht="14.25" customHeight="1">
      <c r="A5981" s="1" t="s">
        <v>6015</v>
      </c>
      <c r="B5981" s="2">
        <v>44224.0</v>
      </c>
      <c r="C5981" s="1" t="s">
        <v>26</v>
      </c>
      <c r="D5981" s="1" t="s">
        <v>27</v>
      </c>
      <c r="E5981" s="1" t="s">
        <v>40</v>
      </c>
      <c r="F5981" s="1">
        <v>296.32</v>
      </c>
      <c r="G5981" s="1">
        <v>-50.6</v>
      </c>
      <c r="H5981" s="1">
        <v>4.0</v>
      </c>
      <c r="I5981" s="1" t="s">
        <v>23</v>
      </c>
      <c r="J5981" s="1" t="s">
        <v>35</v>
      </c>
      <c r="K5981" s="1">
        <f t="shared" si="1"/>
        <v>2021</v>
      </c>
      <c r="L5981" s="1" t="str">
        <f t="shared" si="2"/>
        <v>Jan</v>
      </c>
      <c r="M5981" s="1" t="str">
        <f t="shared" si="3"/>
        <v>Loss</v>
      </c>
    </row>
    <row r="5982" ht="14.25" customHeight="1">
      <c r="A5982" s="1" t="s">
        <v>6016</v>
      </c>
      <c r="B5982" s="2">
        <v>44227.0</v>
      </c>
      <c r="C5982" s="1" t="s">
        <v>26</v>
      </c>
      <c r="D5982" s="1" t="s">
        <v>27</v>
      </c>
      <c r="E5982" s="1" t="s">
        <v>33</v>
      </c>
      <c r="F5982" s="1">
        <v>965.75</v>
      </c>
      <c r="G5982" s="1">
        <v>-23.26</v>
      </c>
      <c r="H5982" s="1">
        <v>3.0</v>
      </c>
      <c r="I5982" s="1" t="s">
        <v>34</v>
      </c>
      <c r="J5982" s="1" t="s">
        <v>18</v>
      </c>
      <c r="K5982" s="1">
        <f t="shared" si="1"/>
        <v>2021</v>
      </c>
      <c r="L5982" s="1" t="str">
        <f t="shared" si="2"/>
        <v>Jan</v>
      </c>
      <c r="M5982" s="1" t="str">
        <f t="shared" si="3"/>
        <v>Loss</v>
      </c>
    </row>
    <row r="5983" ht="14.25" customHeight="1">
      <c r="A5983" s="1" t="s">
        <v>6017</v>
      </c>
      <c r="B5983" s="2">
        <v>45084.0</v>
      </c>
      <c r="C5983" s="1" t="s">
        <v>20</v>
      </c>
      <c r="D5983" s="1" t="s">
        <v>27</v>
      </c>
      <c r="E5983" s="1" t="s">
        <v>40</v>
      </c>
      <c r="F5983" s="1">
        <v>629.76</v>
      </c>
      <c r="G5983" s="1">
        <v>-88.3</v>
      </c>
      <c r="H5983" s="1">
        <v>6.0</v>
      </c>
      <c r="I5983" s="1" t="s">
        <v>23</v>
      </c>
      <c r="J5983" s="1" t="s">
        <v>38</v>
      </c>
      <c r="K5983" s="1">
        <f t="shared" si="1"/>
        <v>2023</v>
      </c>
      <c r="L5983" s="1" t="str">
        <f t="shared" si="2"/>
        <v>Jun</v>
      </c>
      <c r="M5983" s="1" t="str">
        <f t="shared" si="3"/>
        <v>Loss</v>
      </c>
    </row>
    <row r="5984" ht="14.25" customHeight="1">
      <c r="A5984" s="1" t="s">
        <v>6018</v>
      </c>
      <c r="B5984" s="2">
        <v>44458.0</v>
      </c>
      <c r="C5984" s="1" t="s">
        <v>30</v>
      </c>
      <c r="D5984" s="1" t="s">
        <v>15</v>
      </c>
      <c r="E5984" s="1" t="s">
        <v>31</v>
      </c>
      <c r="F5984" s="1">
        <v>680.42</v>
      </c>
      <c r="G5984" s="1">
        <v>-12.52</v>
      </c>
      <c r="H5984" s="1">
        <v>6.0</v>
      </c>
      <c r="I5984" s="1" t="s">
        <v>17</v>
      </c>
      <c r="J5984" s="1" t="s">
        <v>38</v>
      </c>
      <c r="K5984" s="1">
        <f t="shared" si="1"/>
        <v>2021</v>
      </c>
      <c r="L5984" s="1" t="str">
        <f t="shared" si="2"/>
        <v>Sep</v>
      </c>
      <c r="M5984" s="1" t="str">
        <f t="shared" si="3"/>
        <v>Loss</v>
      </c>
    </row>
    <row r="5985" ht="14.25" customHeight="1">
      <c r="A5985" s="1" t="s">
        <v>6019</v>
      </c>
      <c r="B5985" s="2">
        <v>44233.0</v>
      </c>
      <c r="C5985" s="1" t="s">
        <v>30</v>
      </c>
      <c r="D5985" s="1" t="s">
        <v>27</v>
      </c>
      <c r="E5985" s="1" t="s">
        <v>40</v>
      </c>
      <c r="F5985" s="1">
        <v>184.32</v>
      </c>
      <c r="G5985" s="1">
        <v>-9.62</v>
      </c>
      <c r="H5985" s="1">
        <v>7.0</v>
      </c>
      <c r="I5985" s="1" t="s">
        <v>17</v>
      </c>
      <c r="J5985" s="1" t="s">
        <v>24</v>
      </c>
      <c r="K5985" s="1">
        <f t="shared" si="1"/>
        <v>2021</v>
      </c>
      <c r="L5985" s="1" t="str">
        <f t="shared" si="2"/>
        <v>Feb</v>
      </c>
      <c r="M5985" s="1" t="str">
        <f t="shared" si="3"/>
        <v>Loss</v>
      </c>
    </row>
    <row r="5986" ht="14.25" customHeight="1">
      <c r="A5986" s="1" t="s">
        <v>6020</v>
      </c>
      <c r="B5986" s="2">
        <v>45212.0</v>
      </c>
      <c r="C5986" s="1" t="s">
        <v>14</v>
      </c>
      <c r="D5986" s="1" t="s">
        <v>21</v>
      </c>
      <c r="E5986" s="1" t="s">
        <v>22</v>
      </c>
      <c r="F5986" s="1">
        <v>273.16</v>
      </c>
      <c r="G5986" s="1">
        <v>268.99</v>
      </c>
      <c r="H5986" s="1">
        <v>1.0</v>
      </c>
      <c r="I5986" s="1" t="s">
        <v>17</v>
      </c>
      <c r="J5986" s="1" t="s">
        <v>18</v>
      </c>
      <c r="K5986" s="1">
        <f t="shared" si="1"/>
        <v>2023</v>
      </c>
      <c r="L5986" s="1" t="str">
        <f t="shared" si="2"/>
        <v>Oct</v>
      </c>
      <c r="M5986" s="1" t="str">
        <f t="shared" si="3"/>
        <v>Profit</v>
      </c>
    </row>
    <row r="5987" ht="14.25" customHeight="1">
      <c r="A5987" s="1" t="s">
        <v>6021</v>
      </c>
      <c r="B5987" s="2">
        <v>44817.0</v>
      </c>
      <c r="C5987" s="1" t="s">
        <v>14</v>
      </c>
      <c r="D5987" s="1" t="s">
        <v>27</v>
      </c>
      <c r="E5987" s="1" t="s">
        <v>40</v>
      </c>
      <c r="F5987" s="1">
        <v>960.53</v>
      </c>
      <c r="G5987" s="1">
        <v>220.82</v>
      </c>
      <c r="H5987" s="1">
        <v>10.0</v>
      </c>
      <c r="I5987" s="1" t="s">
        <v>34</v>
      </c>
      <c r="J5987" s="1" t="s">
        <v>24</v>
      </c>
      <c r="K5987" s="1">
        <f t="shared" si="1"/>
        <v>2022</v>
      </c>
      <c r="L5987" s="1" t="str">
        <f t="shared" si="2"/>
        <v>Sep</v>
      </c>
      <c r="M5987" s="1" t="str">
        <f t="shared" si="3"/>
        <v>Profit</v>
      </c>
    </row>
    <row r="5988" ht="14.25" customHeight="1">
      <c r="A5988" s="1" t="s">
        <v>6022</v>
      </c>
      <c r="B5988" s="2">
        <v>44272.0</v>
      </c>
      <c r="C5988" s="1" t="s">
        <v>30</v>
      </c>
      <c r="D5988" s="1" t="s">
        <v>27</v>
      </c>
      <c r="E5988" s="1" t="s">
        <v>28</v>
      </c>
      <c r="F5988" s="1">
        <v>762.49</v>
      </c>
      <c r="G5988" s="1">
        <v>89.13</v>
      </c>
      <c r="H5988" s="1">
        <v>4.0</v>
      </c>
      <c r="I5988" s="1" t="s">
        <v>23</v>
      </c>
      <c r="J5988" s="1" t="s">
        <v>24</v>
      </c>
      <c r="K5988" s="1">
        <f t="shared" si="1"/>
        <v>2021</v>
      </c>
      <c r="L5988" s="1" t="str">
        <f t="shared" si="2"/>
        <v>Mar</v>
      </c>
      <c r="M5988" s="1" t="str">
        <f t="shared" si="3"/>
        <v>Profit</v>
      </c>
    </row>
    <row r="5989" ht="14.25" customHeight="1">
      <c r="A5989" s="1" t="s">
        <v>6023</v>
      </c>
      <c r="B5989" s="2">
        <v>44218.0</v>
      </c>
      <c r="C5989" s="1" t="s">
        <v>14</v>
      </c>
      <c r="D5989" s="1" t="s">
        <v>21</v>
      </c>
      <c r="E5989" s="1" t="s">
        <v>22</v>
      </c>
      <c r="F5989" s="1">
        <v>978.11</v>
      </c>
      <c r="G5989" s="1">
        <v>234.06</v>
      </c>
      <c r="H5989" s="1">
        <v>9.0</v>
      </c>
      <c r="I5989" s="1" t="s">
        <v>17</v>
      </c>
      <c r="J5989" s="1" t="s">
        <v>24</v>
      </c>
      <c r="K5989" s="1">
        <f t="shared" si="1"/>
        <v>2021</v>
      </c>
      <c r="L5989" s="1" t="str">
        <f t="shared" si="2"/>
        <v>Jan</v>
      </c>
      <c r="M5989" s="1" t="str">
        <f t="shared" si="3"/>
        <v>Profit</v>
      </c>
    </row>
    <row r="5990" ht="14.25" customHeight="1">
      <c r="A5990" s="1" t="s">
        <v>6024</v>
      </c>
      <c r="B5990" s="2">
        <v>44852.0</v>
      </c>
      <c r="C5990" s="1" t="s">
        <v>20</v>
      </c>
      <c r="D5990" s="1" t="s">
        <v>21</v>
      </c>
      <c r="E5990" s="1" t="s">
        <v>22</v>
      </c>
      <c r="F5990" s="1">
        <v>303.26</v>
      </c>
      <c r="G5990" s="1">
        <v>-29.87</v>
      </c>
      <c r="H5990" s="1">
        <v>4.0</v>
      </c>
      <c r="I5990" s="1" t="s">
        <v>17</v>
      </c>
      <c r="J5990" s="1" t="s">
        <v>18</v>
      </c>
      <c r="K5990" s="1">
        <f t="shared" si="1"/>
        <v>2022</v>
      </c>
      <c r="L5990" s="1" t="str">
        <f t="shared" si="2"/>
        <v>Oct</v>
      </c>
      <c r="M5990" s="1" t="str">
        <f t="shared" si="3"/>
        <v>Loss</v>
      </c>
    </row>
    <row r="5991" ht="14.25" customHeight="1">
      <c r="A5991" s="1" t="s">
        <v>6025</v>
      </c>
      <c r="B5991" s="2">
        <v>44593.0</v>
      </c>
      <c r="C5991" s="1" t="s">
        <v>20</v>
      </c>
      <c r="D5991" s="1" t="s">
        <v>15</v>
      </c>
      <c r="E5991" s="1" t="s">
        <v>16</v>
      </c>
      <c r="F5991" s="1">
        <v>485.45</v>
      </c>
      <c r="G5991" s="1">
        <v>192.86</v>
      </c>
      <c r="H5991" s="1">
        <v>9.0</v>
      </c>
      <c r="I5991" s="1" t="s">
        <v>34</v>
      </c>
      <c r="J5991" s="1" t="s">
        <v>35</v>
      </c>
      <c r="K5991" s="1">
        <f t="shared" si="1"/>
        <v>2022</v>
      </c>
      <c r="L5991" s="1" t="str">
        <f t="shared" si="2"/>
        <v>Feb</v>
      </c>
      <c r="M5991" s="1" t="str">
        <f t="shared" si="3"/>
        <v>Profit</v>
      </c>
    </row>
    <row r="5992" ht="14.25" customHeight="1">
      <c r="A5992" s="1" t="s">
        <v>6026</v>
      </c>
      <c r="B5992" s="2">
        <v>44250.0</v>
      </c>
      <c r="C5992" s="1" t="s">
        <v>20</v>
      </c>
      <c r="D5992" s="1" t="s">
        <v>15</v>
      </c>
      <c r="E5992" s="1" t="s">
        <v>16</v>
      </c>
      <c r="F5992" s="1">
        <v>78.68</v>
      </c>
      <c r="G5992" s="1">
        <v>143.99</v>
      </c>
      <c r="H5992" s="1">
        <v>9.0</v>
      </c>
      <c r="I5992" s="1" t="s">
        <v>17</v>
      </c>
      <c r="J5992" s="1" t="s">
        <v>38</v>
      </c>
      <c r="K5992" s="1">
        <f t="shared" si="1"/>
        <v>2021</v>
      </c>
      <c r="L5992" s="1" t="str">
        <f t="shared" si="2"/>
        <v>Feb</v>
      </c>
      <c r="M5992" s="1" t="str">
        <f t="shared" si="3"/>
        <v>Profit</v>
      </c>
    </row>
    <row r="5993" ht="14.25" customHeight="1">
      <c r="A5993" s="1" t="s">
        <v>6027</v>
      </c>
      <c r="B5993" s="2">
        <v>44999.0</v>
      </c>
      <c r="C5993" s="1" t="s">
        <v>14</v>
      </c>
      <c r="D5993" s="1" t="s">
        <v>21</v>
      </c>
      <c r="E5993" s="1" t="s">
        <v>22</v>
      </c>
      <c r="F5993" s="1">
        <v>275.17</v>
      </c>
      <c r="G5993" s="1">
        <v>250.91</v>
      </c>
      <c r="H5993" s="1">
        <v>2.0</v>
      </c>
      <c r="I5993" s="1" t="s">
        <v>23</v>
      </c>
      <c r="J5993" s="1" t="s">
        <v>35</v>
      </c>
      <c r="K5993" s="1">
        <f t="shared" si="1"/>
        <v>2023</v>
      </c>
      <c r="L5993" s="1" t="str">
        <f t="shared" si="2"/>
        <v>Mar</v>
      </c>
      <c r="M5993" s="1" t="str">
        <f t="shared" si="3"/>
        <v>Profit</v>
      </c>
    </row>
    <row r="5994" ht="14.25" customHeight="1">
      <c r="A5994" s="1" t="s">
        <v>6028</v>
      </c>
      <c r="B5994" s="2">
        <v>44924.0</v>
      </c>
      <c r="C5994" s="1" t="s">
        <v>30</v>
      </c>
      <c r="D5994" s="1" t="s">
        <v>15</v>
      </c>
      <c r="E5994" s="1" t="s">
        <v>31</v>
      </c>
      <c r="F5994" s="1">
        <v>429.97</v>
      </c>
      <c r="G5994" s="1">
        <v>159.11</v>
      </c>
      <c r="H5994" s="1">
        <v>9.0</v>
      </c>
      <c r="I5994" s="1" t="s">
        <v>17</v>
      </c>
      <c r="J5994" s="1" t="s">
        <v>38</v>
      </c>
      <c r="K5994" s="1">
        <f t="shared" si="1"/>
        <v>2022</v>
      </c>
      <c r="L5994" s="1" t="str">
        <f t="shared" si="2"/>
        <v>Dec</v>
      </c>
      <c r="M5994" s="1" t="str">
        <f t="shared" si="3"/>
        <v>Profit</v>
      </c>
    </row>
    <row r="5995" ht="14.25" customHeight="1">
      <c r="A5995" s="1" t="s">
        <v>6029</v>
      </c>
      <c r="B5995" s="2">
        <v>44315.0</v>
      </c>
      <c r="C5995" s="1" t="s">
        <v>26</v>
      </c>
      <c r="D5995" s="1" t="s">
        <v>21</v>
      </c>
      <c r="E5995" s="1" t="s">
        <v>76</v>
      </c>
      <c r="F5995" s="1">
        <v>542.9</v>
      </c>
      <c r="G5995" s="1">
        <v>107.32</v>
      </c>
      <c r="H5995" s="1">
        <v>6.0</v>
      </c>
      <c r="I5995" s="1" t="s">
        <v>17</v>
      </c>
      <c r="J5995" s="1" t="s">
        <v>18</v>
      </c>
      <c r="K5995" s="1">
        <f t="shared" si="1"/>
        <v>2021</v>
      </c>
      <c r="L5995" s="1" t="str">
        <f t="shared" si="2"/>
        <v>Apr</v>
      </c>
      <c r="M5995" s="1" t="str">
        <f t="shared" si="3"/>
        <v>Profit</v>
      </c>
    </row>
    <row r="5996" ht="14.25" customHeight="1">
      <c r="A5996" s="1" t="s">
        <v>6030</v>
      </c>
      <c r="B5996" s="2">
        <v>44339.0</v>
      </c>
      <c r="C5996" s="1" t="s">
        <v>26</v>
      </c>
      <c r="D5996" s="1" t="s">
        <v>21</v>
      </c>
      <c r="E5996" s="1" t="s">
        <v>76</v>
      </c>
      <c r="F5996" s="1">
        <v>574.46</v>
      </c>
      <c r="G5996" s="1">
        <v>123.15</v>
      </c>
      <c r="H5996" s="1">
        <v>10.0</v>
      </c>
      <c r="I5996" s="1" t="s">
        <v>17</v>
      </c>
      <c r="J5996" s="1" t="s">
        <v>38</v>
      </c>
      <c r="K5996" s="1">
        <f t="shared" si="1"/>
        <v>2021</v>
      </c>
      <c r="L5996" s="1" t="str">
        <f t="shared" si="2"/>
        <v>May</v>
      </c>
      <c r="M5996" s="1" t="str">
        <f t="shared" si="3"/>
        <v>Profit</v>
      </c>
    </row>
    <row r="5997" ht="14.25" customHeight="1">
      <c r="A5997" s="1" t="s">
        <v>6031</v>
      </c>
      <c r="B5997" s="2">
        <v>44468.0</v>
      </c>
      <c r="C5997" s="1" t="s">
        <v>14</v>
      </c>
      <c r="D5997" s="1" t="s">
        <v>27</v>
      </c>
      <c r="E5997" s="1" t="s">
        <v>28</v>
      </c>
      <c r="F5997" s="1">
        <v>453.06</v>
      </c>
      <c r="G5997" s="1">
        <v>-84.71</v>
      </c>
      <c r="H5997" s="1">
        <v>8.0</v>
      </c>
      <c r="I5997" s="1" t="s">
        <v>34</v>
      </c>
      <c r="J5997" s="1" t="s">
        <v>18</v>
      </c>
      <c r="K5997" s="1">
        <f t="shared" si="1"/>
        <v>2021</v>
      </c>
      <c r="L5997" s="1" t="str">
        <f t="shared" si="2"/>
        <v>Sep</v>
      </c>
      <c r="M5997" s="1" t="str">
        <f t="shared" si="3"/>
        <v>Loss</v>
      </c>
    </row>
    <row r="5998" ht="14.25" customHeight="1">
      <c r="A5998" s="1" t="s">
        <v>6032</v>
      </c>
      <c r="B5998" s="2">
        <v>45240.0</v>
      </c>
      <c r="C5998" s="1" t="s">
        <v>14</v>
      </c>
      <c r="D5998" s="1" t="s">
        <v>27</v>
      </c>
      <c r="E5998" s="1" t="s">
        <v>40</v>
      </c>
      <c r="F5998" s="1">
        <v>373.74</v>
      </c>
      <c r="G5998" s="1">
        <v>271.2</v>
      </c>
      <c r="H5998" s="1">
        <v>2.0</v>
      </c>
      <c r="I5998" s="1" t="s">
        <v>23</v>
      </c>
      <c r="J5998" s="1" t="s">
        <v>38</v>
      </c>
      <c r="K5998" s="1">
        <f t="shared" si="1"/>
        <v>2023</v>
      </c>
      <c r="L5998" s="1" t="str">
        <f t="shared" si="2"/>
        <v>Nov</v>
      </c>
      <c r="M5998" s="1" t="str">
        <f t="shared" si="3"/>
        <v>Profit</v>
      </c>
    </row>
    <row r="5999" ht="14.25" customHeight="1">
      <c r="A5999" s="1" t="s">
        <v>6033</v>
      </c>
      <c r="B5999" s="2">
        <v>45277.0</v>
      </c>
      <c r="C5999" s="1" t="s">
        <v>14</v>
      </c>
      <c r="D5999" s="1" t="s">
        <v>15</v>
      </c>
      <c r="E5999" s="1" t="s">
        <v>31</v>
      </c>
      <c r="F5999" s="1">
        <v>167.24</v>
      </c>
      <c r="G5999" s="1">
        <v>256.52</v>
      </c>
      <c r="H5999" s="1">
        <v>4.0</v>
      </c>
      <c r="I5999" s="1" t="s">
        <v>23</v>
      </c>
      <c r="J5999" s="1" t="s">
        <v>18</v>
      </c>
      <c r="K5999" s="1">
        <f t="shared" si="1"/>
        <v>2023</v>
      </c>
      <c r="L5999" s="1" t="str">
        <f t="shared" si="2"/>
        <v>Dec</v>
      </c>
      <c r="M5999" s="1" t="str">
        <f t="shared" si="3"/>
        <v>Profit</v>
      </c>
    </row>
    <row r="6000" ht="14.25" customHeight="1">
      <c r="A6000" s="1" t="s">
        <v>6034</v>
      </c>
      <c r="B6000" s="2">
        <v>44482.0</v>
      </c>
      <c r="C6000" s="1" t="s">
        <v>26</v>
      </c>
      <c r="D6000" s="1" t="s">
        <v>15</v>
      </c>
      <c r="E6000" s="1" t="s">
        <v>54</v>
      </c>
      <c r="F6000" s="1">
        <v>233.87</v>
      </c>
      <c r="G6000" s="1">
        <v>-78.47</v>
      </c>
      <c r="H6000" s="1">
        <v>8.0</v>
      </c>
      <c r="I6000" s="1" t="s">
        <v>34</v>
      </c>
      <c r="J6000" s="1" t="s">
        <v>18</v>
      </c>
      <c r="K6000" s="1">
        <f t="shared" si="1"/>
        <v>2021</v>
      </c>
      <c r="L6000" s="1" t="str">
        <f t="shared" si="2"/>
        <v>Oct</v>
      </c>
      <c r="M6000" s="1" t="str">
        <f t="shared" si="3"/>
        <v>Loss</v>
      </c>
    </row>
    <row r="6001" ht="14.25" customHeight="1">
      <c r="A6001" s="1" t="s">
        <v>6035</v>
      </c>
      <c r="B6001" s="2">
        <v>45083.0</v>
      </c>
      <c r="C6001" s="1" t="s">
        <v>30</v>
      </c>
      <c r="D6001" s="1" t="s">
        <v>27</v>
      </c>
      <c r="E6001" s="1" t="s">
        <v>28</v>
      </c>
      <c r="F6001" s="1">
        <v>94.3</v>
      </c>
      <c r="G6001" s="1">
        <v>142.45</v>
      </c>
      <c r="H6001" s="1">
        <v>3.0</v>
      </c>
      <c r="I6001" s="1" t="s">
        <v>23</v>
      </c>
      <c r="J6001" s="1" t="s">
        <v>38</v>
      </c>
      <c r="K6001" s="1">
        <f t="shared" si="1"/>
        <v>2023</v>
      </c>
      <c r="L6001" s="1" t="str">
        <f t="shared" si="2"/>
        <v>Jun</v>
      </c>
      <c r="M6001" s="1" t="str">
        <f t="shared" si="3"/>
        <v>Profit</v>
      </c>
    </row>
    <row r="6002" ht="14.25" customHeight="1">
      <c r="A6002" s="1" t="s">
        <v>6036</v>
      </c>
      <c r="B6002" s="2">
        <v>45201.0</v>
      </c>
      <c r="C6002" s="1" t="s">
        <v>14</v>
      </c>
      <c r="D6002" s="1" t="s">
        <v>21</v>
      </c>
      <c r="E6002" s="1" t="s">
        <v>22</v>
      </c>
      <c r="F6002" s="1">
        <v>600.49</v>
      </c>
      <c r="G6002" s="1">
        <v>50.51</v>
      </c>
      <c r="H6002" s="1">
        <v>10.0</v>
      </c>
      <c r="I6002" s="1" t="s">
        <v>34</v>
      </c>
      <c r="J6002" s="1" t="s">
        <v>35</v>
      </c>
      <c r="K6002" s="1">
        <f t="shared" si="1"/>
        <v>2023</v>
      </c>
      <c r="L6002" s="1" t="str">
        <f t="shared" si="2"/>
        <v>Oct</v>
      </c>
      <c r="M6002" s="1" t="str">
        <f t="shared" si="3"/>
        <v>Profit</v>
      </c>
    </row>
    <row r="6003" ht="14.25" customHeight="1">
      <c r="A6003" s="1" t="s">
        <v>6037</v>
      </c>
      <c r="B6003" s="2">
        <v>44403.0</v>
      </c>
      <c r="C6003" s="1" t="s">
        <v>20</v>
      </c>
      <c r="D6003" s="1" t="s">
        <v>21</v>
      </c>
      <c r="E6003" s="1" t="s">
        <v>22</v>
      </c>
      <c r="F6003" s="1">
        <v>454.63</v>
      </c>
      <c r="G6003" s="1">
        <v>127.56</v>
      </c>
      <c r="H6003" s="1">
        <v>1.0</v>
      </c>
      <c r="I6003" s="1" t="s">
        <v>34</v>
      </c>
      <c r="J6003" s="1" t="s">
        <v>35</v>
      </c>
      <c r="K6003" s="1">
        <f t="shared" si="1"/>
        <v>2021</v>
      </c>
      <c r="L6003" s="1" t="str">
        <f t="shared" si="2"/>
        <v>Jul</v>
      </c>
      <c r="M6003" s="1" t="str">
        <f t="shared" si="3"/>
        <v>Profit</v>
      </c>
    </row>
    <row r="6004" ht="14.25" customHeight="1">
      <c r="A6004" s="1" t="s">
        <v>6038</v>
      </c>
      <c r="B6004" s="2">
        <v>45199.0</v>
      </c>
      <c r="C6004" s="1" t="s">
        <v>30</v>
      </c>
      <c r="D6004" s="1" t="s">
        <v>21</v>
      </c>
      <c r="E6004" s="1" t="s">
        <v>76</v>
      </c>
      <c r="F6004" s="1">
        <v>527.1</v>
      </c>
      <c r="G6004" s="1">
        <v>197.18</v>
      </c>
      <c r="H6004" s="1">
        <v>8.0</v>
      </c>
      <c r="I6004" s="1" t="s">
        <v>17</v>
      </c>
      <c r="J6004" s="1" t="s">
        <v>35</v>
      </c>
      <c r="K6004" s="1">
        <f t="shared" si="1"/>
        <v>2023</v>
      </c>
      <c r="L6004" s="1" t="str">
        <f t="shared" si="2"/>
        <v>Sep</v>
      </c>
      <c r="M6004" s="1" t="str">
        <f t="shared" si="3"/>
        <v>Profit</v>
      </c>
    </row>
    <row r="6005" ht="14.25" customHeight="1">
      <c r="A6005" s="1" t="s">
        <v>6039</v>
      </c>
      <c r="B6005" s="2">
        <v>44807.0</v>
      </c>
      <c r="C6005" s="1" t="s">
        <v>30</v>
      </c>
      <c r="D6005" s="1" t="s">
        <v>15</v>
      </c>
      <c r="E6005" s="1" t="s">
        <v>54</v>
      </c>
      <c r="F6005" s="1">
        <v>801.3</v>
      </c>
      <c r="G6005" s="1">
        <v>187.26</v>
      </c>
      <c r="H6005" s="1">
        <v>8.0</v>
      </c>
      <c r="I6005" s="1" t="s">
        <v>17</v>
      </c>
      <c r="J6005" s="1" t="s">
        <v>35</v>
      </c>
      <c r="K6005" s="1">
        <f t="shared" si="1"/>
        <v>2022</v>
      </c>
      <c r="L6005" s="1" t="str">
        <f t="shared" si="2"/>
        <v>Sep</v>
      </c>
      <c r="M6005" s="1" t="str">
        <f t="shared" si="3"/>
        <v>Profit</v>
      </c>
    </row>
    <row r="6006" ht="14.25" customHeight="1">
      <c r="A6006" s="1" t="s">
        <v>6040</v>
      </c>
      <c r="B6006" s="2">
        <v>44720.0</v>
      </c>
      <c r="C6006" s="1" t="s">
        <v>30</v>
      </c>
      <c r="D6006" s="1" t="s">
        <v>15</v>
      </c>
      <c r="E6006" s="1" t="s">
        <v>54</v>
      </c>
      <c r="F6006" s="1">
        <v>717.17</v>
      </c>
      <c r="G6006" s="1">
        <v>31.39</v>
      </c>
      <c r="H6006" s="1">
        <v>2.0</v>
      </c>
      <c r="I6006" s="1" t="s">
        <v>23</v>
      </c>
      <c r="J6006" s="1" t="s">
        <v>38</v>
      </c>
      <c r="K6006" s="1">
        <f t="shared" si="1"/>
        <v>2022</v>
      </c>
      <c r="L6006" s="1" t="str">
        <f t="shared" si="2"/>
        <v>Jun</v>
      </c>
      <c r="M6006" s="1" t="str">
        <f t="shared" si="3"/>
        <v>Profit</v>
      </c>
    </row>
    <row r="6007" ht="14.25" customHeight="1">
      <c r="A6007" s="1" t="s">
        <v>6041</v>
      </c>
      <c r="B6007" s="2">
        <v>44519.0</v>
      </c>
      <c r="C6007" s="1" t="s">
        <v>20</v>
      </c>
      <c r="D6007" s="1" t="s">
        <v>27</v>
      </c>
      <c r="E6007" s="1" t="s">
        <v>28</v>
      </c>
      <c r="F6007" s="1">
        <v>543.08</v>
      </c>
      <c r="G6007" s="1">
        <v>181.71</v>
      </c>
      <c r="H6007" s="1">
        <v>9.0</v>
      </c>
      <c r="I6007" s="1" t="s">
        <v>23</v>
      </c>
      <c r="J6007" s="1" t="s">
        <v>38</v>
      </c>
      <c r="K6007" s="1">
        <f t="shared" si="1"/>
        <v>2021</v>
      </c>
      <c r="L6007" s="1" t="str">
        <f t="shared" si="2"/>
        <v>Nov</v>
      </c>
      <c r="M6007" s="1" t="str">
        <f t="shared" si="3"/>
        <v>Profit</v>
      </c>
    </row>
    <row r="6008" ht="14.25" customHeight="1">
      <c r="A6008" s="1" t="s">
        <v>6042</v>
      </c>
      <c r="B6008" s="2">
        <v>45017.0</v>
      </c>
      <c r="C6008" s="1" t="s">
        <v>30</v>
      </c>
      <c r="D6008" s="1" t="s">
        <v>27</v>
      </c>
      <c r="E6008" s="1" t="s">
        <v>40</v>
      </c>
      <c r="F6008" s="1">
        <v>323.67</v>
      </c>
      <c r="G6008" s="1">
        <v>229.88</v>
      </c>
      <c r="H6008" s="1">
        <v>2.0</v>
      </c>
      <c r="I6008" s="1" t="s">
        <v>34</v>
      </c>
      <c r="J6008" s="1" t="s">
        <v>38</v>
      </c>
      <c r="K6008" s="1">
        <f t="shared" si="1"/>
        <v>2023</v>
      </c>
      <c r="L6008" s="1" t="str">
        <f t="shared" si="2"/>
        <v>Apr</v>
      </c>
      <c r="M6008" s="1" t="str">
        <f t="shared" si="3"/>
        <v>Profit</v>
      </c>
    </row>
    <row r="6009" ht="14.25" customHeight="1">
      <c r="A6009" s="1" t="s">
        <v>6043</v>
      </c>
      <c r="B6009" s="2">
        <v>44833.0</v>
      </c>
      <c r="C6009" s="1" t="s">
        <v>30</v>
      </c>
      <c r="D6009" s="1" t="s">
        <v>27</v>
      </c>
      <c r="E6009" s="1" t="s">
        <v>40</v>
      </c>
      <c r="F6009" s="1">
        <v>731.09</v>
      </c>
      <c r="G6009" s="1">
        <v>-14.28</v>
      </c>
      <c r="H6009" s="1">
        <v>2.0</v>
      </c>
      <c r="I6009" s="1" t="s">
        <v>23</v>
      </c>
      <c r="J6009" s="1" t="s">
        <v>18</v>
      </c>
      <c r="K6009" s="1">
        <f t="shared" si="1"/>
        <v>2022</v>
      </c>
      <c r="L6009" s="1" t="str">
        <f t="shared" si="2"/>
        <v>Sep</v>
      </c>
      <c r="M6009" s="1" t="str">
        <f t="shared" si="3"/>
        <v>Loss</v>
      </c>
    </row>
    <row r="6010" ht="14.25" customHeight="1">
      <c r="A6010" s="1" t="s">
        <v>6044</v>
      </c>
      <c r="B6010" s="2">
        <v>44531.0</v>
      </c>
      <c r="C6010" s="1" t="s">
        <v>26</v>
      </c>
      <c r="D6010" s="1" t="s">
        <v>21</v>
      </c>
      <c r="E6010" s="1" t="s">
        <v>37</v>
      </c>
      <c r="F6010" s="1">
        <v>796.19</v>
      </c>
      <c r="G6010" s="1">
        <v>165.9</v>
      </c>
      <c r="H6010" s="1">
        <v>1.0</v>
      </c>
      <c r="I6010" s="1" t="s">
        <v>23</v>
      </c>
      <c r="J6010" s="1" t="s">
        <v>38</v>
      </c>
      <c r="K6010" s="1">
        <f t="shared" si="1"/>
        <v>2021</v>
      </c>
      <c r="L6010" s="1" t="str">
        <f t="shared" si="2"/>
        <v>Dec</v>
      </c>
      <c r="M6010" s="1" t="str">
        <f t="shared" si="3"/>
        <v>Profit</v>
      </c>
    </row>
    <row r="6011" ht="14.25" customHeight="1">
      <c r="A6011" s="1" t="s">
        <v>6045</v>
      </c>
      <c r="B6011" s="2">
        <v>45207.0</v>
      </c>
      <c r="C6011" s="1" t="s">
        <v>26</v>
      </c>
      <c r="D6011" s="1" t="s">
        <v>27</v>
      </c>
      <c r="E6011" s="1" t="s">
        <v>28</v>
      </c>
      <c r="F6011" s="1">
        <v>608.02</v>
      </c>
      <c r="G6011" s="1">
        <v>218.0</v>
      </c>
      <c r="H6011" s="1">
        <v>5.0</v>
      </c>
      <c r="I6011" s="1" t="s">
        <v>34</v>
      </c>
      <c r="J6011" s="1" t="s">
        <v>24</v>
      </c>
      <c r="K6011" s="1">
        <f t="shared" si="1"/>
        <v>2023</v>
      </c>
      <c r="L6011" s="1" t="str">
        <f t="shared" si="2"/>
        <v>Oct</v>
      </c>
      <c r="M6011" s="1" t="str">
        <f t="shared" si="3"/>
        <v>Profit</v>
      </c>
    </row>
    <row r="6012" ht="14.25" customHeight="1">
      <c r="A6012" s="1" t="s">
        <v>6046</v>
      </c>
      <c r="B6012" s="2">
        <v>45284.0</v>
      </c>
      <c r="C6012" s="1" t="s">
        <v>20</v>
      </c>
      <c r="D6012" s="1" t="s">
        <v>15</v>
      </c>
      <c r="E6012" s="1" t="s">
        <v>31</v>
      </c>
      <c r="F6012" s="1">
        <v>24.01</v>
      </c>
      <c r="G6012" s="1">
        <v>148.11</v>
      </c>
      <c r="H6012" s="1">
        <v>4.0</v>
      </c>
      <c r="I6012" s="1" t="s">
        <v>23</v>
      </c>
      <c r="J6012" s="1" t="s">
        <v>38</v>
      </c>
      <c r="K6012" s="1">
        <f t="shared" si="1"/>
        <v>2023</v>
      </c>
      <c r="L6012" s="1" t="str">
        <f t="shared" si="2"/>
        <v>Dec</v>
      </c>
      <c r="M6012" s="1" t="str">
        <f t="shared" si="3"/>
        <v>Profit</v>
      </c>
    </row>
    <row r="6013" ht="14.25" customHeight="1">
      <c r="A6013" s="1" t="s">
        <v>6047</v>
      </c>
      <c r="B6013" s="2">
        <v>45150.0</v>
      </c>
      <c r="C6013" s="1" t="s">
        <v>30</v>
      </c>
      <c r="D6013" s="1" t="s">
        <v>15</v>
      </c>
      <c r="E6013" s="1" t="s">
        <v>54</v>
      </c>
      <c r="F6013" s="1">
        <v>482.57</v>
      </c>
      <c r="G6013" s="1">
        <v>273.73</v>
      </c>
      <c r="H6013" s="1">
        <v>8.0</v>
      </c>
      <c r="I6013" s="1" t="s">
        <v>23</v>
      </c>
      <c r="J6013" s="1" t="s">
        <v>38</v>
      </c>
      <c r="K6013" s="1">
        <f t="shared" si="1"/>
        <v>2023</v>
      </c>
      <c r="L6013" s="1" t="str">
        <f t="shared" si="2"/>
        <v>Aug</v>
      </c>
      <c r="M6013" s="1" t="str">
        <f t="shared" si="3"/>
        <v>Profit</v>
      </c>
    </row>
    <row r="6014" ht="14.25" customHeight="1">
      <c r="A6014" s="1" t="s">
        <v>6048</v>
      </c>
      <c r="B6014" s="2">
        <v>45131.0</v>
      </c>
      <c r="C6014" s="1" t="s">
        <v>26</v>
      </c>
      <c r="D6014" s="1" t="s">
        <v>15</v>
      </c>
      <c r="E6014" s="1" t="s">
        <v>31</v>
      </c>
      <c r="F6014" s="1">
        <v>632.19</v>
      </c>
      <c r="G6014" s="1">
        <v>-147.1</v>
      </c>
      <c r="H6014" s="1">
        <v>3.0</v>
      </c>
      <c r="I6014" s="1" t="s">
        <v>17</v>
      </c>
      <c r="J6014" s="1" t="s">
        <v>38</v>
      </c>
      <c r="K6014" s="1">
        <f t="shared" si="1"/>
        <v>2023</v>
      </c>
      <c r="L6014" s="1" t="str">
        <f t="shared" si="2"/>
        <v>Jul</v>
      </c>
      <c r="M6014" s="1" t="str">
        <f t="shared" si="3"/>
        <v>Loss</v>
      </c>
    </row>
    <row r="6015" ht="14.25" customHeight="1">
      <c r="A6015" s="1" t="s">
        <v>6049</v>
      </c>
      <c r="B6015" s="2">
        <v>44926.0</v>
      </c>
      <c r="C6015" s="1" t="s">
        <v>20</v>
      </c>
      <c r="D6015" s="1" t="s">
        <v>21</v>
      </c>
      <c r="E6015" s="1" t="s">
        <v>37</v>
      </c>
      <c r="F6015" s="1">
        <v>340.67</v>
      </c>
      <c r="G6015" s="1">
        <v>-194.03</v>
      </c>
      <c r="H6015" s="1">
        <v>2.0</v>
      </c>
      <c r="I6015" s="1" t="s">
        <v>17</v>
      </c>
      <c r="J6015" s="1" t="s">
        <v>38</v>
      </c>
      <c r="K6015" s="1">
        <f t="shared" si="1"/>
        <v>2022</v>
      </c>
      <c r="L6015" s="1" t="str">
        <f t="shared" si="2"/>
        <v>Dec</v>
      </c>
      <c r="M6015" s="1" t="str">
        <f t="shared" si="3"/>
        <v>Loss</v>
      </c>
    </row>
    <row r="6016" ht="14.25" customHeight="1">
      <c r="A6016" s="1" t="s">
        <v>6050</v>
      </c>
      <c r="B6016" s="2">
        <v>45171.0</v>
      </c>
      <c r="C6016" s="1" t="s">
        <v>30</v>
      </c>
      <c r="D6016" s="1" t="s">
        <v>21</v>
      </c>
      <c r="E6016" s="1" t="s">
        <v>22</v>
      </c>
      <c r="F6016" s="1">
        <v>294.95</v>
      </c>
      <c r="G6016" s="1">
        <v>293.05</v>
      </c>
      <c r="H6016" s="1">
        <v>6.0</v>
      </c>
      <c r="I6016" s="1" t="s">
        <v>23</v>
      </c>
      <c r="J6016" s="1" t="s">
        <v>24</v>
      </c>
      <c r="K6016" s="1">
        <f t="shared" si="1"/>
        <v>2023</v>
      </c>
      <c r="L6016" s="1" t="str">
        <f t="shared" si="2"/>
        <v>Sep</v>
      </c>
      <c r="M6016" s="1" t="str">
        <f t="shared" si="3"/>
        <v>Profit</v>
      </c>
    </row>
    <row r="6017" ht="14.25" customHeight="1">
      <c r="A6017" s="1" t="s">
        <v>6051</v>
      </c>
      <c r="B6017" s="2">
        <v>44331.0</v>
      </c>
      <c r="C6017" s="1" t="s">
        <v>26</v>
      </c>
      <c r="D6017" s="1" t="s">
        <v>15</v>
      </c>
      <c r="E6017" s="1" t="s">
        <v>31</v>
      </c>
      <c r="F6017" s="1">
        <v>625.25</v>
      </c>
      <c r="G6017" s="1">
        <v>22.97</v>
      </c>
      <c r="H6017" s="1">
        <v>7.0</v>
      </c>
      <c r="I6017" s="1" t="s">
        <v>17</v>
      </c>
      <c r="J6017" s="1" t="s">
        <v>35</v>
      </c>
      <c r="K6017" s="1">
        <f t="shared" si="1"/>
        <v>2021</v>
      </c>
      <c r="L6017" s="1" t="str">
        <f t="shared" si="2"/>
        <v>May</v>
      </c>
      <c r="M6017" s="1" t="str">
        <f t="shared" si="3"/>
        <v>Profit</v>
      </c>
    </row>
    <row r="6018" ht="14.25" customHeight="1">
      <c r="A6018" s="1" t="s">
        <v>6052</v>
      </c>
      <c r="B6018" s="2">
        <v>44410.0</v>
      </c>
      <c r="C6018" s="1" t="s">
        <v>26</v>
      </c>
      <c r="D6018" s="1" t="s">
        <v>27</v>
      </c>
      <c r="E6018" s="1" t="s">
        <v>33</v>
      </c>
      <c r="F6018" s="1">
        <v>803.08</v>
      </c>
      <c r="G6018" s="1">
        <v>25.69</v>
      </c>
      <c r="H6018" s="1">
        <v>9.0</v>
      </c>
      <c r="I6018" s="1" t="s">
        <v>23</v>
      </c>
      <c r="J6018" s="1" t="s">
        <v>24</v>
      </c>
      <c r="K6018" s="1">
        <f t="shared" si="1"/>
        <v>2021</v>
      </c>
      <c r="L6018" s="1" t="str">
        <f t="shared" si="2"/>
        <v>Aug</v>
      </c>
      <c r="M6018" s="1" t="str">
        <f t="shared" si="3"/>
        <v>Profit</v>
      </c>
    </row>
    <row r="6019" ht="14.25" customHeight="1">
      <c r="A6019" s="1" t="s">
        <v>6053</v>
      </c>
      <c r="B6019" s="2">
        <v>44604.0</v>
      </c>
      <c r="C6019" s="1" t="s">
        <v>26</v>
      </c>
      <c r="D6019" s="1" t="s">
        <v>21</v>
      </c>
      <c r="E6019" s="1" t="s">
        <v>76</v>
      </c>
      <c r="F6019" s="1">
        <v>370.5</v>
      </c>
      <c r="G6019" s="1">
        <v>-150.23</v>
      </c>
      <c r="H6019" s="1">
        <v>5.0</v>
      </c>
      <c r="I6019" s="1" t="s">
        <v>34</v>
      </c>
      <c r="J6019" s="1" t="s">
        <v>24</v>
      </c>
      <c r="K6019" s="1">
        <f t="shared" si="1"/>
        <v>2022</v>
      </c>
      <c r="L6019" s="1" t="str">
        <f t="shared" si="2"/>
        <v>Feb</v>
      </c>
      <c r="M6019" s="1" t="str">
        <f t="shared" si="3"/>
        <v>Loss</v>
      </c>
    </row>
    <row r="6020" ht="14.25" customHeight="1">
      <c r="A6020" s="1" t="s">
        <v>6054</v>
      </c>
      <c r="B6020" s="2">
        <v>44491.0</v>
      </c>
      <c r="C6020" s="1" t="s">
        <v>26</v>
      </c>
      <c r="D6020" s="1" t="s">
        <v>27</v>
      </c>
      <c r="E6020" s="1" t="s">
        <v>28</v>
      </c>
      <c r="F6020" s="1">
        <v>414.32</v>
      </c>
      <c r="G6020" s="1">
        <v>-149.84</v>
      </c>
      <c r="H6020" s="1">
        <v>5.0</v>
      </c>
      <c r="I6020" s="1" t="s">
        <v>17</v>
      </c>
      <c r="J6020" s="1" t="s">
        <v>35</v>
      </c>
      <c r="K6020" s="1">
        <f t="shared" si="1"/>
        <v>2021</v>
      </c>
      <c r="L6020" s="1" t="str">
        <f t="shared" si="2"/>
        <v>Oct</v>
      </c>
      <c r="M6020" s="1" t="str">
        <f t="shared" si="3"/>
        <v>Loss</v>
      </c>
    </row>
    <row r="6021" ht="14.25" customHeight="1">
      <c r="A6021" s="1" t="s">
        <v>6055</v>
      </c>
      <c r="B6021" s="2">
        <v>44695.0</v>
      </c>
      <c r="C6021" s="1" t="s">
        <v>30</v>
      </c>
      <c r="D6021" s="1" t="s">
        <v>21</v>
      </c>
      <c r="E6021" s="1" t="s">
        <v>37</v>
      </c>
      <c r="F6021" s="1">
        <v>556.14</v>
      </c>
      <c r="G6021" s="1">
        <v>252.25</v>
      </c>
      <c r="H6021" s="1">
        <v>9.0</v>
      </c>
      <c r="I6021" s="1" t="s">
        <v>34</v>
      </c>
      <c r="J6021" s="1" t="s">
        <v>35</v>
      </c>
      <c r="K6021" s="1">
        <f t="shared" si="1"/>
        <v>2022</v>
      </c>
      <c r="L6021" s="1" t="str">
        <f t="shared" si="2"/>
        <v>May</v>
      </c>
      <c r="M6021" s="1" t="str">
        <f t="shared" si="3"/>
        <v>Profit</v>
      </c>
    </row>
    <row r="6022" ht="14.25" customHeight="1">
      <c r="A6022" s="1" t="s">
        <v>6056</v>
      </c>
      <c r="B6022" s="2">
        <v>44996.0</v>
      </c>
      <c r="C6022" s="1" t="s">
        <v>26</v>
      </c>
      <c r="D6022" s="1" t="s">
        <v>27</v>
      </c>
      <c r="E6022" s="1" t="s">
        <v>40</v>
      </c>
      <c r="F6022" s="1">
        <v>376.73</v>
      </c>
      <c r="G6022" s="1">
        <v>-1.35</v>
      </c>
      <c r="H6022" s="1">
        <v>7.0</v>
      </c>
      <c r="I6022" s="1" t="s">
        <v>34</v>
      </c>
      <c r="J6022" s="1" t="s">
        <v>18</v>
      </c>
      <c r="K6022" s="1">
        <f t="shared" si="1"/>
        <v>2023</v>
      </c>
      <c r="L6022" s="1" t="str">
        <f t="shared" si="2"/>
        <v>Mar</v>
      </c>
      <c r="M6022" s="1" t="str">
        <f t="shared" si="3"/>
        <v>Loss</v>
      </c>
    </row>
    <row r="6023" ht="14.25" customHeight="1">
      <c r="A6023" s="1" t="s">
        <v>6057</v>
      </c>
      <c r="B6023" s="2">
        <v>44482.0</v>
      </c>
      <c r="C6023" s="1" t="s">
        <v>26</v>
      </c>
      <c r="D6023" s="1" t="s">
        <v>27</v>
      </c>
      <c r="E6023" s="1" t="s">
        <v>33</v>
      </c>
      <c r="F6023" s="1">
        <v>88.45</v>
      </c>
      <c r="G6023" s="1">
        <v>-14.48</v>
      </c>
      <c r="H6023" s="1">
        <v>3.0</v>
      </c>
      <c r="I6023" s="1" t="s">
        <v>34</v>
      </c>
      <c r="J6023" s="1" t="s">
        <v>35</v>
      </c>
      <c r="K6023" s="1">
        <f t="shared" si="1"/>
        <v>2021</v>
      </c>
      <c r="L6023" s="1" t="str">
        <f t="shared" si="2"/>
        <v>Oct</v>
      </c>
      <c r="M6023" s="1" t="str">
        <f t="shared" si="3"/>
        <v>Loss</v>
      </c>
    </row>
    <row r="6024" ht="14.25" customHeight="1">
      <c r="A6024" s="1" t="s">
        <v>6058</v>
      </c>
      <c r="B6024" s="2">
        <v>44571.0</v>
      </c>
      <c r="C6024" s="1" t="s">
        <v>26</v>
      </c>
      <c r="D6024" s="1" t="s">
        <v>21</v>
      </c>
      <c r="E6024" s="1" t="s">
        <v>22</v>
      </c>
      <c r="F6024" s="1">
        <v>888.25</v>
      </c>
      <c r="G6024" s="1">
        <v>-13.8</v>
      </c>
      <c r="H6024" s="1">
        <v>10.0</v>
      </c>
      <c r="I6024" s="1" t="s">
        <v>23</v>
      </c>
      <c r="J6024" s="1" t="s">
        <v>24</v>
      </c>
      <c r="K6024" s="1">
        <f t="shared" si="1"/>
        <v>2022</v>
      </c>
      <c r="L6024" s="1" t="str">
        <f t="shared" si="2"/>
        <v>Jan</v>
      </c>
      <c r="M6024" s="1" t="str">
        <f t="shared" si="3"/>
        <v>Loss</v>
      </c>
    </row>
    <row r="6025" ht="14.25" customHeight="1">
      <c r="A6025" s="1" t="s">
        <v>6059</v>
      </c>
      <c r="B6025" s="2">
        <v>44879.0</v>
      </c>
      <c r="C6025" s="1" t="s">
        <v>26</v>
      </c>
      <c r="D6025" s="1" t="s">
        <v>15</v>
      </c>
      <c r="E6025" s="1" t="s">
        <v>54</v>
      </c>
      <c r="F6025" s="1">
        <v>226.92</v>
      </c>
      <c r="G6025" s="1">
        <v>280.09</v>
      </c>
      <c r="H6025" s="1">
        <v>4.0</v>
      </c>
      <c r="I6025" s="1" t="s">
        <v>34</v>
      </c>
      <c r="J6025" s="1" t="s">
        <v>35</v>
      </c>
      <c r="K6025" s="1">
        <f t="shared" si="1"/>
        <v>2022</v>
      </c>
      <c r="L6025" s="1" t="str">
        <f t="shared" si="2"/>
        <v>Nov</v>
      </c>
      <c r="M6025" s="1" t="str">
        <f t="shared" si="3"/>
        <v>Profit</v>
      </c>
    </row>
    <row r="6026" ht="14.25" customHeight="1">
      <c r="A6026" s="1" t="s">
        <v>6060</v>
      </c>
      <c r="B6026" s="2">
        <v>44577.0</v>
      </c>
      <c r="C6026" s="1" t="s">
        <v>14</v>
      </c>
      <c r="D6026" s="1" t="s">
        <v>15</v>
      </c>
      <c r="E6026" s="1" t="s">
        <v>16</v>
      </c>
      <c r="F6026" s="1">
        <v>150.25</v>
      </c>
      <c r="G6026" s="1">
        <v>54.3</v>
      </c>
      <c r="H6026" s="1">
        <v>3.0</v>
      </c>
      <c r="I6026" s="1" t="s">
        <v>34</v>
      </c>
      <c r="J6026" s="1" t="s">
        <v>35</v>
      </c>
      <c r="K6026" s="1">
        <f t="shared" si="1"/>
        <v>2022</v>
      </c>
      <c r="L6026" s="1" t="str">
        <f t="shared" si="2"/>
        <v>Jan</v>
      </c>
      <c r="M6026" s="1" t="str">
        <f t="shared" si="3"/>
        <v>Profit</v>
      </c>
    </row>
    <row r="6027" ht="14.25" customHeight="1">
      <c r="A6027" s="1" t="s">
        <v>6061</v>
      </c>
      <c r="B6027" s="2">
        <v>44922.0</v>
      </c>
      <c r="C6027" s="1" t="s">
        <v>26</v>
      </c>
      <c r="D6027" s="1" t="s">
        <v>15</v>
      </c>
      <c r="E6027" s="1" t="s">
        <v>31</v>
      </c>
      <c r="F6027" s="1">
        <v>837.05</v>
      </c>
      <c r="G6027" s="1">
        <v>194.17</v>
      </c>
      <c r="H6027" s="1">
        <v>10.0</v>
      </c>
      <c r="I6027" s="1" t="s">
        <v>34</v>
      </c>
      <c r="J6027" s="1" t="s">
        <v>24</v>
      </c>
      <c r="K6027" s="1">
        <f t="shared" si="1"/>
        <v>2022</v>
      </c>
      <c r="L6027" s="1" t="str">
        <f t="shared" si="2"/>
        <v>Dec</v>
      </c>
      <c r="M6027" s="1" t="str">
        <f t="shared" si="3"/>
        <v>Profit</v>
      </c>
    </row>
    <row r="6028" ht="14.25" customHeight="1">
      <c r="A6028" s="1" t="s">
        <v>6062</v>
      </c>
      <c r="B6028" s="2">
        <v>44240.0</v>
      </c>
      <c r="C6028" s="1" t="s">
        <v>14</v>
      </c>
      <c r="D6028" s="1" t="s">
        <v>27</v>
      </c>
      <c r="E6028" s="1" t="s">
        <v>28</v>
      </c>
      <c r="F6028" s="1">
        <v>723.25</v>
      </c>
      <c r="G6028" s="1">
        <v>-171.06</v>
      </c>
      <c r="H6028" s="1">
        <v>3.0</v>
      </c>
      <c r="I6028" s="1" t="s">
        <v>17</v>
      </c>
      <c r="J6028" s="1" t="s">
        <v>24</v>
      </c>
      <c r="K6028" s="1">
        <f t="shared" si="1"/>
        <v>2021</v>
      </c>
      <c r="L6028" s="1" t="str">
        <f t="shared" si="2"/>
        <v>Feb</v>
      </c>
      <c r="M6028" s="1" t="str">
        <f t="shared" si="3"/>
        <v>Loss</v>
      </c>
    </row>
    <row r="6029" ht="14.25" customHeight="1">
      <c r="A6029" s="1" t="s">
        <v>6063</v>
      </c>
      <c r="B6029" s="2">
        <v>45110.0</v>
      </c>
      <c r="C6029" s="1" t="s">
        <v>26</v>
      </c>
      <c r="D6029" s="1" t="s">
        <v>27</v>
      </c>
      <c r="E6029" s="1" t="s">
        <v>28</v>
      </c>
      <c r="F6029" s="1">
        <v>878.59</v>
      </c>
      <c r="G6029" s="1">
        <v>68.29</v>
      </c>
      <c r="H6029" s="1">
        <v>2.0</v>
      </c>
      <c r="I6029" s="1" t="s">
        <v>23</v>
      </c>
      <c r="J6029" s="1" t="s">
        <v>18</v>
      </c>
      <c r="K6029" s="1">
        <f t="shared" si="1"/>
        <v>2023</v>
      </c>
      <c r="L6029" s="1" t="str">
        <f t="shared" si="2"/>
        <v>Jul</v>
      </c>
      <c r="M6029" s="1" t="str">
        <f t="shared" si="3"/>
        <v>Profit</v>
      </c>
    </row>
    <row r="6030" ht="14.25" customHeight="1">
      <c r="A6030" s="1" t="s">
        <v>6064</v>
      </c>
      <c r="B6030" s="2">
        <v>44330.0</v>
      </c>
      <c r="C6030" s="1" t="s">
        <v>20</v>
      </c>
      <c r="D6030" s="1" t="s">
        <v>15</v>
      </c>
      <c r="E6030" s="1" t="s">
        <v>54</v>
      </c>
      <c r="F6030" s="1">
        <v>443.06</v>
      </c>
      <c r="G6030" s="1">
        <v>26.84</v>
      </c>
      <c r="H6030" s="1">
        <v>1.0</v>
      </c>
      <c r="I6030" s="1" t="s">
        <v>23</v>
      </c>
      <c r="J6030" s="1" t="s">
        <v>24</v>
      </c>
      <c r="K6030" s="1">
        <f t="shared" si="1"/>
        <v>2021</v>
      </c>
      <c r="L6030" s="1" t="str">
        <f t="shared" si="2"/>
        <v>May</v>
      </c>
      <c r="M6030" s="1" t="str">
        <f t="shared" si="3"/>
        <v>Profit</v>
      </c>
    </row>
    <row r="6031" ht="14.25" customHeight="1">
      <c r="A6031" s="1" t="s">
        <v>6065</v>
      </c>
      <c r="B6031" s="2">
        <v>44541.0</v>
      </c>
      <c r="C6031" s="1" t="s">
        <v>26</v>
      </c>
      <c r="D6031" s="1" t="s">
        <v>27</v>
      </c>
      <c r="E6031" s="1" t="s">
        <v>33</v>
      </c>
      <c r="F6031" s="1">
        <v>519.79</v>
      </c>
      <c r="G6031" s="1">
        <v>-157.99</v>
      </c>
      <c r="H6031" s="1">
        <v>7.0</v>
      </c>
      <c r="I6031" s="1" t="s">
        <v>23</v>
      </c>
      <c r="J6031" s="1" t="s">
        <v>35</v>
      </c>
      <c r="K6031" s="1">
        <f t="shared" si="1"/>
        <v>2021</v>
      </c>
      <c r="L6031" s="1" t="str">
        <f t="shared" si="2"/>
        <v>Dec</v>
      </c>
      <c r="M6031" s="1" t="str">
        <f t="shared" si="3"/>
        <v>Loss</v>
      </c>
    </row>
    <row r="6032" ht="14.25" customHeight="1">
      <c r="A6032" s="1" t="s">
        <v>6066</v>
      </c>
      <c r="B6032" s="2">
        <v>44307.0</v>
      </c>
      <c r="C6032" s="1" t="s">
        <v>20</v>
      </c>
      <c r="D6032" s="1" t="s">
        <v>21</v>
      </c>
      <c r="E6032" s="1" t="s">
        <v>37</v>
      </c>
      <c r="F6032" s="1">
        <v>96.13</v>
      </c>
      <c r="G6032" s="1">
        <v>-60.66</v>
      </c>
      <c r="H6032" s="1">
        <v>1.0</v>
      </c>
      <c r="I6032" s="1" t="s">
        <v>17</v>
      </c>
      <c r="J6032" s="1" t="s">
        <v>18</v>
      </c>
      <c r="K6032" s="1">
        <f t="shared" si="1"/>
        <v>2021</v>
      </c>
      <c r="L6032" s="1" t="str">
        <f t="shared" si="2"/>
        <v>Apr</v>
      </c>
      <c r="M6032" s="1" t="str">
        <f t="shared" si="3"/>
        <v>Loss</v>
      </c>
    </row>
    <row r="6033" ht="14.25" customHeight="1">
      <c r="A6033" s="1" t="s">
        <v>6067</v>
      </c>
      <c r="B6033" s="2">
        <v>45159.0</v>
      </c>
      <c r="C6033" s="1" t="s">
        <v>26</v>
      </c>
      <c r="D6033" s="1" t="s">
        <v>21</v>
      </c>
      <c r="E6033" s="1" t="s">
        <v>37</v>
      </c>
      <c r="F6033" s="1">
        <v>952.11</v>
      </c>
      <c r="G6033" s="1">
        <v>-31.95</v>
      </c>
      <c r="H6033" s="1">
        <v>7.0</v>
      </c>
      <c r="I6033" s="1" t="s">
        <v>34</v>
      </c>
      <c r="J6033" s="1" t="s">
        <v>35</v>
      </c>
      <c r="K6033" s="1">
        <f t="shared" si="1"/>
        <v>2023</v>
      </c>
      <c r="L6033" s="1" t="str">
        <f t="shared" si="2"/>
        <v>Aug</v>
      </c>
      <c r="M6033" s="1" t="str">
        <f t="shared" si="3"/>
        <v>Loss</v>
      </c>
    </row>
    <row r="6034" ht="14.25" customHeight="1">
      <c r="A6034" s="1" t="s">
        <v>6068</v>
      </c>
      <c r="B6034" s="2">
        <v>44377.0</v>
      </c>
      <c r="C6034" s="1" t="s">
        <v>20</v>
      </c>
      <c r="D6034" s="1" t="s">
        <v>15</v>
      </c>
      <c r="E6034" s="1" t="s">
        <v>54</v>
      </c>
      <c r="F6034" s="1">
        <v>517.0</v>
      </c>
      <c r="G6034" s="1">
        <v>-127.52</v>
      </c>
      <c r="H6034" s="1">
        <v>1.0</v>
      </c>
      <c r="I6034" s="1" t="s">
        <v>23</v>
      </c>
      <c r="J6034" s="1" t="s">
        <v>24</v>
      </c>
      <c r="K6034" s="1">
        <f t="shared" si="1"/>
        <v>2021</v>
      </c>
      <c r="L6034" s="1" t="str">
        <f t="shared" si="2"/>
        <v>Jun</v>
      </c>
      <c r="M6034" s="1" t="str">
        <f t="shared" si="3"/>
        <v>Loss</v>
      </c>
    </row>
    <row r="6035" ht="14.25" customHeight="1">
      <c r="A6035" s="1" t="s">
        <v>6069</v>
      </c>
      <c r="B6035" s="2">
        <v>44584.0</v>
      </c>
      <c r="C6035" s="1" t="s">
        <v>30</v>
      </c>
      <c r="D6035" s="1" t="s">
        <v>15</v>
      </c>
      <c r="E6035" s="1" t="s">
        <v>31</v>
      </c>
      <c r="F6035" s="1">
        <v>874.85</v>
      </c>
      <c r="G6035" s="1">
        <v>-66.46</v>
      </c>
      <c r="H6035" s="1">
        <v>9.0</v>
      </c>
      <c r="I6035" s="1" t="s">
        <v>23</v>
      </c>
      <c r="J6035" s="1" t="s">
        <v>35</v>
      </c>
      <c r="K6035" s="1">
        <f t="shared" si="1"/>
        <v>2022</v>
      </c>
      <c r="L6035" s="1" t="str">
        <f t="shared" si="2"/>
        <v>Jan</v>
      </c>
      <c r="M6035" s="1" t="str">
        <f t="shared" si="3"/>
        <v>Loss</v>
      </c>
    </row>
    <row r="6036" ht="14.25" customHeight="1">
      <c r="A6036" s="1" t="s">
        <v>6070</v>
      </c>
      <c r="B6036" s="2">
        <v>45069.0</v>
      </c>
      <c r="C6036" s="1" t="s">
        <v>30</v>
      </c>
      <c r="D6036" s="1" t="s">
        <v>27</v>
      </c>
      <c r="E6036" s="1" t="s">
        <v>40</v>
      </c>
      <c r="F6036" s="1">
        <v>984.01</v>
      </c>
      <c r="G6036" s="1">
        <v>241.48</v>
      </c>
      <c r="H6036" s="1">
        <v>6.0</v>
      </c>
      <c r="I6036" s="1" t="s">
        <v>17</v>
      </c>
      <c r="J6036" s="1" t="s">
        <v>35</v>
      </c>
      <c r="K6036" s="1">
        <f t="shared" si="1"/>
        <v>2023</v>
      </c>
      <c r="L6036" s="1" t="str">
        <f t="shared" si="2"/>
        <v>May</v>
      </c>
      <c r="M6036" s="1" t="str">
        <f t="shared" si="3"/>
        <v>Profit</v>
      </c>
    </row>
    <row r="6037" ht="14.25" customHeight="1">
      <c r="A6037" s="1" t="s">
        <v>6071</v>
      </c>
      <c r="B6037" s="2">
        <v>45209.0</v>
      </c>
      <c r="C6037" s="1" t="s">
        <v>26</v>
      </c>
      <c r="D6037" s="1" t="s">
        <v>15</v>
      </c>
      <c r="E6037" s="1" t="s">
        <v>54</v>
      </c>
      <c r="F6037" s="1">
        <v>228.64</v>
      </c>
      <c r="G6037" s="1">
        <v>-161.25</v>
      </c>
      <c r="H6037" s="1">
        <v>1.0</v>
      </c>
      <c r="I6037" s="1" t="s">
        <v>34</v>
      </c>
      <c r="J6037" s="1" t="s">
        <v>35</v>
      </c>
      <c r="K6037" s="1">
        <f t="shared" si="1"/>
        <v>2023</v>
      </c>
      <c r="L6037" s="1" t="str">
        <f t="shared" si="2"/>
        <v>Oct</v>
      </c>
      <c r="M6037" s="1" t="str">
        <f t="shared" si="3"/>
        <v>Loss</v>
      </c>
    </row>
    <row r="6038" ht="14.25" customHeight="1">
      <c r="A6038" s="1" t="s">
        <v>6072</v>
      </c>
      <c r="B6038" s="2">
        <v>45173.0</v>
      </c>
      <c r="C6038" s="1" t="s">
        <v>20</v>
      </c>
      <c r="D6038" s="1" t="s">
        <v>27</v>
      </c>
      <c r="E6038" s="1" t="s">
        <v>28</v>
      </c>
      <c r="F6038" s="1">
        <v>913.44</v>
      </c>
      <c r="G6038" s="1">
        <v>-65.38</v>
      </c>
      <c r="H6038" s="1">
        <v>9.0</v>
      </c>
      <c r="I6038" s="1" t="s">
        <v>34</v>
      </c>
      <c r="J6038" s="1" t="s">
        <v>35</v>
      </c>
      <c r="K6038" s="1">
        <f t="shared" si="1"/>
        <v>2023</v>
      </c>
      <c r="L6038" s="1" t="str">
        <f t="shared" si="2"/>
        <v>Sep</v>
      </c>
      <c r="M6038" s="1" t="str">
        <f t="shared" si="3"/>
        <v>Loss</v>
      </c>
    </row>
    <row r="6039" ht="14.25" customHeight="1">
      <c r="A6039" s="1" t="s">
        <v>6073</v>
      </c>
      <c r="B6039" s="2">
        <v>44706.0</v>
      </c>
      <c r="C6039" s="1" t="s">
        <v>20</v>
      </c>
      <c r="D6039" s="1" t="s">
        <v>15</v>
      </c>
      <c r="E6039" s="1" t="s">
        <v>54</v>
      </c>
      <c r="F6039" s="1">
        <v>405.73</v>
      </c>
      <c r="G6039" s="1">
        <v>-61.94</v>
      </c>
      <c r="H6039" s="1">
        <v>10.0</v>
      </c>
      <c r="I6039" s="1" t="s">
        <v>23</v>
      </c>
      <c r="J6039" s="1" t="s">
        <v>24</v>
      </c>
      <c r="K6039" s="1">
        <f t="shared" si="1"/>
        <v>2022</v>
      </c>
      <c r="L6039" s="1" t="str">
        <f t="shared" si="2"/>
        <v>May</v>
      </c>
      <c r="M6039" s="1" t="str">
        <f t="shared" si="3"/>
        <v>Loss</v>
      </c>
    </row>
    <row r="6040" ht="14.25" customHeight="1">
      <c r="A6040" s="1" t="s">
        <v>6074</v>
      </c>
      <c r="B6040" s="2">
        <v>44832.0</v>
      </c>
      <c r="C6040" s="1" t="s">
        <v>20</v>
      </c>
      <c r="D6040" s="1" t="s">
        <v>21</v>
      </c>
      <c r="E6040" s="1" t="s">
        <v>37</v>
      </c>
      <c r="F6040" s="1">
        <v>542.39</v>
      </c>
      <c r="G6040" s="1">
        <v>151.79</v>
      </c>
      <c r="H6040" s="1">
        <v>7.0</v>
      </c>
      <c r="I6040" s="1" t="s">
        <v>34</v>
      </c>
      <c r="J6040" s="1" t="s">
        <v>18</v>
      </c>
      <c r="K6040" s="1">
        <f t="shared" si="1"/>
        <v>2022</v>
      </c>
      <c r="L6040" s="1" t="str">
        <f t="shared" si="2"/>
        <v>Sep</v>
      </c>
      <c r="M6040" s="1" t="str">
        <f t="shared" si="3"/>
        <v>Profit</v>
      </c>
    </row>
    <row r="6041" ht="14.25" customHeight="1">
      <c r="A6041" s="1" t="s">
        <v>6075</v>
      </c>
      <c r="B6041" s="2">
        <v>44878.0</v>
      </c>
      <c r="C6041" s="1" t="s">
        <v>20</v>
      </c>
      <c r="D6041" s="1" t="s">
        <v>15</v>
      </c>
      <c r="E6041" s="1" t="s">
        <v>54</v>
      </c>
      <c r="F6041" s="1">
        <v>403.21</v>
      </c>
      <c r="G6041" s="1">
        <v>-103.36</v>
      </c>
      <c r="H6041" s="1">
        <v>7.0</v>
      </c>
      <c r="I6041" s="1" t="s">
        <v>23</v>
      </c>
      <c r="J6041" s="1" t="s">
        <v>35</v>
      </c>
      <c r="K6041" s="1">
        <f t="shared" si="1"/>
        <v>2022</v>
      </c>
      <c r="L6041" s="1" t="str">
        <f t="shared" si="2"/>
        <v>Nov</v>
      </c>
      <c r="M6041" s="1" t="str">
        <f t="shared" si="3"/>
        <v>Loss</v>
      </c>
    </row>
    <row r="6042" ht="14.25" customHeight="1">
      <c r="A6042" s="1" t="s">
        <v>6076</v>
      </c>
      <c r="B6042" s="2">
        <v>44359.0</v>
      </c>
      <c r="C6042" s="1" t="s">
        <v>26</v>
      </c>
      <c r="D6042" s="1" t="s">
        <v>27</v>
      </c>
      <c r="E6042" s="1" t="s">
        <v>33</v>
      </c>
      <c r="F6042" s="1">
        <v>966.6</v>
      </c>
      <c r="G6042" s="1">
        <v>-85.77</v>
      </c>
      <c r="H6042" s="1">
        <v>2.0</v>
      </c>
      <c r="I6042" s="1" t="s">
        <v>23</v>
      </c>
      <c r="J6042" s="1" t="s">
        <v>35</v>
      </c>
      <c r="K6042" s="1">
        <f t="shared" si="1"/>
        <v>2021</v>
      </c>
      <c r="L6042" s="1" t="str">
        <f t="shared" si="2"/>
        <v>Jun</v>
      </c>
      <c r="M6042" s="1" t="str">
        <f t="shared" si="3"/>
        <v>Loss</v>
      </c>
    </row>
    <row r="6043" ht="14.25" customHeight="1">
      <c r="A6043" s="1" t="s">
        <v>6077</v>
      </c>
      <c r="B6043" s="2">
        <v>45271.0</v>
      </c>
      <c r="C6043" s="1" t="s">
        <v>14</v>
      </c>
      <c r="D6043" s="1" t="s">
        <v>21</v>
      </c>
      <c r="E6043" s="1" t="s">
        <v>22</v>
      </c>
      <c r="F6043" s="1">
        <v>872.52</v>
      </c>
      <c r="G6043" s="1">
        <v>225.92</v>
      </c>
      <c r="H6043" s="1">
        <v>3.0</v>
      </c>
      <c r="I6043" s="1" t="s">
        <v>34</v>
      </c>
      <c r="J6043" s="1" t="s">
        <v>24</v>
      </c>
      <c r="K6043" s="1">
        <f t="shared" si="1"/>
        <v>2023</v>
      </c>
      <c r="L6043" s="1" t="str">
        <f t="shared" si="2"/>
        <v>Dec</v>
      </c>
      <c r="M6043" s="1" t="str">
        <f t="shared" si="3"/>
        <v>Profit</v>
      </c>
    </row>
    <row r="6044" ht="14.25" customHeight="1">
      <c r="A6044" s="1" t="s">
        <v>6078</v>
      </c>
      <c r="B6044" s="2">
        <v>45098.0</v>
      </c>
      <c r="C6044" s="1" t="s">
        <v>30</v>
      </c>
      <c r="D6044" s="1" t="s">
        <v>27</v>
      </c>
      <c r="E6044" s="1" t="s">
        <v>33</v>
      </c>
      <c r="F6044" s="1">
        <v>588.2</v>
      </c>
      <c r="G6044" s="1">
        <v>-21.94</v>
      </c>
      <c r="H6044" s="1">
        <v>4.0</v>
      </c>
      <c r="I6044" s="1" t="s">
        <v>34</v>
      </c>
      <c r="J6044" s="1" t="s">
        <v>38</v>
      </c>
      <c r="K6044" s="1">
        <f t="shared" si="1"/>
        <v>2023</v>
      </c>
      <c r="L6044" s="1" t="str">
        <f t="shared" si="2"/>
        <v>Jun</v>
      </c>
      <c r="M6044" s="1" t="str">
        <f t="shared" si="3"/>
        <v>Loss</v>
      </c>
    </row>
    <row r="6045" ht="14.25" customHeight="1">
      <c r="A6045" s="1" t="s">
        <v>6079</v>
      </c>
      <c r="B6045" s="2">
        <v>45019.0</v>
      </c>
      <c r="C6045" s="1" t="s">
        <v>26</v>
      </c>
      <c r="D6045" s="1" t="s">
        <v>21</v>
      </c>
      <c r="E6045" s="1" t="s">
        <v>76</v>
      </c>
      <c r="F6045" s="1">
        <v>517.02</v>
      </c>
      <c r="G6045" s="1">
        <v>235.06</v>
      </c>
      <c r="H6045" s="1">
        <v>10.0</v>
      </c>
      <c r="I6045" s="1" t="s">
        <v>34</v>
      </c>
      <c r="J6045" s="1" t="s">
        <v>35</v>
      </c>
      <c r="K6045" s="1">
        <f t="shared" si="1"/>
        <v>2023</v>
      </c>
      <c r="L6045" s="1" t="str">
        <f t="shared" si="2"/>
        <v>Apr</v>
      </c>
      <c r="M6045" s="1" t="str">
        <f t="shared" si="3"/>
        <v>Profit</v>
      </c>
    </row>
    <row r="6046" ht="14.25" customHeight="1">
      <c r="A6046" s="1" t="s">
        <v>6080</v>
      </c>
      <c r="B6046" s="2">
        <v>44965.0</v>
      </c>
      <c r="C6046" s="1" t="s">
        <v>26</v>
      </c>
      <c r="D6046" s="1" t="s">
        <v>15</v>
      </c>
      <c r="E6046" s="1" t="s">
        <v>16</v>
      </c>
      <c r="F6046" s="1">
        <v>922.07</v>
      </c>
      <c r="G6046" s="1">
        <v>203.25</v>
      </c>
      <c r="H6046" s="1">
        <v>2.0</v>
      </c>
      <c r="I6046" s="1" t="s">
        <v>34</v>
      </c>
      <c r="J6046" s="1" t="s">
        <v>38</v>
      </c>
      <c r="K6046" s="1">
        <f t="shared" si="1"/>
        <v>2023</v>
      </c>
      <c r="L6046" s="1" t="str">
        <f t="shared" si="2"/>
        <v>Feb</v>
      </c>
      <c r="M6046" s="1" t="str">
        <f t="shared" si="3"/>
        <v>Profit</v>
      </c>
    </row>
    <row r="6047" ht="14.25" customHeight="1">
      <c r="A6047" s="1" t="s">
        <v>6081</v>
      </c>
      <c r="B6047" s="2">
        <v>44389.0</v>
      </c>
      <c r="C6047" s="1" t="s">
        <v>30</v>
      </c>
      <c r="D6047" s="1" t="s">
        <v>27</v>
      </c>
      <c r="E6047" s="1" t="s">
        <v>33</v>
      </c>
      <c r="F6047" s="1">
        <v>261.04</v>
      </c>
      <c r="G6047" s="1">
        <v>197.41</v>
      </c>
      <c r="H6047" s="1">
        <v>3.0</v>
      </c>
      <c r="I6047" s="1" t="s">
        <v>34</v>
      </c>
      <c r="J6047" s="1" t="s">
        <v>35</v>
      </c>
      <c r="K6047" s="1">
        <f t="shared" si="1"/>
        <v>2021</v>
      </c>
      <c r="L6047" s="1" t="str">
        <f t="shared" si="2"/>
        <v>Jul</v>
      </c>
      <c r="M6047" s="1" t="str">
        <f t="shared" si="3"/>
        <v>Profit</v>
      </c>
    </row>
    <row r="6048" ht="14.25" customHeight="1">
      <c r="A6048" s="1" t="s">
        <v>6082</v>
      </c>
      <c r="B6048" s="2">
        <v>44864.0</v>
      </c>
      <c r="C6048" s="1" t="s">
        <v>30</v>
      </c>
      <c r="D6048" s="1" t="s">
        <v>27</v>
      </c>
      <c r="E6048" s="1" t="s">
        <v>33</v>
      </c>
      <c r="F6048" s="1">
        <v>206.86</v>
      </c>
      <c r="G6048" s="1">
        <v>-67.65</v>
      </c>
      <c r="H6048" s="1">
        <v>2.0</v>
      </c>
      <c r="I6048" s="1" t="s">
        <v>17</v>
      </c>
      <c r="J6048" s="1" t="s">
        <v>18</v>
      </c>
      <c r="K6048" s="1">
        <f t="shared" si="1"/>
        <v>2022</v>
      </c>
      <c r="L6048" s="1" t="str">
        <f t="shared" si="2"/>
        <v>Oct</v>
      </c>
      <c r="M6048" s="1" t="str">
        <f t="shared" si="3"/>
        <v>Loss</v>
      </c>
    </row>
    <row r="6049" ht="14.25" customHeight="1">
      <c r="A6049" s="1" t="s">
        <v>6083</v>
      </c>
      <c r="B6049" s="2">
        <v>44700.0</v>
      </c>
      <c r="C6049" s="1" t="s">
        <v>26</v>
      </c>
      <c r="D6049" s="1" t="s">
        <v>15</v>
      </c>
      <c r="E6049" s="1" t="s">
        <v>54</v>
      </c>
      <c r="F6049" s="1">
        <v>288.4</v>
      </c>
      <c r="G6049" s="1">
        <v>8.59</v>
      </c>
      <c r="H6049" s="1">
        <v>5.0</v>
      </c>
      <c r="I6049" s="1" t="s">
        <v>17</v>
      </c>
      <c r="J6049" s="1" t="s">
        <v>38</v>
      </c>
      <c r="K6049" s="1">
        <f t="shared" si="1"/>
        <v>2022</v>
      </c>
      <c r="L6049" s="1" t="str">
        <f t="shared" si="2"/>
        <v>May</v>
      </c>
      <c r="M6049" s="1" t="str">
        <f t="shared" si="3"/>
        <v>Profit</v>
      </c>
    </row>
    <row r="6050" ht="14.25" customHeight="1">
      <c r="A6050" s="1" t="s">
        <v>6084</v>
      </c>
      <c r="B6050" s="2">
        <v>44487.0</v>
      </c>
      <c r="C6050" s="1" t="s">
        <v>26</v>
      </c>
      <c r="D6050" s="1" t="s">
        <v>21</v>
      </c>
      <c r="E6050" s="1" t="s">
        <v>76</v>
      </c>
      <c r="F6050" s="1">
        <v>657.0</v>
      </c>
      <c r="G6050" s="1">
        <v>-168.89</v>
      </c>
      <c r="H6050" s="1">
        <v>7.0</v>
      </c>
      <c r="I6050" s="1" t="s">
        <v>34</v>
      </c>
      <c r="J6050" s="1" t="s">
        <v>35</v>
      </c>
      <c r="K6050" s="1">
        <f t="shared" si="1"/>
        <v>2021</v>
      </c>
      <c r="L6050" s="1" t="str">
        <f t="shared" si="2"/>
        <v>Oct</v>
      </c>
      <c r="M6050" s="1" t="str">
        <f t="shared" si="3"/>
        <v>Loss</v>
      </c>
    </row>
    <row r="6051" ht="14.25" customHeight="1">
      <c r="A6051" s="1" t="s">
        <v>6085</v>
      </c>
      <c r="B6051" s="2">
        <v>44381.0</v>
      </c>
      <c r="C6051" s="1" t="s">
        <v>14</v>
      </c>
      <c r="D6051" s="1" t="s">
        <v>27</v>
      </c>
      <c r="E6051" s="1" t="s">
        <v>40</v>
      </c>
      <c r="F6051" s="1">
        <v>609.28</v>
      </c>
      <c r="G6051" s="1">
        <v>-193.03</v>
      </c>
      <c r="H6051" s="1">
        <v>4.0</v>
      </c>
      <c r="I6051" s="1" t="s">
        <v>23</v>
      </c>
      <c r="J6051" s="1" t="s">
        <v>24</v>
      </c>
      <c r="K6051" s="1">
        <f t="shared" si="1"/>
        <v>2021</v>
      </c>
      <c r="L6051" s="1" t="str">
        <f t="shared" si="2"/>
        <v>Jul</v>
      </c>
      <c r="M6051" s="1" t="str">
        <f t="shared" si="3"/>
        <v>Loss</v>
      </c>
    </row>
    <row r="6052" ht="14.25" customHeight="1">
      <c r="A6052" s="1" t="s">
        <v>6086</v>
      </c>
      <c r="B6052" s="2">
        <v>44835.0</v>
      </c>
      <c r="C6052" s="1" t="s">
        <v>20</v>
      </c>
      <c r="D6052" s="1" t="s">
        <v>15</v>
      </c>
      <c r="E6052" s="1" t="s">
        <v>31</v>
      </c>
      <c r="F6052" s="1">
        <v>350.17</v>
      </c>
      <c r="G6052" s="1">
        <v>-185.75</v>
      </c>
      <c r="H6052" s="1">
        <v>2.0</v>
      </c>
      <c r="I6052" s="1" t="s">
        <v>34</v>
      </c>
      <c r="J6052" s="1" t="s">
        <v>18</v>
      </c>
      <c r="K6052" s="1">
        <f t="shared" si="1"/>
        <v>2022</v>
      </c>
      <c r="L6052" s="1" t="str">
        <f t="shared" si="2"/>
        <v>Oct</v>
      </c>
      <c r="M6052" s="1" t="str">
        <f t="shared" si="3"/>
        <v>Loss</v>
      </c>
    </row>
    <row r="6053" ht="14.25" customHeight="1">
      <c r="A6053" s="1" t="s">
        <v>6087</v>
      </c>
      <c r="B6053" s="2">
        <v>44561.0</v>
      </c>
      <c r="C6053" s="1" t="s">
        <v>20</v>
      </c>
      <c r="D6053" s="1" t="s">
        <v>21</v>
      </c>
      <c r="E6053" s="1" t="s">
        <v>22</v>
      </c>
      <c r="F6053" s="1">
        <v>681.37</v>
      </c>
      <c r="G6053" s="1">
        <v>71.54</v>
      </c>
      <c r="H6053" s="1">
        <v>3.0</v>
      </c>
      <c r="I6053" s="1" t="s">
        <v>34</v>
      </c>
      <c r="J6053" s="1" t="s">
        <v>24</v>
      </c>
      <c r="K6053" s="1">
        <f t="shared" si="1"/>
        <v>2021</v>
      </c>
      <c r="L6053" s="1" t="str">
        <f t="shared" si="2"/>
        <v>Dec</v>
      </c>
      <c r="M6053" s="1" t="str">
        <f t="shared" si="3"/>
        <v>Profit</v>
      </c>
    </row>
    <row r="6054" ht="14.25" customHeight="1">
      <c r="A6054" s="1" t="s">
        <v>6088</v>
      </c>
      <c r="B6054" s="2">
        <v>44903.0</v>
      </c>
      <c r="C6054" s="1" t="s">
        <v>26</v>
      </c>
      <c r="D6054" s="1" t="s">
        <v>27</v>
      </c>
      <c r="E6054" s="1" t="s">
        <v>40</v>
      </c>
      <c r="F6054" s="1">
        <v>266.86</v>
      </c>
      <c r="G6054" s="1">
        <v>-54.01</v>
      </c>
      <c r="H6054" s="1">
        <v>1.0</v>
      </c>
      <c r="I6054" s="1" t="s">
        <v>17</v>
      </c>
      <c r="J6054" s="1" t="s">
        <v>24</v>
      </c>
      <c r="K6054" s="1">
        <f t="shared" si="1"/>
        <v>2022</v>
      </c>
      <c r="L6054" s="1" t="str">
        <f t="shared" si="2"/>
        <v>Dec</v>
      </c>
      <c r="M6054" s="1" t="str">
        <f t="shared" si="3"/>
        <v>Loss</v>
      </c>
    </row>
    <row r="6055" ht="14.25" customHeight="1">
      <c r="A6055" s="1" t="s">
        <v>6089</v>
      </c>
      <c r="B6055" s="2">
        <v>44634.0</v>
      </c>
      <c r="C6055" s="1" t="s">
        <v>30</v>
      </c>
      <c r="D6055" s="1" t="s">
        <v>15</v>
      </c>
      <c r="E6055" s="1" t="s">
        <v>16</v>
      </c>
      <c r="F6055" s="1">
        <v>321.32</v>
      </c>
      <c r="G6055" s="1">
        <v>-111.04</v>
      </c>
      <c r="H6055" s="1">
        <v>4.0</v>
      </c>
      <c r="I6055" s="1" t="s">
        <v>23</v>
      </c>
      <c r="J6055" s="1" t="s">
        <v>35</v>
      </c>
      <c r="K6055" s="1">
        <f t="shared" si="1"/>
        <v>2022</v>
      </c>
      <c r="L6055" s="1" t="str">
        <f t="shared" si="2"/>
        <v>Mar</v>
      </c>
      <c r="M6055" s="1" t="str">
        <f t="shared" si="3"/>
        <v>Loss</v>
      </c>
    </row>
    <row r="6056" ht="14.25" customHeight="1">
      <c r="A6056" s="1" t="s">
        <v>6090</v>
      </c>
      <c r="B6056" s="2">
        <v>44751.0</v>
      </c>
      <c r="C6056" s="1" t="s">
        <v>26</v>
      </c>
      <c r="D6056" s="1" t="s">
        <v>27</v>
      </c>
      <c r="E6056" s="1" t="s">
        <v>40</v>
      </c>
      <c r="F6056" s="1">
        <v>968.64</v>
      </c>
      <c r="G6056" s="1">
        <v>-151.95</v>
      </c>
      <c r="H6056" s="1">
        <v>5.0</v>
      </c>
      <c r="I6056" s="1" t="s">
        <v>23</v>
      </c>
      <c r="J6056" s="1" t="s">
        <v>24</v>
      </c>
      <c r="K6056" s="1">
        <f t="shared" si="1"/>
        <v>2022</v>
      </c>
      <c r="L6056" s="1" t="str">
        <f t="shared" si="2"/>
        <v>Jul</v>
      </c>
      <c r="M6056" s="1" t="str">
        <f t="shared" si="3"/>
        <v>Loss</v>
      </c>
    </row>
    <row r="6057" ht="14.25" customHeight="1">
      <c r="A6057" s="1" t="s">
        <v>6091</v>
      </c>
      <c r="B6057" s="2">
        <v>45010.0</v>
      </c>
      <c r="C6057" s="1" t="s">
        <v>30</v>
      </c>
      <c r="D6057" s="1" t="s">
        <v>27</v>
      </c>
      <c r="E6057" s="1" t="s">
        <v>40</v>
      </c>
      <c r="F6057" s="1">
        <v>409.83</v>
      </c>
      <c r="G6057" s="1">
        <v>-132.63</v>
      </c>
      <c r="H6057" s="1">
        <v>9.0</v>
      </c>
      <c r="I6057" s="1" t="s">
        <v>17</v>
      </c>
      <c r="J6057" s="1" t="s">
        <v>18</v>
      </c>
      <c r="K6057" s="1">
        <f t="shared" si="1"/>
        <v>2023</v>
      </c>
      <c r="L6057" s="1" t="str">
        <f t="shared" si="2"/>
        <v>Mar</v>
      </c>
      <c r="M6057" s="1" t="str">
        <f t="shared" si="3"/>
        <v>Loss</v>
      </c>
    </row>
    <row r="6058" ht="14.25" customHeight="1">
      <c r="A6058" s="1" t="s">
        <v>6092</v>
      </c>
      <c r="B6058" s="2">
        <v>44279.0</v>
      </c>
      <c r="C6058" s="1" t="s">
        <v>26</v>
      </c>
      <c r="D6058" s="1" t="s">
        <v>21</v>
      </c>
      <c r="E6058" s="1" t="s">
        <v>76</v>
      </c>
      <c r="F6058" s="1">
        <v>144.86</v>
      </c>
      <c r="G6058" s="1">
        <v>227.95</v>
      </c>
      <c r="H6058" s="1">
        <v>4.0</v>
      </c>
      <c r="I6058" s="1" t="s">
        <v>34</v>
      </c>
      <c r="J6058" s="1" t="s">
        <v>18</v>
      </c>
      <c r="K6058" s="1">
        <f t="shared" si="1"/>
        <v>2021</v>
      </c>
      <c r="L6058" s="1" t="str">
        <f t="shared" si="2"/>
        <v>Mar</v>
      </c>
      <c r="M6058" s="1" t="str">
        <f t="shared" si="3"/>
        <v>Profit</v>
      </c>
    </row>
    <row r="6059" ht="14.25" customHeight="1">
      <c r="A6059" s="1" t="s">
        <v>6093</v>
      </c>
      <c r="B6059" s="2">
        <v>44437.0</v>
      </c>
      <c r="C6059" s="1" t="s">
        <v>20</v>
      </c>
      <c r="D6059" s="1" t="s">
        <v>27</v>
      </c>
      <c r="E6059" s="1" t="s">
        <v>33</v>
      </c>
      <c r="F6059" s="1">
        <v>141.9</v>
      </c>
      <c r="G6059" s="1">
        <v>49.91</v>
      </c>
      <c r="H6059" s="1">
        <v>6.0</v>
      </c>
      <c r="I6059" s="1" t="s">
        <v>17</v>
      </c>
      <c r="J6059" s="1" t="s">
        <v>35</v>
      </c>
      <c r="K6059" s="1">
        <f t="shared" si="1"/>
        <v>2021</v>
      </c>
      <c r="L6059" s="1" t="str">
        <f t="shared" si="2"/>
        <v>Aug</v>
      </c>
      <c r="M6059" s="1" t="str">
        <f t="shared" si="3"/>
        <v>Profit</v>
      </c>
    </row>
    <row r="6060" ht="14.25" customHeight="1">
      <c r="A6060" s="1" t="s">
        <v>6094</v>
      </c>
      <c r="B6060" s="2">
        <v>45276.0</v>
      </c>
      <c r="C6060" s="1" t="s">
        <v>30</v>
      </c>
      <c r="D6060" s="1" t="s">
        <v>15</v>
      </c>
      <c r="E6060" s="1" t="s">
        <v>16</v>
      </c>
      <c r="F6060" s="1">
        <v>387.43</v>
      </c>
      <c r="G6060" s="1">
        <v>-77.17</v>
      </c>
      <c r="H6060" s="1">
        <v>4.0</v>
      </c>
      <c r="I6060" s="1" t="s">
        <v>34</v>
      </c>
      <c r="J6060" s="1" t="s">
        <v>18</v>
      </c>
      <c r="K6060" s="1">
        <f t="shared" si="1"/>
        <v>2023</v>
      </c>
      <c r="L6060" s="1" t="str">
        <f t="shared" si="2"/>
        <v>Dec</v>
      </c>
      <c r="M6060" s="1" t="str">
        <f t="shared" si="3"/>
        <v>Loss</v>
      </c>
    </row>
    <row r="6061" ht="14.25" customHeight="1">
      <c r="A6061" s="1" t="s">
        <v>6095</v>
      </c>
      <c r="B6061" s="2">
        <v>44880.0</v>
      </c>
      <c r="C6061" s="1" t="s">
        <v>30</v>
      </c>
      <c r="D6061" s="1" t="s">
        <v>27</v>
      </c>
      <c r="E6061" s="1" t="s">
        <v>28</v>
      </c>
      <c r="F6061" s="1">
        <v>44.9</v>
      </c>
      <c r="G6061" s="1">
        <v>-177.32</v>
      </c>
      <c r="H6061" s="1">
        <v>7.0</v>
      </c>
      <c r="I6061" s="1" t="s">
        <v>17</v>
      </c>
      <c r="J6061" s="1" t="s">
        <v>24</v>
      </c>
      <c r="K6061" s="1">
        <f t="shared" si="1"/>
        <v>2022</v>
      </c>
      <c r="L6061" s="1" t="str">
        <f t="shared" si="2"/>
        <v>Nov</v>
      </c>
      <c r="M6061" s="1" t="str">
        <f t="shared" si="3"/>
        <v>Loss</v>
      </c>
    </row>
    <row r="6062" ht="14.25" customHeight="1">
      <c r="A6062" s="1" t="s">
        <v>6096</v>
      </c>
      <c r="B6062" s="2">
        <v>44758.0</v>
      </c>
      <c r="C6062" s="1" t="s">
        <v>26</v>
      </c>
      <c r="D6062" s="1" t="s">
        <v>27</v>
      </c>
      <c r="E6062" s="1" t="s">
        <v>33</v>
      </c>
      <c r="F6062" s="1">
        <v>908.49</v>
      </c>
      <c r="G6062" s="1">
        <v>120.9</v>
      </c>
      <c r="H6062" s="1">
        <v>1.0</v>
      </c>
      <c r="I6062" s="1" t="s">
        <v>17</v>
      </c>
      <c r="J6062" s="1" t="s">
        <v>24</v>
      </c>
      <c r="K6062" s="1">
        <f t="shared" si="1"/>
        <v>2022</v>
      </c>
      <c r="L6062" s="1" t="str">
        <f t="shared" si="2"/>
        <v>Jul</v>
      </c>
      <c r="M6062" s="1" t="str">
        <f t="shared" si="3"/>
        <v>Profit</v>
      </c>
    </row>
    <row r="6063" ht="14.25" customHeight="1">
      <c r="A6063" s="1" t="s">
        <v>6097</v>
      </c>
      <c r="B6063" s="2">
        <v>45189.0</v>
      </c>
      <c r="C6063" s="1" t="s">
        <v>20</v>
      </c>
      <c r="D6063" s="1" t="s">
        <v>15</v>
      </c>
      <c r="E6063" s="1" t="s">
        <v>54</v>
      </c>
      <c r="F6063" s="1">
        <v>889.01</v>
      </c>
      <c r="G6063" s="1">
        <v>-72.49</v>
      </c>
      <c r="H6063" s="1">
        <v>5.0</v>
      </c>
      <c r="I6063" s="1" t="s">
        <v>34</v>
      </c>
      <c r="J6063" s="1" t="s">
        <v>18</v>
      </c>
      <c r="K6063" s="1">
        <f t="shared" si="1"/>
        <v>2023</v>
      </c>
      <c r="L6063" s="1" t="str">
        <f t="shared" si="2"/>
        <v>Sep</v>
      </c>
      <c r="M6063" s="1" t="str">
        <f t="shared" si="3"/>
        <v>Loss</v>
      </c>
    </row>
    <row r="6064" ht="14.25" customHeight="1">
      <c r="A6064" s="1" t="s">
        <v>6098</v>
      </c>
      <c r="B6064" s="2">
        <v>45153.0</v>
      </c>
      <c r="C6064" s="1" t="s">
        <v>14</v>
      </c>
      <c r="D6064" s="1" t="s">
        <v>15</v>
      </c>
      <c r="E6064" s="1" t="s">
        <v>16</v>
      </c>
      <c r="F6064" s="1">
        <v>787.1</v>
      </c>
      <c r="G6064" s="1">
        <v>-170.22</v>
      </c>
      <c r="H6064" s="1">
        <v>4.0</v>
      </c>
      <c r="I6064" s="1" t="s">
        <v>17</v>
      </c>
      <c r="J6064" s="1" t="s">
        <v>38</v>
      </c>
      <c r="K6064" s="1">
        <f t="shared" si="1"/>
        <v>2023</v>
      </c>
      <c r="L6064" s="1" t="str">
        <f t="shared" si="2"/>
        <v>Aug</v>
      </c>
      <c r="M6064" s="1" t="str">
        <f t="shared" si="3"/>
        <v>Loss</v>
      </c>
    </row>
    <row r="6065" ht="14.25" customHeight="1">
      <c r="A6065" s="1" t="s">
        <v>6099</v>
      </c>
      <c r="B6065" s="2">
        <v>44485.0</v>
      </c>
      <c r="C6065" s="1" t="s">
        <v>30</v>
      </c>
      <c r="D6065" s="1" t="s">
        <v>27</v>
      </c>
      <c r="E6065" s="1" t="s">
        <v>40</v>
      </c>
      <c r="F6065" s="1">
        <v>219.31</v>
      </c>
      <c r="G6065" s="1">
        <v>239.97</v>
      </c>
      <c r="H6065" s="1">
        <v>1.0</v>
      </c>
      <c r="I6065" s="1" t="s">
        <v>17</v>
      </c>
      <c r="J6065" s="1" t="s">
        <v>18</v>
      </c>
      <c r="K6065" s="1">
        <f t="shared" si="1"/>
        <v>2021</v>
      </c>
      <c r="L6065" s="1" t="str">
        <f t="shared" si="2"/>
        <v>Oct</v>
      </c>
      <c r="M6065" s="1" t="str">
        <f t="shared" si="3"/>
        <v>Profit</v>
      </c>
    </row>
    <row r="6066" ht="14.25" customHeight="1">
      <c r="A6066" s="1" t="s">
        <v>6100</v>
      </c>
      <c r="B6066" s="2">
        <v>44287.0</v>
      </c>
      <c r="C6066" s="1" t="s">
        <v>30</v>
      </c>
      <c r="D6066" s="1" t="s">
        <v>27</v>
      </c>
      <c r="E6066" s="1" t="s">
        <v>28</v>
      </c>
      <c r="F6066" s="1">
        <v>214.03</v>
      </c>
      <c r="G6066" s="1">
        <v>-172.87</v>
      </c>
      <c r="H6066" s="1">
        <v>6.0</v>
      </c>
      <c r="I6066" s="1" t="s">
        <v>34</v>
      </c>
      <c r="J6066" s="1" t="s">
        <v>24</v>
      </c>
      <c r="K6066" s="1">
        <f t="shared" si="1"/>
        <v>2021</v>
      </c>
      <c r="L6066" s="1" t="str">
        <f t="shared" si="2"/>
        <v>Apr</v>
      </c>
      <c r="M6066" s="1" t="str">
        <f t="shared" si="3"/>
        <v>Loss</v>
      </c>
    </row>
    <row r="6067" ht="14.25" customHeight="1">
      <c r="A6067" s="1" t="s">
        <v>6101</v>
      </c>
      <c r="B6067" s="2">
        <v>45085.0</v>
      </c>
      <c r="C6067" s="1" t="s">
        <v>30</v>
      </c>
      <c r="D6067" s="1" t="s">
        <v>21</v>
      </c>
      <c r="E6067" s="1" t="s">
        <v>37</v>
      </c>
      <c r="F6067" s="1">
        <v>119.11</v>
      </c>
      <c r="G6067" s="1">
        <v>101.98</v>
      </c>
      <c r="H6067" s="1">
        <v>4.0</v>
      </c>
      <c r="I6067" s="1" t="s">
        <v>23</v>
      </c>
      <c r="J6067" s="1" t="s">
        <v>35</v>
      </c>
      <c r="K6067" s="1">
        <f t="shared" si="1"/>
        <v>2023</v>
      </c>
      <c r="L6067" s="1" t="str">
        <f t="shared" si="2"/>
        <v>Jun</v>
      </c>
      <c r="M6067" s="1" t="str">
        <f t="shared" si="3"/>
        <v>Profit</v>
      </c>
    </row>
    <row r="6068" ht="14.25" customHeight="1">
      <c r="A6068" s="1" t="s">
        <v>6102</v>
      </c>
      <c r="B6068" s="2">
        <v>45161.0</v>
      </c>
      <c r="C6068" s="1" t="s">
        <v>30</v>
      </c>
      <c r="D6068" s="1" t="s">
        <v>15</v>
      </c>
      <c r="E6068" s="1" t="s">
        <v>54</v>
      </c>
      <c r="F6068" s="1">
        <v>885.31</v>
      </c>
      <c r="G6068" s="1">
        <v>-14.56</v>
      </c>
      <c r="H6068" s="1">
        <v>8.0</v>
      </c>
      <c r="I6068" s="1" t="s">
        <v>23</v>
      </c>
      <c r="J6068" s="1" t="s">
        <v>24</v>
      </c>
      <c r="K6068" s="1">
        <f t="shared" si="1"/>
        <v>2023</v>
      </c>
      <c r="L6068" s="1" t="str">
        <f t="shared" si="2"/>
        <v>Aug</v>
      </c>
      <c r="M6068" s="1" t="str">
        <f t="shared" si="3"/>
        <v>Loss</v>
      </c>
    </row>
    <row r="6069" ht="14.25" customHeight="1">
      <c r="A6069" s="1" t="s">
        <v>6103</v>
      </c>
      <c r="B6069" s="2">
        <v>44845.0</v>
      </c>
      <c r="C6069" s="1" t="s">
        <v>26</v>
      </c>
      <c r="D6069" s="1" t="s">
        <v>15</v>
      </c>
      <c r="E6069" s="1" t="s">
        <v>16</v>
      </c>
      <c r="F6069" s="1">
        <v>853.73</v>
      </c>
      <c r="G6069" s="1">
        <v>182.3</v>
      </c>
      <c r="H6069" s="1">
        <v>6.0</v>
      </c>
      <c r="I6069" s="1" t="s">
        <v>23</v>
      </c>
      <c r="J6069" s="1" t="s">
        <v>24</v>
      </c>
      <c r="K6069" s="1">
        <f t="shared" si="1"/>
        <v>2022</v>
      </c>
      <c r="L6069" s="1" t="str">
        <f t="shared" si="2"/>
        <v>Oct</v>
      </c>
      <c r="M6069" s="1" t="str">
        <f t="shared" si="3"/>
        <v>Profit</v>
      </c>
    </row>
    <row r="6070" ht="14.25" customHeight="1">
      <c r="A6070" s="1" t="s">
        <v>6104</v>
      </c>
      <c r="B6070" s="2">
        <v>45156.0</v>
      </c>
      <c r="C6070" s="1" t="s">
        <v>30</v>
      </c>
      <c r="D6070" s="1" t="s">
        <v>15</v>
      </c>
      <c r="E6070" s="1" t="s">
        <v>31</v>
      </c>
      <c r="F6070" s="1">
        <v>479.7</v>
      </c>
      <c r="G6070" s="1">
        <v>-13.0</v>
      </c>
      <c r="H6070" s="1">
        <v>3.0</v>
      </c>
      <c r="I6070" s="1" t="s">
        <v>34</v>
      </c>
      <c r="J6070" s="1" t="s">
        <v>18</v>
      </c>
      <c r="K6070" s="1">
        <f t="shared" si="1"/>
        <v>2023</v>
      </c>
      <c r="L6070" s="1" t="str">
        <f t="shared" si="2"/>
        <v>Aug</v>
      </c>
      <c r="M6070" s="1" t="str">
        <f t="shared" si="3"/>
        <v>Loss</v>
      </c>
    </row>
    <row r="6071" ht="14.25" customHeight="1">
      <c r="A6071" s="1" t="s">
        <v>6105</v>
      </c>
      <c r="B6071" s="2">
        <v>44445.0</v>
      </c>
      <c r="C6071" s="1" t="s">
        <v>14</v>
      </c>
      <c r="D6071" s="1" t="s">
        <v>21</v>
      </c>
      <c r="E6071" s="1" t="s">
        <v>76</v>
      </c>
      <c r="F6071" s="1">
        <v>97.36</v>
      </c>
      <c r="G6071" s="1">
        <v>225.2</v>
      </c>
      <c r="H6071" s="1">
        <v>3.0</v>
      </c>
      <c r="I6071" s="1" t="s">
        <v>23</v>
      </c>
      <c r="J6071" s="1" t="s">
        <v>24</v>
      </c>
      <c r="K6071" s="1">
        <f t="shared" si="1"/>
        <v>2021</v>
      </c>
      <c r="L6071" s="1" t="str">
        <f t="shared" si="2"/>
        <v>Sep</v>
      </c>
      <c r="M6071" s="1" t="str">
        <f t="shared" si="3"/>
        <v>Profit</v>
      </c>
    </row>
    <row r="6072" ht="14.25" customHeight="1">
      <c r="A6072" s="1" t="s">
        <v>6106</v>
      </c>
      <c r="B6072" s="2">
        <v>44827.0</v>
      </c>
      <c r="C6072" s="1" t="s">
        <v>26</v>
      </c>
      <c r="D6072" s="1" t="s">
        <v>21</v>
      </c>
      <c r="E6072" s="1" t="s">
        <v>22</v>
      </c>
      <c r="F6072" s="1">
        <v>565.08</v>
      </c>
      <c r="G6072" s="1">
        <v>-62.92</v>
      </c>
      <c r="H6072" s="1">
        <v>10.0</v>
      </c>
      <c r="I6072" s="1" t="s">
        <v>23</v>
      </c>
      <c r="J6072" s="1" t="s">
        <v>35</v>
      </c>
      <c r="K6072" s="1">
        <f t="shared" si="1"/>
        <v>2022</v>
      </c>
      <c r="L6072" s="1" t="str">
        <f t="shared" si="2"/>
        <v>Sep</v>
      </c>
      <c r="M6072" s="1" t="str">
        <f t="shared" si="3"/>
        <v>Loss</v>
      </c>
    </row>
    <row r="6073" ht="14.25" customHeight="1">
      <c r="A6073" s="1" t="s">
        <v>6107</v>
      </c>
      <c r="B6073" s="2">
        <v>44369.0</v>
      </c>
      <c r="C6073" s="1" t="s">
        <v>20</v>
      </c>
      <c r="D6073" s="1" t="s">
        <v>21</v>
      </c>
      <c r="E6073" s="1" t="s">
        <v>76</v>
      </c>
      <c r="F6073" s="1">
        <v>860.99</v>
      </c>
      <c r="G6073" s="1">
        <v>201.65</v>
      </c>
      <c r="H6073" s="1">
        <v>1.0</v>
      </c>
      <c r="I6073" s="1" t="s">
        <v>34</v>
      </c>
      <c r="J6073" s="1" t="s">
        <v>35</v>
      </c>
      <c r="K6073" s="1">
        <f t="shared" si="1"/>
        <v>2021</v>
      </c>
      <c r="L6073" s="1" t="str">
        <f t="shared" si="2"/>
        <v>Jun</v>
      </c>
      <c r="M6073" s="1" t="str">
        <f t="shared" si="3"/>
        <v>Profit</v>
      </c>
    </row>
    <row r="6074" ht="14.25" customHeight="1">
      <c r="A6074" s="1" t="s">
        <v>6108</v>
      </c>
      <c r="B6074" s="2">
        <v>44284.0</v>
      </c>
      <c r="C6074" s="1" t="s">
        <v>30</v>
      </c>
      <c r="D6074" s="1" t="s">
        <v>15</v>
      </c>
      <c r="E6074" s="1" t="s">
        <v>16</v>
      </c>
      <c r="F6074" s="1">
        <v>999.7</v>
      </c>
      <c r="G6074" s="1">
        <v>213.97</v>
      </c>
      <c r="H6074" s="1">
        <v>6.0</v>
      </c>
      <c r="I6074" s="1" t="s">
        <v>23</v>
      </c>
      <c r="J6074" s="1" t="s">
        <v>38</v>
      </c>
      <c r="K6074" s="1">
        <f t="shared" si="1"/>
        <v>2021</v>
      </c>
      <c r="L6074" s="1" t="str">
        <f t="shared" si="2"/>
        <v>Mar</v>
      </c>
      <c r="M6074" s="1" t="str">
        <f t="shared" si="3"/>
        <v>Profit</v>
      </c>
    </row>
    <row r="6075" ht="14.25" customHeight="1">
      <c r="A6075" s="1" t="s">
        <v>6109</v>
      </c>
      <c r="B6075" s="2">
        <v>44809.0</v>
      </c>
      <c r="C6075" s="1" t="s">
        <v>20</v>
      </c>
      <c r="D6075" s="1" t="s">
        <v>27</v>
      </c>
      <c r="E6075" s="1" t="s">
        <v>28</v>
      </c>
      <c r="F6075" s="1">
        <v>113.41</v>
      </c>
      <c r="G6075" s="1">
        <v>3.87</v>
      </c>
      <c r="H6075" s="1">
        <v>5.0</v>
      </c>
      <c r="I6075" s="1" t="s">
        <v>23</v>
      </c>
      <c r="J6075" s="1" t="s">
        <v>18</v>
      </c>
      <c r="K6075" s="1">
        <f t="shared" si="1"/>
        <v>2022</v>
      </c>
      <c r="L6075" s="1" t="str">
        <f t="shared" si="2"/>
        <v>Sep</v>
      </c>
      <c r="M6075" s="1" t="str">
        <f t="shared" si="3"/>
        <v>Profit</v>
      </c>
    </row>
    <row r="6076" ht="14.25" customHeight="1">
      <c r="A6076" s="1" t="s">
        <v>6110</v>
      </c>
      <c r="B6076" s="2">
        <v>44432.0</v>
      </c>
      <c r="C6076" s="1" t="s">
        <v>20</v>
      </c>
      <c r="D6076" s="1" t="s">
        <v>21</v>
      </c>
      <c r="E6076" s="1" t="s">
        <v>76</v>
      </c>
      <c r="F6076" s="1">
        <v>375.61</v>
      </c>
      <c r="G6076" s="1">
        <v>37.1</v>
      </c>
      <c r="H6076" s="1">
        <v>4.0</v>
      </c>
      <c r="I6076" s="1" t="s">
        <v>34</v>
      </c>
      <c r="J6076" s="1" t="s">
        <v>38</v>
      </c>
      <c r="K6076" s="1">
        <f t="shared" si="1"/>
        <v>2021</v>
      </c>
      <c r="L6076" s="1" t="str">
        <f t="shared" si="2"/>
        <v>Aug</v>
      </c>
      <c r="M6076" s="1" t="str">
        <f t="shared" si="3"/>
        <v>Profit</v>
      </c>
    </row>
    <row r="6077" ht="14.25" customHeight="1">
      <c r="A6077" s="1" t="s">
        <v>6111</v>
      </c>
      <c r="B6077" s="2">
        <v>44289.0</v>
      </c>
      <c r="C6077" s="1" t="s">
        <v>26</v>
      </c>
      <c r="D6077" s="1" t="s">
        <v>15</v>
      </c>
      <c r="E6077" s="1" t="s">
        <v>16</v>
      </c>
      <c r="F6077" s="1">
        <v>544.27</v>
      </c>
      <c r="G6077" s="1">
        <v>200.33</v>
      </c>
      <c r="H6077" s="1">
        <v>7.0</v>
      </c>
      <c r="I6077" s="1" t="s">
        <v>23</v>
      </c>
      <c r="J6077" s="1" t="s">
        <v>18</v>
      </c>
      <c r="K6077" s="1">
        <f t="shared" si="1"/>
        <v>2021</v>
      </c>
      <c r="L6077" s="1" t="str">
        <f t="shared" si="2"/>
        <v>Apr</v>
      </c>
      <c r="M6077" s="1" t="str">
        <f t="shared" si="3"/>
        <v>Profit</v>
      </c>
    </row>
    <row r="6078" ht="14.25" customHeight="1">
      <c r="A6078" s="1" t="s">
        <v>6112</v>
      </c>
      <c r="B6078" s="2">
        <v>44441.0</v>
      </c>
      <c r="C6078" s="1" t="s">
        <v>30</v>
      </c>
      <c r="D6078" s="1" t="s">
        <v>15</v>
      </c>
      <c r="E6078" s="1" t="s">
        <v>31</v>
      </c>
      <c r="F6078" s="1">
        <v>690.43</v>
      </c>
      <c r="G6078" s="1">
        <v>-147.76</v>
      </c>
      <c r="H6078" s="1">
        <v>3.0</v>
      </c>
      <c r="I6078" s="1" t="s">
        <v>23</v>
      </c>
      <c r="J6078" s="1" t="s">
        <v>35</v>
      </c>
      <c r="K6078" s="1">
        <f t="shared" si="1"/>
        <v>2021</v>
      </c>
      <c r="L6078" s="1" t="str">
        <f t="shared" si="2"/>
        <v>Sep</v>
      </c>
      <c r="M6078" s="1" t="str">
        <f t="shared" si="3"/>
        <v>Loss</v>
      </c>
    </row>
    <row r="6079" ht="14.25" customHeight="1">
      <c r="A6079" s="1" t="s">
        <v>6113</v>
      </c>
      <c r="B6079" s="2">
        <v>45032.0</v>
      </c>
      <c r="C6079" s="1" t="s">
        <v>14</v>
      </c>
      <c r="D6079" s="1" t="s">
        <v>21</v>
      </c>
      <c r="E6079" s="1" t="s">
        <v>22</v>
      </c>
      <c r="F6079" s="1">
        <v>202.25</v>
      </c>
      <c r="G6079" s="1">
        <v>-129.75</v>
      </c>
      <c r="H6079" s="1">
        <v>2.0</v>
      </c>
      <c r="I6079" s="1" t="s">
        <v>17</v>
      </c>
      <c r="J6079" s="1" t="s">
        <v>38</v>
      </c>
      <c r="K6079" s="1">
        <f t="shared" si="1"/>
        <v>2023</v>
      </c>
      <c r="L6079" s="1" t="str">
        <f t="shared" si="2"/>
        <v>Apr</v>
      </c>
      <c r="M6079" s="1" t="str">
        <f t="shared" si="3"/>
        <v>Loss</v>
      </c>
    </row>
    <row r="6080" ht="14.25" customHeight="1">
      <c r="A6080" s="1" t="s">
        <v>6114</v>
      </c>
      <c r="B6080" s="2">
        <v>44563.0</v>
      </c>
      <c r="C6080" s="1" t="s">
        <v>14</v>
      </c>
      <c r="D6080" s="1" t="s">
        <v>21</v>
      </c>
      <c r="E6080" s="1" t="s">
        <v>76</v>
      </c>
      <c r="F6080" s="1">
        <v>332.22</v>
      </c>
      <c r="G6080" s="1">
        <v>60.71</v>
      </c>
      <c r="H6080" s="1">
        <v>5.0</v>
      </c>
      <c r="I6080" s="1" t="s">
        <v>17</v>
      </c>
      <c r="J6080" s="1" t="s">
        <v>38</v>
      </c>
      <c r="K6080" s="1">
        <f t="shared" si="1"/>
        <v>2022</v>
      </c>
      <c r="L6080" s="1" t="str">
        <f t="shared" si="2"/>
        <v>Jan</v>
      </c>
      <c r="M6080" s="1" t="str">
        <f t="shared" si="3"/>
        <v>Profit</v>
      </c>
    </row>
    <row r="6081" ht="14.25" customHeight="1">
      <c r="A6081" s="1" t="s">
        <v>6115</v>
      </c>
      <c r="B6081" s="2">
        <v>45013.0</v>
      </c>
      <c r="C6081" s="1" t="s">
        <v>20</v>
      </c>
      <c r="D6081" s="1" t="s">
        <v>21</v>
      </c>
      <c r="E6081" s="1" t="s">
        <v>76</v>
      </c>
      <c r="F6081" s="1">
        <v>682.0</v>
      </c>
      <c r="G6081" s="1">
        <v>-193.91</v>
      </c>
      <c r="H6081" s="1">
        <v>4.0</v>
      </c>
      <c r="I6081" s="1" t="s">
        <v>23</v>
      </c>
      <c r="J6081" s="1" t="s">
        <v>38</v>
      </c>
      <c r="K6081" s="1">
        <f t="shared" si="1"/>
        <v>2023</v>
      </c>
      <c r="L6081" s="1" t="str">
        <f t="shared" si="2"/>
        <v>Mar</v>
      </c>
      <c r="M6081" s="1" t="str">
        <f t="shared" si="3"/>
        <v>Loss</v>
      </c>
    </row>
    <row r="6082" ht="14.25" customHeight="1">
      <c r="A6082" s="1" t="s">
        <v>6116</v>
      </c>
      <c r="B6082" s="2">
        <v>44635.0</v>
      </c>
      <c r="C6082" s="1" t="s">
        <v>20</v>
      </c>
      <c r="D6082" s="1" t="s">
        <v>15</v>
      </c>
      <c r="E6082" s="1" t="s">
        <v>54</v>
      </c>
      <c r="F6082" s="1">
        <v>200.58</v>
      </c>
      <c r="G6082" s="1">
        <v>81.24</v>
      </c>
      <c r="H6082" s="1">
        <v>1.0</v>
      </c>
      <c r="I6082" s="1" t="s">
        <v>23</v>
      </c>
      <c r="J6082" s="1" t="s">
        <v>38</v>
      </c>
      <c r="K6082" s="1">
        <f t="shared" si="1"/>
        <v>2022</v>
      </c>
      <c r="L6082" s="1" t="str">
        <f t="shared" si="2"/>
        <v>Mar</v>
      </c>
      <c r="M6082" s="1" t="str">
        <f t="shared" si="3"/>
        <v>Profit</v>
      </c>
    </row>
    <row r="6083" ht="14.25" customHeight="1">
      <c r="A6083" s="1" t="s">
        <v>6117</v>
      </c>
      <c r="B6083" s="2">
        <v>44997.0</v>
      </c>
      <c r="C6083" s="1" t="s">
        <v>14</v>
      </c>
      <c r="D6083" s="1" t="s">
        <v>21</v>
      </c>
      <c r="E6083" s="1" t="s">
        <v>76</v>
      </c>
      <c r="F6083" s="1">
        <v>158.67</v>
      </c>
      <c r="G6083" s="1">
        <v>-12.11</v>
      </c>
      <c r="H6083" s="1">
        <v>2.0</v>
      </c>
      <c r="I6083" s="1" t="s">
        <v>17</v>
      </c>
      <c r="J6083" s="1" t="s">
        <v>24</v>
      </c>
      <c r="K6083" s="1">
        <f t="shared" si="1"/>
        <v>2023</v>
      </c>
      <c r="L6083" s="1" t="str">
        <f t="shared" si="2"/>
        <v>Mar</v>
      </c>
      <c r="M6083" s="1" t="str">
        <f t="shared" si="3"/>
        <v>Loss</v>
      </c>
    </row>
    <row r="6084" ht="14.25" customHeight="1">
      <c r="A6084" s="1" t="s">
        <v>6118</v>
      </c>
      <c r="B6084" s="2">
        <v>44532.0</v>
      </c>
      <c r="C6084" s="1" t="s">
        <v>14</v>
      </c>
      <c r="D6084" s="1" t="s">
        <v>15</v>
      </c>
      <c r="E6084" s="1" t="s">
        <v>31</v>
      </c>
      <c r="F6084" s="1">
        <v>980.04</v>
      </c>
      <c r="G6084" s="1">
        <v>99.54</v>
      </c>
      <c r="H6084" s="1">
        <v>8.0</v>
      </c>
      <c r="I6084" s="1" t="s">
        <v>23</v>
      </c>
      <c r="J6084" s="1" t="s">
        <v>18</v>
      </c>
      <c r="K6084" s="1">
        <f t="shared" si="1"/>
        <v>2021</v>
      </c>
      <c r="L6084" s="1" t="str">
        <f t="shared" si="2"/>
        <v>Dec</v>
      </c>
      <c r="M6084" s="1" t="str">
        <f t="shared" si="3"/>
        <v>Profit</v>
      </c>
    </row>
    <row r="6085" ht="14.25" customHeight="1">
      <c r="A6085" s="1" t="s">
        <v>6119</v>
      </c>
      <c r="B6085" s="2">
        <v>45131.0</v>
      </c>
      <c r="C6085" s="1" t="s">
        <v>26</v>
      </c>
      <c r="D6085" s="1" t="s">
        <v>15</v>
      </c>
      <c r="E6085" s="1" t="s">
        <v>16</v>
      </c>
      <c r="F6085" s="1">
        <v>30.6</v>
      </c>
      <c r="G6085" s="1">
        <v>-160.19</v>
      </c>
      <c r="H6085" s="1">
        <v>9.0</v>
      </c>
      <c r="I6085" s="1" t="s">
        <v>23</v>
      </c>
      <c r="J6085" s="1" t="s">
        <v>24</v>
      </c>
      <c r="K6085" s="1">
        <f t="shared" si="1"/>
        <v>2023</v>
      </c>
      <c r="L6085" s="1" t="str">
        <f t="shared" si="2"/>
        <v>Jul</v>
      </c>
      <c r="M6085" s="1" t="str">
        <f t="shared" si="3"/>
        <v>Loss</v>
      </c>
    </row>
    <row r="6086" ht="14.25" customHeight="1">
      <c r="A6086" s="1" t="s">
        <v>6120</v>
      </c>
      <c r="B6086" s="2">
        <v>45047.0</v>
      </c>
      <c r="C6086" s="1" t="s">
        <v>14</v>
      </c>
      <c r="D6086" s="1" t="s">
        <v>27</v>
      </c>
      <c r="E6086" s="1" t="s">
        <v>40</v>
      </c>
      <c r="F6086" s="1">
        <v>118.22</v>
      </c>
      <c r="G6086" s="1">
        <v>81.45</v>
      </c>
      <c r="H6086" s="1">
        <v>3.0</v>
      </c>
      <c r="I6086" s="1" t="s">
        <v>17</v>
      </c>
      <c r="J6086" s="1" t="s">
        <v>38</v>
      </c>
      <c r="K6086" s="1">
        <f t="shared" si="1"/>
        <v>2023</v>
      </c>
      <c r="L6086" s="1" t="str">
        <f t="shared" si="2"/>
        <v>May</v>
      </c>
      <c r="M6086" s="1" t="str">
        <f t="shared" si="3"/>
        <v>Profit</v>
      </c>
    </row>
    <row r="6087" ht="14.25" customHeight="1">
      <c r="A6087" s="1" t="s">
        <v>6121</v>
      </c>
      <c r="B6087" s="2">
        <v>44554.0</v>
      </c>
      <c r="C6087" s="1" t="s">
        <v>26</v>
      </c>
      <c r="D6087" s="1" t="s">
        <v>27</v>
      </c>
      <c r="E6087" s="1" t="s">
        <v>40</v>
      </c>
      <c r="F6087" s="1">
        <v>953.48</v>
      </c>
      <c r="G6087" s="1">
        <v>25.75</v>
      </c>
      <c r="H6087" s="1">
        <v>3.0</v>
      </c>
      <c r="I6087" s="1" t="s">
        <v>34</v>
      </c>
      <c r="J6087" s="1" t="s">
        <v>24</v>
      </c>
      <c r="K6087" s="1">
        <f t="shared" si="1"/>
        <v>2021</v>
      </c>
      <c r="L6087" s="1" t="str">
        <f t="shared" si="2"/>
        <v>Dec</v>
      </c>
      <c r="M6087" s="1" t="str">
        <f t="shared" si="3"/>
        <v>Profit</v>
      </c>
    </row>
    <row r="6088" ht="14.25" customHeight="1">
      <c r="A6088" s="1" t="s">
        <v>6122</v>
      </c>
      <c r="B6088" s="2">
        <v>44735.0</v>
      </c>
      <c r="C6088" s="1" t="s">
        <v>20</v>
      </c>
      <c r="D6088" s="1" t="s">
        <v>15</v>
      </c>
      <c r="E6088" s="1" t="s">
        <v>31</v>
      </c>
      <c r="F6088" s="1">
        <v>973.66</v>
      </c>
      <c r="G6088" s="1">
        <v>-38.94</v>
      </c>
      <c r="H6088" s="1">
        <v>10.0</v>
      </c>
      <c r="I6088" s="1" t="s">
        <v>17</v>
      </c>
      <c r="J6088" s="1" t="s">
        <v>38</v>
      </c>
      <c r="K6088" s="1">
        <f t="shared" si="1"/>
        <v>2022</v>
      </c>
      <c r="L6088" s="1" t="str">
        <f t="shared" si="2"/>
        <v>Jun</v>
      </c>
      <c r="M6088" s="1" t="str">
        <f t="shared" si="3"/>
        <v>Loss</v>
      </c>
    </row>
    <row r="6089" ht="14.25" customHeight="1">
      <c r="A6089" s="1" t="s">
        <v>6123</v>
      </c>
      <c r="B6089" s="2">
        <v>45192.0</v>
      </c>
      <c r="C6089" s="1" t="s">
        <v>14</v>
      </c>
      <c r="D6089" s="1" t="s">
        <v>21</v>
      </c>
      <c r="E6089" s="1" t="s">
        <v>22</v>
      </c>
      <c r="F6089" s="1">
        <v>660.68</v>
      </c>
      <c r="G6089" s="1">
        <v>69.95</v>
      </c>
      <c r="H6089" s="1">
        <v>2.0</v>
      </c>
      <c r="I6089" s="1" t="s">
        <v>34</v>
      </c>
      <c r="J6089" s="1" t="s">
        <v>38</v>
      </c>
      <c r="K6089" s="1">
        <f t="shared" si="1"/>
        <v>2023</v>
      </c>
      <c r="L6089" s="1" t="str">
        <f t="shared" si="2"/>
        <v>Sep</v>
      </c>
      <c r="M6089" s="1" t="str">
        <f t="shared" si="3"/>
        <v>Profit</v>
      </c>
    </row>
    <row r="6090" ht="14.25" customHeight="1">
      <c r="A6090" s="1" t="s">
        <v>6124</v>
      </c>
      <c r="B6090" s="2">
        <v>45087.0</v>
      </c>
      <c r="C6090" s="1" t="s">
        <v>26</v>
      </c>
      <c r="D6090" s="1" t="s">
        <v>15</v>
      </c>
      <c r="E6090" s="1" t="s">
        <v>16</v>
      </c>
      <c r="F6090" s="1">
        <v>630.3</v>
      </c>
      <c r="G6090" s="1">
        <v>62.6</v>
      </c>
      <c r="H6090" s="1">
        <v>8.0</v>
      </c>
      <c r="I6090" s="1" t="s">
        <v>17</v>
      </c>
      <c r="J6090" s="1" t="s">
        <v>35</v>
      </c>
      <c r="K6090" s="1">
        <f t="shared" si="1"/>
        <v>2023</v>
      </c>
      <c r="L6090" s="1" t="str">
        <f t="shared" si="2"/>
        <v>Jun</v>
      </c>
      <c r="M6090" s="1" t="str">
        <f t="shared" si="3"/>
        <v>Profit</v>
      </c>
    </row>
    <row r="6091" ht="14.25" customHeight="1">
      <c r="A6091" s="1" t="s">
        <v>6125</v>
      </c>
      <c r="B6091" s="2">
        <v>44682.0</v>
      </c>
      <c r="C6091" s="1" t="s">
        <v>14</v>
      </c>
      <c r="D6091" s="1" t="s">
        <v>15</v>
      </c>
      <c r="E6091" s="1" t="s">
        <v>31</v>
      </c>
      <c r="F6091" s="1">
        <v>436.87</v>
      </c>
      <c r="G6091" s="1">
        <v>182.17</v>
      </c>
      <c r="H6091" s="1">
        <v>1.0</v>
      </c>
      <c r="I6091" s="1" t="s">
        <v>34</v>
      </c>
      <c r="J6091" s="1" t="s">
        <v>35</v>
      </c>
      <c r="K6091" s="1">
        <f t="shared" si="1"/>
        <v>2022</v>
      </c>
      <c r="L6091" s="1" t="str">
        <f t="shared" si="2"/>
        <v>May</v>
      </c>
      <c r="M6091" s="1" t="str">
        <f t="shared" si="3"/>
        <v>Profit</v>
      </c>
    </row>
    <row r="6092" ht="14.25" customHeight="1">
      <c r="A6092" s="1" t="s">
        <v>6126</v>
      </c>
      <c r="B6092" s="2">
        <v>44812.0</v>
      </c>
      <c r="C6092" s="1" t="s">
        <v>26</v>
      </c>
      <c r="D6092" s="1" t="s">
        <v>15</v>
      </c>
      <c r="E6092" s="1" t="s">
        <v>54</v>
      </c>
      <c r="F6092" s="1">
        <v>441.37</v>
      </c>
      <c r="G6092" s="1">
        <v>56.99</v>
      </c>
      <c r="H6092" s="1">
        <v>10.0</v>
      </c>
      <c r="I6092" s="1" t="s">
        <v>17</v>
      </c>
      <c r="J6092" s="1" t="s">
        <v>24</v>
      </c>
      <c r="K6092" s="1">
        <f t="shared" si="1"/>
        <v>2022</v>
      </c>
      <c r="L6092" s="1" t="str">
        <f t="shared" si="2"/>
        <v>Sep</v>
      </c>
      <c r="M6092" s="1" t="str">
        <f t="shared" si="3"/>
        <v>Profit</v>
      </c>
    </row>
    <row r="6093" ht="14.25" customHeight="1">
      <c r="A6093" s="1" t="s">
        <v>6127</v>
      </c>
      <c r="B6093" s="2">
        <v>44544.0</v>
      </c>
      <c r="C6093" s="1" t="s">
        <v>20</v>
      </c>
      <c r="D6093" s="1" t="s">
        <v>21</v>
      </c>
      <c r="E6093" s="1" t="s">
        <v>22</v>
      </c>
      <c r="F6093" s="1">
        <v>98.69</v>
      </c>
      <c r="G6093" s="1">
        <v>124.61</v>
      </c>
      <c r="H6093" s="1">
        <v>5.0</v>
      </c>
      <c r="I6093" s="1" t="s">
        <v>17</v>
      </c>
      <c r="J6093" s="1" t="s">
        <v>35</v>
      </c>
      <c r="K6093" s="1">
        <f t="shared" si="1"/>
        <v>2021</v>
      </c>
      <c r="L6093" s="1" t="str">
        <f t="shared" si="2"/>
        <v>Dec</v>
      </c>
      <c r="M6093" s="1" t="str">
        <f t="shared" si="3"/>
        <v>Profit</v>
      </c>
    </row>
    <row r="6094" ht="14.25" customHeight="1">
      <c r="A6094" s="1" t="s">
        <v>6128</v>
      </c>
      <c r="B6094" s="2">
        <v>44505.0</v>
      </c>
      <c r="C6094" s="1" t="s">
        <v>30</v>
      </c>
      <c r="D6094" s="1" t="s">
        <v>15</v>
      </c>
      <c r="E6094" s="1" t="s">
        <v>31</v>
      </c>
      <c r="F6094" s="1">
        <v>164.44</v>
      </c>
      <c r="G6094" s="1">
        <v>-68.14</v>
      </c>
      <c r="H6094" s="1">
        <v>10.0</v>
      </c>
      <c r="I6094" s="1" t="s">
        <v>34</v>
      </c>
      <c r="J6094" s="1" t="s">
        <v>24</v>
      </c>
      <c r="K6094" s="1">
        <f t="shared" si="1"/>
        <v>2021</v>
      </c>
      <c r="L6094" s="1" t="str">
        <f t="shared" si="2"/>
        <v>Nov</v>
      </c>
      <c r="M6094" s="1" t="str">
        <f t="shared" si="3"/>
        <v>Loss</v>
      </c>
    </row>
    <row r="6095" ht="14.25" customHeight="1">
      <c r="A6095" s="1" t="s">
        <v>6129</v>
      </c>
      <c r="B6095" s="2">
        <v>45017.0</v>
      </c>
      <c r="C6095" s="1" t="s">
        <v>26</v>
      </c>
      <c r="D6095" s="1" t="s">
        <v>15</v>
      </c>
      <c r="E6095" s="1" t="s">
        <v>54</v>
      </c>
      <c r="F6095" s="1">
        <v>482.36</v>
      </c>
      <c r="G6095" s="1">
        <v>0.89</v>
      </c>
      <c r="H6095" s="1">
        <v>2.0</v>
      </c>
      <c r="I6095" s="1" t="s">
        <v>17</v>
      </c>
      <c r="J6095" s="1" t="s">
        <v>24</v>
      </c>
      <c r="K6095" s="1">
        <f t="shared" si="1"/>
        <v>2023</v>
      </c>
      <c r="L6095" s="1" t="str">
        <f t="shared" si="2"/>
        <v>Apr</v>
      </c>
      <c r="M6095" s="1" t="str">
        <f t="shared" si="3"/>
        <v>Profit</v>
      </c>
    </row>
    <row r="6096" ht="14.25" customHeight="1">
      <c r="A6096" s="1" t="s">
        <v>6130</v>
      </c>
      <c r="B6096" s="2">
        <v>44894.0</v>
      </c>
      <c r="C6096" s="1" t="s">
        <v>26</v>
      </c>
      <c r="D6096" s="1" t="s">
        <v>21</v>
      </c>
      <c r="E6096" s="1" t="s">
        <v>22</v>
      </c>
      <c r="F6096" s="1">
        <v>490.11</v>
      </c>
      <c r="G6096" s="1">
        <v>-176.46</v>
      </c>
      <c r="H6096" s="1">
        <v>3.0</v>
      </c>
      <c r="I6096" s="1" t="s">
        <v>17</v>
      </c>
      <c r="J6096" s="1" t="s">
        <v>35</v>
      </c>
      <c r="K6096" s="1">
        <f t="shared" si="1"/>
        <v>2022</v>
      </c>
      <c r="L6096" s="1" t="str">
        <f t="shared" si="2"/>
        <v>Nov</v>
      </c>
      <c r="M6096" s="1" t="str">
        <f t="shared" si="3"/>
        <v>Loss</v>
      </c>
    </row>
    <row r="6097" ht="14.25" customHeight="1">
      <c r="A6097" s="1" t="s">
        <v>6131</v>
      </c>
      <c r="B6097" s="2">
        <v>44408.0</v>
      </c>
      <c r="C6097" s="1" t="s">
        <v>26</v>
      </c>
      <c r="D6097" s="1" t="s">
        <v>21</v>
      </c>
      <c r="E6097" s="1" t="s">
        <v>37</v>
      </c>
      <c r="F6097" s="1">
        <v>279.93</v>
      </c>
      <c r="G6097" s="1">
        <v>236.02</v>
      </c>
      <c r="H6097" s="1">
        <v>8.0</v>
      </c>
      <c r="I6097" s="1" t="s">
        <v>23</v>
      </c>
      <c r="J6097" s="1" t="s">
        <v>24</v>
      </c>
      <c r="K6097" s="1">
        <f t="shared" si="1"/>
        <v>2021</v>
      </c>
      <c r="L6097" s="1" t="str">
        <f t="shared" si="2"/>
        <v>Jul</v>
      </c>
      <c r="M6097" s="1" t="str">
        <f t="shared" si="3"/>
        <v>Profit</v>
      </c>
    </row>
    <row r="6098" ht="14.25" customHeight="1">
      <c r="A6098" s="1" t="s">
        <v>6132</v>
      </c>
      <c r="B6098" s="2">
        <v>44991.0</v>
      </c>
      <c r="C6098" s="1" t="s">
        <v>30</v>
      </c>
      <c r="D6098" s="1" t="s">
        <v>15</v>
      </c>
      <c r="E6098" s="1" t="s">
        <v>31</v>
      </c>
      <c r="F6098" s="1">
        <v>640.61</v>
      </c>
      <c r="G6098" s="1">
        <v>-96.08</v>
      </c>
      <c r="H6098" s="1">
        <v>9.0</v>
      </c>
      <c r="I6098" s="1" t="s">
        <v>23</v>
      </c>
      <c r="J6098" s="1" t="s">
        <v>24</v>
      </c>
      <c r="K6098" s="1">
        <f t="shared" si="1"/>
        <v>2023</v>
      </c>
      <c r="L6098" s="1" t="str">
        <f t="shared" si="2"/>
        <v>Mar</v>
      </c>
      <c r="M6098" s="1" t="str">
        <f t="shared" si="3"/>
        <v>Loss</v>
      </c>
    </row>
    <row r="6099" ht="14.25" customHeight="1">
      <c r="A6099" s="1" t="s">
        <v>6133</v>
      </c>
      <c r="B6099" s="2">
        <v>44218.0</v>
      </c>
      <c r="C6099" s="1" t="s">
        <v>26</v>
      </c>
      <c r="D6099" s="1" t="s">
        <v>15</v>
      </c>
      <c r="E6099" s="1" t="s">
        <v>54</v>
      </c>
      <c r="F6099" s="1">
        <v>557.75</v>
      </c>
      <c r="G6099" s="1">
        <v>142.93</v>
      </c>
      <c r="H6099" s="1">
        <v>5.0</v>
      </c>
      <c r="I6099" s="1" t="s">
        <v>17</v>
      </c>
      <c r="J6099" s="1" t="s">
        <v>38</v>
      </c>
      <c r="K6099" s="1">
        <f t="shared" si="1"/>
        <v>2021</v>
      </c>
      <c r="L6099" s="1" t="str">
        <f t="shared" si="2"/>
        <v>Jan</v>
      </c>
      <c r="M6099" s="1" t="str">
        <f t="shared" si="3"/>
        <v>Profit</v>
      </c>
    </row>
    <row r="6100" ht="14.25" customHeight="1">
      <c r="A6100" s="1" t="s">
        <v>6134</v>
      </c>
      <c r="B6100" s="2">
        <v>45105.0</v>
      </c>
      <c r="C6100" s="1" t="s">
        <v>26</v>
      </c>
      <c r="D6100" s="1" t="s">
        <v>27</v>
      </c>
      <c r="E6100" s="1" t="s">
        <v>33</v>
      </c>
      <c r="F6100" s="1">
        <v>509.39</v>
      </c>
      <c r="G6100" s="1">
        <v>92.28</v>
      </c>
      <c r="H6100" s="1">
        <v>6.0</v>
      </c>
      <c r="I6100" s="1" t="s">
        <v>23</v>
      </c>
      <c r="J6100" s="1" t="s">
        <v>35</v>
      </c>
      <c r="K6100" s="1">
        <f t="shared" si="1"/>
        <v>2023</v>
      </c>
      <c r="L6100" s="1" t="str">
        <f t="shared" si="2"/>
        <v>Jun</v>
      </c>
      <c r="M6100" s="1" t="str">
        <f t="shared" si="3"/>
        <v>Profit</v>
      </c>
    </row>
    <row r="6101" ht="14.25" customHeight="1">
      <c r="A6101" s="1" t="s">
        <v>6135</v>
      </c>
      <c r="B6101" s="2">
        <v>44972.0</v>
      </c>
      <c r="C6101" s="1" t="s">
        <v>26</v>
      </c>
      <c r="D6101" s="1" t="s">
        <v>15</v>
      </c>
      <c r="E6101" s="1" t="s">
        <v>54</v>
      </c>
      <c r="F6101" s="1">
        <v>508.37</v>
      </c>
      <c r="G6101" s="1">
        <v>17.54</v>
      </c>
      <c r="H6101" s="1">
        <v>5.0</v>
      </c>
      <c r="I6101" s="1" t="s">
        <v>17</v>
      </c>
      <c r="J6101" s="1" t="s">
        <v>24</v>
      </c>
      <c r="K6101" s="1">
        <f t="shared" si="1"/>
        <v>2023</v>
      </c>
      <c r="L6101" s="1" t="str">
        <f t="shared" si="2"/>
        <v>Feb</v>
      </c>
      <c r="M6101" s="1" t="str">
        <f t="shared" si="3"/>
        <v>Profit</v>
      </c>
    </row>
    <row r="6102" ht="14.25" customHeight="1">
      <c r="A6102" s="1" t="s">
        <v>6136</v>
      </c>
      <c r="B6102" s="2">
        <v>44389.0</v>
      </c>
      <c r="C6102" s="1" t="s">
        <v>14</v>
      </c>
      <c r="D6102" s="1" t="s">
        <v>15</v>
      </c>
      <c r="E6102" s="1" t="s">
        <v>31</v>
      </c>
      <c r="F6102" s="1">
        <v>158.49</v>
      </c>
      <c r="G6102" s="1">
        <v>15.51</v>
      </c>
      <c r="H6102" s="1">
        <v>1.0</v>
      </c>
      <c r="I6102" s="1" t="s">
        <v>23</v>
      </c>
      <c r="J6102" s="1" t="s">
        <v>38</v>
      </c>
      <c r="K6102" s="1">
        <f t="shared" si="1"/>
        <v>2021</v>
      </c>
      <c r="L6102" s="1" t="str">
        <f t="shared" si="2"/>
        <v>Jul</v>
      </c>
      <c r="M6102" s="1" t="str">
        <f t="shared" si="3"/>
        <v>Profit</v>
      </c>
    </row>
    <row r="6103" ht="14.25" customHeight="1">
      <c r="A6103" s="1" t="s">
        <v>6137</v>
      </c>
      <c r="B6103" s="2">
        <v>45090.0</v>
      </c>
      <c r="C6103" s="1" t="s">
        <v>14</v>
      </c>
      <c r="D6103" s="1" t="s">
        <v>21</v>
      </c>
      <c r="E6103" s="1" t="s">
        <v>22</v>
      </c>
      <c r="F6103" s="1">
        <v>642.37</v>
      </c>
      <c r="G6103" s="1">
        <v>193.14</v>
      </c>
      <c r="H6103" s="1">
        <v>2.0</v>
      </c>
      <c r="I6103" s="1" t="s">
        <v>17</v>
      </c>
      <c r="J6103" s="1" t="s">
        <v>24</v>
      </c>
      <c r="K6103" s="1">
        <f t="shared" si="1"/>
        <v>2023</v>
      </c>
      <c r="L6103" s="1" t="str">
        <f t="shared" si="2"/>
        <v>Jun</v>
      </c>
      <c r="M6103" s="1" t="str">
        <f t="shared" si="3"/>
        <v>Profit</v>
      </c>
    </row>
    <row r="6104" ht="14.25" customHeight="1">
      <c r="A6104" s="1" t="s">
        <v>6138</v>
      </c>
      <c r="B6104" s="2">
        <v>44680.0</v>
      </c>
      <c r="C6104" s="1" t="s">
        <v>26</v>
      </c>
      <c r="D6104" s="1" t="s">
        <v>15</v>
      </c>
      <c r="E6104" s="1" t="s">
        <v>16</v>
      </c>
      <c r="F6104" s="1">
        <v>131.83</v>
      </c>
      <c r="G6104" s="1">
        <v>-29.74</v>
      </c>
      <c r="H6104" s="1">
        <v>4.0</v>
      </c>
      <c r="I6104" s="1" t="s">
        <v>17</v>
      </c>
      <c r="J6104" s="1" t="s">
        <v>24</v>
      </c>
      <c r="K6104" s="1">
        <f t="shared" si="1"/>
        <v>2022</v>
      </c>
      <c r="L6104" s="1" t="str">
        <f t="shared" si="2"/>
        <v>Apr</v>
      </c>
      <c r="M6104" s="1" t="str">
        <f t="shared" si="3"/>
        <v>Loss</v>
      </c>
    </row>
    <row r="6105" ht="14.25" customHeight="1">
      <c r="A6105" s="1" t="s">
        <v>6139</v>
      </c>
      <c r="B6105" s="2">
        <v>44713.0</v>
      </c>
      <c r="C6105" s="1" t="s">
        <v>26</v>
      </c>
      <c r="D6105" s="1" t="s">
        <v>21</v>
      </c>
      <c r="E6105" s="1" t="s">
        <v>76</v>
      </c>
      <c r="F6105" s="1">
        <v>693.98</v>
      </c>
      <c r="G6105" s="1">
        <v>151.34</v>
      </c>
      <c r="H6105" s="1">
        <v>2.0</v>
      </c>
      <c r="I6105" s="1" t="s">
        <v>23</v>
      </c>
      <c r="J6105" s="1" t="s">
        <v>18</v>
      </c>
      <c r="K6105" s="1">
        <f t="shared" si="1"/>
        <v>2022</v>
      </c>
      <c r="L6105" s="1" t="str">
        <f t="shared" si="2"/>
        <v>Jun</v>
      </c>
      <c r="M6105" s="1" t="str">
        <f t="shared" si="3"/>
        <v>Profit</v>
      </c>
    </row>
    <row r="6106" ht="14.25" customHeight="1">
      <c r="A6106" s="1" t="s">
        <v>6140</v>
      </c>
      <c r="B6106" s="2">
        <v>44227.0</v>
      </c>
      <c r="C6106" s="1" t="s">
        <v>26</v>
      </c>
      <c r="D6106" s="1" t="s">
        <v>27</v>
      </c>
      <c r="E6106" s="1" t="s">
        <v>33</v>
      </c>
      <c r="F6106" s="1">
        <v>692.01</v>
      </c>
      <c r="G6106" s="1">
        <v>138.59</v>
      </c>
      <c r="H6106" s="1">
        <v>5.0</v>
      </c>
      <c r="I6106" s="1" t="s">
        <v>17</v>
      </c>
      <c r="J6106" s="1" t="s">
        <v>35</v>
      </c>
      <c r="K6106" s="1">
        <f t="shared" si="1"/>
        <v>2021</v>
      </c>
      <c r="L6106" s="1" t="str">
        <f t="shared" si="2"/>
        <v>Jan</v>
      </c>
      <c r="M6106" s="1" t="str">
        <f t="shared" si="3"/>
        <v>Profit</v>
      </c>
    </row>
    <row r="6107" ht="14.25" customHeight="1">
      <c r="A6107" s="1" t="s">
        <v>6141</v>
      </c>
      <c r="B6107" s="2">
        <v>44988.0</v>
      </c>
      <c r="C6107" s="1" t="s">
        <v>20</v>
      </c>
      <c r="D6107" s="1" t="s">
        <v>27</v>
      </c>
      <c r="E6107" s="1" t="s">
        <v>33</v>
      </c>
      <c r="F6107" s="1">
        <v>214.57</v>
      </c>
      <c r="G6107" s="1">
        <v>282.54</v>
      </c>
      <c r="H6107" s="1">
        <v>7.0</v>
      </c>
      <c r="I6107" s="1" t="s">
        <v>17</v>
      </c>
      <c r="J6107" s="1" t="s">
        <v>35</v>
      </c>
      <c r="K6107" s="1">
        <f t="shared" si="1"/>
        <v>2023</v>
      </c>
      <c r="L6107" s="1" t="str">
        <f t="shared" si="2"/>
        <v>Mar</v>
      </c>
      <c r="M6107" s="1" t="str">
        <f t="shared" si="3"/>
        <v>Profit</v>
      </c>
    </row>
    <row r="6108" ht="14.25" customHeight="1">
      <c r="A6108" s="1" t="s">
        <v>6142</v>
      </c>
      <c r="B6108" s="2">
        <v>45147.0</v>
      </c>
      <c r="C6108" s="1" t="s">
        <v>20</v>
      </c>
      <c r="D6108" s="1" t="s">
        <v>27</v>
      </c>
      <c r="E6108" s="1" t="s">
        <v>40</v>
      </c>
      <c r="F6108" s="1">
        <v>847.13</v>
      </c>
      <c r="G6108" s="1">
        <v>-68.14</v>
      </c>
      <c r="H6108" s="1">
        <v>3.0</v>
      </c>
      <c r="I6108" s="1" t="s">
        <v>34</v>
      </c>
      <c r="J6108" s="1" t="s">
        <v>24</v>
      </c>
      <c r="K6108" s="1">
        <f t="shared" si="1"/>
        <v>2023</v>
      </c>
      <c r="L6108" s="1" t="str">
        <f t="shared" si="2"/>
        <v>Aug</v>
      </c>
      <c r="M6108" s="1" t="str">
        <f t="shared" si="3"/>
        <v>Loss</v>
      </c>
    </row>
    <row r="6109" ht="14.25" customHeight="1">
      <c r="A6109" s="1" t="s">
        <v>6143</v>
      </c>
      <c r="B6109" s="2">
        <v>44230.0</v>
      </c>
      <c r="C6109" s="1" t="s">
        <v>14</v>
      </c>
      <c r="D6109" s="1" t="s">
        <v>21</v>
      </c>
      <c r="E6109" s="1" t="s">
        <v>22</v>
      </c>
      <c r="F6109" s="1">
        <v>734.45</v>
      </c>
      <c r="G6109" s="1">
        <v>56.47</v>
      </c>
      <c r="H6109" s="1">
        <v>1.0</v>
      </c>
      <c r="I6109" s="1" t="s">
        <v>23</v>
      </c>
      <c r="J6109" s="1" t="s">
        <v>35</v>
      </c>
      <c r="K6109" s="1">
        <f t="shared" si="1"/>
        <v>2021</v>
      </c>
      <c r="L6109" s="1" t="str">
        <f t="shared" si="2"/>
        <v>Feb</v>
      </c>
      <c r="M6109" s="1" t="str">
        <f t="shared" si="3"/>
        <v>Profit</v>
      </c>
    </row>
    <row r="6110" ht="14.25" customHeight="1">
      <c r="A6110" s="1" t="s">
        <v>6144</v>
      </c>
      <c r="B6110" s="2">
        <v>44235.0</v>
      </c>
      <c r="C6110" s="1" t="s">
        <v>30</v>
      </c>
      <c r="D6110" s="1" t="s">
        <v>27</v>
      </c>
      <c r="E6110" s="1" t="s">
        <v>28</v>
      </c>
      <c r="F6110" s="1">
        <v>683.34</v>
      </c>
      <c r="G6110" s="1">
        <v>205.72</v>
      </c>
      <c r="H6110" s="1">
        <v>9.0</v>
      </c>
      <c r="I6110" s="1" t="s">
        <v>34</v>
      </c>
      <c r="J6110" s="1" t="s">
        <v>38</v>
      </c>
      <c r="K6110" s="1">
        <f t="shared" si="1"/>
        <v>2021</v>
      </c>
      <c r="L6110" s="1" t="str">
        <f t="shared" si="2"/>
        <v>Feb</v>
      </c>
      <c r="M6110" s="1" t="str">
        <f t="shared" si="3"/>
        <v>Profit</v>
      </c>
    </row>
    <row r="6111" ht="14.25" customHeight="1">
      <c r="A6111" s="1" t="s">
        <v>6145</v>
      </c>
      <c r="B6111" s="2">
        <v>44620.0</v>
      </c>
      <c r="C6111" s="1" t="s">
        <v>20</v>
      </c>
      <c r="D6111" s="1" t="s">
        <v>15</v>
      </c>
      <c r="E6111" s="1" t="s">
        <v>31</v>
      </c>
      <c r="F6111" s="1">
        <v>539.39</v>
      </c>
      <c r="G6111" s="1">
        <v>64.69</v>
      </c>
      <c r="H6111" s="1">
        <v>5.0</v>
      </c>
      <c r="I6111" s="1" t="s">
        <v>17</v>
      </c>
      <c r="J6111" s="1" t="s">
        <v>18</v>
      </c>
      <c r="K6111" s="1">
        <f t="shared" si="1"/>
        <v>2022</v>
      </c>
      <c r="L6111" s="1" t="str">
        <f t="shared" si="2"/>
        <v>Feb</v>
      </c>
      <c r="M6111" s="1" t="str">
        <f t="shared" si="3"/>
        <v>Profit</v>
      </c>
    </row>
    <row r="6112" ht="14.25" customHeight="1">
      <c r="A6112" s="1" t="s">
        <v>6146</v>
      </c>
      <c r="B6112" s="2">
        <v>45262.0</v>
      </c>
      <c r="C6112" s="1" t="s">
        <v>14</v>
      </c>
      <c r="D6112" s="1" t="s">
        <v>15</v>
      </c>
      <c r="E6112" s="1" t="s">
        <v>54</v>
      </c>
      <c r="F6112" s="1">
        <v>934.62</v>
      </c>
      <c r="G6112" s="1">
        <v>-150.06</v>
      </c>
      <c r="H6112" s="1">
        <v>3.0</v>
      </c>
      <c r="I6112" s="1" t="s">
        <v>34</v>
      </c>
      <c r="J6112" s="1" t="s">
        <v>35</v>
      </c>
      <c r="K6112" s="1">
        <f t="shared" si="1"/>
        <v>2023</v>
      </c>
      <c r="L6112" s="1" t="str">
        <f t="shared" si="2"/>
        <v>Dec</v>
      </c>
      <c r="M6112" s="1" t="str">
        <f t="shared" si="3"/>
        <v>Loss</v>
      </c>
    </row>
    <row r="6113" ht="14.25" customHeight="1">
      <c r="A6113" s="1" t="s">
        <v>6147</v>
      </c>
      <c r="B6113" s="2">
        <v>44441.0</v>
      </c>
      <c r="C6113" s="1" t="s">
        <v>20</v>
      </c>
      <c r="D6113" s="1" t="s">
        <v>15</v>
      </c>
      <c r="E6113" s="1" t="s">
        <v>16</v>
      </c>
      <c r="F6113" s="1">
        <v>888.9</v>
      </c>
      <c r="G6113" s="1">
        <v>40.31</v>
      </c>
      <c r="H6113" s="1">
        <v>1.0</v>
      </c>
      <c r="I6113" s="1" t="s">
        <v>17</v>
      </c>
      <c r="J6113" s="1" t="s">
        <v>24</v>
      </c>
      <c r="K6113" s="1">
        <f t="shared" si="1"/>
        <v>2021</v>
      </c>
      <c r="L6113" s="1" t="str">
        <f t="shared" si="2"/>
        <v>Sep</v>
      </c>
      <c r="M6113" s="1" t="str">
        <f t="shared" si="3"/>
        <v>Profit</v>
      </c>
    </row>
    <row r="6114" ht="14.25" customHeight="1">
      <c r="A6114" s="1" t="s">
        <v>6148</v>
      </c>
      <c r="B6114" s="2">
        <v>45276.0</v>
      </c>
      <c r="C6114" s="1" t="s">
        <v>14</v>
      </c>
      <c r="D6114" s="1" t="s">
        <v>27</v>
      </c>
      <c r="E6114" s="1" t="s">
        <v>28</v>
      </c>
      <c r="F6114" s="1">
        <v>520.28</v>
      </c>
      <c r="G6114" s="1">
        <v>88.34</v>
      </c>
      <c r="H6114" s="1">
        <v>9.0</v>
      </c>
      <c r="I6114" s="1" t="s">
        <v>23</v>
      </c>
      <c r="J6114" s="1" t="s">
        <v>24</v>
      </c>
      <c r="K6114" s="1">
        <f t="shared" si="1"/>
        <v>2023</v>
      </c>
      <c r="L6114" s="1" t="str">
        <f t="shared" si="2"/>
        <v>Dec</v>
      </c>
      <c r="M6114" s="1" t="str">
        <f t="shared" si="3"/>
        <v>Profit</v>
      </c>
    </row>
    <row r="6115" ht="14.25" customHeight="1">
      <c r="A6115" s="1" t="s">
        <v>6149</v>
      </c>
      <c r="B6115" s="2">
        <v>44382.0</v>
      </c>
      <c r="C6115" s="1" t="s">
        <v>26</v>
      </c>
      <c r="D6115" s="1" t="s">
        <v>27</v>
      </c>
      <c r="E6115" s="1" t="s">
        <v>28</v>
      </c>
      <c r="F6115" s="1">
        <v>770.16</v>
      </c>
      <c r="G6115" s="1">
        <v>-105.23</v>
      </c>
      <c r="H6115" s="1">
        <v>10.0</v>
      </c>
      <c r="I6115" s="1" t="s">
        <v>17</v>
      </c>
      <c r="J6115" s="1" t="s">
        <v>38</v>
      </c>
      <c r="K6115" s="1">
        <f t="shared" si="1"/>
        <v>2021</v>
      </c>
      <c r="L6115" s="1" t="str">
        <f t="shared" si="2"/>
        <v>Jul</v>
      </c>
      <c r="M6115" s="1" t="str">
        <f t="shared" si="3"/>
        <v>Loss</v>
      </c>
    </row>
    <row r="6116" ht="14.25" customHeight="1">
      <c r="A6116" s="1" t="s">
        <v>6150</v>
      </c>
      <c r="B6116" s="2">
        <v>44710.0</v>
      </c>
      <c r="C6116" s="1" t="s">
        <v>30</v>
      </c>
      <c r="D6116" s="1" t="s">
        <v>15</v>
      </c>
      <c r="E6116" s="1" t="s">
        <v>31</v>
      </c>
      <c r="F6116" s="1">
        <v>903.66</v>
      </c>
      <c r="G6116" s="1">
        <v>245.39</v>
      </c>
      <c r="H6116" s="1">
        <v>9.0</v>
      </c>
      <c r="I6116" s="1" t="s">
        <v>17</v>
      </c>
      <c r="J6116" s="1" t="s">
        <v>38</v>
      </c>
      <c r="K6116" s="1">
        <f t="shared" si="1"/>
        <v>2022</v>
      </c>
      <c r="L6116" s="1" t="str">
        <f t="shared" si="2"/>
        <v>May</v>
      </c>
      <c r="M6116" s="1" t="str">
        <f t="shared" si="3"/>
        <v>Profit</v>
      </c>
    </row>
    <row r="6117" ht="14.25" customHeight="1">
      <c r="A6117" s="1" t="s">
        <v>6151</v>
      </c>
      <c r="B6117" s="2">
        <v>45020.0</v>
      </c>
      <c r="C6117" s="1" t="s">
        <v>30</v>
      </c>
      <c r="D6117" s="1" t="s">
        <v>21</v>
      </c>
      <c r="E6117" s="1" t="s">
        <v>22</v>
      </c>
      <c r="F6117" s="1">
        <v>619.74</v>
      </c>
      <c r="G6117" s="1">
        <v>199.86</v>
      </c>
      <c r="H6117" s="1">
        <v>1.0</v>
      </c>
      <c r="I6117" s="1" t="s">
        <v>23</v>
      </c>
      <c r="J6117" s="1" t="s">
        <v>35</v>
      </c>
      <c r="K6117" s="1">
        <f t="shared" si="1"/>
        <v>2023</v>
      </c>
      <c r="L6117" s="1" t="str">
        <f t="shared" si="2"/>
        <v>Apr</v>
      </c>
      <c r="M6117" s="1" t="str">
        <f t="shared" si="3"/>
        <v>Profit</v>
      </c>
    </row>
    <row r="6118" ht="14.25" customHeight="1">
      <c r="A6118" s="1" t="s">
        <v>6152</v>
      </c>
      <c r="B6118" s="2">
        <v>44306.0</v>
      </c>
      <c r="C6118" s="1" t="s">
        <v>14</v>
      </c>
      <c r="D6118" s="1" t="s">
        <v>15</v>
      </c>
      <c r="E6118" s="1" t="s">
        <v>16</v>
      </c>
      <c r="F6118" s="1">
        <v>215.2</v>
      </c>
      <c r="G6118" s="1">
        <v>134.7</v>
      </c>
      <c r="H6118" s="1">
        <v>6.0</v>
      </c>
      <c r="I6118" s="1" t="s">
        <v>23</v>
      </c>
      <c r="J6118" s="1" t="s">
        <v>18</v>
      </c>
      <c r="K6118" s="1">
        <f t="shared" si="1"/>
        <v>2021</v>
      </c>
      <c r="L6118" s="1" t="str">
        <f t="shared" si="2"/>
        <v>Apr</v>
      </c>
      <c r="M6118" s="1" t="str">
        <f t="shared" si="3"/>
        <v>Profit</v>
      </c>
    </row>
    <row r="6119" ht="14.25" customHeight="1">
      <c r="A6119" s="1" t="s">
        <v>6153</v>
      </c>
      <c r="B6119" s="2">
        <v>44853.0</v>
      </c>
      <c r="C6119" s="1" t="s">
        <v>20</v>
      </c>
      <c r="D6119" s="1" t="s">
        <v>27</v>
      </c>
      <c r="E6119" s="1" t="s">
        <v>33</v>
      </c>
      <c r="F6119" s="1">
        <v>87.26</v>
      </c>
      <c r="G6119" s="1">
        <v>-25.42</v>
      </c>
      <c r="H6119" s="1">
        <v>4.0</v>
      </c>
      <c r="I6119" s="1" t="s">
        <v>23</v>
      </c>
      <c r="J6119" s="1" t="s">
        <v>24</v>
      </c>
      <c r="K6119" s="1">
        <f t="shared" si="1"/>
        <v>2022</v>
      </c>
      <c r="L6119" s="1" t="str">
        <f t="shared" si="2"/>
        <v>Oct</v>
      </c>
      <c r="M6119" s="1" t="str">
        <f t="shared" si="3"/>
        <v>Loss</v>
      </c>
    </row>
    <row r="6120" ht="14.25" customHeight="1">
      <c r="A6120" s="1" t="s">
        <v>6154</v>
      </c>
      <c r="B6120" s="2">
        <v>45156.0</v>
      </c>
      <c r="C6120" s="1" t="s">
        <v>14</v>
      </c>
      <c r="D6120" s="1" t="s">
        <v>21</v>
      </c>
      <c r="E6120" s="1" t="s">
        <v>37</v>
      </c>
      <c r="F6120" s="1">
        <v>540.58</v>
      </c>
      <c r="G6120" s="1">
        <v>-186.59</v>
      </c>
      <c r="H6120" s="1">
        <v>9.0</v>
      </c>
      <c r="I6120" s="1" t="s">
        <v>34</v>
      </c>
      <c r="J6120" s="1" t="s">
        <v>18</v>
      </c>
      <c r="K6120" s="1">
        <f t="shared" si="1"/>
        <v>2023</v>
      </c>
      <c r="L6120" s="1" t="str">
        <f t="shared" si="2"/>
        <v>Aug</v>
      </c>
      <c r="M6120" s="1" t="str">
        <f t="shared" si="3"/>
        <v>Loss</v>
      </c>
    </row>
    <row r="6121" ht="14.25" customHeight="1">
      <c r="A6121" s="1" t="s">
        <v>6155</v>
      </c>
      <c r="B6121" s="2">
        <v>44915.0</v>
      </c>
      <c r="C6121" s="1" t="s">
        <v>26</v>
      </c>
      <c r="D6121" s="1" t="s">
        <v>15</v>
      </c>
      <c r="E6121" s="1" t="s">
        <v>54</v>
      </c>
      <c r="F6121" s="1">
        <v>120.73</v>
      </c>
      <c r="G6121" s="1">
        <v>116.8</v>
      </c>
      <c r="H6121" s="1">
        <v>8.0</v>
      </c>
      <c r="I6121" s="1" t="s">
        <v>34</v>
      </c>
      <c r="J6121" s="1" t="s">
        <v>38</v>
      </c>
      <c r="K6121" s="1">
        <f t="shared" si="1"/>
        <v>2022</v>
      </c>
      <c r="L6121" s="1" t="str">
        <f t="shared" si="2"/>
        <v>Dec</v>
      </c>
      <c r="M6121" s="1" t="str">
        <f t="shared" si="3"/>
        <v>Profit</v>
      </c>
    </row>
    <row r="6122" ht="14.25" customHeight="1">
      <c r="A6122" s="1" t="s">
        <v>6156</v>
      </c>
      <c r="B6122" s="2">
        <v>44224.0</v>
      </c>
      <c r="C6122" s="1" t="s">
        <v>14</v>
      </c>
      <c r="D6122" s="1" t="s">
        <v>27</v>
      </c>
      <c r="E6122" s="1" t="s">
        <v>33</v>
      </c>
      <c r="F6122" s="1">
        <v>85.5</v>
      </c>
      <c r="G6122" s="1">
        <v>44.05</v>
      </c>
      <c r="H6122" s="1">
        <v>1.0</v>
      </c>
      <c r="I6122" s="1" t="s">
        <v>23</v>
      </c>
      <c r="J6122" s="1" t="s">
        <v>18</v>
      </c>
      <c r="K6122" s="1">
        <f t="shared" si="1"/>
        <v>2021</v>
      </c>
      <c r="L6122" s="1" t="str">
        <f t="shared" si="2"/>
        <v>Jan</v>
      </c>
      <c r="M6122" s="1" t="str">
        <f t="shared" si="3"/>
        <v>Profit</v>
      </c>
    </row>
    <row r="6123" ht="14.25" customHeight="1">
      <c r="A6123" s="1" t="s">
        <v>6157</v>
      </c>
      <c r="B6123" s="2">
        <v>44384.0</v>
      </c>
      <c r="C6123" s="1" t="s">
        <v>20</v>
      </c>
      <c r="D6123" s="1" t="s">
        <v>15</v>
      </c>
      <c r="E6123" s="1" t="s">
        <v>54</v>
      </c>
      <c r="F6123" s="1">
        <v>945.55</v>
      </c>
      <c r="G6123" s="1">
        <v>189.18</v>
      </c>
      <c r="H6123" s="1">
        <v>3.0</v>
      </c>
      <c r="I6123" s="1" t="s">
        <v>34</v>
      </c>
      <c r="J6123" s="1" t="s">
        <v>24</v>
      </c>
      <c r="K6123" s="1">
        <f t="shared" si="1"/>
        <v>2021</v>
      </c>
      <c r="L6123" s="1" t="str">
        <f t="shared" si="2"/>
        <v>Jul</v>
      </c>
      <c r="M6123" s="1" t="str">
        <f t="shared" si="3"/>
        <v>Profit</v>
      </c>
    </row>
    <row r="6124" ht="14.25" customHeight="1">
      <c r="A6124" s="1" t="s">
        <v>6158</v>
      </c>
      <c r="B6124" s="2">
        <v>44541.0</v>
      </c>
      <c r="C6124" s="1" t="s">
        <v>14</v>
      </c>
      <c r="D6124" s="1" t="s">
        <v>27</v>
      </c>
      <c r="E6124" s="1" t="s">
        <v>33</v>
      </c>
      <c r="F6124" s="1">
        <v>200.34</v>
      </c>
      <c r="G6124" s="1">
        <v>-48.5</v>
      </c>
      <c r="H6124" s="1">
        <v>3.0</v>
      </c>
      <c r="I6124" s="1" t="s">
        <v>17</v>
      </c>
      <c r="J6124" s="1" t="s">
        <v>35</v>
      </c>
      <c r="K6124" s="1">
        <f t="shared" si="1"/>
        <v>2021</v>
      </c>
      <c r="L6124" s="1" t="str">
        <f t="shared" si="2"/>
        <v>Dec</v>
      </c>
      <c r="M6124" s="1" t="str">
        <f t="shared" si="3"/>
        <v>Loss</v>
      </c>
    </row>
    <row r="6125" ht="14.25" customHeight="1">
      <c r="A6125" s="1" t="s">
        <v>6159</v>
      </c>
      <c r="B6125" s="2">
        <v>44510.0</v>
      </c>
      <c r="C6125" s="1" t="s">
        <v>14</v>
      </c>
      <c r="D6125" s="1" t="s">
        <v>21</v>
      </c>
      <c r="E6125" s="1" t="s">
        <v>22</v>
      </c>
      <c r="F6125" s="1">
        <v>522.18</v>
      </c>
      <c r="G6125" s="1">
        <v>-109.69</v>
      </c>
      <c r="H6125" s="1">
        <v>2.0</v>
      </c>
      <c r="I6125" s="1" t="s">
        <v>23</v>
      </c>
      <c r="J6125" s="1" t="s">
        <v>24</v>
      </c>
      <c r="K6125" s="1">
        <f t="shared" si="1"/>
        <v>2021</v>
      </c>
      <c r="L6125" s="1" t="str">
        <f t="shared" si="2"/>
        <v>Nov</v>
      </c>
      <c r="M6125" s="1" t="str">
        <f t="shared" si="3"/>
        <v>Loss</v>
      </c>
    </row>
    <row r="6126" ht="14.25" customHeight="1">
      <c r="A6126" s="1" t="s">
        <v>6160</v>
      </c>
      <c r="B6126" s="2">
        <v>45006.0</v>
      </c>
      <c r="C6126" s="1" t="s">
        <v>30</v>
      </c>
      <c r="D6126" s="1" t="s">
        <v>21</v>
      </c>
      <c r="E6126" s="1" t="s">
        <v>22</v>
      </c>
      <c r="F6126" s="1">
        <v>278.25</v>
      </c>
      <c r="G6126" s="1">
        <v>97.15</v>
      </c>
      <c r="H6126" s="1">
        <v>9.0</v>
      </c>
      <c r="I6126" s="1" t="s">
        <v>23</v>
      </c>
      <c r="J6126" s="1" t="s">
        <v>38</v>
      </c>
      <c r="K6126" s="1">
        <f t="shared" si="1"/>
        <v>2023</v>
      </c>
      <c r="L6126" s="1" t="str">
        <f t="shared" si="2"/>
        <v>Mar</v>
      </c>
      <c r="M6126" s="1" t="str">
        <f t="shared" si="3"/>
        <v>Profit</v>
      </c>
    </row>
    <row r="6127" ht="14.25" customHeight="1">
      <c r="A6127" s="1" t="s">
        <v>6161</v>
      </c>
      <c r="B6127" s="2">
        <v>45239.0</v>
      </c>
      <c r="C6127" s="1" t="s">
        <v>20</v>
      </c>
      <c r="D6127" s="1" t="s">
        <v>21</v>
      </c>
      <c r="E6127" s="1" t="s">
        <v>22</v>
      </c>
      <c r="F6127" s="1">
        <v>656.94</v>
      </c>
      <c r="G6127" s="1">
        <v>108.97</v>
      </c>
      <c r="H6127" s="1">
        <v>7.0</v>
      </c>
      <c r="I6127" s="1" t="s">
        <v>34</v>
      </c>
      <c r="J6127" s="1" t="s">
        <v>38</v>
      </c>
      <c r="K6127" s="1">
        <f t="shared" si="1"/>
        <v>2023</v>
      </c>
      <c r="L6127" s="1" t="str">
        <f t="shared" si="2"/>
        <v>Nov</v>
      </c>
      <c r="M6127" s="1" t="str">
        <f t="shared" si="3"/>
        <v>Profit</v>
      </c>
    </row>
    <row r="6128" ht="14.25" customHeight="1">
      <c r="A6128" s="1" t="s">
        <v>6162</v>
      </c>
      <c r="B6128" s="2">
        <v>45059.0</v>
      </c>
      <c r="C6128" s="1" t="s">
        <v>14</v>
      </c>
      <c r="D6128" s="1" t="s">
        <v>27</v>
      </c>
      <c r="E6128" s="1" t="s">
        <v>33</v>
      </c>
      <c r="F6128" s="1">
        <v>653.65</v>
      </c>
      <c r="G6128" s="1">
        <v>-189.42</v>
      </c>
      <c r="H6128" s="1">
        <v>6.0</v>
      </c>
      <c r="I6128" s="1" t="s">
        <v>17</v>
      </c>
      <c r="J6128" s="1" t="s">
        <v>18</v>
      </c>
      <c r="K6128" s="1">
        <f t="shared" si="1"/>
        <v>2023</v>
      </c>
      <c r="L6128" s="1" t="str">
        <f t="shared" si="2"/>
        <v>May</v>
      </c>
      <c r="M6128" s="1" t="str">
        <f t="shared" si="3"/>
        <v>Loss</v>
      </c>
    </row>
    <row r="6129" ht="14.25" customHeight="1">
      <c r="A6129" s="1" t="s">
        <v>6163</v>
      </c>
      <c r="B6129" s="2">
        <v>44306.0</v>
      </c>
      <c r="C6129" s="1" t="s">
        <v>14</v>
      </c>
      <c r="D6129" s="1" t="s">
        <v>15</v>
      </c>
      <c r="E6129" s="1" t="s">
        <v>54</v>
      </c>
      <c r="F6129" s="1">
        <v>652.74</v>
      </c>
      <c r="G6129" s="1">
        <v>286.42</v>
      </c>
      <c r="H6129" s="1">
        <v>7.0</v>
      </c>
      <c r="I6129" s="1" t="s">
        <v>17</v>
      </c>
      <c r="J6129" s="1" t="s">
        <v>35</v>
      </c>
      <c r="K6129" s="1">
        <f t="shared" si="1"/>
        <v>2021</v>
      </c>
      <c r="L6129" s="1" t="str">
        <f t="shared" si="2"/>
        <v>Apr</v>
      </c>
      <c r="M6129" s="1" t="str">
        <f t="shared" si="3"/>
        <v>Profit</v>
      </c>
    </row>
    <row r="6130" ht="14.25" customHeight="1">
      <c r="A6130" s="1" t="s">
        <v>6164</v>
      </c>
      <c r="B6130" s="2">
        <v>44461.0</v>
      </c>
      <c r="C6130" s="1" t="s">
        <v>14</v>
      </c>
      <c r="D6130" s="1" t="s">
        <v>21</v>
      </c>
      <c r="E6130" s="1" t="s">
        <v>22</v>
      </c>
      <c r="F6130" s="1">
        <v>950.08</v>
      </c>
      <c r="G6130" s="1">
        <v>91.05</v>
      </c>
      <c r="H6130" s="1">
        <v>2.0</v>
      </c>
      <c r="I6130" s="1" t="s">
        <v>17</v>
      </c>
      <c r="J6130" s="1" t="s">
        <v>35</v>
      </c>
      <c r="K6130" s="1">
        <f t="shared" si="1"/>
        <v>2021</v>
      </c>
      <c r="L6130" s="1" t="str">
        <f t="shared" si="2"/>
        <v>Sep</v>
      </c>
      <c r="M6130" s="1" t="str">
        <f t="shared" si="3"/>
        <v>Profit</v>
      </c>
    </row>
    <row r="6131" ht="14.25" customHeight="1">
      <c r="A6131" s="1" t="s">
        <v>6165</v>
      </c>
      <c r="B6131" s="2">
        <v>44871.0</v>
      </c>
      <c r="C6131" s="1" t="s">
        <v>26</v>
      </c>
      <c r="D6131" s="1" t="s">
        <v>15</v>
      </c>
      <c r="E6131" s="1" t="s">
        <v>16</v>
      </c>
      <c r="F6131" s="1">
        <v>140.67</v>
      </c>
      <c r="G6131" s="1">
        <v>-178.44</v>
      </c>
      <c r="H6131" s="1">
        <v>5.0</v>
      </c>
      <c r="I6131" s="1" t="s">
        <v>17</v>
      </c>
      <c r="J6131" s="1" t="s">
        <v>38</v>
      </c>
      <c r="K6131" s="1">
        <f t="shared" si="1"/>
        <v>2022</v>
      </c>
      <c r="L6131" s="1" t="str">
        <f t="shared" si="2"/>
        <v>Nov</v>
      </c>
      <c r="M6131" s="1" t="str">
        <f t="shared" si="3"/>
        <v>Loss</v>
      </c>
    </row>
    <row r="6132" ht="14.25" customHeight="1">
      <c r="A6132" s="1" t="s">
        <v>6166</v>
      </c>
      <c r="B6132" s="2">
        <v>44408.0</v>
      </c>
      <c r="C6132" s="1" t="s">
        <v>26</v>
      </c>
      <c r="D6132" s="1" t="s">
        <v>15</v>
      </c>
      <c r="E6132" s="1" t="s">
        <v>54</v>
      </c>
      <c r="F6132" s="1">
        <v>395.77</v>
      </c>
      <c r="G6132" s="1">
        <v>-44.66</v>
      </c>
      <c r="H6132" s="1">
        <v>5.0</v>
      </c>
      <c r="I6132" s="1" t="s">
        <v>23</v>
      </c>
      <c r="J6132" s="1" t="s">
        <v>38</v>
      </c>
      <c r="K6132" s="1">
        <f t="shared" si="1"/>
        <v>2021</v>
      </c>
      <c r="L6132" s="1" t="str">
        <f t="shared" si="2"/>
        <v>Jul</v>
      </c>
      <c r="M6132" s="1" t="str">
        <f t="shared" si="3"/>
        <v>Loss</v>
      </c>
    </row>
    <row r="6133" ht="14.25" customHeight="1">
      <c r="A6133" s="1" t="s">
        <v>6167</v>
      </c>
      <c r="B6133" s="2">
        <v>45193.0</v>
      </c>
      <c r="C6133" s="1" t="s">
        <v>14</v>
      </c>
      <c r="D6133" s="1" t="s">
        <v>27</v>
      </c>
      <c r="E6133" s="1" t="s">
        <v>40</v>
      </c>
      <c r="F6133" s="1">
        <v>763.5</v>
      </c>
      <c r="G6133" s="1">
        <v>22.81</v>
      </c>
      <c r="H6133" s="1">
        <v>3.0</v>
      </c>
      <c r="I6133" s="1" t="s">
        <v>23</v>
      </c>
      <c r="J6133" s="1" t="s">
        <v>35</v>
      </c>
      <c r="K6133" s="1">
        <f t="shared" si="1"/>
        <v>2023</v>
      </c>
      <c r="L6133" s="1" t="str">
        <f t="shared" si="2"/>
        <v>Sep</v>
      </c>
      <c r="M6133" s="1" t="str">
        <f t="shared" si="3"/>
        <v>Profit</v>
      </c>
    </row>
    <row r="6134" ht="14.25" customHeight="1">
      <c r="A6134" s="1" t="s">
        <v>6168</v>
      </c>
      <c r="B6134" s="2">
        <v>44542.0</v>
      </c>
      <c r="C6134" s="1" t="s">
        <v>14</v>
      </c>
      <c r="D6134" s="1" t="s">
        <v>21</v>
      </c>
      <c r="E6134" s="1" t="s">
        <v>76</v>
      </c>
      <c r="F6134" s="1">
        <v>45.67</v>
      </c>
      <c r="G6134" s="1">
        <v>22.02</v>
      </c>
      <c r="H6134" s="1">
        <v>1.0</v>
      </c>
      <c r="I6134" s="1" t="s">
        <v>17</v>
      </c>
      <c r="J6134" s="1" t="s">
        <v>24</v>
      </c>
      <c r="K6134" s="1">
        <f t="shared" si="1"/>
        <v>2021</v>
      </c>
      <c r="L6134" s="1" t="str">
        <f t="shared" si="2"/>
        <v>Dec</v>
      </c>
      <c r="M6134" s="1" t="str">
        <f t="shared" si="3"/>
        <v>Profit</v>
      </c>
    </row>
    <row r="6135" ht="14.25" customHeight="1">
      <c r="A6135" s="1" t="s">
        <v>6169</v>
      </c>
      <c r="B6135" s="2">
        <v>44249.0</v>
      </c>
      <c r="C6135" s="1" t="s">
        <v>26</v>
      </c>
      <c r="D6135" s="1" t="s">
        <v>15</v>
      </c>
      <c r="E6135" s="1" t="s">
        <v>31</v>
      </c>
      <c r="F6135" s="1">
        <v>849.12</v>
      </c>
      <c r="G6135" s="1">
        <v>230.88</v>
      </c>
      <c r="H6135" s="1">
        <v>7.0</v>
      </c>
      <c r="I6135" s="1" t="s">
        <v>17</v>
      </c>
      <c r="J6135" s="1" t="s">
        <v>24</v>
      </c>
      <c r="K6135" s="1">
        <f t="shared" si="1"/>
        <v>2021</v>
      </c>
      <c r="L6135" s="1" t="str">
        <f t="shared" si="2"/>
        <v>Feb</v>
      </c>
      <c r="M6135" s="1" t="str">
        <f t="shared" si="3"/>
        <v>Profit</v>
      </c>
    </row>
    <row r="6136" ht="14.25" customHeight="1">
      <c r="A6136" s="1" t="s">
        <v>6170</v>
      </c>
      <c r="B6136" s="2">
        <v>45287.0</v>
      </c>
      <c r="C6136" s="1" t="s">
        <v>14</v>
      </c>
      <c r="D6136" s="1" t="s">
        <v>27</v>
      </c>
      <c r="E6136" s="1" t="s">
        <v>33</v>
      </c>
      <c r="F6136" s="1">
        <v>773.45</v>
      </c>
      <c r="G6136" s="1">
        <v>-192.17</v>
      </c>
      <c r="H6136" s="1">
        <v>7.0</v>
      </c>
      <c r="I6136" s="1" t="s">
        <v>17</v>
      </c>
      <c r="J6136" s="1" t="s">
        <v>18</v>
      </c>
      <c r="K6136" s="1">
        <f t="shared" si="1"/>
        <v>2023</v>
      </c>
      <c r="L6136" s="1" t="str">
        <f t="shared" si="2"/>
        <v>Dec</v>
      </c>
      <c r="M6136" s="1" t="str">
        <f t="shared" si="3"/>
        <v>Loss</v>
      </c>
    </row>
    <row r="6137" ht="14.25" customHeight="1">
      <c r="A6137" s="1" t="s">
        <v>6171</v>
      </c>
      <c r="B6137" s="2">
        <v>44870.0</v>
      </c>
      <c r="C6137" s="1" t="s">
        <v>30</v>
      </c>
      <c r="D6137" s="1" t="s">
        <v>21</v>
      </c>
      <c r="E6137" s="1" t="s">
        <v>22</v>
      </c>
      <c r="F6137" s="1">
        <v>291.73</v>
      </c>
      <c r="G6137" s="1">
        <v>154.13</v>
      </c>
      <c r="H6137" s="1">
        <v>2.0</v>
      </c>
      <c r="I6137" s="1" t="s">
        <v>17</v>
      </c>
      <c r="J6137" s="1" t="s">
        <v>38</v>
      </c>
      <c r="K6137" s="1">
        <f t="shared" si="1"/>
        <v>2022</v>
      </c>
      <c r="L6137" s="1" t="str">
        <f t="shared" si="2"/>
        <v>Nov</v>
      </c>
      <c r="M6137" s="1" t="str">
        <f t="shared" si="3"/>
        <v>Profit</v>
      </c>
    </row>
    <row r="6138" ht="14.25" customHeight="1">
      <c r="A6138" s="1" t="s">
        <v>6172</v>
      </c>
      <c r="B6138" s="2">
        <v>44800.0</v>
      </c>
      <c r="C6138" s="1" t="s">
        <v>30</v>
      </c>
      <c r="D6138" s="1" t="s">
        <v>21</v>
      </c>
      <c r="E6138" s="1" t="s">
        <v>37</v>
      </c>
      <c r="F6138" s="1">
        <v>420.62</v>
      </c>
      <c r="G6138" s="1">
        <v>-169.63</v>
      </c>
      <c r="H6138" s="1">
        <v>7.0</v>
      </c>
      <c r="I6138" s="1" t="s">
        <v>34</v>
      </c>
      <c r="J6138" s="1" t="s">
        <v>35</v>
      </c>
      <c r="K6138" s="1">
        <f t="shared" si="1"/>
        <v>2022</v>
      </c>
      <c r="L6138" s="1" t="str">
        <f t="shared" si="2"/>
        <v>Aug</v>
      </c>
      <c r="M6138" s="1" t="str">
        <f t="shared" si="3"/>
        <v>Loss</v>
      </c>
    </row>
    <row r="6139" ht="14.25" customHeight="1">
      <c r="A6139" s="1" t="s">
        <v>6173</v>
      </c>
      <c r="B6139" s="2">
        <v>44409.0</v>
      </c>
      <c r="C6139" s="1" t="s">
        <v>14</v>
      </c>
      <c r="D6139" s="1" t="s">
        <v>21</v>
      </c>
      <c r="E6139" s="1" t="s">
        <v>76</v>
      </c>
      <c r="F6139" s="1">
        <v>439.03</v>
      </c>
      <c r="G6139" s="1">
        <v>103.5</v>
      </c>
      <c r="H6139" s="1">
        <v>8.0</v>
      </c>
      <c r="I6139" s="1" t="s">
        <v>17</v>
      </c>
      <c r="J6139" s="1" t="s">
        <v>35</v>
      </c>
      <c r="K6139" s="1">
        <f t="shared" si="1"/>
        <v>2021</v>
      </c>
      <c r="L6139" s="1" t="str">
        <f t="shared" si="2"/>
        <v>Aug</v>
      </c>
      <c r="M6139" s="1" t="str">
        <f t="shared" si="3"/>
        <v>Profit</v>
      </c>
    </row>
    <row r="6140" ht="14.25" customHeight="1">
      <c r="A6140" s="1" t="s">
        <v>6174</v>
      </c>
      <c r="B6140" s="2">
        <v>44549.0</v>
      </c>
      <c r="C6140" s="1" t="s">
        <v>26</v>
      </c>
      <c r="D6140" s="1" t="s">
        <v>15</v>
      </c>
      <c r="E6140" s="1" t="s">
        <v>31</v>
      </c>
      <c r="F6140" s="1">
        <v>768.91</v>
      </c>
      <c r="G6140" s="1">
        <v>159.54</v>
      </c>
      <c r="H6140" s="1">
        <v>1.0</v>
      </c>
      <c r="I6140" s="1" t="s">
        <v>34</v>
      </c>
      <c r="J6140" s="1" t="s">
        <v>24</v>
      </c>
      <c r="K6140" s="1">
        <f t="shared" si="1"/>
        <v>2021</v>
      </c>
      <c r="L6140" s="1" t="str">
        <f t="shared" si="2"/>
        <v>Dec</v>
      </c>
      <c r="M6140" s="1" t="str">
        <f t="shared" si="3"/>
        <v>Profit</v>
      </c>
    </row>
    <row r="6141" ht="14.25" customHeight="1">
      <c r="A6141" s="1" t="s">
        <v>6175</v>
      </c>
      <c r="B6141" s="2">
        <v>45258.0</v>
      </c>
      <c r="C6141" s="1" t="s">
        <v>26</v>
      </c>
      <c r="D6141" s="1" t="s">
        <v>15</v>
      </c>
      <c r="E6141" s="1" t="s">
        <v>31</v>
      </c>
      <c r="F6141" s="1">
        <v>723.86</v>
      </c>
      <c r="G6141" s="1">
        <v>-119.58</v>
      </c>
      <c r="H6141" s="1">
        <v>9.0</v>
      </c>
      <c r="I6141" s="1" t="s">
        <v>17</v>
      </c>
      <c r="J6141" s="1" t="s">
        <v>18</v>
      </c>
      <c r="K6141" s="1">
        <f t="shared" si="1"/>
        <v>2023</v>
      </c>
      <c r="L6141" s="1" t="str">
        <f t="shared" si="2"/>
        <v>Nov</v>
      </c>
      <c r="M6141" s="1" t="str">
        <f t="shared" si="3"/>
        <v>Loss</v>
      </c>
    </row>
    <row r="6142" ht="14.25" customHeight="1">
      <c r="A6142" s="1" t="s">
        <v>6176</v>
      </c>
      <c r="B6142" s="2">
        <v>45223.0</v>
      </c>
      <c r="C6142" s="1" t="s">
        <v>20</v>
      </c>
      <c r="D6142" s="1" t="s">
        <v>27</v>
      </c>
      <c r="E6142" s="1" t="s">
        <v>40</v>
      </c>
      <c r="F6142" s="1">
        <v>484.3</v>
      </c>
      <c r="G6142" s="1">
        <v>151.92</v>
      </c>
      <c r="H6142" s="1">
        <v>5.0</v>
      </c>
      <c r="I6142" s="1" t="s">
        <v>23</v>
      </c>
      <c r="J6142" s="1" t="s">
        <v>24</v>
      </c>
      <c r="K6142" s="1">
        <f t="shared" si="1"/>
        <v>2023</v>
      </c>
      <c r="L6142" s="1" t="str">
        <f t="shared" si="2"/>
        <v>Oct</v>
      </c>
      <c r="M6142" s="1" t="str">
        <f t="shared" si="3"/>
        <v>Profit</v>
      </c>
    </row>
    <row r="6143" ht="14.25" customHeight="1">
      <c r="A6143" s="1" t="s">
        <v>6177</v>
      </c>
      <c r="B6143" s="2">
        <v>44956.0</v>
      </c>
      <c r="C6143" s="1" t="s">
        <v>26</v>
      </c>
      <c r="D6143" s="1" t="s">
        <v>21</v>
      </c>
      <c r="E6143" s="1" t="s">
        <v>37</v>
      </c>
      <c r="F6143" s="1">
        <v>763.35</v>
      </c>
      <c r="G6143" s="1">
        <v>89.13</v>
      </c>
      <c r="H6143" s="1">
        <v>9.0</v>
      </c>
      <c r="I6143" s="1" t="s">
        <v>17</v>
      </c>
      <c r="J6143" s="1" t="s">
        <v>35</v>
      </c>
      <c r="K6143" s="1">
        <f t="shared" si="1"/>
        <v>2023</v>
      </c>
      <c r="L6143" s="1" t="str">
        <f t="shared" si="2"/>
        <v>Jan</v>
      </c>
      <c r="M6143" s="1" t="str">
        <f t="shared" si="3"/>
        <v>Profit</v>
      </c>
    </row>
    <row r="6144" ht="14.25" customHeight="1">
      <c r="A6144" s="1" t="s">
        <v>6178</v>
      </c>
      <c r="B6144" s="2">
        <v>44604.0</v>
      </c>
      <c r="C6144" s="1" t="s">
        <v>30</v>
      </c>
      <c r="D6144" s="1" t="s">
        <v>27</v>
      </c>
      <c r="E6144" s="1" t="s">
        <v>33</v>
      </c>
      <c r="F6144" s="1">
        <v>22.88</v>
      </c>
      <c r="G6144" s="1">
        <v>-189.7</v>
      </c>
      <c r="H6144" s="1">
        <v>3.0</v>
      </c>
      <c r="I6144" s="1" t="s">
        <v>34</v>
      </c>
      <c r="J6144" s="1" t="s">
        <v>18</v>
      </c>
      <c r="K6144" s="1">
        <f t="shared" si="1"/>
        <v>2022</v>
      </c>
      <c r="L6144" s="1" t="str">
        <f t="shared" si="2"/>
        <v>Feb</v>
      </c>
      <c r="M6144" s="1" t="str">
        <f t="shared" si="3"/>
        <v>Loss</v>
      </c>
    </row>
    <row r="6145" ht="14.25" customHeight="1">
      <c r="A6145" s="1" t="s">
        <v>6179</v>
      </c>
      <c r="B6145" s="2">
        <v>44488.0</v>
      </c>
      <c r="C6145" s="1" t="s">
        <v>26</v>
      </c>
      <c r="D6145" s="1" t="s">
        <v>15</v>
      </c>
      <c r="E6145" s="1" t="s">
        <v>54</v>
      </c>
      <c r="F6145" s="1">
        <v>921.86</v>
      </c>
      <c r="G6145" s="1">
        <v>265.32</v>
      </c>
      <c r="H6145" s="1">
        <v>9.0</v>
      </c>
      <c r="I6145" s="1" t="s">
        <v>23</v>
      </c>
      <c r="J6145" s="1" t="s">
        <v>38</v>
      </c>
      <c r="K6145" s="1">
        <f t="shared" si="1"/>
        <v>2021</v>
      </c>
      <c r="L6145" s="1" t="str">
        <f t="shared" si="2"/>
        <v>Oct</v>
      </c>
      <c r="M6145" s="1" t="str">
        <f t="shared" si="3"/>
        <v>Profit</v>
      </c>
    </row>
    <row r="6146" ht="14.25" customHeight="1">
      <c r="A6146" s="1" t="s">
        <v>6180</v>
      </c>
      <c r="B6146" s="2">
        <v>45057.0</v>
      </c>
      <c r="C6146" s="1" t="s">
        <v>26</v>
      </c>
      <c r="D6146" s="1" t="s">
        <v>15</v>
      </c>
      <c r="E6146" s="1" t="s">
        <v>31</v>
      </c>
      <c r="F6146" s="1">
        <v>681.97</v>
      </c>
      <c r="G6146" s="1">
        <v>-71.39</v>
      </c>
      <c r="H6146" s="1">
        <v>3.0</v>
      </c>
      <c r="I6146" s="1" t="s">
        <v>17</v>
      </c>
      <c r="J6146" s="1" t="s">
        <v>35</v>
      </c>
      <c r="K6146" s="1">
        <f t="shared" si="1"/>
        <v>2023</v>
      </c>
      <c r="L6146" s="1" t="str">
        <f t="shared" si="2"/>
        <v>May</v>
      </c>
      <c r="M6146" s="1" t="str">
        <f t="shared" si="3"/>
        <v>Loss</v>
      </c>
    </row>
    <row r="6147" ht="14.25" customHeight="1">
      <c r="A6147" s="1" t="s">
        <v>6181</v>
      </c>
      <c r="B6147" s="2">
        <v>44400.0</v>
      </c>
      <c r="C6147" s="1" t="s">
        <v>26</v>
      </c>
      <c r="D6147" s="1" t="s">
        <v>15</v>
      </c>
      <c r="E6147" s="1" t="s">
        <v>31</v>
      </c>
      <c r="F6147" s="1">
        <v>280.14</v>
      </c>
      <c r="G6147" s="1">
        <v>-53.23</v>
      </c>
      <c r="H6147" s="1">
        <v>5.0</v>
      </c>
      <c r="I6147" s="1" t="s">
        <v>34</v>
      </c>
      <c r="J6147" s="1" t="s">
        <v>35</v>
      </c>
      <c r="K6147" s="1">
        <f t="shared" si="1"/>
        <v>2021</v>
      </c>
      <c r="L6147" s="1" t="str">
        <f t="shared" si="2"/>
        <v>Jul</v>
      </c>
      <c r="M6147" s="1" t="str">
        <f t="shared" si="3"/>
        <v>Loss</v>
      </c>
    </row>
    <row r="6148" ht="14.25" customHeight="1">
      <c r="A6148" s="1" t="s">
        <v>6182</v>
      </c>
      <c r="B6148" s="2">
        <v>44525.0</v>
      </c>
      <c r="C6148" s="1" t="s">
        <v>20</v>
      </c>
      <c r="D6148" s="1" t="s">
        <v>27</v>
      </c>
      <c r="E6148" s="1" t="s">
        <v>33</v>
      </c>
      <c r="F6148" s="1">
        <v>324.21</v>
      </c>
      <c r="G6148" s="1">
        <v>237.96</v>
      </c>
      <c r="H6148" s="1">
        <v>6.0</v>
      </c>
      <c r="I6148" s="1" t="s">
        <v>17</v>
      </c>
      <c r="J6148" s="1" t="s">
        <v>38</v>
      </c>
      <c r="K6148" s="1">
        <f t="shared" si="1"/>
        <v>2021</v>
      </c>
      <c r="L6148" s="1" t="str">
        <f t="shared" si="2"/>
        <v>Nov</v>
      </c>
      <c r="M6148" s="1" t="str">
        <f t="shared" si="3"/>
        <v>Profit</v>
      </c>
    </row>
    <row r="6149" ht="14.25" customHeight="1">
      <c r="A6149" s="1" t="s">
        <v>6183</v>
      </c>
      <c r="B6149" s="2">
        <v>45290.0</v>
      </c>
      <c r="C6149" s="1" t="s">
        <v>30</v>
      </c>
      <c r="D6149" s="1" t="s">
        <v>15</v>
      </c>
      <c r="E6149" s="1" t="s">
        <v>54</v>
      </c>
      <c r="F6149" s="1">
        <v>953.88</v>
      </c>
      <c r="G6149" s="1">
        <v>-91.84</v>
      </c>
      <c r="H6149" s="1">
        <v>3.0</v>
      </c>
      <c r="I6149" s="1" t="s">
        <v>34</v>
      </c>
      <c r="J6149" s="1" t="s">
        <v>24</v>
      </c>
      <c r="K6149" s="1">
        <f t="shared" si="1"/>
        <v>2023</v>
      </c>
      <c r="L6149" s="1" t="str">
        <f t="shared" si="2"/>
        <v>Dec</v>
      </c>
      <c r="M6149" s="1" t="str">
        <f t="shared" si="3"/>
        <v>Loss</v>
      </c>
    </row>
    <row r="6150" ht="14.25" customHeight="1">
      <c r="A6150" s="1" t="s">
        <v>6184</v>
      </c>
      <c r="B6150" s="2">
        <v>44265.0</v>
      </c>
      <c r="C6150" s="1" t="s">
        <v>30</v>
      </c>
      <c r="D6150" s="1" t="s">
        <v>15</v>
      </c>
      <c r="E6150" s="1" t="s">
        <v>31</v>
      </c>
      <c r="F6150" s="1">
        <v>256.49</v>
      </c>
      <c r="G6150" s="1">
        <v>-87.01</v>
      </c>
      <c r="H6150" s="1">
        <v>5.0</v>
      </c>
      <c r="I6150" s="1" t="s">
        <v>17</v>
      </c>
      <c r="J6150" s="1" t="s">
        <v>35</v>
      </c>
      <c r="K6150" s="1">
        <f t="shared" si="1"/>
        <v>2021</v>
      </c>
      <c r="L6150" s="1" t="str">
        <f t="shared" si="2"/>
        <v>Mar</v>
      </c>
      <c r="M6150" s="1" t="str">
        <f t="shared" si="3"/>
        <v>Loss</v>
      </c>
    </row>
    <row r="6151" ht="14.25" customHeight="1">
      <c r="A6151" s="1" t="s">
        <v>6185</v>
      </c>
      <c r="B6151" s="2">
        <v>44273.0</v>
      </c>
      <c r="C6151" s="1" t="s">
        <v>30</v>
      </c>
      <c r="D6151" s="1" t="s">
        <v>15</v>
      </c>
      <c r="E6151" s="1" t="s">
        <v>31</v>
      </c>
      <c r="F6151" s="1">
        <v>759.26</v>
      </c>
      <c r="G6151" s="1">
        <v>-192.71</v>
      </c>
      <c r="H6151" s="1">
        <v>2.0</v>
      </c>
      <c r="I6151" s="1" t="s">
        <v>34</v>
      </c>
      <c r="J6151" s="1" t="s">
        <v>35</v>
      </c>
      <c r="K6151" s="1">
        <f t="shared" si="1"/>
        <v>2021</v>
      </c>
      <c r="L6151" s="1" t="str">
        <f t="shared" si="2"/>
        <v>Mar</v>
      </c>
      <c r="M6151" s="1" t="str">
        <f t="shared" si="3"/>
        <v>Loss</v>
      </c>
    </row>
    <row r="6152" ht="14.25" customHeight="1">
      <c r="A6152" s="1" t="s">
        <v>6186</v>
      </c>
      <c r="B6152" s="2">
        <v>44688.0</v>
      </c>
      <c r="C6152" s="1" t="s">
        <v>14</v>
      </c>
      <c r="D6152" s="1" t="s">
        <v>21</v>
      </c>
      <c r="E6152" s="1" t="s">
        <v>22</v>
      </c>
      <c r="F6152" s="1">
        <v>409.42</v>
      </c>
      <c r="G6152" s="1">
        <v>10.39</v>
      </c>
      <c r="H6152" s="1">
        <v>7.0</v>
      </c>
      <c r="I6152" s="1" t="s">
        <v>23</v>
      </c>
      <c r="J6152" s="1" t="s">
        <v>24</v>
      </c>
      <c r="K6152" s="1">
        <f t="shared" si="1"/>
        <v>2022</v>
      </c>
      <c r="L6152" s="1" t="str">
        <f t="shared" si="2"/>
        <v>May</v>
      </c>
      <c r="M6152" s="1" t="str">
        <f t="shared" si="3"/>
        <v>Profit</v>
      </c>
    </row>
    <row r="6153" ht="14.25" customHeight="1">
      <c r="A6153" s="1" t="s">
        <v>6187</v>
      </c>
      <c r="B6153" s="2">
        <v>45044.0</v>
      </c>
      <c r="C6153" s="1" t="s">
        <v>26</v>
      </c>
      <c r="D6153" s="1" t="s">
        <v>15</v>
      </c>
      <c r="E6153" s="1" t="s">
        <v>31</v>
      </c>
      <c r="F6153" s="1">
        <v>686.28</v>
      </c>
      <c r="G6153" s="1">
        <v>-48.28</v>
      </c>
      <c r="H6153" s="1">
        <v>9.0</v>
      </c>
      <c r="I6153" s="1" t="s">
        <v>34</v>
      </c>
      <c r="J6153" s="1" t="s">
        <v>24</v>
      </c>
      <c r="K6153" s="1">
        <f t="shared" si="1"/>
        <v>2023</v>
      </c>
      <c r="L6153" s="1" t="str">
        <f t="shared" si="2"/>
        <v>Apr</v>
      </c>
      <c r="M6153" s="1" t="str">
        <f t="shared" si="3"/>
        <v>Loss</v>
      </c>
    </row>
    <row r="6154" ht="14.25" customHeight="1">
      <c r="A6154" s="1" t="s">
        <v>6188</v>
      </c>
      <c r="B6154" s="2">
        <v>44799.0</v>
      </c>
      <c r="C6154" s="1" t="s">
        <v>14</v>
      </c>
      <c r="D6154" s="1" t="s">
        <v>15</v>
      </c>
      <c r="E6154" s="1" t="s">
        <v>31</v>
      </c>
      <c r="F6154" s="1">
        <v>118.69</v>
      </c>
      <c r="G6154" s="1">
        <v>44.65</v>
      </c>
      <c r="H6154" s="1">
        <v>10.0</v>
      </c>
      <c r="I6154" s="1" t="s">
        <v>17</v>
      </c>
      <c r="J6154" s="1" t="s">
        <v>35</v>
      </c>
      <c r="K6154" s="1">
        <f t="shared" si="1"/>
        <v>2022</v>
      </c>
      <c r="L6154" s="1" t="str">
        <f t="shared" si="2"/>
        <v>Aug</v>
      </c>
      <c r="M6154" s="1" t="str">
        <f t="shared" si="3"/>
        <v>Profit</v>
      </c>
    </row>
    <row r="6155" ht="14.25" customHeight="1">
      <c r="A6155" s="1" t="s">
        <v>6189</v>
      </c>
      <c r="B6155" s="2">
        <v>44701.0</v>
      </c>
      <c r="C6155" s="1" t="s">
        <v>14</v>
      </c>
      <c r="D6155" s="1" t="s">
        <v>15</v>
      </c>
      <c r="E6155" s="1" t="s">
        <v>31</v>
      </c>
      <c r="F6155" s="1">
        <v>882.61</v>
      </c>
      <c r="G6155" s="1">
        <v>-154.37</v>
      </c>
      <c r="H6155" s="1">
        <v>8.0</v>
      </c>
      <c r="I6155" s="1" t="s">
        <v>34</v>
      </c>
      <c r="J6155" s="1" t="s">
        <v>35</v>
      </c>
      <c r="K6155" s="1">
        <f t="shared" si="1"/>
        <v>2022</v>
      </c>
      <c r="L6155" s="1" t="str">
        <f t="shared" si="2"/>
        <v>May</v>
      </c>
      <c r="M6155" s="1" t="str">
        <f t="shared" si="3"/>
        <v>Loss</v>
      </c>
    </row>
    <row r="6156" ht="14.25" customHeight="1">
      <c r="A6156" s="1" t="s">
        <v>6190</v>
      </c>
      <c r="B6156" s="2">
        <v>45219.0</v>
      </c>
      <c r="C6156" s="1" t="s">
        <v>26</v>
      </c>
      <c r="D6156" s="1" t="s">
        <v>15</v>
      </c>
      <c r="E6156" s="1" t="s">
        <v>31</v>
      </c>
      <c r="F6156" s="1">
        <v>864.17</v>
      </c>
      <c r="G6156" s="1">
        <v>263.78</v>
      </c>
      <c r="H6156" s="1">
        <v>5.0</v>
      </c>
      <c r="I6156" s="1" t="s">
        <v>34</v>
      </c>
      <c r="J6156" s="1" t="s">
        <v>24</v>
      </c>
      <c r="K6156" s="1">
        <f t="shared" si="1"/>
        <v>2023</v>
      </c>
      <c r="L6156" s="1" t="str">
        <f t="shared" si="2"/>
        <v>Oct</v>
      </c>
      <c r="M6156" s="1" t="str">
        <f t="shared" si="3"/>
        <v>Profit</v>
      </c>
    </row>
    <row r="6157" ht="14.25" customHeight="1">
      <c r="A6157" s="1" t="s">
        <v>6191</v>
      </c>
      <c r="B6157" s="2">
        <v>44608.0</v>
      </c>
      <c r="C6157" s="1" t="s">
        <v>14</v>
      </c>
      <c r="D6157" s="1" t="s">
        <v>21</v>
      </c>
      <c r="E6157" s="1" t="s">
        <v>76</v>
      </c>
      <c r="F6157" s="1">
        <v>77.13</v>
      </c>
      <c r="G6157" s="1">
        <v>79.97</v>
      </c>
      <c r="H6157" s="1">
        <v>10.0</v>
      </c>
      <c r="I6157" s="1" t="s">
        <v>23</v>
      </c>
      <c r="J6157" s="1" t="s">
        <v>24</v>
      </c>
      <c r="K6157" s="1">
        <f t="shared" si="1"/>
        <v>2022</v>
      </c>
      <c r="L6157" s="1" t="str">
        <f t="shared" si="2"/>
        <v>Feb</v>
      </c>
      <c r="M6157" s="1" t="str">
        <f t="shared" si="3"/>
        <v>Profit</v>
      </c>
    </row>
    <row r="6158" ht="14.25" customHeight="1">
      <c r="A6158" s="1" t="s">
        <v>6192</v>
      </c>
      <c r="B6158" s="2">
        <v>44519.0</v>
      </c>
      <c r="C6158" s="1" t="s">
        <v>26</v>
      </c>
      <c r="D6158" s="1" t="s">
        <v>27</v>
      </c>
      <c r="E6158" s="1" t="s">
        <v>33</v>
      </c>
      <c r="F6158" s="1">
        <v>701.21</v>
      </c>
      <c r="G6158" s="1">
        <v>194.19</v>
      </c>
      <c r="H6158" s="1">
        <v>2.0</v>
      </c>
      <c r="I6158" s="1" t="s">
        <v>17</v>
      </c>
      <c r="J6158" s="1" t="s">
        <v>18</v>
      </c>
      <c r="K6158" s="1">
        <f t="shared" si="1"/>
        <v>2021</v>
      </c>
      <c r="L6158" s="1" t="str">
        <f t="shared" si="2"/>
        <v>Nov</v>
      </c>
      <c r="M6158" s="1" t="str">
        <f t="shared" si="3"/>
        <v>Profit</v>
      </c>
    </row>
    <row r="6159" ht="14.25" customHeight="1">
      <c r="A6159" s="1" t="s">
        <v>6193</v>
      </c>
      <c r="B6159" s="2">
        <v>44892.0</v>
      </c>
      <c r="C6159" s="1" t="s">
        <v>14</v>
      </c>
      <c r="D6159" s="1" t="s">
        <v>15</v>
      </c>
      <c r="E6159" s="1" t="s">
        <v>16</v>
      </c>
      <c r="F6159" s="1">
        <v>483.76</v>
      </c>
      <c r="G6159" s="1">
        <v>37.77</v>
      </c>
      <c r="H6159" s="1">
        <v>3.0</v>
      </c>
      <c r="I6159" s="1" t="s">
        <v>34</v>
      </c>
      <c r="J6159" s="1" t="s">
        <v>24</v>
      </c>
      <c r="K6159" s="1">
        <f t="shared" si="1"/>
        <v>2022</v>
      </c>
      <c r="L6159" s="1" t="str">
        <f t="shared" si="2"/>
        <v>Nov</v>
      </c>
      <c r="M6159" s="1" t="str">
        <f t="shared" si="3"/>
        <v>Profit</v>
      </c>
    </row>
    <row r="6160" ht="14.25" customHeight="1">
      <c r="A6160" s="1" t="s">
        <v>6194</v>
      </c>
      <c r="B6160" s="2">
        <v>44305.0</v>
      </c>
      <c r="C6160" s="1" t="s">
        <v>20</v>
      </c>
      <c r="D6160" s="1" t="s">
        <v>21</v>
      </c>
      <c r="E6160" s="1" t="s">
        <v>22</v>
      </c>
      <c r="F6160" s="1">
        <v>119.2</v>
      </c>
      <c r="G6160" s="1">
        <v>-5.5</v>
      </c>
      <c r="H6160" s="1">
        <v>8.0</v>
      </c>
      <c r="I6160" s="1" t="s">
        <v>23</v>
      </c>
      <c r="J6160" s="1" t="s">
        <v>24</v>
      </c>
      <c r="K6160" s="1">
        <f t="shared" si="1"/>
        <v>2021</v>
      </c>
      <c r="L6160" s="1" t="str">
        <f t="shared" si="2"/>
        <v>Apr</v>
      </c>
      <c r="M6160" s="1" t="str">
        <f t="shared" si="3"/>
        <v>Loss</v>
      </c>
    </row>
    <row r="6161" ht="14.25" customHeight="1">
      <c r="A6161" s="1" t="s">
        <v>6195</v>
      </c>
      <c r="B6161" s="2">
        <v>44463.0</v>
      </c>
      <c r="C6161" s="1" t="s">
        <v>26</v>
      </c>
      <c r="D6161" s="1" t="s">
        <v>21</v>
      </c>
      <c r="E6161" s="1" t="s">
        <v>37</v>
      </c>
      <c r="F6161" s="1">
        <v>275.31</v>
      </c>
      <c r="G6161" s="1">
        <v>-88.71</v>
      </c>
      <c r="H6161" s="1">
        <v>5.0</v>
      </c>
      <c r="I6161" s="1" t="s">
        <v>34</v>
      </c>
      <c r="J6161" s="1" t="s">
        <v>38</v>
      </c>
      <c r="K6161" s="1">
        <f t="shared" si="1"/>
        <v>2021</v>
      </c>
      <c r="L6161" s="1" t="str">
        <f t="shared" si="2"/>
        <v>Sep</v>
      </c>
      <c r="M6161" s="1" t="str">
        <f t="shared" si="3"/>
        <v>Loss</v>
      </c>
    </row>
    <row r="6162" ht="14.25" customHeight="1">
      <c r="A6162" s="1" t="s">
        <v>6196</v>
      </c>
      <c r="B6162" s="2">
        <v>45224.0</v>
      </c>
      <c r="C6162" s="1" t="s">
        <v>30</v>
      </c>
      <c r="D6162" s="1" t="s">
        <v>21</v>
      </c>
      <c r="E6162" s="1" t="s">
        <v>22</v>
      </c>
      <c r="F6162" s="1">
        <v>904.75</v>
      </c>
      <c r="G6162" s="1">
        <v>-75.47</v>
      </c>
      <c r="H6162" s="1">
        <v>4.0</v>
      </c>
      <c r="I6162" s="1" t="s">
        <v>34</v>
      </c>
      <c r="J6162" s="1" t="s">
        <v>18</v>
      </c>
      <c r="K6162" s="1">
        <f t="shared" si="1"/>
        <v>2023</v>
      </c>
      <c r="L6162" s="1" t="str">
        <f t="shared" si="2"/>
        <v>Oct</v>
      </c>
      <c r="M6162" s="1" t="str">
        <f t="shared" si="3"/>
        <v>Loss</v>
      </c>
    </row>
    <row r="6163" ht="14.25" customHeight="1">
      <c r="A6163" s="1" t="s">
        <v>6197</v>
      </c>
      <c r="B6163" s="2">
        <v>44942.0</v>
      </c>
      <c r="C6163" s="1" t="s">
        <v>14</v>
      </c>
      <c r="D6163" s="1" t="s">
        <v>21</v>
      </c>
      <c r="E6163" s="1" t="s">
        <v>76</v>
      </c>
      <c r="F6163" s="1">
        <v>937.02</v>
      </c>
      <c r="G6163" s="1">
        <v>162.36</v>
      </c>
      <c r="H6163" s="1">
        <v>1.0</v>
      </c>
      <c r="I6163" s="1" t="s">
        <v>17</v>
      </c>
      <c r="J6163" s="1" t="s">
        <v>38</v>
      </c>
      <c r="K6163" s="1">
        <f t="shared" si="1"/>
        <v>2023</v>
      </c>
      <c r="L6163" s="1" t="str">
        <f t="shared" si="2"/>
        <v>Jan</v>
      </c>
      <c r="M6163" s="1" t="str">
        <f t="shared" si="3"/>
        <v>Profit</v>
      </c>
    </row>
    <row r="6164" ht="14.25" customHeight="1">
      <c r="A6164" s="1" t="s">
        <v>6198</v>
      </c>
      <c r="B6164" s="2">
        <v>44584.0</v>
      </c>
      <c r="C6164" s="1" t="s">
        <v>14</v>
      </c>
      <c r="D6164" s="1" t="s">
        <v>15</v>
      </c>
      <c r="E6164" s="1" t="s">
        <v>31</v>
      </c>
      <c r="F6164" s="1">
        <v>527.57</v>
      </c>
      <c r="G6164" s="1">
        <v>82.83</v>
      </c>
      <c r="H6164" s="1">
        <v>10.0</v>
      </c>
      <c r="I6164" s="1" t="s">
        <v>34</v>
      </c>
      <c r="J6164" s="1" t="s">
        <v>38</v>
      </c>
      <c r="K6164" s="1">
        <f t="shared" si="1"/>
        <v>2022</v>
      </c>
      <c r="L6164" s="1" t="str">
        <f t="shared" si="2"/>
        <v>Jan</v>
      </c>
      <c r="M6164" s="1" t="str">
        <f t="shared" si="3"/>
        <v>Profit</v>
      </c>
    </row>
    <row r="6165" ht="14.25" customHeight="1">
      <c r="A6165" s="1" t="s">
        <v>6199</v>
      </c>
      <c r="B6165" s="2">
        <v>45276.0</v>
      </c>
      <c r="C6165" s="1" t="s">
        <v>20</v>
      </c>
      <c r="D6165" s="1" t="s">
        <v>15</v>
      </c>
      <c r="E6165" s="1" t="s">
        <v>54</v>
      </c>
      <c r="F6165" s="1">
        <v>309.73</v>
      </c>
      <c r="G6165" s="1">
        <v>-84.79</v>
      </c>
      <c r="H6165" s="1">
        <v>1.0</v>
      </c>
      <c r="I6165" s="1" t="s">
        <v>23</v>
      </c>
      <c r="J6165" s="1" t="s">
        <v>38</v>
      </c>
      <c r="K6165" s="1">
        <f t="shared" si="1"/>
        <v>2023</v>
      </c>
      <c r="L6165" s="1" t="str">
        <f t="shared" si="2"/>
        <v>Dec</v>
      </c>
      <c r="M6165" s="1" t="str">
        <f t="shared" si="3"/>
        <v>Loss</v>
      </c>
    </row>
    <row r="6166" ht="14.25" customHeight="1">
      <c r="A6166" s="1" t="s">
        <v>6200</v>
      </c>
      <c r="B6166" s="2">
        <v>44790.0</v>
      </c>
      <c r="C6166" s="1" t="s">
        <v>30</v>
      </c>
      <c r="D6166" s="1" t="s">
        <v>21</v>
      </c>
      <c r="E6166" s="1" t="s">
        <v>37</v>
      </c>
      <c r="F6166" s="1">
        <v>168.5</v>
      </c>
      <c r="G6166" s="1">
        <v>111.25</v>
      </c>
      <c r="H6166" s="1">
        <v>10.0</v>
      </c>
      <c r="I6166" s="1" t="s">
        <v>23</v>
      </c>
      <c r="J6166" s="1" t="s">
        <v>35</v>
      </c>
      <c r="K6166" s="1">
        <f t="shared" si="1"/>
        <v>2022</v>
      </c>
      <c r="L6166" s="1" t="str">
        <f t="shared" si="2"/>
        <v>Aug</v>
      </c>
      <c r="M6166" s="1" t="str">
        <f t="shared" si="3"/>
        <v>Profit</v>
      </c>
    </row>
    <row r="6167" ht="14.25" customHeight="1">
      <c r="A6167" s="1" t="s">
        <v>6201</v>
      </c>
      <c r="B6167" s="2">
        <v>44443.0</v>
      </c>
      <c r="C6167" s="1" t="s">
        <v>20</v>
      </c>
      <c r="D6167" s="1" t="s">
        <v>27</v>
      </c>
      <c r="E6167" s="1" t="s">
        <v>33</v>
      </c>
      <c r="F6167" s="1">
        <v>69.14</v>
      </c>
      <c r="G6167" s="1">
        <v>-129.2</v>
      </c>
      <c r="H6167" s="1">
        <v>5.0</v>
      </c>
      <c r="I6167" s="1" t="s">
        <v>23</v>
      </c>
      <c r="J6167" s="1" t="s">
        <v>35</v>
      </c>
      <c r="K6167" s="1">
        <f t="shared" si="1"/>
        <v>2021</v>
      </c>
      <c r="L6167" s="1" t="str">
        <f t="shared" si="2"/>
        <v>Sep</v>
      </c>
      <c r="M6167" s="1" t="str">
        <f t="shared" si="3"/>
        <v>Loss</v>
      </c>
    </row>
    <row r="6168" ht="14.25" customHeight="1">
      <c r="A6168" s="1" t="s">
        <v>6202</v>
      </c>
      <c r="B6168" s="2">
        <v>44311.0</v>
      </c>
      <c r="C6168" s="1" t="s">
        <v>20</v>
      </c>
      <c r="D6168" s="1" t="s">
        <v>15</v>
      </c>
      <c r="E6168" s="1" t="s">
        <v>54</v>
      </c>
      <c r="F6168" s="1">
        <v>594.68</v>
      </c>
      <c r="G6168" s="1">
        <v>261.87</v>
      </c>
      <c r="H6168" s="1">
        <v>7.0</v>
      </c>
      <c r="I6168" s="1" t="s">
        <v>34</v>
      </c>
      <c r="J6168" s="1" t="s">
        <v>38</v>
      </c>
      <c r="K6168" s="1">
        <f t="shared" si="1"/>
        <v>2021</v>
      </c>
      <c r="L6168" s="1" t="str">
        <f t="shared" si="2"/>
        <v>Apr</v>
      </c>
      <c r="M6168" s="1" t="str">
        <f t="shared" si="3"/>
        <v>Profit</v>
      </c>
    </row>
    <row r="6169" ht="14.25" customHeight="1">
      <c r="A6169" s="1" t="s">
        <v>6203</v>
      </c>
      <c r="B6169" s="2">
        <v>44336.0</v>
      </c>
      <c r="C6169" s="1" t="s">
        <v>20</v>
      </c>
      <c r="D6169" s="1" t="s">
        <v>27</v>
      </c>
      <c r="E6169" s="1" t="s">
        <v>33</v>
      </c>
      <c r="F6169" s="1">
        <v>148.25</v>
      </c>
      <c r="G6169" s="1">
        <v>-50.65</v>
      </c>
      <c r="H6169" s="1">
        <v>1.0</v>
      </c>
      <c r="I6169" s="1" t="s">
        <v>34</v>
      </c>
      <c r="J6169" s="1" t="s">
        <v>35</v>
      </c>
      <c r="K6169" s="1">
        <f t="shared" si="1"/>
        <v>2021</v>
      </c>
      <c r="L6169" s="1" t="str">
        <f t="shared" si="2"/>
        <v>May</v>
      </c>
      <c r="M6169" s="1" t="str">
        <f t="shared" si="3"/>
        <v>Loss</v>
      </c>
    </row>
    <row r="6170" ht="14.25" customHeight="1">
      <c r="A6170" s="1" t="s">
        <v>6204</v>
      </c>
      <c r="B6170" s="2">
        <v>44276.0</v>
      </c>
      <c r="C6170" s="1" t="s">
        <v>20</v>
      </c>
      <c r="D6170" s="1" t="s">
        <v>21</v>
      </c>
      <c r="E6170" s="1" t="s">
        <v>22</v>
      </c>
      <c r="F6170" s="1">
        <v>976.82</v>
      </c>
      <c r="G6170" s="1">
        <v>-70.24</v>
      </c>
      <c r="H6170" s="1">
        <v>1.0</v>
      </c>
      <c r="I6170" s="1" t="s">
        <v>23</v>
      </c>
      <c r="J6170" s="1" t="s">
        <v>18</v>
      </c>
      <c r="K6170" s="1">
        <f t="shared" si="1"/>
        <v>2021</v>
      </c>
      <c r="L6170" s="1" t="str">
        <f t="shared" si="2"/>
        <v>Mar</v>
      </c>
      <c r="M6170" s="1" t="str">
        <f t="shared" si="3"/>
        <v>Loss</v>
      </c>
    </row>
    <row r="6171" ht="14.25" customHeight="1">
      <c r="A6171" s="1" t="s">
        <v>6205</v>
      </c>
      <c r="B6171" s="2">
        <v>44583.0</v>
      </c>
      <c r="C6171" s="1" t="s">
        <v>20</v>
      </c>
      <c r="D6171" s="1" t="s">
        <v>21</v>
      </c>
      <c r="E6171" s="1" t="s">
        <v>37</v>
      </c>
      <c r="F6171" s="1">
        <v>484.17</v>
      </c>
      <c r="G6171" s="1">
        <v>234.76</v>
      </c>
      <c r="H6171" s="1">
        <v>5.0</v>
      </c>
      <c r="I6171" s="1" t="s">
        <v>34</v>
      </c>
      <c r="J6171" s="1" t="s">
        <v>38</v>
      </c>
      <c r="K6171" s="1">
        <f t="shared" si="1"/>
        <v>2022</v>
      </c>
      <c r="L6171" s="1" t="str">
        <f t="shared" si="2"/>
        <v>Jan</v>
      </c>
      <c r="M6171" s="1" t="str">
        <f t="shared" si="3"/>
        <v>Profit</v>
      </c>
    </row>
    <row r="6172" ht="14.25" customHeight="1">
      <c r="A6172" s="1" t="s">
        <v>6206</v>
      </c>
      <c r="B6172" s="2">
        <v>44613.0</v>
      </c>
      <c r="C6172" s="1" t="s">
        <v>26</v>
      </c>
      <c r="D6172" s="1" t="s">
        <v>27</v>
      </c>
      <c r="E6172" s="1" t="s">
        <v>28</v>
      </c>
      <c r="F6172" s="1">
        <v>917.18</v>
      </c>
      <c r="G6172" s="1">
        <v>-87.26</v>
      </c>
      <c r="H6172" s="1">
        <v>1.0</v>
      </c>
      <c r="I6172" s="1" t="s">
        <v>17</v>
      </c>
      <c r="J6172" s="1" t="s">
        <v>35</v>
      </c>
      <c r="K6172" s="1">
        <f t="shared" si="1"/>
        <v>2022</v>
      </c>
      <c r="L6172" s="1" t="str">
        <f t="shared" si="2"/>
        <v>Feb</v>
      </c>
      <c r="M6172" s="1" t="str">
        <f t="shared" si="3"/>
        <v>Loss</v>
      </c>
    </row>
    <row r="6173" ht="14.25" customHeight="1">
      <c r="A6173" s="1" t="s">
        <v>6207</v>
      </c>
      <c r="B6173" s="2">
        <v>45118.0</v>
      </c>
      <c r="C6173" s="1" t="s">
        <v>20</v>
      </c>
      <c r="D6173" s="1" t="s">
        <v>21</v>
      </c>
      <c r="E6173" s="1" t="s">
        <v>37</v>
      </c>
      <c r="F6173" s="1">
        <v>778.31</v>
      </c>
      <c r="G6173" s="1">
        <v>48.24</v>
      </c>
      <c r="H6173" s="1">
        <v>3.0</v>
      </c>
      <c r="I6173" s="1" t="s">
        <v>23</v>
      </c>
      <c r="J6173" s="1" t="s">
        <v>38</v>
      </c>
      <c r="K6173" s="1">
        <f t="shared" si="1"/>
        <v>2023</v>
      </c>
      <c r="L6173" s="1" t="str">
        <f t="shared" si="2"/>
        <v>Jul</v>
      </c>
      <c r="M6173" s="1" t="str">
        <f t="shared" si="3"/>
        <v>Profit</v>
      </c>
    </row>
    <row r="6174" ht="14.25" customHeight="1">
      <c r="A6174" s="1" t="s">
        <v>6208</v>
      </c>
      <c r="B6174" s="2">
        <v>45292.0</v>
      </c>
      <c r="C6174" s="1" t="s">
        <v>30</v>
      </c>
      <c r="D6174" s="1" t="s">
        <v>21</v>
      </c>
      <c r="E6174" s="1" t="s">
        <v>37</v>
      </c>
      <c r="F6174" s="1">
        <v>462.5</v>
      </c>
      <c r="G6174" s="1">
        <v>-106.37</v>
      </c>
      <c r="H6174" s="1">
        <v>10.0</v>
      </c>
      <c r="I6174" s="1" t="s">
        <v>17</v>
      </c>
      <c r="J6174" s="1" t="s">
        <v>18</v>
      </c>
      <c r="K6174" s="1">
        <f t="shared" si="1"/>
        <v>2024</v>
      </c>
      <c r="L6174" s="1" t="str">
        <f t="shared" si="2"/>
        <v>Jan</v>
      </c>
      <c r="M6174" s="1" t="str">
        <f t="shared" si="3"/>
        <v>Loss</v>
      </c>
    </row>
    <row r="6175" ht="14.25" customHeight="1">
      <c r="A6175" s="1" t="s">
        <v>6209</v>
      </c>
      <c r="B6175" s="2">
        <v>44726.0</v>
      </c>
      <c r="C6175" s="1" t="s">
        <v>30</v>
      </c>
      <c r="D6175" s="1" t="s">
        <v>27</v>
      </c>
      <c r="E6175" s="1" t="s">
        <v>28</v>
      </c>
      <c r="F6175" s="1">
        <v>272.3</v>
      </c>
      <c r="G6175" s="1">
        <v>157.56</v>
      </c>
      <c r="H6175" s="1">
        <v>1.0</v>
      </c>
      <c r="I6175" s="1" t="s">
        <v>34</v>
      </c>
      <c r="J6175" s="1" t="s">
        <v>24</v>
      </c>
      <c r="K6175" s="1">
        <f t="shared" si="1"/>
        <v>2022</v>
      </c>
      <c r="L6175" s="1" t="str">
        <f t="shared" si="2"/>
        <v>Jun</v>
      </c>
      <c r="M6175" s="1" t="str">
        <f t="shared" si="3"/>
        <v>Profit</v>
      </c>
    </row>
    <row r="6176" ht="14.25" customHeight="1">
      <c r="A6176" s="1" t="s">
        <v>6210</v>
      </c>
      <c r="B6176" s="2">
        <v>44703.0</v>
      </c>
      <c r="C6176" s="1" t="s">
        <v>20</v>
      </c>
      <c r="D6176" s="1" t="s">
        <v>27</v>
      </c>
      <c r="E6176" s="1" t="s">
        <v>40</v>
      </c>
      <c r="F6176" s="1">
        <v>283.56</v>
      </c>
      <c r="G6176" s="1">
        <v>222.14</v>
      </c>
      <c r="H6176" s="1">
        <v>4.0</v>
      </c>
      <c r="I6176" s="1" t="s">
        <v>34</v>
      </c>
      <c r="J6176" s="1" t="s">
        <v>24</v>
      </c>
      <c r="K6176" s="1">
        <f t="shared" si="1"/>
        <v>2022</v>
      </c>
      <c r="L6176" s="1" t="str">
        <f t="shared" si="2"/>
        <v>May</v>
      </c>
      <c r="M6176" s="1" t="str">
        <f t="shared" si="3"/>
        <v>Profit</v>
      </c>
    </row>
    <row r="6177" ht="14.25" customHeight="1">
      <c r="A6177" s="1" t="s">
        <v>6211</v>
      </c>
      <c r="B6177" s="2">
        <v>45025.0</v>
      </c>
      <c r="C6177" s="1" t="s">
        <v>20</v>
      </c>
      <c r="D6177" s="1" t="s">
        <v>27</v>
      </c>
      <c r="E6177" s="1" t="s">
        <v>33</v>
      </c>
      <c r="F6177" s="1">
        <v>24.8</v>
      </c>
      <c r="G6177" s="1">
        <v>86.52</v>
      </c>
      <c r="H6177" s="1">
        <v>10.0</v>
      </c>
      <c r="I6177" s="1" t="s">
        <v>17</v>
      </c>
      <c r="J6177" s="1" t="s">
        <v>38</v>
      </c>
      <c r="K6177" s="1">
        <f t="shared" si="1"/>
        <v>2023</v>
      </c>
      <c r="L6177" s="1" t="str">
        <f t="shared" si="2"/>
        <v>Apr</v>
      </c>
      <c r="M6177" s="1" t="str">
        <f t="shared" si="3"/>
        <v>Profit</v>
      </c>
    </row>
    <row r="6178" ht="14.25" customHeight="1">
      <c r="A6178" s="1" t="s">
        <v>6212</v>
      </c>
      <c r="B6178" s="2">
        <v>44551.0</v>
      </c>
      <c r="C6178" s="1" t="s">
        <v>20</v>
      </c>
      <c r="D6178" s="1" t="s">
        <v>21</v>
      </c>
      <c r="E6178" s="1" t="s">
        <v>76</v>
      </c>
      <c r="F6178" s="1">
        <v>237.67</v>
      </c>
      <c r="G6178" s="1">
        <v>-19.83</v>
      </c>
      <c r="H6178" s="1">
        <v>3.0</v>
      </c>
      <c r="I6178" s="1" t="s">
        <v>17</v>
      </c>
      <c r="J6178" s="1" t="s">
        <v>38</v>
      </c>
      <c r="K6178" s="1">
        <f t="shared" si="1"/>
        <v>2021</v>
      </c>
      <c r="L6178" s="1" t="str">
        <f t="shared" si="2"/>
        <v>Dec</v>
      </c>
      <c r="M6178" s="1" t="str">
        <f t="shared" si="3"/>
        <v>Loss</v>
      </c>
    </row>
    <row r="6179" ht="14.25" customHeight="1">
      <c r="A6179" s="1" t="s">
        <v>6213</v>
      </c>
      <c r="B6179" s="2">
        <v>44608.0</v>
      </c>
      <c r="C6179" s="1" t="s">
        <v>20</v>
      </c>
      <c r="D6179" s="1" t="s">
        <v>27</v>
      </c>
      <c r="E6179" s="1" t="s">
        <v>28</v>
      </c>
      <c r="F6179" s="1">
        <v>184.29</v>
      </c>
      <c r="G6179" s="1">
        <v>216.82</v>
      </c>
      <c r="H6179" s="1">
        <v>5.0</v>
      </c>
      <c r="I6179" s="1" t="s">
        <v>34</v>
      </c>
      <c r="J6179" s="1" t="s">
        <v>18</v>
      </c>
      <c r="K6179" s="1">
        <f t="shared" si="1"/>
        <v>2022</v>
      </c>
      <c r="L6179" s="1" t="str">
        <f t="shared" si="2"/>
        <v>Feb</v>
      </c>
      <c r="M6179" s="1" t="str">
        <f t="shared" si="3"/>
        <v>Profit</v>
      </c>
    </row>
    <row r="6180" ht="14.25" customHeight="1">
      <c r="A6180" s="1" t="s">
        <v>6214</v>
      </c>
      <c r="B6180" s="2">
        <v>45165.0</v>
      </c>
      <c r="C6180" s="1" t="s">
        <v>30</v>
      </c>
      <c r="D6180" s="1" t="s">
        <v>15</v>
      </c>
      <c r="E6180" s="1" t="s">
        <v>54</v>
      </c>
      <c r="F6180" s="1">
        <v>389.53</v>
      </c>
      <c r="G6180" s="1">
        <v>79.54</v>
      </c>
      <c r="H6180" s="1">
        <v>1.0</v>
      </c>
      <c r="I6180" s="1" t="s">
        <v>23</v>
      </c>
      <c r="J6180" s="1" t="s">
        <v>35</v>
      </c>
      <c r="K6180" s="1">
        <f t="shared" si="1"/>
        <v>2023</v>
      </c>
      <c r="L6180" s="1" t="str">
        <f t="shared" si="2"/>
        <v>Aug</v>
      </c>
      <c r="M6180" s="1" t="str">
        <f t="shared" si="3"/>
        <v>Profit</v>
      </c>
    </row>
    <row r="6181" ht="14.25" customHeight="1">
      <c r="A6181" s="1" t="s">
        <v>6215</v>
      </c>
      <c r="B6181" s="2">
        <v>44431.0</v>
      </c>
      <c r="C6181" s="1" t="s">
        <v>26</v>
      </c>
      <c r="D6181" s="1" t="s">
        <v>15</v>
      </c>
      <c r="E6181" s="1" t="s">
        <v>54</v>
      </c>
      <c r="F6181" s="1">
        <v>463.72</v>
      </c>
      <c r="G6181" s="1">
        <v>-94.42</v>
      </c>
      <c r="H6181" s="1">
        <v>3.0</v>
      </c>
      <c r="I6181" s="1" t="s">
        <v>17</v>
      </c>
      <c r="J6181" s="1" t="s">
        <v>18</v>
      </c>
      <c r="K6181" s="1">
        <f t="shared" si="1"/>
        <v>2021</v>
      </c>
      <c r="L6181" s="1" t="str">
        <f t="shared" si="2"/>
        <v>Aug</v>
      </c>
      <c r="M6181" s="1" t="str">
        <f t="shared" si="3"/>
        <v>Loss</v>
      </c>
    </row>
    <row r="6182" ht="14.25" customHeight="1">
      <c r="A6182" s="1" t="s">
        <v>6216</v>
      </c>
      <c r="B6182" s="2">
        <v>44844.0</v>
      </c>
      <c r="C6182" s="1" t="s">
        <v>20</v>
      </c>
      <c r="D6182" s="1" t="s">
        <v>15</v>
      </c>
      <c r="E6182" s="1" t="s">
        <v>31</v>
      </c>
      <c r="F6182" s="1">
        <v>860.78</v>
      </c>
      <c r="G6182" s="1">
        <v>167.78</v>
      </c>
      <c r="H6182" s="1">
        <v>2.0</v>
      </c>
      <c r="I6182" s="1" t="s">
        <v>34</v>
      </c>
      <c r="J6182" s="1" t="s">
        <v>35</v>
      </c>
      <c r="K6182" s="1">
        <f t="shared" si="1"/>
        <v>2022</v>
      </c>
      <c r="L6182" s="1" t="str">
        <f t="shared" si="2"/>
        <v>Oct</v>
      </c>
      <c r="M6182" s="1" t="str">
        <f t="shared" si="3"/>
        <v>Profit</v>
      </c>
    </row>
    <row r="6183" ht="14.25" customHeight="1">
      <c r="A6183" s="1" t="s">
        <v>6217</v>
      </c>
      <c r="B6183" s="2">
        <v>44540.0</v>
      </c>
      <c r="C6183" s="1" t="s">
        <v>30</v>
      </c>
      <c r="D6183" s="1" t="s">
        <v>15</v>
      </c>
      <c r="E6183" s="1" t="s">
        <v>16</v>
      </c>
      <c r="F6183" s="1">
        <v>873.39</v>
      </c>
      <c r="G6183" s="1">
        <v>-5.75</v>
      </c>
      <c r="H6183" s="1">
        <v>8.0</v>
      </c>
      <c r="I6183" s="1" t="s">
        <v>17</v>
      </c>
      <c r="J6183" s="1" t="s">
        <v>24</v>
      </c>
      <c r="K6183" s="1">
        <f t="shared" si="1"/>
        <v>2021</v>
      </c>
      <c r="L6183" s="1" t="str">
        <f t="shared" si="2"/>
        <v>Dec</v>
      </c>
      <c r="M6183" s="1" t="str">
        <f t="shared" si="3"/>
        <v>Loss</v>
      </c>
    </row>
    <row r="6184" ht="14.25" customHeight="1">
      <c r="A6184" s="1" t="s">
        <v>6218</v>
      </c>
      <c r="B6184" s="2">
        <v>44848.0</v>
      </c>
      <c r="C6184" s="1" t="s">
        <v>30</v>
      </c>
      <c r="D6184" s="1" t="s">
        <v>15</v>
      </c>
      <c r="E6184" s="1" t="s">
        <v>54</v>
      </c>
      <c r="F6184" s="1">
        <v>577.75</v>
      </c>
      <c r="G6184" s="1">
        <v>146.3</v>
      </c>
      <c r="H6184" s="1">
        <v>9.0</v>
      </c>
      <c r="I6184" s="1" t="s">
        <v>34</v>
      </c>
      <c r="J6184" s="1" t="s">
        <v>35</v>
      </c>
      <c r="K6184" s="1">
        <f t="shared" si="1"/>
        <v>2022</v>
      </c>
      <c r="L6184" s="1" t="str">
        <f t="shared" si="2"/>
        <v>Oct</v>
      </c>
      <c r="M6184" s="1" t="str">
        <f t="shared" si="3"/>
        <v>Profit</v>
      </c>
    </row>
    <row r="6185" ht="14.25" customHeight="1">
      <c r="A6185" s="1" t="s">
        <v>6219</v>
      </c>
      <c r="B6185" s="2">
        <v>45262.0</v>
      </c>
      <c r="C6185" s="1" t="s">
        <v>26</v>
      </c>
      <c r="D6185" s="1" t="s">
        <v>21</v>
      </c>
      <c r="E6185" s="1" t="s">
        <v>76</v>
      </c>
      <c r="F6185" s="1">
        <v>758.64</v>
      </c>
      <c r="G6185" s="1">
        <v>57.78</v>
      </c>
      <c r="H6185" s="1">
        <v>10.0</v>
      </c>
      <c r="I6185" s="1" t="s">
        <v>23</v>
      </c>
      <c r="J6185" s="1" t="s">
        <v>35</v>
      </c>
      <c r="K6185" s="1">
        <f t="shared" si="1"/>
        <v>2023</v>
      </c>
      <c r="L6185" s="1" t="str">
        <f t="shared" si="2"/>
        <v>Dec</v>
      </c>
      <c r="M6185" s="1" t="str">
        <f t="shared" si="3"/>
        <v>Profit</v>
      </c>
    </row>
    <row r="6186" ht="14.25" customHeight="1">
      <c r="A6186" s="1" t="s">
        <v>6220</v>
      </c>
      <c r="B6186" s="2">
        <v>44397.0</v>
      </c>
      <c r="C6186" s="1" t="s">
        <v>30</v>
      </c>
      <c r="D6186" s="1" t="s">
        <v>15</v>
      </c>
      <c r="E6186" s="1" t="s">
        <v>31</v>
      </c>
      <c r="F6186" s="1">
        <v>272.32</v>
      </c>
      <c r="G6186" s="1">
        <v>-69.3</v>
      </c>
      <c r="H6186" s="1">
        <v>8.0</v>
      </c>
      <c r="I6186" s="1" t="s">
        <v>23</v>
      </c>
      <c r="J6186" s="1" t="s">
        <v>35</v>
      </c>
      <c r="K6186" s="1">
        <f t="shared" si="1"/>
        <v>2021</v>
      </c>
      <c r="L6186" s="1" t="str">
        <f t="shared" si="2"/>
        <v>Jul</v>
      </c>
      <c r="M6186" s="1" t="str">
        <f t="shared" si="3"/>
        <v>Loss</v>
      </c>
    </row>
    <row r="6187" ht="14.25" customHeight="1">
      <c r="A6187" s="1" t="s">
        <v>6221</v>
      </c>
      <c r="B6187" s="2">
        <v>44903.0</v>
      </c>
      <c r="C6187" s="1" t="s">
        <v>20</v>
      </c>
      <c r="D6187" s="1" t="s">
        <v>27</v>
      </c>
      <c r="E6187" s="1" t="s">
        <v>33</v>
      </c>
      <c r="F6187" s="1">
        <v>542.1</v>
      </c>
      <c r="G6187" s="1">
        <v>284.63</v>
      </c>
      <c r="H6187" s="1">
        <v>8.0</v>
      </c>
      <c r="I6187" s="1" t="s">
        <v>17</v>
      </c>
      <c r="J6187" s="1" t="s">
        <v>35</v>
      </c>
      <c r="K6187" s="1">
        <f t="shared" si="1"/>
        <v>2022</v>
      </c>
      <c r="L6187" s="1" t="str">
        <f t="shared" si="2"/>
        <v>Dec</v>
      </c>
      <c r="M6187" s="1" t="str">
        <f t="shared" si="3"/>
        <v>Profit</v>
      </c>
    </row>
    <row r="6188" ht="14.25" customHeight="1">
      <c r="A6188" s="1" t="s">
        <v>6222</v>
      </c>
      <c r="B6188" s="2">
        <v>44990.0</v>
      </c>
      <c r="C6188" s="1" t="s">
        <v>30</v>
      </c>
      <c r="D6188" s="1" t="s">
        <v>21</v>
      </c>
      <c r="E6188" s="1" t="s">
        <v>22</v>
      </c>
      <c r="F6188" s="1">
        <v>935.75</v>
      </c>
      <c r="G6188" s="1">
        <v>182.43</v>
      </c>
      <c r="H6188" s="1">
        <v>1.0</v>
      </c>
      <c r="I6188" s="1" t="s">
        <v>34</v>
      </c>
      <c r="J6188" s="1" t="s">
        <v>38</v>
      </c>
      <c r="K6188" s="1">
        <f t="shared" si="1"/>
        <v>2023</v>
      </c>
      <c r="L6188" s="1" t="str">
        <f t="shared" si="2"/>
        <v>Mar</v>
      </c>
      <c r="M6188" s="1" t="str">
        <f t="shared" si="3"/>
        <v>Profit</v>
      </c>
    </row>
    <row r="6189" ht="14.25" customHeight="1">
      <c r="A6189" s="1" t="s">
        <v>6223</v>
      </c>
      <c r="B6189" s="2">
        <v>44291.0</v>
      </c>
      <c r="C6189" s="1" t="s">
        <v>26</v>
      </c>
      <c r="D6189" s="1" t="s">
        <v>15</v>
      </c>
      <c r="E6189" s="1" t="s">
        <v>16</v>
      </c>
      <c r="F6189" s="1">
        <v>235.56</v>
      </c>
      <c r="G6189" s="1">
        <v>105.24</v>
      </c>
      <c r="H6189" s="1">
        <v>4.0</v>
      </c>
      <c r="I6189" s="1" t="s">
        <v>34</v>
      </c>
      <c r="J6189" s="1" t="s">
        <v>38</v>
      </c>
      <c r="K6189" s="1">
        <f t="shared" si="1"/>
        <v>2021</v>
      </c>
      <c r="L6189" s="1" t="str">
        <f t="shared" si="2"/>
        <v>Apr</v>
      </c>
      <c r="M6189" s="1" t="str">
        <f t="shared" si="3"/>
        <v>Profit</v>
      </c>
    </row>
    <row r="6190" ht="14.25" customHeight="1">
      <c r="A6190" s="1" t="s">
        <v>6224</v>
      </c>
      <c r="B6190" s="2">
        <v>44329.0</v>
      </c>
      <c r="C6190" s="1" t="s">
        <v>20</v>
      </c>
      <c r="D6190" s="1" t="s">
        <v>15</v>
      </c>
      <c r="E6190" s="1" t="s">
        <v>16</v>
      </c>
      <c r="F6190" s="1">
        <v>278.94</v>
      </c>
      <c r="G6190" s="1">
        <v>-171.54</v>
      </c>
      <c r="H6190" s="1">
        <v>2.0</v>
      </c>
      <c r="I6190" s="1" t="s">
        <v>23</v>
      </c>
      <c r="J6190" s="1" t="s">
        <v>38</v>
      </c>
      <c r="K6190" s="1">
        <f t="shared" si="1"/>
        <v>2021</v>
      </c>
      <c r="L6190" s="1" t="str">
        <f t="shared" si="2"/>
        <v>May</v>
      </c>
      <c r="M6190" s="1" t="str">
        <f t="shared" si="3"/>
        <v>Loss</v>
      </c>
    </row>
    <row r="6191" ht="14.25" customHeight="1">
      <c r="A6191" s="1" t="s">
        <v>6225</v>
      </c>
      <c r="B6191" s="2">
        <v>44874.0</v>
      </c>
      <c r="C6191" s="1" t="s">
        <v>26</v>
      </c>
      <c r="D6191" s="1" t="s">
        <v>15</v>
      </c>
      <c r="E6191" s="1" t="s">
        <v>31</v>
      </c>
      <c r="F6191" s="1">
        <v>616.37</v>
      </c>
      <c r="G6191" s="1">
        <v>257.34</v>
      </c>
      <c r="H6191" s="1">
        <v>3.0</v>
      </c>
      <c r="I6191" s="1" t="s">
        <v>34</v>
      </c>
      <c r="J6191" s="1" t="s">
        <v>24</v>
      </c>
      <c r="K6191" s="1">
        <f t="shared" si="1"/>
        <v>2022</v>
      </c>
      <c r="L6191" s="1" t="str">
        <f t="shared" si="2"/>
        <v>Nov</v>
      </c>
      <c r="M6191" s="1" t="str">
        <f t="shared" si="3"/>
        <v>Profit</v>
      </c>
    </row>
    <row r="6192" ht="14.25" customHeight="1">
      <c r="A6192" s="1" t="s">
        <v>6226</v>
      </c>
      <c r="B6192" s="2">
        <v>44412.0</v>
      </c>
      <c r="C6192" s="1" t="s">
        <v>30</v>
      </c>
      <c r="D6192" s="1" t="s">
        <v>21</v>
      </c>
      <c r="E6192" s="1" t="s">
        <v>37</v>
      </c>
      <c r="F6192" s="1">
        <v>840.43</v>
      </c>
      <c r="G6192" s="1">
        <v>-5.58</v>
      </c>
      <c r="H6192" s="1">
        <v>6.0</v>
      </c>
      <c r="I6192" s="1" t="s">
        <v>17</v>
      </c>
      <c r="J6192" s="1" t="s">
        <v>24</v>
      </c>
      <c r="K6192" s="1">
        <f t="shared" si="1"/>
        <v>2021</v>
      </c>
      <c r="L6192" s="1" t="str">
        <f t="shared" si="2"/>
        <v>Aug</v>
      </c>
      <c r="M6192" s="1" t="str">
        <f t="shared" si="3"/>
        <v>Loss</v>
      </c>
    </row>
    <row r="6193" ht="14.25" customHeight="1">
      <c r="A6193" s="1" t="s">
        <v>6227</v>
      </c>
      <c r="B6193" s="2">
        <v>44789.0</v>
      </c>
      <c r="C6193" s="1" t="s">
        <v>30</v>
      </c>
      <c r="D6193" s="1" t="s">
        <v>15</v>
      </c>
      <c r="E6193" s="1" t="s">
        <v>16</v>
      </c>
      <c r="F6193" s="1">
        <v>133.03</v>
      </c>
      <c r="G6193" s="1">
        <v>150.39</v>
      </c>
      <c r="H6193" s="1">
        <v>10.0</v>
      </c>
      <c r="I6193" s="1" t="s">
        <v>23</v>
      </c>
      <c r="J6193" s="1" t="s">
        <v>24</v>
      </c>
      <c r="K6193" s="1">
        <f t="shared" si="1"/>
        <v>2022</v>
      </c>
      <c r="L6193" s="1" t="str">
        <f t="shared" si="2"/>
        <v>Aug</v>
      </c>
      <c r="M6193" s="1" t="str">
        <f t="shared" si="3"/>
        <v>Profit</v>
      </c>
    </row>
    <row r="6194" ht="14.25" customHeight="1">
      <c r="A6194" s="1" t="s">
        <v>6228</v>
      </c>
      <c r="B6194" s="2">
        <v>44265.0</v>
      </c>
      <c r="C6194" s="1" t="s">
        <v>30</v>
      </c>
      <c r="D6194" s="1" t="s">
        <v>27</v>
      </c>
      <c r="E6194" s="1" t="s">
        <v>28</v>
      </c>
      <c r="F6194" s="1">
        <v>621.71</v>
      </c>
      <c r="G6194" s="1">
        <v>21.5</v>
      </c>
      <c r="H6194" s="1">
        <v>10.0</v>
      </c>
      <c r="I6194" s="1" t="s">
        <v>23</v>
      </c>
      <c r="J6194" s="1" t="s">
        <v>18</v>
      </c>
      <c r="K6194" s="1">
        <f t="shared" si="1"/>
        <v>2021</v>
      </c>
      <c r="L6194" s="1" t="str">
        <f t="shared" si="2"/>
        <v>Mar</v>
      </c>
      <c r="M6194" s="1" t="str">
        <f t="shared" si="3"/>
        <v>Profit</v>
      </c>
    </row>
    <row r="6195" ht="14.25" customHeight="1">
      <c r="A6195" s="1" t="s">
        <v>6229</v>
      </c>
      <c r="B6195" s="2">
        <v>44755.0</v>
      </c>
      <c r="C6195" s="1" t="s">
        <v>20</v>
      </c>
      <c r="D6195" s="1" t="s">
        <v>21</v>
      </c>
      <c r="E6195" s="1" t="s">
        <v>76</v>
      </c>
      <c r="F6195" s="1">
        <v>349.73</v>
      </c>
      <c r="G6195" s="1">
        <v>-89.08</v>
      </c>
      <c r="H6195" s="1">
        <v>9.0</v>
      </c>
      <c r="I6195" s="1" t="s">
        <v>23</v>
      </c>
      <c r="J6195" s="1" t="s">
        <v>18</v>
      </c>
      <c r="K6195" s="1">
        <f t="shared" si="1"/>
        <v>2022</v>
      </c>
      <c r="L6195" s="1" t="str">
        <f t="shared" si="2"/>
        <v>Jul</v>
      </c>
      <c r="M6195" s="1" t="str">
        <f t="shared" si="3"/>
        <v>Loss</v>
      </c>
    </row>
    <row r="6196" ht="14.25" customHeight="1">
      <c r="A6196" s="1" t="s">
        <v>6230</v>
      </c>
      <c r="B6196" s="2">
        <v>44929.0</v>
      </c>
      <c r="C6196" s="1" t="s">
        <v>14</v>
      </c>
      <c r="D6196" s="1" t="s">
        <v>15</v>
      </c>
      <c r="E6196" s="1" t="s">
        <v>54</v>
      </c>
      <c r="F6196" s="1">
        <v>528.8</v>
      </c>
      <c r="G6196" s="1">
        <v>27.8</v>
      </c>
      <c r="H6196" s="1">
        <v>9.0</v>
      </c>
      <c r="I6196" s="1" t="s">
        <v>23</v>
      </c>
      <c r="J6196" s="1" t="s">
        <v>35</v>
      </c>
      <c r="K6196" s="1">
        <f t="shared" si="1"/>
        <v>2023</v>
      </c>
      <c r="L6196" s="1" t="str">
        <f t="shared" si="2"/>
        <v>Jan</v>
      </c>
      <c r="M6196" s="1" t="str">
        <f t="shared" si="3"/>
        <v>Profit</v>
      </c>
    </row>
    <row r="6197" ht="14.25" customHeight="1">
      <c r="A6197" s="1" t="s">
        <v>6231</v>
      </c>
      <c r="B6197" s="2">
        <v>44466.0</v>
      </c>
      <c r="C6197" s="1" t="s">
        <v>26</v>
      </c>
      <c r="D6197" s="1" t="s">
        <v>27</v>
      </c>
      <c r="E6197" s="1" t="s">
        <v>28</v>
      </c>
      <c r="F6197" s="1">
        <v>618.18</v>
      </c>
      <c r="G6197" s="1">
        <v>-49.36</v>
      </c>
      <c r="H6197" s="1">
        <v>10.0</v>
      </c>
      <c r="I6197" s="1" t="s">
        <v>23</v>
      </c>
      <c r="J6197" s="1" t="s">
        <v>18</v>
      </c>
      <c r="K6197" s="1">
        <f t="shared" si="1"/>
        <v>2021</v>
      </c>
      <c r="L6197" s="1" t="str">
        <f t="shared" si="2"/>
        <v>Sep</v>
      </c>
      <c r="M6197" s="1" t="str">
        <f t="shared" si="3"/>
        <v>Loss</v>
      </c>
    </row>
    <row r="6198" ht="14.25" customHeight="1">
      <c r="A6198" s="1" t="s">
        <v>6232</v>
      </c>
      <c r="B6198" s="2">
        <v>44704.0</v>
      </c>
      <c r="C6198" s="1" t="s">
        <v>14</v>
      </c>
      <c r="D6198" s="1" t="s">
        <v>27</v>
      </c>
      <c r="E6198" s="1" t="s">
        <v>28</v>
      </c>
      <c r="F6198" s="1">
        <v>445.33</v>
      </c>
      <c r="G6198" s="1">
        <v>208.66</v>
      </c>
      <c r="H6198" s="1">
        <v>8.0</v>
      </c>
      <c r="I6198" s="1" t="s">
        <v>23</v>
      </c>
      <c r="J6198" s="1" t="s">
        <v>18</v>
      </c>
      <c r="K6198" s="1">
        <f t="shared" si="1"/>
        <v>2022</v>
      </c>
      <c r="L6198" s="1" t="str">
        <f t="shared" si="2"/>
        <v>May</v>
      </c>
      <c r="M6198" s="1" t="str">
        <f t="shared" si="3"/>
        <v>Profit</v>
      </c>
    </row>
    <row r="6199" ht="14.25" customHeight="1">
      <c r="A6199" s="1" t="s">
        <v>6233</v>
      </c>
      <c r="B6199" s="2">
        <v>44903.0</v>
      </c>
      <c r="C6199" s="1" t="s">
        <v>30</v>
      </c>
      <c r="D6199" s="1" t="s">
        <v>15</v>
      </c>
      <c r="E6199" s="1" t="s">
        <v>16</v>
      </c>
      <c r="F6199" s="1">
        <v>359.55</v>
      </c>
      <c r="G6199" s="1">
        <v>90.58</v>
      </c>
      <c r="H6199" s="1">
        <v>8.0</v>
      </c>
      <c r="I6199" s="1" t="s">
        <v>34</v>
      </c>
      <c r="J6199" s="1" t="s">
        <v>18</v>
      </c>
      <c r="K6199" s="1">
        <f t="shared" si="1"/>
        <v>2022</v>
      </c>
      <c r="L6199" s="1" t="str">
        <f t="shared" si="2"/>
        <v>Dec</v>
      </c>
      <c r="M6199" s="1" t="str">
        <f t="shared" si="3"/>
        <v>Profit</v>
      </c>
    </row>
    <row r="6200" ht="14.25" customHeight="1">
      <c r="A6200" s="1" t="s">
        <v>6234</v>
      </c>
      <c r="B6200" s="2">
        <v>44625.0</v>
      </c>
      <c r="C6200" s="1" t="s">
        <v>20</v>
      </c>
      <c r="D6200" s="1" t="s">
        <v>15</v>
      </c>
      <c r="E6200" s="1" t="s">
        <v>31</v>
      </c>
      <c r="F6200" s="1">
        <v>453.69</v>
      </c>
      <c r="G6200" s="1">
        <v>250.32</v>
      </c>
      <c r="H6200" s="1">
        <v>2.0</v>
      </c>
      <c r="I6200" s="1" t="s">
        <v>23</v>
      </c>
      <c r="J6200" s="1" t="s">
        <v>38</v>
      </c>
      <c r="K6200" s="1">
        <f t="shared" si="1"/>
        <v>2022</v>
      </c>
      <c r="L6200" s="1" t="str">
        <f t="shared" si="2"/>
        <v>Mar</v>
      </c>
      <c r="M6200" s="1" t="str">
        <f t="shared" si="3"/>
        <v>Profit</v>
      </c>
    </row>
    <row r="6201" ht="14.25" customHeight="1">
      <c r="A6201" s="1" t="s">
        <v>6235</v>
      </c>
      <c r="B6201" s="2">
        <v>44549.0</v>
      </c>
      <c r="C6201" s="1" t="s">
        <v>30</v>
      </c>
      <c r="D6201" s="1" t="s">
        <v>15</v>
      </c>
      <c r="E6201" s="1" t="s">
        <v>54</v>
      </c>
      <c r="F6201" s="1">
        <v>831.32</v>
      </c>
      <c r="G6201" s="1">
        <v>-8.47</v>
      </c>
      <c r="H6201" s="1">
        <v>8.0</v>
      </c>
      <c r="I6201" s="1" t="s">
        <v>23</v>
      </c>
      <c r="J6201" s="1" t="s">
        <v>24</v>
      </c>
      <c r="K6201" s="1">
        <f t="shared" si="1"/>
        <v>2021</v>
      </c>
      <c r="L6201" s="1" t="str">
        <f t="shared" si="2"/>
        <v>Dec</v>
      </c>
      <c r="M6201" s="1" t="str">
        <f t="shared" si="3"/>
        <v>Loss</v>
      </c>
    </row>
    <row r="6202" ht="14.25" customHeight="1">
      <c r="A6202" s="1" t="s">
        <v>6236</v>
      </c>
      <c r="B6202" s="2">
        <v>44605.0</v>
      </c>
      <c r="C6202" s="1" t="s">
        <v>26</v>
      </c>
      <c r="D6202" s="1" t="s">
        <v>27</v>
      </c>
      <c r="E6202" s="1" t="s">
        <v>28</v>
      </c>
      <c r="F6202" s="1">
        <v>65.41</v>
      </c>
      <c r="G6202" s="1">
        <v>66.3</v>
      </c>
      <c r="H6202" s="1">
        <v>5.0</v>
      </c>
      <c r="I6202" s="1" t="s">
        <v>34</v>
      </c>
      <c r="J6202" s="1" t="s">
        <v>24</v>
      </c>
      <c r="K6202" s="1">
        <f t="shared" si="1"/>
        <v>2022</v>
      </c>
      <c r="L6202" s="1" t="str">
        <f t="shared" si="2"/>
        <v>Feb</v>
      </c>
      <c r="M6202" s="1" t="str">
        <f t="shared" si="3"/>
        <v>Profit</v>
      </c>
    </row>
    <row r="6203" ht="14.25" customHeight="1">
      <c r="A6203" s="1" t="s">
        <v>6237</v>
      </c>
      <c r="B6203" s="2">
        <v>45287.0</v>
      </c>
      <c r="C6203" s="1" t="s">
        <v>20</v>
      </c>
      <c r="D6203" s="1" t="s">
        <v>15</v>
      </c>
      <c r="E6203" s="1" t="s">
        <v>31</v>
      </c>
      <c r="F6203" s="1">
        <v>739.32</v>
      </c>
      <c r="G6203" s="1">
        <v>-145.04</v>
      </c>
      <c r="H6203" s="1">
        <v>1.0</v>
      </c>
      <c r="I6203" s="1" t="s">
        <v>23</v>
      </c>
      <c r="J6203" s="1" t="s">
        <v>18</v>
      </c>
      <c r="K6203" s="1">
        <f t="shared" si="1"/>
        <v>2023</v>
      </c>
      <c r="L6203" s="1" t="str">
        <f t="shared" si="2"/>
        <v>Dec</v>
      </c>
      <c r="M6203" s="1" t="str">
        <f t="shared" si="3"/>
        <v>Loss</v>
      </c>
    </row>
    <row r="6204" ht="14.25" customHeight="1">
      <c r="A6204" s="1" t="s">
        <v>6238</v>
      </c>
      <c r="B6204" s="2">
        <v>44233.0</v>
      </c>
      <c r="C6204" s="1" t="s">
        <v>20</v>
      </c>
      <c r="D6204" s="1" t="s">
        <v>21</v>
      </c>
      <c r="E6204" s="1" t="s">
        <v>37</v>
      </c>
      <c r="F6204" s="1">
        <v>612.36</v>
      </c>
      <c r="G6204" s="1">
        <v>158.23</v>
      </c>
      <c r="H6204" s="1">
        <v>9.0</v>
      </c>
      <c r="I6204" s="1" t="s">
        <v>17</v>
      </c>
      <c r="J6204" s="1" t="s">
        <v>24</v>
      </c>
      <c r="K6204" s="1">
        <f t="shared" si="1"/>
        <v>2021</v>
      </c>
      <c r="L6204" s="1" t="str">
        <f t="shared" si="2"/>
        <v>Feb</v>
      </c>
      <c r="M6204" s="1" t="str">
        <f t="shared" si="3"/>
        <v>Profit</v>
      </c>
    </row>
    <row r="6205" ht="14.25" customHeight="1">
      <c r="A6205" s="1" t="s">
        <v>6239</v>
      </c>
      <c r="B6205" s="2">
        <v>45244.0</v>
      </c>
      <c r="C6205" s="1" t="s">
        <v>20</v>
      </c>
      <c r="D6205" s="1" t="s">
        <v>15</v>
      </c>
      <c r="E6205" s="1" t="s">
        <v>31</v>
      </c>
      <c r="F6205" s="1">
        <v>687.34</v>
      </c>
      <c r="G6205" s="1">
        <v>188.65</v>
      </c>
      <c r="H6205" s="1">
        <v>4.0</v>
      </c>
      <c r="I6205" s="1" t="s">
        <v>17</v>
      </c>
      <c r="J6205" s="1" t="s">
        <v>24</v>
      </c>
      <c r="K6205" s="1">
        <f t="shared" si="1"/>
        <v>2023</v>
      </c>
      <c r="L6205" s="1" t="str">
        <f t="shared" si="2"/>
        <v>Nov</v>
      </c>
      <c r="M6205" s="1" t="str">
        <f t="shared" si="3"/>
        <v>Profit</v>
      </c>
    </row>
    <row r="6206" ht="14.25" customHeight="1">
      <c r="A6206" s="1" t="s">
        <v>6240</v>
      </c>
      <c r="B6206" s="2">
        <v>44345.0</v>
      </c>
      <c r="C6206" s="1" t="s">
        <v>14</v>
      </c>
      <c r="D6206" s="1" t="s">
        <v>27</v>
      </c>
      <c r="E6206" s="1" t="s">
        <v>28</v>
      </c>
      <c r="F6206" s="1">
        <v>379.94</v>
      </c>
      <c r="G6206" s="1">
        <v>190.6</v>
      </c>
      <c r="H6206" s="1">
        <v>3.0</v>
      </c>
      <c r="I6206" s="1" t="s">
        <v>34</v>
      </c>
      <c r="J6206" s="1" t="s">
        <v>35</v>
      </c>
      <c r="K6206" s="1">
        <f t="shared" si="1"/>
        <v>2021</v>
      </c>
      <c r="L6206" s="1" t="str">
        <f t="shared" si="2"/>
        <v>May</v>
      </c>
      <c r="M6206" s="1" t="str">
        <f t="shared" si="3"/>
        <v>Profit</v>
      </c>
    </row>
    <row r="6207" ht="14.25" customHeight="1">
      <c r="A6207" s="1" t="s">
        <v>6241</v>
      </c>
      <c r="B6207" s="2">
        <v>45113.0</v>
      </c>
      <c r="C6207" s="1" t="s">
        <v>26</v>
      </c>
      <c r="D6207" s="1" t="s">
        <v>15</v>
      </c>
      <c r="E6207" s="1" t="s">
        <v>31</v>
      </c>
      <c r="F6207" s="1">
        <v>970.86</v>
      </c>
      <c r="G6207" s="1">
        <v>150.87</v>
      </c>
      <c r="H6207" s="1">
        <v>2.0</v>
      </c>
      <c r="I6207" s="1" t="s">
        <v>34</v>
      </c>
      <c r="J6207" s="1" t="s">
        <v>35</v>
      </c>
      <c r="K6207" s="1">
        <f t="shared" si="1"/>
        <v>2023</v>
      </c>
      <c r="L6207" s="1" t="str">
        <f t="shared" si="2"/>
        <v>Jul</v>
      </c>
      <c r="M6207" s="1" t="str">
        <f t="shared" si="3"/>
        <v>Profit</v>
      </c>
    </row>
    <row r="6208" ht="14.25" customHeight="1">
      <c r="A6208" s="1" t="s">
        <v>6242</v>
      </c>
      <c r="B6208" s="2">
        <v>44865.0</v>
      </c>
      <c r="C6208" s="1" t="s">
        <v>26</v>
      </c>
      <c r="D6208" s="1" t="s">
        <v>15</v>
      </c>
      <c r="E6208" s="1" t="s">
        <v>16</v>
      </c>
      <c r="F6208" s="1">
        <v>202.44</v>
      </c>
      <c r="G6208" s="1">
        <v>-80.57</v>
      </c>
      <c r="H6208" s="1">
        <v>4.0</v>
      </c>
      <c r="I6208" s="1" t="s">
        <v>34</v>
      </c>
      <c r="J6208" s="1" t="s">
        <v>35</v>
      </c>
      <c r="K6208" s="1">
        <f t="shared" si="1"/>
        <v>2022</v>
      </c>
      <c r="L6208" s="1" t="str">
        <f t="shared" si="2"/>
        <v>Oct</v>
      </c>
      <c r="M6208" s="1" t="str">
        <f t="shared" si="3"/>
        <v>Loss</v>
      </c>
    </row>
    <row r="6209" ht="14.25" customHeight="1">
      <c r="A6209" s="1" t="s">
        <v>6243</v>
      </c>
      <c r="B6209" s="2">
        <v>44738.0</v>
      </c>
      <c r="C6209" s="1" t="s">
        <v>20</v>
      </c>
      <c r="D6209" s="1" t="s">
        <v>21</v>
      </c>
      <c r="E6209" s="1" t="s">
        <v>76</v>
      </c>
      <c r="F6209" s="1">
        <v>172.7</v>
      </c>
      <c r="G6209" s="1">
        <v>-108.69</v>
      </c>
      <c r="H6209" s="1">
        <v>7.0</v>
      </c>
      <c r="I6209" s="1" t="s">
        <v>17</v>
      </c>
      <c r="J6209" s="1" t="s">
        <v>24</v>
      </c>
      <c r="K6209" s="1">
        <f t="shared" si="1"/>
        <v>2022</v>
      </c>
      <c r="L6209" s="1" t="str">
        <f t="shared" si="2"/>
        <v>Jun</v>
      </c>
      <c r="M6209" s="1" t="str">
        <f t="shared" si="3"/>
        <v>Loss</v>
      </c>
    </row>
    <row r="6210" ht="14.25" customHeight="1">
      <c r="A6210" s="1" t="s">
        <v>6244</v>
      </c>
      <c r="B6210" s="2">
        <v>45194.0</v>
      </c>
      <c r="C6210" s="1" t="s">
        <v>26</v>
      </c>
      <c r="D6210" s="1" t="s">
        <v>15</v>
      </c>
      <c r="E6210" s="1" t="s">
        <v>54</v>
      </c>
      <c r="F6210" s="1">
        <v>60.94</v>
      </c>
      <c r="G6210" s="1">
        <v>80.83</v>
      </c>
      <c r="H6210" s="1">
        <v>9.0</v>
      </c>
      <c r="I6210" s="1" t="s">
        <v>17</v>
      </c>
      <c r="J6210" s="1" t="s">
        <v>35</v>
      </c>
      <c r="K6210" s="1">
        <f t="shared" si="1"/>
        <v>2023</v>
      </c>
      <c r="L6210" s="1" t="str">
        <f t="shared" si="2"/>
        <v>Sep</v>
      </c>
      <c r="M6210" s="1" t="str">
        <f t="shared" si="3"/>
        <v>Profit</v>
      </c>
    </row>
    <row r="6211" ht="14.25" customHeight="1">
      <c r="A6211" s="1" t="s">
        <v>6245</v>
      </c>
      <c r="B6211" s="2">
        <v>44593.0</v>
      </c>
      <c r="C6211" s="1" t="s">
        <v>26</v>
      </c>
      <c r="D6211" s="1" t="s">
        <v>15</v>
      </c>
      <c r="E6211" s="1" t="s">
        <v>31</v>
      </c>
      <c r="F6211" s="1">
        <v>195.36</v>
      </c>
      <c r="G6211" s="1">
        <v>13.85</v>
      </c>
      <c r="H6211" s="1">
        <v>4.0</v>
      </c>
      <c r="I6211" s="1" t="s">
        <v>34</v>
      </c>
      <c r="J6211" s="1" t="s">
        <v>24</v>
      </c>
      <c r="K6211" s="1">
        <f t="shared" si="1"/>
        <v>2022</v>
      </c>
      <c r="L6211" s="1" t="str">
        <f t="shared" si="2"/>
        <v>Feb</v>
      </c>
      <c r="M6211" s="1" t="str">
        <f t="shared" si="3"/>
        <v>Profit</v>
      </c>
    </row>
    <row r="6212" ht="14.25" customHeight="1">
      <c r="A6212" s="1" t="s">
        <v>6246</v>
      </c>
      <c r="B6212" s="2">
        <v>44897.0</v>
      </c>
      <c r="C6212" s="1" t="s">
        <v>30</v>
      </c>
      <c r="D6212" s="1" t="s">
        <v>21</v>
      </c>
      <c r="E6212" s="1" t="s">
        <v>22</v>
      </c>
      <c r="F6212" s="1">
        <v>181.91</v>
      </c>
      <c r="G6212" s="1">
        <v>119.19</v>
      </c>
      <c r="H6212" s="1">
        <v>7.0</v>
      </c>
      <c r="I6212" s="1" t="s">
        <v>17</v>
      </c>
      <c r="J6212" s="1" t="s">
        <v>35</v>
      </c>
      <c r="K6212" s="1">
        <f t="shared" si="1"/>
        <v>2022</v>
      </c>
      <c r="L6212" s="1" t="str">
        <f t="shared" si="2"/>
        <v>Dec</v>
      </c>
      <c r="M6212" s="1" t="str">
        <f t="shared" si="3"/>
        <v>Profit</v>
      </c>
    </row>
    <row r="6213" ht="14.25" customHeight="1">
      <c r="A6213" s="1" t="s">
        <v>6247</v>
      </c>
      <c r="B6213" s="2">
        <v>45266.0</v>
      </c>
      <c r="C6213" s="1" t="s">
        <v>20</v>
      </c>
      <c r="D6213" s="1" t="s">
        <v>15</v>
      </c>
      <c r="E6213" s="1" t="s">
        <v>31</v>
      </c>
      <c r="F6213" s="1">
        <v>483.5</v>
      </c>
      <c r="G6213" s="1">
        <v>210.92</v>
      </c>
      <c r="H6213" s="1">
        <v>2.0</v>
      </c>
      <c r="I6213" s="1" t="s">
        <v>34</v>
      </c>
      <c r="J6213" s="1" t="s">
        <v>38</v>
      </c>
      <c r="K6213" s="1">
        <f t="shared" si="1"/>
        <v>2023</v>
      </c>
      <c r="L6213" s="1" t="str">
        <f t="shared" si="2"/>
        <v>Dec</v>
      </c>
      <c r="M6213" s="1" t="str">
        <f t="shared" si="3"/>
        <v>Profit</v>
      </c>
    </row>
    <row r="6214" ht="14.25" customHeight="1">
      <c r="A6214" s="1" t="s">
        <v>6248</v>
      </c>
      <c r="B6214" s="2">
        <v>44546.0</v>
      </c>
      <c r="C6214" s="1" t="s">
        <v>14</v>
      </c>
      <c r="D6214" s="1" t="s">
        <v>15</v>
      </c>
      <c r="E6214" s="1" t="s">
        <v>31</v>
      </c>
      <c r="F6214" s="1">
        <v>44.43</v>
      </c>
      <c r="G6214" s="1">
        <v>97.46</v>
      </c>
      <c r="H6214" s="1">
        <v>2.0</v>
      </c>
      <c r="I6214" s="1" t="s">
        <v>23</v>
      </c>
      <c r="J6214" s="1" t="s">
        <v>35</v>
      </c>
      <c r="K6214" s="1">
        <f t="shared" si="1"/>
        <v>2021</v>
      </c>
      <c r="L6214" s="1" t="str">
        <f t="shared" si="2"/>
        <v>Dec</v>
      </c>
      <c r="M6214" s="1" t="str">
        <f t="shared" si="3"/>
        <v>Profit</v>
      </c>
    </row>
    <row r="6215" ht="14.25" customHeight="1">
      <c r="A6215" s="1" t="s">
        <v>6249</v>
      </c>
      <c r="B6215" s="2">
        <v>45148.0</v>
      </c>
      <c r="C6215" s="1" t="s">
        <v>20</v>
      </c>
      <c r="D6215" s="1" t="s">
        <v>15</v>
      </c>
      <c r="E6215" s="1" t="s">
        <v>54</v>
      </c>
      <c r="F6215" s="1">
        <v>590.85</v>
      </c>
      <c r="G6215" s="1">
        <v>143.04</v>
      </c>
      <c r="H6215" s="1">
        <v>2.0</v>
      </c>
      <c r="I6215" s="1" t="s">
        <v>17</v>
      </c>
      <c r="J6215" s="1" t="s">
        <v>18</v>
      </c>
      <c r="K6215" s="1">
        <f t="shared" si="1"/>
        <v>2023</v>
      </c>
      <c r="L6215" s="1" t="str">
        <f t="shared" si="2"/>
        <v>Aug</v>
      </c>
      <c r="M6215" s="1" t="str">
        <f t="shared" si="3"/>
        <v>Profit</v>
      </c>
    </row>
    <row r="6216" ht="14.25" customHeight="1">
      <c r="A6216" s="1" t="s">
        <v>6250</v>
      </c>
      <c r="B6216" s="2">
        <v>44355.0</v>
      </c>
      <c r="C6216" s="1" t="s">
        <v>26</v>
      </c>
      <c r="D6216" s="1" t="s">
        <v>27</v>
      </c>
      <c r="E6216" s="1" t="s">
        <v>28</v>
      </c>
      <c r="F6216" s="1">
        <v>180.54</v>
      </c>
      <c r="G6216" s="1">
        <v>-26.13</v>
      </c>
      <c r="H6216" s="1">
        <v>9.0</v>
      </c>
      <c r="I6216" s="1" t="s">
        <v>17</v>
      </c>
      <c r="J6216" s="1" t="s">
        <v>35</v>
      </c>
      <c r="K6216" s="1">
        <f t="shared" si="1"/>
        <v>2021</v>
      </c>
      <c r="L6216" s="1" t="str">
        <f t="shared" si="2"/>
        <v>Jun</v>
      </c>
      <c r="M6216" s="1" t="str">
        <f t="shared" si="3"/>
        <v>Loss</v>
      </c>
    </row>
    <row r="6217" ht="14.25" customHeight="1">
      <c r="A6217" s="1" t="s">
        <v>6251</v>
      </c>
      <c r="B6217" s="2">
        <v>44769.0</v>
      </c>
      <c r="C6217" s="1" t="s">
        <v>20</v>
      </c>
      <c r="D6217" s="1" t="s">
        <v>15</v>
      </c>
      <c r="E6217" s="1" t="s">
        <v>54</v>
      </c>
      <c r="F6217" s="1">
        <v>757.08</v>
      </c>
      <c r="G6217" s="1">
        <v>-114.71</v>
      </c>
      <c r="H6217" s="1">
        <v>8.0</v>
      </c>
      <c r="I6217" s="1" t="s">
        <v>17</v>
      </c>
      <c r="J6217" s="1" t="s">
        <v>38</v>
      </c>
      <c r="K6217" s="1">
        <f t="shared" si="1"/>
        <v>2022</v>
      </c>
      <c r="L6217" s="1" t="str">
        <f t="shared" si="2"/>
        <v>Jul</v>
      </c>
      <c r="M6217" s="1" t="str">
        <f t="shared" si="3"/>
        <v>Loss</v>
      </c>
    </row>
    <row r="6218" ht="14.25" customHeight="1">
      <c r="A6218" s="1" t="s">
        <v>6252</v>
      </c>
      <c r="B6218" s="2">
        <v>44895.0</v>
      </c>
      <c r="C6218" s="1" t="s">
        <v>30</v>
      </c>
      <c r="D6218" s="1" t="s">
        <v>21</v>
      </c>
      <c r="E6218" s="1" t="s">
        <v>76</v>
      </c>
      <c r="F6218" s="1">
        <v>579.51</v>
      </c>
      <c r="G6218" s="1">
        <v>174.36</v>
      </c>
      <c r="H6218" s="1">
        <v>6.0</v>
      </c>
      <c r="I6218" s="1" t="s">
        <v>34</v>
      </c>
      <c r="J6218" s="1" t="s">
        <v>24</v>
      </c>
      <c r="K6218" s="1">
        <f t="shared" si="1"/>
        <v>2022</v>
      </c>
      <c r="L6218" s="1" t="str">
        <f t="shared" si="2"/>
        <v>Nov</v>
      </c>
      <c r="M6218" s="1" t="str">
        <f t="shared" si="3"/>
        <v>Profit</v>
      </c>
    </row>
    <row r="6219" ht="14.25" customHeight="1">
      <c r="A6219" s="1" t="s">
        <v>6253</v>
      </c>
      <c r="B6219" s="2">
        <v>44254.0</v>
      </c>
      <c r="C6219" s="1" t="s">
        <v>20</v>
      </c>
      <c r="D6219" s="1" t="s">
        <v>15</v>
      </c>
      <c r="E6219" s="1" t="s">
        <v>31</v>
      </c>
      <c r="F6219" s="1">
        <v>585.33</v>
      </c>
      <c r="G6219" s="1">
        <v>-141.49</v>
      </c>
      <c r="H6219" s="1">
        <v>7.0</v>
      </c>
      <c r="I6219" s="1" t="s">
        <v>34</v>
      </c>
      <c r="J6219" s="1" t="s">
        <v>38</v>
      </c>
      <c r="K6219" s="1">
        <f t="shared" si="1"/>
        <v>2021</v>
      </c>
      <c r="L6219" s="1" t="str">
        <f t="shared" si="2"/>
        <v>Feb</v>
      </c>
      <c r="M6219" s="1" t="str">
        <f t="shared" si="3"/>
        <v>Loss</v>
      </c>
    </row>
    <row r="6220" ht="14.25" customHeight="1">
      <c r="A6220" s="1" t="s">
        <v>6254</v>
      </c>
      <c r="B6220" s="2">
        <v>45105.0</v>
      </c>
      <c r="C6220" s="1" t="s">
        <v>20</v>
      </c>
      <c r="D6220" s="1" t="s">
        <v>27</v>
      </c>
      <c r="E6220" s="1" t="s">
        <v>40</v>
      </c>
      <c r="F6220" s="1">
        <v>741.14</v>
      </c>
      <c r="G6220" s="1">
        <v>-83.0</v>
      </c>
      <c r="H6220" s="1">
        <v>5.0</v>
      </c>
      <c r="I6220" s="1" t="s">
        <v>17</v>
      </c>
      <c r="J6220" s="1" t="s">
        <v>38</v>
      </c>
      <c r="K6220" s="1">
        <f t="shared" si="1"/>
        <v>2023</v>
      </c>
      <c r="L6220" s="1" t="str">
        <f t="shared" si="2"/>
        <v>Jun</v>
      </c>
      <c r="M6220" s="1" t="str">
        <f t="shared" si="3"/>
        <v>Loss</v>
      </c>
    </row>
    <row r="6221" ht="14.25" customHeight="1">
      <c r="A6221" s="1" t="s">
        <v>6255</v>
      </c>
      <c r="B6221" s="2">
        <v>44483.0</v>
      </c>
      <c r="C6221" s="1" t="s">
        <v>14</v>
      </c>
      <c r="D6221" s="1" t="s">
        <v>21</v>
      </c>
      <c r="E6221" s="1" t="s">
        <v>76</v>
      </c>
      <c r="F6221" s="1">
        <v>531.96</v>
      </c>
      <c r="G6221" s="1">
        <v>-83.94</v>
      </c>
      <c r="H6221" s="1">
        <v>7.0</v>
      </c>
      <c r="I6221" s="1" t="s">
        <v>34</v>
      </c>
      <c r="J6221" s="1" t="s">
        <v>18</v>
      </c>
      <c r="K6221" s="1">
        <f t="shared" si="1"/>
        <v>2021</v>
      </c>
      <c r="L6221" s="1" t="str">
        <f t="shared" si="2"/>
        <v>Oct</v>
      </c>
      <c r="M6221" s="1" t="str">
        <f t="shared" si="3"/>
        <v>Loss</v>
      </c>
    </row>
    <row r="6222" ht="14.25" customHeight="1">
      <c r="A6222" s="1" t="s">
        <v>6256</v>
      </c>
      <c r="B6222" s="2">
        <v>44769.0</v>
      </c>
      <c r="C6222" s="1" t="s">
        <v>20</v>
      </c>
      <c r="D6222" s="1" t="s">
        <v>21</v>
      </c>
      <c r="E6222" s="1" t="s">
        <v>37</v>
      </c>
      <c r="F6222" s="1">
        <v>820.56</v>
      </c>
      <c r="G6222" s="1">
        <v>87.23</v>
      </c>
      <c r="H6222" s="1">
        <v>10.0</v>
      </c>
      <c r="I6222" s="1" t="s">
        <v>34</v>
      </c>
      <c r="J6222" s="1" t="s">
        <v>35</v>
      </c>
      <c r="K6222" s="1">
        <f t="shared" si="1"/>
        <v>2022</v>
      </c>
      <c r="L6222" s="1" t="str">
        <f t="shared" si="2"/>
        <v>Jul</v>
      </c>
      <c r="M6222" s="1" t="str">
        <f t="shared" si="3"/>
        <v>Profit</v>
      </c>
    </row>
    <row r="6223" ht="14.25" customHeight="1">
      <c r="A6223" s="1" t="s">
        <v>6257</v>
      </c>
      <c r="B6223" s="2">
        <v>45009.0</v>
      </c>
      <c r="C6223" s="1" t="s">
        <v>26</v>
      </c>
      <c r="D6223" s="1" t="s">
        <v>15</v>
      </c>
      <c r="E6223" s="1" t="s">
        <v>54</v>
      </c>
      <c r="F6223" s="1">
        <v>705.83</v>
      </c>
      <c r="G6223" s="1">
        <v>95.37</v>
      </c>
      <c r="H6223" s="1">
        <v>3.0</v>
      </c>
      <c r="I6223" s="1" t="s">
        <v>17</v>
      </c>
      <c r="J6223" s="1" t="s">
        <v>24</v>
      </c>
      <c r="K6223" s="1">
        <f t="shared" si="1"/>
        <v>2023</v>
      </c>
      <c r="L6223" s="1" t="str">
        <f t="shared" si="2"/>
        <v>Mar</v>
      </c>
      <c r="M6223" s="1" t="str">
        <f t="shared" si="3"/>
        <v>Profit</v>
      </c>
    </row>
    <row r="6224" ht="14.25" customHeight="1">
      <c r="A6224" s="1" t="s">
        <v>6258</v>
      </c>
      <c r="B6224" s="2">
        <v>44286.0</v>
      </c>
      <c r="C6224" s="1" t="s">
        <v>30</v>
      </c>
      <c r="D6224" s="1" t="s">
        <v>27</v>
      </c>
      <c r="E6224" s="1" t="s">
        <v>28</v>
      </c>
      <c r="F6224" s="1">
        <v>273.74</v>
      </c>
      <c r="G6224" s="1">
        <v>-191.91</v>
      </c>
      <c r="H6224" s="1">
        <v>8.0</v>
      </c>
      <c r="I6224" s="1" t="s">
        <v>34</v>
      </c>
      <c r="J6224" s="1" t="s">
        <v>24</v>
      </c>
      <c r="K6224" s="1">
        <f t="shared" si="1"/>
        <v>2021</v>
      </c>
      <c r="L6224" s="1" t="str">
        <f t="shared" si="2"/>
        <v>Mar</v>
      </c>
      <c r="M6224" s="1" t="str">
        <f t="shared" si="3"/>
        <v>Loss</v>
      </c>
    </row>
    <row r="6225" ht="14.25" customHeight="1">
      <c r="A6225" s="1" t="s">
        <v>6259</v>
      </c>
      <c r="B6225" s="2">
        <v>44722.0</v>
      </c>
      <c r="C6225" s="1" t="s">
        <v>20</v>
      </c>
      <c r="D6225" s="1" t="s">
        <v>15</v>
      </c>
      <c r="E6225" s="1" t="s">
        <v>31</v>
      </c>
      <c r="F6225" s="1">
        <v>237.77</v>
      </c>
      <c r="G6225" s="1">
        <v>104.38</v>
      </c>
      <c r="H6225" s="1">
        <v>7.0</v>
      </c>
      <c r="I6225" s="1" t="s">
        <v>23</v>
      </c>
      <c r="J6225" s="1" t="s">
        <v>24</v>
      </c>
      <c r="K6225" s="1">
        <f t="shared" si="1"/>
        <v>2022</v>
      </c>
      <c r="L6225" s="1" t="str">
        <f t="shared" si="2"/>
        <v>Jun</v>
      </c>
      <c r="M6225" s="1" t="str">
        <f t="shared" si="3"/>
        <v>Profit</v>
      </c>
    </row>
    <row r="6226" ht="14.25" customHeight="1">
      <c r="A6226" s="1" t="s">
        <v>6260</v>
      </c>
      <c r="B6226" s="2">
        <v>44454.0</v>
      </c>
      <c r="C6226" s="1" t="s">
        <v>30</v>
      </c>
      <c r="D6226" s="1" t="s">
        <v>27</v>
      </c>
      <c r="E6226" s="1" t="s">
        <v>40</v>
      </c>
      <c r="F6226" s="1">
        <v>610.77</v>
      </c>
      <c r="G6226" s="1">
        <v>-55.88</v>
      </c>
      <c r="H6226" s="1">
        <v>7.0</v>
      </c>
      <c r="I6226" s="1" t="s">
        <v>23</v>
      </c>
      <c r="J6226" s="1" t="s">
        <v>35</v>
      </c>
      <c r="K6226" s="1">
        <f t="shared" si="1"/>
        <v>2021</v>
      </c>
      <c r="L6226" s="1" t="str">
        <f t="shared" si="2"/>
        <v>Sep</v>
      </c>
      <c r="M6226" s="1" t="str">
        <f t="shared" si="3"/>
        <v>Loss</v>
      </c>
    </row>
    <row r="6227" ht="14.25" customHeight="1">
      <c r="A6227" s="1" t="s">
        <v>6261</v>
      </c>
      <c r="B6227" s="2">
        <v>45011.0</v>
      </c>
      <c r="C6227" s="1" t="s">
        <v>26</v>
      </c>
      <c r="D6227" s="1" t="s">
        <v>27</v>
      </c>
      <c r="E6227" s="1" t="s">
        <v>33</v>
      </c>
      <c r="F6227" s="1">
        <v>93.49</v>
      </c>
      <c r="G6227" s="1">
        <v>197.22</v>
      </c>
      <c r="H6227" s="1">
        <v>5.0</v>
      </c>
      <c r="I6227" s="1" t="s">
        <v>17</v>
      </c>
      <c r="J6227" s="1" t="s">
        <v>35</v>
      </c>
      <c r="K6227" s="1">
        <f t="shared" si="1"/>
        <v>2023</v>
      </c>
      <c r="L6227" s="1" t="str">
        <f t="shared" si="2"/>
        <v>Mar</v>
      </c>
      <c r="M6227" s="1" t="str">
        <f t="shared" si="3"/>
        <v>Profit</v>
      </c>
    </row>
    <row r="6228" ht="14.25" customHeight="1">
      <c r="A6228" s="1" t="s">
        <v>6262</v>
      </c>
      <c r="B6228" s="2">
        <v>44408.0</v>
      </c>
      <c r="C6228" s="1" t="s">
        <v>14</v>
      </c>
      <c r="D6228" s="1" t="s">
        <v>27</v>
      </c>
      <c r="E6228" s="1" t="s">
        <v>28</v>
      </c>
      <c r="F6228" s="1">
        <v>664.16</v>
      </c>
      <c r="G6228" s="1">
        <v>253.53</v>
      </c>
      <c r="H6228" s="1">
        <v>4.0</v>
      </c>
      <c r="I6228" s="1" t="s">
        <v>23</v>
      </c>
      <c r="J6228" s="1" t="s">
        <v>35</v>
      </c>
      <c r="K6228" s="1">
        <f t="shared" si="1"/>
        <v>2021</v>
      </c>
      <c r="L6228" s="1" t="str">
        <f t="shared" si="2"/>
        <v>Jul</v>
      </c>
      <c r="M6228" s="1" t="str">
        <f t="shared" si="3"/>
        <v>Profit</v>
      </c>
    </row>
    <row r="6229" ht="14.25" customHeight="1">
      <c r="A6229" s="1" t="s">
        <v>6263</v>
      </c>
      <c r="B6229" s="2">
        <v>45144.0</v>
      </c>
      <c r="C6229" s="1" t="s">
        <v>14</v>
      </c>
      <c r="D6229" s="1" t="s">
        <v>21</v>
      </c>
      <c r="E6229" s="1" t="s">
        <v>37</v>
      </c>
      <c r="F6229" s="1">
        <v>630.36</v>
      </c>
      <c r="G6229" s="1">
        <v>-44.36</v>
      </c>
      <c r="H6229" s="1">
        <v>1.0</v>
      </c>
      <c r="I6229" s="1" t="s">
        <v>23</v>
      </c>
      <c r="J6229" s="1" t="s">
        <v>35</v>
      </c>
      <c r="K6229" s="1">
        <f t="shared" si="1"/>
        <v>2023</v>
      </c>
      <c r="L6229" s="1" t="str">
        <f t="shared" si="2"/>
        <v>Aug</v>
      </c>
      <c r="M6229" s="1" t="str">
        <f t="shared" si="3"/>
        <v>Loss</v>
      </c>
    </row>
    <row r="6230" ht="14.25" customHeight="1">
      <c r="A6230" s="1" t="s">
        <v>6264</v>
      </c>
      <c r="B6230" s="2">
        <v>44734.0</v>
      </c>
      <c r="C6230" s="1" t="s">
        <v>20</v>
      </c>
      <c r="D6230" s="1" t="s">
        <v>27</v>
      </c>
      <c r="E6230" s="1" t="s">
        <v>28</v>
      </c>
      <c r="F6230" s="1">
        <v>136.02</v>
      </c>
      <c r="G6230" s="1">
        <v>-3.02</v>
      </c>
      <c r="H6230" s="1">
        <v>4.0</v>
      </c>
      <c r="I6230" s="1" t="s">
        <v>23</v>
      </c>
      <c r="J6230" s="1" t="s">
        <v>35</v>
      </c>
      <c r="K6230" s="1">
        <f t="shared" si="1"/>
        <v>2022</v>
      </c>
      <c r="L6230" s="1" t="str">
        <f t="shared" si="2"/>
        <v>Jun</v>
      </c>
      <c r="M6230" s="1" t="str">
        <f t="shared" si="3"/>
        <v>Loss</v>
      </c>
    </row>
    <row r="6231" ht="14.25" customHeight="1">
      <c r="A6231" s="1" t="s">
        <v>6265</v>
      </c>
      <c r="B6231" s="2">
        <v>45057.0</v>
      </c>
      <c r="C6231" s="1" t="s">
        <v>14</v>
      </c>
      <c r="D6231" s="1" t="s">
        <v>21</v>
      </c>
      <c r="E6231" s="1" t="s">
        <v>22</v>
      </c>
      <c r="F6231" s="1">
        <v>134.9</v>
      </c>
      <c r="G6231" s="1">
        <v>287.78</v>
      </c>
      <c r="H6231" s="1">
        <v>5.0</v>
      </c>
      <c r="I6231" s="1" t="s">
        <v>17</v>
      </c>
      <c r="J6231" s="1" t="s">
        <v>18</v>
      </c>
      <c r="K6231" s="1">
        <f t="shared" si="1"/>
        <v>2023</v>
      </c>
      <c r="L6231" s="1" t="str">
        <f t="shared" si="2"/>
        <v>May</v>
      </c>
      <c r="M6231" s="1" t="str">
        <f t="shared" si="3"/>
        <v>Profit</v>
      </c>
    </row>
    <row r="6232" ht="14.25" customHeight="1">
      <c r="A6232" s="1" t="s">
        <v>6266</v>
      </c>
      <c r="B6232" s="2">
        <v>45098.0</v>
      </c>
      <c r="C6232" s="1" t="s">
        <v>20</v>
      </c>
      <c r="D6232" s="1" t="s">
        <v>15</v>
      </c>
      <c r="E6232" s="1" t="s">
        <v>16</v>
      </c>
      <c r="F6232" s="1">
        <v>337.31</v>
      </c>
      <c r="G6232" s="1">
        <v>4.49</v>
      </c>
      <c r="H6232" s="1">
        <v>4.0</v>
      </c>
      <c r="I6232" s="1" t="s">
        <v>23</v>
      </c>
      <c r="J6232" s="1" t="s">
        <v>24</v>
      </c>
      <c r="K6232" s="1">
        <f t="shared" si="1"/>
        <v>2023</v>
      </c>
      <c r="L6232" s="1" t="str">
        <f t="shared" si="2"/>
        <v>Jun</v>
      </c>
      <c r="M6232" s="1" t="str">
        <f t="shared" si="3"/>
        <v>Profit</v>
      </c>
    </row>
    <row r="6233" ht="14.25" customHeight="1">
      <c r="A6233" s="1" t="s">
        <v>6267</v>
      </c>
      <c r="B6233" s="2">
        <v>45062.0</v>
      </c>
      <c r="C6233" s="1" t="s">
        <v>20</v>
      </c>
      <c r="D6233" s="1" t="s">
        <v>27</v>
      </c>
      <c r="E6233" s="1" t="s">
        <v>40</v>
      </c>
      <c r="F6233" s="1">
        <v>265.95</v>
      </c>
      <c r="G6233" s="1">
        <v>-185.06</v>
      </c>
      <c r="H6233" s="1">
        <v>9.0</v>
      </c>
      <c r="I6233" s="1" t="s">
        <v>23</v>
      </c>
      <c r="J6233" s="1" t="s">
        <v>38</v>
      </c>
      <c r="K6233" s="1">
        <f t="shared" si="1"/>
        <v>2023</v>
      </c>
      <c r="L6233" s="1" t="str">
        <f t="shared" si="2"/>
        <v>May</v>
      </c>
      <c r="M6233" s="1" t="str">
        <f t="shared" si="3"/>
        <v>Loss</v>
      </c>
    </row>
    <row r="6234" ht="14.25" customHeight="1">
      <c r="A6234" s="1" t="s">
        <v>6268</v>
      </c>
      <c r="B6234" s="2">
        <v>45120.0</v>
      </c>
      <c r="C6234" s="1" t="s">
        <v>30</v>
      </c>
      <c r="D6234" s="1" t="s">
        <v>15</v>
      </c>
      <c r="E6234" s="1" t="s">
        <v>16</v>
      </c>
      <c r="F6234" s="1">
        <v>51.47</v>
      </c>
      <c r="G6234" s="1">
        <v>-28.48</v>
      </c>
      <c r="H6234" s="1">
        <v>3.0</v>
      </c>
      <c r="I6234" s="1" t="s">
        <v>34</v>
      </c>
      <c r="J6234" s="1" t="s">
        <v>24</v>
      </c>
      <c r="K6234" s="1">
        <f t="shared" si="1"/>
        <v>2023</v>
      </c>
      <c r="L6234" s="1" t="str">
        <f t="shared" si="2"/>
        <v>Jul</v>
      </c>
      <c r="M6234" s="1" t="str">
        <f t="shared" si="3"/>
        <v>Loss</v>
      </c>
    </row>
    <row r="6235" ht="14.25" customHeight="1">
      <c r="A6235" s="1" t="s">
        <v>6269</v>
      </c>
      <c r="B6235" s="2">
        <v>44316.0</v>
      </c>
      <c r="C6235" s="1" t="s">
        <v>20</v>
      </c>
      <c r="D6235" s="1" t="s">
        <v>21</v>
      </c>
      <c r="E6235" s="1" t="s">
        <v>76</v>
      </c>
      <c r="F6235" s="1">
        <v>993.96</v>
      </c>
      <c r="G6235" s="1">
        <v>-75.42</v>
      </c>
      <c r="H6235" s="1">
        <v>4.0</v>
      </c>
      <c r="I6235" s="1" t="s">
        <v>17</v>
      </c>
      <c r="J6235" s="1" t="s">
        <v>24</v>
      </c>
      <c r="K6235" s="1">
        <f t="shared" si="1"/>
        <v>2021</v>
      </c>
      <c r="L6235" s="1" t="str">
        <f t="shared" si="2"/>
        <v>Apr</v>
      </c>
      <c r="M6235" s="1" t="str">
        <f t="shared" si="3"/>
        <v>Loss</v>
      </c>
    </row>
    <row r="6236" ht="14.25" customHeight="1">
      <c r="A6236" s="1" t="s">
        <v>6270</v>
      </c>
      <c r="B6236" s="2">
        <v>45116.0</v>
      </c>
      <c r="C6236" s="1" t="s">
        <v>26</v>
      </c>
      <c r="D6236" s="1" t="s">
        <v>21</v>
      </c>
      <c r="E6236" s="1" t="s">
        <v>76</v>
      </c>
      <c r="F6236" s="1">
        <v>28.04</v>
      </c>
      <c r="G6236" s="1">
        <v>-177.37</v>
      </c>
      <c r="H6236" s="1">
        <v>7.0</v>
      </c>
      <c r="I6236" s="1" t="s">
        <v>17</v>
      </c>
      <c r="J6236" s="1" t="s">
        <v>18</v>
      </c>
      <c r="K6236" s="1">
        <f t="shared" si="1"/>
        <v>2023</v>
      </c>
      <c r="L6236" s="1" t="str">
        <f t="shared" si="2"/>
        <v>Jul</v>
      </c>
      <c r="M6236" s="1" t="str">
        <f t="shared" si="3"/>
        <v>Loss</v>
      </c>
    </row>
    <row r="6237" ht="14.25" customHeight="1">
      <c r="A6237" s="1" t="s">
        <v>6271</v>
      </c>
      <c r="B6237" s="2">
        <v>44556.0</v>
      </c>
      <c r="C6237" s="1" t="s">
        <v>14</v>
      </c>
      <c r="D6237" s="1" t="s">
        <v>15</v>
      </c>
      <c r="E6237" s="1" t="s">
        <v>31</v>
      </c>
      <c r="F6237" s="1">
        <v>257.71</v>
      </c>
      <c r="G6237" s="1">
        <v>44.25</v>
      </c>
      <c r="H6237" s="1">
        <v>6.0</v>
      </c>
      <c r="I6237" s="1" t="s">
        <v>34</v>
      </c>
      <c r="J6237" s="1" t="s">
        <v>24</v>
      </c>
      <c r="K6237" s="1">
        <f t="shared" si="1"/>
        <v>2021</v>
      </c>
      <c r="L6237" s="1" t="str">
        <f t="shared" si="2"/>
        <v>Dec</v>
      </c>
      <c r="M6237" s="1" t="str">
        <f t="shared" si="3"/>
        <v>Profit</v>
      </c>
    </row>
    <row r="6238" ht="14.25" customHeight="1">
      <c r="A6238" s="1" t="s">
        <v>6272</v>
      </c>
      <c r="B6238" s="2">
        <v>44934.0</v>
      </c>
      <c r="C6238" s="1" t="s">
        <v>14</v>
      </c>
      <c r="D6238" s="1" t="s">
        <v>15</v>
      </c>
      <c r="E6238" s="1" t="s">
        <v>54</v>
      </c>
      <c r="F6238" s="1">
        <v>65.68</v>
      </c>
      <c r="G6238" s="1">
        <v>228.86</v>
      </c>
      <c r="H6238" s="1">
        <v>8.0</v>
      </c>
      <c r="I6238" s="1" t="s">
        <v>17</v>
      </c>
      <c r="J6238" s="1" t="s">
        <v>38</v>
      </c>
      <c r="K6238" s="1">
        <f t="shared" si="1"/>
        <v>2023</v>
      </c>
      <c r="L6238" s="1" t="str">
        <f t="shared" si="2"/>
        <v>Jan</v>
      </c>
      <c r="M6238" s="1" t="str">
        <f t="shared" si="3"/>
        <v>Profit</v>
      </c>
    </row>
    <row r="6239" ht="14.25" customHeight="1">
      <c r="A6239" s="1" t="s">
        <v>6273</v>
      </c>
      <c r="B6239" s="2">
        <v>45045.0</v>
      </c>
      <c r="C6239" s="1" t="s">
        <v>26</v>
      </c>
      <c r="D6239" s="1" t="s">
        <v>21</v>
      </c>
      <c r="E6239" s="1" t="s">
        <v>37</v>
      </c>
      <c r="F6239" s="1">
        <v>618.25</v>
      </c>
      <c r="G6239" s="1">
        <v>31.92</v>
      </c>
      <c r="H6239" s="1">
        <v>4.0</v>
      </c>
      <c r="I6239" s="1" t="s">
        <v>17</v>
      </c>
      <c r="J6239" s="1" t="s">
        <v>18</v>
      </c>
      <c r="K6239" s="1">
        <f t="shared" si="1"/>
        <v>2023</v>
      </c>
      <c r="L6239" s="1" t="str">
        <f t="shared" si="2"/>
        <v>Apr</v>
      </c>
      <c r="M6239" s="1" t="str">
        <f t="shared" si="3"/>
        <v>Profit</v>
      </c>
    </row>
    <row r="6240" ht="14.25" customHeight="1">
      <c r="A6240" s="1" t="s">
        <v>6274</v>
      </c>
      <c r="B6240" s="2">
        <v>45212.0</v>
      </c>
      <c r="C6240" s="1" t="s">
        <v>20</v>
      </c>
      <c r="D6240" s="1" t="s">
        <v>15</v>
      </c>
      <c r="E6240" s="1" t="s">
        <v>16</v>
      </c>
      <c r="F6240" s="1">
        <v>918.25</v>
      </c>
      <c r="G6240" s="1">
        <v>-63.27</v>
      </c>
      <c r="H6240" s="1">
        <v>7.0</v>
      </c>
      <c r="I6240" s="1" t="s">
        <v>23</v>
      </c>
      <c r="J6240" s="1" t="s">
        <v>35</v>
      </c>
      <c r="K6240" s="1">
        <f t="shared" si="1"/>
        <v>2023</v>
      </c>
      <c r="L6240" s="1" t="str">
        <f t="shared" si="2"/>
        <v>Oct</v>
      </c>
      <c r="M6240" s="1" t="str">
        <f t="shared" si="3"/>
        <v>Loss</v>
      </c>
    </row>
    <row r="6241" ht="14.25" customHeight="1">
      <c r="A6241" s="1" t="s">
        <v>6275</v>
      </c>
      <c r="B6241" s="2">
        <v>44232.0</v>
      </c>
      <c r="C6241" s="1" t="s">
        <v>26</v>
      </c>
      <c r="D6241" s="1" t="s">
        <v>15</v>
      </c>
      <c r="E6241" s="1" t="s">
        <v>31</v>
      </c>
      <c r="F6241" s="1">
        <v>624.02</v>
      </c>
      <c r="G6241" s="1">
        <v>-101.59</v>
      </c>
      <c r="H6241" s="1">
        <v>4.0</v>
      </c>
      <c r="I6241" s="1" t="s">
        <v>17</v>
      </c>
      <c r="J6241" s="1" t="s">
        <v>24</v>
      </c>
      <c r="K6241" s="1">
        <f t="shared" si="1"/>
        <v>2021</v>
      </c>
      <c r="L6241" s="1" t="str">
        <f t="shared" si="2"/>
        <v>Feb</v>
      </c>
      <c r="M6241" s="1" t="str">
        <f t="shared" si="3"/>
        <v>Loss</v>
      </c>
    </row>
    <row r="6242" ht="14.25" customHeight="1">
      <c r="A6242" s="1" t="s">
        <v>6276</v>
      </c>
      <c r="B6242" s="2">
        <v>44211.0</v>
      </c>
      <c r="C6242" s="1" t="s">
        <v>14</v>
      </c>
      <c r="D6242" s="1" t="s">
        <v>21</v>
      </c>
      <c r="E6242" s="1" t="s">
        <v>22</v>
      </c>
      <c r="F6242" s="1">
        <v>650.34</v>
      </c>
      <c r="G6242" s="1">
        <v>26.73</v>
      </c>
      <c r="H6242" s="1">
        <v>1.0</v>
      </c>
      <c r="I6242" s="1" t="s">
        <v>34</v>
      </c>
      <c r="J6242" s="1" t="s">
        <v>38</v>
      </c>
      <c r="K6242" s="1">
        <f t="shared" si="1"/>
        <v>2021</v>
      </c>
      <c r="L6242" s="1" t="str">
        <f t="shared" si="2"/>
        <v>Jan</v>
      </c>
      <c r="M6242" s="1" t="str">
        <f t="shared" si="3"/>
        <v>Profit</v>
      </c>
    </row>
    <row r="6243" ht="14.25" customHeight="1">
      <c r="A6243" s="1" t="s">
        <v>6277</v>
      </c>
      <c r="B6243" s="2">
        <v>45281.0</v>
      </c>
      <c r="C6243" s="1" t="s">
        <v>30</v>
      </c>
      <c r="D6243" s="1" t="s">
        <v>27</v>
      </c>
      <c r="E6243" s="1" t="s">
        <v>33</v>
      </c>
      <c r="F6243" s="1">
        <v>869.5</v>
      </c>
      <c r="G6243" s="1">
        <v>242.56</v>
      </c>
      <c r="H6243" s="1">
        <v>6.0</v>
      </c>
      <c r="I6243" s="1" t="s">
        <v>23</v>
      </c>
      <c r="J6243" s="1" t="s">
        <v>18</v>
      </c>
      <c r="K6243" s="1">
        <f t="shared" si="1"/>
        <v>2023</v>
      </c>
      <c r="L6243" s="1" t="str">
        <f t="shared" si="2"/>
        <v>Dec</v>
      </c>
      <c r="M6243" s="1" t="str">
        <f t="shared" si="3"/>
        <v>Profit</v>
      </c>
    </row>
    <row r="6244" ht="14.25" customHeight="1">
      <c r="A6244" s="1" t="s">
        <v>6278</v>
      </c>
      <c r="B6244" s="2">
        <v>44450.0</v>
      </c>
      <c r="C6244" s="1" t="s">
        <v>30</v>
      </c>
      <c r="D6244" s="1" t="s">
        <v>27</v>
      </c>
      <c r="E6244" s="1" t="s">
        <v>40</v>
      </c>
      <c r="F6244" s="1">
        <v>494.08</v>
      </c>
      <c r="G6244" s="1">
        <v>-26.39</v>
      </c>
      <c r="H6244" s="1">
        <v>1.0</v>
      </c>
      <c r="I6244" s="1" t="s">
        <v>34</v>
      </c>
      <c r="J6244" s="1" t="s">
        <v>18</v>
      </c>
      <c r="K6244" s="1">
        <f t="shared" si="1"/>
        <v>2021</v>
      </c>
      <c r="L6244" s="1" t="str">
        <f t="shared" si="2"/>
        <v>Sep</v>
      </c>
      <c r="M6244" s="1" t="str">
        <f t="shared" si="3"/>
        <v>Loss</v>
      </c>
    </row>
    <row r="6245" ht="14.25" customHeight="1">
      <c r="A6245" s="1" t="s">
        <v>6279</v>
      </c>
      <c r="B6245" s="2">
        <v>44799.0</v>
      </c>
      <c r="C6245" s="1" t="s">
        <v>14</v>
      </c>
      <c r="D6245" s="1" t="s">
        <v>15</v>
      </c>
      <c r="E6245" s="1" t="s">
        <v>31</v>
      </c>
      <c r="F6245" s="1">
        <v>447.87</v>
      </c>
      <c r="G6245" s="1">
        <v>237.39</v>
      </c>
      <c r="H6245" s="1">
        <v>6.0</v>
      </c>
      <c r="I6245" s="1" t="s">
        <v>17</v>
      </c>
      <c r="J6245" s="1" t="s">
        <v>24</v>
      </c>
      <c r="K6245" s="1">
        <f t="shared" si="1"/>
        <v>2022</v>
      </c>
      <c r="L6245" s="1" t="str">
        <f t="shared" si="2"/>
        <v>Aug</v>
      </c>
      <c r="M6245" s="1" t="str">
        <f t="shared" si="3"/>
        <v>Profit</v>
      </c>
    </row>
    <row r="6246" ht="14.25" customHeight="1">
      <c r="A6246" s="1" t="s">
        <v>6280</v>
      </c>
      <c r="B6246" s="2">
        <v>45248.0</v>
      </c>
      <c r="C6246" s="1" t="s">
        <v>14</v>
      </c>
      <c r="D6246" s="1" t="s">
        <v>21</v>
      </c>
      <c r="E6246" s="1" t="s">
        <v>37</v>
      </c>
      <c r="F6246" s="1">
        <v>471.43</v>
      </c>
      <c r="G6246" s="1">
        <v>224.64</v>
      </c>
      <c r="H6246" s="1">
        <v>5.0</v>
      </c>
      <c r="I6246" s="1" t="s">
        <v>23</v>
      </c>
      <c r="J6246" s="1" t="s">
        <v>24</v>
      </c>
      <c r="K6246" s="1">
        <f t="shared" si="1"/>
        <v>2023</v>
      </c>
      <c r="L6246" s="1" t="str">
        <f t="shared" si="2"/>
        <v>Nov</v>
      </c>
      <c r="M6246" s="1" t="str">
        <f t="shared" si="3"/>
        <v>Profit</v>
      </c>
    </row>
    <row r="6247" ht="14.25" customHeight="1">
      <c r="A6247" s="1" t="s">
        <v>6281</v>
      </c>
      <c r="B6247" s="2">
        <v>45142.0</v>
      </c>
      <c r="C6247" s="1" t="s">
        <v>20</v>
      </c>
      <c r="D6247" s="1" t="s">
        <v>15</v>
      </c>
      <c r="E6247" s="1" t="s">
        <v>54</v>
      </c>
      <c r="F6247" s="1">
        <v>835.78</v>
      </c>
      <c r="G6247" s="1">
        <v>275.18</v>
      </c>
      <c r="H6247" s="1">
        <v>8.0</v>
      </c>
      <c r="I6247" s="1" t="s">
        <v>17</v>
      </c>
      <c r="J6247" s="1" t="s">
        <v>18</v>
      </c>
      <c r="K6247" s="1">
        <f t="shared" si="1"/>
        <v>2023</v>
      </c>
      <c r="L6247" s="1" t="str">
        <f t="shared" si="2"/>
        <v>Aug</v>
      </c>
      <c r="M6247" s="1" t="str">
        <f t="shared" si="3"/>
        <v>Profit</v>
      </c>
    </row>
    <row r="6248" ht="14.25" customHeight="1">
      <c r="A6248" s="1" t="s">
        <v>6282</v>
      </c>
      <c r="B6248" s="2">
        <v>44328.0</v>
      </c>
      <c r="C6248" s="1" t="s">
        <v>14</v>
      </c>
      <c r="D6248" s="1" t="s">
        <v>15</v>
      </c>
      <c r="E6248" s="1" t="s">
        <v>54</v>
      </c>
      <c r="F6248" s="1">
        <v>959.17</v>
      </c>
      <c r="G6248" s="1">
        <v>94.77</v>
      </c>
      <c r="H6248" s="1">
        <v>5.0</v>
      </c>
      <c r="I6248" s="1" t="s">
        <v>17</v>
      </c>
      <c r="J6248" s="1" t="s">
        <v>38</v>
      </c>
      <c r="K6248" s="1">
        <f t="shared" si="1"/>
        <v>2021</v>
      </c>
      <c r="L6248" s="1" t="str">
        <f t="shared" si="2"/>
        <v>May</v>
      </c>
      <c r="M6248" s="1" t="str">
        <f t="shared" si="3"/>
        <v>Profit</v>
      </c>
    </row>
    <row r="6249" ht="14.25" customHeight="1">
      <c r="A6249" s="1" t="s">
        <v>6283</v>
      </c>
      <c r="B6249" s="2">
        <v>44275.0</v>
      </c>
      <c r="C6249" s="1" t="s">
        <v>20</v>
      </c>
      <c r="D6249" s="1" t="s">
        <v>21</v>
      </c>
      <c r="E6249" s="1" t="s">
        <v>22</v>
      </c>
      <c r="F6249" s="1">
        <v>824.7</v>
      </c>
      <c r="G6249" s="1">
        <v>284.96</v>
      </c>
      <c r="H6249" s="1">
        <v>4.0</v>
      </c>
      <c r="I6249" s="1" t="s">
        <v>23</v>
      </c>
      <c r="J6249" s="1" t="s">
        <v>18</v>
      </c>
      <c r="K6249" s="1">
        <f t="shared" si="1"/>
        <v>2021</v>
      </c>
      <c r="L6249" s="1" t="str">
        <f t="shared" si="2"/>
        <v>Mar</v>
      </c>
      <c r="M6249" s="1" t="str">
        <f t="shared" si="3"/>
        <v>Profit</v>
      </c>
    </row>
    <row r="6250" ht="14.25" customHeight="1">
      <c r="A6250" s="1" t="s">
        <v>6284</v>
      </c>
      <c r="B6250" s="2">
        <v>44905.0</v>
      </c>
      <c r="C6250" s="1" t="s">
        <v>20</v>
      </c>
      <c r="D6250" s="1" t="s">
        <v>15</v>
      </c>
      <c r="E6250" s="1" t="s">
        <v>31</v>
      </c>
      <c r="F6250" s="1">
        <v>756.18</v>
      </c>
      <c r="G6250" s="1">
        <v>211.16</v>
      </c>
      <c r="H6250" s="1">
        <v>7.0</v>
      </c>
      <c r="I6250" s="1" t="s">
        <v>34</v>
      </c>
      <c r="J6250" s="1" t="s">
        <v>35</v>
      </c>
      <c r="K6250" s="1">
        <f t="shared" si="1"/>
        <v>2022</v>
      </c>
      <c r="L6250" s="1" t="str">
        <f t="shared" si="2"/>
        <v>Dec</v>
      </c>
      <c r="M6250" s="1" t="str">
        <f t="shared" si="3"/>
        <v>Profit</v>
      </c>
    </row>
    <row r="6251" ht="14.25" customHeight="1">
      <c r="A6251" s="1" t="s">
        <v>6285</v>
      </c>
      <c r="B6251" s="2">
        <v>44524.0</v>
      </c>
      <c r="C6251" s="1" t="s">
        <v>30</v>
      </c>
      <c r="D6251" s="1" t="s">
        <v>27</v>
      </c>
      <c r="E6251" s="1" t="s">
        <v>28</v>
      </c>
      <c r="F6251" s="1">
        <v>756.62</v>
      </c>
      <c r="G6251" s="1">
        <v>-165.71</v>
      </c>
      <c r="H6251" s="1">
        <v>2.0</v>
      </c>
      <c r="I6251" s="1" t="s">
        <v>34</v>
      </c>
      <c r="J6251" s="1" t="s">
        <v>38</v>
      </c>
      <c r="K6251" s="1">
        <f t="shared" si="1"/>
        <v>2021</v>
      </c>
      <c r="L6251" s="1" t="str">
        <f t="shared" si="2"/>
        <v>Nov</v>
      </c>
      <c r="M6251" s="1" t="str">
        <f t="shared" si="3"/>
        <v>Loss</v>
      </c>
    </row>
    <row r="6252" ht="14.25" customHeight="1">
      <c r="A6252" s="1" t="s">
        <v>6286</v>
      </c>
      <c r="B6252" s="2">
        <v>44920.0</v>
      </c>
      <c r="C6252" s="1" t="s">
        <v>30</v>
      </c>
      <c r="D6252" s="1" t="s">
        <v>21</v>
      </c>
      <c r="E6252" s="1" t="s">
        <v>76</v>
      </c>
      <c r="F6252" s="1">
        <v>267.87</v>
      </c>
      <c r="G6252" s="1">
        <v>21.76</v>
      </c>
      <c r="H6252" s="1">
        <v>6.0</v>
      </c>
      <c r="I6252" s="1" t="s">
        <v>17</v>
      </c>
      <c r="J6252" s="1" t="s">
        <v>18</v>
      </c>
      <c r="K6252" s="1">
        <f t="shared" si="1"/>
        <v>2022</v>
      </c>
      <c r="L6252" s="1" t="str">
        <f t="shared" si="2"/>
        <v>Dec</v>
      </c>
      <c r="M6252" s="1" t="str">
        <f t="shared" si="3"/>
        <v>Profit</v>
      </c>
    </row>
    <row r="6253" ht="14.25" customHeight="1">
      <c r="A6253" s="1" t="s">
        <v>6287</v>
      </c>
      <c r="B6253" s="2">
        <v>44627.0</v>
      </c>
      <c r="C6253" s="1" t="s">
        <v>20</v>
      </c>
      <c r="D6253" s="1" t="s">
        <v>15</v>
      </c>
      <c r="E6253" s="1" t="s">
        <v>54</v>
      </c>
      <c r="F6253" s="1">
        <v>229.04</v>
      </c>
      <c r="G6253" s="1">
        <v>45.18</v>
      </c>
      <c r="H6253" s="1">
        <v>9.0</v>
      </c>
      <c r="I6253" s="1" t="s">
        <v>34</v>
      </c>
      <c r="J6253" s="1" t="s">
        <v>18</v>
      </c>
      <c r="K6253" s="1">
        <f t="shared" si="1"/>
        <v>2022</v>
      </c>
      <c r="L6253" s="1" t="str">
        <f t="shared" si="2"/>
        <v>Mar</v>
      </c>
      <c r="M6253" s="1" t="str">
        <f t="shared" si="3"/>
        <v>Profit</v>
      </c>
    </row>
    <row r="6254" ht="14.25" customHeight="1">
      <c r="A6254" s="1" t="s">
        <v>6288</v>
      </c>
      <c r="B6254" s="2">
        <v>45273.0</v>
      </c>
      <c r="C6254" s="1" t="s">
        <v>14</v>
      </c>
      <c r="D6254" s="1" t="s">
        <v>15</v>
      </c>
      <c r="E6254" s="1" t="s">
        <v>31</v>
      </c>
      <c r="F6254" s="1">
        <v>586.88</v>
      </c>
      <c r="G6254" s="1">
        <v>206.55</v>
      </c>
      <c r="H6254" s="1">
        <v>10.0</v>
      </c>
      <c r="I6254" s="1" t="s">
        <v>34</v>
      </c>
      <c r="J6254" s="1" t="s">
        <v>35</v>
      </c>
      <c r="K6254" s="1">
        <f t="shared" si="1"/>
        <v>2023</v>
      </c>
      <c r="L6254" s="1" t="str">
        <f t="shared" si="2"/>
        <v>Dec</v>
      </c>
      <c r="M6254" s="1" t="str">
        <f t="shared" si="3"/>
        <v>Profit</v>
      </c>
    </row>
    <row r="6255" ht="14.25" customHeight="1">
      <c r="A6255" s="1" t="s">
        <v>6289</v>
      </c>
      <c r="B6255" s="2">
        <v>44825.0</v>
      </c>
      <c r="C6255" s="1" t="s">
        <v>26</v>
      </c>
      <c r="D6255" s="1" t="s">
        <v>21</v>
      </c>
      <c r="E6255" s="1" t="s">
        <v>76</v>
      </c>
      <c r="F6255" s="1">
        <v>293.35</v>
      </c>
      <c r="G6255" s="1">
        <v>-25.9</v>
      </c>
      <c r="H6255" s="1">
        <v>7.0</v>
      </c>
      <c r="I6255" s="1" t="s">
        <v>34</v>
      </c>
      <c r="J6255" s="1" t="s">
        <v>35</v>
      </c>
      <c r="K6255" s="1">
        <f t="shared" si="1"/>
        <v>2022</v>
      </c>
      <c r="L6255" s="1" t="str">
        <f t="shared" si="2"/>
        <v>Sep</v>
      </c>
      <c r="M6255" s="1" t="str">
        <f t="shared" si="3"/>
        <v>Loss</v>
      </c>
    </row>
    <row r="6256" ht="14.25" customHeight="1">
      <c r="A6256" s="1" t="s">
        <v>6290</v>
      </c>
      <c r="B6256" s="2">
        <v>44205.0</v>
      </c>
      <c r="C6256" s="1" t="s">
        <v>14</v>
      </c>
      <c r="D6256" s="1" t="s">
        <v>27</v>
      </c>
      <c r="E6256" s="1" t="s">
        <v>40</v>
      </c>
      <c r="F6256" s="1">
        <v>802.8</v>
      </c>
      <c r="G6256" s="1">
        <v>193.76</v>
      </c>
      <c r="H6256" s="1">
        <v>4.0</v>
      </c>
      <c r="I6256" s="1" t="s">
        <v>17</v>
      </c>
      <c r="J6256" s="1" t="s">
        <v>38</v>
      </c>
      <c r="K6256" s="1">
        <f t="shared" si="1"/>
        <v>2021</v>
      </c>
      <c r="L6256" s="1" t="str">
        <f t="shared" si="2"/>
        <v>Jan</v>
      </c>
      <c r="M6256" s="1" t="str">
        <f t="shared" si="3"/>
        <v>Profit</v>
      </c>
    </row>
    <row r="6257" ht="14.25" customHeight="1">
      <c r="A6257" s="1" t="s">
        <v>6291</v>
      </c>
      <c r="B6257" s="2">
        <v>44881.0</v>
      </c>
      <c r="C6257" s="1" t="s">
        <v>26</v>
      </c>
      <c r="D6257" s="1" t="s">
        <v>21</v>
      </c>
      <c r="E6257" s="1" t="s">
        <v>37</v>
      </c>
      <c r="F6257" s="1">
        <v>759.18</v>
      </c>
      <c r="G6257" s="1">
        <v>-134.28</v>
      </c>
      <c r="H6257" s="1">
        <v>5.0</v>
      </c>
      <c r="I6257" s="1" t="s">
        <v>23</v>
      </c>
      <c r="J6257" s="1" t="s">
        <v>35</v>
      </c>
      <c r="K6257" s="1">
        <f t="shared" si="1"/>
        <v>2022</v>
      </c>
      <c r="L6257" s="1" t="str">
        <f t="shared" si="2"/>
        <v>Nov</v>
      </c>
      <c r="M6257" s="1" t="str">
        <f t="shared" si="3"/>
        <v>Loss</v>
      </c>
    </row>
    <row r="6258" ht="14.25" customHeight="1">
      <c r="A6258" s="1" t="s">
        <v>6292</v>
      </c>
      <c r="B6258" s="2">
        <v>44925.0</v>
      </c>
      <c r="C6258" s="1" t="s">
        <v>26</v>
      </c>
      <c r="D6258" s="1" t="s">
        <v>21</v>
      </c>
      <c r="E6258" s="1" t="s">
        <v>37</v>
      </c>
      <c r="F6258" s="1">
        <v>578.67</v>
      </c>
      <c r="G6258" s="1">
        <v>187.99</v>
      </c>
      <c r="H6258" s="1">
        <v>3.0</v>
      </c>
      <c r="I6258" s="1" t="s">
        <v>34</v>
      </c>
      <c r="J6258" s="1" t="s">
        <v>24</v>
      </c>
      <c r="K6258" s="1">
        <f t="shared" si="1"/>
        <v>2022</v>
      </c>
      <c r="L6258" s="1" t="str">
        <f t="shared" si="2"/>
        <v>Dec</v>
      </c>
      <c r="M6258" s="1" t="str">
        <f t="shared" si="3"/>
        <v>Profit</v>
      </c>
    </row>
    <row r="6259" ht="14.25" customHeight="1">
      <c r="A6259" s="1" t="s">
        <v>6293</v>
      </c>
      <c r="B6259" s="2">
        <v>44422.0</v>
      </c>
      <c r="C6259" s="1" t="s">
        <v>30</v>
      </c>
      <c r="D6259" s="1" t="s">
        <v>27</v>
      </c>
      <c r="E6259" s="1" t="s">
        <v>40</v>
      </c>
      <c r="F6259" s="1">
        <v>172.46</v>
      </c>
      <c r="G6259" s="1">
        <v>-138.12</v>
      </c>
      <c r="H6259" s="1">
        <v>1.0</v>
      </c>
      <c r="I6259" s="1" t="s">
        <v>17</v>
      </c>
      <c r="J6259" s="1" t="s">
        <v>35</v>
      </c>
      <c r="K6259" s="1">
        <f t="shared" si="1"/>
        <v>2021</v>
      </c>
      <c r="L6259" s="1" t="str">
        <f t="shared" si="2"/>
        <v>Aug</v>
      </c>
      <c r="M6259" s="1" t="str">
        <f t="shared" si="3"/>
        <v>Loss</v>
      </c>
    </row>
    <row r="6260" ht="14.25" customHeight="1">
      <c r="A6260" s="1" t="s">
        <v>6294</v>
      </c>
      <c r="B6260" s="2">
        <v>44242.0</v>
      </c>
      <c r="C6260" s="1" t="s">
        <v>20</v>
      </c>
      <c r="D6260" s="1" t="s">
        <v>27</v>
      </c>
      <c r="E6260" s="1" t="s">
        <v>33</v>
      </c>
      <c r="F6260" s="1">
        <v>548.38</v>
      </c>
      <c r="G6260" s="1">
        <v>-103.83</v>
      </c>
      <c r="H6260" s="1">
        <v>2.0</v>
      </c>
      <c r="I6260" s="1" t="s">
        <v>23</v>
      </c>
      <c r="J6260" s="1" t="s">
        <v>18</v>
      </c>
      <c r="K6260" s="1">
        <f t="shared" si="1"/>
        <v>2021</v>
      </c>
      <c r="L6260" s="1" t="str">
        <f t="shared" si="2"/>
        <v>Feb</v>
      </c>
      <c r="M6260" s="1" t="str">
        <f t="shared" si="3"/>
        <v>Loss</v>
      </c>
    </row>
    <row r="6261" ht="14.25" customHeight="1">
      <c r="A6261" s="1" t="s">
        <v>6295</v>
      </c>
      <c r="B6261" s="2">
        <v>44996.0</v>
      </c>
      <c r="C6261" s="1" t="s">
        <v>26</v>
      </c>
      <c r="D6261" s="1" t="s">
        <v>21</v>
      </c>
      <c r="E6261" s="1" t="s">
        <v>76</v>
      </c>
      <c r="F6261" s="1">
        <v>631.95</v>
      </c>
      <c r="G6261" s="1">
        <v>-138.74</v>
      </c>
      <c r="H6261" s="1">
        <v>1.0</v>
      </c>
      <c r="I6261" s="1" t="s">
        <v>23</v>
      </c>
      <c r="J6261" s="1" t="s">
        <v>18</v>
      </c>
      <c r="K6261" s="1">
        <f t="shared" si="1"/>
        <v>2023</v>
      </c>
      <c r="L6261" s="1" t="str">
        <f t="shared" si="2"/>
        <v>Mar</v>
      </c>
      <c r="M6261" s="1" t="str">
        <f t="shared" si="3"/>
        <v>Loss</v>
      </c>
    </row>
    <row r="6262" ht="14.25" customHeight="1">
      <c r="A6262" s="1" t="s">
        <v>6296</v>
      </c>
      <c r="B6262" s="2">
        <v>45261.0</v>
      </c>
      <c r="C6262" s="1" t="s">
        <v>14</v>
      </c>
      <c r="D6262" s="1" t="s">
        <v>15</v>
      </c>
      <c r="E6262" s="1" t="s">
        <v>16</v>
      </c>
      <c r="F6262" s="1">
        <v>443.57</v>
      </c>
      <c r="G6262" s="1">
        <v>48.73</v>
      </c>
      <c r="H6262" s="1">
        <v>1.0</v>
      </c>
      <c r="I6262" s="1" t="s">
        <v>17</v>
      </c>
      <c r="J6262" s="1" t="s">
        <v>38</v>
      </c>
      <c r="K6262" s="1">
        <f t="shared" si="1"/>
        <v>2023</v>
      </c>
      <c r="L6262" s="1" t="str">
        <f t="shared" si="2"/>
        <v>Dec</v>
      </c>
      <c r="M6262" s="1" t="str">
        <f t="shared" si="3"/>
        <v>Profit</v>
      </c>
    </row>
    <row r="6263" ht="14.25" customHeight="1">
      <c r="A6263" s="1" t="s">
        <v>6297</v>
      </c>
      <c r="B6263" s="2">
        <v>44475.0</v>
      </c>
      <c r="C6263" s="1" t="s">
        <v>20</v>
      </c>
      <c r="D6263" s="1" t="s">
        <v>15</v>
      </c>
      <c r="E6263" s="1" t="s">
        <v>16</v>
      </c>
      <c r="F6263" s="1">
        <v>725.2</v>
      </c>
      <c r="G6263" s="1">
        <v>-23.73</v>
      </c>
      <c r="H6263" s="1">
        <v>4.0</v>
      </c>
      <c r="I6263" s="1" t="s">
        <v>34</v>
      </c>
      <c r="J6263" s="1" t="s">
        <v>35</v>
      </c>
      <c r="K6263" s="1">
        <f t="shared" si="1"/>
        <v>2021</v>
      </c>
      <c r="L6263" s="1" t="str">
        <f t="shared" si="2"/>
        <v>Oct</v>
      </c>
      <c r="M6263" s="1" t="str">
        <f t="shared" si="3"/>
        <v>Loss</v>
      </c>
    </row>
    <row r="6264" ht="14.25" customHeight="1">
      <c r="A6264" s="1" t="s">
        <v>6298</v>
      </c>
      <c r="B6264" s="2">
        <v>44346.0</v>
      </c>
      <c r="C6264" s="1" t="s">
        <v>26</v>
      </c>
      <c r="D6264" s="1" t="s">
        <v>27</v>
      </c>
      <c r="E6264" s="1" t="s">
        <v>33</v>
      </c>
      <c r="F6264" s="1">
        <v>921.95</v>
      </c>
      <c r="G6264" s="1">
        <v>-196.52</v>
      </c>
      <c r="H6264" s="1">
        <v>4.0</v>
      </c>
      <c r="I6264" s="1" t="s">
        <v>23</v>
      </c>
      <c r="J6264" s="1" t="s">
        <v>18</v>
      </c>
      <c r="K6264" s="1">
        <f t="shared" si="1"/>
        <v>2021</v>
      </c>
      <c r="L6264" s="1" t="str">
        <f t="shared" si="2"/>
        <v>May</v>
      </c>
      <c r="M6264" s="1" t="str">
        <f t="shared" si="3"/>
        <v>Loss</v>
      </c>
    </row>
    <row r="6265" ht="14.25" customHeight="1">
      <c r="A6265" s="1" t="s">
        <v>6299</v>
      </c>
      <c r="B6265" s="2">
        <v>44780.0</v>
      </c>
      <c r="C6265" s="1" t="s">
        <v>26</v>
      </c>
      <c r="D6265" s="1" t="s">
        <v>21</v>
      </c>
      <c r="E6265" s="1" t="s">
        <v>22</v>
      </c>
      <c r="F6265" s="1">
        <v>140.6</v>
      </c>
      <c r="G6265" s="1">
        <v>-106.05</v>
      </c>
      <c r="H6265" s="1">
        <v>4.0</v>
      </c>
      <c r="I6265" s="1" t="s">
        <v>34</v>
      </c>
      <c r="J6265" s="1" t="s">
        <v>18</v>
      </c>
      <c r="K6265" s="1">
        <f t="shared" si="1"/>
        <v>2022</v>
      </c>
      <c r="L6265" s="1" t="str">
        <f t="shared" si="2"/>
        <v>Aug</v>
      </c>
      <c r="M6265" s="1" t="str">
        <f t="shared" si="3"/>
        <v>Loss</v>
      </c>
    </row>
    <row r="6266" ht="14.25" customHeight="1">
      <c r="A6266" s="1" t="s">
        <v>6300</v>
      </c>
      <c r="B6266" s="2">
        <v>44461.0</v>
      </c>
      <c r="C6266" s="1" t="s">
        <v>14</v>
      </c>
      <c r="D6266" s="1" t="s">
        <v>21</v>
      </c>
      <c r="E6266" s="1" t="s">
        <v>76</v>
      </c>
      <c r="F6266" s="1">
        <v>385.08</v>
      </c>
      <c r="G6266" s="1">
        <v>-32.66</v>
      </c>
      <c r="H6266" s="1">
        <v>8.0</v>
      </c>
      <c r="I6266" s="1" t="s">
        <v>34</v>
      </c>
      <c r="J6266" s="1" t="s">
        <v>18</v>
      </c>
      <c r="K6266" s="1">
        <f t="shared" si="1"/>
        <v>2021</v>
      </c>
      <c r="L6266" s="1" t="str">
        <f t="shared" si="2"/>
        <v>Sep</v>
      </c>
      <c r="M6266" s="1" t="str">
        <f t="shared" si="3"/>
        <v>Loss</v>
      </c>
    </row>
    <row r="6267" ht="14.25" customHeight="1">
      <c r="A6267" s="1" t="s">
        <v>6301</v>
      </c>
      <c r="B6267" s="2">
        <v>44348.0</v>
      </c>
      <c r="C6267" s="1" t="s">
        <v>30</v>
      </c>
      <c r="D6267" s="1" t="s">
        <v>27</v>
      </c>
      <c r="E6267" s="1" t="s">
        <v>40</v>
      </c>
      <c r="F6267" s="1">
        <v>557.76</v>
      </c>
      <c r="G6267" s="1">
        <v>281.09</v>
      </c>
      <c r="H6267" s="1">
        <v>1.0</v>
      </c>
      <c r="I6267" s="1" t="s">
        <v>34</v>
      </c>
      <c r="J6267" s="1" t="s">
        <v>24</v>
      </c>
      <c r="K6267" s="1">
        <f t="shared" si="1"/>
        <v>2021</v>
      </c>
      <c r="L6267" s="1" t="str">
        <f t="shared" si="2"/>
        <v>Jun</v>
      </c>
      <c r="M6267" s="1" t="str">
        <f t="shared" si="3"/>
        <v>Profit</v>
      </c>
    </row>
    <row r="6268" ht="14.25" customHeight="1">
      <c r="A6268" s="1" t="s">
        <v>6302</v>
      </c>
      <c r="B6268" s="2">
        <v>44358.0</v>
      </c>
      <c r="C6268" s="1" t="s">
        <v>30</v>
      </c>
      <c r="D6268" s="1" t="s">
        <v>21</v>
      </c>
      <c r="E6268" s="1" t="s">
        <v>22</v>
      </c>
      <c r="F6268" s="1">
        <v>851.51</v>
      </c>
      <c r="G6268" s="1">
        <v>29.49</v>
      </c>
      <c r="H6268" s="1">
        <v>9.0</v>
      </c>
      <c r="I6268" s="1" t="s">
        <v>17</v>
      </c>
      <c r="J6268" s="1" t="s">
        <v>18</v>
      </c>
      <c r="K6268" s="1">
        <f t="shared" si="1"/>
        <v>2021</v>
      </c>
      <c r="L6268" s="1" t="str">
        <f t="shared" si="2"/>
        <v>Jun</v>
      </c>
      <c r="M6268" s="1" t="str">
        <f t="shared" si="3"/>
        <v>Profit</v>
      </c>
    </row>
    <row r="6269" ht="14.25" customHeight="1">
      <c r="A6269" s="1" t="s">
        <v>6303</v>
      </c>
      <c r="B6269" s="2">
        <v>44496.0</v>
      </c>
      <c r="C6269" s="1" t="s">
        <v>26</v>
      </c>
      <c r="D6269" s="1" t="s">
        <v>15</v>
      </c>
      <c r="E6269" s="1" t="s">
        <v>54</v>
      </c>
      <c r="F6269" s="1">
        <v>498.5</v>
      </c>
      <c r="G6269" s="1">
        <v>-37.57</v>
      </c>
      <c r="H6269" s="1">
        <v>9.0</v>
      </c>
      <c r="I6269" s="1" t="s">
        <v>23</v>
      </c>
      <c r="J6269" s="1" t="s">
        <v>38</v>
      </c>
      <c r="K6269" s="1">
        <f t="shared" si="1"/>
        <v>2021</v>
      </c>
      <c r="L6269" s="1" t="str">
        <f t="shared" si="2"/>
        <v>Oct</v>
      </c>
      <c r="M6269" s="1" t="str">
        <f t="shared" si="3"/>
        <v>Loss</v>
      </c>
    </row>
    <row r="6270" ht="14.25" customHeight="1">
      <c r="A6270" s="1" t="s">
        <v>6304</v>
      </c>
      <c r="B6270" s="2">
        <v>44315.0</v>
      </c>
      <c r="C6270" s="1" t="s">
        <v>26</v>
      </c>
      <c r="D6270" s="1" t="s">
        <v>21</v>
      </c>
      <c r="E6270" s="1" t="s">
        <v>22</v>
      </c>
      <c r="F6270" s="1">
        <v>810.59</v>
      </c>
      <c r="G6270" s="1">
        <v>40.65</v>
      </c>
      <c r="H6270" s="1">
        <v>1.0</v>
      </c>
      <c r="I6270" s="1" t="s">
        <v>17</v>
      </c>
      <c r="J6270" s="1" t="s">
        <v>38</v>
      </c>
      <c r="K6270" s="1">
        <f t="shared" si="1"/>
        <v>2021</v>
      </c>
      <c r="L6270" s="1" t="str">
        <f t="shared" si="2"/>
        <v>Apr</v>
      </c>
      <c r="M6270" s="1" t="str">
        <f t="shared" si="3"/>
        <v>Profit</v>
      </c>
    </row>
    <row r="6271" ht="14.25" customHeight="1">
      <c r="A6271" s="1" t="s">
        <v>6305</v>
      </c>
      <c r="B6271" s="2">
        <v>44705.0</v>
      </c>
      <c r="C6271" s="1" t="s">
        <v>14</v>
      </c>
      <c r="D6271" s="1" t="s">
        <v>15</v>
      </c>
      <c r="E6271" s="1" t="s">
        <v>31</v>
      </c>
      <c r="F6271" s="1">
        <v>477.05</v>
      </c>
      <c r="G6271" s="1">
        <v>45.41</v>
      </c>
      <c r="H6271" s="1">
        <v>9.0</v>
      </c>
      <c r="I6271" s="1" t="s">
        <v>34</v>
      </c>
      <c r="J6271" s="1" t="s">
        <v>38</v>
      </c>
      <c r="K6271" s="1">
        <f t="shared" si="1"/>
        <v>2022</v>
      </c>
      <c r="L6271" s="1" t="str">
        <f t="shared" si="2"/>
        <v>May</v>
      </c>
      <c r="M6271" s="1" t="str">
        <f t="shared" si="3"/>
        <v>Profit</v>
      </c>
    </row>
    <row r="6272" ht="14.25" customHeight="1">
      <c r="A6272" s="1" t="s">
        <v>6306</v>
      </c>
      <c r="B6272" s="2">
        <v>45163.0</v>
      </c>
      <c r="C6272" s="1" t="s">
        <v>20</v>
      </c>
      <c r="D6272" s="1" t="s">
        <v>15</v>
      </c>
      <c r="E6272" s="1" t="s">
        <v>54</v>
      </c>
      <c r="F6272" s="1">
        <v>575.93</v>
      </c>
      <c r="G6272" s="1">
        <v>32.83</v>
      </c>
      <c r="H6272" s="1">
        <v>9.0</v>
      </c>
      <c r="I6272" s="1" t="s">
        <v>23</v>
      </c>
      <c r="J6272" s="1" t="s">
        <v>35</v>
      </c>
      <c r="K6272" s="1">
        <f t="shared" si="1"/>
        <v>2023</v>
      </c>
      <c r="L6272" s="1" t="str">
        <f t="shared" si="2"/>
        <v>Aug</v>
      </c>
      <c r="M6272" s="1" t="str">
        <f t="shared" si="3"/>
        <v>Profit</v>
      </c>
    </row>
    <row r="6273" ht="14.25" customHeight="1">
      <c r="A6273" s="1" t="s">
        <v>6307</v>
      </c>
      <c r="B6273" s="2">
        <v>44913.0</v>
      </c>
      <c r="C6273" s="1" t="s">
        <v>30</v>
      </c>
      <c r="D6273" s="1" t="s">
        <v>27</v>
      </c>
      <c r="E6273" s="1" t="s">
        <v>28</v>
      </c>
      <c r="F6273" s="1">
        <v>849.8</v>
      </c>
      <c r="G6273" s="1">
        <v>0.88</v>
      </c>
      <c r="H6273" s="1">
        <v>3.0</v>
      </c>
      <c r="I6273" s="1" t="s">
        <v>23</v>
      </c>
      <c r="J6273" s="1" t="s">
        <v>35</v>
      </c>
      <c r="K6273" s="1">
        <f t="shared" si="1"/>
        <v>2022</v>
      </c>
      <c r="L6273" s="1" t="str">
        <f t="shared" si="2"/>
        <v>Dec</v>
      </c>
      <c r="M6273" s="1" t="str">
        <f t="shared" si="3"/>
        <v>Profit</v>
      </c>
    </row>
    <row r="6274" ht="14.25" customHeight="1">
      <c r="A6274" s="1" t="s">
        <v>6308</v>
      </c>
      <c r="B6274" s="2">
        <v>45105.0</v>
      </c>
      <c r="C6274" s="1" t="s">
        <v>30</v>
      </c>
      <c r="D6274" s="1" t="s">
        <v>21</v>
      </c>
      <c r="E6274" s="1" t="s">
        <v>37</v>
      </c>
      <c r="F6274" s="1">
        <v>806.03</v>
      </c>
      <c r="G6274" s="1">
        <v>80.4</v>
      </c>
      <c r="H6274" s="1">
        <v>8.0</v>
      </c>
      <c r="I6274" s="1" t="s">
        <v>23</v>
      </c>
      <c r="J6274" s="1" t="s">
        <v>35</v>
      </c>
      <c r="K6274" s="1">
        <f t="shared" si="1"/>
        <v>2023</v>
      </c>
      <c r="L6274" s="1" t="str">
        <f t="shared" si="2"/>
        <v>Jun</v>
      </c>
      <c r="M6274" s="1" t="str">
        <f t="shared" si="3"/>
        <v>Profit</v>
      </c>
    </row>
    <row r="6275" ht="14.25" customHeight="1">
      <c r="A6275" s="1" t="s">
        <v>6309</v>
      </c>
      <c r="B6275" s="2">
        <v>45208.0</v>
      </c>
      <c r="C6275" s="1" t="s">
        <v>20</v>
      </c>
      <c r="D6275" s="1" t="s">
        <v>21</v>
      </c>
      <c r="E6275" s="1" t="s">
        <v>37</v>
      </c>
      <c r="F6275" s="1">
        <v>389.32</v>
      </c>
      <c r="G6275" s="1">
        <v>-139.21</v>
      </c>
      <c r="H6275" s="1">
        <v>6.0</v>
      </c>
      <c r="I6275" s="1" t="s">
        <v>17</v>
      </c>
      <c r="J6275" s="1" t="s">
        <v>24</v>
      </c>
      <c r="K6275" s="1">
        <f t="shared" si="1"/>
        <v>2023</v>
      </c>
      <c r="L6275" s="1" t="str">
        <f t="shared" si="2"/>
        <v>Oct</v>
      </c>
      <c r="M6275" s="1" t="str">
        <f t="shared" si="3"/>
        <v>Loss</v>
      </c>
    </row>
    <row r="6276" ht="14.25" customHeight="1">
      <c r="A6276" s="1" t="s">
        <v>6310</v>
      </c>
      <c r="B6276" s="2">
        <v>45029.0</v>
      </c>
      <c r="C6276" s="1" t="s">
        <v>30</v>
      </c>
      <c r="D6276" s="1" t="s">
        <v>21</v>
      </c>
      <c r="E6276" s="1" t="s">
        <v>76</v>
      </c>
      <c r="F6276" s="1">
        <v>53.44</v>
      </c>
      <c r="G6276" s="1">
        <v>295.99</v>
      </c>
      <c r="H6276" s="1">
        <v>4.0</v>
      </c>
      <c r="I6276" s="1" t="s">
        <v>34</v>
      </c>
      <c r="J6276" s="1" t="s">
        <v>35</v>
      </c>
      <c r="K6276" s="1">
        <f t="shared" si="1"/>
        <v>2023</v>
      </c>
      <c r="L6276" s="1" t="str">
        <f t="shared" si="2"/>
        <v>Apr</v>
      </c>
      <c r="M6276" s="1" t="str">
        <f t="shared" si="3"/>
        <v>Profit</v>
      </c>
    </row>
    <row r="6277" ht="14.25" customHeight="1">
      <c r="A6277" s="1" t="s">
        <v>6311</v>
      </c>
      <c r="B6277" s="2">
        <v>45145.0</v>
      </c>
      <c r="C6277" s="1" t="s">
        <v>30</v>
      </c>
      <c r="D6277" s="1" t="s">
        <v>27</v>
      </c>
      <c r="E6277" s="1" t="s">
        <v>33</v>
      </c>
      <c r="F6277" s="1">
        <v>391.93</v>
      </c>
      <c r="G6277" s="1">
        <v>38.77</v>
      </c>
      <c r="H6277" s="1">
        <v>10.0</v>
      </c>
      <c r="I6277" s="1" t="s">
        <v>23</v>
      </c>
      <c r="J6277" s="1" t="s">
        <v>35</v>
      </c>
      <c r="K6277" s="1">
        <f t="shared" si="1"/>
        <v>2023</v>
      </c>
      <c r="L6277" s="1" t="str">
        <f t="shared" si="2"/>
        <v>Aug</v>
      </c>
      <c r="M6277" s="1" t="str">
        <f t="shared" si="3"/>
        <v>Profit</v>
      </c>
    </row>
    <row r="6278" ht="14.25" customHeight="1">
      <c r="A6278" s="1" t="s">
        <v>6312</v>
      </c>
      <c r="B6278" s="2">
        <v>44379.0</v>
      </c>
      <c r="C6278" s="1" t="s">
        <v>20</v>
      </c>
      <c r="D6278" s="1" t="s">
        <v>27</v>
      </c>
      <c r="E6278" s="1" t="s">
        <v>28</v>
      </c>
      <c r="F6278" s="1">
        <v>261.17</v>
      </c>
      <c r="G6278" s="1">
        <v>-66.46</v>
      </c>
      <c r="H6278" s="1">
        <v>7.0</v>
      </c>
      <c r="I6278" s="1" t="s">
        <v>34</v>
      </c>
      <c r="J6278" s="1" t="s">
        <v>35</v>
      </c>
      <c r="K6278" s="1">
        <f t="shared" si="1"/>
        <v>2021</v>
      </c>
      <c r="L6278" s="1" t="str">
        <f t="shared" si="2"/>
        <v>Jul</v>
      </c>
      <c r="M6278" s="1" t="str">
        <f t="shared" si="3"/>
        <v>Loss</v>
      </c>
    </row>
    <row r="6279" ht="14.25" customHeight="1">
      <c r="A6279" s="1" t="s">
        <v>6313</v>
      </c>
      <c r="B6279" s="2">
        <v>44277.0</v>
      </c>
      <c r="C6279" s="1" t="s">
        <v>14</v>
      </c>
      <c r="D6279" s="1" t="s">
        <v>27</v>
      </c>
      <c r="E6279" s="1" t="s">
        <v>28</v>
      </c>
      <c r="F6279" s="1">
        <v>61.91</v>
      </c>
      <c r="G6279" s="1">
        <v>45.53</v>
      </c>
      <c r="H6279" s="1">
        <v>3.0</v>
      </c>
      <c r="I6279" s="1" t="s">
        <v>23</v>
      </c>
      <c r="J6279" s="1" t="s">
        <v>38</v>
      </c>
      <c r="K6279" s="1">
        <f t="shared" si="1"/>
        <v>2021</v>
      </c>
      <c r="L6279" s="1" t="str">
        <f t="shared" si="2"/>
        <v>Mar</v>
      </c>
      <c r="M6279" s="1" t="str">
        <f t="shared" si="3"/>
        <v>Profit</v>
      </c>
    </row>
    <row r="6280" ht="14.25" customHeight="1">
      <c r="A6280" s="1" t="s">
        <v>6314</v>
      </c>
      <c r="B6280" s="2">
        <v>44419.0</v>
      </c>
      <c r="C6280" s="1" t="s">
        <v>14</v>
      </c>
      <c r="D6280" s="1" t="s">
        <v>21</v>
      </c>
      <c r="E6280" s="1" t="s">
        <v>22</v>
      </c>
      <c r="F6280" s="1">
        <v>533.41</v>
      </c>
      <c r="G6280" s="1">
        <v>117.66</v>
      </c>
      <c r="H6280" s="1">
        <v>6.0</v>
      </c>
      <c r="I6280" s="1" t="s">
        <v>23</v>
      </c>
      <c r="J6280" s="1" t="s">
        <v>35</v>
      </c>
      <c r="K6280" s="1">
        <f t="shared" si="1"/>
        <v>2021</v>
      </c>
      <c r="L6280" s="1" t="str">
        <f t="shared" si="2"/>
        <v>Aug</v>
      </c>
      <c r="M6280" s="1" t="str">
        <f t="shared" si="3"/>
        <v>Profit</v>
      </c>
    </row>
    <row r="6281" ht="14.25" customHeight="1">
      <c r="A6281" s="1" t="s">
        <v>6315</v>
      </c>
      <c r="B6281" s="2">
        <v>44760.0</v>
      </c>
      <c r="C6281" s="1" t="s">
        <v>26</v>
      </c>
      <c r="D6281" s="1" t="s">
        <v>21</v>
      </c>
      <c r="E6281" s="1" t="s">
        <v>37</v>
      </c>
      <c r="F6281" s="1">
        <v>182.15</v>
      </c>
      <c r="G6281" s="1">
        <v>-96.51</v>
      </c>
      <c r="H6281" s="1">
        <v>7.0</v>
      </c>
      <c r="I6281" s="1" t="s">
        <v>23</v>
      </c>
      <c r="J6281" s="1" t="s">
        <v>24</v>
      </c>
      <c r="K6281" s="1">
        <f t="shared" si="1"/>
        <v>2022</v>
      </c>
      <c r="L6281" s="1" t="str">
        <f t="shared" si="2"/>
        <v>Jul</v>
      </c>
      <c r="M6281" s="1" t="str">
        <f t="shared" si="3"/>
        <v>Loss</v>
      </c>
    </row>
    <row r="6282" ht="14.25" customHeight="1">
      <c r="A6282" s="1" t="s">
        <v>6316</v>
      </c>
      <c r="B6282" s="2">
        <v>44550.0</v>
      </c>
      <c r="C6282" s="1" t="s">
        <v>30</v>
      </c>
      <c r="D6282" s="1" t="s">
        <v>21</v>
      </c>
      <c r="E6282" s="1" t="s">
        <v>22</v>
      </c>
      <c r="F6282" s="1">
        <v>817.49</v>
      </c>
      <c r="G6282" s="1">
        <v>-88.18</v>
      </c>
      <c r="H6282" s="1">
        <v>1.0</v>
      </c>
      <c r="I6282" s="1" t="s">
        <v>23</v>
      </c>
      <c r="J6282" s="1" t="s">
        <v>35</v>
      </c>
      <c r="K6282" s="1">
        <f t="shared" si="1"/>
        <v>2021</v>
      </c>
      <c r="L6282" s="1" t="str">
        <f t="shared" si="2"/>
        <v>Dec</v>
      </c>
      <c r="M6282" s="1" t="str">
        <f t="shared" si="3"/>
        <v>Loss</v>
      </c>
    </row>
    <row r="6283" ht="14.25" customHeight="1">
      <c r="A6283" s="1" t="s">
        <v>6317</v>
      </c>
      <c r="B6283" s="2">
        <v>44674.0</v>
      </c>
      <c r="C6283" s="1" t="s">
        <v>14</v>
      </c>
      <c r="D6283" s="1" t="s">
        <v>15</v>
      </c>
      <c r="E6283" s="1" t="s">
        <v>31</v>
      </c>
      <c r="F6283" s="1">
        <v>327.02</v>
      </c>
      <c r="G6283" s="1">
        <v>238.29</v>
      </c>
      <c r="H6283" s="1">
        <v>9.0</v>
      </c>
      <c r="I6283" s="1" t="s">
        <v>17</v>
      </c>
      <c r="J6283" s="1" t="s">
        <v>35</v>
      </c>
      <c r="K6283" s="1">
        <f t="shared" si="1"/>
        <v>2022</v>
      </c>
      <c r="L6283" s="1" t="str">
        <f t="shared" si="2"/>
        <v>Apr</v>
      </c>
      <c r="M6283" s="1" t="str">
        <f t="shared" si="3"/>
        <v>Profit</v>
      </c>
    </row>
    <row r="6284" ht="14.25" customHeight="1">
      <c r="A6284" s="1" t="s">
        <v>6318</v>
      </c>
      <c r="B6284" s="2">
        <v>44925.0</v>
      </c>
      <c r="C6284" s="1" t="s">
        <v>30</v>
      </c>
      <c r="D6284" s="1" t="s">
        <v>21</v>
      </c>
      <c r="E6284" s="1" t="s">
        <v>37</v>
      </c>
      <c r="F6284" s="1">
        <v>23.43</v>
      </c>
      <c r="G6284" s="1">
        <v>283.18</v>
      </c>
      <c r="H6284" s="1">
        <v>6.0</v>
      </c>
      <c r="I6284" s="1" t="s">
        <v>23</v>
      </c>
      <c r="J6284" s="1" t="s">
        <v>24</v>
      </c>
      <c r="K6284" s="1">
        <f t="shared" si="1"/>
        <v>2022</v>
      </c>
      <c r="L6284" s="1" t="str">
        <f t="shared" si="2"/>
        <v>Dec</v>
      </c>
      <c r="M6284" s="1" t="str">
        <f t="shared" si="3"/>
        <v>Profit</v>
      </c>
    </row>
    <row r="6285" ht="14.25" customHeight="1">
      <c r="A6285" s="1" t="s">
        <v>6319</v>
      </c>
      <c r="B6285" s="2">
        <v>44208.0</v>
      </c>
      <c r="C6285" s="1" t="s">
        <v>26</v>
      </c>
      <c r="D6285" s="1" t="s">
        <v>27</v>
      </c>
      <c r="E6285" s="1" t="s">
        <v>28</v>
      </c>
      <c r="F6285" s="1">
        <v>73.39</v>
      </c>
      <c r="G6285" s="1">
        <v>220.91</v>
      </c>
      <c r="H6285" s="1">
        <v>2.0</v>
      </c>
      <c r="I6285" s="1" t="s">
        <v>17</v>
      </c>
      <c r="J6285" s="1" t="s">
        <v>18</v>
      </c>
      <c r="K6285" s="1">
        <f t="shared" si="1"/>
        <v>2021</v>
      </c>
      <c r="L6285" s="1" t="str">
        <f t="shared" si="2"/>
        <v>Jan</v>
      </c>
      <c r="M6285" s="1" t="str">
        <f t="shared" si="3"/>
        <v>Profit</v>
      </c>
    </row>
    <row r="6286" ht="14.25" customHeight="1">
      <c r="A6286" s="1" t="s">
        <v>6320</v>
      </c>
      <c r="B6286" s="2">
        <v>45031.0</v>
      </c>
      <c r="C6286" s="1" t="s">
        <v>14</v>
      </c>
      <c r="D6286" s="1" t="s">
        <v>15</v>
      </c>
      <c r="E6286" s="1" t="s">
        <v>31</v>
      </c>
      <c r="F6286" s="1">
        <v>132.26</v>
      </c>
      <c r="G6286" s="1">
        <v>-102.18</v>
      </c>
      <c r="H6286" s="1">
        <v>7.0</v>
      </c>
      <c r="I6286" s="1" t="s">
        <v>23</v>
      </c>
      <c r="J6286" s="1" t="s">
        <v>24</v>
      </c>
      <c r="K6286" s="1">
        <f t="shared" si="1"/>
        <v>2023</v>
      </c>
      <c r="L6286" s="1" t="str">
        <f t="shared" si="2"/>
        <v>Apr</v>
      </c>
      <c r="M6286" s="1" t="str">
        <f t="shared" si="3"/>
        <v>Loss</v>
      </c>
    </row>
    <row r="6287" ht="14.25" customHeight="1">
      <c r="A6287" s="1" t="s">
        <v>6321</v>
      </c>
      <c r="B6287" s="2">
        <v>45026.0</v>
      </c>
      <c r="C6287" s="1" t="s">
        <v>30</v>
      </c>
      <c r="D6287" s="1" t="s">
        <v>27</v>
      </c>
      <c r="E6287" s="1" t="s">
        <v>33</v>
      </c>
      <c r="F6287" s="1">
        <v>542.41</v>
      </c>
      <c r="G6287" s="1">
        <v>292.9</v>
      </c>
      <c r="H6287" s="1">
        <v>1.0</v>
      </c>
      <c r="I6287" s="1" t="s">
        <v>23</v>
      </c>
      <c r="J6287" s="1" t="s">
        <v>35</v>
      </c>
      <c r="K6287" s="1">
        <f t="shared" si="1"/>
        <v>2023</v>
      </c>
      <c r="L6287" s="1" t="str">
        <f t="shared" si="2"/>
        <v>Apr</v>
      </c>
      <c r="M6287" s="1" t="str">
        <f t="shared" si="3"/>
        <v>Profit</v>
      </c>
    </row>
    <row r="6288" ht="14.25" customHeight="1">
      <c r="A6288" s="1" t="s">
        <v>6322</v>
      </c>
      <c r="B6288" s="2">
        <v>44375.0</v>
      </c>
      <c r="C6288" s="1" t="s">
        <v>30</v>
      </c>
      <c r="D6288" s="1" t="s">
        <v>27</v>
      </c>
      <c r="E6288" s="1" t="s">
        <v>33</v>
      </c>
      <c r="F6288" s="1">
        <v>702.78</v>
      </c>
      <c r="G6288" s="1">
        <v>175.82</v>
      </c>
      <c r="H6288" s="1">
        <v>6.0</v>
      </c>
      <c r="I6288" s="1" t="s">
        <v>34</v>
      </c>
      <c r="J6288" s="1" t="s">
        <v>24</v>
      </c>
      <c r="K6288" s="1">
        <f t="shared" si="1"/>
        <v>2021</v>
      </c>
      <c r="L6288" s="1" t="str">
        <f t="shared" si="2"/>
        <v>Jun</v>
      </c>
      <c r="M6288" s="1" t="str">
        <f t="shared" si="3"/>
        <v>Profit</v>
      </c>
    </row>
    <row r="6289" ht="14.25" customHeight="1">
      <c r="A6289" s="1" t="s">
        <v>6323</v>
      </c>
      <c r="B6289" s="2">
        <v>44800.0</v>
      </c>
      <c r="C6289" s="1" t="s">
        <v>14</v>
      </c>
      <c r="D6289" s="1" t="s">
        <v>21</v>
      </c>
      <c r="E6289" s="1" t="s">
        <v>37</v>
      </c>
      <c r="F6289" s="1">
        <v>813.66</v>
      </c>
      <c r="G6289" s="1">
        <v>89.83</v>
      </c>
      <c r="H6289" s="1">
        <v>8.0</v>
      </c>
      <c r="I6289" s="1" t="s">
        <v>23</v>
      </c>
      <c r="J6289" s="1" t="s">
        <v>24</v>
      </c>
      <c r="K6289" s="1">
        <f t="shared" si="1"/>
        <v>2022</v>
      </c>
      <c r="L6289" s="1" t="str">
        <f t="shared" si="2"/>
        <v>Aug</v>
      </c>
      <c r="M6289" s="1" t="str">
        <f t="shared" si="3"/>
        <v>Profit</v>
      </c>
    </row>
    <row r="6290" ht="14.25" customHeight="1">
      <c r="A6290" s="1" t="s">
        <v>6324</v>
      </c>
      <c r="B6290" s="2">
        <v>44568.0</v>
      </c>
      <c r="C6290" s="1" t="s">
        <v>26</v>
      </c>
      <c r="D6290" s="1" t="s">
        <v>27</v>
      </c>
      <c r="E6290" s="1" t="s">
        <v>40</v>
      </c>
      <c r="F6290" s="1">
        <v>411.1</v>
      </c>
      <c r="G6290" s="1">
        <v>292.36</v>
      </c>
      <c r="H6290" s="1">
        <v>3.0</v>
      </c>
      <c r="I6290" s="1" t="s">
        <v>34</v>
      </c>
      <c r="J6290" s="1" t="s">
        <v>18</v>
      </c>
      <c r="K6290" s="1">
        <f t="shared" si="1"/>
        <v>2022</v>
      </c>
      <c r="L6290" s="1" t="str">
        <f t="shared" si="2"/>
        <v>Jan</v>
      </c>
      <c r="M6290" s="1" t="str">
        <f t="shared" si="3"/>
        <v>Profit</v>
      </c>
    </row>
    <row r="6291" ht="14.25" customHeight="1">
      <c r="A6291" s="1" t="s">
        <v>6325</v>
      </c>
      <c r="B6291" s="2">
        <v>44763.0</v>
      </c>
      <c r="C6291" s="1" t="s">
        <v>14</v>
      </c>
      <c r="D6291" s="1" t="s">
        <v>15</v>
      </c>
      <c r="E6291" s="1" t="s">
        <v>54</v>
      </c>
      <c r="F6291" s="1">
        <v>420.16</v>
      </c>
      <c r="G6291" s="1">
        <v>41.05</v>
      </c>
      <c r="H6291" s="1">
        <v>9.0</v>
      </c>
      <c r="I6291" s="1" t="s">
        <v>17</v>
      </c>
      <c r="J6291" s="1" t="s">
        <v>18</v>
      </c>
      <c r="K6291" s="1">
        <f t="shared" si="1"/>
        <v>2022</v>
      </c>
      <c r="L6291" s="1" t="str">
        <f t="shared" si="2"/>
        <v>Jul</v>
      </c>
      <c r="M6291" s="1" t="str">
        <f t="shared" si="3"/>
        <v>Profit</v>
      </c>
    </row>
    <row r="6292" ht="14.25" customHeight="1">
      <c r="A6292" s="1" t="s">
        <v>6326</v>
      </c>
      <c r="B6292" s="2">
        <v>44834.0</v>
      </c>
      <c r="C6292" s="1" t="s">
        <v>14</v>
      </c>
      <c r="D6292" s="1" t="s">
        <v>21</v>
      </c>
      <c r="E6292" s="1" t="s">
        <v>37</v>
      </c>
      <c r="F6292" s="1">
        <v>511.54</v>
      </c>
      <c r="G6292" s="1">
        <v>218.53</v>
      </c>
      <c r="H6292" s="1">
        <v>1.0</v>
      </c>
      <c r="I6292" s="1" t="s">
        <v>23</v>
      </c>
      <c r="J6292" s="1" t="s">
        <v>35</v>
      </c>
      <c r="K6292" s="1">
        <f t="shared" si="1"/>
        <v>2022</v>
      </c>
      <c r="L6292" s="1" t="str">
        <f t="shared" si="2"/>
        <v>Sep</v>
      </c>
      <c r="M6292" s="1" t="str">
        <f t="shared" si="3"/>
        <v>Profit</v>
      </c>
    </row>
    <row r="6293" ht="14.25" customHeight="1">
      <c r="A6293" s="1" t="s">
        <v>6327</v>
      </c>
      <c r="B6293" s="2">
        <v>45265.0</v>
      </c>
      <c r="C6293" s="1" t="s">
        <v>14</v>
      </c>
      <c r="D6293" s="1" t="s">
        <v>15</v>
      </c>
      <c r="E6293" s="1" t="s">
        <v>54</v>
      </c>
      <c r="F6293" s="1">
        <v>141.03</v>
      </c>
      <c r="G6293" s="1">
        <v>158.45</v>
      </c>
      <c r="H6293" s="1">
        <v>9.0</v>
      </c>
      <c r="I6293" s="1" t="s">
        <v>17</v>
      </c>
      <c r="J6293" s="1" t="s">
        <v>18</v>
      </c>
      <c r="K6293" s="1">
        <f t="shared" si="1"/>
        <v>2023</v>
      </c>
      <c r="L6293" s="1" t="str">
        <f t="shared" si="2"/>
        <v>Dec</v>
      </c>
      <c r="M6293" s="1" t="str">
        <f t="shared" si="3"/>
        <v>Profit</v>
      </c>
    </row>
    <row r="6294" ht="14.25" customHeight="1">
      <c r="A6294" s="1" t="s">
        <v>6328</v>
      </c>
      <c r="B6294" s="2">
        <v>44638.0</v>
      </c>
      <c r="C6294" s="1" t="s">
        <v>20</v>
      </c>
      <c r="D6294" s="1" t="s">
        <v>27</v>
      </c>
      <c r="E6294" s="1" t="s">
        <v>40</v>
      </c>
      <c r="F6294" s="1">
        <v>67.01</v>
      </c>
      <c r="G6294" s="1">
        <v>79.95</v>
      </c>
      <c r="H6294" s="1">
        <v>4.0</v>
      </c>
      <c r="I6294" s="1" t="s">
        <v>34</v>
      </c>
      <c r="J6294" s="1" t="s">
        <v>38</v>
      </c>
      <c r="K6294" s="1">
        <f t="shared" si="1"/>
        <v>2022</v>
      </c>
      <c r="L6294" s="1" t="str">
        <f t="shared" si="2"/>
        <v>Mar</v>
      </c>
      <c r="M6294" s="1" t="str">
        <f t="shared" si="3"/>
        <v>Profit</v>
      </c>
    </row>
    <row r="6295" ht="14.25" customHeight="1">
      <c r="A6295" s="1" t="s">
        <v>6329</v>
      </c>
      <c r="B6295" s="2">
        <v>44607.0</v>
      </c>
      <c r="C6295" s="1" t="s">
        <v>30</v>
      </c>
      <c r="D6295" s="1" t="s">
        <v>27</v>
      </c>
      <c r="E6295" s="1" t="s">
        <v>40</v>
      </c>
      <c r="F6295" s="1">
        <v>132.4</v>
      </c>
      <c r="G6295" s="1">
        <v>-156.02</v>
      </c>
      <c r="H6295" s="1">
        <v>5.0</v>
      </c>
      <c r="I6295" s="1" t="s">
        <v>23</v>
      </c>
      <c r="J6295" s="1" t="s">
        <v>35</v>
      </c>
      <c r="K6295" s="1">
        <f t="shared" si="1"/>
        <v>2022</v>
      </c>
      <c r="L6295" s="1" t="str">
        <f t="shared" si="2"/>
        <v>Feb</v>
      </c>
      <c r="M6295" s="1" t="str">
        <f t="shared" si="3"/>
        <v>Loss</v>
      </c>
    </row>
    <row r="6296" ht="14.25" customHeight="1">
      <c r="A6296" s="1" t="s">
        <v>6330</v>
      </c>
      <c r="B6296" s="2">
        <v>44360.0</v>
      </c>
      <c r="C6296" s="1" t="s">
        <v>30</v>
      </c>
      <c r="D6296" s="1" t="s">
        <v>21</v>
      </c>
      <c r="E6296" s="1" t="s">
        <v>76</v>
      </c>
      <c r="F6296" s="1">
        <v>295.17</v>
      </c>
      <c r="G6296" s="1">
        <v>14.79</v>
      </c>
      <c r="H6296" s="1">
        <v>9.0</v>
      </c>
      <c r="I6296" s="1" t="s">
        <v>17</v>
      </c>
      <c r="J6296" s="1" t="s">
        <v>35</v>
      </c>
      <c r="K6296" s="1">
        <f t="shared" si="1"/>
        <v>2021</v>
      </c>
      <c r="L6296" s="1" t="str">
        <f t="shared" si="2"/>
        <v>Jun</v>
      </c>
      <c r="M6296" s="1" t="str">
        <f t="shared" si="3"/>
        <v>Profit</v>
      </c>
    </row>
    <row r="6297" ht="14.25" customHeight="1">
      <c r="A6297" s="1" t="s">
        <v>6331</v>
      </c>
      <c r="B6297" s="2">
        <v>44826.0</v>
      </c>
      <c r="C6297" s="1" t="s">
        <v>30</v>
      </c>
      <c r="D6297" s="1" t="s">
        <v>21</v>
      </c>
      <c r="E6297" s="1" t="s">
        <v>22</v>
      </c>
      <c r="F6297" s="1">
        <v>802.21</v>
      </c>
      <c r="G6297" s="1">
        <v>196.79</v>
      </c>
      <c r="H6297" s="1">
        <v>3.0</v>
      </c>
      <c r="I6297" s="1" t="s">
        <v>17</v>
      </c>
      <c r="J6297" s="1" t="s">
        <v>24</v>
      </c>
      <c r="K6297" s="1">
        <f t="shared" si="1"/>
        <v>2022</v>
      </c>
      <c r="L6297" s="1" t="str">
        <f t="shared" si="2"/>
        <v>Sep</v>
      </c>
      <c r="M6297" s="1" t="str">
        <f t="shared" si="3"/>
        <v>Profit</v>
      </c>
    </row>
    <row r="6298" ht="14.25" customHeight="1">
      <c r="A6298" s="1" t="s">
        <v>6332</v>
      </c>
      <c r="B6298" s="2">
        <v>44350.0</v>
      </c>
      <c r="C6298" s="1" t="s">
        <v>26</v>
      </c>
      <c r="D6298" s="1" t="s">
        <v>27</v>
      </c>
      <c r="E6298" s="1" t="s">
        <v>33</v>
      </c>
      <c r="F6298" s="1">
        <v>521.54</v>
      </c>
      <c r="G6298" s="1">
        <v>252.56</v>
      </c>
      <c r="H6298" s="1">
        <v>4.0</v>
      </c>
      <c r="I6298" s="1" t="s">
        <v>34</v>
      </c>
      <c r="J6298" s="1" t="s">
        <v>24</v>
      </c>
      <c r="K6298" s="1">
        <f t="shared" si="1"/>
        <v>2021</v>
      </c>
      <c r="L6298" s="1" t="str">
        <f t="shared" si="2"/>
        <v>Jun</v>
      </c>
      <c r="M6298" s="1" t="str">
        <f t="shared" si="3"/>
        <v>Profit</v>
      </c>
    </row>
    <row r="6299" ht="14.25" customHeight="1">
      <c r="A6299" s="1" t="s">
        <v>6333</v>
      </c>
      <c r="B6299" s="2">
        <v>44236.0</v>
      </c>
      <c r="C6299" s="1" t="s">
        <v>14</v>
      </c>
      <c r="D6299" s="1" t="s">
        <v>21</v>
      </c>
      <c r="E6299" s="1" t="s">
        <v>37</v>
      </c>
      <c r="F6299" s="1">
        <v>190.29</v>
      </c>
      <c r="G6299" s="1">
        <v>-136.31</v>
      </c>
      <c r="H6299" s="1">
        <v>5.0</v>
      </c>
      <c r="I6299" s="1" t="s">
        <v>17</v>
      </c>
      <c r="J6299" s="1" t="s">
        <v>24</v>
      </c>
      <c r="K6299" s="1">
        <f t="shared" si="1"/>
        <v>2021</v>
      </c>
      <c r="L6299" s="1" t="str">
        <f t="shared" si="2"/>
        <v>Feb</v>
      </c>
      <c r="M6299" s="1" t="str">
        <f t="shared" si="3"/>
        <v>Loss</v>
      </c>
    </row>
    <row r="6300" ht="14.25" customHeight="1">
      <c r="A6300" s="1" t="s">
        <v>6334</v>
      </c>
      <c r="B6300" s="2">
        <v>45048.0</v>
      </c>
      <c r="C6300" s="1" t="s">
        <v>14</v>
      </c>
      <c r="D6300" s="1" t="s">
        <v>27</v>
      </c>
      <c r="E6300" s="1" t="s">
        <v>28</v>
      </c>
      <c r="F6300" s="1">
        <v>604.69</v>
      </c>
      <c r="G6300" s="1">
        <v>58.74</v>
      </c>
      <c r="H6300" s="1">
        <v>10.0</v>
      </c>
      <c r="I6300" s="1" t="s">
        <v>23</v>
      </c>
      <c r="J6300" s="1" t="s">
        <v>38</v>
      </c>
      <c r="K6300" s="1">
        <f t="shared" si="1"/>
        <v>2023</v>
      </c>
      <c r="L6300" s="1" t="str">
        <f t="shared" si="2"/>
        <v>May</v>
      </c>
      <c r="M6300" s="1" t="str">
        <f t="shared" si="3"/>
        <v>Profit</v>
      </c>
    </row>
    <row r="6301" ht="14.25" customHeight="1">
      <c r="A6301" s="1" t="s">
        <v>6335</v>
      </c>
      <c r="B6301" s="2">
        <v>44995.0</v>
      </c>
      <c r="C6301" s="1" t="s">
        <v>14</v>
      </c>
      <c r="D6301" s="1" t="s">
        <v>21</v>
      </c>
      <c r="E6301" s="1" t="s">
        <v>22</v>
      </c>
      <c r="F6301" s="1">
        <v>713.35</v>
      </c>
      <c r="G6301" s="1">
        <v>-55.3</v>
      </c>
      <c r="H6301" s="1">
        <v>10.0</v>
      </c>
      <c r="I6301" s="1" t="s">
        <v>23</v>
      </c>
      <c r="J6301" s="1" t="s">
        <v>35</v>
      </c>
      <c r="K6301" s="1">
        <f t="shared" si="1"/>
        <v>2023</v>
      </c>
      <c r="L6301" s="1" t="str">
        <f t="shared" si="2"/>
        <v>Mar</v>
      </c>
      <c r="M6301" s="1" t="str">
        <f t="shared" si="3"/>
        <v>Loss</v>
      </c>
    </row>
    <row r="6302" ht="14.25" customHeight="1">
      <c r="A6302" s="1" t="s">
        <v>6336</v>
      </c>
      <c r="B6302" s="2">
        <v>44206.0</v>
      </c>
      <c r="C6302" s="1" t="s">
        <v>26</v>
      </c>
      <c r="D6302" s="1" t="s">
        <v>21</v>
      </c>
      <c r="E6302" s="1" t="s">
        <v>37</v>
      </c>
      <c r="F6302" s="1">
        <v>427.59</v>
      </c>
      <c r="G6302" s="1">
        <v>262.65</v>
      </c>
      <c r="H6302" s="1">
        <v>5.0</v>
      </c>
      <c r="I6302" s="1" t="s">
        <v>34</v>
      </c>
      <c r="J6302" s="1" t="s">
        <v>35</v>
      </c>
      <c r="K6302" s="1">
        <f t="shared" si="1"/>
        <v>2021</v>
      </c>
      <c r="L6302" s="1" t="str">
        <f t="shared" si="2"/>
        <v>Jan</v>
      </c>
      <c r="M6302" s="1" t="str">
        <f t="shared" si="3"/>
        <v>Profit</v>
      </c>
    </row>
    <row r="6303" ht="14.25" customHeight="1">
      <c r="A6303" s="1" t="s">
        <v>6337</v>
      </c>
      <c r="B6303" s="2">
        <v>44254.0</v>
      </c>
      <c r="C6303" s="1" t="s">
        <v>20</v>
      </c>
      <c r="D6303" s="1" t="s">
        <v>15</v>
      </c>
      <c r="E6303" s="1" t="s">
        <v>31</v>
      </c>
      <c r="F6303" s="1">
        <v>403.35</v>
      </c>
      <c r="G6303" s="1">
        <v>-88.51</v>
      </c>
      <c r="H6303" s="1">
        <v>8.0</v>
      </c>
      <c r="I6303" s="1" t="s">
        <v>17</v>
      </c>
      <c r="J6303" s="1" t="s">
        <v>24</v>
      </c>
      <c r="K6303" s="1">
        <f t="shared" si="1"/>
        <v>2021</v>
      </c>
      <c r="L6303" s="1" t="str">
        <f t="shared" si="2"/>
        <v>Feb</v>
      </c>
      <c r="M6303" s="1" t="str">
        <f t="shared" si="3"/>
        <v>Loss</v>
      </c>
    </row>
    <row r="6304" ht="14.25" customHeight="1">
      <c r="A6304" s="1" t="s">
        <v>6338</v>
      </c>
      <c r="B6304" s="2">
        <v>44773.0</v>
      </c>
      <c r="C6304" s="1" t="s">
        <v>20</v>
      </c>
      <c r="D6304" s="1" t="s">
        <v>27</v>
      </c>
      <c r="E6304" s="1" t="s">
        <v>28</v>
      </c>
      <c r="F6304" s="1">
        <v>853.74</v>
      </c>
      <c r="G6304" s="1">
        <v>94.35</v>
      </c>
      <c r="H6304" s="1">
        <v>9.0</v>
      </c>
      <c r="I6304" s="1" t="s">
        <v>34</v>
      </c>
      <c r="J6304" s="1" t="s">
        <v>18</v>
      </c>
      <c r="K6304" s="1">
        <f t="shared" si="1"/>
        <v>2022</v>
      </c>
      <c r="L6304" s="1" t="str">
        <f t="shared" si="2"/>
        <v>Jul</v>
      </c>
      <c r="M6304" s="1" t="str">
        <f t="shared" si="3"/>
        <v>Profit</v>
      </c>
    </row>
    <row r="6305" ht="14.25" customHeight="1">
      <c r="A6305" s="1" t="s">
        <v>6339</v>
      </c>
      <c r="B6305" s="2">
        <v>44740.0</v>
      </c>
      <c r="C6305" s="1" t="s">
        <v>20</v>
      </c>
      <c r="D6305" s="1" t="s">
        <v>15</v>
      </c>
      <c r="E6305" s="1" t="s">
        <v>31</v>
      </c>
      <c r="F6305" s="1">
        <v>617.34</v>
      </c>
      <c r="G6305" s="1">
        <v>189.37</v>
      </c>
      <c r="H6305" s="1">
        <v>8.0</v>
      </c>
      <c r="I6305" s="1" t="s">
        <v>34</v>
      </c>
      <c r="J6305" s="1" t="s">
        <v>18</v>
      </c>
      <c r="K6305" s="1">
        <f t="shared" si="1"/>
        <v>2022</v>
      </c>
      <c r="L6305" s="1" t="str">
        <f t="shared" si="2"/>
        <v>Jun</v>
      </c>
      <c r="M6305" s="1" t="str">
        <f t="shared" si="3"/>
        <v>Profit</v>
      </c>
    </row>
    <row r="6306" ht="14.25" customHeight="1">
      <c r="A6306" s="1" t="s">
        <v>6340</v>
      </c>
      <c r="B6306" s="2">
        <v>44318.0</v>
      </c>
      <c r="C6306" s="1" t="s">
        <v>14</v>
      </c>
      <c r="D6306" s="1" t="s">
        <v>15</v>
      </c>
      <c r="E6306" s="1" t="s">
        <v>16</v>
      </c>
      <c r="F6306" s="1">
        <v>867.09</v>
      </c>
      <c r="G6306" s="1">
        <v>70.32</v>
      </c>
      <c r="H6306" s="1">
        <v>5.0</v>
      </c>
      <c r="I6306" s="1" t="s">
        <v>17</v>
      </c>
      <c r="J6306" s="1" t="s">
        <v>18</v>
      </c>
      <c r="K6306" s="1">
        <f t="shared" si="1"/>
        <v>2021</v>
      </c>
      <c r="L6306" s="1" t="str">
        <f t="shared" si="2"/>
        <v>May</v>
      </c>
      <c r="M6306" s="1" t="str">
        <f t="shared" si="3"/>
        <v>Profit</v>
      </c>
    </row>
    <row r="6307" ht="14.25" customHeight="1">
      <c r="A6307" s="1" t="s">
        <v>6341</v>
      </c>
      <c r="B6307" s="2">
        <v>44932.0</v>
      </c>
      <c r="C6307" s="1" t="s">
        <v>26</v>
      </c>
      <c r="D6307" s="1" t="s">
        <v>21</v>
      </c>
      <c r="E6307" s="1" t="s">
        <v>76</v>
      </c>
      <c r="F6307" s="1">
        <v>534.06</v>
      </c>
      <c r="G6307" s="1">
        <v>274.05</v>
      </c>
      <c r="H6307" s="1">
        <v>2.0</v>
      </c>
      <c r="I6307" s="1" t="s">
        <v>17</v>
      </c>
      <c r="J6307" s="1" t="s">
        <v>38</v>
      </c>
      <c r="K6307" s="1">
        <f t="shared" si="1"/>
        <v>2023</v>
      </c>
      <c r="L6307" s="1" t="str">
        <f t="shared" si="2"/>
        <v>Jan</v>
      </c>
      <c r="M6307" s="1" t="str">
        <f t="shared" si="3"/>
        <v>Profit</v>
      </c>
    </row>
    <row r="6308" ht="14.25" customHeight="1">
      <c r="A6308" s="1" t="s">
        <v>6342</v>
      </c>
      <c r="B6308" s="2">
        <v>44633.0</v>
      </c>
      <c r="C6308" s="1" t="s">
        <v>20</v>
      </c>
      <c r="D6308" s="1" t="s">
        <v>21</v>
      </c>
      <c r="E6308" s="1" t="s">
        <v>37</v>
      </c>
      <c r="F6308" s="1">
        <v>162.55</v>
      </c>
      <c r="G6308" s="1">
        <v>-50.93</v>
      </c>
      <c r="H6308" s="1">
        <v>6.0</v>
      </c>
      <c r="I6308" s="1" t="s">
        <v>23</v>
      </c>
      <c r="J6308" s="1" t="s">
        <v>18</v>
      </c>
      <c r="K6308" s="1">
        <f t="shared" si="1"/>
        <v>2022</v>
      </c>
      <c r="L6308" s="1" t="str">
        <f t="shared" si="2"/>
        <v>Mar</v>
      </c>
      <c r="M6308" s="1" t="str">
        <f t="shared" si="3"/>
        <v>Loss</v>
      </c>
    </row>
    <row r="6309" ht="14.25" customHeight="1">
      <c r="A6309" s="1" t="s">
        <v>6343</v>
      </c>
      <c r="B6309" s="2">
        <v>44638.0</v>
      </c>
      <c r="C6309" s="1" t="s">
        <v>26</v>
      </c>
      <c r="D6309" s="1" t="s">
        <v>21</v>
      </c>
      <c r="E6309" s="1" t="s">
        <v>76</v>
      </c>
      <c r="F6309" s="1">
        <v>704.06</v>
      </c>
      <c r="G6309" s="1">
        <v>-132.26</v>
      </c>
      <c r="H6309" s="1">
        <v>2.0</v>
      </c>
      <c r="I6309" s="1" t="s">
        <v>34</v>
      </c>
      <c r="J6309" s="1" t="s">
        <v>24</v>
      </c>
      <c r="K6309" s="1">
        <f t="shared" si="1"/>
        <v>2022</v>
      </c>
      <c r="L6309" s="1" t="str">
        <f t="shared" si="2"/>
        <v>Mar</v>
      </c>
      <c r="M6309" s="1" t="str">
        <f t="shared" si="3"/>
        <v>Loss</v>
      </c>
    </row>
    <row r="6310" ht="14.25" customHeight="1">
      <c r="A6310" s="1" t="s">
        <v>6344</v>
      </c>
      <c r="B6310" s="2">
        <v>44777.0</v>
      </c>
      <c r="C6310" s="1" t="s">
        <v>14</v>
      </c>
      <c r="D6310" s="1" t="s">
        <v>27</v>
      </c>
      <c r="E6310" s="1" t="s">
        <v>40</v>
      </c>
      <c r="F6310" s="1">
        <v>86.5</v>
      </c>
      <c r="G6310" s="1">
        <v>185.31</v>
      </c>
      <c r="H6310" s="1">
        <v>1.0</v>
      </c>
      <c r="I6310" s="1" t="s">
        <v>23</v>
      </c>
      <c r="J6310" s="1" t="s">
        <v>24</v>
      </c>
      <c r="K6310" s="1">
        <f t="shared" si="1"/>
        <v>2022</v>
      </c>
      <c r="L6310" s="1" t="str">
        <f t="shared" si="2"/>
        <v>Aug</v>
      </c>
      <c r="M6310" s="1" t="str">
        <f t="shared" si="3"/>
        <v>Profit</v>
      </c>
    </row>
    <row r="6311" ht="14.25" customHeight="1">
      <c r="A6311" s="1" t="s">
        <v>6345</v>
      </c>
      <c r="B6311" s="2">
        <v>45192.0</v>
      </c>
      <c r="C6311" s="1" t="s">
        <v>20</v>
      </c>
      <c r="D6311" s="1" t="s">
        <v>15</v>
      </c>
      <c r="E6311" s="1" t="s">
        <v>16</v>
      </c>
      <c r="F6311" s="1">
        <v>651.63</v>
      </c>
      <c r="G6311" s="1">
        <v>-26.74</v>
      </c>
      <c r="H6311" s="1">
        <v>1.0</v>
      </c>
      <c r="I6311" s="1" t="s">
        <v>34</v>
      </c>
      <c r="J6311" s="1" t="s">
        <v>24</v>
      </c>
      <c r="K6311" s="1">
        <f t="shared" si="1"/>
        <v>2023</v>
      </c>
      <c r="L6311" s="1" t="str">
        <f t="shared" si="2"/>
        <v>Sep</v>
      </c>
      <c r="M6311" s="1" t="str">
        <f t="shared" si="3"/>
        <v>Loss</v>
      </c>
    </row>
    <row r="6312" ht="14.25" customHeight="1">
      <c r="A6312" s="1" t="s">
        <v>6346</v>
      </c>
      <c r="B6312" s="2">
        <v>44385.0</v>
      </c>
      <c r="C6312" s="1" t="s">
        <v>26</v>
      </c>
      <c r="D6312" s="1" t="s">
        <v>15</v>
      </c>
      <c r="E6312" s="1" t="s">
        <v>31</v>
      </c>
      <c r="F6312" s="1">
        <v>555.36</v>
      </c>
      <c r="G6312" s="1">
        <v>-130.01</v>
      </c>
      <c r="H6312" s="1">
        <v>4.0</v>
      </c>
      <c r="I6312" s="1" t="s">
        <v>34</v>
      </c>
      <c r="J6312" s="1" t="s">
        <v>24</v>
      </c>
      <c r="K6312" s="1">
        <f t="shared" si="1"/>
        <v>2021</v>
      </c>
      <c r="L6312" s="1" t="str">
        <f t="shared" si="2"/>
        <v>Jul</v>
      </c>
      <c r="M6312" s="1" t="str">
        <f t="shared" si="3"/>
        <v>Loss</v>
      </c>
    </row>
    <row r="6313" ht="14.25" customHeight="1">
      <c r="A6313" s="1" t="s">
        <v>6347</v>
      </c>
      <c r="B6313" s="2">
        <v>44971.0</v>
      </c>
      <c r="C6313" s="1" t="s">
        <v>30</v>
      </c>
      <c r="D6313" s="1" t="s">
        <v>27</v>
      </c>
      <c r="E6313" s="1" t="s">
        <v>28</v>
      </c>
      <c r="F6313" s="1">
        <v>927.42</v>
      </c>
      <c r="G6313" s="1">
        <v>-141.33</v>
      </c>
      <c r="H6313" s="1">
        <v>10.0</v>
      </c>
      <c r="I6313" s="1" t="s">
        <v>34</v>
      </c>
      <c r="J6313" s="1" t="s">
        <v>24</v>
      </c>
      <c r="K6313" s="1">
        <f t="shared" si="1"/>
        <v>2023</v>
      </c>
      <c r="L6313" s="1" t="str">
        <f t="shared" si="2"/>
        <v>Feb</v>
      </c>
      <c r="M6313" s="1" t="str">
        <f t="shared" si="3"/>
        <v>Loss</v>
      </c>
    </row>
    <row r="6314" ht="14.25" customHeight="1">
      <c r="A6314" s="1" t="s">
        <v>6348</v>
      </c>
      <c r="B6314" s="2">
        <v>44603.0</v>
      </c>
      <c r="C6314" s="1" t="s">
        <v>26</v>
      </c>
      <c r="D6314" s="1" t="s">
        <v>27</v>
      </c>
      <c r="E6314" s="1" t="s">
        <v>28</v>
      </c>
      <c r="F6314" s="1">
        <v>168.25</v>
      </c>
      <c r="G6314" s="1">
        <v>138.22</v>
      </c>
      <c r="H6314" s="1">
        <v>3.0</v>
      </c>
      <c r="I6314" s="1" t="s">
        <v>17</v>
      </c>
      <c r="J6314" s="1" t="s">
        <v>24</v>
      </c>
      <c r="K6314" s="1">
        <f t="shared" si="1"/>
        <v>2022</v>
      </c>
      <c r="L6314" s="1" t="str">
        <f t="shared" si="2"/>
        <v>Feb</v>
      </c>
      <c r="M6314" s="1" t="str">
        <f t="shared" si="3"/>
        <v>Profit</v>
      </c>
    </row>
    <row r="6315" ht="14.25" customHeight="1">
      <c r="A6315" s="1" t="s">
        <v>6349</v>
      </c>
      <c r="B6315" s="2">
        <v>44663.0</v>
      </c>
      <c r="C6315" s="1" t="s">
        <v>30</v>
      </c>
      <c r="D6315" s="1" t="s">
        <v>27</v>
      </c>
      <c r="E6315" s="1" t="s">
        <v>40</v>
      </c>
      <c r="F6315" s="1">
        <v>45.17</v>
      </c>
      <c r="G6315" s="1">
        <v>9.79</v>
      </c>
      <c r="H6315" s="1">
        <v>4.0</v>
      </c>
      <c r="I6315" s="1" t="s">
        <v>34</v>
      </c>
      <c r="J6315" s="1" t="s">
        <v>18</v>
      </c>
      <c r="K6315" s="1">
        <f t="shared" si="1"/>
        <v>2022</v>
      </c>
      <c r="L6315" s="1" t="str">
        <f t="shared" si="2"/>
        <v>Apr</v>
      </c>
      <c r="M6315" s="1" t="str">
        <f t="shared" si="3"/>
        <v>Profit</v>
      </c>
    </row>
    <row r="6316" ht="14.25" customHeight="1">
      <c r="A6316" s="1" t="s">
        <v>6350</v>
      </c>
      <c r="B6316" s="2">
        <v>44967.0</v>
      </c>
      <c r="C6316" s="1" t="s">
        <v>20</v>
      </c>
      <c r="D6316" s="1" t="s">
        <v>21</v>
      </c>
      <c r="E6316" s="1" t="s">
        <v>22</v>
      </c>
      <c r="F6316" s="1">
        <v>489.37</v>
      </c>
      <c r="G6316" s="1">
        <v>289.07</v>
      </c>
      <c r="H6316" s="1">
        <v>10.0</v>
      </c>
      <c r="I6316" s="1" t="s">
        <v>34</v>
      </c>
      <c r="J6316" s="1" t="s">
        <v>18</v>
      </c>
      <c r="K6316" s="1">
        <f t="shared" si="1"/>
        <v>2023</v>
      </c>
      <c r="L6316" s="1" t="str">
        <f t="shared" si="2"/>
        <v>Feb</v>
      </c>
      <c r="M6316" s="1" t="str">
        <f t="shared" si="3"/>
        <v>Profit</v>
      </c>
    </row>
    <row r="6317" ht="14.25" customHeight="1">
      <c r="A6317" s="1" t="s">
        <v>6351</v>
      </c>
      <c r="B6317" s="2">
        <v>44354.0</v>
      </c>
      <c r="C6317" s="1" t="s">
        <v>14</v>
      </c>
      <c r="D6317" s="1" t="s">
        <v>15</v>
      </c>
      <c r="E6317" s="1" t="s">
        <v>54</v>
      </c>
      <c r="F6317" s="1">
        <v>253.06</v>
      </c>
      <c r="G6317" s="1">
        <v>254.7</v>
      </c>
      <c r="H6317" s="1">
        <v>2.0</v>
      </c>
      <c r="I6317" s="1" t="s">
        <v>34</v>
      </c>
      <c r="J6317" s="1" t="s">
        <v>35</v>
      </c>
      <c r="K6317" s="1">
        <f t="shared" si="1"/>
        <v>2021</v>
      </c>
      <c r="L6317" s="1" t="str">
        <f t="shared" si="2"/>
        <v>Jun</v>
      </c>
      <c r="M6317" s="1" t="str">
        <f t="shared" si="3"/>
        <v>Profit</v>
      </c>
    </row>
    <row r="6318" ht="14.25" customHeight="1">
      <c r="A6318" s="1" t="s">
        <v>6352</v>
      </c>
      <c r="B6318" s="2">
        <v>45093.0</v>
      </c>
      <c r="C6318" s="1" t="s">
        <v>14</v>
      </c>
      <c r="D6318" s="1" t="s">
        <v>15</v>
      </c>
      <c r="E6318" s="1" t="s">
        <v>16</v>
      </c>
      <c r="F6318" s="1">
        <v>540.03</v>
      </c>
      <c r="G6318" s="1">
        <v>255.78</v>
      </c>
      <c r="H6318" s="1">
        <v>4.0</v>
      </c>
      <c r="I6318" s="1" t="s">
        <v>34</v>
      </c>
      <c r="J6318" s="1" t="s">
        <v>38</v>
      </c>
      <c r="K6318" s="1">
        <f t="shared" si="1"/>
        <v>2023</v>
      </c>
      <c r="L6318" s="1" t="str">
        <f t="shared" si="2"/>
        <v>Jun</v>
      </c>
      <c r="M6318" s="1" t="str">
        <f t="shared" si="3"/>
        <v>Profit</v>
      </c>
    </row>
    <row r="6319" ht="14.25" customHeight="1">
      <c r="A6319" s="1" t="s">
        <v>6353</v>
      </c>
      <c r="B6319" s="2">
        <v>44565.0</v>
      </c>
      <c r="C6319" s="1" t="s">
        <v>30</v>
      </c>
      <c r="D6319" s="1" t="s">
        <v>21</v>
      </c>
      <c r="E6319" s="1" t="s">
        <v>22</v>
      </c>
      <c r="F6319" s="1">
        <v>930.4</v>
      </c>
      <c r="G6319" s="1">
        <v>-37.28</v>
      </c>
      <c r="H6319" s="1">
        <v>9.0</v>
      </c>
      <c r="I6319" s="1" t="s">
        <v>34</v>
      </c>
      <c r="J6319" s="1" t="s">
        <v>35</v>
      </c>
      <c r="K6319" s="1">
        <f t="shared" si="1"/>
        <v>2022</v>
      </c>
      <c r="L6319" s="1" t="str">
        <f t="shared" si="2"/>
        <v>Jan</v>
      </c>
      <c r="M6319" s="1" t="str">
        <f t="shared" si="3"/>
        <v>Loss</v>
      </c>
    </row>
    <row r="6320" ht="14.25" customHeight="1">
      <c r="A6320" s="1" t="s">
        <v>6354</v>
      </c>
      <c r="B6320" s="2">
        <v>45125.0</v>
      </c>
      <c r="C6320" s="1" t="s">
        <v>20</v>
      </c>
      <c r="D6320" s="1" t="s">
        <v>27</v>
      </c>
      <c r="E6320" s="1" t="s">
        <v>28</v>
      </c>
      <c r="F6320" s="1">
        <v>880.73</v>
      </c>
      <c r="G6320" s="1">
        <v>125.94</v>
      </c>
      <c r="H6320" s="1">
        <v>10.0</v>
      </c>
      <c r="I6320" s="1" t="s">
        <v>34</v>
      </c>
      <c r="J6320" s="1" t="s">
        <v>18</v>
      </c>
      <c r="K6320" s="1">
        <f t="shared" si="1"/>
        <v>2023</v>
      </c>
      <c r="L6320" s="1" t="str">
        <f t="shared" si="2"/>
        <v>Jul</v>
      </c>
      <c r="M6320" s="1" t="str">
        <f t="shared" si="3"/>
        <v>Profit</v>
      </c>
    </row>
    <row r="6321" ht="14.25" customHeight="1">
      <c r="A6321" s="1" t="s">
        <v>6355</v>
      </c>
      <c r="B6321" s="2">
        <v>44534.0</v>
      </c>
      <c r="C6321" s="1" t="s">
        <v>26</v>
      </c>
      <c r="D6321" s="1" t="s">
        <v>27</v>
      </c>
      <c r="E6321" s="1" t="s">
        <v>40</v>
      </c>
      <c r="F6321" s="1">
        <v>602.02</v>
      </c>
      <c r="G6321" s="1">
        <v>105.36</v>
      </c>
      <c r="H6321" s="1">
        <v>5.0</v>
      </c>
      <c r="I6321" s="1" t="s">
        <v>23</v>
      </c>
      <c r="J6321" s="1" t="s">
        <v>24</v>
      </c>
      <c r="K6321" s="1">
        <f t="shared" si="1"/>
        <v>2021</v>
      </c>
      <c r="L6321" s="1" t="str">
        <f t="shared" si="2"/>
        <v>Dec</v>
      </c>
      <c r="M6321" s="1" t="str">
        <f t="shared" si="3"/>
        <v>Profit</v>
      </c>
    </row>
    <row r="6322" ht="14.25" customHeight="1">
      <c r="A6322" s="1" t="s">
        <v>6356</v>
      </c>
      <c r="B6322" s="2">
        <v>44564.0</v>
      </c>
      <c r="C6322" s="1" t="s">
        <v>30</v>
      </c>
      <c r="D6322" s="1" t="s">
        <v>21</v>
      </c>
      <c r="E6322" s="1" t="s">
        <v>22</v>
      </c>
      <c r="F6322" s="1">
        <v>703.18</v>
      </c>
      <c r="G6322" s="1">
        <v>-37.09</v>
      </c>
      <c r="H6322" s="1">
        <v>1.0</v>
      </c>
      <c r="I6322" s="1" t="s">
        <v>34</v>
      </c>
      <c r="J6322" s="1" t="s">
        <v>35</v>
      </c>
      <c r="K6322" s="1">
        <f t="shared" si="1"/>
        <v>2022</v>
      </c>
      <c r="L6322" s="1" t="str">
        <f t="shared" si="2"/>
        <v>Jan</v>
      </c>
      <c r="M6322" s="1" t="str">
        <f t="shared" si="3"/>
        <v>Loss</v>
      </c>
    </row>
    <row r="6323" ht="14.25" customHeight="1">
      <c r="A6323" s="1" t="s">
        <v>6357</v>
      </c>
      <c r="B6323" s="2">
        <v>44414.0</v>
      </c>
      <c r="C6323" s="1" t="s">
        <v>26</v>
      </c>
      <c r="D6323" s="1" t="s">
        <v>15</v>
      </c>
      <c r="E6323" s="1" t="s">
        <v>16</v>
      </c>
      <c r="F6323" s="1">
        <v>92.26</v>
      </c>
      <c r="G6323" s="1">
        <v>-143.74</v>
      </c>
      <c r="H6323" s="1">
        <v>5.0</v>
      </c>
      <c r="I6323" s="1" t="s">
        <v>34</v>
      </c>
      <c r="J6323" s="1" t="s">
        <v>24</v>
      </c>
      <c r="K6323" s="1">
        <f t="shared" si="1"/>
        <v>2021</v>
      </c>
      <c r="L6323" s="1" t="str">
        <f t="shared" si="2"/>
        <v>Aug</v>
      </c>
      <c r="M6323" s="1" t="str">
        <f t="shared" si="3"/>
        <v>Loss</v>
      </c>
    </row>
    <row r="6324" ht="14.25" customHeight="1">
      <c r="A6324" s="1" t="s">
        <v>6358</v>
      </c>
      <c r="B6324" s="2">
        <v>45281.0</v>
      </c>
      <c r="C6324" s="1" t="s">
        <v>20</v>
      </c>
      <c r="D6324" s="1" t="s">
        <v>15</v>
      </c>
      <c r="E6324" s="1" t="s">
        <v>54</v>
      </c>
      <c r="F6324" s="1">
        <v>484.79</v>
      </c>
      <c r="G6324" s="1">
        <v>254.54</v>
      </c>
      <c r="H6324" s="1">
        <v>8.0</v>
      </c>
      <c r="I6324" s="1" t="s">
        <v>23</v>
      </c>
      <c r="J6324" s="1" t="s">
        <v>18</v>
      </c>
      <c r="K6324" s="1">
        <f t="shared" si="1"/>
        <v>2023</v>
      </c>
      <c r="L6324" s="1" t="str">
        <f t="shared" si="2"/>
        <v>Dec</v>
      </c>
      <c r="M6324" s="1" t="str">
        <f t="shared" si="3"/>
        <v>Profit</v>
      </c>
    </row>
    <row r="6325" ht="14.25" customHeight="1">
      <c r="A6325" s="1" t="s">
        <v>6359</v>
      </c>
      <c r="B6325" s="2">
        <v>44451.0</v>
      </c>
      <c r="C6325" s="1" t="s">
        <v>20</v>
      </c>
      <c r="D6325" s="1" t="s">
        <v>27</v>
      </c>
      <c r="E6325" s="1" t="s">
        <v>28</v>
      </c>
      <c r="F6325" s="1">
        <v>35.89</v>
      </c>
      <c r="G6325" s="1">
        <v>-131.41</v>
      </c>
      <c r="H6325" s="1">
        <v>4.0</v>
      </c>
      <c r="I6325" s="1" t="s">
        <v>17</v>
      </c>
      <c r="J6325" s="1" t="s">
        <v>35</v>
      </c>
      <c r="K6325" s="1">
        <f t="shared" si="1"/>
        <v>2021</v>
      </c>
      <c r="L6325" s="1" t="str">
        <f t="shared" si="2"/>
        <v>Sep</v>
      </c>
      <c r="M6325" s="1" t="str">
        <f t="shared" si="3"/>
        <v>Loss</v>
      </c>
    </row>
    <row r="6326" ht="14.25" customHeight="1">
      <c r="A6326" s="1" t="s">
        <v>6360</v>
      </c>
      <c r="B6326" s="2">
        <v>44800.0</v>
      </c>
      <c r="C6326" s="1" t="s">
        <v>30</v>
      </c>
      <c r="D6326" s="1" t="s">
        <v>27</v>
      </c>
      <c r="E6326" s="1" t="s">
        <v>40</v>
      </c>
      <c r="F6326" s="1">
        <v>522.11</v>
      </c>
      <c r="G6326" s="1">
        <v>234.85</v>
      </c>
      <c r="H6326" s="1">
        <v>1.0</v>
      </c>
      <c r="I6326" s="1" t="s">
        <v>34</v>
      </c>
      <c r="J6326" s="1" t="s">
        <v>35</v>
      </c>
      <c r="K6326" s="1">
        <f t="shared" si="1"/>
        <v>2022</v>
      </c>
      <c r="L6326" s="1" t="str">
        <f t="shared" si="2"/>
        <v>Aug</v>
      </c>
      <c r="M6326" s="1" t="str">
        <f t="shared" si="3"/>
        <v>Profit</v>
      </c>
    </row>
    <row r="6327" ht="14.25" customHeight="1">
      <c r="A6327" s="1" t="s">
        <v>6361</v>
      </c>
      <c r="B6327" s="2">
        <v>44854.0</v>
      </c>
      <c r="C6327" s="1" t="s">
        <v>14</v>
      </c>
      <c r="D6327" s="1" t="s">
        <v>27</v>
      </c>
      <c r="E6327" s="1" t="s">
        <v>33</v>
      </c>
      <c r="F6327" s="1">
        <v>689.17</v>
      </c>
      <c r="G6327" s="1">
        <v>142.34</v>
      </c>
      <c r="H6327" s="1">
        <v>5.0</v>
      </c>
      <c r="I6327" s="1" t="s">
        <v>23</v>
      </c>
      <c r="J6327" s="1" t="s">
        <v>24</v>
      </c>
      <c r="K6327" s="1">
        <f t="shared" si="1"/>
        <v>2022</v>
      </c>
      <c r="L6327" s="1" t="str">
        <f t="shared" si="2"/>
        <v>Oct</v>
      </c>
      <c r="M6327" s="1" t="str">
        <f t="shared" si="3"/>
        <v>Profit</v>
      </c>
    </row>
    <row r="6328" ht="14.25" customHeight="1">
      <c r="A6328" s="1" t="s">
        <v>6362</v>
      </c>
      <c r="B6328" s="2">
        <v>45191.0</v>
      </c>
      <c r="C6328" s="1" t="s">
        <v>30</v>
      </c>
      <c r="D6328" s="1" t="s">
        <v>27</v>
      </c>
      <c r="E6328" s="1" t="s">
        <v>33</v>
      </c>
      <c r="F6328" s="1">
        <v>658.4</v>
      </c>
      <c r="G6328" s="1">
        <v>-40.1</v>
      </c>
      <c r="H6328" s="1">
        <v>7.0</v>
      </c>
      <c r="I6328" s="1" t="s">
        <v>23</v>
      </c>
      <c r="J6328" s="1" t="s">
        <v>24</v>
      </c>
      <c r="K6328" s="1">
        <f t="shared" si="1"/>
        <v>2023</v>
      </c>
      <c r="L6328" s="1" t="str">
        <f t="shared" si="2"/>
        <v>Sep</v>
      </c>
      <c r="M6328" s="1" t="str">
        <f t="shared" si="3"/>
        <v>Loss</v>
      </c>
    </row>
    <row r="6329" ht="14.25" customHeight="1">
      <c r="A6329" s="1" t="s">
        <v>6363</v>
      </c>
      <c r="B6329" s="2">
        <v>44863.0</v>
      </c>
      <c r="C6329" s="1" t="s">
        <v>20</v>
      </c>
      <c r="D6329" s="1" t="s">
        <v>21</v>
      </c>
      <c r="E6329" s="1" t="s">
        <v>37</v>
      </c>
      <c r="F6329" s="1">
        <v>659.51</v>
      </c>
      <c r="G6329" s="1">
        <v>131.57</v>
      </c>
      <c r="H6329" s="1">
        <v>3.0</v>
      </c>
      <c r="I6329" s="1" t="s">
        <v>23</v>
      </c>
      <c r="J6329" s="1" t="s">
        <v>18</v>
      </c>
      <c r="K6329" s="1">
        <f t="shared" si="1"/>
        <v>2022</v>
      </c>
      <c r="L6329" s="1" t="str">
        <f t="shared" si="2"/>
        <v>Oct</v>
      </c>
      <c r="M6329" s="1" t="str">
        <f t="shared" si="3"/>
        <v>Profit</v>
      </c>
    </row>
    <row r="6330" ht="14.25" customHeight="1">
      <c r="A6330" s="1" t="s">
        <v>6364</v>
      </c>
      <c r="B6330" s="2">
        <v>44668.0</v>
      </c>
      <c r="C6330" s="1" t="s">
        <v>30</v>
      </c>
      <c r="D6330" s="1" t="s">
        <v>15</v>
      </c>
      <c r="E6330" s="1" t="s">
        <v>16</v>
      </c>
      <c r="F6330" s="1">
        <v>471.04</v>
      </c>
      <c r="G6330" s="1">
        <v>188.82</v>
      </c>
      <c r="H6330" s="1">
        <v>7.0</v>
      </c>
      <c r="I6330" s="1" t="s">
        <v>23</v>
      </c>
      <c r="J6330" s="1" t="s">
        <v>18</v>
      </c>
      <c r="K6330" s="1">
        <f t="shared" si="1"/>
        <v>2022</v>
      </c>
      <c r="L6330" s="1" t="str">
        <f t="shared" si="2"/>
        <v>Apr</v>
      </c>
      <c r="M6330" s="1" t="str">
        <f t="shared" si="3"/>
        <v>Profit</v>
      </c>
    </row>
    <row r="6331" ht="14.25" customHeight="1">
      <c r="A6331" s="1" t="s">
        <v>6365</v>
      </c>
      <c r="B6331" s="2">
        <v>44234.0</v>
      </c>
      <c r="C6331" s="1" t="s">
        <v>14</v>
      </c>
      <c r="D6331" s="1" t="s">
        <v>21</v>
      </c>
      <c r="E6331" s="1" t="s">
        <v>76</v>
      </c>
      <c r="F6331" s="1">
        <v>267.44</v>
      </c>
      <c r="G6331" s="1">
        <v>187.49</v>
      </c>
      <c r="H6331" s="1">
        <v>10.0</v>
      </c>
      <c r="I6331" s="1" t="s">
        <v>34</v>
      </c>
      <c r="J6331" s="1" t="s">
        <v>24</v>
      </c>
      <c r="K6331" s="1">
        <f t="shared" si="1"/>
        <v>2021</v>
      </c>
      <c r="L6331" s="1" t="str">
        <f t="shared" si="2"/>
        <v>Feb</v>
      </c>
      <c r="M6331" s="1" t="str">
        <f t="shared" si="3"/>
        <v>Profit</v>
      </c>
    </row>
    <row r="6332" ht="14.25" customHeight="1">
      <c r="A6332" s="1" t="s">
        <v>6366</v>
      </c>
      <c r="B6332" s="2">
        <v>45212.0</v>
      </c>
      <c r="C6332" s="1" t="s">
        <v>20</v>
      </c>
      <c r="D6332" s="1" t="s">
        <v>27</v>
      </c>
      <c r="E6332" s="1" t="s">
        <v>40</v>
      </c>
      <c r="F6332" s="1">
        <v>821.23</v>
      </c>
      <c r="G6332" s="1">
        <v>-144.17</v>
      </c>
      <c r="H6332" s="1">
        <v>7.0</v>
      </c>
      <c r="I6332" s="1" t="s">
        <v>23</v>
      </c>
      <c r="J6332" s="1" t="s">
        <v>38</v>
      </c>
      <c r="K6332" s="1">
        <f t="shared" si="1"/>
        <v>2023</v>
      </c>
      <c r="L6332" s="1" t="str">
        <f t="shared" si="2"/>
        <v>Oct</v>
      </c>
      <c r="M6332" s="1" t="str">
        <f t="shared" si="3"/>
        <v>Loss</v>
      </c>
    </row>
    <row r="6333" ht="14.25" customHeight="1">
      <c r="A6333" s="1" t="s">
        <v>6367</v>
      </c>
      <c r="B6333" s="2">
        <v>45225.0</v>
      </c>
      <c r="C6333" s="1" t="s">
        <v>20</v>
      </c>
      <c r="D6333" s="1" t="s">
        <v>15</v>
      </c>
      <c r="E6333" s="1" t="s">
        <v>16</v>
      </c>
      <c r="F6333" s="1">
        <v>873.6</v>
      </c>
      <c r="G6333" s="1">
        <v>36.15</v>
      </c>
      <c r="H6333" s="1">
        <v>7.0</v>
      </c>
      <c r="I6333" s="1" t="s">
        <v>23</v>
      </c>
      <c r="J6333" s="1" t="s">
        <v>18</v>
      </c>
      <c r="K6333" s="1">
        <f t="shared" si="1"/>
        <v>2023</v>
      </c>
      <c r="L6333" s="1" t="str">
        <f t="shared" si="2"/>
        <v>Oct</v>
      </c>
      <c r="M6333" s="1" t="str">
        <f t="shared" si="3"/>
        <v>Profit</v>
      </c>
    </row>
    <row r="6334" ht="14.25" customHeight="1">
      <c r="A6334" s="1" t="s">
        <v>6368</v>
      </c>
      <c r="B6334" s="2">
        <v>45176.0</v>
      </c>
      <c r="C6334" s="1" t="s">
        <v>20</v>
      </c>
      <c r="D6334" s="1" t="s">
        <v>21</v>
      </c>
      <c r="E6334" s="1" t="s">
        <v>76</v>
      </c>
      <c r="F6334" s="1">
        <v>69.93</v>
      </c>
      <c r="G6334" s="1">
        <v>-122.52</v>
      </c>
      <c r="H6334" s="1">
        <v>5.0</v>
      </c>
      <c r="I6334" s="1" t="s">
        <v>23</v>
      </c>
      <c r="J6334" s="1" t="s">
        <v>18</v>
      </c>
      <c r="K6334" s="1">
        <f t="shared" si="1"/>
        <v>2023</v>
      </c>
      <c r="L6334" s="1" t="str">
        <f t="shared" si="2"/>
        <v>Sep</v>
      </c>
      <c r="M6334" s="1" t="str">
        <f t="shared" si="3"/>
        <v>Loss</v>
      </c>
    </row>
    <row r="6335" ht="14.25" customHeight="1">
      <c r="A6335" s="1" t="s">
        <v>6369</v>
      </c>
      <c r="B6335" s="2">
        <v>45292.0</v>
      </c>
      <c r="C6335" s="1" t="s">
        <v>14</v>
      </c>
      <c r="D6335" s="1" t="s">
        <v>21</v>
      </c>
      <c r="E6335" s="1" t="s">
        <v>22</v>
      </c>
      <c r="F6335" s="1">
        <v>228.39</v>
      </c>
      <c r="G6335" s="1">
        <v>-44.19</v>
      </c>
      <c r="H6335" s="1">
        <v>7.0</v>
      </c>
      <c r="I6335" s="1" t="s">
        <v>34</v>
      </c>
      <c r="J6335" s="1" t="s">
        <v>18</v>
      </c>
      <c r="K6335" s="1">
        <f t="shared" si="1"/>
        <v>2024</v>
      </c>
      <c r="L6335" s="1" t="str">
        <f t="shared" si="2"/>
        <v>Jan</v>
      </c>
      <c r="M6335" s="1" t="str">
        <f t="shared" si="3"/>
        <v>Loss</v>
      </c>
    </row>
    <row r="6336" ht="14.25" customHeight="1">
      <c r="A6336" s="1" t="s">
        <v>6370</v>
      </c>
      <c r="B6336" s="2">
        <v>44941.0</v>
      </c>
      <c r="C6336" s="1" t="s">
        <v>14</v>
      </c>
      <c r="D6336" s="1" t="s">
        <v>21</v>
      </c>
      <c r="E6336" s="1" t="s">
        <v>22</v>
      </c>
      <c r="F6336" s="1">
        <v>862.61</v>
      </c>
      <c r="G6336" s="1">
        <v>76.4</v>
      </c>
      <c r="H6336" s="1">
        <v>8.0</v>
      </c>
      <c r="I6336" s="1" t="s">
        <v>23</v>
      </c>
      <c r="J6336" s="1" t="s">
        <v>35</v>
      </c>
      <c r="K6336" s="1">
        <f t="shared" si="1"/>
        <v>2023</v>
      </c>
      <c r="L6336" s="1" t="str">
        <f t="shared" si="2"/>
        <v>Jan</v>
      </c>
      <c r="M6336" s="1" t="str">
        <f t="shared" si="3"/>
        <v>Profit</v>
      </c>
    </row>
    <row r="6337" ht="14.25" customHeight="1">
      <c r="A6337" s="1" t="s">
        <v>6371</v>
      </c>
      <c r="B6337" s="2">
        <v>44899.0</v>
      </c>
      <c r="C6337" s="1" t="s">
        <v>30</v>
      </c>
      <c r="D6337" s="1" t="s">
        <v>15</v>
      </c>
      <c r="E6337" s="1" t="s">
        <v>54</v>
      </c>
      <c r="F6337" s="1">
        <v>795.14</v>
      </c>
      <c r="G6337" s="1">
        <v>-88.08</v>
      </c>
      <c r="H6337" s="1">
        <v>6.0</v>
      </c>
      <c r="I6337" s="1" t="s">
        <v>17</v>
      </c>
      <c r="J6337" s="1" t="s">
        <v>18</v>
      </c>
      <c r="K6337" s="1">
        <f t="shared" si="1"/>
        <v>2022</v>
      </c>
      <c r="L6337" s="1" t="str">
        <f t="shared" si="2"/>
        <v>Dec</v>
      </c>
      <c r="M6337" s="1" t="str">
        <f t="shared" si="3"/>
        <v>Loss</v>
      </c>
    </row>
    <row r="6338" ht="14.25" customHeight="1">
      <c r="A6338" s="1" t="s">
        <v>6372</v>
      </c>
      <c r="B6338" s="2">
        <v>44284.0</v>
      </c>
      <c r="C6338" s="1" t="s">
        <v>20</v>
      </c>
      <c r="D6338" s="1" t="s">
        <v>21</v>
      </c>
      <c r="E6338" s="1" t="s">
        <v>37</v>
      </c>
      <c r="F6338" s="1">
        <v>436.22</v>
      </c>
      <c r="G6338" s="1">
        <v>87.09</v>
      </c>
      <c r="H6338" s="1">
        <v>2.0</v>
      </c>
      <c r="I6338" s="1" t="s">
        <v>17</v>
      </c>
      <c r="J6338" s="1" t="s">
        <v>18</v>
      </c>
      <c r="K6338" s="1">
        <f t="shared" si="1"/>
        <v>2021</v>
      </c>
      <c r="L6338" s="1" t="str">
        <f t="shared" si="2"/>
        <v>Mar</v>
      </c>
      <c r="M6338" s="1" t="str">
        <f t="shared" si="3"/>
        <v>Profit</v>
      </c>
    </row>
    <row r="6339" ht="14.25" customHeight="1">
      <c r="A6339" s="1" t="s">
        <v>6373</v>
      </c>
      <c r="B6339" s="2">
        <v>44237.0</v>
      </c>
      <c r="C6339" s="1" t="s">
        <v>30</v>
      </c>
      <c r="D6339" s="1" t="s">
        <v>15</v>
      </c>
      <c r="E6339" s="1" t="s">
        <v>16</v>
      </c>
      <c r="F6339" s="1">
        <v>469.14</v>
      </c>
      <c r="G6339" s="1">
        <v>147.82</v>
      </c>
      <c r="H6339" s="1">
        <v>5.0</v>
      </c>
      <c r="I6339" s="1" t="s">
        <v>34</v>
      </c>
      <c r="J6339" s="1" t="s">
        <v>24</v>
      </c>
      <c r="K6339" s="1">
        <f t="shared" si="1"/>
        <v>2021</v>
      </c>
      <c r="L6339" s="1" t="str">
        <f t="shared" si="2"/>
        <v>Feb</v>
      </c>
      <c r="M6339" s="1" t="str">
        <f t="shared" si="3"/>
        <v>Profit</v>
      </c>
    </row>
    <row r="6340" ht="14.25" customHeight="1">
      <c r="A6340" s="1" t="s">
        <v>6374</v>
      </c>
      <c r="B6340" s="2">
        <v>44958.0</v>
      </c>
      <c r="C6340" s="1" t="s">
        <v>26</v>
      </c>
      <c r="D6340" s="1" t="s">
        <v>21</v>
      </c>
      <c r="E6340" s="1" t="s">
        <v>37</v>
      </c>
      <c r="F6340" s="1">
        <v>822.39</v>
      </c>
      <c r="G6340" s="1">
        <v>-52.73</v>
      </c>
      <c r="H6340" s="1">
        <v>3.0</v>
      </c>
      <c r="I6340" s="1" t="s">
        <v>23</v>
      </c>
      <c r="J6340" s="1" t="s">
        <v>38</v>
      </c>
      <c r="K6340" s="1">
        <f t="shared" si="1"/>
        <v>2023</v>
      </c>
      <c r="L6340" s="1" t="str">
        <f t="shared" si="2"/>
        <v>Feb</v>
      </c>
      <c r="M6340" s="1" t="str">
        <f t="shared" si="3"/>
        <v>Loss</v>
      </c>
    </row>
    <row r="6341" ht="14.25" customHeight="1">
      <c r="A6341" s="1" t="s">
        <v>6375</v>
      </c>
      <c r="B6341" s="2">
        <v>44528.0</v>
      </c>
      <c r="C6341" s="1" t="s">
        <v>14</v>
      </c>
      <c r="D6341" s="1" t="s">
        <v>21</v>
      </c>
      <c r="E6341" s="1" t="s">
        <v>76</v>
      </c>
      <c r="F6341" s="1">
        <v>34.87</v>
      </c>
      <c r="G6341" s="1">
        <v>197.45</v>
      </c>
      <c r="H6341" s="1">
        <v>7.0</v>
      </c>
      <c r="I6341" s="1" t="s">
        <v>34</v>
      </c>
      <c r="J6341" s="1" t="s">
        <v>18</v>
      </c>
      <c r="K6341" s="1">
        <f t="shared" si="1"/>
        <v>2021</v>
      </c>
      <c r="L6341" s="1" t="str">
        <f t="shared" si="2"/>
        <v>Nov</v>
      </c>
      <c r="M6341" s="1" t="str">
        <f t="shared" si="3"/>
        <v>Profit</v>
      </c>
    </row>
    <row r="6342" ht="14.25" customHeight="1">
      <c r="A6342" s="1" t="s">
        <v>6376</v>
      </c>
      <c r="B6342" s="2">
        <v>44883.0</v>
      </c>
      <c r="C6342" s="1" t="s">
        <v>20</v>
      </c>
      <c r="D6342" s="1" t="s">
        <v>27</v>
      </c>
      <c r="E6342" s="1" t="s">
        <v>33</v>
      </c>
      <c r="F6342" s="1">
        <v>373.99</v>
      </c>
      <c r="G6342" s="1">
        <v>-33.32</v>
      </c>
      <c r="H6342" s="1">
        <v>8.0</v>
      </c>
      <c r="I6342" s="1" t="s">
        <v>23</v>
      </c>
      <c r="J6342" s="1" t="s">
        <v>35</v>
      </c>
      <c r="K6342" s="1">
        <f t="shared" si="1"/>
        <v>2022</v>
      </c>
      <c r="L6342" s="1" t="str">
        <f t="shared" si="2"/>
        <v>Nov</v>
      </c>
      <c r="M6342" s="1" t="str">
        <f t="shared" si="3"/>
        <v>Loss</v>
      </c>
    </row>
    <row r="6343" ht="14.25" customHeight="1">
      <c r="A6343" s="1" t="s">
        <v>6377</v>
      </c>
      <c r="B6343" s="2">
        <v>45266.0</v>
      </c>
      <c r="C6343" s="1" t="s">
        <v>20</v>
      </c>
      <c r="D6343" s="1" t="s">
        <v>27</v>
      </c>
      <c r="E6343" s="1" t="s">
        <v>28</v>
      </c>
      <c r="F6343" s="1">
        <v>664.42</v>
      </c>
      <c r="G6343" s="1">
        <v>-1.1</v>
      </c>
      <c r="H6343" s="1">
        <v>3.0</v>
      </c>
      <c r="I6343" s="1" t="s">
        <v>34</v>
      </c>
      <c r="J6343" s="1" t="s">
        <v>38</v>
      </c>
      <c r="K6343" s="1">
        <f t="shared" si="1"/>
        <v>2023</v>
      </c>
      <c r="L6343" s="1" t="str">
        <f t="shared" si="2"/>
        <v>Dec</v>
      </c>
      <c r="M6343" s="1" t="str">
        <f t="shared" si="3"/>
        <v>Loss</v>
      </c>
    </row>
    <row r="6344" ht="14.25" customHeight="1">
      <c r="A6344" s="1" t="s">
        <v>6378</v>
      </c>
      <c r="B6344" s="2">
        <v>44413.0</v>
      </c>
      <c r="C6344" s="1" t="s">
        <v>30</v>
      </c>
      <c r="D6344" s="1" t="s">
        <v>27</v>
      </c>
      <c r="E6344" s="1" t="s">
        <v>40</v>
      </c>
      <c r="F6344" s="1">
        <v>971.73</v>
      </c>
      <c r="G6344" s="1">
        <v>173.59</v>
      </c>
      <c r="H6344" s="1">
        <v>7.0</v>
      </c>
      <c r="I6344" s="1" t="s">
        <v>23</v>
      </c>
      <c r="J6344" s="1" t="s">
        <v>35</v>
      </c>
      <c r="K6344" s="1">
        <f t="shared" si="1"/>
        <v>2021</v>
      </c>
      <c r="L6344" s="1" t="str">
        <f t="shared" si="2"/>
        <v>Aug</v>
      </c>
      <c r="M6344" s="1" t="str">
        <f t="shared" si="3"/>
        <v>Profit</v>
      </c>
    </row>
    <row r="6345" ht="14.25" customHeight="1">
      <c r="A6345" s="1" t="s">
        <v>6379</v>
      </c>
      <c r="B6345" s="2">
        <v>45265.0</v>
      </c>
      <c r="C6345" s="1" t="s">
        <v>14</v>
      </c>
      <c r="D6345" s="1" t="s">
        <v>15</v>
      </c>
      <c r="E6345" s="1" t="s">
        <v>16</v>
      </c>
      <c r="F6345" s="1">
        <v>839.28</v>
      </c>
      <c r="G6345" s="1">
        <v>115.71</v>
      </c>
      <c r="H6345" s="1">
        <v>8.0</v>
      </c>
      <c r="I6345" s="1" t="s">
        <v>23</v>
      </c>
      <c r="J6345" s="1" t="s">
        <v>18</v>
      </c>
      <c r="K6345" s="1">
        <f t="shared" si="1"/>
        <v>2023</v>
      </c>
      <c r="L6345" s="1" t="str">
        <f t="shared" si="2"/>
        <v>Dec</v>
      </c>
      <c r="M6345" s="1" t="str">
        <f t="shared" si="3"/>
        <v>Profit</v>
      </c>
    </row>
    <row r="6346" ht="14.25" customHeight="1">
      <c r="A6346" s="1" t="s">
        <v>6380</v>
      </c>
      <c r="B6346" s="2">
        <v>44240.0</v>
      </c>
      <c r="C6346" s="1" t="s">
        <v>14</v>
      </c>
      <c r="D6346" s="1" t="s">
        <v>15</v>
      </c>
      <c r="E6346" s="1" t="s">
        <v>54</v>
      </c>
      <c r="F6346" s="1">
        <v>652.74</v>
      </c>
      <c r="G6346" s="1">
        <v>-156.55</v>
      </c>
      <c r="H6346" s="1">
        <v>8.0</v>
      </c>
      <c r="I6346" s="1" t="s">
        <v>34</v>
      </c>
      <c r="J6346" s="1" t="s">
        <v>35</v>
      </c>
      <c r="K6346" s="1">
        <f t="shared" si="1"/>
        <v>2021</v>
      </c>
      <c r="L6346" s="1" t="str">
        <f t="shared" si="2"/>
        <v>Feb</v>
      </c>
      <c r="M6346" s="1" t="str">
        <f t="shared" si="3"/>
        <v>Loss</v>
      </c>
    </row>
    <row r="6347" ht="14.25" customHeight="1">
      <c r="A6347" s="1" t="s">
        <v>6381</v>
      </c>
      <c r="B6347" s="2">
        <v>44375.0</v>
      </c>
      <c r="C6347" s="1" t="s">
        <v>26</v>
      </c>
      <c r="D6347" s="1" t="s">
        <v>21</v>
      </c>
      <c r="E6347" s="1" t="s">
        <v>76</v>
      </c>
      <c r="F6347" s="1">
        <v>372.15</v>
      </c>
      <c r="G6347" s="1">
        <v>239.52</v>
      </c>
      <c r="H6347" s="1">
        <v>4.0</v>
      </c>
      <c r="I6347" s="1" t="s">
        <v>34</v>
      </c>
      <c r="J6347" s="1" t="s">
        <v>24</v>
      </c>
      <c r="K6347" s="1">
        <f t="shared" si="1"/>
        <v>2021</v>
      </c>
      <c r="L6347" s="1" t="str">
        <f t="shared" si="2"/>
        <v>Jun</v>
      </c>
      <c r="M6347" s="1" t="str">
        <f t="shared" si="3"/>
        <v>Profit</v>
      </c>
    </row>
    <row r="6348" ht="14.25" customHeight="1">
      <c r="A6348" s="1" t="s">
        <v>6382</v>
      </c>
      <c r="B6348" s="2">
        <v>45204.0</v>
      </c>
      <c r="C6348" s="1" t="s">
        <v>26</v>
      </c>
      <c r="D6348" s="1" t="s">
        <v>27</v>
      </c>
      <c r="E6348" s="1" t="s">
        <v>28</v>
      </c>
      <c r="F6348" s="1">
        <v>906.14</v>
      </c>
      <c r="G6348" s="1">
        <v>247.67</v>
      </c>
      <c r="H6348" s="1">
        <v>5.0</v>
      </c>
      <c r="I6348" s="1" t="s">
        <v>17</v>
      </c>
      <c r="J6348" s="1" t="s">
        <v>18</v>
      </c>
      <c r="K6348" s="1">
        <f t="shared" si="1"/>
        <v>2023</v>
      </c>
      <c r="L6348" s="1" t="str">
        <f t="shared" si="2"/>
        <v>Oct</v>
      </c>
      <c r="M6348" s="1" t="str">
        <f t="shared" si="3"/>
        <v>Profit</v>
      </c>
    </row>
    <row r="6349" ht="14.25" customHeight="1">
      <c r="A6349" s="1" t="s">
        <v>6383</v>
      </c>
      <c r="B6349" s="2">
        <v>44531.0</v>
      </c>
      <c r="C6349" s="1" t="s">
        <v>26</v>
      </c>
      <c r="D6349" s="1" t="s">
        <v>15</v>
      </c>
      <c r="E6349" s="1" t="s">
        <v>54</v>
      </c>
      <c r="F6349" s="1">
        <v>96.27</v>
      </c>
      <c r="G6349" s="1">
        <v>285.15</v>
      </c>
      <c r="H6349" s="1">
        <v>6.0</v>
      </c>
      <c r="I6349" s="1" t="s">
        <v>23</v>
      </c>
      <c r="J6349" s="1" t="s">
        <v>24</v>
      </c>
      <c r="K6349" s="1">
        <f t="shared" si="1"/>
        <v>2021</v>
      </c>
      <c r="L6349" s="1" t="str">
        <f t="shared" si="2"/>
        <v>Dec</v>
      </c>
      <c r="M6349" s="1" t="str">
        <f t="shared" si="3"/>
        <v>Profit</v>
      </c>
    </row>
    <row r="6350" ht="14.25" customHeight="1">
      <c r="A6350" s="1" t="s">
        <v>6384</v>
      </c>
      <c r="B6350" s="2">
        <v>45051.0</v>
      </c>
      <c r="C6350" s="1" t="s">
        <v>30</v>
      </c>
      <c r="D6350" s="1" t="s">
        <v>21</v>
      </c>
      <c r="E6350" s="1" t="s">
        <v>37</v>
      </c>
      <c r="F6350" s="1">
        <v>533.86</v>
      </c>
      <c r="G6350" s="1">
        <v>292.05</v>
      </c>
      <c r="H6350" s="1">
        <v>6.0</v>
      </c>
      <c r="I6350" s="1" t="s">
        <v>17</v>
      </c>
      <c r="J6350" s="1" t="s">
        <v>38</v>
      </c>
      <c r="K6350" s="1">
        <f t="shared" si="1"/>
        <v>2023</v>
      </c>
      <c r="L6350" s="1" t="str">
        <f t="shared" si="2"/>
        <v>May</v>
      </c>
      <c r="M6350" s="1" t="str">
        <f t="shared" si="3"/>
        <v>Profit</v>
      </c>
    </row>
    <row r="6351" ht="14.25" customHeight="1">
      <c r="A6351" s="1" t="s">
        <v>6385</v>
      </c>
      <c r="B6351" s="2">
        <v>45040.0</v>
      </c>
      <c r="C6351" s="1" t="s">
        <v>20</v>
      </c>
      <c r="D6351" s="1" t="s">
        <v>15</v>
      </c>
      <c r="E6351" s="1" t="s">
        <v>31</v>
      </c>
      <c r="F6351" s="1">
        <v>229.26</v>
      </c>
      <c r="G6351" s="1">
        <v>-93.29</v>
      </c>
      <c r="H6351" s="1">
        <v>10.0</v>
      </c>
      <c r="I6351" s="1" t="s">
        <v>34</v>
      </c>
      <c r="J6351" s="1" t="s">
        <v>38</v>
      </c>
      <c r="K6351" s="1">
        <f t="shared" si="1"/>
        <v>2023</v>
      </c>
      <c r="L6351" s="1" t="str">
        <f t="shared" si="2"/>
        <v>Apr</v>
      </c>
      <c r="M6351" s="1" t="str">
        <f t="shared" si="3"/>
        <v>Loss</v>
      </c>
    </row>
    <row r="6352" ht="14.25" customHeight="1">
      <c r="A6352" s="1" t="s">
        <v>6386</v>
      </c>
      <c r="B6352" s="2">
        <v>44271.0</v>
      </c>
      <c r="C6352" s="1" t="s">
        <v>20</v>
      </c>
      <c r="D6352" s="1" t="s">
        <v>15</v>
      </c>
      <c r="E6352" s="1" t="s">
        <v>54</v>
      </c>
      <c r="F6352" s="1">
        <v>820.84</v>
      </c>
      <c r="G6352" s="1">
        <v>-176.48</v>
      </c>
      <c r="H6352" s="1">
        <v>8.0</v>
      </c>
      <c r="I6352" s="1" t="s">
        <v>23</v>
      </c>
      <c r="J6352" s="1" t="s">
        <v>18</v>
      </c>
      <c r="K6352" s="1">
        <f t="shared" si="1"/>
        <v>2021</v>
      </c>
      <c r="L6352" s="1" t="str">
        <f t="shared" si="2"/>
        <v>Mar</v>
      </c>
      <c r="M6352" s="1" t="str">
        <f t="shared" si="3"/>
        <v>Loss</v>
      </c>
    </row>
    <row r="6353" ht="14.25" customHeight="1">
      <c r="A6353" s="1" t="s">
        <v>6387</v>
      </c>
      <c r="B6353" s="2">
        <v>44253.0</v>
      </c>
      <c r="C6353" s="1" t="s">
        <v>26</v>
      </c>
      <c r="D6353" s="1" t="s">
        <v>27</v>
      </c>
      <c r="E6353" s="1" t="s">
        <v>40</v>
      </c>
      <c r="F6353" s="1">
        <v>344.87</v>
      </c>
      <c r="G6353" s="1">
        <v>238.82</v>
      </c>
      <c r="H6353" s="1">
        <v>7.0</v>
      </c>
      <c r="I6353" s="1" t="s">
        <v>23</v>
      </c>
      <c r="J6353" s="1" t="s">
        <v>18</v>
      </c>
      <c r="K6353" s="1">
        <f t="shared" si="1"/>
        <v>2021</v>
      </c>
      <c r="L6353" s="1" t="str">
        <f t="shared" si="2"/>
        <v>Feb</v>
      </c>
      <c r="M6353" s="1" t="str">
        <f t="shared" si="3"/>
        <v>Profit</v>
      </c>
    </row>
    <row r="6354" ht="14.25" customHeight="1">
      <c r="A6354" s="1" t="s">
        <v>6388</v>
      </c>
      <c r="B6354" s="2">
        <v>45256.0</v>
      </c>
      <c r="C6354" s="1" t="s">
        <v>20</v>
      </c>
      <c r="D6354" s="1" t="s">
        <v>15</v>
      </c>
      <c r="E6354" s="1" t="s">
        <v>54</v>
      </c>
      <c r="F6354" s="1">
        <v>343.21</v>
      </c>
      <c r="G6354" s="1">
        <v>-70.1</v>
      </c>
      <c r="H6354" s="1">
        <v>9.0</v>
      </c>
      <c r="I6354" s="1" t="s">
        <v>23</v>
      </c>
      <c r="J6354" s="1" t="s">
        <v>18</v>
      </c>
      <c r="K6354" s="1">
        <f t="shared" si="1"/>
        <v>2023</v>
      </c>
      <c r="L6354" s="1" t="str">
        <f t="shared" si="2"/>
        <v>Nov</v>
      </c>
      <c r="M6354" s="1" t="str">
        <f t="shared" si="3"/>
        <v>Loss</v>
      </c>
    </row>
    <row r="6355" ht="14.25" customHeight="1">
      <c r="A6355" s="1" t="s">
        <v>6389</v>
      </c>
      <c r="B6355" s="2">
        <v>44951.0</v>
      </c>
      <c r="C6355" s="1" t="s">
        <v>20</v>
      </c>
      <c r="D6355" s="1" t="s">
        <v>15</v>
      </c>
      <c r="E6355" s="1" t="s">
        <v>31</v>
      </c>
      <c r="F6355" s="1">
        <v>468.52</v>
      </c>
      <c r="G6355" s="1">
        <v>19.49</v>
      </c>
      <c r="H6355" s="1">
        <v>9.0</v>
      </c>
      <c r="I6355" s="1" t="s">
        <v>34</v>
      </c>
      <c r="J6355" s="1" t="s">
        <v>24</v>
      </c>
      <c r="K6355" s="1">
        <f t="shared" si="1"/>
        <v>2023</v>
      </c>
      <c r="L6355" s="1" t="str">
        <f t="shared" si="2"/>
        <v>Jan</v>
      </c>
      <c r="M6355" s="1" t="str">
        <f t="shared" si="3"/>
        <v>Profit</v>
      </c>
    </row>
    <row r="6356" ht="14.25" customHeight="1">
      <c r="A6356" s="1" t="s">
        <v>6390</v>
      </c>
      <c r="B6356" s="2">
        <v>44776.0</v>
      </c>
      <c r="C6356" s="1" t="s">
        <v>20</v>
      </c>
      <c r="D6356" s="1" t="s">
        <v>27</v>
      </c>
      <c r="E6356" s="1" t="s">
        <v>40</v>
      </c>
      <c r="F6356" s="1">
        <v>570.0</v>
      </c>
      <c r="G6356" s="1">
        <v>244.44</v>
      </c>
      <c r="H6356" s="1">
        <v>1.0</v>
      </c>
      <c r="I6356" s="1" t="s">
        <v>17</v>
      </c>
      <c r="J6356" s="1" t="s">
        <v>24</v>
      </c>
      <c r="K6356" s="1">
        <f t="shared" si="1"/>
        <v>2022</v>
      </c>
      <c r="L6356" s="1" t="str">
        <f t="shared" si="2"/>
        <v>Aug</v>
      </c>
      <c r="M6356" s="1" t="str">
        <f t="shared" si="3"/>
        <v>Profit</v>
      </c>
    </row>
    <row r="6357" ht="14.25" customHeight="1">
      <c r="A6357" s="1" t="s">
        <v>6391</v>
      </c>
      <c r="B6357" s="2">
        <v>44704.0</v>
      </c>
      <c r="C6357" s="1" t="s">
        <v>26</v>
      </c>
      <c r="D6357" s="1" t="s">
        <v>15</v>
      </c>
      <c r="E6357" s="1" t="s">
        <v>16</v>
      </c>
      <c r="F6357" s="1">
        <v>623.52</v>
      </c>
      <c r="G6357" s="1">
        <v>80.7</v>
      </c>
      <c r="H6357" s="1">
        <v>9.0</v>
      </c>
      <c r="I6357" s="1" t="s">
        <v>34</v>
      </c>
      <c r="J6357" s="1" t="s">
        <v>24</v>
      </c>
      <c r="K6357" s="1">
        <f t="shared" si="1"/>
        <v>2022</v>
      </c>
      <c r="L6357" s="1" t="str">
        <f t="shared" si="2"/>
        <v>May</v>
      </c>
      <c r="M6357" s="1" t="str">
        <f t="shared" si="3"/>
        <v>Profit</v>
      </c>
    </row>
    <row r="6358" ht="14.25" customHeight="1">
      <c r="A6358" s="1" t="s">
        <v>6392</v>
      </c>
      <c r="B6358" s="2">
        <v>44372.0</v>
      </c>
      <c r="C6358" s="1" t="s">
        <v>26</v>
      </c>
      <c r="D6358" s="1" t="s">
        <v>15</v>
      </c>
      <c r="E6358" s="1" t="s">
        <v>31</v>
      </c>
      <c r="F6358" s="1">
        <v>495.26</v>
      </c>
      <c r="G6358" s="1">
        <v>35.01</v>
      </c>
      <c r="H6358" s="1">
        <v>10.0</v>
      </c>
      <c r="I6358" s="1" t="s">
        <v>17</v>
      </c>
      <c r="J6358" s="1" t="s">
        <v>38</v>
      </c>
      <c r="K6358" s="1">
        <f t="shared" si="1"/>
        <v>2021</v>
      </c>
      <c r="L6358" s="1" t="str">
        <f t="shared" si="2"/>
        <v>Jun</v>
      </c>
      <c r="M6358" s="1" t="str">
        <f t="shared" si="3"/>
        <v>Profit</v>
      </c>
    </row>
    <row r="6359" ht="14.25" customHeight="1">
      <c r="A6359" s="1" t="s">
        <v>6393</v>
      </c>
      <c r="B6359" s="2">
        <v>44485.0</v>
      </c>
      <c r="C6359" s="1" t="s">
        <v>26</v>
      </c>
      <c r="D6359" s="1" t="s">
        <v>27</v>
      </c>
      <c r="E6359" s="1" t="s">
        <v>33</v>
      </c>
      <c r="F6359" s="1">
        <v>899.27</v>
      </c>
      <c r="G6359" s="1">
        <v>272.61</v>
      </c>
      <c r="H6359" s="1">
        <v>8.0</v>
      </c>
      <c r="I6359" s="1" t="s">
        <v>34</v>
      </c>
      <c r="J6359" s="1" t="s">
        <v>24</v>
      </c>
      <c r="K6359" s="1">
        <f t="shared" si="1"/>
        <v>2021</v>
      </c>
      <c r="L6359" s="1" t="str">
        <f t="shared" si="2"/>
        <v>Oct</v>
      </c>
      <c r="M6359" s="1" t="str">
        <f t="shared" si="3"/>
        <v>Profit</v>
      </c>
    </row>
    <row r="6360" ht="14.25" customHeight="1">
      <c r="A6360" s="1" t="s">
        <v>6394</v>
      </c>
      <c r="B6360" s="2">
        <v>44702.0</v>
      </c>
      <c r="C6360" s="1" t="s">
        <v>14</v>
      </c>
      <c r="D6360" s="1" t="s">
        <v>27</v>
      </c>
      <c r="E6360" s="1" t="s">
        <v>40</v>
      </c>
      <c r="F6360" s="1">
        <v>214.39</v>
      </c>
      <c r="G6360" s="1">
        <v>-67.98</v>
      </c>
      <c r="H6360" s="1">
        <v>10.0</v>
      </c>
      <c r="I6360" s="1" t="s">
        <v>34</v>
      </c>
      <c r="J6360" s="1" t="s">
        <v>38</v>
      </c>
      <c r="K6360" s="1">
        <f t="shared" si="1"/>
        <v>2022</v>
      </c>
      <c r="L6360" s="1" t="str">
        <f t="shared" si="2"/>
        <v>May</v>
      </c>
      <c r="M6360" s="1" t="str">
        <f t="shared" si="3"/>
        <v>Loss</v>
      </c>
    </row>
    <row r="6361" ht="14.25" customHeight="1">
      <c r="A6361" s="1" t="s">
        <v>6395</v>
      </c>
      <c r="B6361" s="2">
        <v>44924.0</v>
      </c>
      <c r="C6361" s="1" t="s">
        <v>30</v>
      </c>
      <c r="D6361" s="1" t="s">
        <v>15</v>
      </c>
      <c r="E6361" s="1" t="s">
        <v>54</v>
      </c>
      <c r="F6361" s="1">
        <v>876.25</v>
      </c>
      <c r="G6361" s="1">
        <v>167.66</v>
      </c>
      <c r="H6361" s="1">
        <v>6.0</v>
      </c>
      <c r="I6361" s="1" t="s">
        <v>17</v>
      </c>
      <c r="J6361" s="1" t="s">
        <v>35</v>
      </c>
      <c r="K6361" s="1">
        <f t="shared" si="1"/>
        <v>2022</v>
      </c>
      <c r="L6361" s="1" t="str">
        <f t="shared" si="2"/>
        <v>Dec</v>
      </c>
      <c r="M6361" s="1" t="str">
        <f t="shared" si="3"/>
        <v>Profit</v>
      </c>
    </row>
    <row r="6362" ht="14.25" customHeight="1">
      <c r="A6362" s="1" t="s">
        <v>6396</v>
      </c>
      <c r="B6362" s="2">
        <v>45200.0</v>
      </c>
      <c r="C6362" s="1" t="s">
        <v>14</v>
      </c>
      <c r="D6362" s="1" t="s">
        <v>21</v>
      </c>
      <c r="E6362" s="1" t="s">
        <v>22</v>
      </c>
      <c r="F6362" s="1">
        <v>374.57</v>
      </c>
      <c r="G6362" s="1">
        <v>236.29</v>
      </c>
      <c r="H6362" s="1">
        <v>7.0</v>
      </c>
      <c r="I6362" s="1" t="s">
        <v>34</v>
      </c>
      <c r="J6362" s="1" t="s">
        <v>24</v>
      </c>
      <c r="K6362" s="1">
        <f t="shared" si="1"/>
        <v>2023</v>
      </c>
      <c r="L6362" s="1" t="str">
        <f t="shared" si="2"/>
        <v>Oct</v>
      </c>
      <c r="M6362" s="1" t="str">
        <f t="shared" si="3"/>
        <v>Profit</v>
      </c>
    </row>
    <row r="6363" ht="14.25" customHeight="1">
      <c r="A6363" s="1" t="s">
        <v>6397</v>
      </c>
      <c r="B6363" s="2">
        <v>44361.0</v>
      </c>
      <c r="C6363" s="1" t="s">
        <v>14</v>
      </c>
      <c r="D6363" s="1" t="s">
        <v>27</v>
      </c>
      <c r="E6363" s="1" t="s">
        <v>33</v>
      </c>
      <c r="F6363" s="1">
        <v>218.46</v>
      </c>
      <c r="G6363" s="1">
        <v>64.94</v>
      </c>
      <c r="H6363" s="1">
        <v>4.0</v>
      </c>
      <c r="I6363" s="1" t="s">
        <v>17</v>
      </c>
      <c r="J6363" s="1" t="s">
        <v>35</v>
      </c>
      <c r="K6363" s="1">
        <f t="shared" si="1"/>
        <v>2021</v>
      </c>
      <c r="L6363" s="1" t="str">
        <f t="shared" si="2"/>
        <v>Jun</v>
      </c>
      <c r="M6363" s="1" t="str">
        <f t="shared" si="3"/>
        <v>Profit</v>
      </c>
    </row>
    <row r="6364" ht="14.25" customHeight="1">
      <c r="A6364" s="1" t="s">
        <v>6398</v>
      </c>
      <c r="B6364" s="2">
        <v>44492.0</v>
      </c>
      <c r="C6364" s="1" t="s">
        <v>30</v>
      </c>
      <c r="D6364" s="1" t="s">
        <v>27</v>
      </c>
      <c r="E6364" s="1" t="s">
        <v>28</v>
      </c>
      <c r="F6364" s="1">
        <v>267.85</v>
      </c>
      <c r="G6364" s="1">
        <v>-157.06</v>
      </c>
      <c r="H6364" s="1">
        <v>8.0</v>
      </c>
      <c r="I6364" s="1" t="s">
        <v>34</v>
      </c>
      <c r="J6364" s="1" t="s">
        <v>38</v>
      </c>
      <c r="K6364" s="1">
        <f t="shared" si="1"/>
        <v>2021</v>
      </c>
      <c r="L6364" s="1" t="str">
        <f t="shared" si="2"/>
        <v>Oct</v>
      </c>
      <c r="M6364" s="1" t="str">
        <f t="shared" si="3"/>
        <v>Loss</v>
      </c>
    </row>
    <row r="6365" ht="14.25" customHeight="1">
      <c r="A6365" s="1" t="s">
        <v>6399</v>
      </c>
      <c r="B6365" s="2">
        <v>45079.0</v>
      </c>
      <c r="C6365" s="1" t="s">
        <v>26</v>
      </c>
      <c r="D6365" s="1" t="s">
        <v>27</v>
      </c>
      <c r="E6365" s="1" t="s">
        <v>33</v>
      </c>
      <c r="F6365" s="1">
        <v>75.6</v>
      </c>
      <c r="G6365" s="1">
        <v>275.18</v>
      </c>
      <c r="H6365" s="1">
        <v>3.0</v>
      </c>
      <c r="I6365" s="1" t="s">
        <v>17</v>
      </c>
      <c r="J6365" s="1" t="s">
        <v>24</v>
      </c>
      <c r="K6365" s="1">
        <f t="shared" si="1"/>
        <v>2023</v>
      </c>
      <c r="L6365" s="1" t="str">
        <f t="shared" si="2"/>
        <v>Jun</v>
      </c>
      <c r="M6365" s="1" t="str">
        <f t="shared" si="3"/>
        <v>Profit</v>
      </c>
    </row>
    <row r="6366" ht="14.25" customHeight="1">
      <c r="A6366" s="1" t="s">
        <v>6400</v>
      </c>
      <c r="B6366" s="2">
        <v>45151.0</v>
      </c>
      <c r="C6366" s="1" t="s">
        <v>14</v>
      </c>
      <c r="D6366" s="1" t="s">
        <v>15</v>
      </c>
      <c r="E6366" s="1" t="s">
        <v>54</v>
      </c>
      <c r="F6366" s="1">
        <v>750.38</v>
      </c>
      <c r="G6366" s="1">
        <v>138.43</v>
      </c>
      <c r="H6366" s="1">
        <v>5.0</v>
      </c>
      <c r="I6366" s="1" t="s">
        <v>23</v>
      </c>
      <c r="J6366" s="1" t="s">
        <v>18</v>
      </c>
      <c r="K6366" s="1">
        <f t="shared" si="1"/>
        <v>2023</v>
      </c>
      <c r="L6366" s="1" t="str">
        <f t="shared" si="2"/>
        <v>Aug</v>
      </c>
      <c r="M6366" s="1" t="str">
        <f t="shared" si="3"/>
        <v>Profit</v>
      </c>
    </row>
    <row r="6367" ht="14.25" customHeight="1">
      <c r="A6367" s="1" t="s">
        <v>6401</v>
      </c>
      <c r="B6367" s="2">
        <v>45137.0</v>
      </c>
      <c r="C6367" s="1" t="s">
        <v>26</v>
      </c>
      <c r="D6367" s="1" t="s">
        <v>15</v>
      </c>
      <c r="E6367" s="1" t="s">
        <v>54</v>
      </c>
      <c r="F6367" s="1">
        <v>692.4</v>
      </c>
      <c r="G6367" s="1">
        <v>-85.43</v>
      </c>
      <c r="H6367" s="1">
        <v>4.0</v>
      </c>
      <c r="I6367" s="1" t="s">
        <v>17</v>
      </c>
      <c r="J6367" s="1" t="s">
        <v>18</v>
      </c>
      <c r="K6367" s="1">
        <f t="shared" si="1"/>
        <v>2023</v>
      </c>
      <c r="L6367" s="1" t="str">
        <f t="shared" si="2"/>
        <v>Jul</v>
      </c>
      <c r="M6367" s="1" t="str">
        <f t="shared" si="3"/>
        <v>Loss</v>
      </c>
    </row>
    <row r="6368" ht="14.25" customHeight="1">
      <c r="A6368" s="1" t="s">
        <v>6402</v>
      </c>
      <c r="B6368" s="2">
        <v>44462.0</v>
      </c>
      <c r="C6368" s="1" t="s">
        <v>26</v>
      </c>
      <c r="D6368" s="1" t="s">
        <v>21</v>
      </c>
      <c r="E6368" s="1" t="s">
        <v>37</v>
      </c>
      <c r="F6368" s="1">
        <v>540.12</v>
      </c>
      <c r="G6368" s="1">
        <v>84.43</v>
      </c>
      <c r="H6368" s="1">
        <v>2.0</v>
      </c>
      <c r="I6368" s="1" t="s">
        <v>34</v>
      </c>
      <c r="J6368" s="1" t="s">
        <v>18</v>
      </c>
      <c r="K6368" s="1">
        <f t="shared" si="1"/>
        <v>2021</v>
      </c>
      <c r="L6368" s="1" t="str">
        <f t="shared" si="2"/>
        <v>Sep</v>
      </c>
      <c r="M6368" s="1" t="str">
        <f t="shared" si="3"/>
        <v>Profit</v>
      </c>
    </row>
    <row r="6369" ht="14.25" customHeight="1">
      <c r="A6369" s="1" t="s">
        <v>6403</v>
      </c>
      <c r="B6369" s="2">
        <v>44492.0</v>
      </c>
      <c r="C6369" s="1" t="s">
        <v>20</v>
      </c>
      <c r="D6369" s="1" t="s">
        <v>15</v>
      </c>
      <c r="E6369" s="1" t="s">
        <v>16</v>
      </c>
      <c r="F6369" s="1">
        <v>225.98</v>
      </c>
      <c r="G6369" s="1">
        <v>-188.62</v>
      </c>
      <c r="H6369" s="1">
        <v>5.0</v>
      </c>
      <c r="I6369" s="1" t="s">
        <v>34</v>
      </c>
      <c r="J6369" s="1" t="s">
        <v>38</v>
      </c>
      <c r="K6369" s="1">
        <f t="shared" si="1"/>
        <v>2021</v>
      </c>
      <c r="L6369" s="1" t="str">
        <f t="shared" si="2"/>
        <v>Oct</v>
      </c>
      <c r="M6369" s="1" t="str">
        <f t="shared" si="3"/>
        <v>Loss</v>
      </c>
    </row>
    <row r="6370" ht="14.25" customHeight="1">
      <c r="A6370" s="1" t="s">
        <v>6404</v>
      </c>
      <c r="B6370" s="2">
        <v>44569.0</v>
      </c>
      <c r="C6370" s="1" t="s">
        <v>26</v>
      </c>
      <c r="D6370" s="1" t="s">
        <v>27</v>
      </c>
      <c r="E6370" s="1" t="s">
        <v>40</v>
      </c>
      <c r="F6370" s="1">
        <v>708.4</v>
      </c>
      <c r="G6370" s="1">
        <v>-152.94</v>
      </c>
      <c r="H6370" s="1">
        <v>7.0</v>
      </c>
      <c r="I6370" s="1" t="s">
        <v>17</v>
      </c>
      <c r="J6370" s="1" t="s">
        <v>38</v>
      </c>
      <c r="K6370" s="1">
        <f t="shared" si="1"/>
        <v>2022</v>
      </c>
      <c r="L6370" s="1" t="str">
        <f t="shared" si="2"/>
        <v>Jan</v>
      </c>
      <c r="M6370" s="1" t="str">
        <f t="shared" si="3"/>
        <v>Loss</v>
      </c>
    </row>
    <row r="6371" ht="14.25" customHeight="1">
      <c r="A6371" s="1" t="s">
        <v>6405</v>
      </c>
      <c r="B6371" s="2">
        <v>44872.0</v>
      </c>
      <c r="C6371" s="1" t="s">
        <v>14</v>
      </c>
      <c r="D6371" s="1" t="s">
        <v>21</v>
      </c>
      <c r="E6371" s="1" t="s">
        <v>37</v>
      </c>
      <c r="F6371" s="1">
        <v>939.7</v>
      </c>
      <c r="G6371" s="1">
        <v>-27.71</v>
      </c>
      <c r="H6371" s="1">
        <v>8.0</v>
      </c>
      <c r="I6371" s="1" t="s">
        <v>23</v>
      </c>
      <c r="J6371" s="1" t="s">
        <v>38</v>
      </c>
      <c r="K6371" s="1">
        <f t="shared" si="1"/>
        <v>2022</v>
      </c>
      <c r="L6371" s="1" t="str">
        <f t="shared" si="2"/>
        <v>Nov</v>
      </c>
      <c r="M6371" s="1" t="str">
        <f t="shared" si="3"/>
        <v>Loss</v>
      </c>
    </row>
    <row r="6372" ht="14.25" customHeight="1">
      <c r="A6372" s="1" t="s">
        <v>6406</v>
      </c>
      <c r="B6372" s="2">
        <v>44991.0</v>
      </c>
      <c r="C6372" s="1" t="s">
        <v>20</v>
      </c>
      <c r="D6372" s="1" t="s">
        <v>15</v>
      </c>
      <c r="E6372" s="1" t="s">
        <v>31</v>
      </c>
      <c r="F6372" s="1">
        <v>101.56</v>
      </c>
      <c r="G6372" s="1">
        <v>-23.6</v>
      </c>
      <c r="H6372" s="1">
        <v>10.0</v>
      </c>
      <c r="I6372" s="1" t="s">
        <v>17</v>
      </c>
      <c r="J6372" s="1" t="s">
        <v>35</v>
      </c>
      <c r="K6372" s="1">
        <f t="shared" si="1"/>
        <v>2023</v>
      </c>
      <c r="L6372" s="1" t="str">
        <f t="shared" si="2"/>
        <v>Mar</v>
      </c>
      <c r="M6372" s="1" t="str">
        <f t="shared" si="3"/>
        <v>Loss</v>
      </c>
    </row>
    <row r="6373" ht="14.25" customHeight="1">
      <c r="A6373" s="1" t="s">
        <v>6407</v>
      </c>
      <c r="B6373" s="2">
        <v>44290.0</v>
      </c>
      <c r="C6373" s="1" t="s">
        <v>14</v>
      </c>
      <c r="D6373" s="1" t="s">
        <v>15</v>
      </c>
      <c r="E6373" s="1" t="s">
        <v>31</v>
      </c>
      <c r="F6373" s="1">
        <v>523.96</v>
      </c>
      <c r="G6373" s="1">
        <v>143.64</v>
      </c>
      <c r="H6373" s="1">
        <v>3.0</v>
      </c>
      <c r="I6373" s="1" t="s">
        <v>34</v>
      </c>
      <c r="J6373" s="1" t="s">
        <v>18</v>
      </c>
      <c r="K6373" s="1">
        <f t="shared" si="1"/>
        <v>2021</v>
      </c>
      <c r="L6373" s="1" t="str">
        <f t="shared" si="2"/>
        <v>Apr</v>
      </c>
      <c r="M6373" s="1" t="str">
        <f t="shared" si="3"/>
        <v>Profit</v>
      </c>
    </row>
    <row r="6374" ht="14.25" customHeight="1">
      <c r="A6374" s="1" t="s">
        <v>6408</v>
      </c>
      <c r="B6374" s="2">
        <v>44848.0</v>
      </c>
      <c r="C6374" s="1" t="s">
        <v>30</v>
      </c>
      <c r="D6374" s="1" t="s">
        <v>21</v>
      </c>
      <c r="E6374" s="1" t="s">
        <v>37</v>
      </c>
      <c r="F6374" s="1">
        <v>995.85</v>
      </c>
      <c r="G6374" s="1">
        <v>-159.64</v>
      </c>
      <c r="H6374" s="1">
        <v>2.0</v>
      </c>
      <c r="I6374" s="1" t="s">
        <v>34</v>
      </c>
      <c r="J6374" s="1" t="s">
        <v>35</v>
      </c>
      <c r="K6374" s="1">
        <f t="shared" si="1"/>
        <v>2022</v>
      </c>
      <c r="L6374" s="1" t="str">
        <f t="shared" si="2"/>
        <v>Oct</v>
      </c>
      <c r="M6374" s="1" t="str">
        <f t="shared" si="3"/>
        <v>Loss</v>
      </c>
    </row>
    <row r="6375" ht="14.25" customHeight="1">
      <c r="A6375" s="1" t="s">
        <v>6409</v>
      </c>
      <c r="B6375" s="2">
        <v>45027.0</v>
      </c>
      <c r="C6375" s="1" t="s">
        <v>20</v>
      </c>
      <c r="D6375" s="1" t="s">
        <v>15</v>
      </c>
      <c r="E6375" s="1" t="s">
        <v>54</v>
      </c>
      <c r="F6375" s="1">
        <v>988.84</v>
      </c>
      <c r="G6375" s="1">
        <v>203.62</v>
      </c>
      <c r="H6375" s="1">
        <v>8.0</v>
      </c>
      <c r="I6375" s="1" t="s">
        <v>34</v>
      </c>
      <c r="J6375" s="1" t="s">
        <v>18</v>
      </c>
      <c r="K6375" s="1">
        <f t="shared" si="1"/>
        <v>2023</v>
      </c>
      <c r="L6375" s="1" t="str">
        <f t="shared" si="2"/>
        <v>Apr</v>
      </c>
      <c r="M6375" s="1" t="str">
        <f t="shared" si="3"/>
        <v>Profit</v>
      </c>
    </row>
    <row r="6376" ht="14.25" customHeight="1">
      <c r="A6376" s="1" t="s">
        <v>6410</v>
      </c>
      <c r="B6376" s="2">
        <v>44826.0</v>
      </c>
      <c r="C6376" s="1" t="s">
        <v>30</v>
      </c>
      <c r="D6376" s="1" t="s">
        <v>15</v>
      </c>
      <c r="E6376" s="1" t="s">
        <v>16</v>
      </c>
      <c r="F6376" s="1">
        <v>587.27</v>
      </c>
      <c r="G6376" s="1">
        <v>211.29</v>
      </c>
      <c r="H6376" s="1">
        <v>4.0</v>
      </c>
      <c r="I6376" s="1" t="s">
        <v>17</v>
      </c>
      <c r="J6376" s="1" t="s">
        <v>24</v>
      </c>
      <c r="K6376" s="1">
        <f t="shared" si="1"/>
        <v>2022</v>
      </c>
      <c r="L6376" s="1" t="str">
        <f t="shared" si="2"/>
        <v>Sep</v>
      </c>
      <c r="M6376" s="1" t="str">
        <f t="shared" si="3"/>
        <v>Profit</v>
      </c>
    </row>
    <row r="6377" ht="14.25" customHeight="1">
      <c r="A6377" s="1" t="s">
        <v>6411</v>
      </c>
      <c r="B6377" s="2">
        <v>44508.0</v>
      </c>
      <c r="C6377" s="1" t="s">
        <v>26</v>
      </c>
      <c r="D6377" s="1" t="s">
        <v>21</v>
      </c>
      <c r="E6377" s="1" t="s">
        <v>37</v>
      </c>
      <c r="F6377" s="1">
        <v>401.92</v>
      </c>
      <c r="G6377" s="1">
        <v>114.69</v>
      </c>
      <c r="H6377" s="1">
        <v>4.0</v>
      </c>
      <c r="I6377" s="1" t="s">
        <v>34</v>
      </c>
      <c r="J6377" s="1" t="s">
        <v>18</v>
      </c>
      <c r="K6377" s="1">
        <f t="shared" si="1"/>
        <v>2021</v>
      </c>
      <c r="L6377" s="1" t="str">
        <f t="shared" si="2"/>
        <v>Nov</v>
      </c>
      <c r="M6377" s="1" t="str">
        <f t="shared" si="3"/>
        <v>Profit</v>
      </c>
    </row>
    <row r="6378" ht="14.25" customHeight="1">
      <c r="A6378" s="1" t="s">
        <v>6412</v>
      </c>
      <c r="B6378" s="2">
        <v>44555.0</v>
      </c>
      <c r="C6378" s="1" t="s">
        <v>20</v>
      </c>
      <c r="D6378" s="1" t="s">
        <v>27</v>
      </c>
      <c r="E6378" s="1" t="s">
        <v>33</v>
      </c>
      <c r="F6378" s="1">
        <v>916.84</v>
      </c>
      <c r="G6378" s="1">
        <v>63.05</v>
      </c>
      <c r="H6378" s="1">
        <v>4.0</v>
      </c>
      <c r="I6378" s="1" t="s">
        <v>34</v>
      </c>
      <c r="J6378" s="1" t="s">
        <v>18</v>
      </c>
      <c r="K6378" s="1">
        <f t="shared" si="1"/>
        <v>2021</v>
      </c>
      <c r="L6378" s="1" t="str">
        <f t="shared" si="2"/>
        <v>Dec</v>
      </c>
      <c r="M6378" s="1" t="str">
        <f t="shared" si="3"/>
        <v>Profit</v>
      </c>
    </row>
    <row r="6379" ht="14.25" customHeight="1">
      <c r="A6379" s="1" t="s">
        <v>6413</v>
      </c>
      <c r="B6379" s="2">
        <v>44396.0</v>
      </c>
      <c r="C6379" s="1" t="s">
        <v>26</v>
      </c>
      <c r="D6379" s="1" t="s">
        <v>21</v>
      </c>
      <c r="E6379" s="1" t="s">
        <v>37</v>
      </c>
      <c r="F6379" s="1">
        <v>86.08</v>
      </c>
      <c r="G6379" s="1">
        <v>-72.93</v>
      </c>
      <c r="H6379" s="1">
        <v>1.0</v>
      </c>
      <c r="I6379" s="1" t="s">
        <v>34</v>
      </c>
      <c r="J6379" s="1" t="s">
        <v>24</v>
      </c>
      <c r="K6379" s="1">
        <f t="shared" si="1"/>
        <v>2021</v>
      </c>
      <c r="L6379" s="1" t="str">
        <f t="shared" si="2"/>
        <v>Jul</v>
      </c>
      <c r="M6379" s="1" t="str">
        <f t="shared" si="3"/>
        <v>Loss</v>
      </c>
    </row>
    <row r="6380" ht="14.25" customHeight="1">
      <c r="A6380" s="1" t="s">
        <v>6414</v>
      </c>
      <c r="B6380" s="2">
        <v>44787.0</v>
      </c>
      <c r="C6380" s="1" t="s">
        <v>26</v>
      </c>
      <c r="D6380" s="1" t="s">
        <v>15</v>
      </c>
      <c r="E6380" s="1" t="s">
        <v>31</v>
      </c>
      <c r="F6380" s="1">
        <v>190.09</v>
      </c>
      <c r="G6380" s="1">
        <v>282.36</v>
      </c>
      <c r="H6380" s="1">
        <v>4.0</v>
      </c>
      <c r="I6380" s="1" t="s">
        <v>17</v>
      </c>
      <c r="J6380" s="1" t="s">
        <v>35</v>
      </c>
      <c r="K6380" s="1">
        <f t="shared" si="1"/>
        <v>2022</v>
      </c>
      <c r="L6380" s="1" t="str">
        <f t="shared" si="2"/>
        <v>Aug</v>
      </c>
      <c r="M6380" s="1" t="str">
        <f t="shared" si="3"/>
        <v>Profit</v>
      </c>
    </row>
    <row r="6381" ht="14.25" customHeight="1">
      <c r="A6381" s="1" t="s">
        <v>6415</v>
      </c>
      <c r="B6381" s="2">
        <v>45234.0</v>
      </c>
      <c r="C6381" s="1" t="s">
        <v>26</v>
      </c>
      <c r="D6381" s="1" t="s">
        <v>15</v>
      </c>
      <c r="E6381" s="1" t="s">
        <v>16</v>
      </c>
      <c r="F6381" s="1">
        <v>309.12</v>
      </c>
      <c r="G6381" s="1">
        <v>271.02</v>
      </c>
      <c r="H6381" s="1">
        <v>6.0</v>
      </c>
      <c r="I6381" s="1" t="s">
        <v>17</v>
      </c>
      <c r="J6381" s="1" t="s">
        <v>35</v>
      </c>
      <c r="K6381" s="1">
        <f t="shared" si="1"/>
        <v>2023</v>
      </c>
      <c r="L6381" s="1" t="str">
        <f t="shared" si="2"/>
        <v>Nov</v>
      </c>
      <c r="M6381" s="1" t="str">
        <f t="shared" si="3"/>
        <v>Profit</v>
      </c>
    </row>
    <row r="6382" ht="14.25" customHeight="1">
      <c r="A6382" s="1" t="s">
        <v>6416</v>
      </c>
      <c r="B6382" s="2">
        <v>44658.0</v>
      </c>
      <c r="C6382" s="1" t="s">
        <v>14</v>
      </c>
      <c r="D6382" s="1" t="s">
        <v>15</v>
      </c>
      <c r="E6382" s="1" t="s">
        <v>54</v>
      </c>
      <c r="F6382" s="1">
        <v>258.78</v>
      </c>
      <c r="G6382" s="1">
        <v>256.33</v>
      </c>
      <c r="H6382" s="1">
        <v>2.0</v>
      </c>
      <c r="I6382" s="1" t="s">
        <v>17</v>
      </c>
      <c r="J6382" s="1" t="s">
        <v>24</v>
      </c>
      <c r="K6382" s="1">
        <f t="shared" si="1"/>
        <v>2022</v>
      </c>
      <c r="L6382" s="1" t="str">
        <f t="shared" si="2"/>
        <v>Apr</v>
      </c>
      <c r="M6382" s="1" t="str">
        <f t="shared" si="3"/>
        <v>Profit</v>
      </c>
    </row>
    <row r="6383" ht="14.25" customHeight="1">
      <c r="A6383" s="1" t="s">
        <v>6417</v>
      </c>
      <c r="B6383" s="2">
        <v>44260.0</v>
      </c>
      <c r="C6383" s="1" t="s">
        <v>30</v>
      </c>
      <c r="D6383" s="1" t="s">
        <v>15</v>
      </c>
      <c r="E6383" s="1" t="s">
        <v>31</v>
      </c>
      <c r="F6383" s="1">
        <v>404.15</v>
      </c>
      <c r="G6383" s="1">
        <v>156.5</v>
      </c>
      <c r="H6383" s="1">
        <v>6.0</v>
      </c>
      <c r="I6383" s="1" t="s">
        <v>17</v>
      </c>
      <c r="J6383" s="1" t="s">
        <v>18</v>
      </c>
      <c r="K6383" s="1">
        <f t="shared" si="1"/>
        <v>2021</v>
      </c>
      <c r="L6383" s="1" t="str">
        <f t="shared" si="2"/>
        <v>Mar</v>
      </c>
      <c r="M6383" s="1" t="str">
        <f t="shared" si="3"/>
        <v>Profit</v>
      </c>
    </row>
    <row r="6384" ht="14.25" customHeight="1">
      <c r="A6384" s="1" t="s">
        <v>6418</v>
      </c>
      <c r="B6384" s="2">
        <v>44268.0</v>
      </c>
      <c r="C6384" s="1" t="s">
        <v>26</v>
      </c>
      <c r="D6384" s="1" t="s">
        <v>21</v>
      </c>
      <c r="E6384" s="1" t="s">
        <v>76</v>
      </c>
      <c r="F6384" s="1">
        <v>184.9</v>
      </c>
      <c r="G6384" s="1">
        <v>-60.99</v>
      </c>
      <c r="H6384" s="1">
        <v>5.0</v>
      </c>
      <c r="I6384" s="1" t="s">
        <v>17</v>
      </c>
      <c r="J6384" s="1" t="s">
        <v>35</v>
      </c>
      <c r="K6384" s="1">
        <f t="shared" si="1"/>
        <v>2021</v>
      </c>
      <c r="L6384" s="1" t="str">
        <f t="shared" si="2"/>
        <v>Mar</v>
      </c>
      <c r="M6384" s="1" t="str">
        <f t="shared" si="3"/>
        <v>Loss</v>
      </c>
    </row>
    <row r="6385" ht="14.25" customHeight="1">
      <c r="A6385" s="1" t="s">
        <v>6419</v>
      </c>
      <c r="B6385" s="2">
        <v>44957.0</v>
      </c>
      <c r="C6385" s="1" t="s">
        <v>20</v>
      </c>
      <c r="D6385" s="1" t="s">
        <v>21</v>
      </c>
      <c r="E6385" s="1" t="s">
        <v>37</v>
      </c>
      <c r="F6385" s="1">
        <v>414.62</v>
      </c>
      <c r="G6385" s="1">
        <v>-141.25</v>
      </c>
      <c r="H6385" s="1">
        <v>10.0</v>
      </c>
      <c r="I6385" s="1" t="s">
        <v>17</v>
      </c>
      <c r="J6385" s="1" t="s">
        <v>24</v>
      </c>
      <c r="K6385" s="1">
        <f t="shared" si="1"/>
        <v>2023</v>
      </c>
      <c r="L6385" s="1" t="str">
        <f t="shared" si="2"/>
        <v>Jan</v>
      </c>
      <c r="M6385" s="1" t="str">
        <f t="shared" si="3"/>
        <v>Loss</v>
      </c>
    </row>
    <row r="6386" ht="14.25" customHeight="1">
      <c r="A6386" s="1" t="s">
        <v>6420</v>
      </c>
      <c r="B6386" s="2">
        <v>44426.0</v>
      </c>
      <c r="C6386" s="1" t="s">
        <v>26</v>
      </c>
      <c r="D6386" s="1" t="s">
        <v>15</v>
      </c>
      <c r="E6386" s="1" t="s">
        <v>54</v>
      </c>
      <c r="F6386" s="1">
        <v>507.28</v>
      </c>
      <c r="G6386" s="1">
        <v>82.28</v>
      </c>
      <c r="H6386" s="1">
        <v>5.0</v>
      </c>
      <c r="I6386" s="1" t="s">
        <v>34</v>
      </c>
      <c r="J6386" s="1" t="s">
        <v>35</v>
      </c>
      <c r="K6386" s="1">
        <f t="shared" si="1"/>
        <v>2021</v>
      </c>
      <c r="L6386" s="1" t="str">
        <f t="shared" si="2"/>
        <v>Aug</v>
      </c>
      <c r="M6386" s="1" t="str">
        <f t="shared" si="3"/>
        <v>Profit</v>
      </c>
    </row>
    <row r="6387" ht="14.25" customHeight="1">
      <c r="A6387" s="1" t="s">
        <v>6421</v>
      </c>
      <c r="B6387" s="2">
        <v>44665.0</v>
      </c>
      <c r="C6387" s="1" t="s">
        <v>14</v>
      </c>
      <c r="D6387" s="1" t="s">
        <v>27</v>
      </c>
      <c r="E6387" s="1" t="s">
        <v>28</v>
      </c>
      <c r="F6387" s="1">
        <v>102.04</v>
      </c>
      <c r="G6387" s="1">
        <v>-192.68</v>
      </c>
      <c r="H6387" s="1">
        <v>1.0</v>
      </c>
      <c r="I6387" s="1" t="s">
        <v>17</v>
      </c>
      <c r="J6387" s="1" t="s">
        <v>38</v>
      </c>
      <c r="K6387" s="1">
        <f t="shared" si="1"/>
        <v>2022</v>
      </c>
      <c r="L6387" s="1" t="str">
        <f t="shared" si="2"/>
        <v>Apr</v>
      </c>
      <c r="M6387" s="1" t="str">
        <f t="shared" si="3"/>
        <v>Loss</v>
      </c>
    </row>
    <row r="6388" ht="14.25" customHeight="1">
      <c r="A6388" s="1" t="s">
        <v>6422</v>
      </c>
      <c r="B6388" s="2">
        <v>44388.0</v>
      </c>
      <c r="C6388" s="1" t="s">
        <v>30</v>
      </c>
      <c r="D6388" s="1" t="s">
        <v>15</v>
      </c>
      <c r="E6388" s="1" t="s">
        <v>54</v>
      </c>
      <c r="F6388" s="1">
        <v>81.38</v>
      </c>
      <c r="G6388" s="1">
        <v>35.3</v>
      </c>
      <c r="H6388" s="1">
        <v>10.0</v>
      </c>
      <c r="I6388" s="1" t="s">
        <v>17</v>
      </c>
      <c r="J6388" s="1" t="s">
        <v>35</v>
      </c>
      <c r="K6388" s="1">
        <f t="shared" si="1"/>
        <v>2021</v>
      </c>
      <c r="L6388" s="1" t="str">
        <f t="shared" si="2"/>
        <v>Jul</v>
      </c>
      <c r="M6388" s="1" t="str">
        <f t="shared" si="3"/>
        <v>Profit</v>
      </c>
    </row>
    <row r="6389" ht="14.25" customHeight="1">
      <c r="A6389" s="1" t="s">
        <v>6423</v>
      </c>
      <c r="B6389" s="2">
        <v>44904.0</v>
      </c>
      <c r="C6389" s="1" t="s">
        <v>20</v>
      </c>
      <c r="D6389" s="1" t="s">
        <v>21</v>
      </c>
      <c r="E6389" s="1" t="s">
        <v>22</v>
      </c>
      <c r="F6389" s="1">
        <v>220.27</v>
      </c>
      <c r="G6389" s="1">
        <v>84.26</v>
      </c>
      <c r="H6389" s="1">
        <v>4.0</v>
      </c>
      <c r="I6389" s="1" t="s">
        <v>34</v>
      </c>
      <c r="J6389" s="1" t="s">
        <v>24</v>
      </c>
      <c r="K6389" s="1">
        <f t="shared" si="1"/>
        <v>2022</v>
      </c>
      <c r="L6389" s="1" t="str">
        <f t="shared" si="2"/>
        <v>Dec</v>
      </c>
      <c r="M6389" s="1" t="str">
        <f t="shared" si="3"/>
        <v>Profit</v>
      </c>
    </row>
    <row r="6390" ht="14.25" customHeight="1">
      <c r="A6390" s="1" t="s">
        <v>6424</v>
      </c>
      <c r="B6390" s="2">
        <v>44677.0</v>
      </c>
      <c r="C6390" s="1" t="s">
        <v>30</v>
      </c>
      <c r="D6390" s="1" t="s">
        <v>27</v>
      </c>
      <c r="E6390" s="1" t="s">
        <v>40</v>
      </c>
      <c r="F6390" s="1">
        <v>304.95</v>
      </c>
      <c r="G6390" s="1">
        <v>-14.07</v>
      </c>
      <c r="H6390" s="1">
        <v>1.0</v>
      </c>
      <c r="I6390" s="1" t="s">
        <v>17</v>
      </c>
      <c r="J6390" s="1" t="s">
        <v>24</v>
      </c>
      <c r="K6390" s="1">
        <f t="shared" si="1"/>
        <v>2022</v>
      </c>
      <c r="L6390" s="1" t="str">
        <f t="shared" si="2"/>
        <v>Apr</v>
      </c>
      <c r="M6390" s="1" t="str">
        <f t="shared" si="3"/>
        <v>Loss</v>
      </c>
    </row>
    <row r="6391" ht="14.25" customHeight="1">
      <c r="A6391" s="1" t="s">
        <v>6425</v>
      </c>
      <c r="B6391" s="2">
        <v>44967.0</v>
      </c>
      <c r="C6391" s="1" t="s">
        <v>30</v>
      </c>
      <c r="D6391" s="1" t="s">
        <v>21</v>
      </c>
      <c r="E6391" s="1" t="s">
        <v>22</v>
      </c>
      <c r="F6391" s="1">
        <v>946.72</v>
      </c>
      <c r="G6391" s="1">
        <v>-92.94</v>
      </c>
      <c r="H6391" s="1">
        <v>7.0</v>
      </c>
      <c r="I6391" s="1" t="s">
        <v>23</v>
      </c>
      <c r="J6391" s="1" t="s">
        <v>38</v>
      </c>
      <c r="K6391" s="1">
        <f t="shared" si="1"/>
        <v>2023</v>
      </c>
      <c r="L6391" s="1" t="str">
        <f t="shared" si="2"/>
        <v>Feb</v>
      </c>
      <c r="M6391" s="1" t="str">
        <f t="shared" si="3"/>
        <v>Loss</v>
      </c>
    </row>
    <row r="6392" ht="14.25" customHeight="1">
      <c r="A6392" s="1" t="s">
        <v>6426</v>
      </c>
      <c r="B6392" s="2">
        <v>45013.0</v>
      </c>
      <c r="C6392" s="1" t="s">
        <v>14</v>
      </c>
      <c r="D6392" s="1" t="s">
        <v>21</v>
      </c>
      <c r="E6392" s="1" t="s">
        <v>37</v>
      </c>
      <c r="F6392" s="1">
        <v>192.64</v>
      </c>
      <c r="G6392" s="1">
        <v>239.9</v>
      </c>
      <c r="H6392" s="1">
        <v>8.0</v>
      </c>
      <c r="I6392" s="1" t="s">
        <v>34</v>
      </c>
      <c r="J6392" s="1" t="s">
        <v>18</v>
      </c>
      <c r="K6392" s="1">
        <f t="shared" si="1"/>
        <v>2023</v>
      </c>
      <c r="L6392" s="1" t="str">
        <f t="shared" si="2"/>
        <v>Mar</v>
      </c>
      <c r="M6392" s="1" t="str">
        <f t="shared" si="3"/>
        <v>Profit</v>
      </c>
    </row>
    <row r="6393" ht="14.25" customHeight="1">
      <c r="A6393" s="1" t="s">
        <v>6427</v>
      </c>
      <c r="B6393" s="2">
        <v>45036.0</v>
      </c>
      <c r="C6393" s="1" t="s">
        <v>30</v>
      </c>
      <c r="D6393" s="1" t="s">
        <v>27</v>
      </c>
      <c r="E6393" s="1" t="s">
        <v>33</v>
      </c>
      <c r="F6393" s="1">
        <v>475.36</v>
      </c>
      <c r="G6393" s="1">
        <v>-40.51</v>
      </c>
      <c r="H6393" s="1">
        <v>1.0</v>
      </c>
      <c r="I6393" s="1" t="s">
        <v>17</v>
      </c>
      <c r="J6393" s="1" t="s">
        <v>38</v>
      </c>
      <c r="K6393" s="1">
        <f t="shared" si="1"/>
        <v>2023</v>
      </c>
      <c r="L6393" s="1" t="str">
        <f t="shared" si="2"/>
        <v>Apr</v>
      </c>
      <c r="M6393" s="1" t="str">
        <f t="shared" si="3"/>
        <v>Loss</v>
      </c>
    </row>
    <row r="6394" ht="14.25" customHeight="1">
      <c r="A6394" s="1" t="s">
        <v>6428</v>
      </c>
      <c r="B6394" s="2">
        <v>44963.0</v>
      </c>
      <c r="C6394" s="1" t="s">
        <v>20</v>
      </c>
      <c r="D6394" s="1" t="s">
        <v>21</v>
      </c>
      <c r="E6394" s="1" t="s">
        <v>37</v>
      </c>
      <c r="F6394" s="1">
        <v>632.56</v>
      </c>
      <c r="G6394" s="1">
        <v>182.41</v>
      </c>
      <c r="H6394" s="1">
        <v>8.0</v>
      </c>
      <c r="I6394" s="1" t="s">
        <v>23</v>
      </c>
      <c r="J6394" s="1" t="s">
        <v>38</v>
      </c>
      <c r="K6394" s="1">
        <f t="shared" si="1"/>
        <v>2023</v>
      </c>
      <c r="L6394" s="1" t="str">
        <f t="shared" si="2"/>
        <v>Feb</v>
      </c>
      <c r="M6394" s="1" t="str">
        <f t="shared" si="3"/>
        <v>Profit</v>
      </c>
    </row>
    <row r="6395" ht="14.25" customHeight="1">
      <c r="A6395" s="1" t="s">
        <v>6429</v>
      </c>
      <c r="B6395" s="2">
        <v>44551.0</v>
      </c>
      <c r="C6395" s="1" t="s">
        <v>30</v>
      </c>
      <c r="D6395" s="1" t="s">
        <v>27</v>
      </c>
      <c r="E6395" s="1" t="s">
        <v>40</v>
      </c>
      <c r="F6395" s="1">
        <v>394.78</v>
      </c>
      <c r="G6395" s="1">
        <v>-138.65</v>
      </c>
      <c r="H6395" s="1">
        <v>4.0</v>
      </c>
      <c r="I6395" s="1" t="s">
        <v>23</v>
      </c>
      <c r="J6395" s="1" t="s">
        <v>38</v>
      </c>
      <c r="K6395" s="1">
        <f t="shared" si="1"/>
        <v>2021</v>
      </c>
      <c r="L6395" s="1" t="str">
        <f t="shared" si="2"/>
        <v>Dec</v>
      </c>
      <c r="M6395" s="1" t="str">
        <f t="shared" si="3"/>
        <v>Loss</v>
      </c>
    </row>
    <row r="6396" ht="14.25" customHeight="1">
      <c r="A6396" s="1" t="s">
        <v>6430</v>
      </c>
      <c r="B6396" s="2">
        <v>44644.0</v>
      </c>
      <c r="C6396" s="1" t="s">
        <v>26</v>
      </c>
      <c r="D6396" s="1" t="s">
        <v>15</v>
      </c>
      <c r="E6396" s="1" t="s">
        <v>16</v>
      </c>
      <c r="F6396" s="1">
        <v>765.37</v>
      </c>
      <c r="G6396" s="1">
        <v>-147.23</v>
      </c>
      <c r="H6396" s="1">
        <v>7.0</v>
      </c>
      <c r="I6396" s="1" t="s">
        <v>17</v>
      </c>
      <c r="J6396" s="1" t="s">
        <v>18</v>
      </c>
      <c r="K6396" s="1">
        <f t="shared" si="1"/>
        <v>2022</v>
      </c>
      <c r="L6396" s="1" t="str">
        <f t="shared" si="2"/>
        <v>Mar</v>
      </c>
      <c r="M6396" s="1" t="str">
        <f t="shared" si="3"/>
        <v>Loss</v>
      </c>
    </row>
    <row r="6397" ht="14.25" customHeight="1">
      <c r="A6397" s="1" t="s">
        <v>6431</v>
      </c>
      <c r="B6397" s="2">
        <v>45198.0</v>
      </c>
      <c r="C6397" s="1" t="s">
        <v>14</v>
      </c>
      <c r="D6397" s="1" t="s">
        <v>27</v>
      </c>
      <c r="E6397" s="1" t="s">
        <v>33</v>
      </c>
      <c r="F6397" s="1">
        <v>119.36</v>
      </c>
      <c r="G6397" s="1">
        <v>57.04</v>
      </c>
      <c r="H6397" s="1">
        <v>4.0</v>
      </c>
      <c r="I6397" s="1" t="s">
        <v>34</v>
      </c>
      <c r="J6397" s="1" t="s">
        <v>18</v>
      </c>
      <c r="K6397" s="1">
        <f t="shared" si="1"/>
        <v>2023</v>
      </c>
      <c r="L6397" s="1" t="str">
        <f t="shared" si="2"/>
        <v>Sep</v>
      </c>
      <c r="M6397" s="1" t="str">
        <f t="shared" si="3"/>
        <v>Profit</v>
      </c>
    </row>
    <row r="6398" ht="14.25" customHeight="1">
      <c r="A6398" s="1" t="s">
        <v>6432</v>
      </c>
      <c r="B6398" s="2">
        <v>44900.0</v>
      </c>
      <c r="C6398" s="1" t="s">
        <v>30</v>
      </c>
      <c r="D6398" s="1" t="s">
        <v>21</v>
      </c>
      <c r="E6398" s="1" t="s">
        <v>22</v>
      </c>
      <c r="F6398" s="1">
        <v>900.04</v>
      </c>
      <c r="G6398" s="1">
        <v>-23.1</v>
      </c>
      <c r="H6398" s="1">
        <v>8.0</v>
      </c>
      <c r="I6398" s="1" t="s">
        <v>34</v>
      </c>
      <c r="J6398" s="1" t="s">
        <v>24</v>
      </c>
      <c r="K6398" s="1">
        <f t="shared" si="1"/>
        <v>2022</v>
      </c>
      <c r="L6398" s="1" t="str">
        <f t="shared" si="2"/>
        <v>Dec</v>
      </c>
      <c r="M6398" s="1" t="str">
        <f t="shared" si="3"/>
        <v>Loss</v>
      </c>
    </row>
    <row r="6399" ht="14.25" customHeight="1">
      <c r="A6399" s="1" t="s">
        <v>6433</v>
      </c>
      <c r="B6399" s="2">
        <v>44881.0</v>
      </c>
      <c r="C6399" s="1" t="s">
        <v>14</v>
      </c>
      <c r="D6399" s="1" t="s">
        <v>27</v>
      </c>
      <c r="E6399" s="1" t="s">
        <v>33</v>
      </c>
      <c r="F6399" s="1">
        <v>121.8</v>
      </c>
      <c r="G6399" s="1">
        <v>298.95</v>
      </c>
      <c r="H6399" s="1">
        <v>8.0</v>
      </c>
      <c r="I6399" s="1" t="s">
        <v>34</v>
      </c>
      <c r="J6399" s="1" t="s">
        <v>38</v>
      </c>
      <c r="K6399" s="1">
        <f t="shared" si="1"/>
        <v>2022</v>
      </c>
      <c r="L6399" s="1" t="str">
        <f t="shared" si="2"/>
        <v>Nov</v>
      </c>
      <c r="M6399" s="1" t="str">
        <f t="shared" si="3"/>
        <v>Profit</v>
      </c>
    </row>
    <row r="6400" ht="14.25" customHeight="1">
      <c r="A6400" s="1" t="s">
        <v>6434</v>
      </c>
      <c r="B6400" s="2">
        <v>44579.0</v>
      </c>
      <c r="C6400" s="1" t="s">
        <v>14</v>
      </c>
      <c r="D6400" s="1" t="s">
        <v>27</v>
      </c>
      <c r="E6400" s="1" t="s">
        <v>28</v>
      </c>
      <c r="F6400" s="1">
        <v>764.09</v>
      </c>
      <c r="G6400" s="1">
        <v>160.23</v>
      </c>
      <c r="H6400" s="1">
        <v>7.0</v>
      </c>
      <c r="I6400" s="1" t="s">
        <v>34</v>
      </c>
      <c r="J6400" s="1" t="s">
        <v>38</v>
      </c>
      <c r="K6400" s="1">
        <f t="shared" si="1"/>
        <v>2022</v>
      </c>
      <c r="L6400" s="1" t="str">
        <f t="shared" si="2"/>
        <v>Jan</v>
      </c>
      <c r="M6400" s="1" t="str">
        <f t="shared" si="3"/>
        <v>Profit</v>
      </c>
    </row>
    <row r="6401" ht="14.25" customHeight="1">
      <c r="A6401" s="1" t="s">
        <v>6435</v>
      </c>
      <c r="B6401" s="2">
        <v>44380.0</v>
      </c>
      <c r="C6401" s="1" t="s">
        <v>14</v>
      </c>
      <c r="D6401" s="1" t="s">
        <v>15</v>
      </c>
      <c r="E6401" s="1" t="s">
        <v>54</v>
      </c>
      <c r="F6401" s="1">
        <v>117.4</v>
      </c>
      <c r="G6401" s="1">
        <v>-186.86</v>
      </c>
      <c r="H6401" s="1">
        <v>4.0</v>
      </c>
      <c r="I6401" s="1" t="s">
        <v>34</v>
      </c>
      <c r="J6401" s="1" t="s">
        <v>24</v>
      </c>
      <c r="K6401" s="1">
        <f t="shared" si="1"/>
        <v>2021</v>
      </c>
      <c r="L6401" s="1" t="str">
        <f t="shared" si="2"/>
        <v>Jul</v>
      </c>
      <c r="M6401" s="1" t="str">
        <f t="shared" si="3"/>
        <v>Loss</v>
      </c>
    </row>
    <row r="6402" ht="14.25" customHeight="1">
      <c r="A6402" s="1" t="s">
        <v>6436</v>
      </c>
      <c r="B6402" s="2">
        <v>44962.0</v>
      </c>
      <c r="C6402" s="1" t="s">
        <v>14</v>
      </c>
      <c r="D6402" s="1" t="s">
        <v>15</v>
      </c>
      <c r="E6402" s="1" t="s">
        <v>54</v>
      </c>
      <c r="F6402" s="1">
        <v>517.62</v>
      </c>
      <c r="G6402" s="1">
        <v>82.53</v>
      </c>
      <c r="H6402" s="1">
        <v>4.0</v>
      </c>
      <c r="I6402" s="1" t="s">
        <v>34</v>
      </c>
      <c r="J6402" s="1" t="s">
        <v>18</v>
      </c>
      <c r="K6402" s="1">
        <f t="shared" si="1"/>
        <v>2023</v>
      </c>
      <c r="L6402" s="1" t="str">
        <f t="shared" si="2"/>
        <v>Feb</v>
      </c>
      <c r="M6402" s="1" t="str">
        <f t="shared" si="3"/>
        <v>Profit</v>
      </c>
    </row>
    <row r="6403" ht="14.25" customHeight="1">
      <c r="A6403" s="1" t="s">
        <v>6437</v>
      </c>
      <c r="B6403" s="2">
        <v>44779.0</v>
      </c>
      <c r="C6403" s="1" t="s">
        <v>14</v>
      </c>
      <c r="D6403" s="1" t="s">
        <v>21</v>
      </c>
      <c r="E6403" s="1" t="s">
        <v>37</v>
      </c>
      <c r="F6403" s="1">
        <v>857.51</v>
      </c>
      <c r="G6403" s="1">
        <v>227.53</v>
      </c>
      <c r="H6403" s="1">
        <v>4.0</v>
      </c>
      <c r="I6403" s="1" t="s">
        <v>34</v>
      </c>
      <c r="J6403" s="1" t="s">
        <v>38</v>
      </c>
      <c r="K6403" s="1">
        <f t="shared" si="1"/>
        <v>2022</v>
      </c>
      <c r="L6403" s="1" t="str">
        <f t="shared" si="2"/>
        <v>Aug</v>
      </c>
      <c r="M6403" s="1" t="str">
        <f t="shared" si="3"/>
        <v>Profit</v>
      </c>
    </row>
    <row r="6404" ht="14.25" customHeight="1">
      <c r="A6404" s="1" t="s">
        <v>6438</v>
      </c>
      <c r="B6404" s="2">
        <v>45204.0</v>
      </c>
      <c r="C6404" s="1" t="s">
        <v>20</v>
      </c>
      <c r="D6404" s="1" t="s">
        <v>27</v>
      </c>
      <c r="E6404" s="1" t="s">
        <v>40</v>
      </c>
      <c r="F6404" s="1">
        <v>472.46</v>
      </c>
      <c r="G6404" s="1">
        <v>-53.41</v>
      </c>
      <c r="H6404" s="1">
        <v>1.0</v>
      </c>
      <c r="I6404" s="1" t="s">
        <v>34</v>
      </c>
      <c r="J6404" s="1" t="s">
        <v>38</v>
      </c>
      <c r="K6404" s="1">
        <f t="shared" si="1"/>
        <v>2023</v>
      </c>
      <c r="L6404" s="1" t="str">
        <f t="shared" si="2"/>
        <v>Oct</v>
      </c>
      <c r="M6404" s="1" t="str">
        <f t="shared" si="3"/>
        <v>Loss</v>
      </c>
    </row>
    <row r="6405" ht="14.25" customHeight="1">
      <c r="A6405" s="1" t="s">
        <v>6439</v>
      </c>
      <c r="B6405" s="2">
        <v>45026.0</v>
      </c>
      <c r="C6405" s="1" t="s">
        <v>30</v>
      </c>
      <c r="D6405" s="1" t="s">
        <v>15</v>
      </c>
      <c r="E6405" s="1" t="s">
        <v>16</v>
      </c>
      <c r="F6405" s="1">
        <v>670.89</v>
      </c>
      <c r="G6405" s="1">
        <v>194.46</v>
      </c>
      <c r="H6405" s="1">
        <v>1.0</v>
      </c>
      <c r="I6405" s="1" t="s">
        <v>23</v>
      </c>
      <c r="J6405" s="1" t="s">
        <v>38</v>
      </c>
      <c r="K6405" s="1">
        <f t="shared" si="1"/>
        <v>2023</v>
      </c>
      <c r="L6405" s="1" t="str">
        <f t="shared" si="2"/>
        <v>Apr</v>
      </c>
      <c r="M6405" s="1" t="str">
        <f t="shared" si="3"/>
        <v>Profit</v>
      </c>
    </row>
    <row r="6406" ht="14.25" customHeight="1">
      <c r="A6406" s="1" t="s">
        <v>6440</v>
      </c>
      <c r="B6406" s="2">
        <v>44500.0</v>
      </c>
      <c r="C6406" s="1" t="s">
        <v>14</v>
      </c>
      <c r="D6406" s="1" t="s">
        <v>21</v>
      </c>
      <c r="E6406" s="1" t="s">
        <v>37</v>
      </c>
      <c r="F6406" s="1">
        <v>414.64</v>
      </c>
      <c r="G6406" s="1">
        <v>-21.89</v>
      </c>
      <c r="H6406" s="1">
        <v>7.0</v>
      </c>
      <c r="I6406" s="1" t="s">
        <v>34</v>
      </c>
      <c r="J6406" s="1" t="s">
        <v>18</v>
      </c>
      <c r="K6406" s="1">
        <f t="shared" si="1"/>
        <v>2021</v>
      </c>
      <c r="L6406" s="1" t="str">
        <f t="shared" si="2"/>
        <v>Oct</v>
      </c>
      <c r="M6406" s="1" t="str">
        <f t="shared" si="3"/>
        <v>Loss</v>
      </c>
    </row>
    <row r="6407" ht="14.25" customHeight="1">
      <c r="A6407" s="1" t="s">
        <v>6441</v>
      </c>
      <c r="B6407" s="2">
        <v>44371.0</v>
      </c>
      <c r="C6407" s="1" t="s">
        <v>20</v>
      </c>
      <c r="D6407" s="1" t="s">
        <v>27</v>
      </c>
      <c r="E6407" s="1" t="s">
        <v>28</v>
      </c>
      <c r="F6407" s="1">
        <v>472.93</v>
      </c>
      <c r="G6407" s="1">
        <v>261.28</v>
      </c>
      <c r="H6407" s="1">
        <v>8.0</v>
      </c>
      <c r="I6407" s="1" t="s">
        <v>17</v>
      </c>
      <c r="J6407" s="1" t="s">
        <v>38</v>
      </c>
      <c r="K6407" s="1">
        <f t="shared" si="1"/>
        <v>2021</v>
      </c>
      <c r="L6407" s="1" t="str">
        <f t="shared" si="2"/>
        <v>Jun</v>
      </c>
      <c r="M6407" s="1" t="str">
        <f t="shared" si="3"/>
        <v>Profit</v>
      </c>
    </row>
    <row r="6408" ht="14.25" customHeight="1">
      <c r="A6408" s="1" t="s">
        <v>6442</v>
      </c>
      <c r="B6408" s="2">
        <v>44591.0</v>
      </c>
      <c r="C6408" s="1" t="s">
        <v>26</v>
      </c>
      <c r="D6408" s="1" t="s">
        <v>21</v>
      </c>
      <c r="E6408" s="1" t="s">
        <v>22</v>
      </c>
      <c r="F6408" s="1">
        <v>728.76</v>
      </c>
      <c r="G6408" s="1">
        <v>-147.6</v>
      </c>
      <c r="H6408" s="1">
        <v>6.0</v>
      </c>
      <c r="I6408" s="1" t="s">
        <v>34</v>
      </c>
      <c r="J6408" s="1" t="s">
        <v>18</v>
      </c>
      <c r="K6408" s="1">
        <f t="shared" si="1"/>
        <v>2022</v>
      </c>
      <c r="L6408" s="1" t="str">
        <f t="shared" si="2"/>
        <v>Jan</v>
      </c>
      <c r="M6408" s="1" t="str">
        <f t="shared" si="3"/>
        <v>Loss</v>
      </c>
    </row>
    <row r="6409" ht="14.25" customHeight="1">
      <c r="A6409" s="1" t="s">
        <v>6443</v>
      </c>
      <c r="B6409" s="2">
        <v>45213.0</v>
      </c>
      <c r="C6409" s="1" t="s">
        <v>14</v>
      </c>
      <c r="D6409" s="1" t="s">
        <v>27</v>
      </c>
      <c r="E6409" s="1" t="s">
        <v>40</v>
      </c>
      <c r="F6409" s="1">
        <v>805.58</v>
      </c>
      <c r="G6409" s="1">
        <v>-33.95</v>
      </c>
      <c r="H6409" s="1">
        <v>8.0</v>
      </c>
      <c r="I6409" s="1" t="s">
        <v>17</v>
      </c>
      <c r="J6409" s="1" t="s">
        <v>24</v>
      </c>
      <c r="K6409" s="1">
        <f t="shared" si="1"/>
        <v>2023</v>
      </c>
      <c r="L6409" s="1" t="str">
        <f t="shared" si="2"/>
        <v>Oct</v>
      </c>
      <c r="M6409" s="1" t="str">
        <f t="shared" si="3"/>
        <v>Loss</v>
      </c>
    </row>
    <row r="6410" ht="14.25" customHeight="1">
      <c r="A6410" s="1" t="s">
        <v>6444</v>
      </c>
      <c r="B6410" s="2">
        <v>45214.0</v>
      </c>
      <c r="C6410" s="1" t="s">
        <v>14</v>
      </c>
      <c r="D6410" s="1" t="s">
        <v>15</v>
      </c>
      <c r="E6410" s="1" t="s">
        <v>54</v>
      </c>
      <c r="F6410" s="1">
        <v>503.86</v>
      </c>
      <c r="G6410" s="1">
        <v>-24.91</v>
      </c>
      <c r="H6410" s="1">
        <v>2.0</v>
      </c>
      <c r="I6410" s="1" t="s">
        <v>23</v>
      </c>
      <c r="J6410" s="1" t="s">
        <v>38</v>
      </c>
      <c r="K6410" s="1">
        <f t="shared" si="1"/>
        <v>2023</v>
      </c>
      <c r="L6410" s="1" t="str">
        <f t="shared" si="2"/>
        <v>Oct</v>
      </c>
      <c r="M6410" s="1" t="str">
        <f t="shared" si="3"/>
        <v>Loss</v>
      </c>
    </row>
    <row r="6411" ht="14.25" customHeight="1">
      <c r="A6411" s="1" t="s">
        <v>6445</v>
      </c>
      <c r="B6411" s="2">
        <v>44340.0</v>
      </c>
      <c r="C6411" s="1" t="s">
        <v>30</v>
      </c>
      <c r="D6411" s="1" t="s">
        <v>15</v>
      </c>
      <c r="E6411" s="1" t="s">
        <v>54</v>
      </c>
      <c r="F6411" s="1">
        <v>119.32</v>
      </c>
      <c r="G6411" s="1">
        <v>94.58</v>
      </c>
      <c r="H6411" s="1">
        <v>7.0</v>
      </c>
      <c r="I6411" s="1" t="s">
        <v>23</v>
      </c>
      <c r="J6411" s="1" t="s">
        <v>18</v>
      </c>
      <c r="K6411" s="1">
        <f t="shared" si="1"/>
        <v>2021</v>
      </c>
      <c r="L6411" s="1" t="str">
        <f t="shared" si="2"/>
        <v>May</v>
      </c>
      <c r="M6411" s="1" t="str">
        <f t="shared" si="3"/>
        <v>Profit</v>
      </c>
    </row>
    <row r="6412" ht="14.25" customHeight="1">
      <c r="A6412" s="1" t="s">
        <v>6446</v>
      </c>
      <c r="B6412" s="2">
        <v>45057.0</v>
      </c>
      <c r="C6412" s="1" t="s">
        <v>26</v>
      </c>
      <c r="D6412" s="1" t="s">
        <v>15</v>
      </c>
      <c r="E6412" s="1" t="s">
        <v>54</v>
      </c>
      <c r="F6412" s="1">
        <v>59.42</v>
      </c>
      <c r="G6412" s="1">
        <v>-167.98</v>
      </c>
      <c r="H6412" s="1">
        <v>2.0</v>
      </c>
      <c r="I6412" s="1" t="s">
        <v>17</v>
      </c>
      <c r="J6412" s="1" t="s">
        <v>35</v>
      </c>
      <c r="K6412" s="1">
        <f t="shared" si="1"/>
        <v>2023</v>
      </c>
      <c r="L6412" s="1" t="str">
        <f t="shared" si="2"/>
        <v>May</v>
      </c>
      <c r="M6412" s="1" t="str">
        <f t="shared" si="3"/>
        <v>Loss</v>
      </c>
    </row>
    <row r="6413" ht="14.25" customHeight="1">
      <c r="A6413" s="1" t="s">
        <v>6447</v>
      </c>
      <c r="B6413" s="2">
        <v>44882.0</v>
      </c>
      <c r="C6413" s="1" t="s">
        <v>14</v>
      </c>
      <c r="D6413" s="1" t="s">
        <v>21</v>
      </c>
      <c r="E6413" s="1" t="s">
        <v>22</v>
      </c>
      <c r="F6413" s="1">
        <v>207.38</v>
      </c>
      <c r="G6413" s="1">
        <v>62.08</v>
      </c>
      <c r="H6413" s="1">
        <v>7.0</v>
      </c>
      <c r="I6413" s="1" t="s">
        <v>17</v>
      </c>
      <c r="J6413" s="1" t="s">
        <v>38</v>
      </c>
      <c r="K6413" s="1">
        <f t="shared" si="1"/>
        <v>2022</v>
      </c>
      <c r="L6413" s="1" t="str">
        <f t="shared" si="2"/>
        <v>Nov</v>
      </c>
      <c r="M6413" s="1" t="str">
        <f t="shared" si="3"/>
        <v>Profit</v>
      </c>
    </row>
    <row r="6414" ht="14.25" customHeight="1">
      <c r="A6414" s="1" t="s">
        <v>6448</v>
      </c>
      <c r="B6414" s="2">
        <v>44540.0</v>
      </c>
      <c r="C6414" s="1" t="s">
        <v>30</v>
      </c>
      <c r="D6414" s="1" t="s">
        <v>15</v>
      </c>
      <c r="E6414" s="1" t="s">
        <v>16</v>
      </c>
      <c r="F6414" s="1">
        <v>715.67</v>
      </c>
      <c r="G6414" s="1">
        <v>281.02</v>
      </c>
      <c r="H6414" s="1">
        <v>6.0</v>
      </c>
      <c r="I6414" s="1" t="s">
        <v>34</v>
      </c>
      <c r="J6414" s="1" t="s">
        <v>38</v>
      </c>
      <c r="K6414" s="1">
        <f t="shared" si="1"/>
        <v>2021</v>
      </c>
      <c r="L6414" s="1" t="str">
        <f t="shared" si="2"/>
        <v>Dec</v>
      </c>
      <c r="M6414" s="1" t="str">
        <f t="shared" si="3"/>
        <v>Profit</v>
      </c>
    </row>
    <row r="6415" ht="14.25" customHeight="1">
      <c r="A6415" s="1" t="s">
        <v>6449</v>
      </c>
      <c r="B6415" s="2">
        <v>44967.0</v>
      </c>
      <c r="C6415" s="1" t="s">
        <v>20</v>
      </c>
      <c r="D6415" s="1" t="s">
        <v>21</v>
      </c>
      <c r="E6415" s="1" t="s">
        <v>22</v>
      </c>
      <c r="F6415" s="1">
        <v>127.93</v>
      </c>
      <c r="G6415" s="1">
        <v>-19.13</v>
      </c>
      <c r="H6415" s="1">
        <v>8.0</v>
      </c>
      <c r="I6415" s="1" t="s">
        <v>23</v>
      </c>
      <c r="J6415" s="1" t="s">
        <v>35</v>
      </c>
      <c r="K6415" s="1">
        <f t="shared" si="1"/>
        <v>2023</v>
      </c>
      <c r="L6415" s="1" t="str">
        <f t="shared" si="2"/>
        <v>Feb</v>
      </c>
      <c r="M6415" s="1" t="str">
        <f t="shared" si="3"/>
        <v>Loss</v>
      </c>
    </row>
    <row r="6416" ht="14.25" customHeight="1">
      <c r="A6416" s="1" t="s">
        <v>6450</v>
      </c>
      <c r="B6416" s="2">
        <v>44598.0</v>
      </c>
      <c r="C6416" s="1" t="s">
        <v>14</v>
      </c>
      <c r="D6416" s="1" t="s">
        <v>21</v>
      </c>
      <c r="E6416" s="1" t="s">
        <v>76</v>
      </c>
      <c r="F6416" s="1">
        <v>618.6</v>
      </c>
      <c r="G6416" s="1">
        <v>-73.15</v>
      </c>
      <c r="H6416" s="1">
        <v>5.0</v>
      </c>
      <c r="I6416" s="1" t="s">
        <v>23</v>
      </c>
      <c r="J6416" s="1" t="s">
        <v>24</v>
      </c>
      <c r="K6416" s="1">
        <f t="shared" si="1"/>
        <v>2022</v>
      </c>
      <c r="L6416" s="1" t="str">
        <f t="shared" si="2"/>
        <v>Feb</v>
      </c>
      <c r="M6416" s="1" t="str">
        <f t="shared" si="3"/>
        <v>Loss</v>
      </c>
    </row>
    <row r="6417" ht="14.25" customHeight="1">
      <c r="A6417" s="1" t="s">
        <v>6451</v>
      </c>
      <c r="B6417" s="2">
        <v>44272.0</v>
      </c>
      <c r="C6417" s="1" t="s">
        <v>14</v>
      </c>
      <c r="D6417" s="1" t="s">
        <v>15</v>
      </c>
      <c r="E6417" s="1" t="s">
        <v>31</v>
      </c>
      <c r="F6417" s="1">
        <v>126.73</v>
      </c>
      <c r="G6417" s="1">
        <v>254.32</v>
      </c>
      <c r="H6417" s="1">
        <v>2.0</v>
      </c>
      <c r="I6417" s="1" t="s">
        <v>23</v>
      </c>
      <c r="J6417" s="1" t="s">
        <v>35</v>
      </c>
      <c r="K6417" s="1">
        <f t="shared" si="1"/>
        <v>2021</v>
      </c>
      <c r="L6417" s="1" t="str">
        <f t="shared" si="2"/>
        <v>Mar</v>
      </c>
      <c r="M6417" s="1" t="str">
        <f t="shared" si="3"/>
        <v>Profit</v>
      </c>
    </row>
    <row r="6418" ht="14.25" customHeight="1">
      <c r="A6418" s="1" t="s">
        <v>6452</v>
      </c>
      <c r="B6418" s="2">
        <v>45008.0</v>
      </c>
      <c r="C6418" s="1" t="s">
        <v>30</v>
      </c>
      <c r="D6418" s="1" t="s">
        <v>21</v>
      </c>
      <c r="E6418" s="1" t="s">
        <v>22</v>
      </c>
      <c r="F6418" s="1">
        <v>830.71</v>
      </c>
      <c r="G6418" s="1">
        <v>253.55</v>
      </c>
      <c r="H6418" s="1">
        <v>10.0</v>
      </c>
      <c r="I6418" s="1" t="s">
        <v>34</v>
      </c>
      <c r="J6418" s="1" t="s">
        <v>38</v>
      </c>
      <c r="K6418" s="1">
        <f t="shared" si="1"/>
        <v>2023</v>
      </c>
      <c r="L6418" s="1" t="str">
        <f t="shared" si="2"/>
        <v>Mar</v>
      </c>
      <c r="M6418" s="1" t="str">
        <f t="shared" si="3"/>
        <v>Profit</v>
      </c>
    </row>
    <row r="6419" ht="14.25" customHeight="1">
      <c r="A6419" s="1" t="s">
        <v>6453</v>
      </c>
      <c r="B6419" s="2">
        <v>44924.0</v>
      </c>
      <c r="C6419" s="1" t="s">
        <v>26</v>
      </c>
      <c r="D6419" s="1" t="s">
        <v>15</v>
      </c>
      <c r="E6419" s="1" t="s">
        <v>54</v>
      </c>
      <c r="F6419" s="1">
        <v>40.34</v>
      </c>
      <c r="G6419" s="1">
        <v>10.0</v>
      </c>
      <c r="H6419" s="1">
        <v>4.0</v>
      </c>
      <c r="I6419" s="1" t="s">
        <v>34</v>
      </c>
      <c r="J6419" s="1" t="s">
        <v>18</v>
      </c>
      <c r="K6419" s="1">
        <f t="shared" si="1"/>
        <v>2022</v>
      </c>
      <c r="L6419" s="1" t="str">
        <f t="shared" si="2"/>
        <v>Dec</v>
      </c>
      <c r="M6419" s="1" t="str">
        <f t="shared" si="3"/>
        <v>Profit</v>
      </c>
    </row>
    <row r="6420" ht="14.25" customHeight="1">
      <c r="A6420" s="1" t="s">
        <v>6454</v>
      </c>
      <c r="B6420" s="2">
        <v>44877.0</v>
      </c>
      <c r="C6420" s="1" t="s">
        <v>14</v>
      </c>
      <c r="D6420" s="1" t="s">
        <v>27</v>
      </c>
      <c r="E6420" s="1" t="s">
        <v>28</v>
      </c>
      <c r="F6420" s="1">
        <v>780.41</v>
      </c>
      <c r="G6420" s="1">
        <v>176.18</v>
      </c>
      <c r="H6420" s="1">
        <v>8.0</v>
      </c>
      <c r="I6420" s="1" t="s">
        <v>34</v>
      </c>
      <c r="J6420" s="1" t="s">
        <v>38</v>
      </c>
      <c r="K6420" s="1">
        <f t="shared" si="1"/>
        <v>2022</v>
      </c>
      <c r="L6420" s="1" t="str">
        <f t="shared" si="2"/>
        <v>Nov</v>
      </c>
      <c r="M6420" s="1" t="str">
        <f t="shared" si="3"/>
        <v>Profit</v>
      </c>
    </row>
    <row r="6421" ht="14.25" customHeight="1">
      <c r="A6421" s="1" t="s">
        <v>6455</v>
      </c>
      <c r="B6421" s="2">
        <v>44522.0</v>
      </c>
      <c r="C6421" s="1" t="s">
        <v>20</v>
      </c>
      <c r="D6421" s="1" t="s">
        <v>27</v>
      </c>
      <c r="E6421" s="1" t="s">
        <v>28</v>
      </c>
      <c r="F6421" s="1">
        <v>440.16</v>
      </c>
      <c r="G6421" s="1">
        <v>64.97</v>
      </c>
      <c r="H6421" s="1">
        <v>7.0</v>
      </c>
      <c r="I6421" s="1" t="s">
        <v>23</v>
      </c>
      <c r="J6421" s="1" t="s">
        <v>24</v>
      </c>
      <c r="K6421" s="1">
        <f t="shared" si="1"/>
        <v>2021</v>
      </c>
      <c r="L6421" s="1" t="str">
        <f t="shared" si="2"/>
        <v>Nov</v>
      </c>
      <c r="M6421" s="1" t="str">
        <f t="shared" si="3"/>
        <v>Profit</v>
      </c>
    </row>
    <row r="6422" ht="14.25" customHeight="1">
      <c r="A6422" s="1" t="s">
        <v>6456</v>
      </c>
      <c r="B6422" s="2">
        <v>45263.0</v>
      </c>
      <c r="C6422" s="1" t="s">
        <v>30</v>
      </c>
      <c r="D6422" s="1" t="s">
        <v>21</v>
      </c>
      <c r="E6422" s="1" t="s">
        <v>37</v>
      </c>
      <c r="F6422" s="1">
        <v>787.55</v>
      </c>
      <c r="G6422" s="1">
        <v>235.32</v>
      </c>
      <c r="H6422" s="1">
        <v>4.0</v>
      </c>
      <c r="I6422" s="1" t="s">
        <v>17</v>
      </c>
      <c r="J6422" s="1" t="s">
        <v>35</v>
      </c>
      <c r="K6422" s="1">
        <f t="shared" si="1"/>
        <v>2023</v>
      </c>
      <c r="L6422" s="1" t="str">
        <f t="shared" si="2"/>
        <v>Dec</v>
      </c>
      <c r="M6422" s="1" t="str">
        <f t="shared" si="3"/>
        <v>Profit</v>
      </c>
    </row>
    <row r="6423" ht="14.25" customHeight="1">
      <c r="A6423" s="1" t="s">
        <v>6457</v>
      </c>
      <c r="B6423" s="2">
        <v>44523.0</v>
      </c>
      <c r="C6423" s="1" t="s">
        <v>26</v>
      </c>
      <c r="D6423" s="1" t="s">
        <v>27</v>
      </c>
      <c r="E6423" s="1" t="s">
        <v>40</v>
      </c>
      <c r="F6423" s="1">
        <v>962.51</v>
      </c>
      <c r="G6423" s="1">
        <v>171.57</v>
      </c>
      <c r="H6423" s="1">
        <v>3.0</v>
      </c>
      <c r="I6423" s="1" t="s">
        <v>34</v>
      </c>
      <c r="J6423" s="1" t="s">
        <v>18</v>
      </c>
      <c r="K6423" s="1">
        <f t="shared" si="1"/>
        <v>2021</v>
      </c>
      <c r="L6423" s="1" t="str">
        <f t="shared" si="2"/>
        <v>Nov</v>
      </c>
      <c r="M6423" s="1" t="str">
        <f t="shared" si="3"/>
        <v>Profit</v>
      </c>
    </row>
    <row r="6424" ht="14.25" customHeight="1">
      <c r="A6424" s="1" t="s">
        <v>6458</v>
      </c>
      <c r="B6424" s="2">
        <v>44909.0</v>
      </c>
      <c r="C6424" s="1" t="s">
        <v>26</v>
      </c>
      <c r="D6424" s="1" t="s">
        <v>15</v>
      </c>
      <c r="E6424" s="1" t="s">
        <v>54</v>
      </c>
      <c r="F6424" s="1">
        <v>501.43</v>
      </c>
      <c r="G6424" s="1">
        <v>258.88</v>
      </c>
      <c r="H6424" s="1">
        <v>7.0</v>
      </c>
      <c r="I6424" s="1" t="s">
        <v>23</v>
      </c>
      <c r="J6424" s="1" t="s">
        <v>24</v>
      </c>
      <c r="K6424" s="1">
        <f t="shared" si="1"/>
        <v>2022</v>
      </c>
      <c r="L6424" s="1" t="str">
        <f t="shared" si="2"/>
        <v>Dec</v>
      </c>
      <c r="M6424" s="1" t="str">
        <f t="shared" si="3"/>
        <v>Profit</v>
      </c>
    </row>
    <row r="6425" ht="14.25" customHeight="1">
      <c r="A6425" s="1" t="s">
        <v>6459</v>
      </c>
      <c r="B6425" s="2">
        <v>44594.0</v>
      </c>
      <c r="C6425" s="1" t="s">
        <v>20</v>
      </c>
      <c r="D6425" s="1" t="s">
        <v>21</v>
      </c>
      <c r="E6425" s="1" t="s">
        <v>76</v>
      </c>
      <c r="F6425" s="1">
        <v>656.3</v>
      </c>
      <c r="G6425" s="1">
        <v>140.59</v>
      </c>
      <c r="H6425" s="1">
        <v>1.0</v>
      </c>
      <c r="I6425" s="1" t="s">
        <v>34</v>
      </c>
      <c r="J6425" s="1" t="s">
        <v>18</v>
      </c>
      <c r="K6425" s="1">
        <f t="shared" si="1"/>
        <v>2022</v>
      </c>
      <c r="L6425" s="1" t="str">
        <f t="shared" si="2"/>
        <v>Feb</v>
      </c>
      <c r="M6425" s="1" t="str">
        <f t="shared" si="3"/>
        <v>Profit</v>
      </c>
    </row>
    <row r="6426" ht="14.25" customHeight="1">
      <c r="A6426" s="1" t="s">
        <v>6460</v>
      </c>
      <c r="B6426" s="2">
        <v>44513.0</v>
      </c>
      <c r="C6426" s="1" t="s">
        <v>26</v>
      </c>
      <c r="D6426" s="1" t="s">
        <v>27</v>
      </c>
      <c r="E6426" s="1" t="s">
        <v>28</v>
      </c>
      <c r="F6426" s="1">
        <v>257.74</v>
      </c>
      <c r="G6426" s="1">
        <v>-136.3</v>
      </c>
      <c r="H6426" s="1">
        <v>6.0</v>
      </c>
      <c r="I6426" s="1" t="s">
        <v>34</v>
      </c>
      <c r="J6426" s="1" t="s">
        <v>35</v>
      </c>
      <c r="K6426" s="1">
        <f t="shared" si="1"/>
        <v>2021</v>
      </c>
      <c r="L6426" s="1" t="str">
        <f t="shared" si="2"/>
        <v>Nov</v>
      </c>
      <c r="M6426" s="1" t="str">
        <f t="shared" si="3"/>
        <v>Loss</v>
      </c>
    </row>
    <row r="6427" ht="14.25" customHeight="1">
      <c r="A6427" s="1" t="s">
        <v>6461</v>
      </c>
      <c r="B6427" s="2">
        <v>44549.0</v>
      </c>
      <c r="C6427" s="1" t="s">
        <v>20</v>
      </c>
      <c r="D6427" s="1" t="s">
        <v>15</v>
      </c>
      <c r="E6427" s="1" t="s">
        <v>16</v>
      </c>
      <c r="F6427" s="1">
        <v>728.29</v>
      </c>
      <c r="G6427" s="1">
        <v>216.64</v>
      </c>
      <c r="H6427" s="1">
        <v>8.0</v>
      </c>
      <c r="I6427" s="1" t="s">
        <v>17</v>
      </c>
      <c r="J6427" s="1" t="s">
        <v>18</v>
      </c>
      <c r="K6427" s="1">
        <f t="shared" si="1"/>
        <v>2021</v>
      </c>
      <c r="L6427" s="1" t="str">
        <f t="shared" si="2"/>
        <v>Dec</v>
      </c>
      <c r="M6427" s="1" t="str">
        <f t="shared" si="3"/>
        <v>Profit</v>
      </c>
    </row>
    <row r="6428" ht="14.25" customHeight="1">
      <c r="A6428" s="1" t="s">
        <v>6462</v>
      </c>
      <c r="B6428" s="2">
        <v>44742.0</v>
      </c>
      <c r="C6428" s="1" t="s">
        <v>20</v>
      </c>
      <c r="D6428" s="1" t="s">
        <v>21</v>
      </c>
      <c r="E6428" s="1" t="s">
        <v>22</v>
      </c>
      <c r="F6428" s="1">
        <v>517.21</v>
      </c>
      <c r="G6428" s="1">
        <v>237.69</v>
      </c>
      <c r="H6428" s="1">
        <v>5.0</v>
      </c>
      <c r="I6428" s="1" t="s">
        <v>34</v>
      </c>
      <c r="J6428" s="1" t="s">
        <v>18</v>
      </c>
      <c r="K6428" s="1">
        <f t="shared" si="1"/>
        <v>2022</v>
      </c>
      <c r="L6428" s="1" t="str">
        <f t="shared" si="2"/>
        <v>Jun</v>
      </c>
      <c r="M6428" s="1" t="str">
        <f t="shared" si="3"/>
        <v>Profit</v>
      </c>
    </row>
    <row r="6429" ht="14.25" customHeight="1">
      <c r="A6429" s="1" t="s">
        <v>6463</v>
      </c>
      <c r="B6429" s="2">
        <v>44332.0</v>
      </c>
      <c r="C6429" s="1" t="s">
        <v>14</v>
      </c>
      <c r="D6429" s="1" t="s">
        <v>27</v>
      </c>
      <c r="E6429" s="1" t="s">
        <v>28</v>
      </c>
      <c r="F6429" s="1">
        <v>897.62</v>
      </c>
      <c r="G6429" s="1">
        <v>37.13</v>
      </c>
      <c r="H6429" s="1">
        <v>10.0</v>
      </c>
      <c r="I6429" s="1" t="s">
        <v>23</v>
      </c>
      <c r="J6429" s="1" t="s">
        <v>38</v>
      </c>
      <c r="K6429" s="1">
        <f t="shared" si="1"/>
        <v>2021</v>
      </c>
      <c r="L6429" s="1" t="str">
        <f t="shared" si="2"/>
        <v>May</v>
      </c>
      <c r="M6429" s="1" t="str">
        <f t="shared" si="3"/>
        <v>Profit</v>
      </c>
    </row>
    <row r="6430" ht="14.25" customHeight="1">
      <c r="A6430" s="1" t="s">
        <v>6464</v>
      </c>
      <c r="B6430" s="2">
        <v>45188.0</v>
      </c>
      <c r="C6430" s="1" t="s">
        <v>30</v>
      </c>
      <c r="D6430" s="1" t="s">
        <v>15</v>
      </c>
      <c r="E6430" s="1" t="s">
        <v>54</v>
      </c>
      <c r="F6430" s="1">
        <v>996.62</v>
      </c>
      <c r="G6430" s="1">
        <v>-109.97</v>
      </c>
      <c r="H6430" s="1">
        <v>2.0</v>
      </c>
      <c r="I6430" s="1" t="s">
        <v>17</v>
      </c>
      <c r="J6430" s="1" t="s">
        <v>24</v>
      </c>
      <c r="K6430" s="1">
        <f t="shared" si="1"/>
        <v>2023</v>
      </c>
      <c r="L6430" s="1" t="str">
        <f t="shared" si="2"/>
        <v>Sep</v>
      </c>
      <c r="M6430" s="1" t="str">
        <f t="shared" si="3"/>
        <v>Loss</v>
      </c>
    </row>
    <row r="6431" ht="14.25" customHeight="1">
      <c r="A6431" s="1" t="s">
        <v>6465</v>
      </c>
      <c r="B6431" s="2">
        <v>44228.0</v>
      </c>
      <c r="C6431" s="1" t="s">
        <v>30</v>
      </c>
      <c r="D6431" s="1" t="s">
        <v>15</v>
      </c>
      <c r="E6431" s="1" t="s">
        <v>54</v>
      </c>
      <c r="F6431" s="1">
        <v>471.18</v>
      </c>
      <c r="G6431" s="1">
        <v>-38.07</v>
      </c>
      <c r="H6431" s="1">
        <v>9.0</v>
      </c>
      <c r="I6431" s="1" t="s">
        <v>17</v>
      </c>
      <c r="J6431" s="1" t="s">
        <v>38</v>
      </c>
      <c r="K6431" s="1">
        <f t="shared" si="1"/>
        <v>2021</v>
      </c>
      <c r="L6431" s="1" t="str">
        <f t="shared" si="2"/>
        <v>Feb</v>
      </c>
      <c r="M6431" s="1" t="str">
        <f t="shared" si="3"/>
        <v>Loss</v>
      </c>
    </row>
    <row r="6432" ht="14.25" customHeight="1">
      <c r="A6432" s="1" t="s">
        <v>6466</v>
      </c>
      <c r="B6432" s="2">
        <v>44220.0</v>
      </c>
      <c r="C6432" s="1" t="s">
        <v>26</v>
      </c>
      <c r="D6432" s="1" t="s">
        <v>21</v>
      </c>
      <c r="E6432" s="1" t="s">
        <v>76</v>
      </c>
      <c r="F6432" s="1">
        <v>104.16</v>
      </c>
      <c r="G6432" s="1">
        <v>59.95</v>
      </c>
      <c r="H6432" s="1">
        <v>6.0</v>
      </c>
      <c r="I6432" s="1" t="s">
        <v>34</v>
      </c>
      <c r="J6432" s="1" t="s">
        <v>35</v>
      </c>
      <c r="K6432" s="1">
        <f t="shared" si="1"/>
        <v>2021</v>
      </c>
      <c r="L6432" s="1" t="str">
        <f t="shared" si="2"/>
        <v>Jan</v>
      </c>
      <c r="M6432" s="1" t="str">
        <f t="shared" si="3"/>
        <v>Profit</v>
      </c>
    </row>
    <row r="6433" ht="14.25" customHeight="1">
      <c r="A6433" s="1" t="s">
        <v>6467</v>
      </c>
      <c r="B6433" s="2">
        <v>44281.0</v>
      </c>
      <c r="C6433" s="1" t="s">
        <v>20</v>
      </c>
      <c r="D6433" s="1" t="s">
        <v>15</v>
      </c>
      <c r="E6433" s="1" t="s">
        <v>54</v>
      </c>
      <c r="F6433" s="1">
        <v>221.95</v>
      </c>
      <c r="G6433" s="1">
        <v>202.05</v>
      </c>
      <c r="H6433" s="1">
        <v>4.0</v>
      </c>
      <c r="I6433" s="1" t="s">
        <v>17</v>
      </c>
      <c r="J6433" s="1" t="s">
        <v>38</v>
      </c>
      <c r="K6433" s="1">
        <f t="shared" si="1"/>
        <v>2021</v>
      </c>
      <c r="L6433" s="1" t="str">
        <f t="shared" si="2"/>
        <v>Mar</v>
      </c>
      <c r="M6433" s="1" t="str">
        <f t="shared" si="3"/>
        <v>Profit</v>
      </c>
    </row>
    <row r="6434" ht="14.25" customHeight="1">
      <c r="A6434" s="1" t="s">
        <v>6468</v>
      </c>
      <c r="B6434" s="2">
        <v>44663.0</v>
      </c>
      <c r="C6434" s="1" t="s">
        <v>26</v>
      </c>
      <c r="D6434" s="1" t="s">
        <v>15</v>
      </c>
      <c r="E6434" s="1" t="s">
        <v>16</v>
      </c>
      <c r="F6434" s="1">
        <v>508.52</v>
      </c>
      <c r="G6434" s="1">
        <v>-7.75</v>
      </c>
      <c r="H6434" s="1">
        <v>1.0</v>
      </c>
      <c r="I6434" s="1" t="s">
        <v>23</v>
      </c>
      <c r="J6434" s="1" t="s">
        <v>18</v>
      </c>
      <c r="K6434" s="1">
        <f t="shared" si="1"/>
        <v>2022</v>
      </c>
      <c r="L6434" s="1" t="str">
        <f t="shared" si="2"/>
        <v>Apr</v>
      </c>
      <c r="M6434" s="1" t="str">
        <f t="shared" si="3"/>
        <v>Loss</v>
      </c>
    </row>
    <row r="6435" ht="14.25" customHeight="1">
      <c r="A6435" s="1" t="s">
        <v>6469</v>
      </c>
      <c r="B6435" s="2">
        <v>44678.0</v>
      </c>
      <c r="C6435" s="1" t="s">
        <v>26</v>
      </c>
      <c r="D6435" s="1" t="s">
        <v>27</v>
      </c>
      <c r="E6435" s="1" t="s">
        <v>33</v>
      </c>
      <c r="F6435" s="1">
        <v>587.63</v>
      </c>
      <c r="G6435" s="1">
        <v>172.61</v>
      </c>
      <c r="H6435" s="1">
        <v>5.0</v>
      </c>
      <c r="I6435" s="1" t="s">
        <v>17</v>
      </c>
      <c r="J6435" s="1" t="s">
        <v>18</v>
      </c>
      <c r="K6435" s="1">
        <f t="shared" si="1"/>
        <v>2022</v>
      </c>
      <c r="L6435" s="1" t="str">
        <f t="shared" si="2"/>
        <v>Apr</v>
      </c>
      <c r="M6435" s="1" t="str">
        <f t="shared" si="3"/>
        <v>Profit</v>
      </c>
    </row>
    <row r="6436" ht="14.25" customHeight="1">
      <c r="A6436" s="1" t="s">
        <v>6470</v>
      </c>
      <c r="B6436" s="2">
        <v>44607.0</v>
      </c>
      <c r="C6436" s="1" t="s">
        <v>30</v>
      </c>
      <c r="D6436" s="1" t="s">
        <v>15</v>
      </c>
      <c r="E6436" s="1" t="s">
        <v>54</v>
      </c>
      <c r="F6436" s="1">
        <v>428.63</v>
      </c>
      <c r="G6436" s="1">
        <v>-42.07</v>
      </c>
      <c r="H6436" s="1">
        <v>4.0</v>
      </c>
      <c r="I6436" s="1" t="s">
        <v>34</v>
      </c>
      <c r="J6436" s="1" t="s">
        <v>18</v>
      </c>
      <c r="K6436" s="1">
        <f t="shared" si="1"/>
        <v>2022</v>
      </c>
      <c r="L6436" s="1" t="str">
        <f t="shared" si="2"/>
        <v>Feb</v>
      </c>
      <c r="M6436" s="1" t="str">
        <f t="shared" si="3"/>
        <v>Loss</v>
      </c>
    </row>
    <row r="6437" ht="14.25" customHeight="1">
      <c r="A6437" s="1" t="s">
        <v>6471</v>
      </c>
      <c r="B6437" s="2">
        <v>44262.0</v>
      </c>
      <c r="C6437" s="1" t="s">
        <v>20</v>
      </c>
      <c r="D6437" s="1" t="s">
        <v>27</v>
      </c>
      <c r="E6437" s="1" t="s">
        <v>33</v>
      </c>
      <c r="F6437" s="1">
        <v>811.16</v>
      </c>
      <c r="G6437" s="1">
        <v>12.63</v>
      </c>
      <c r="H6437" s="1">
        <v>7.0</v>
      </c>
      <c r="I6437" s="1" t="s">
        <v>34</v>
      </c>
      <c r="J6437" s="1" t="s">
        <v>35</v>
      </c>
      <c r="K6437" s="1">
        <f t="shared" si="1"/>
        <v>2021</v>
      </c>
      <c r="L6437" s="1" t="str">
        <f t="shared" si="2"/>
        <v>Mar</v>
      </c>
      <c r="M6437" s="1" t="str">
        <f t="shared" si="3"/>
        <v>Profit</v>
      </c>
    </row>
    <row r="6438" ht="14.25" customHeight="1">
      <c r="A6438" s="1" t="s">
        <v>6472</v>
      </c>
      <c r="B6438" s="2">
        <v>44791.0</v>
      </c>
      <c r="C6438" s="1" t="s">
        <v>14</v>
      </c>
      <c r="D6438" s="1" t="s">
        <v>27</v>
      </c>
      <c r="E6438" s="1" t="s">
        <v>33</v>
      </c>
      <c r="F6438" s="1">
        <v>881.56</v>
      </c>
      <c r="G6438" s="1">
        <v>-186.06</v>
      </c>
      <c r="H6438" s="1">
        <v>9.0</v>
      </c>
      <c r="I6438" s="1" t="s">
        <v>23</v>
      </c>
      <c r="J6438" s="1" t="s">
        <v>24</v>
      </c>
      <c r="K6438" s="1">
        <f t="shared" si="1"/>
        <v>2022</v>
      </c>
      <c r="L6438" s="1" t="str">
        <f t="shared" si="2"/>
        <v>Aug</v>
      </c>
      <c r="M6438" s="1" t="str">
        <f t="shared" si="3"/>
        <v>Loss</v>
      </c>
    </row>
    <row r="6439" ht="14.25" customHeight="1">
      <c r="A6439" s="1" t="s">
        <v>6473</v>
      </c>
      <c r="B6439" s="2">
        <v>44704.0</v>
      </c>
      <c r="C6439" s="1" t="s">
        <v>20</v>
      </c>
      <c r="D6439" s="1" t="s">
        <v>15</v>
      </c>
      <c r="E6439" s="1" t="s">
        <v>16</v>
      </c>
      <c r="F6439" s="1">
        <v>407.58</v>
      </c>
      <c r="G6439" s="1">
        <v>162.53</v>
      </c>
      <c r="H6439" s="1">
        <v>9.0</v>
      </c>
      <c r="I6439" s="1" t="s">
        <v>17</v>
      </c>
      <c r="J6439" s="1" t="s">
        <v>24</v>
      </c>
      <c r="K6439" s="1">
        <f t="shared" si="1"/>
        <v>2022</v>
      </c>
      <c r="L6439" s="1" t="str">
        <f t="shared" si="2"/>
        <v>May</v>
      </c>
      <c r="M6439" s="1" t="str">
        <f t="shared" si="3"/>
        <v>Profit</v>
      </c>
    </row>
    <row r="6440" ht="14.25" customHeight="1">
      <c r="A6440" s="1" t="s">
        <v>6474</v>
      </c>
      <c r="B6440" s="2">
        <v>44524.0</v>
      </c>
      <c r="C6440" s="1" t="s">
        <v>30</v>
      </c>
      <c r="D6440" s="1" t="s">
        <v>15</v>
      </c>
      <c r="E6440" s="1" t="s">
        <v>31</v>
      </c>
      <c r="F6440" s="1">
        <v>609.21</v>
      </c>
      <c r="G6440" s="1">
        <v>91.26</v>
      </c>
      <c r="H6440" s="1">
        <v>3.0</v>
      </c>
      <c r="I6440" s="1" t="s">
        <v>17</v>
      </c>
      <c r="J6440" s="1" t="s">
        <v>18</v>
      </c>
      <c r="K6440" s="1">
        <f t="shared" si="1"/>
        <v>2021</v>
      </c>
      <c r="L6440" s="1" t="str">
        <f t="shared" si="2"/>
        <v>Nov</v>
      </c>
      <c r="M6440" s="1" t="str">
        <f t="shared" si="3"/>
        <v>Profit</v>
      </c>
    </row>
    <row r="6441" ht="14.25" customHeight="1">
      <c r="A6441" s="1" t="s">
        <v>6475</v>
      </c>
      <c r="B6441" s="2">
        <v>45001.0</v>
      </c>
      <c r="C6441" s="1" t="s">
        <v>26</v>
      </c>
      <c r="D6441" s="1" t="s">
        <v>15</v>
      </c>
      <c r="E6441" s="1" t="s">
        <v>16</v>
      </c>
      <c r="F6441" s="1">
        <v>792.12</v>
      </c>
      <c r="G6441" s="1">
        <v>258.72</v>
      </c>
      <c r="H6441" s="1">
        <v>9.0</v>
      </c>
      <c r="I6441" s="1" t="s">
        <v>17</v>
      </c>
      <c r="J6441" s="1" t="s">
        <v>35</v>
      </c>
      <c r="K6441" s="1">
        <f t="shared" si="1"/>
        <v>2023</v>
      </c>
      <c r="L6441" s="1" t="str">
        <f t="shared" si="2"/>
        <v>Mar</v>
      </c>
      <c r="M6441" s="1" t="str">
        <f t="shared" si="3"/>
        <v>Profit</v>
      </c>
    </row>
    <row r="6442" ht="14.25" customHeight="1">
      <c r="A6442" s="1" t="s">
        <v>6476</v>
      </c>
      <c r="B6442" s="2">
        <v>44732.0</v>
      </c>
      <c r="C6442" s="1" t="s">
        <v>30</v>
      </c>
      <c r="D6442" s="1" t="s">
        <v>21</v>
      </c>
      <c r="E6442" s="1" t="s">
        <v>22</v>
      </c>
      <c r="F6442" s="1">
        <v>900.92</v>
      </c>
      <c r="G6442" s="1">
        <v>145.3</v>
      </c>
      <c r="H6442" s="1">
        <v>5.0</v>
      </c>
      <c r="I6442" s="1" t="s">
        <v>34</v>
      </c>
      <c r="J6442" s="1" t="s">
        <v>35</v>
      </c>
      <c r="K6442" s="1">
        <f t="shared" si="1"/>
        <v>2022</v>
      </c>
      <c r="L6442" s="1" t="str">
        <f t="shared" si="2"/>
        <v>Jun</v>
      </c>
      <c r="M6442" s="1" t="str">
        <f t="shared" si="3"/>
        <v>Profit</v>
      </c>
    </row>
    <row r="6443" ht="14.25" customHeight="1">
      <c r="A6443" s="1" t="s">
        <v>6477</v>
      </c>
      <c r="B6443" s="2">
        <v>44871.0</v>
      </c>
      <c r="C6443" s="1" t="s">
        <v>14</v>
      </c>
      <c r="D6443" s="1" t="s">
        <v>27</v>
      </c>
      <c r="E6443" s="1" t="s">
        <v>40</v>
      </c>
      <c r="F6443" s="1">
        <v>598.64</v>
      </c>
      <c r="G6443" s="1">
        <v>283.29</v>
      </c>
      <c r="H6443" s="1">
        <v>7.0</v>
      </c>
      <c r="I6443" s="1" t="s">
        <v>17</v>
      </c>
      <c r="J6443" s="1" t="s">
        <v>38</v>
      </c>
      <c r="K6443" s="1">
        <f t="shared" si="1"/>
        <v>2022</v>
      </c>
      <c r="L6443" s="1" t="str">
        <f t="shared" si="2"/>
        <v>Nov</v>
      </c>
      <c r="M6443" s="1" t="str">
        <f t="shared" si="3"/>
        <v>Profit</v>
      </c>
    </row>
    <row r="6444" ht="14.25" customHeight="1">
      <c r="A6444" s="1" t="s">
        <v>6478</v>
      </c>
      <c r="B6444" s="2">
        <v>44558.0</v>
      </c>
      <c r="C6444" s="1" t="s">
        <v>20</v>
      </c>
      <c r="D6444" s="1" t="s">
        <v>21</v>
      </c>
      <c r="E6444" s="1" t="s">
        <v>22</v>
      </c>
      <c r="F6444" s="1">
        <v>587.1</v>
      </c>
      <c r="G6444" s="1">
        <v>93.94</v>
      </c>
      <c r="H6444" s="1">
        <v>9.0</v>
      </c>
      <c r="I6444" s="1" t="s">
        <v>23</v>
      </c>
      <c r="J6444" s="1" t="s">
        <v>38</v>
      </c>
      <c r="K6444" s="1">
        <f t="shared" si="1"/>
        <v>2021</v>
      </c>
      <c r="L6444" s="1" t="str">
        <f t="shared" si="2"/>
        <v>Dec</v>
      </c>
      <c r="M6444" s="1" t="str">
        <f t="shared" si="3"/>
        <v>Profit</v>
      </c>
    </row>
    <row r="6445" ht="14.25" customHeight="1">
      <c r="A6445" s="1" t="s">
        <v>6479</v>
      </c>
      <c r="B6445" s="2">
        <v>45246.0</v>
      </c>
      <c r="C6445" s="1" t="s">
        <v>14</v>
      </c>
      <c r="D6445" s="1" t="s">
        <v>15</v>
      </c>
      <c r="E6445" s="1" t="s">
        <v>31</v>
      </c>
      <c r="F6445" s="1">
        <v>554.78</v>
      </c>
      <c r="G6445" s="1">
        <v>-170.31</v>
      </c>
      <c r="H6445" s="1">
        <v>5.0</v>
      </c>
      <c r="I6445" s="1" t="s">
        <v>23</v>
      </c>
      <c r="J6445" s="1" t="s">
        <v>38</v>
      </c>
      <c r="K6445" s="1">
        <f t="shared" si="1"/>
        <v>2023</v>
      </c>
      <c r="L6445" s="1" t="str">
        <f t="shared" si="2"/>
        <v>Nov</v>
      </c>
      <c r="M6445" s="1" t="str">
        <f t="shared" si="3"/>
        <v>Loss</v>
      </c>
    </row>
    <row r="6446" ht="14.25" customHeight="1">
      <c r="A6446" s="1" t="s">
        <v>6480</v>
      </c>
      <c r="B6446" s="2">
        <v>44397.0</v>
      </c>
      <c r="C6446" s="1" t="s">
        <v>20</v>
      </c>
      <c r="D6446" s="1" t="s">
        <v>21</v>
      </c>
      <c r="E6446" s="1" t="s">
        <v>76</v>
      </c>
      <c r="F6446" s="1">
        <v>894.9</v>
      </c>
      <c r="G6446" s="1">
        <v>-36.41</v>
      </c>
      <c r="H6446" s="1">
        <v>1.0</v>
      </c>
      <c r="I6446" s="1" t="s">
        <v>23</v>
      </c>
      <c r="J6446" s="1" t="s">
        <v>35</v>
      </c>
      <c r="K6446" s="1">
        <f t="shared" si="1"/>
        <v>2021</v>
      </c>
      <c r="L6446" s="1" t="str">
        <f t="shared" si="2"/>
        <v>Jul</v>
      </c>
      <c r="M6446" s="1" t="str">
        <f t="shared" si="3"/>
        <v>Loss</v>
      </c>
    </row>
    <row r="6447" ht="14.25" customHeight="1">
      <c r="A6447" s="1" t="s">
        <v>6481</v>
      </c>
      <c r="B6447" s="2">
        <v>44731.0</v>
      </c>
      <c r="C6447" s="1" t="s">
        <v>14</v>
      </c>
      <c r="D6447" s="1" t="s">
        <v>27</v>
      </c>
      <c r="E6447" s="1" t="s">
        <v>28</v>
      </c>
      <c r="F6447" s="1">
        <v>122.04</v>
      </c>
      <c r="G6447" s="1">
        <v>208.53</v>
      </c>
      <c r="H6447" s="1">
        <v>1.0</v>
      </c>
      <c r="I6447" s="1" t="s">
        <v>17</v>
      </c>
      <c r="J6447" s="1" t="s">
        <v>18</v>
      </c>
      <c r="K6447" s="1">
        <f t="shared" si="1"/>
        <v>2022</v>
      </c>
      <c r="L6447" s="1" t="str">
        <f t="shared" si="2"/>
        <v>Jun</v>
      </c>
      <c r="M6447" s="1" t="str">
        <f t="shared" si="3"/>
        <v>Profit</v>
      </c>
    </row>
    <row r="6448" ht="14.25" customHeight="1">
      <c r="A6448" s="1" t="s">
        <v>6482</v>
      </c>
      <c r="B6448" s="2">
        <v>45081.0</v>
      </c>
      <c r="C6448" s="1" t="s">
        <v>14</v>
      </c>
      <c r="D6448" s="1" t="s">
        <v>15</v>
      </c>
      <c r="E6448" s="1" t="s">
        <v>54</v>
      </c>
      <c r="F6448" s="1">
        <v>984.74</v>
      </c>
      <c r="G6448" s="1">
        <v>180.31</v>
      </c>
      <c r="H6448" s="1">
        <v>5.0</v>
      </c>
      <c r="I6448" s="1" t="s">
        <v>34</v>
      </c>
      <c r="J6448" s="1" t="s">
        <v>35</v>
      </c>
      <c r="K6448" s="1">
        <f t="shared" si="1"/>
        <v>2023</v>
      </c>
      <c r="L6448" s="1" t="str">
        <f t="shared" si="2"/>
        <v>Jun</v>
      </c>
      <c r="M6448" s="1" t="str">
        <f t="shared" si="3"/>
        <v>Profit</v>
      </c>
    </row>
    <row r="6449" ht="14.25" customHeight="1">
      <c r="A6449" s="1" t="s">
        <v>6483</v>
      </c>
      <c r="B6449" s="2">
        <v>44803.0</v>
      </c>
      <c r="C6449" s="1" t="s">
        <v>26</v>
      </c>
      <c r="D6449" s="1" t="s">
        <v>21</v>
      </c>
      <c r="E6449" s="1" t="s">
        <v>22</v>
      </c>
      <c r="F6449" s="1">
        <v>317.42</v>
      </c>
      <c r="G6449" s="1">
        <v>-105.78</v>
      </c>
      <c r="H6449" s="1">
        <v>8.0</v>
      </c>
      <c r="I6449" s="1" t="s">
        <v>23</v>
      </c>
      <c r="J6449" s="1" t="s">
        <v>38</v>
      </c>
      <c r="K6449" s="1">
        <f t="shared" si="1"/>
        <v>2022</v>
      </c>
      <c r="L6449" s="1" t="str">
        <f t="shared" si="2"/>
        <v>Aug</v>
      </c>
      <c r="M6449" s="1" t="str">
        <f t="shared" si="3"/>
        <v>Loss</v>
      </c>
    </row>
    <row r="6450" ht="14.25" customHeight="1">
      <c r="A6450" s="1" t="s">
        <v>6484</v>
      </c>
      <c r="B6450" s="2">
        <v>44356.0</v>
      </c>
      <c r="C6450" s="1" t="s">
        <v>26</v>
      </c>
      <c r="D6450" s="1" t="s">
        <v>21</v>
      </c>
      <c r="E6450" s="1" t="s">
        <v>37</v>
      </c>
      <c r="F6450" s="1">
        <v>724.65</v>
      </c>
      <c r="G6450" s="1">
        <v>243.34</v>
      </c>
      <c r="H6450" s="1">
        <v>2.0</v>
      </c>
      <c r="I6450" s="1" t="s">
        <v>17</v>
      </c>
      <c r="J6450" s="1" t="s">
        <v>24</v>
      </c>
      <c r="K6450" s="1">
        <f t="shared" si="1"/>
        <v>2021</v>
      </c>
      <c r="L6450" s="1" t="str">
        <f t="shared" si="2"/>
        <v>Jun</v>
      </c>
      <c r="M6450" s="1" t="str">
        <f t="shared" si="3"/>
        <v>Profit</v>
      </c>
    </row>
    <row r="6451" ht="14.25" customHeight="1">
      <c r="A6451" s="1" t="s">
        <v>6485</v>
      </c>
      <c r="B6451" s="2">
        <v>44905.0</v>
      </c>
      <c r="C6451" s="1" t="s">
        <v>14</v>
      </c>
      <c r="D6451" s="1" t="s">
        <v>21</v>
      </c>
      <c r="E6451" s="1" t="s">
        <v>37</v>
      </c>
      <c r="F6451" s="1">
        <v>206.13</v>
      </c>
      <c r="G6451" s="1">
        <v>95.65</v>
      </c>
      <c r="H6451" s="1">
        <v>4.0</v>
      </c>
      <c r="I6451" s="1" t="s">
        <v>17</v>
      </c>
      <c r="J6451" s="1" t="s">
        <v>18</v>
      </c>
      <c r="K6451" s="1">
        <f t="shared" si="1"/>
        <v>2022</v>
      </c>
      <c r="L6451" s="1" t="str">
        <f t="shared" si="2"/>
        <v>Dec</v>
      </c>
      <c r="M6451" s="1" t="str">
        <f t="shared" si="3"/>
        <v>Profit</v>
      </c>
    </row>
    <row r="6452" ht="14.25" customHeight="1">
      <c r="A6452" s="1" t="s">
        <v>6486</v>
      </c>
      <c r="B6452" s="2">
        <v>44871.0</v>
      </c>
      <c r="C6452" s="1" t="s">
        <v>14</v>
      </c>
      <c r="D6452" s="1" t="s">
        <v>21</v>
      </c>
      <c r="E6452" s="1" t="s">
        <v>37</v>
      </c>
      <c r="F6452" s="1">
        <v>180.23</v>
      </c>
      <c r="G6452" s="1">
        <v>244.88</v>
      </c>
      <c r="H6452" s="1">
        <v>6.0</v>
      </c>
      <c r="I6452" s="1" t="s">
        <v>34</v>
      </c>
      <c r="J6452" s="1" t="s">
        <v>35</v>
      </c>
      <c r="K6452" s="1">
        <f t="shared" si="1"/>
        <v>2022</v>
      </c>
      <c r="L6452" s="1" t="str">
        <f t="shared" si="2"/>
        <v>Nov</v>
      </c>
      <c r="M6452" s="1" t="str">
        <f t="shared" si="3"/>
        <v>Profit</v>
      </c>
    </row>
    <row r="6453" ht="14.25" customHeight="1">
      <c r="A6453" s="1" t="s">
        <v>6487</v>
      </c>
      <c r="B6453" s="2">
        <v>45264.0</v>
      </c>
      <c r="C6453" s="1" t="s">
        <v>30</v>
      </c>
      <c r="D6453" s="1" t="s">
        <v>27</v>
      </c>
      <c r="E6453" s="1" t="s">
        <v>40</v>
      </c>
      <c r="F6453" s="1">
        <v>639.52</v>
      </c>
      <c r="G6453" s="1">
        <v>236.9</v>
      </c>
      <c r="H6453" s="1">
        <v>2.0</v>
      </c>
      <c r="I6453" s="1" t="s">
        <v>17</v>
      </c>
      <c r="J6453" s="1" t="s">
        <v>38</v>
      </c>
      <c r="K6453" s="1">
        <f t="shared" si="1"/>
        <v>2023</v>
      </c>
      <c r="L6453" s="1" t="str">
        <f t="shared" si="2"/>
        <v>Dec</v>
      </c>
      <c r="M6453" s="1" t="str">
        <f t="shared" si="3"/>
        <v>Profit</v>
      </c>
    </row>
    <row r="6454" ht="14.25" customHeight="1">
      <c r="A6454" s="1" t="s">
        <v>6488</v>
      </c>
      <c r="B6454" s="2">
        <v>44495.0</v>
      </c>
      <c r="C6454" s="1" t="s">
        <v>20</v>
      </c>
      <c r="D6454" s="1" t="s">
        <v>21</v>
      </c>
      <c r="E6454" s="1" t="s">
        <v>76</v>
      </c>
      <c r="F6454" s="1">
        <v>975.04</v>
      </c>
      <c r="G6454" s="1">
        <v>67.96</v>
      </c>
      <c r="H6454" s="1">
        <v>2.0</v>
      </c>
      <c r="I6454" s="1" t="s">
        <v>17</v>
      </c>
      <c r="J6454" s="1" t="s">
        <v>35</v>
      </c>
      <c r="K6454" s="1">
        <f t="shared" si="1"/>
        <v>2021</v>
      </c>
      <c r="L6454" s="1" t="str">
        <f t="shared" si="2"/>
        <v>Oct</v>
      </c>
      <c r="M6454" s="1" t="str">
        <f t="shared" si="3"/>
        <v>Profit</v>
      </c>
    </row>
    <row r="6455" ht="14.25" customHeight="1">
      <c r="A6455" s="1" t="s">
        <v>6489</v>
      </c>
      <c r="B6455" s="2">
        <v>44796.0</v>
      </c>
      <c r="C6455" s="1" t="s">
        <v>14</v>
      </c>
      <c r="D6455" s="1" t="s">
        <v>27</v>
      </c>
      <c r="E6455" s="1" t="s">
        <v>33</v>
      </c>
      <c r="F6455" s="1">
        <v>350.64</v>
      </c>
      <c r="G6455" s="1">
        <v>158.51</v>
      </c>
      <c r="H6455" s="1">
        <v>3.0</v>
      </c>
      <c r="I6455" s="1" t="s">
        <v>17</v>
      </c>
      <c r="J6455" s="1" t="s">
        <v>38</v>
      </c>
      <c r="K6455" s="1">
        <f t="shared" si="1"/>
        <v>2022</v>
      </c>
      <c r="L6455" s="1" t="str">
        <f t="shared" si="2"/>
        <v>Aug</v>
      </c>
      <c r="M6455" s="1" t="str">
        <f t="shared" si="3"/>
        <v>Profit</v>
      </c>
    </row>
    <row r="6456" ht="14.25" customHeight="1">
      <c r="A6456" s="1" t="s">
        <v>6490</v>
      </c>
      <c r="B6456" s="2">
        <v>44312.0</v>
      </c>
      <c r="C6456" s="1" t="s">
        <v>26</v>
      </c>
      <c r="D6456" s="1" t="s">
        <v>15</v>
      </c>
      <c r="E6456" s="1" t="s">
        <v>54</v>
      </c>
      <c r="F6456" s="1">
        <v>50.91</v>
      </c>
      <c r="G6456" s="1">
        <v>-73.66</v>
      </c>
      <c r="H6456" s="1">
        <v>5.0</v>
      </c>
      <c r="I6456" s="1" t="s">
        <v>34</v>
      </c>
      <c r="J6456" s="1" t="s">
        <v>18</v>
      </c>
      <c r="K6456" s="1">
        <f t="shared" si="1"/>
        <v>2021</v>
      </c>
      <c r="L6456" s="1" t="str">
        <f t="shared" si="2"/>
        <v>Apr</v>
      </c>
      <c r="M6456" s="1" t="str">
        <f t="shared" si="3"/>
        <v>Loss</v>
      </c>
    </row>
    <row r="6457" ht="14.25" customHeight="1">
      <c r="A6457" s="1" t="s">
        <v>6491</v>
      </c>
      <c r="B6457" s="2">
        <v>45079.0</v>
      </c>
      <c r="C6457" s="1" t="s">
        <v>30</v>
      </c>
      <c r="D6457" s="1" t="s">
        <v>21</v>
      </c>
      <c r="E6457" s="1" t="s">
        <v>76</v>
      </c>
      <c r="F6457" s="1">
        <v>365.37</v>
      </c>
      <c r="G6457" s="1">
        <v>-93.03</v>
      </c>
      <c r="H6457" s="1">
        <v>1.0</v>
      </c>
      <c r="I6457" s="1" t="s">
        <v>23</v>
      </c>
      <c r="J6457" s="1" t="s">
        <v>35</v>
      </c>
      <c r="K6457" s="1">
        <f t="shared" si="1"/>
        <v>2023</v>
      </c>
      <c r="L6457" s="1" t="str">
        <f t="shared" si="2"/>
        <v>Jun</v>
      </c>
      <c r="M6457" s="1" t="str">
        <f t="shared" si="3"/>
        <v>Loss</v>
      </c>
    </row>
    <row r="6458" ht="14.25" customHeight="1">
      <c r="A6458" s="1" t="s">
        <v>6492</v>
      </c>
      <c r="B6458" s="2">
        <v>44805.0</v>
      </c>
      <c r="C6458" s="1" t="s">
        <v>26</v>
      </c>
      <c r="D6458" s="1" t="s">
        <v>15</v>
      </c>
      <c r="E6458" s="1" t="s">
        <v>16</v>
      </c>
      <c r="F6458" s="1">
        <v>609.02</v>
      </c>
      <c r="G6458" s="1">
        <v>77.31</v>
      </c>
      <c r="H6458" s="1">
        <v>10.0</v>
      </c>
      <c r="I6458" s="1" t="s">
        <v>34</v>
      </c>
      <c r="J6458" s="1" t="s">
        <v>35</v>
      </c>
      <c r="K6458" s="1">
        <f t="shared" si="1"/>
        <v>2022</v>
      </c>
      <c r="L6458" s="1" t="str">
        <f t="shared" si="2"/>
        <v>Sep</v>
      </c>
      <c r="M6458" s="1" t="str">
        <f t="shared" si="3"/>
        <v>Profit</v>
      </c>
    </row>
    <row r="6459" ht="14.25" customHeight="1">
      <c r="A6459" s="1" t="s">
        <v>6493</v>
      </c>
      <c r="B6459" s="2">
        <v>44386.0</v>
      </c>
      <c r="C6459" s="1" t="s">
        <v>20</v>
      </c>
      <c r="D6459" s="1" t="s">
        <v>21</v>
      </c>
      <c r="E6459" s="1" t="s">
        <v>76</v>
      </c>
      <c r="F6459" s="1">
        <v>893.95</v>
      </c>
      <c r="G6459" s="1">
        <v>-187.77</v>
      </c>
      <c r="H6459" s="1">
        <v>7.0</v>
      </c>
      <c r="I6459" s="1" t="s">
        <v>17</v>
      </c>
      <c r="J6459" s="1" t="s">
        <v>38</v>
      </c>
      <c r="K6459" s="1">
        <f t="shared" si="1"/>
        <v>2021</v>
      </c>
      <c r="L6459" s="1" t="str">
        <f t="shared" si="2"/>
        <v>Jul</v>
      </c>
      <c r="M6459" s="1" t="str">
        <f t="shared" si="3"/>
        <v>Loss</v>
      </c>
    </row>
    <row r="6460" ht="14.25" customHeight="1">
      <c r="A6460" s="1" t="s">
        <v>6494</v>
      </c>
      <c r="B6460" s="2">
        <v>44280.0</v>
      </c>
      <c r="C6460" s="1" t="s">
        <v>30</v>
      </c>
      <c r="D6460" s="1" t="s">
        <v>15</v>
      </c>
      <c r="E6460" s="1" t="s">
        <v>16</v>
      </c>
      <c r="F6460" s="1">
        <v>492.7</v>
      </c>
      <c r="G6460" s="1">
        <v>130.04</v>
      </c>
      <c r="H6460" s="1">
        <v>2.0</v>
      </c>
      <c r="I6460" s="1" t="s">
        <v>23</v>
      </c>
      <c r="J6460" s="1" t="s">
        <v>35</v>
      </c>
      <c r="K6460" s="1">
        <f t="shared" si="1"/>
        <v>2021</v>
      </c>
      <c r="L6460" s="1" t="str">
        <f t="shared" si="2"/>
        <v>Mar</v>
      </c>
      <c r="M6460" s="1" t="str">
        <f t="shared" si="3"/>
        <v>Profit</v>
      </c>
    </row>
    <row r="6461" ht="14.25" customHeight="1">
      <c r="A6461" s="1" t="s">
        <v>6495</v>
      </c>
      <c r="B6461" s="2">
        <v>45203.0</v>
      </c>
      <c r="C6461" s="1" t="s">
        <v>30</v>
      </c>
      <c r="D6461" s="1" t="s">
        <v>27</v>
      </c>
      <c r="E6461" s="1" t="s">
        <v>33</v>
      </c>
      <c r="F6461" s="1">
        <v>227.73</v>
      </c>
      <c r="G6461" s="1">
        <v>-19.55</v>
      </c>
      <c r="H6461" s="1">
        <v>6.0</v>
      </c>
      <c r="I6461" s="1" t="s">
        <v>17</v>
      </c>
      <c r="J6461" s="1" t="s">
        <v>38</v>
      </c>
      <c r="K6461" s="1">
        <f t="shared" si="1"/>
        <v>2023</v>
      </c>
      <c r="L6461" s="1" t="str">
        <f t="shared" si="2"/>
        <v>Oct</v>
      </c>
      <c r="M6461" s="1" t="str">
        <f t="shared" si="3"/>
        <v>Loss</v>
      </c>
    </row>
    <row r="6462" ht="14.25" customHeight="1">
      <c r="A6462" s="1" t="s">
        <v>6496</v>
      </c>
      <c r="B6462" s="2">
        <v>45112.0</v>
      </c>
      <c r="C6462" s="1" t="s">
        <v>20</v>
      </c>
      <c r="D6462" s="1" t="s">
        <v>21</v>
      </c>
      <c r="E6462" s="1" t="s">
        <v>22</v>
      </c>
      <c r="F6462" s="1">
        <v>918.91</v>
      </c>
      <c r="G6462" s="1">
        <v>238.23</v>
      </c>
      <c r="H6462" s="1">
        <v>4.0</v>
      </c>
      <c r="I6462" s="1" t="s">
        <v>17</v>
      </c>
      <c r="J6462" s="1" t="s">
        <v>18</v>
      </c>
      <c r="K6462" s="1">
        <f t="shared" si="1"/>
        <v>2023</v>
      </c>
      <c r="L6462" s="1" t="str">
        <f t="shared" si="2"/>
        <v>Jul</v>
      </c>
      <c r="M6462" s="1" t="str">
        <f t="shared" si="3"/>
        <v>Profit</v>
      </c>
    </row>
    <row r="6463" ht="14.25" customHeight="1">
      <c r="A6463" s="1" t="s">
        <v>6497</v>
      </c>
      <c r="B6463" s="2">
        <v>44981.0</v>
      </c>
      <c r="C6463" s="1" t="s">
        <v>20</v>
      </c>
      <c r="D6463" s="1" t="s">
        <v>15</v>
      </c>
      <c r="E6463" s="1" t="s">
        <v>31</v>
      </c>
      <c r="F6463" s="1">
        <v>221.47</v>
      </c>
      <c r="G6463" s="1">
        <v>204.01</v>
      </c>
      <c r="H6463" s="1">
        <v>2.0</v>
      </c>
      <c r="I6463" s="1" t="s">
        <v>17</v>
      </c>
      <c r="J6463" s="1" t="s">
        <v>35</v>
      </c>
      <c r="K6463" s="1">
        <f t="shared" si="1"/>
        <v>2023</v>
      </c>
      <c r="L6463" s="1" t="str">
        <f t="shared" si="2"/>
        <v>Feb</v>
      </c>
      <c r="M6463" s="1" t="str">
        <f t="shared" si="3"/>
        <v>Profit</v>
      </c>
    </row>
    <row r="6464" ht="14.25" customHeight="1">
      <c r="A6464" s="1" t="s">
        <v>6498</v>
      </c>
      <c r="B6464" s="2">
        <v>45266.0</v>
      </c>
      <c r="C6464" s="1" t="s">
        <v>30</v>
      </c>
      <c r="D6464" s="1" t="s">
        <v>15</v>
      </c>
      <c r="E6464" s="1" t="s">
        <v>31</v>
      </c>
      <c r="F6464" s="1">
        <v>780.64</v>
      </c>
      <c r="G6464" s="1">
        <v>12.16</v>
      </c>
      <c r="H6464" s="1">
        <v>2.0</v>
      </c>
      <c r="I6464" s="1" t="s">
        <v>23</v>
      </c>
      <c r="J6464" s="1" t="s">
        <v>24</v>
      </c>
      <c r="K6464" s="1">
        <f t="shared" si="1"/>
        <v>2023</v>
      </c>
      <c r="L6464" s="1" t="str">
        <f t="shared" si="2"/>
        <v>Dec</v>
      </c>
      <c r="M6464" s="1" t="str">
        <f t="shared" si="3"/>
        <v>Profit</v>
      </c>
    </row>
    <row r="6465" ht="14.25" customHeight="1">
      <c r="A6465" s="1" t="s">
        <v>6499</v>
      </c>
      <c r="B6465" s="2">
        <v>45136.0</v>
      </c>
      <c r="C6465" s="1" t="s">
        <v>20</v>
      </c>
      <c r="D6465" s="1" t="s">
        <v>15</v>
      </c>
      <c r="E6465" s="1" t="s">
        <v>31</v>
      </c>
      <c r="F6465" s="1">
        <v>34.58</v>
      </c>
      <c r="G6465" s="1">
        <v>-33.85</v>
      </c>
      <c r="H6465" s="1">
        <v>3.0</v>
      </c>
      <c r="I6465" s="1" t="s">
        <v>34</v>
      </c>
      <c r="J6465" s="1" t="s">
        <v>18</v>
      </c>
      <c r="K6465" s="1">
        <f t="shared" si="1"/>
        <v>2023</v>
      </c>
      <c r="L6465" s="1" t="str">
        <f t="shared" si="2"/>
        <v>Jul</v>
      </c>
      <c r="M6465" s="1" t="str">
        <f t="shared" si="3"/>
        <v>Loss</v>
      </c>
    </row>
    <row r="6466" ht="14.25" customHeight="1">
      <c r="A6466" s="1" t="s">
        <v>6500</v>
      </c>
      <c r="B6466" s="2">
        <v>44274.0</v>
      </c>
      <c r="C6466" s="1" t="s">
        <v>14</v>
      </c>
      <c r="D6466" s="1" t="s">
        <v>21</v>
      </c>
      <c r="E6466" s="1" t="s">
        <v>37</v>
      </c>
      <c r="F6466" s="1">
        <v>677.75</v>
      </c>
      <c r="G6466" s="1">
        <v>-137.66</v>
      </c>
      <c r="H6466" s="1">
        <v>9.0</v>
      </c>
      <c r="I6466" s="1" t="s">
        <v>34</v>
      </c>
      <c r="J6466" s="1" t="s">
        <v>18</v>
      </c>
      <c r="K6466" s="1">
        <f t="shared" si="1"/>
        <v>2021</v>
      </c>
      <c r="L6466" s="1" t="str">
        <f t="shared" si="2"/>
        <v>Mar</v>
      </c>
      <c r="M6466" s="1" t="str">
        <f t="shared" si="3"/>
        <v>Loss</v>
      </c>
    </row>
    <row r="6467" ht="14.25" customHeight="1">
      <c r="A6467" s="1" t="s">
        <v>6501</v>
      </c>
      <c r="B6467" s="2">
        <v>45079.0</v>
      </c>
      <c r="C6467" s="1" t="s">
        <v>30</v>
      </c>
      <c r="D6467" s="1" t="s">
        <v>27</v>
      </c>
      <c r="E6467" s="1" t="s">
        <v>28</v>
      </c>
      <c r="F6467" s="1">
        <v>836.16</v>
      </c>
      <c r="G6467" s="1">
        <v>230.12</v>
      </c>
      <c r="H6467" s="1">
        <v>5.0</v>
      </c>
      <c r="I6467" s="1" t="s">
        <v>34</v>
      </c>
      <c r="J6467" s="1" t="s">
        <v>18</v>
      </c>
      <c r="K6467" s="1">
        <f t="shared" si="1"/>
        <v>2023</v>
      </c>
      <c r="L6467" s="1" t="str">
        <f t="shared" si="2"/>
        <v>Jun</v>
      </c>
      <c r="M6467" s="1" t="str">
        <f t="shared" si="3"/>
        <v>Profit</v>
      </c>
    </row>
    <row r="6468" ht="14.25" customHeight="1">
      <c r="A6468" s="1" t="s">
        <v>6502</v>
      </c>
      <c r="B6468" s="2">
        <v>44445.0</v>
      </c>
      <c r="C6468" s="1" t="s">
        <v>20</v>
      </c>
      <c r="D6468" s="1" t="s">
        <v>27</v>
      </c>
      <c r="E6468" s="1" t="s">
        <v>33</v>
      </c>
      <c r="F6468" s="1">
        <v>153.23</v>
      </c>
      <c r="G6468" s="1">
        <v>121.61</v>
      </c>
      <c r="H6468" s="1">
        <v>4.0</v>
      </c>
      <c r="I6468" s="1" t="s">
        <v>23</v>
      </c>
      <c r="J6468" s="1" t="s">
        <v>35</v>
      </c>
      <c r="K6468" s="1">
        <f t="shared" si="1"/>
        <v>2021</v>
      </c>
      <c r="L6468" s="1" t="str">
        <f t="shared" si="2"/>
        <v>Sep</v>
      </c>
      <c r="M6468" s="1" t="str">
        <f t="shared" si="3"/>
        <v>Profit</v>
      </c>
    </row>
    <row r="6469" ht="14.25" customHeight="1">
      <c r="A6469" s="1" t="s">
        <v>6503</v>
      </c>
      <c r="B6469" s="2">
        <v>44599.0</v>
      </c>
      <c r="C6469" s="1" t="s">
        <v>14</v>
      </c>
      <c r="D6469" s="1" t="s">
        <v>21</v>
      </c>
      <c r="E6469" s="1" t="s">
        <v>37</v>
      </c>
      <c r="F6469" s="1">
        <v>107.24</v>
      </c>
      <c r="G6469" s="1">
        <v>166.73</v>
      </c>
      <c r="H6469" s="1">
        <v>2.0</v>
      </c>
      <c r="I6469" s="1" t="s">
        <v>34</v>
      </c>
      <c r="J6469" s="1" t="s">
        <v>24</v>
      </c>
      <c r="K6469" s="1">
        <f t="shared" si="1"/>
        <v>2022</v>
      </c>
      <c r="L6469" s="1" t="str">
        <f t="shared" si="2"/>
        <v>Feb</v>
      </c>
      <c r="M6469" s="1" t="str">
        <f t="shared" si="3"/>
        <v>Profit</v>
      </c>
    </row>
    <row r="6470" ht="14.25" customHeight="1">
      <c r="A6470" s="1" t="s">
        <v>6504</v>
      </c>
      <c r="B6470" s="2">
        <v>45219.0</v>
      </c>
      <c r="C6470" s="1" t="s">
        <v>26</v>
      </c>
      <c r="D6470" s="1" t="s">
        <v>15</v>
      </c>
      <c r="E6470" s="1" t="s">
        <v>54</v>
      </c>
      <c r="F6470" s="1">
        <v>646.24</v>
      </c>
      <c r="G6470" s="1">
        <v>-149.82</v>
      </c>
      <c r="H6470" s="1">
        <v>9.0</v>
      </c>
      <c r="I6470" s="1" t="s">
        <v>17</v>
      </c>
      <c r="J6470" s="1" t="s">
        <v>38</v>
      </c>
      <c r="K6470" s="1">
        <f t="shared" si="1"/>
        <v>2023</v>
      </c>
      <c r="L6470" s="1" t="str">
        <f t="shared" si="2"/>
        <v>Oct</v>
      </c>
      <c r="M6470" s="1" t="str">
        <f t="shared" si="3"/>
        <v>Loss</v>
      </c>
    </row>
    <row r="6471" ht="14.25" customHeight="1">
      <c r="A6471" s="1" t="s">
        <v>6505</v>
      </c>
      <c r="B6471" s="2">
        <v>44457.0</v>
      </c>
      <c r="C6471" s="1" t="s">
        <v>20</v>
      </c>
      <c r="D6471" s="1" t="s">
        <v>21</v>
      </c>
      <c r="E6471" s="1" t="s">
        <v>22</v>
      </c>
      <c r="F6471" s="1">
        <v>115.82</v>
      </c>
      <c r="G6471" s="1">
        <v>70.41</v>
      </c>
      <c r="H6471" s="1">
        <v>1.0</v>
      </c>
      <c r="I6471" s="1" t="s">
        <v>23</v>
      </c>
      <c r="J6471" s="1" t="s">
        <v>24</v>
      </c>
      <c r="K6471" s="1">
        <f t="shared" si="1"/>
        <v>2021</v>
      </c>
      <c r="L6471" s="1" t="str">
        <f t="shared" si="2"/>
        <v>Sep</v>
      </c>
      <c r="M6471" s="1" t="str">
        <f t="shared" si="3"/>
        <v>Profit</v>
      </c>
    </row>
    <row r="6472" ht="14.25" customHeight="1">
      <c r="A6472" s="1" t="s">
        <v>6506</v>
      </c>
      <c r="B6472" s="2">
        <v>45163.0</v>
      </c>
      <c r="C6472" s="1" t="s">
        <v>30</v>
      </c>
      <c r="D6472" s="1" t="s">
        <v>27</v>
      </c>
      <c r="E6472" s="1" t="s">
        <v>28</v>
      </c>
      <c r="F6472" s="1">
        <v>53.32</v>
      </c>
      <c r="G6472" s="1">
        <v>-55.16</v>
      </c>
      <c r="H6472" s="1">
        <v>8.0</v>
      </c>
      <c r="I6472" s="1" t="s">
        <v>17</v>
      </c>
      <c r="J6472" s="1" t="s">
        <v>24</v>
      </c>
      <c r="K6472" s="1">
        <f t="shared" si="1"/>
        <v>2023</v>
      </c>
      <c r="L6472" s="1" t="str">
        <f t="shared" si="2"/>
        <v>Aug</v>
      </c>
      <c r="M6472" s="1" t="str">
        <f t="shared" si="3"/>
        <v>Loss</v>
      </c>
    </row>
    <row r="6473" ht="14.25" customHeight="1">
      <c r="A6473" s="1" t="s">
        <v>6507</v>
      </c>
      <c r="B6473" s="2">
        <v>44510.0</v>
      </c>
      <c r="C6473" s="1" t="s">
        <v>14</v>
      </c>
      <c r="D6473" s="1" t="s">
        <v>15</v>
      </c>
      <c r="E6473" s="1" t="s">
        <v>54</v>
      </c>
      <c r="F6473" s="1">
        <v>860.02</v>
      </c>
      <c r="G6473" s="1">
        <v>-128.01</v>
      </c>
      <c r="H6473" s="1">
        <v>4.0</v>
      </c>
      <c r="I6473" s="1" t="s">
        <v>23</v>
      </c>
      <c r="J6473" s="1" t="s">
        <v>24</v>
      </c>
      <c r="K6473" s="1">
        <f t="shared" si="1"/>
        <v>2021</v>
      </c>
      <c r="L6473" s="1" t="str">
        <f t="shared" si="2"/>
        <v>Nov</v>
      </c>
      <c r="M6473" s="1" t="str">
        <f t="shared" si="3"/>
        <v>Loss</v>
      </c>
    </row>
    <row r="6474" ht="14.25" customHeight="1">
      <c r="A6474" s="1" t="s">
        <v>6508</v>
      </c>
      <c r="B6474" s="2">
        <v>44937.0</v>
      </c>
      <c r="C6474" s="1" t="s">
        <v>14</v>
      </c>
      <c r="D6474" s="1" t="s">
        <v>21</v>
      </c>
      <c r="E6474" s="1" t="s">
        <v>76</v>
      </c>
      <c r="F6474" s="1">
        <v>736.3</v>
      </c>
      <c r="G6474" s="1">
        <v>64.26</v>
      </c>
      <c r="H6474" s="1">
        <v>5.0</v>
      </c>
      <c r="I6474" s="1" t="s">
        <v>17</v>
      </c>
      <c r="J6474" s="1" t="s">
        <v>18</v>
      </c>
      <c r="K6474" s="1">
        <f t="shared" si="1"/>
        <v>2023</v>
      </c>
      <c r="L6474" s="1" t="str">
        <f t="shared" si="2"/>
        <v>Jan</v>
      </c>
      <c r="M6474" s="1" t="str">
        <f t="shared" si="3"/>
        <v>Profit</v>
      </c>
    </row>
    <row r="6475" ht="14.25" customHeight="1">
      <c r="A6475" s="1" t="s">
        <v>6509</v>
      </c>
      <c r="B6475" s="2">
        <v>44341.0</v>
      </c>
      <c r="C6475" s="1" t="s">
        <v>26</v>
      </c>
      <c r="D6475" s="1" t="s">
        <v>27</v>
      </c>
      <c r="E6475" s="1" t="s">
        <v>28</v>
      </c>
      <c r="F6475" s="1">
        <v>225.51</v>
      </c>
      <c r="G6475" s="1">
        <v>294.59</v>
      </c>
      <c r="H6475" s="1">
        <v>6.0</v>
      </c>
      <c r="I6475" s="1" t="s">
        <v>34</v>
      </c>
      <c r="J6475" s="1" t="s">
        <v>38</v>
      </c>
      <c r="K6475" s="1">
        <f t="shared" si="1"/>
        <v>2021</v>
      </c>
      <c r="L6475" s="1" t="str">
        <f t="shared" si="2"/>
        <v>May</v>
      </c>
      <c r="M6475" s="1" t="str">
        <f t="shared" si="3"/>
        <v>Profit</v>
      </c>
    </row>
    <row r="6476" ht="14.25" customHeight="1">
      <c r="A6476" s="1" t="s">
        <v>6510</v>
      </c>
      <c r="B6476" s="2">
        <v>44962.0</v>
      </c>
      <c r="C6476" s="1" t="s">
        <v>20</v>
      </c>
      <c r="D6476" s="1" t="s">
        <v>15</v>
      </c>
      <c r="E6476" s="1" t="s">
        <v>31</v>
      </c>
      <c r="F6476" s="1">
        <v>705.37</v>
      </c>
      <c r="G6476" s="1">
        <v>258.43</v>
      </c>
      <c r="H6476" s="1">
        <v>3.0</v>
      </c>
      <c r="I6476" s="1" t="s">
        <v>17</v>
      </c>
      <c r="J6476" s="1" t="s">
        <v>18</v>
      </c>
      <c r="K6476" s="1">
        <f t="shared" si="1"/>
        <v>2023</v>
      </c>
      <c r="L6476" s="1" t="str">
        <f t="shared" si="2"/>
        <v>Feb</v>
      </c>
      <c r="M6476" s="1" t="str">
        <f t="shared" si="3"/>
        <v>Profit</v>
      </c>
    </row>
    <row r="6477" ht="14.25" customHeight="1">
      <c r="A6477" s="1" t="s">
        <v>6511</v>
      </c>
      <c r="B6477" s="2">
        <v>45251.0</v>
      </c>
      <c r="C6477" s="1" t="s">
        <v>14</v>
      </c>
      <c r="D6477" s="1" t="s">
        <v>15</v>
      </c>
      <c r="E6477" s="1" t="s">
        <v>16</v>
      </c>
      <c r="F6477" s="1">
        <v>412.41</v>
      </c>
      <c r="G6477" s="1">
        <v>198.92</v>
      </c>
      <c r="H6477" s="1">
        <v>5.0</v>
      </c>
      <c r="I6477" s="1" t="s">
        <v>23</v>
      </c>
      <c r="J6477" s="1" t="s">
        <v>18</v>
      </c>
      <c r="K6477" s="1">
        <f t="shared" si="1"/>
        <v>2023</v>
      </c>
      <c r="L6477" s="1" t="str">
        <f t="shared" si="2"/>
        <v>Nov</v>
      </c>
      <c r="M6477" s="1" t="str">
        <f t="shared" si="3"/>
        <v>Profit</v>
      </c>
    </row>
    <row r="6478" ht="14.25" customHeight="1">
      <c r="A6478" s="1" t="s">
        <v>6512</v>
      </c>
      <c r="B6478" s="2">
        <v>45036.0</v>
      </c>
      <c r="C6478" s="1" t="s">
        <v>26</v>
      </c>
      <c r="D6478" s="1" t="s">
        <v>21</v>
      </c>
      <c r="E6478" s="1" t="s">
        <v>76</v>
      </c>
      <c r="F6478" s="1">
        <v>676.52</v>
      </c>
      <c r="G6478" s="1">
        <v>55.22</v>
      </c>
      <c r="H6478" s="1">
        <v>8.0</v>
      </c>
      <c r="I6478" s="1" t="s">
        <v>23</v>
      </c>
      <c r="J6478" s="1" t="s">
        <v>38</v>
      </c>
      <c r="K6478" s="1">
        <f t="shared" si="1"/>
        <v>2023</v>
      </c>
      <c r="L6478" s="1" t="str">
        <f t="shared" si="2"/>
        <v>Apr</v>
      </c>
      <c r="M6478" s="1" t="str">
        <f t="shared" si="3"/>
        <v>Profit</v>
      </c>
    </row>
    <row r="6479" ht="14.25" customHeight="1">
      <c r="A6479" s="1" t="s">
        <v>6513</v>
      </c>
      <c r="B6479" s="2">
        <v>44843.0</v>
      </c>
      <c r="C6479" s="1" t="s">
        <v>26</v>
      </c>
      <c r="D6479" s="1" t="s">
        <v>27</v>
      </c>
      <c r="E6479" s="1" t="s">
        <v>40</v>
      </c>
      <c r="F6479" s="1">
        <v>712.56</v>
      </c>
      <c r="G6479" s="1">
        <v>249.93</v>
      </c>
      <c r="H6479" s="1">
        <v>8.0</v>
      </c>
      <c r="I6479" s="1" t="s">
        <v>17</v>
      </c>
      <c r="J6479" s="1" t="s">
        <v>18</v>
      </c>
      <c r="K6479" s="1">
        <f t="shared" si="1"/>
        <v>2022</v>
      </c>
      <c r="L6479" s="1" t="str">
        <f t="shared" si="2"/>
        <v>Oct</v>
      </c>
      <c r="M6479" s="1" t="str">
        <f t="shared" si="3"/>
        <v>Profit</v>
      </c>
    </row>
    <row r="6480" ht="14.25" customHeight="1">
      <c r="A6480" s="1" t="s">
        <v>6514</v>
      </c>
      <c r="B6480" s="2">
        <v>44904.0</v>
      </c>
      <c r="C6480" s="1" t="s">
        <v>26</v>
      </c>
      <c r="D6480" s="1" t="s">
        <v>21</v>
      </c>
      <c r="E6480" s="1" t="s">
        <v>22</v>
      </c>
      <c r="F6480" s="1">
        <v>499.7</v>
      </c>
      <c r="G6480" s="1">
        <v>-147.27</v>
      </c>
      <c r="H6480" s="1">
        <v>5.0</v>
      </c>
      <c r="I6480" s="1" t="s">
        <v>34</v>
      </c>
      <c r="J6480" s="1" t="s">
        <v>35</v>
      </c>
      <c r="K6480" s="1">
        <f t="shared" si="1"/>
        <v>2022</v>
      </c>
      <c r="L6480" s="1" t="str">
        <f t="shared" si="2"/>
        <v>Dec</v>
      </c>
      <c r="M6480" s="1" t="str">
        <f t="shared" si="3"/>
        <v>Loss</v>
      </c>
    </row>
    <row r="6481" ht="14.25" customHeight="1">
      <c r="A6481" s="1" t="s">
        <v>6515</v>
      </c>
      <c r="B6481" s="2">
        <v>44424.0</v>
      </c>
      <c r="C6481" s="1" t="s">
        <v>30</v>
      </c>
      <c r="D6481" s="1" t="s">
        <v>15</v>
      </c>
      <c r="E6481" s="1" t="s">
        <v>31</v>
      </c>
      <c r="F6481" s="1">
        <v>841.37</v>
      </c>
      <c r="G6481" s="1">
        <v>-37.67</v>
      </c>
      <c r="H6481" s="1">
        <v>2.0</v>
      </c>
      <c r="I6481" s="1" t="s">
        <v>23</v>
      </c>
      <c r="J6481" s="1" t="s">
        <v>18</v>
      </c>
      <c r="K6481" s="1">
        <f t="shared" si="1"/>
        <v>2021</v>
      </c>
      <c r="L6481" s="1" t="str">
        <f t="shared" si="2"/>
        <v>Aug</v>
      </c>
      <c r="M6481" s="1" t="str">
        <f t="shared" si="3"/>
        <v>Loss</v>
      </c>
    </row>
    <row r="6482" ht="14.25" customHeight="1">
      <c r="A6482" s="1" t="s">
        <v>6516</v>
      </c>
      <c r="B6482" s="2">
        <v>44298.0</v>
      </c>
      <c r="C6482" s="1" t="s">
        <v>20</v>
      </c>
      <c r="D6482" s="1" t="s">
        <v>21</v>
      </c>
      <c r="E6482" s="1" t="s">
        <v>22</v>
      </c>
      <c r="F6482" s="1">
        <v>474.05</v>
      </c>
      <c r="G6482" s="1">
        <v>-186.95</v>
      </c>
      <c r="H6482" s="1">
        <v>9.0</v>
      </c>
      <c r="I6482" s="1" t="s">
        <v>17</v>
      </c>
      <c r="J6482" s="1" t="s">
        <v>35</v>
      </c>
      <c r="K6482" s="1">
        <f t="shared" si="1"/>
        <v>2021</v>
      </c>
      <c r="L6482" s="1" t="str">
        <f t="shared" si="2"/>
        <v>Apr</v>
      </c>
      <c r="M6482" s="1" t="str">
        <f t="shared" si="3"/>
        <v>Loss</v>
      </c>
    </row>
    <row r="6483" ht="14.25" customHeight="1">
      <c r="A6483" s="1" t="s">
        <v>6517</v>
      </c>
      <c r="B6483" s="2">
        <v>44413.0</v>
      </c>
      <c r="C6483" s="1" t="s">
        <v>14</v>
      </c>
      <c r="D6483" s="1" t="s">
        <v>15</v>
      </c>
      <c r="E6483" s="1" t="s">
        <v>54</v>
      </c>
      <c r="F6483" s="1">
        <v>412.17</v>
      </c>
      <c r="G6483" s="1">
        <v>76.27</v>
      </c>
      <c r="H6483" s="1">
        <v>5.0</v>
      </c>
      <c r="I6483" s="1" t="s">
        <v>17</v>
      </c>
      <c r="J6483" s="1" t="s">
        <v>18</v>
      </c>
      <c r="K6483" s="1">
        <f t="shared" si="1"/>
        <v>2021</v>
      </c>
      <c r="L6483" s="1" t="str">
        <f t="shared" si="2"/>
        <v>Aug</v>
      </c>
      <c r="M6483" s="1" t="str">
        <f t="shared" si="3"/>
        <v>Profit</v>
      </c>
    </row>
    <row r="6484" ht="14.25" customHeight="1">
      <c r="A6484" s="1" t="s">
        <v>6518</v>
      </c>
      <c r="B6484" s="2">
        <v>44589.0</v>
      </c>
      <c r="C6484" s="1" t="s">
        <v>30</v>
      </c>
      <c r="D6484" s="1" t="s">
        <v>27</v>
      </c>
      <c r="E6484" s="1" t="s">
        <v>33</v>
      </c>
      <c r="F6484" s="1">
        <v>394.29</v>
      </c>
      <c r="G6484" s="1">
        <v>112.3</v>
      </c>
      <c r="H6484" s="1">
        <v>5.0</v>
      </c>
      <c r="I6484" s="1" t="s">
        <v>17</v>
      </c>
      <c r="J6484" s="1" t="s">
        <v>35</v>
      </c>
      <c r="K6484" s="1">
        <f t="shared" si="1"/>
        <v>2022</v>
      </c>
      <c r="L6484" s="1" t="str">
        <f t="shared" si="2"/>
        <v>Jan</v>
      </c>
      <c r="M6484" s="1" t="str">
        <f t="shared" si="3"/>
        <v>Profit</v>
      </c>
    </row>
    <row r="6485" ht="14.25" customHeight="1">
      <c r="A6485" s="1" t="s">
        <v>6519</v>
      </c>
      <c r="B6485" s="2">
        <v>44647.0</v>
      </c>
      <c r="C6485" s="1" t="s">
        <v>14</v>
      </c>
      <c r="D6485" s="1" t="s">
        <v>15</v>
      </c>
      <c r="E6485" s="1" t="s">
        <v>16</v>
      </c>
      <c r="F6485" s="1">
        <v>954.22</v>
      </c>
      <c r="G6485" s="1">
        <v>236.42</v>
      </c>
      <c r="H6485" s="1">
        <v>8.0</v>
      </c>
      <c r="I6485" s="1" t="s">
        <v>34</v>
      </c>
      <c r="J6485" s="1" t="s">
        <v>18</v>
      </c>
      <c r="K6485" s="1">
        <f t="shared" si="1"/>
        <v>2022</v>
      </c>
      <c r="L6485" s="1" t="str">
        <f t="shared" si="2"/>
        <v>Mar</v>
      </c>
      <c r="M6485" s="1" t="str">
        <f t="shared" si="3"/>
        <v>Profit</v>
      </c>
    </row>
    <row r="6486" ht="14.25" customHeight="1">
      <c r="A6486" s="1" t="s">
        <v>6520</v>
      </c>
      <c r="B6486" s="2">
        <v>44751.0</v>
      </c>
      <c r="C6486" s="1" t="s">
        <v>20</v>
      </c>
      <c r="D6486" s="1" t="s">
        <v>15</v>
      </c>
      <c r="E6486" s="1" t="s">
        <v>31</v>
      </c>
      <c r="F6486" s="1">
        <v>128.17</v>
      </c>
      <c r="G6486" s="1">
        <v>277.43</v>
      </c>
      <c r="H6486" s="1">
        <v>9.0</v>
      </c>
      <c r="I6486" s="1" t="s">
        <v>34</v>
      </c>
      <c r="J6486" s="1" t="s">
        <v>18</v>
      </c>
      <c r="K6486" s="1">
        <f t="shared" si="1"/>
        <v>2022</v>
      </c>
      <c r="L6486" s="1" t="str">
        <f t="shared" si="2"/>
        <v>Jul</v>
      </c>
      <c r="M6486" s="1" t="str">
        <f t="shared" si="3"/>
        <v>Profit</v>
      </c>
    </row>
    <row r="6487" ht="14.25" customHeight="1">
      <c r="A6487" s="1" t="s">
        <v>6521</v>
      </c>
      <c r="B6487" s="2">
        <v>45282.0</v>
      </c>
      <c r="C6487" s="1" t="s">
        <v>30</v>
      </c>
      <c r="D6487" s="1" t="s">
        <v>21</v>
      </c>
      <c r="E6487" s="1" t="s">
        <v>22</v>
      </c>
      <c r="F6487" s="1">
        <v>687.33</v>
      </c>
      <c r="G6487" s="1">
        <v>-82.66</v>
      </c>
      <c r="H6487" s="1">
        <v>8.0</v>
      </c>
      <c r="I6487" s="1" t="s">
        <v>23</v>
      </c>
      <c r="J6487" s="1" t="s">
        <v>24</v>
      </c>
      <c r="K6487" s="1">
        <f t="shared" si="1"/>
        <v>2023</v>
      </c>
      <c r="L6487" s="1" t="str">
        <f t="shared" si="2"/>
        <v>Dec</v>
      </c>
      <c r="M6487" s="1" t="str">
        <f t="shared" si="3"/>
        <v>Loss</v>
      </c>
    </row>
    <row r="6488" ht="14.25" customHeight="1">
      <c r="A6488" s="1" t="s">
        <v>6522</v>
      </c>
      <c r="B6488" s="2">
        <v>44803.0</v>
      </c>
      <c r="C6488" s="1" t="s">
        <v>26</v>
      </c>
      <c r="D6488" s="1" t="s">
        <v>27</v>
      </c>
      <c r="E6488" s="1" t="s">
        <v>33</v>
      </c>
      <c r="F6488" s="1">
        <v>654.29</v>
      </c>
      <c r="G6488" s="1">
        <v>-165.61</v>
      </c>
      <c r="H6488" s="1">
        <v>6.0</v>
      </c>
      <c r="I6488" s="1" t="s">
        <v>17</v>
      </c>
      <c r="J6488" s="1" t="s">
        <v>35</v>
      </c>
      <c r="K6488" s="1">
        <f t="shared" si="1"/>
        <v>2022</v>
      </c>
      <c r="L6488" s="1" t="str">
        <f t="shared" si="2"/>
        <v>Aug</v>
      </c>
      <c r="M6488" s="1" t="str">
        <f t="shared" si="3"/>
        <v>Loss</v>
      </c>
    </row>
    <row r="6489" ht="14.25" customHeight="1">
      <c r="A6489" s="1" t="s">
        <v>6523</v>
      </c>
      <c r="B6489" s="2">
        <v>45156.0</v>
      </c>
      <c r="C6489" s="1" t="s">
        <v>20</v>
      </c>
      <c r="D6489" s="1" t="s">
        <v>21</v>
      </c>
      <c r="E6489" s="1" t="s">
        <v>22</v>
      </c>
      <c r="F6489" s="1">
        <v>82.22</v>
      </c>
      <c r="G6489" s="1">
        <v>-198.53</v>
      </c>
      <c r="H6489" s="1">
        <v>7.0</v>
      </c>
      <c r="I6489" s="1" t="s">
        <v>17</v>
      </c>
      <c r="J6489" s="1" t="s">
        <v>24</v>
      </c>
      <c r="K6489" s="1">
        <f t="shared" si="1"/>
        <v>2023</v>
      </c>
      <c r="L6489" s="1" t="str">
        <f t="shared" si="2"/>
        <v>Aug</v>
      </c>
      <c r="M6489" s="1" t="str">
        <f t="shared" si="3"/>
        <v>Loss</v>
      </c>
    </row>
    <row r="6490" ht="14.25" customHeight="1">
      <c r="A6490" s="1" t="s">
        <v>6524</v>
      </c>
      <c r="B6490" s="2">
        <v>44714.0</v>
      </c>
      <c r="C6490" s="1" t="s">
        <v>14</v>
      </c>
      <c r="D6490" s="1" t="s">
        <v>27</v>
      </c>
      <c r="E6490" s="1" t="s">
        <v>40</v>
      </c>
      <c r="F6490" s="1">
        <v>572.84</v>
      </c>
      <c r="G6490" s="1">
        <v>285.86</v>
      </c>
      <c r="H6490" s="1">
        <v>5.0</v>
      </c>
      <c r="I6490" s="1" t="s">
        <v>17</v>
      </c>
      <c r="J6490" s="1" t="s">
        <v>35</v>
      </c>
      <c r="K6490" s="1">
        <f t="shared" si="1"/>
        <v>2022</v>
      </c>
      <c r="L6490" s="1" t="str">
        <f t="shared" si="2"/>
        <v>Jun</v>
      </c>
      <c r="M6490" s="1" t="str">
        <f t="shared" si="3"/>
        <v>Profit</v>
      </c>
    </row>
    <row r="6491" ht="14.25" customHeight="1">
      <c r="A6491" s="1" t="s">
        <v>6525</v>
      </c>
      <c r="B6491" s="2">
        <v>44681.0</v>
      </c>
      <c r="C6491" s="1" t="s">
        <v>30</v>
      </c>
      <c r="D6491" s="1" t="s">
        <v>15</v>
      </c>
      <c r="E6491" s="1" t="s">
        <v>54</v>
      </c>
      <c r="F6491" s="1">
        <v>683.65</v>
      </c>
      <c r="G6491" s="1">
        <v>-127.78</v>
      </c>
      <c r="H6491" s="1">
        <v>9.0</v>
      </c>
      <c r="I6491" s="1" t="s">
        <v>17</v>
      </c>
      <c r="J6491" s="1" t="s">
        <v>35</v>
      </c>
      <c r="K6491" s="1">
        <f t="shared" si="1"/>
        <v>2022</v>
      </c>
      <c r="L6491" s="1" t="str">
        <f t="shared" si="2"/>
        <v>Apr</v>
      </c>
      <c r="M6491" s="1" t="str">
        <f t="shared" si="3"/>
        <v>Loss</v>
      </c>
    </row>
    <row r="6492" ht="14.25" customHeight="1">
      <c r="A6492" s="1" t="s">
        <v>6526</v>
      </c>
      <c r="B6492" s="2">
        <v>44714.0</v>
      </c>
      <c r="C6492" s="1" t="s">
        <v>30</v>
      </c>
      <c r="D6492" s="1" t="s">
        <v>21</v>
      </c>
      <c r="E6492" s="1" t="s">
        <v>22</v>
      </c>
      <c r="F6492" s="1">
        <v>941.15</v>
      </c>
      <c r="G6492" s="1">
        <v>-76.6</v>
      </c>
      <c r="H6492" s="1">
        <v>3.0</v>
      </c>
      <c r="I6492" s="1" t="s">
        <v>34</v>
      </c>
      <c r="J6492" s="1" t="s">
        <v>35</v>
      </c>
      <c r="K6492" s="1">
        <f t="shared" si="1"/>
        <v>2022</v>
      </c>
      <c r="L6492" s="1" t="str">
        <f t="shared" si="2"/>
        <v>Jun</v>
      </c>
      <c r="M6492" s="1" t="str">
        <f t="shared" si="3"/>
        <v>Loss</v>
      </c>
    </row>
    <row r="6493" ht="14.25" customHeight="1">
      <c r="A6493" s="1" t="s">
        <v>6527</v>
      </c>
      <c r="B6493" s="2">
        <v>44636.0</v>
      </c>
      <c r="C6493" s="1" t="s">
        <v>14</v>
      </c>
      <c r="D6493" s="1" t="s">
        <v>21</v>
      </c>
      <c r="E6493" s="1" t="s">
        <v>76</v>
      </c>
      <c r="F6493" s="1">
        <v>487.14</v>
      </c>
      <c r="G6493" s="1">
        <v>265.41</v>
      </c>
      <c r="H6493" s="1">
        <v>4.0</v>
      </c>
      <c r="I6493" s="1" t="s">
        <v>34</v>
      </c>
      <c r="J6493" s="1" t="s">
        <v>35</v>
      </c>
      <c r="K6493" s="1">
        <f t="shared" si="1"/>
        <v>2022</v>
      </c>
      <c r="L6493" s="1" t="str">
        <f t="shared" si="2"/>
        <v>Mar</v>
      </c>
      <c r="M6493" s="1" t="str">
        <f t="shared" si="3"/>
        <v>Profit</v>
      </c>
    </row>
    <row r="6494" ht="14.25" customHeight="1">
      <c r="A6494" s="1" t="s">
        <v>6528</v>
      </c>
      <c r="B6494" s="2">
        <v>44213.0</v>
      </c>
      <c r="C6494" s="1" t="s">
        <v>30</v>
      </c>
      <c r="D6494" s="1" t="s">
        <v>21</v>
      </c>
      <c r="E6494" s="1" t="s">
        <v>22</v>
      </c>
      <c r="F6494" s="1">
        <v>113.3</v>
      </c>
      <c r="G6494" s="1">
        <v>203.97</v>
      </c>
      <c r="H6494" s="1">
        <v>10.0</v>
      </c>
      <c r="I6494" s="1" t="s">
        <v>23</v>
      </c>
      <c r="J6494" s="1" t="s">
        <v>18</v>
      </c>
      <c r="K6494" s="1">
        <f t="shared" si="1"/>
        <v>2021</v>
      </c>
      <c r="L6494" s="1" t="str">
        <f t="shared" si="2"/>
        <v>Jan</v>
      </c>
      <c r="M6494" s="1" t="str">
        <f t="shared" si="3"/>
        <v>Profit</v>
      </c>
    </row>
    <row r="6495" ht="14.25" customHeight="1">
      <c r="A6495" s="1" t="s">
        <v>6529</v>
      </c>
      <c r="B6495" s="2">
        <v>44478.0</v>
      </c>
      <c r="C6495" s="1" t="s">
        <v>30</v>
      </c>
      <c r="D6495" s="1" t="s">
        <v>15</v>
      </c>
      <c r="E6495" s="1" t="s">
        <v>54</v>
      </c>
      <c r="F6495" s="1">
        <v>449.73</v>
      </c>
      <c r="G6495" s="1">
        <v>157.76</v>
      </c>
      <c r="H6495" s="1">
        <v>4.0</v>
      </c>
      <c r="I6495" s="1" t="s">
        <v>23</v>
      </c>
      <c r="J6495" s="1" t="s">
        <v>24</v>
      </c>
      <c r="K6495" s="1">
        <f t="shared" si="1"/>
        <v>2021</v>
      </c>
      <c r="L6495" s="1" t="str">
        <f t="shared" si="2"/>
        <v>Oct</v>
      </c>
      <c r="M6495" s="1" t="str">
        <f t="shared" si="3"/>
        <v>Profit</v>
      </c>
    </row>
    <row r="6496" ht="14.25" customHeight="1">
      <c r="A6496" s="1" t="s">
        <v>6530</v>
      </c>
      <c r="B6496" s="2">
        <v>44253.0</v>
      </c>
      <c r="C6496" s="1" t="s">
        <v>14</v>
      </c>
      <c r="D6496" s="1" t="s">
        <v>15</v>
      </c>
      <c r="E6496" s="1" t="s">
        <v>16</v>
      </c>
      <c r="F6496" s="1">
        <v>938.87</v>
      </c>
      <c r="G6496" s="1">
        <v>-90.71</v>
      </c>
      <c r="H6496" s="1">
        <v>8.0</v>
      </c>
      <c r="I6496" s="1" t="s">
        <v>17</v>
      </c>
      <c r="J6496" s="1" t="s">
        <v>35</v>
      </c>
      <c r="K6496" s="1">
        <f t="shared" si="1"/>
        <v>2021</v>
      </c>
      <c r="L6496" s="1" t="str">
        <f t="shared" si="2"/>
        <v>Feb</v>
      </c>
      <c r="M6496" s="1" t="str">
        <f t="shared" si="3"/>
        <v>Loss</v>
      </c>
    </row>
    <row r="6497" ht="14.25" customHeight="1">
      <c r="A6497" s="1" t="s">
        <v>6531</v>
      </c>
      <c r="B6497" s="2">
        <v>45251.0</v>
      </c>
      <c r="C6497" s="1" t="s">
        <v>26</v>
      </c>
      <c r="D6497" s="1" t="s">
        <v>27</v>
      </c>
      <c r="E6497" s="1" t="s">
        <v>28</v>
      </c>
      <c r="F6497" s="1">
        <v>380.01</v>
      </c>
      <c r="G6497" s="1">
        <v>188.41</v>
      </c>
      <c r="H6497" s="1">
        <v>9.0</v>
      </c>
      <c r="I6497" s="1" t="s">
        <v>17</v>
      </c>
      <c r="J6497" s="1" t="s">
        <v>24</v>
      </c>
      <c r="K6497" s="1">
        <f t="shared" si="1"/>
        <v>2023</v>
      </c>
      <c r="L6497" s="1" t="str">
        <f t="shared" si="2"/>
        <v>Nov</v>
      </c>
      <c r="M6497" s="1" t="str">
        <f t="shared" si="3"/>
        <v>Profit</v>
      </c>
    </row>
    <row r="6498" ht="14.25" customHeight="1">
      <c r="A6498" s="1" t="s">
        <v>6532</v>
      </c>
      <c r="B6498" s="2">
        <v>44728.0</v>
      </c>
      <c r="C6498" s="1" t="s">
        <v>30</v>
      </c>
      <c r="D6498" s="1" t="s">
        <v>21</v>
      </c>
      <c r="E6498" s="1" t="s">
        <v>22</v>
      </c>
      <c r="F6498" s="1">
        <v>735.18</v>
      </c>
      <c r="G6498" s="1">
        <v>-9.85</v>
      </c>
      <c r="H6498" s="1">
        <v>2.0</v>
      </c>
      <c r="I6498" s="1" t="s">
        <v>23</v>
      </c>
      <c r="J6498" s="1" t="s">
        <v>18</v>
      </c>
      <c r="K6498" s="1">
        <f t="shared" si="1"/>
        <v>2022</v>
      </c>
      <c r="L6498" s="1" t="str">
        <f t="shared" si="2"/>
        <v>Jun</v>
      </c>
      <c r="M6498" s="1" t="str">
        <f t="shared" si="3"/>
        <v>Loss</v>
      </c>
    </row>
    <row r="6499" ht="14.25" customHeight="1">
      <c r="A6499" s="1" t="s">
        <v>6533</v>
      </c>
      <c r="B6499" s="2">
        <v>44879.0</v>
      </c>
      <c r="C6499" s="1" t="s">
        <v>30</v>
      </c>
      <c r="D6499" s="1" t="s">
        <v>15</v>
      </c>
      <c r="E6499" s="1" t="s">
        <v>54</v>
      </c>
      <c r="F6499" s="1">
        <v>353.54</v>
      </c>
      <c r="G6499" s="1">
        <v>-178.0</v>
      </c>
      <c r="H6499" s="1">
        <v>2.0</v>
      </c>
      <c r="I6499" s="1" t="s">
        <v>23</v>
      </c>
      <c r="J6499" s="1" t="s">
        <v>18</v>
      </c>
      <c r="K6499" s="1">
        <f t="shared" si="1"/>
        <v>2022</v>
      </c>
      <c r="L6499" s="1" t="str">
        <f t="shared" si="2"/>
        <v>Nov</v>
      </c>
      <c r="M6499" s="1" t="str">
        <f t="shared" si="3"/>
        <v>Loss</v>
      </c>
    </row>
    <row r="6500" ht="14.25" customHeight="1">
      <c r="A6500" s="1" t="s">
        <v>6534</v>
      </c>
      <c r="B6500" s="2">
        <v>45213.0</v>
      </c>
      <c r="C6500" s="1" t="s">
        <v>14</v>
      </c>
      <c r="D6500" s="1" t="s">
        <v>27</v>
      </c>
      <c r="E6500" s="1" t="s">
        <v>28</v>
      </c>
      <c r="F6500" s="1">
        <v>337.02</v>
      </c>
      <c r="G6500" s="1">
        <v>-32.24</v>
      </c>
      <c r="H6500" s="1">
        <v>6.0</v>
      </c>
      <c r="I6500" s="1" t="s">
        <v>17</v>
      </c>
      <c r="J6500" s="1" t="s">
        <v>18</v>
      </c>
      <c r="K6500" s="1">
        <f t="shared" si="1"/>
        <v>2023</v>
      </c>
      <c r="L6500" s="1" t="str">
        <f t="shared" si="2"/>
        <v>Oct</v>
      </c>
      <c r="M6500" s="1" t="str">
        <f t="shared" si="3"/>
        <v>Loss</v>
      </c>
    </row>
    <row r="6501" ht="14.25" customHeight="1">
      <c r="A6501" s="1" t="s">
        <v>6535</v>
      </c>
      <c r="B6501" s="2">
        <v>44291.0</v>
      </c>
      <c r="C6501" s="1" t="s">
        <v>26</v>
      </c>
      <c r="D6501" s="1" t="s">
        <v>27</v>
      </c>
      <c r="E6501" s="1" t="s">
        <v>33</v>
      </c>
      <c r="F6501" s="1">
        <v>214.91</v>
      </c>
      <c r="G6501" s="1">
        <v>-122.2</v>
      </c>
      <c r="H6501" s="1">
        <v>3.0</v>
      </c>
      <c r="I6501" s="1" t="s">
        <v>34</v>
      </c>
      <c r="J6501" s="1" t="s">
        <v>18</v>
      </c>
      <c r="K6501" s="1">
        <f t="shared" si="1"/>
        <v>2021</v>
      </c>
      <c r="L6501" s="1" t="str">
        <f t="shared" si="2"/>
        <v>Apr</v>
      </c>
      <c r="M6501" s="1" t="str">
        <f t="shared" si="3"/>
        <v>Loss</v>
      </c>
    </row>
    <row r="6502" ht="14.25" customHeight="1">
      <c r="A6502" s="1" t="s">
        <v>6536</v>
      </c>
      <c r="B6502" s="2">
        <v>44376.0</v>
      </c>
      <c r="C6502" s="1" t="s">
        <v>30</v>
      </c>
      <c r="D6502" s="1" t="s">
        <v>15</v>
      </c>
      <c r="E6502" s="1" t="s">
        <v>31</v>
      </c>
      <c r="F6502" s="1">
        <v>401.91</v>
      </c>
      <c r="G6502" s="1">
        <v>-62.89</v>
      </c>
      <c r="H6502" s="1">
        <v>4.0</v>
      </c>
      <c r="I6502" s="1" t="s">
        <v>34</v>
      </c>
      <c r="J6502" s="1" t="s">
        <v>18</v>
      </c>
      <c r="K6502" s="1">
        <f t="shared" si="1"/>
        <v>2021</v>
      </c>
      <c r="L6502" s="1" t="str">
        <f t="shared" si="2"/>
        <v>Jun</v>
      </c>
      <c r="M6502" s="1" t="str">
        <f t="shared" si="3"/>
        <v>Loss</v>
      </c>
    </row>
    <row r="6503" ht="14.25" customHeight="1">
      <c r="A6503" s="1" t="s">
        <v>6537</v>
      </c>
      <c r="B6503" s="2">
        <v>45286.0</v>
      </c>
      <c r="C6503" s="1" t="s">
        <v>26</v>
      </c>
      <c r="D6503" s="1" t="s">
        <v>15</v>
      </c>
      <c r="E6503" s="1" t="s">
        <v>16</v>
      </c>
      <c r="F6503" s="1">
        <v>566.82</v>
      </c>
      <c r="G6503" s="1">
        <v>-90.88</v>
      </c>
      <c r="H6503" s="1">
        <v>10.0</v>
      </c>
      <c r="I6503" s="1" t="s">
        <v>23</v>
      </c>
      <c r="J6503" s="1" t="s">
        <v>24</v>
      </c>
      <c r="K6503" s="1">
        <f t="shared" si="1"/>
        <v>2023</v>
      </c>
      <c r="L6503" s="1" t="str">
        <f t="shared" si="2"/>
        <v>Dec</v>
      </c>
      <c r="M6503" s="1" t="str">
        <f t="shared" si="3"/>
        <v>Loss</v>
      </c>
    </row>
    <row r="6504" ht="14.25" customHeight="1">
      <c r="A6504" s="1" t="s">
        <v>6538</v>
      </c>
      <c r="B6504" s="2">
        <v>44599.0</v>
      </c>
      <c r="C6504" s="1" t="s">
        <v>14</v>
      </c>
      <c r="D6504" s="1" t="s">
        <v>21</v>
      </c>
      <c r="E6504" s="1" t="s">
        <v>76</v>
      </c>
      <c r="F6504" s="1">
        <v>452.68</v>
      </c>
      <c r="G6504" s="1">
        <v>85.71</v>
      </c>
      <c r="H6504" s="1">
        <v>2.0</v>
      </c>
      <c r="I6504" s="1" t="s">
        <v>23</v>
      </c>
      <c r="J6504" s="1" t="s">
        <v>18</v>
      </c>
      <c r="K6504" s="1">
        <f t="shared" si="1"/>
        <v>2022</v>
      </c>
      <c r="L6504" s="1" t="str">
        <f t="shared" si="2"/>
        <v>Feb</v>
      </c>
      <c r="M6504" s="1" t="str">
        <f t="shared" si="3"/>
        <v>Profit</v>
      </c>
    </row>
    <row r="6505" ht="14.25" customHeight="1">
      <c r="A6505" s="1" t="s">
        <v>6539</v>
      </c>
      <c r="B6505" s="2">
        <v>44987.0</v>
      </c>
      <c r="C6505" s="1" t="s">
        <v>14</v>
      </c>
      <c r="D6505" s="1" t="s">
        <v>15</v>
      </c>
      <c r="E6505" s="1" t="s">
        <v>31</v>
      </c>
      <c r="F6505" s="1">
        <v>216.99</v>
      </c>
      <c r="G6505" s="1">
        <v>256.9</v>
      </c>
      <c r="H6505" s="1">
        <v>3.0</v>
      </c>
      <c r="I6505" s="1" t="s">
        <v>34</v>
      </c>
      <c r="J6505" s="1" t="s">
        <v>38</v>
      </c>
      <c r="K6505" s="1">
        <f t="shared" si="1"/>
        <v>2023</v>
      </c>
      <c r="L6505" s="1" t="str">
        <f t="shared" si="2"/>
        <v>Mar</v>
      </c>
      <c r="M6505" s="1" t="str">
        <f t="shared" si="3"/>
        <v>Profit</v>
      </c>
    </row>
    <row r="6506" ht="14.25" customHeight="1">
      <c r="A6506" s="1" t="s">
        <v>6540</v>
      </c>
      <c r="B6506" s="2">
        <v>44780.0</v>
      </c>
      <c r="C6506" s="1" t="s">
        <v>20</v>
      </c>
      <c r="D6506" s="1" t="s">
        <v>15</v>
      </c>
      <c r="E6506" s="1" t="s">
        <v>54</v>
      </c>
      <c r="F6506" s="1">
        <v>469.0</v>
      </c>
      <c r="G6506" s="1">
        <v>-94.99</v>
      </c>
      <c r="H6506" s="1">
        <v>10.0</v>
      </c>
      <c r="I6506" s="1" t="s">
        <v>34</v>
      </c>
      <c r="J6506" s="1" t="s">
        <v>18</v>
      </c>
      <c r="K6506" s="1">
        <f t="shared" si="1"/>
        <v>2022</v>
      </c>
      <c r="L6506" s="1" t="str">
        <f t="shared" si="2"/>
        <v>Aug</v>
      </c>
      <c r="M6506" s="1" t="str">
        <f t="shared" si="3"/>
        <v>Loss</v>
      </c>
    </row>
    <row r="6507" ht="14.25" customHeight="1">
      <c r="A6507" s="1" t="s">
        <v>6541</v>
      </c>
      <c r="B6507" s="2">
        <v>45205.0</v>
      </c>
      <c r="C6507" s="1" t="s">
        <v>30</v>
      </c>
      <c r="D6507" s="1" t="s">
        <v>15</v>
      </c>
      <c r="E6507" s="1" t="s">
        <v>16</v>
      </c>
      <c r="F6507" s="1">
        <v>549.5</v>
      </c>
      <c r="G6507" s="1">
        <v>95.5</v>
      </c>
      <c r="H6507" s="1">
        <v>2.0</v>
      </c>
      <c r="I6507" s="1" t="s">
        <v>23</v>
      </c>
      <c r="J6507" s="1" t="s">
        <v>24</v>
      </c>
      <c r="K6507" s="1">
        <f t="shared" si="1"/>
        <v>2023</v>
      </c>
      <c r="L6507" s="1" t="str">
        <f t="shared" si="2"/>
        <v>Oct</v>
      </c>
      <c r="M6507" s="1" t="str">
        <f t="shared" si="3"/>
        <v>Profit</v>
      </c>
    </row>
    <row r="6508" ht="14.25" customHeight="1">
      <c r="A6508" s="1" t="s">
        <v>6542</v>
      </c>
      <c r="B6508" s="2">
        <v>45060.0</v>
      </c>
      <c r="C6508" s="1" t="s">
        <v>26</v>
      </c>
      <c r="D6508" s="1" t="s">
        <v>21</v>
      </c>
      <c r="E6508" s="1" t="s">
        <v>37</v>
      </c>
      <c r="F6508" s="1">
        <v>806.05</v>
      </c>
      <c r="G6508" s="1">
        <v>232.82</v>
      </c>
      <c r="H6508" s="1">
        <v>2.0</v>
      </c>
      <c r="I6508" s="1" t="s">
        <v>17</v>
      </c>
      <c r="J6508" s="1" t="s">
        <v>18</v>
      </c>
      <c r="K6508" s="1">
        <f t="shared" si="1"/>
        <v>2023</v>
      </c>
      <c r="L6508" s="1" t="str">
        <f t="shared" si="2"/>
        <v>May</v>
      </c>
      <c r="M6508" s="1" t="str">
        <f t="shared" si="3"/>
        <v>Profit</v>
      </c>
    </row>
    <row r="6509" ht="14.25" customHeight="1">
      <c r="A6509" s="1" t="s">
        <v>6543</v>
      </c>
      <c r="B6509" s="2">
        <v>44676.0</v>
      </c>
      <c r="C6509" s="1" t="s">
        <v>30</v>
      </c>
      <c r="D6509" s="1" t="s">
        <v>15</v>
      </c>
      <c r="E6509" s="1" t="s">
        <v>54</v>
      </c>
      <c r="F6509" s="1">
        <v>144.22</v>
      </c>
      <c r="G6509" s="1">
        <v>267.23</v>
      </c>
      <c r="H6509" s="1">
        <v>5.0</v>
      </c>
      <c r="I6509" s="1" t="s">
        <v>34</v>
      </c>
      <c r="J6509" s="1" t="s">
        <v>35</v>
      </c>
      <c r="K6509" s="1">
        <f t="shared" si="1"/>
        <v>2022</v>
      </c>
      <c r="L6509" s="1" t="str">
        <f t="shared" si="2"/>
        <v>Apr</v>
      </c>
      <c r="M6509" s="1" t="str">
        <f t="shared" si="3"/>
        <v>Profit</v>
      </c>
    </row>
    <row r="6510" ht="14.25" customHeight="1">
      <c r="A6510" s="1" t="s">
        <v>6544</v>
      </c>
      <c r="B6510" s="2">
        <v>44209.0</v>
      </c>
      <c r="C6510" s="1" t="s">
        <v>20</v>
      </c>
      <c r="D6510" s="1" t="s">
        <v>15</v>
      </c>
      <c r="E6510" s="1" t="s">
        <v>16</v>
      </c>
      <c r="F6510" s="1">
        <v>782.03</v>
      </c>
      <c r="G6510" s="1">
        <v>-110.87</v>
      </c>
      <c r="H6510" s="1">
        <v>3.0</v>
      </c>
      <c r="I6510" s="1" t="s">
        <v>23</v>
      </c>
      <c r="J6510" s="1" t="s">
        <v>24</v>
      </c>
      <c r="K6510" s="1">
        <f t="shared" si="1"/>
        <v>2021</v>
      </c>
      <c r="L6510" s="1" t="str">
        <f t="shared" si="2"/>
        <v>Jan</v>
      </c>
      <c r="M6510" s="1" t="str">
        <f t="shared" si="3"/>
        <v>Loss</v>
      </c>
    </row>
    <row r="6511" ht="14.25" customHeight="1">
      <c r="A6511" s="1" t="s">
        <v>6545</v>
      </c>
      <c r="B6511" s="2">
        <v>44918.0</v>
      </c>
      <c r="C6511" s="1" t="s">
        <v>26</v>
      </c>
      <c r="D6511" s="1" t="s">
        <v>21</v>
      </c>
      <c r="E6511" s="1" t="s">
        <v>22</v>
      </c>
      <c r="F6511" s="1">
        <v>814.78</v>
      </c>
      <c r="G6511" s="1">
        <v>103.25</v>
      </c>
      <c r="H6511" s="1">
        <v>10.0</v>
      </c>
      <c r="I6511" s="1" t="s">
        <v>34</v>
      </c>
      <c r="J6511" s="1" t="s">
        <v>35</v>
      </c>
      <c r="K6511" s="1">
        <f t="shared" si="1"/>
        <v>2022</v>
      </c>
      <c r="L6511" s="1" t="str">
        <f t="shared" si="2"/>
        <v>Dec</v>
      </c>
      <c r="M6511" s="1" t="str">
        <f t="shared" si="3"/>
        <v>Profit</v>
      </c>
    </row>
    <row r="6512" ht="14.25" customHeight="1">
      <c r="A6512" s="1" t="s">
        <v>6546</v>
      </c>
      <c r="B6512" s="2">
        <v>44835.0</v>
      </c>
      <c r="C6512" s="1" t="s">
        <v>20</v>
      </c>
      <c r="D6512" s="1" t="s">
        <v>15</v>
      </c>
      <c r="E6512" s="1" t="s">
        <v>16</v>
      </c>
      <c r="F6512" s="1">
        <v>261.09</v>
      </c>
      <c r="G6512" s="1">
        <v>-135.42</v>
      </c>
      <c r="H6512" s="1">
        <v>2.0</v>
      </c>
      <c r="I6512" s="1" t="s">
        <v>23</v>
      </c>
      <c r="J6512" s="1" t="s">
        <v>18</v>
      </c>
      <c r="K6512" s="1">
        <f t="shared" si="1"/>
        <v>2022</v>
      </c>
      <c r="L6512" s="1" t="str">
        <f t="shared" si="2"/>
        <v>Oct</v>
      </c>
      <c r="M6512" s="1" t="str">
        <f t="shared" si="3"/>
        <v>Loss</v>
      </c>
    </row>
    <row r="6513" ht="14.25" customHeight="1">
      <c r="A6513" s="1" t="s">
        <v>6547</v>
      </c>
      <c r="B6513" s="2">
        <v>44518.0</v>
      </c>
      <c r="C6513" s="1" t="s">
        <v>26</v>
      </c>
      <c r="D6513" s="1" t="s">
        <v>15</v>
      </c>
      <c r="E6513" s="1" t="s">
        <v>54</v>
      </c>
      <c r="F6513" s="1">
        <v>618.29</v>
      </c>
      <c r="G6513" s="1">
        <v>125.04</v>
      </c>
      <c r="H6513" s="1">
        <v>4.0</v>
      </c>
      <c r="I6513" s="1" t="s">
        <v>17</v>
      </c>
      <c r="J6513" s="1" t="s">
        <v>35</v>
      </c>
      <c r="K6513" s="1">
        <f t="shared" si="1"/>
        <v>2021</v>
      </c>
      <c r="L6513" s="1" t="str">
        <f t="shared" si="2"/>
        <v>Nov</v>
      </c>
      <c r="M6513" s="1" t="str">
        <f t="shared" si="3"/>
        <v>Profit</v>
      </c>
    </row>
    <row r="6514" ht="14.25" customHeight="1">
      <c r="A6514" s="1" t="s">
        <v>6548</v>
      </c>
      <c r="B6514" s="2">
        <v>44467.0</v>
      </c>
      <c r="C6514" s="1" t="s">
        <v>20</v>
      </c>
      <c r="D6514" s="1" t="s">
        <v>27</v>
      </c>
      <c r="E6514" s="1" t="s">
        <v>28</v>
      </c>
      <c r="F6514" s="1">
        <v>902.07</v>
      </c>
      <c r="G6514" s="1">
        <v>102.14</v>
      </c>
      <c r="H6514" s="1">
        <v>4.0</v>
      </c>
      <c r="I6514" s="1" t="s">
        <v>23</v>
      </c>
      <c r="J6514" s="1" t="s">
        <v>38</v>
      </c>
      <c r="K6514" s="1">
        <f t="shared" si="1"/>
        <v>2021</v>
      </c>
      <c r="L6514" s="1" t="str">
        <f t="shared" si="2"/>
        <v>Sep</v>
      </c>
      <c r="M6514" s="1" t="str">
        <f t="shared" si="3"/>
        <v>Profit</v>
      </c>
    </row>
    <row r="6515" ht="14.25" customHeight="1">
      <c r="A6515" s="1" t="s">
        <v>6549</v>
      </c>
      <c r="B6515" s="2">
        <v>44636.0</v>
      </c>
      <c r="C6515" s="1" t="s">
        <v>30</v>
      </c>
      <c r="D6515" s="1" t="s">
        <v>15</v>
      </c>
      <c r="E6515" s="1" t="s">
        <v>54</v>
      </c>
      <c r="F6515" s="1">
        <v>440.48</v>
      </c>
      <c r="G6515" s="1">
        <v>-150.88</v>
      </c>
      <c r="H6515" s="1">
        <v>7.0</v>
      </c>
      <c r="I6515" s="1" t="s">
        <v>17</v>
      </c>
      <c r="J6515" s="1" t="s">
        <v>38</v>
      </c>
      <c r="K6515" s="1">
        <f t="shared" si="1"/>
        <v>2022</v>
      </c>
      <c r="L6515" s="1" t="str">
        <f t="shared" si="2"/>
        <v>Mar</v>
      </c>
      <c r="M6515" s="1" t="str">
        <f t="shared" si="3"/>
        <v>Loss</v>
      </c>
    </row>
    <row r="6516" ht="14.25" customHeight="1">
      <c r="A6516" s="1" t="s">
        <v>6550</v>
      </c>
      <c r="B6516" s="2">
        <v>44705.0</v>
      </c>
      <c r="C6516" s="1" t="s">
        <v>14</v>
      </c>
      <c r="D6516" s="1" t="s">
        <v>15</v>
      </c>
      <c r="E6516" s="1" t="s">
        <v>31</v>
      </c>
      <c r="F6516" s="1">
        <v>845.87</v>
      </c>
      <c r="G6516" s="1">
        <v>-80.45</v>
      </c>
      <c r="H6516" s="1">
        <v>7.0</v>
      </c>
      <c r="I6516" s="1" t="s">
        <v>34</v>
      </c>
      <c r="J6516" s="1" t="s">
        <v>18</v>
      </c>
      <c r="K6516" s="1">
        <f t="shared" si="1"/>
        <v>2022</v>
      </c>
      <c r="L6516" s="1" t="str">
        <f t="shared" si="2"/>
        <v>May</v>
      </c>
      <c r="M6516" s="1" t="str">
        <f t="shared" si="3"/>
        <v>Loss</v>
      </c>
    </row>
    <row r="6517" ht="14.25" customHeight="1">
      <c r="A6517" s="1" t="s">
        <v>6551</v>
      </c>
      <c r="B6517" s="2">
        <v>45007.0</v>
      </c>
      <c r="C6517" s="1" t="s">
        <v>30</v>
      </c>
      <c r="D6517" s="1" t="s">
        <v>21</v>
      </c>
      <c r="E6517" s="1" t="s">
        <v>76</v>
      </c>
      <c r="F6517" s="1">
        <v>899.68</v>
      </c>
      <c r="G6517" s="1">
        <v>-194.75</v>
      </c>
      <c r="H6517" s="1">
        <v>2.0</v>
      </c>
      <c r="I6517" s="1" t="s">
        <v>23</v>
      </c>
      <c r="J6517" s="1" t="s">
        <v>38</v>
      </c>
      <c r="K6517" s="1">
        <f t="shared" si="1"/>
        <v>2023</v>
      </c>
      <c r="L6517" s="1" t="str">
        <f t="shared" si="2"/>
        <v>Mar</v>
      </c>
      <c r="M6517" s="1" t="str">
        <f t="shared" si="3"/>
        <v>Loss</v>
      </c>
    </row>
    <row r="6518" ht="14.25" customHeight="1">
      <c r="A6518" s="1" t="s">
        <v>6552</v>
      </c>
      <c r="B6518" s="2">
        <v>44318.0</v>
      </c>
      <c r="C6518" s="1" t="s">
        <v>20</v>
      </c>
      <c r="D6518" s="1" t="s">
        <v>27</v>
      </c>
      <c r="E6518" s="1" t="s">
        <v>40</v>
      </c>
      <c r="F6518" s="1">
        <v>229.27</v>
      </c>
      <c r="G6518" s="1">
        <v>-191.83</v>
      </c>
      <c r="H6518" s="1">
        <v>1.0</v>
      </c>
      <c r="I6518" s="1" t="s">
        <v>17</v>
      </c>
      <c r="J6518" s="1" t="s">
        <v>18</v>
      </c>
      <c r="K6518" s="1">
        <f t="shared" si="1"/>
        <v>2021</v>
      </c>
      <c r="L6518" s="1" t="str">
        <f t="shared" si="2"/>
        <v>May</v>
      </c>
      <c r="M6518" s="1" t="str">
        <f t="shared" si="3"/>
        <v>Loss</v>
      </c>
    </row>
    <row r="6519" ht="14.25" customHeight="1">
      <c r="A6519" s="1" t="s">
        <v>6553</v>
      </c>
      <c r="B6519" s="2">
        <v>44698.0</v>
      </c>
      <c r="C6519" s="1" t="s">
        <v>20</v>
      </c>
      <c r="D6519" s="1" t="s">
        <v>27</v>
      </c>
      <c r="E6519" s="1" t="s">
        <v>28</v>
      </c>
      <c r="F6519" s="1">
        <v>860.42</v>
      </c>
      <c r="G6519" s="1">
        <v>-37.74</v>
      </c>
      <c r="H6519" s="1">
        <v>9.0</v>
      </c>
      <c r="I6519" s="1" t="s">
        <v>23</v>
      </c>
      <c r="J6519" s="1" t="s">
        <v>38</v>
      </c>
      <c r="K6519" s="1">
        <f t="shared" si="1"/>
        <v>2022</v>
      </c>
      <c r="L6519" s="1" t="str">
        <f t="shared" si="2"/>
        <v>May</v>
      </c>
      <c r="M6519" s="1" t="str">
        <f t="shared" si="3"/>
        <v>Loss</v>
      </c>
    </row>
    <row r="6520" ht="14.25" customHeight="1">
      <c r="A6520" s="1" t="s">
        <v>6554</v>
      </c>
      <c r="B6520" s="2">
        <v>45073.0</v>
      </c>
      <c r="C6520" s="1" t="s">
        <v>30</v>
      </c>
      <c r="D6520" s="1" t="s">
        <v>21</v>
      </c>
      <c r="E6520" s="1" t="s">
        <v>37</v>
      </c>
      <c r="F6520" s="1">
        <v>697.55</v>
      </c>
      <c r="G6520" s="1">
        <v>170.02</v>
      </c>
      <c r="H6520" s="1">
        <v>7.0</v>
      </c>
      <c r="I6520" s="1" t="s">
        <v>17</v>
      </c>
      <c r="J6520" s="1" t="s">
        <v>35</v>
      </c>
      <c r="K6520" s="1">
        <f t="shared" si="1"/>
        <v>2023</v>
      </c>
      <c r="L6520" s="1" t="str">
        <f t="shared" si="2"/>
        <v>May</v>
      </c>
      <c r="M6520" s="1" t="str">
        <f t="shared" si="3"/>
        <v>Profit</v>
      </c>
    </row>
    <row r="6521" ht="14.25" customHeight="1">
      <c r="A6521" s="1" t="s">
        <v>6555</v>
      </c>
      <c r="B6521" s="2">
        <v>44585.0</v>
      </c>
      <c r="C6521" s="1" t="s">
        <v>30</v>
      </c>
      <c r="D6521" s="1" t="s">
        <v>27</v>
      </c>
      <c r="E6521" s="1" t="s">
        <v>40</v>
      </c>
      <c r="F6521" s="1">
        <v>961.97</v>
      </c>
      <c r="G6521" s="1">
        <v>70.07</v>
      </c>
      <c r="H6521" s="1">
        <v>3.0</v>
      </c>
      <c r="I6521" s="1" t="s">
        <v>34</v>
      </c>
      <c r="J6521" s="1" t="s">
        <v>35</v>
      </c>
      <c r="K6521" s="1">
        <f t="shared" si="1"/>
        <v>2022</v>
      </c>
      <c r="L6521" s="1" t="str">
        <f t="shared" si="2"/>
        <v>Jan</v>
      </c>
      <c r="M6521" s="1" t="str">
        <f t="shared" si="3"/>
        <v>Profit</v>
      </c>
    </row>
    <row r="6522" ht="14.25" customHeight="1">
      <c r="A6522" s="1" t="s">
        <v>6556</v>
      </c>
      <c r="B6522" s="2">
        <v>44532.0</v>
      </c>
      <c r="C6522" s="1" t="s">
        <v>30</v>
      </c>
      <c r="D6522" s="1" t="s">
        <v>27</v>
      </c>
      <c r="E6522" s="1" t="s">
        <v>33</v>
      </c>
      <c r="F6522" s="1">
        <v>337.88</v>
      </c>
      <c r="G6522" s="1">
        <v>-151.65</v>
      </c>
      <c r="H6522" s="1">
        <v>8.0</v>
      </c>
      <c r="I6522" s="1" t="s">
        <v>34</v>
      </c>
      <c r="J6522" s="1" t="s">
        <v>38</v>
      </c>
      <c r="K6522" s="1">
        <f t="shared" si="1"/>
        <v>2021</v>
      </c>
      <c r="L6522" s="1" t="str">
        <f t="shared" si="2"/>
        <v>Dec</v>
      </c>
      <c r="M6522" s="1" t="str">
        <f t="shared" si="3"/>
        <v>Loss</v>
      </c>
    </row>
    <row r="6523" ht="14.25" customHeight="1">
      <c r="A6523" s="1" t="s">
        <v>6557</v>
      </c>
      <c r="B6523" s="2">
        <v>45057.0</v>
      </c>
      <c r="C6523" s="1" t="s">
        <v>20</v>
      </c>
      <c r="D6523" s="1" t="s">
        <v>27</v>
      </c>
      <c r="E6523" s="1" t="s">
        <v>40</v>
      </c>
      <c r="F6523" s="1">
        <v>723.43</v>
      </c>
      <c r="G6523" s="1">
        <v>217.62</v>
      </c>
      <c r="H6523" s="1">
        <v>7.0</v>
      </c>
      <c r="I6523" s="1" t="s">
        <v>23</v>
      </c>
      <c r="J6523" s="1" t="s">
        <v>24</v>
      </c>
      <c r="K6523" s="1">
        <f t="shared" si="1"/>
        <v>2023</v>
      </c>
      <c r="L6523" s="1" t="str">
        <f t="shared" si="2"/>
        <v>May</v>
      </c>
      <c r="M6523" s="1" t="str">
        <f t="shared" si="3"/>
        <v>Profit</v>
      </c>
    </row>
    <row r="6524" ht="14.25" customHeight="1">
      <c r="A6524" s="1" t="s">
        <v>6558</v>
      </c>
      <c r="B6524" s="2">
        <v>44767.0</v>
      </c>
      <c r="C6524" s="1" t="s">
        <v>20</v>
      </c>
      <c r="D6524" s="1" t="s">
        <v>27</v>
      </c>
      <c r="E6524" s="1" t="s">
        <v>28</v>
      </c>
      <c r="F6524" s="1">
        <v>726.4</v>
      </c>
      <c r="G6524" s="1">
        <v>185.91</v>
      </c>
      <c r="H6524" s="1">
        <v>7.0</v>
      </c>
      <c r="I6524" s="1" t="s">
        <v>23</v>
      </c>
      <c r="J6524" s="1" t="s">
        <v>24</v>
      </c>
      <c r="K6524" s="1">
        <f t="shared" si="1"/>
        <v>2022</v>
      </c>
      <c r="L6524" s="1" t="str">
        <f t="shared" si="2"/>
        <v>Jul</v>
      </c>
      <c r="M6524" s="1" t="str">
        <f t="shared" si="3"/>
        <v>Profit</v>
      </c>
    </row>
    <row r="6525" ht="14.25" customHeight="1">
      <c r="A6525" s="1" t="s">
        <v>6559</v>
      </c>
      <c r="B6525" s="2">
        <v>44841.0</v>
      </c>
      <c r="C6525" s="1" t="s">
        <v>14</v>
      </c>
      <c r="D6525" s="1" t="s">
        <v>27</v>
      </c>
      <c r="E6525" s="1" t="s">
        <v>33</v>
      </c>
      <c r="F6525" s="1">
        <v>599.55</v>
      </c>
      <c r="G6525" s="1">
        <v>-24.85</v>
      </c>
      <c r="H6525" s="1">
        <v>1.0</v>
      </c>
      <c r="I6525" s="1" t="s">
        <v>17</v>
      </c>
      <c r="J6525" s="1" t="s">
        <v>38</v>
      </c>
      <c r="K6525" s="1">
        <f t="shared" si="1"/>
        <v>2022</v>
      </c>
      <c r="L6525" s="1" t="str">
        <f t="shared" si="2"/>
        <v>Oct</v>
      </c>
      <c r="M6525" s="1" t="str">
        <f t="shared" si="3"/>
        <v>Loss</v>
      </c>
    </row>
    <row r="6526" ht="14.25" customHeight="1">
      <c r="A6526" s="1" t="s">
        <v>6560</v>
      </c>
      <c r="B6526" s="2">
        <v>45065.0</v>
      </c>
      <c r="C6526" s="1" t="s">
        <v>30</v>
      </c>
      <c r="D6526" s="1" t="s">
        <v>15</v>
      </c>
      <c r="E6526" s="1" t="s">
        <v>31</v>
      </c>
      <c r="F6526" s="1">
        <v>39.33</v>
      </c>
      <c r="G6526" s="1">
        <v>-192.27</v>
      </c>
      <c r="H6526" s="1">
        <v>7.0</v>
      </c>
      <c r="I6526" s="1" t="s">
        <v>23</v>
      </c>
      <c r="J6526" s="1" t="s">
        <v>35</v>
      </c>
      <c r="K6526" s="1">
        <f t="shared" si="1"/>
        <v>2023</v>
      </c>
      <c r="L6526" s="1" t="str">
        <f t="shared" si="2"/>
        <v>May</v>
      </c>
      <c r="M6526" s="1" t="str">
        <f t="shared" si="3"/>
        <v>Loss</v>
      </c>
    </row>
    <row r="6527" ht="14.25" customHeight="1">
      <c r="A6527" s="1" t="s">
        <v>6561</v>
      </c>
      <c r="B6527" s="2">
        <v>44956.0</v>
      </c>
      <c r="C6527" s="1" t="s">
        <v>14</v>
      </c>
      <c r="D6527" s="1" t="s">
        <v>21</v>
      </c>
      <c r="E6527" s="1" t="s">
        <v>22</v>
      </c>
      <c r="F6527" s="1">
        <v>206.07</v>
      </c>
      <c r="G6527" s="1">
        <v>-193.51</v>
      </c>
      <c r="H6527" s="1">
        <v>1.0</v>
      </c>
      <c r="I6527" s="1" t="s">
        <v>34</v>
      </c>
      <c r="J6527" s="1" t="s">
        <v>35</v>
      </c>
      <c r="K6527" s="1">
        <f t="shared" si="1"/>
        <v>2023</v>
      </c>
      <c r="L6527" s="1" t="str">
        <f t="shared" si="2"/>
        <v>Jan</v>
      </c>
      <c r="M6527" s="1" t="str">
        <f t="shared" si="3"/>
        <v>Loss</v>
      </c>
    </row>
    <row r="6528" ht="14.25" customHeight="1">
      <c r="A6528" s="1" t="s">
        <v>6562</v>
      </c>
      <c r="B6528" s="2">
        <v>44823.0</v>
      </c>
      <c r="C6528" s="1" t="s">
        <v>20</v>
      </c>
      <c r="D6528" s="1" t="s">
        <v>27</v>
      </c>
      <c r="E6528" s="1" t="s">
        <v>40</v>
      </c>
      <c r="F6528" s="1">
        <v>891.05</v>
      </c>
      <c r="G6528" s="1">
        <v>107.43</v>
      </c>
      <c r="H6528" s="1">
        <v>2.0</v>
      </c>
      <c r="I6528" s="1" t="s">
        <v>23</v>
      </c>
      <c r="J6528" s="1" t="s">
        <v>24</v>
      </c>
      <c r="K6528" s="1">
        <f t="shared" si="1"/>
        <v>2022</v>
      </c>
      <c r="L6528" s="1" t="str">
        <f t="shared" si="2"/>
        <v>Sep</v>
      </c>
      <c r="M6528" s="1" t="str">
        <f t="shared" si="3"/>
        <v>Profit</v>
      </c>
    </row>
    <row r="6529" ht="14.25" customHeight="1">
      <c r="A6529" s="1" t="s">
        <v>6563</v>
      </c>
      <c r="B6529" s="2">
        <v>45006.0</v>
      </c>
      <c r="C6529" s="1" t="s">
        <v>20</v>
      </c>
      <c r="D6529" s="1" t="s">
        <v>27</v>
      </c>
      <c r="E6529" s="1" t="s">
        <v>40</v>
      </c>
      <c r="F6529" s="1">
        <v>936.3</v>
      </c>
      <c r="G6529" s="1">
        <v>180.53</v>
      </c>
      <c r="H6529" s="1">
        <v>1.0</v>
      </c>
      <c r="I6529" s="1" t="s">
        <v>23</v>
      </c>
      <c r="J6529" s="1" t="s">
        <v>24</v>
      </c>
      <c r="K6529" s="1">
        <f t="shared" si="1"/>
        <v>2023</v>
      </c>
      <c r="L6529" s="1" t="str">
        <f t="shared" si="2"/>
        <v>Mar</v>
      </c>
      <c r="M6529" s="1" t="str">
        <f t="shared" si="3"/>
        <v>Profit</v>
      </c>
    </row>
    <row r="6530" ht="14.25" customHeight="1">
      <c r="A6530" s="1" t="s">
        <v>6564</v>
      </c>
      <c r="B6530" s="2">
        <v>44431.0</v>
      </c>
      <c r="C6530" s="1" t="s">
        <v>26</v>
      </c>
      <c r="D6530" s="1" t="s">
        <v>21</v>
      </c>
      <c r="E6530" s="1" t="s">
        <v>37</v>
      </c>
      <c r="F6530" s="1">
        <v>292.13</v>
      </c>
      <c r="G6530" s="1">
        <v>-187.23</v>
      </c>
      <c r="H6530" s="1">
        <v>7.0</v>
      </c>
      <c r="I6530" s="1" t="s">
        <v>17</v>
      </c>
      <c r="J6530" s="1" t="s">
        <v>18</v>
      </c>
      <c r="K6530" s="1">
        <f t="shared" si="1"/>
        <v>2021</v>
      </c>
      <c r="L6530" s="1" t="str">
        <f t="shared" si="2"/>
        <v>Aug</v>
      </c>
      <c r="M6530" s="1" t="str">
        <f t="shared" si="3"/>
        <v>Loss</v>
      </c>
    </row>
    <row r="6531" ht="14.25" customHeight="1">
      <c r="A6531" s="1" t="s">
        <v>6565</v>
      </c>
      <c r="B6531" s="2">
        <v>44289.0</v>
      </c>
      <c r="C6531" s="1" t="s">
        <v>26</v>
      </c>
      <c r="D6531" s="1" t="s">
        <v>15</v>
      </c>
      <c r="E6531" s="1" t="s">
        <v>54</v>
      </c>
      <c r="F6531" s="1">
        <v>888.14</v>
      </c>
      <c r="G6531" s="1">
        <v>-173.83</v>
      </c>
      <c r="H6531" s="1">
        <v>6.0</v>
      </c>
      <c r="I6531" s="1" t="s">
        <v>17</v>
      </c>
      <c r="J6531" s="1" t="s">
        <v>18</v>
      </c>
      <c r="K6531" s="1">
        <f t="shared" si="1"/>
        <v>2021</v>
      </c>
      <c r="L6531" s="1" t="str">
        <f t="shared" si="2"/>
        <v>Apr</v>
      </c>
      <c r="M6531" s="1" t="str">
        <f t="shared" si="3"/>
        <v>Loss</v>
      </c>
    </row>
    <row r="6532" ht="14.25" customHeight="1">
      <c r="A6532" s="1" t="s">
        <v>6566</v>
      </c>
      <c r="B6532" s="2">
        <v>44224.0</v>
      </c>
      <c r="C6532" s="1" t="s">
        <v>20</v>
      </c>
      <c r="D6532" s="1" t="s">
        <v>21</v>
      </c>
      <c r="E6532" s="1" t="s">
        <v>76</v>
      </c>
      <c r="F6532" s="1">
        <v>905.29</v>
      </c>
      <c r="G6532" s="1">
        <v>278.03</v>
      </c>
      <c r="H6532" s="1">
        <v>1.0</v>
      </c>
      <c r="I6532" s="1" t="s">
        <v>23</v>
      </c>
      <c r="J6532" s="1" t="s">
        <v>38</v>
      </c>
      <c r="K6532" s="1">
        <f t="shared" si="1"/>
        <v>2021</v>
      </c>
      <c r="L6532" s="1" t="str">
        <f t="shared" si="2"/>
        <v>Jan</v>
      </c>
      <c r="M6532" s="1" t="str">
        <f t="shared" si="3"/>
        <v>Profit</v>
      </c>
    </row>
    <row r="6533" ht="14.25" customHeight="1">
      <c r="A6533" s="1" t="s">
        <v>6567</v>
      </c>
      <c r="B6533" s="2">
        <v>44564.0</v>
      </c>
      <c r="C6533" s="1" t="s">
        <v>30</v>
      </c>
      <c r="D6533" s="1" t="s">
        <v>27</v>
      </c>
      <c r="E6533" s="1" t="s">
        <v>40</v>
      </c>
      <c r="F6533" s="1">
        <v>433.6</v>
      </c>
      <c r="G6533" s="1">
        <v>205.77</v>
      </c>
      <c r="H6533" s="1">
        <v>9.0</v>
      </c>
      <c r="I6533" s="1" t="s">
        <v>17</v>
      </c>
      <c r="J6533" s="1" t="s">
        <v>18</v>
      </c>
      <c r="K6533" s="1">
        <f t="shared" si="1"/>
        <v>2022</v>
      </c>
      <c r="L6533" s="1" t="str">
        <f t="shared" si="2"/>
        <v>Jan</v>
      </c>
      <c r="M6533" s="1" t="str">
        <f t="shared" si="3"/>
        <v>Profit</v>
      </c>
    </row>
    <row r="6534" ht="14.25" customHeight="1">
      <c r="A6534" s="1" t="s">
        <v>6568</v>
      </c>
      <c r="B6534" s="2">
        <v>44335.0</v>
      </c>
      <c r="C6534" s="1" t="s">
        <v>14</v>
      </c>
      <c r="D6534" s="1" t="s">
        <v>21</v>
      </c>
      <c r="E6534" s="1" t="s">
        <v>37</v>
      </c>
      <c r="F6534" s="1">
        <v>691.52</v>
      </c>
      <c r="G6534" s="1">
        <v>189.01</v>
      </c>
      <c r="H6534" s="1">
        <v>4.0</v>
      </c>
      <c r="I6534" s="1" t="s">
        <v>17</v>
      </c>
      <c r="J6534" s="1" t="s">
        <v>24</v>
      </c>
      <c r="K6534" s="1">
        <f t="shared" si="1"/>
        <v>2021</v>
      </c>
      <c r="L6534" s="1" t="str">
        <f t="shared" si="2"/>
        <v>May</v>
      </c>
      <c r="M6534" s="1" t="str">
        <f t="shared" si="3"/>
        <v>Profit</v>
      </c>
    </row>
    <row r="6535" ht="14.25" customHeight="1">
      <c r="A6535" s="1" t="s">
        <v>6569</v>
      </c>
      <c r="B6535" s="2">
        <v>45146.0</v>
      </c>
      <c r="C6535" s="1" t="s">
        <v>20</v>
      </c>
      <c r="D6535" s="1" t="s">
        <v>21</v>
      </c>
      <c r="E6535" s="1" t="s">
        <v>22</v>
      </c>
      <c r="F6535" s="1">
        <v>251.8</v>
      </c>
      <c r="G6535" s="1">
        <v>278.84</v>
      </c>
      <c r="H6535" s="1">
        <v>5.0</v>
      </c>
      <c r="I6535" s="1" t="s">
        <v>34</v>
      </c>
      <c r="J6535" s="1" t="s">
        <v>35</v>
      </c>
      <c r="K6535" s="1">
        <f t="shared" si="1"/>
        <v>2023</v>
      </c>
      <c r="L6535" s="1" t="str">
        <f t="shared" si="2"/>
        <v>Aug</v>
      </c>
      <c r="M6535" s="1" t="str">
        <f t="shared" si="3"/>
        <v>Profit</v>
      </c>
    </row>
    <row r="6536" ht="14.25" customHeight="1">
      <c r="A6536" s="1" t="s">
        <v>6570</v>
      </c>
      <c r="B6536" s="2">
        <v>44908.0</v>
      </c>
      <c r="C6536" s="1" t="s">
        <v>14</v>
      </c>
      <c r="D6536" s="1" t="s">
        <v>27</v>
      </c>
      <c r="E6536" s="1" t="s">
        <v>28</v>
      </c>
      <c r="F6536" s="1">
        <v>979.8</v>
      </c>
      <c r="G6536" s="1">
        <v>-135.0</v>
      </c>
      <c r="H6536" s="1">
        <v>9.0</v>
      </c>
      <c r="I6536" s="1" t="s">
        <v>17</v>
      </c>
      <c r="J6536" s="1" t="s">
        <v>18</v>
      </c>
      <c r="K6536" s="1">
        <f t="shared" si="1"/>
        <v>2022</v>
      </c>
      <c r="L6536" s="1" t="str">
        <f t="shared" si="2"/>
        <v>Dec</v>
      </c>
      <c r="M6536" s="1" t="str">
        <f t="shared" si="3"/>
        <v>Loss</v>
      </c>
    </row>
    <row r="6537" ht="14.25" customHeight="1">
      <c r="A6537" s="1" t="s">
        <v>6571</v>
      </c>
      <c r="B6537" s="2">
        <v>45178.0</v>
      </c>
      <c r="C6537" s="1" t="s">
        <v>20</v>
      </c>
      <c r="D6537" s="1" t="s">
        <v>21</v>
      </c>
      <c r="E6537" s="1" t="s">
        <v>37</v>
      </c>
      <c r="F6537" s="1">
        <v>588.35</v>
      </c>
      <c r="G6537" s="1">
        <v>51.56</v>
      </c>
      <c r="H6537" s="1">
        <v>7.0</v>
      </c>
      <c r="I6537" s="1" t="s">
        <v>17</v>
      </c>
      <c r="J6537" s="1" t="s">
        <v>24</v>
      </c>
      <c r="K6537" s="1">
        <f t="shared" si="1"/>
        <v>2023</v>
      </c>
      <c r="L6537" s="1" t="str">
        <f t="shared" si="2"/>
        <v>Sep</v>
      </c>
      <c r="M6537" s="1" t="str">
        <f t="shared" si="3"/>
        <v>Profit</v>
      </c>
    </row>
    <row r="6538" ht="14.25" customHeight="1">
      <c r="A6538" s="1" t="s">
        <v>6572</v>
      </c>
      <c r="B6538" s="2">
        <v>44620.0</v>
      </c>
      <c r="C6538" s="1" t="s">
        <v>20</v>
      </c>
      <c r="D6538" s="1" t="s">
        <v>21</v>
      </c>
      <c r="E6538" s="1" t="s">
        <v>22</v>
      </c>
      <c r="F6538" s="1">
        <v>313.82</v>
      </c>
      <c r="G6538" s="1">
        <v>-166.55</v>
      </c>
      <c r="H6538" s="1">
        <v>1.0</v>
      </c>
      <c r="I6538" s="1" t="s">
        <v>34</v>
      </c>
      <c r="J6538" s="1" t="s">
        <v>24</v>
      </c>
      <c r="K6538" s="1">
        <f t="shared" si="1"/>
        <v>2022</v>
      </c>
      <c r="L6538" s="1" t="str">
        <f t="shared" si="2"/>
        <v>Feb</v>
      </c>
      <c r="M6538" s="1" t="str">
        <f t="shared" si="3"/>
        <v>Loss</v>
      </c>
    </row>
    <row r="6539" ht="14.25" customHeight="1">
      <c r="A6539" s="1" t="s">
        <v>6573</v>
      </c>
      <c r="B6539" s="2">
        <v>44577.0</v>
      </c>
      <c r="C6539" s="1" t="s">
        <v>14</v>
      </c>
      <c r="D6539" s="1" t="s">
        <v>21</v>
      </c>
      <c r="E6539" s="1" t="s">
        <v>76</v>
      </c>
      <c r="F6539" s="1">
        <v>517.87</v>
      </c>
      <c r="G6539" s="1">
        <v>213.6</v>
      </c>
      <c r="H6539" s="1">
        <v>5.0</v>
      </c>
      <c r="I6539" s="1" t="s">
        <v>34</v>
      </c>
      <c r="J6539" s="1" t="s">
        <v>24</v>
      </c>
      <c r="K6539" s="1">
        <f t="shared" si="1"/>
        <v>2022</v>
      </c>
      <c r="L6539" s="1" t="str">
        <f t="shared" si="2"/>
        <v>Jan</v>
      </c>
      <c r="M6539" s="1" t="str">
        <f t="shared" si="3"/>
        <v>Profit</v>
      </c>
    </row>
    <row r="6540" ht="14.25" customHeight="1">
      <c r="A6540" s="1" t="s">
        <v>6574</v>
      </c>
      <c r="B6540" s="2">
        <v>44428.0</v>
      </c>
      <c r="C6540" s="1" t="s">
        <v>14</v>
      </c>
      <c r="D6540" s="1" t="s">
        <v>27</v>
      </c>
      <c r="E6540" s="1" t="s">
        <v>40</v>
      </c>
      <c r="F6540" s="1">
        <v>82.75</v>
      </c>
      <c r="G6540" s="1">
        <v>55.51</v>
      </c>
      <c r="H6540" s="1">
        <v>8.0</v>
      </c>
      <c r="I6540" s="1" t="s">
        <v>17</v>
      </c>
      <c r="J6540" s="1" t="s">
        <v>38</v>
      </c>
      <c r="K6540" s="1">
        <f t="shared" si="1"/>
        <v>2021</v>
      </c>
      <c r="L6540" s="1" t="str">
        <f t="shared" si="2"/>
        <v>Aug</v>
      </c>
      <c r="M6540" s="1" t="str">
        <f t="shared" si="3"/>
        <v>Profit</v>
      </c>
    </row>
    <row r="6541" ht="14.25" customHeight="1">
      <c r="A6541" s="1" t="s">
        <v>6575</v>
      </c>
      <c r="B6541" s="2">
        <v>44471.0</v>
      </c>
      <c r="C6541" s="1" t="s">
        <v>14</v>
      </c>
      <c r="D6541" s="1" t="s">
        <v>21</v>
      </c>
      <c r="E6541" s="1" t="s">
        <v>37</v>
      </c>
      <c r="F6541" s="1">
        <v>389.58</v>
      </c>
      <c r="G6541" s="1">
        <v>43.15</v>
      </c>
      <c r="H6541" s="1">
        <v>9.0</v>
      </c>
      <c r="I6541" s="1" t="s">
        <v>34</v>
      </c>
      <c r="J6541" s="1" t="s">
        <v>18</v>
      </c>
      <c r="K6541" s="1">
        <f t="shared" si="1"/>
        <v>2021</v>
      </c>
      <c r="L6541" s="1" t="str">
        <f t="shared" si="2"/>
        <v>Oct</v>
      </c>
      <c r="M6541" s="1" t="str">
        <f t="shared" si="3"/>
        <v>Profit</v>
      </c>
    </row>
    <row r="6542" ht="14.25" customHeight="1">
      <c r="A6542" s="1" t="s">
        <v>6576</v>
      </c>
      <c r="B6542" s="2">
        <v>44899.0</v>
      </c>
      <c r="C6542" s="1" t="s">
        <v>26</v>
      </c>
      <c r="D6542" s="1" t="s">
        <v>15</v>
      </c>
      <c r="E6542" s="1" t="s">
        <v>16</v>
      </c>
      <c r="F6542" s="1">
        <v>563.43</v>
      </c>
      <c r="G6542" s="1">
        <v>288.6</v>
      </c>
      <c r="H6542" s="1">
        <v>3.0</v>
      </c>
      <c r="I6542" s="1" t="s">
        <v>23</v>
      </c>
      <c r="J6542" s="1" t="s">
        <v>24</v>
      </c>
      <c r="K6542" s="1">
        <f t="shared" si="1"/>
        <v>2022</v>
      </c>
      <c r="L6542" s="1" t="str">
        <f t="shared" si="2"/>
        <v>Dec</v>
      </c>
      <c r="M6542" s="1" t="str">
        <f t="shared" si="3"/>
        <v>Profit</v>
      </c>
    </row>
    <row r="6543" ht="14.25" customHeight="1">
      <c r="A6543" s="1" t="s">
        <v>6577</v>
      </c>
      <c r="B6543" s="2">
        <v>44695.0</v>
      </c>
      <c r="C6543" s="1" t="s">
        <v>26</v>
      </c>
      <c r="D6543" s="1" t="s">
        <v>21</v>
      </c>
      <c r="E6543" s="1" t="s">
        <v>22</v>
      </c>
      <c r="F6543" s="1">
        <v>783.5</v>
      </c>
      <c r="G6543" s="1">
        <v>-126.69</v>
      </c>
      <c r="H6543" s="1">
        <v>9.0</v>
      </c>
      <c r="I6543" s="1" t="s">
        <v>34</v>
      </c>
      <c r="J6543" s="1" t="s">
        <v>18</v>
      </c>
      <c r="K6543" s="1">
        <f t="shared" si="1"/>
        <v>2022</v>
      </c>
      <c r="L6543" s="1" t="str">
        <f t="shared" si="2"/>
        <v>May</v>
      </c>
      <c r="M6543" s="1" t="str">
        <f t="shared" si="3"/>
        <v>Loss</v>
      </c>
    </row>
    <row r="6544" ht="14.25" customHeight="1">
      <c r="A6544" s="1" t="s">
        <v>6578</v>
      </c>
      <c r="B6544" s="2">
        <v>44711.0</v>
      </c>
      <c r="C6544" s="1" t="s">
        <v>20</v>
      </c>
      <c r="D6544" s="1" t="s">
        <v>21</v>
      </c>
      <c r="E6544" s="1" t="s">
        <v>22</v>
      </c>
      <c r="F6544" s="1">
        <v>128.27</v>
      </c>
      <c r="G6544" s="1">
        <v>169.16</v>
      </c>
      <c r="H6544" s="1">
        <v>6.0</v>
      </c>
      <c r="I6544" s="1" t="s">
        <v>34</v>
      </c>
      <c r="J6544" s="1" t="s">
        <v>24</v>
      </c>
      <c r="K6544" s="1">
        <f t="shared" si="1"/>
        <v>2022</v>
      </c>
      <c r="L6544" s="1" t="str">
        <f t="shared" si="2"/>
        <v>May</v>
      </c>
      <c r="M6544" s="1" t="str">
        <f t="shared" si="3"/>
        <v>Profit</v>
      </c>
    </row>
    <row r="6545" ht="14.25" customHeight="1">
      <c r="A6545" s="1" t="s">
        <v>6579</v>
      </c>
      <c r="B6545" s="2">
        <v>44475.0</v>
      </c>
      <c r="C6545" s="1" t="s">
        <v>30</v>
      </c>
      <c r="D6545" s="1" t="s">
        <v>15</v>
      </c>
      <c r="E6545" s="1" t="s">
        <v>16</v>
      </c>
      <c r="F6545" s="1">
        <v>995.31</v>
      </c>
      <c r="G6545" s="1">
        <v>222.8</v>
      </c>
      <c r="H6545" s="1">
        <v>4.0</v>
      </c>
      <c r="I6545" s="1" t="s">
        <v>23</v>
      </c>
      <c r="J6545" s="1" t="s">
        <v>24</v>
      </c>
      <c r="K6545" s="1">
        <f t="shared" si="1"/>
        <v>2021</v>
      </c>
      <c r="L6545" s="1" t="str">
        <f t="shared" si="2"/>
        <v>Oct</v>
      </c>
      <c r="M6545" s="1" t="str">
        <f t="shared" si="3"/>
        <v>Profit</v>
      </c>
    </row>
    <row r="6546" ht="14.25" customHeight="1">
      <c r="A6546" s="1" t="s">
        <v>6580</v>
      </c>
      <c r="B6546" s="2">
        <v>44381.0</v>
      </c>
      <c r="C6546" s="1" t="s">
        <v>26</v>
      </c>
      <c r="D6546" s="1" t="s">
        <v>27</v>
      </c>
      <c r="E6546" s="1" t="s">
        <v>28</v>
      </c>
      <c r="F6546" s="1">
        <v>191.33</v>
      </c>
      <c r="G6546" s="1">
        <v>-190.41</v>
      </c>
      <c r="H6546" s="1">
        <v>2.0</v>
      </c>
      <c r="I6546" s="1" t="s">
        <v>17</v>
      </c>
      <c r="J6546" s="1" t="s">
        <v>18</v>
      </c>
      <c r="K6546" s="1">
        <f t="shared" si="1"/>
        <v>2021</v>
      </c>
      <c r="L6546" s="1" t="str">
        <f t="shared" si="2"/>
        <v>Jul</v>
      </c>
      <c r="M6546" s="1" t="str">
        <f t="shared" si="3"/>
        <v>Loss</v>
      </c>
    </row>
    <row r="6547" ht="14.25" customHeight="1">
      <c r="A6547" s="1" t="s">
        <v>6581</v>
      </c>
      <c r="B6547" s="2">
        <v>44945.0</v>
      </c>
      <c r="C6547" s="1" t="s">
        <v>20</v>
      </c>
      <c r="D6547" s="1" t="s">
        <v>27</v>
      </c>
      <c r="E6547" s="1" t="s">
        <v>40</v>
      </c>
      <c r="F6547" s="1">
        <v>628.58</v>
      </c>
      <c r="G6547" s="1">
        <v>43.39</v>
      </c>
      <c r="H6547" s="1">
        <v>3.0</v>
      </c>
      <c r="I6547" s="1" t="s">
        <v>17</v>
      </c>
      <c r="J6547" s="1" t="s">
        <v>35</v>
      </c>
      <c r="K6547" s="1">
        <f t="shared" si="1"/>
        <v>2023</v>
      </c>
      <c r="L6547" s="1" t="str">
        <f t="shared" si="2"/>
        <v>Jan</v>
      </c>
      <c r="M6547" s="1" t="str">
        <f t="shared" si="3"/>
        <v>Profit</v>
      </c>
    </row>
    <row r="6548" ht="14.25" customHeight="1">
      <c r="A6548" s="1" t="s">
        <v>6582</v>
      </c>
      <c r="B6548" s="2">
        <v>45178.0</v>
      </c>
      <c r="C6548" s="1" t="s">
        <v>26</v>
      </c>
      <c r="D6548" s="1" t="s">
        <v>21</v>
      </c>
      <c r="E6548" s="1" t="s">
        <v>37</v>
      </c>
      <c r="F6548" s="1">
        <v>712.28</v>
      </c>
      <c r="G6548" s="1">
        <v>205.74</v>
      </c>
      <c r="H6548" s="1">
        <v>5.0</v>
      </c>
      <c r="I6548" s="1" t="s">
        <v>17</v>
      </c>
      <c r="J6548" s="1" t="s">
        <v>18</v>
      </c>
      <c r="K6548" s="1">
        <f t="shared" si="1"/>
        <v>2023</v>
      </c>
      <c r="L6548" s="1" t="str">
        <f t="shared" si="2"/>
        <v>Sep</v>
      </c>
      <c r="M6548" s="1" t="str">
        <f t="shared" si="3"/>
        <v>Profit</v>
      </c>
    </row>
    <row r="6549" ht="14.25" customHeight="1">
      <c r="A6549" s="1" t="s">
        <v>6583</v>
      </c>
      <c r="B6549" s="2">
        <v>44776.0</v>
      </c>
      <c r="C6549" s="1" t="s">
        <v>14</v>
      </c>
      <c r="D6549" s="1" t="s">
        <v>21</v>
      </c>
      <c r="E6549" s="1" t="s">
        <v>37</v>
      </c>
      <c r="F6549" s="1">
        <v>782.71</v>
      </c>
      <c r="G6549" s="1">
        <v>215.3</v>
      </c>
      <c r="H6549" s="1">
        <v>7.0</v>
      </c>
      <c r="I6549" s="1" t="s">
        <v>34</v>
      </c>
      <c r="J6549" s="1" t="s">
        <v>35</v>
      </c>
      <c r="K6549" s="1">
        <f t="shared" si="1"/>
        <v>2022</v>
      </c>
      <c r="L6549" s="1" t="str">
        <f t="shared" si="2"/>
        <v>Aug</v>
      </c>
      <c r="M6549" s="1" t="str">
        <f t="shared" si="3"/>
        <v>Profit</v>
      </c>
    </row>
    <row r="6550" ht="14.25" customHeight="1">
      <c r="A6550" s="1" t="s">
        <v>6584</v>
      </c>
      <c r="B6550" s="2">
        <v>44457.0</v>
      </c>
      <c r="C6550" s="1" t="s">
        <v>20</v>
      </c>
      <c r="D6550" s="1" t="s">
        <v>21</v>
      </c>
      <c r="E6550" s="1" t="s">
        <v>76</v>
      </c>
      <c r="F6550" s="1">
        <v>452.15</v>
      </c>
      <c r="G6550" s="1">
        <v>189.68</v>
      </c>
      <c r="H6550" s="1">
        <v>6.0</v>
      </c>
      <c r="I6550" s="1" t="s">
        <v>17</v>
      </c>
      <c r="J6550" s="1" t="s">
        <v>38</v>
      </c>
      <c r="K6550" s="1">
        <f t="shared" si="1"/>
        <v>2021</v>
      </c>
      <c r="L6550" s="1" t="str">
        <f t="shared" si="2"/>
        <v>Sep</v>
      </c>
      <c r="M6550" s="1" t="str">
        <f t="shared" si="3"/>
        <v>Profit</v>
      </c>
    </row>
    <row r="6551" ht="14.25" customHeight="1">
      <c r="A6551" s="1" t="s">
        <v>6585</v>
      </c>
      <c r="B6551" s="2">
        <v>44448.0</v>
      </c>
      <c r="C6551" s="1" t="s">
        <v>14</v>
      </c>
      <c r="D6551" s="1" t="s">
        <v>21</v>
      </c>
      <c r="E6551" s="1" t="s">
        <v>37</v>
      </c>
      <c r="F6551" s="1">
        <v>568.42</v>
      </c>
      <c r="G6551" s="1">
        <v>-85.54</v>
      </c>
      <c r="H6551" s="1">
        <v>8.0</v>
      </c>
      <c r="I6551" s="1" t="s">
        <v>23</v>
      </c>
      <c r="J6551" s="1" t="s">
        <v>35</v>
      </c>
      <c r="K6551" s="1">
        <f t="shared" si="1"/>
        <v>2021</v>
      </c>
      <c r="L6551" s="1" t="str">
        <f t="shared" si="2"/>
        <v>Sep</v>
      </c>
      <c r="M6551" s="1" t="str">
        <f t="shared" si="3"/>
        <v>Loss</v>
      </c>
    </row>
    <row r="6552" ht="14.25" customHeight="1">
      <c r="A6552" s="1" t="s">
        <v>6586</v>
      </c>
      <c r="B6552" s="2">
        <v>44751.0</v>
      </c>
      <c r="C6552" s="1" t="s">
        <v>30</v>
      </c>
      <c r="D6552" s="1" t="s">
        <v>27</v>
      </c>
      <c r="E6552" s="1" t="s">
        <v>33</v>
      </c>
      <c r="F6552" s="1">
        <v>678.34</v>
      </c>
      <c r="G6552" s="1">
        <v>-154.35</v>
      </c>
      <c r="H6552" s="1">
        <v>3.0</v>
      </c>
      <c r="I6552" s="1" t="s">
        <v>17</v>
      </c>
      <c r="J6552" s="1" t="s">
        <v>24</v>
      </c>
      <c r="K6552" s="1">
        <f t="shared" si="1"/>
        <v>2022</v>
      </c>
      <c r="L6552" s="1" t="str">
        <f t="shared" si="2"/>
        <v>Jul</v>
      </c>
      <c r="M6552" s="1" t="str">
        <f t="shared" si="3"/>
        <v>Loss</v>
      </c>
    </row>
    <row r="6553" ht="14.25" customHeight="1">
      <c r="A6553" s="1" t="s">
        <v>6587</v>
      </c>
      <c r="B6553" s="2">
        <v>44408.0</v>
      </c>
      <c r="C6553" s="1" t="s">
        <v>20</v>
      </c>
      <c r="D6553" s="1" t="s">
        <v>15</v>
      </c>
      <c r="E6553" s="1" t="s">
        <v>16</v>
      </c>
      <c r="F6553" s="1">
        <v>779.38</v>
      </c>
      <c r="G6553" s="1">
        <v>-120.73</v>
      </c>
      <c r="H6553" s="1">
        <v>9.0</v>
      </c>
      <c r="I6553" s="1" t="s">
        <v>23</v>
      </c>
      <c r="J6553" s="1" t="s">
        <v>24</v>
      </c>
      <c r="K6553" s="1">
        <f t="shared" si="1"/>
        <v>2021</v>
      </c>
      <c r="L6553" s="1" t="str">
        <f t="shared" si="2"/>
        <v>Jul</v>
      </c>
      <c r="M6553" s="1" t="str">
        <f t="shared" si="3"/>
        <v>Loss</v>
      </c>
    </row>
    <row r="6554" ht="14.25" customHeight="1">
      <c r="A6554" s="1" t="s">
        <v>6588</v>
      </c>
      <c r="B6554" s="2">
        <v>45254.0</v>
      </c>
      <c r="C6554" s="1" t="s">
        <v>26</v>
      </c>
      <c r="D6554" s="1" t="s">
        <v>21</v>
      </c>
      <c r="E6554" s="1" t="s">
        <v>37</v>
      </c>
      <c r="F6554" s="1">
        <v>238.74</v>
      </c>
      <c r="G6554" s="1">
        <v>-79.47</v>
      </c>
      <c r="H6554" s="1">
        <v>6.0</v>
      </c>
      <c r="I6554" s="1" t="s">
        <v>23</v>
      </c>
      <c r="J6554" s="1" t="s">
        <v>38</v>
      </c>
      <c r="K6554" s="1">
        <f t="shared" si="1"/>
        <v>2023</v>
      </c>
      <c r="L6554" s="1" t="str">
        <f t="shared" si="2"/>
        <v>Nov</v>
      </c>
      <c r="M6554" s="1" t="str">
        <f t="shared" si="3"/>
        <v>Loss</v>
      </c>
    </row>
    <row r="6555" ht="14.25" customHeight="1">
      <c r="A6555" s="1" t="s">
        <v>6589</v>
      </c>
      <c r="B6555" s="2">
        <v>45192.0</v>
      </c>
      <c r="C6555" s="1" t="s">
        <v>20</v>
      </c>
      <c r="D6555" s="1" t="s">
        <v>15</v>
      </c>
      <c r="E6555" s="1" t="s">
        <v>54</v>
      </c>
      <c r="F6555" s="1">
        <v>913.93</v>
      </c>
      <c r="G6555" s="1">
        <v>208.06</v>
      </c>
      <c r="H6555" s="1">
        <v>6.0</v>
      </c>
      <c r="I6555" s="1" t="s">
        <v>17</v>
      </c>
      <c r="J6555" s="1" t="s">
        <v>38</v>
      </c>
      <c r="K6555" s="1">
        <f t="shared" si="1"/>
        <v>2023</v>
      </c>
      <c r="L6555" s="1" t="str">
        <f t="shared" si="2"/>
        <v>Sep</v>
      </c>
      <c r="M6555" s="1" t="str">
        <f t="shared" si="3"/>
        <v>Profit</v>
      </c>
    </row>
    <row r="6556" ht="14.25" customHeight="1">
      <c r="A6556" s="1" t="s">
        <v>6590</v>
      </c>
      <c r="B6556" s="2">
        <v>44614.0</v>
      </c>
      <c r="C6556" s="1" t="s">
        <v>20</v>
      </c>
      <c r="D6556" s="1" t="s">
        <v>21</v>
      </c>
      <c r="E6556" s="1" t="s">
        <v>37</v>
      </c>
      <c r="F6556" s="1">
        <v>999.9</v>
      </c>
      <c r="G6556" s="1">
        <v>-172.95</v>
      </c>
      <c r="H6556" s="1">
        <v>6.0</v>
      </c>
      <c r="I6556" s="1" t="s">
        <v>34</v>
      </c>
      <c r="J6556" s="1" t="s">
        <v>18</v>
      </c>
      <c r="K6556" s="1">
        <f t="shared" si="1"/>
        <v>2022</v>
      </c>
      <c r="L6556" s="1" t="str">
        <f t="shared" si="2"/>
        <v>Feb</v>
      </c>
      <c r="M6556" s="1" t="str">
        <f t="shared" si="3"/>
        <v>Loss</v>
      </c>
    </row>
    <row r="6557" ht="14.25" customHeight="1">
      <c r="A6557" s="1" t="s">
        <v>6591</v>
      </c>
      <c r="B6557" s="2">
        <v>44608.0</v>
      </c>
      <c r="C6557" s="1" t="s">
        <v>20</v>
      </c>
      <c r="D6557" s="1" t="s">
        <v>21</v>
      </c>
      <c r="E6557" s="1" t="s">
        <v>76</v>
      </c>
      <c r="F6557" s="1">
        <v>907.93</v>
      </c>
      <c r="G6557" s="1">
        <v>-132.42</v>
      </c>
      <c r="H6557" s="1">
        <v>10.0</v>
      </c>
      <c r="I6557" s="1" t="s">
        <v>34</v>
      </c>
      <c r="J6557" s="1" t="s">
        <v>35</v>
      </c>
      <c r="K6557" s="1">
        <f t="shared" si="1"/>
        <v>2022</v>
      </c>
      <c r="L6557" s="1" t="str">
        <f t="shared" si="2"/>
        <v>Feb</v>
      </c>
      <c r="M6557" s="1" t="str">
        <f t="shared" si="3"/>
        <v>Loss</v>
      </c>
    </row>
    <row r="6558" ht="14.25" customHeight="1">
      <c r="A6558" s="1" t="s">
        <v>6592</v>
      </c>
      <c r="B6558" s="2">
        <v>44601.0</v>
      </c>
      <c r="C6558" s="1" t="s">
        <v>14</v>
      </c>
      <c r="D6558" s="1" t="s">
        <v>21</v>
      </c>
      <c r="E6558" s="1" t="s">
        <v>37</v>
      </c>
      <c r="F6558" s="1">
        <v>794.76</v>
      </c>
      <c r="G6558" s="1">
        <v>-121.24</v>
      </c>
      <c r="H6558" s="1">
        <v>3.0</v>
      </c>
      <c r="I6558" s="1" t="s">
        <v>23</v>
      </c>
      <c r="J6558" s="1" t="s">
        <v>18</v>
      </c>
      <c r="K6558" s="1">
        <f t="shared" si="1"/>
        <v>2022</v>
      </c>
      <c r="L6558" s="1" t="str">
        <f t="shared" si="2"/>
        <v>Feb</v>
      </c>
      <c r="M6558" s="1" t="str">
        <f t="shared" si="3"/>
        <v>Loss</v>
      </c>
    </row>
    <row r="6559" ht="14.25" customHeight="1">
      <c r="A6559" s="1" t="s">
        <v>6593</v>
      </c>
      <c r="B6559" s="2">
        <v>44800.0</v>
      </c>
      <c r="C6559" s="1" t="s">
        <v>20</v>
      </c>
      <c r="D6559" s="1" t="s">
        <v>15</v>
      </c>
      <c r="E6559" s="1" t="s">
        <v>16</v>
      </c>
      <c r="F6559" s="1">
        <v>590.67</v>
      </c>
      <c r="G6559" s="1">
        <v>269.75</v>
      </c>
      <c r="H6559" s="1">
        <v>8.0</v>
      </c>
      <c r="I6559" s="1" t="s">
        <v>17</v>
      </c>
      <c r="J6559" s="1" t="s">
        <v>18</v>
      </c>
      <c r="K6559" s="1">
        <f t="shared" si="1"/>
        <v>2022</v>
      </c>
      <c r="L6559" s="1" t="str">
        <f t="shared" si="2"/>
        <v>Aug</v>
      </c>
      <c r="M6559" s="1" t="str">
        <f t="shared" si="3"/>
        <v>Profit</v>
      </c>
    </row>
    <row r="6560" ht="14.25" customHeight="1">
      <c r="A6560" s="1" t="s">
        <v>6594</v>
      </c>
      <c r="B6560" s="2">
        <v>44831.0</v>
      </c>
      <c r="C6560" s="1" t="s">
        <v>26</v>
      </c>
      <c r="D6560" s="1" t="s">
        <v>15</v>
      </c>
      <c r="E6560" s="1" t="s">
        <v>16</v>
      </c>
      <c r="F6560" s="1">
        <v>147.66</v>
      </c>
      <c r="G6560" s="1">
        <v>-190.23</v>
      </c>
      <c r="H6560" s="1">
        <v>1.0</v>
      </c>
      <c r="I6560" s="1" t="s">
        <v>23</v>
      </c>
      <c r="J6560" s="1" t="s">
        <v>18</v>
      </c>
      <c r="K6560" s="1">
        <f t="shared" si="1"/>
        <v>2022</v>
      </c>
      <c r="L6560" s="1" t="str">
        <f t="shared" si="2"/>
        <v>Sep</v>
      </c>
      <c r="M6560" s="1" t="str">
        <f t="shared" si="3"/>
        <v>Loss</v>
      </c>
    </row>
    <row r="6561" ht="14.25" customHeight="1">
      <c r="A6561" s="1" t="s">
        <v>6595</v>
      </c>
      <c r="B6561" s="2">
        <v>44516.0</v>
      </c>
      <c r="C6561" s="1" t="s">
        <v>26</v>
      </c>
      <c r="D6561" s="1" t="s">
        <v>15</v>
      </c>
      <c r="E6561" s="1" t="s">
        <v>16</v>
      </c>
      <c r="F6561" s="1">
        <v>416.93</v>
      </c>
      <c r="G6561" s="1">
        <v>182.09</v>
      </c>
      <c r="H6561" s="1">
        <v>7.0</v>
      </c>
      <c r="I6561" s="1" t="s">
        <v>23</v>
      </c>
      <c r="J6561" s="1" t="s">
        <v>24</v>
      </c>
      <c r="K6561" s="1">
        <f t="shared" si="1"/>
        <v>2021</v>
      </c>
      <c r="L6561" s="1" t="str">
        <f t="shared" si="2"/>
        <v>Nov</v>
      </c>
      <c r="M6561" s="1" t="str">
        <f t="shared" si="3"/>
        <v>Profit</v>
      </c>
    </row>
    <row r="6562" ht="14.25" customHeight="1">
      <c r="A6562" s="1" t="s">
        <v>6596</v>
      </c>
      <c r="B6562" s="2">
        <v>44530.0</v>
      </c>
      <c r="C6562" s="1" t="s">
        <v>30</v>
      </c>
      <c r="D6562" s="1" t="s">
        <v>15</v>
      </c>
      <c r="E6562" s="1" t="s">
        <v>31</v>
      </c>
      <c r="F6562" s="1">
        <v>301.04</v>
      </c>
      <c r="G6562" s="1">
        <v>-51.08</v>
      </c>
      <c r="H6562" s="1">
        <v>4.0</v>
      </c>
      <c r="I6562" s="1" t="s">
        <v>23</v>
      </c>
      <c r="J6562" s="1" t="s">
        <v>38</v>
      </c>
      <c r="K6562" s="1">
        <f t="shared" si="1"/>
        <v>2021</v>
      </c>
      <c r="L6562" s="1" t="str">
        <f t="shared" si="2"/>
        <v>Nov</v>
      </c>
      <c r="M6562" s="1" t="str">
        <f t="shared" si="3"/>
        <v>Loss</v>
      </c>
    </row>
    <row r="6563" ht="14.25" customHeight="1">
      <c r="A6563" s="1" t="s">
        <v>6597</v>
      </c>
      <c r="B6563" s="2">
        <v>45089.0</v>
      </c>
      <c r="C6563" s="1" t="s">
        <v>20</v>
      </c>
      <c r="D6563" s="1" t="s">
        <v>27</v>
      </c>
      <c r="E6563" s="1" t="s">
        <v>40</v>
      </c>
      <c r="F6563" s="1">
        <v>357.66</v>
      </c>
      <c r="G6563" s="1">
        <v>232.65</v>
      </c>
      <c r="H6563" s="1">
        <v>8.0</v>
      </c>
      <c r="I6563" s="1" t="s">
        <v>23</v>
      </c>
      <c r="J6563" s="1" t="s">
        <v>24</v>
      </c>
      <c r="K6563" s="1">
        <f t="shared" si="1"/>
        <v>2023</v>
      </c>
      <c r="L6563" s="1" t="str">
        <f t="shared" si="2"/>
        <v>Jun</v>
      </c>
      <c r="M6563" s="1" t="str">
        <f t="shared" si="3"/>
        <v>Profit</v>
      </c>
    </row>
    <row r="6564" ht="14.25" customHeight="1">
      <c r="A6564" s="1" t="s">
        <v>6598</v>
      </c>
      <c r="B6564" s="2">
        <v>44790.0</v>
      </c>
      <c r="C6564" s="1" t="s">
        <v>30</v>
      </c>
      <c r="D6564" s="1" t="s">
        <v>21</v>
      </c>
      <c r="E6564" s="1" t="s">
        <v>37</v>
      </c>
      <c r="F6564" s="1">
        <v>203.48</v>
      </c>
      <c r="G6564" s="1">
        <v>60.71</v>
      </c>
      <c r="H6564" s="1">
        <v>2.0</v>
      </c>
      <c r="I6564" s="1" t="s">
        <v>23</v>
      </c>
      <c r="J6564" s="1" t="s">
        <v>18</v>
      </c>
      <c r="K6564" s="1">
        <f t="shared" si="1"/>
        <v>2022</v>
      </c>
      <c r="L6564" s="1" t="str">
        <f t="shared" si="2"/>
        <v>Aug</v>
      </c>
      <c r="M6564" s="1" t="str">
        <f t="shared" si="3"/>
        <v>Profit</v>
      </c>
    </row>
    <row r="6565" ht="14.25" customHeight="1">
      <c r="A6565" s="1" t="s">
        <v>6599</v>
      </c>
      <c r="B6565" s="2">
        <v>45269.0</v>
      </c>
      <c r="C6565" s="1" t="s">
        <v>20</v>
      </c>
      <c r="D6565" s="1" t="s">
        <v>15</v>
      </c>
      <c r="E6565" s="1" t="s">
        <v>16</v>
      </c>
      <c r="F6565" s="1">
        <v>54.15</v>
      </c>
      <c r="G6565" s="1">
        <v>-81.22</v>
      </c>
      <c r="H6565" s="1">
        <v>2.0</v>
      </c>
      <c r="I6565" s="1" t="s">
        <v>34</v>
      </c>
      <c r="J6565" s="1" t="s">
        <v>35</v>
      </c>
      <c r="K6565" s="1">
        <f t="shared" si="1"/>
        <v>2023</v>
      </c>
      <c r="L6565" s="1" t="str">
        <f t="shared" si="2"/>
        <v>Dec</v>
      </c>
      <c r="M6565" s="1" t="str">
        <f t="shared" si="3"/>
        <v>Loss</v>
      </c>
    </row>
    <row r="6566" ht="14.25" customHeight="1">
      <c r="A6566" s="1" t="s">
        <v>6600</v>
      </c>
      <c r="B6566" s="2">
        <v>44389.0</v>
      </c>
      <c r="C6566" s="1" t="s">
        <v>14</v>
      </c>
      <c r="D6566" s="1" t="s">
        <v>15</v>
      </c>
      <c r="E6566" s="1" t="s">
        <v>16</v>
      </c>
      <c r="F6566" s="1">
        <v>197.43</v>
      </c>
      <c r="G6566" s="1">
        <v>-20.69</v>
      </c>
      <c r="H6566" s="1">
        <v>7.0</v>
      </c>
      <c r="I6566" s="1" t="s">
        <v>17</v>
      </c>
      <c r="J6566" s="1" t="s">
        <v>24</v>
      </c>
      <c r="K6566" s="1">
        <f t="shared" si="1"/>
        <v>2021</v>
      </c>
      <c r="L6566" s="1" t="str">
        <f t="shared" si="2"/>
        <v>Jul</v>
      </c>
      <c r="M6566" s="1" t="str">
        <f t="shared" si="3"/>
        <v>Loss</v>
      </c>
    </row>
    <row r="6567" ht="14.25" customHeight="1">
      <c r="A6567" s="1" t="s">
        <v>6601</v>
      </c>
      <c r="B6567" s="2">
        <v>44529.0</v>
      </c>
      <c r="C6567" s="1" t="s">
        <v>14</v>
      </c>
      <c r="D6567" s="1" t="s">
        <v>15</v>
      </c>
      <c r="E6567" s="1" t="s">
        <v>54</v>
      </c>
      <c r="F6567" s="1">
        <v>121.38</v>
      </c>
      <c r="G6567" s="1">
        <v>-132.74</v>
      </c>
      <c r="H6567" s="1">
        <v>4.0</v>
      </c>
      <c r="I6567" s="1" t="s">
        <v>23</v>
      </c>
      <c r="J6567" s="1" t="s">
        <v>24</v>
      </c>
      <c r="K6567" s="1">
        <f t="shared" si="1"/>
        <v>2021</v>
      </c>
      <c r="L6567" s="1" t="str">
        <f t="shared" si="2"/>
        <v>Nov</v>
      </c>
      <c r="M6567" s="1" t="str">
        <f t="shared" si="3"/>
        <v>Loss</v>
      </c>
    </row>
    <row r="6568" ht="14.25" customHeight="1">
      <c r="A6568" s="1" t="s">
        <v>6602</v>
      </c>
      <c r="B6568" s="2">
        <v>44523.0</v>
      </c>
      <c r="C6568" s="1" t="s">
        <v>14</v>
      </c>
      <c r="D6568" s="1" t="s">
        <v>27</v>
      </c>
      <c r="E6568" s="1" t="s">
        <v>40</v>
      </c>
      <c r="F6568" s="1">
        <v>590.93</v>
      </c>
      <c r="G6568" s="1">
        <v>207.37</v>
      </c>
      <c r="H6568" s="1">
        <v>1.0</v>
      </c>
      <c r="I6568" s="1" t="s">
        <v>23</v>
      </c>
      <c r="J6568" s="1" t="s">
        <v>38</v>
      </c>
      <c r="K6568" s="1">
        <f t="shared" si="1"/>
        <v>2021</v>
      </c>
      <c r="L6568" s="1" t="str">
        <f t="shared" si="2"/>
        <v>Nov</v>
      </c>
      <c r="M6568" s="1" t="str">
        <f t="shared" si="3"/>
        <v>Profit</v>
      </c>
    </row>
    <row r="6569" ht="14.25" customHeight="1">
      <c r="A6569" s="1" t="s">
        <v>6603</v>
      </c>
      <c r="B6569" s="2">
        <v>44341.0</v>
      </c>
      <c r="C6569" s="1" t="s">
        <v>30</v>
      </c>
      <c r="D6569" s="1" t="s">
        <v>15</v>
      </c>
      <c r="E6569" s="1" t="s">
        <v>31</v>
      </c>
      <c r="F6569" s="1">
        <v>956.57</v>
      </c>
      <c r="G6569" s="1">
        <v>298.38</v>
      </c>
      <c r="H6569" s="1">
        <v>6.0</v>
      </c>
      <c r="I6569" s="1" t="s">
        <v>23</v>
      </c>
      <c r="J6569" s="1" t="s">
        <v>18</v>
      </c>
      <c r="K6569" s="1">
        <f t="shared" si="1"/>
        <v>2021</v>
      </c>
      <c r="L6569" s="1" t="str">
        <f t="shared" si="2"/>
        <v>May</v>
      </c>
      <c r="M6569" s="1" t="str">
        <f t="shared" si="3"/>
        <v>Profit</v>
      </c>
    </row>
    <row r="6570" ht="14.25" customHeight="1">
      <c r="A6570" s="1" t="s">
        <v>6604</v>
      </c>
      <c r="B6570" s="2">
        <v>45209.0</v>
      </c>
      <c r="C6570" s="1" t="s">
        <v>26</v>
      </c>
      <c r="D6570" s="1" t="s">
        <v>21</v>
      </c>
      <c r="E6570" s="1" t="s">
        <v>76</v>
      </c>
      <c r="F6570" s="1">
        <v>106.36</v>
      </c>
      <c r="G6570" s="1">
        <v>214.28</v>
      </c>
      <c r="H6570" s="1">
        <v>5.0</v>
      </c>
      <c r="I6570" s="1" t="s">
        <v>23</v>
      </c>
      <c r="J6570" s="1" t="s">
        <v>24</v>
      </c>
      <c r="K6570" s="1">
        <f t="shared" si="1"/>
        <v>2023</v>
      </c>
      <c r="L6570" s="1" t="str">
        <f t="shared" si="2"/>
        <v>Oct</v>
      </c>
      <c r="M6570" s="1" t="str">
        <f t="shared" si="3"/>
        <v>Profit</v>
      </c>
    </row>
    <row r="6571" ht="14.25" customHeight="1">
      <c r="A6571" s="1" t="s">
        <v>6605</v>
      </c>
      <c r="B6571" s="2">
        <v>44674.0</v>
      </c>
      <c r="C6571" s="1" t="s">
        <v>30</v>
      </c>
      <c r="D6571" s="1" t="s">
        <v>15</v>
      </c>
      <c r="E6571" s="1" t="s">
        <v>31</v>
      </c>
      <c r="F6571" s="1">
        <v>363.63</v>
      </c>
      <c r="G6571" s="1">
        <v>-126.27</v>
      </c>
      <c r="H6571" s="1">
        <v>1.0</v>
      </c>
      <c r="I6571" s="1" t="s">
        <v>17</v>
      </c>
      <c r="J6571" s="1" t="s">
        <v>18</v>
      </c>
      <c r="K6571" s="1">
        <f t="shared" si="1"/>
        <v>2022</v>
      </c>
      <c r="L6571" s="1" t="str">
        <f t="shared" si="2"/>
        <v>Apr</v>
      </c>
      <c r="M6571" s="1" t="str">
        <f t="shared" si="3"/>
        <v>Loss</v>
      </c>
    </row>
    <row r="6572" ht="14.25" customHeight="1">
      <c r="A6572" s="1" t="s">
        <v>6606</v>
      </c>
      <c r="B6572" s="2">
        <v>44460.0</v>
      </c>
      <c r="C6572" s="1" t="s">
        <v>20</v>
      </c>
      <c r="D6572" s="1" t="s">
        <v>21</v>
      </c>
      <c r="E6572" s="1" t="s">
        <v>37</v>
      </c>
      <c r="F6572" s="1">
        <v>452.9</v>
      </c>
      <c r="G6572" s="1">
        <v>-175.82</v>
      </c>
      <c r="H6572" s="1">
        <v>2.0</v>
      </c>
      <c r="I6572" s="1" t="s">
        <v>17</v>
      </c>
      <c r="J6572" s="1" t="s">
        <v>35</v>
      </c>
      <c r="K6572" s="1">
        <f t="shared" si="1"/>
        <v>2021</v>
      </c>
      <c r="L6572" s="1" t="str">
        <f t="shared" si="2"/>
        <v>Sep</v>
      </c>
      <c r="M6572" s="1" t="str">
        <f t="shared" si="3"/>
        <v>Loss</v>
      </c>
    </row>
    <row r="6573" ht="14.25" customHeight="1">
      <c r="A6573" s="1" t="s">
        <v>6607</v>
      </c>
      <c r="B6573" s="2">
        <v>45265.0</v>
      </c>
      <c r="C6573" s="1" t="s">
        <v>14</v>
      </c>
      <c r="D6573" s="1" t="s">
        <v>21</v>
      </c>
      <c r="E6573" s="1" t="s">
        <v>22</v>
      </c>
      <c r="F6573" s="1">
        <v>105.07</v>
      </c>
      <c r="G6573" s="1">
        <v>-129.99</v>
      </c>
      <c r="H6573" s="1">
        <v>10.0</v>
      </c>
      <c r="I6573" s="1" t="s">
        <v>17</v>
      </c>
      <c r="J6573" s="1" t="s">
        <v>18</v>
      </c>
      <c r="K6573" s="1">
        <f t="shared" si="1"/>
        <v>2023</v>
      </c>
      <c r="L6573" s="1" t="str">
        <f t="shared" si="2"/>
        <v>Dec</v>
      </c>
      <c r="M6573" s="1" t="str">
        <f t="shared" si="3"/>
        <v>Loss</v>
      </c>
    </row>
    <row r="6574" ht="14.25" customHeight="1">
      <c r="A6574" s="1" t="s">
        <v>6608</v>
      </c>
      <c r="B6574" s="2">
        <v>45192.0</v>
      </c>
      <c r="C6574" s="1" t="s">
        <v>14</v>
      </c>
      <c r="D6574" s="1" t="s">
        <v>27</v>
      </c>
      <c r="E6574" s="1" t="s">
        <v>28</v>
      </c>
      <c r="F6574" s="1">
        <v>953.89</v>
      </c>
      <c r="G6574" s="1">
        <v>241.16</v>
      </c>
      <c r="H6574" s="1">
        <v>7.0</v>
      </c>
      <c r="I6574" s="1" t="s">
        <v>17</v>
      </c>
      <c r="J6574" s="1" t="s">
        <v>24</v>
      </c>
      <c r="K6574" s="1">
        <f t="shared" si="1"/>
        <v>2023</v>
      </c>
      <c r="L6574" s="1" t="str">
        <f t="shared" si="2"/>
        <v>Sep</v>
      </c>
      <c r="M6574" s="1" t="str">
        <f t="shared" si="3"/>
        <v>Profit</v>
      </c>
    </row>
    <row r="6575" ht="14.25" customHeight="1">
      <c r="A6575" s="1" t="s">
        <v>6609</v>
      </c>
      <c r="B6575" s="2">
        <v>45087.0</v>
      </c>
      <c r="C6575" s="1" t="s">
        <v>20</v>
      </c>
      <c r="D6575" s="1" t="s">
        <v>27</v>
      </c>
      <c r="E6575" s="1" t="s">
        <v>33</v>
      </c>
      <c r="F6575" s="1">
        <v>279.34</v>
      </c>
      <c r="G6575" s="1">
        <v>-64.88</v>
      </c>
      <c r="H6575" s="1">
        <v>7.0</v>
      </c>
      <c r="I6575" s="1" t="s">
        <v>34</v>
      </c>
      <c r="J6575" s="1" t="s">
        <v>24</v>
      </c>
      <c r="K6575" s="1">
        <f t="shared" si="1"/>
        <v>2023</v>
      </c>
      <c r="L6575" s="1" t="str">
        <f t="shared" si="2"/>
        <v>Jun</v>
      </c>
      <c r="M6575" s="1" t="str">
        <f t="shared" si="3"/>
        <v>Loss</v>
      </c>
    </row>
    <row r="6576" ht="14.25" customHeight="1">
      <c r="A6576" s="1" t="s">
        <v>6610</v>
      </c>
      <c r="B6576" s="2">
        <v>44998.0</v>
      </c>
      <c r="C6576" s="1" t="s">
        <v>30</v>
      </c>
      <c r="D6576" s="1" t="s">
        <v>21</v>
      </c>
      <c r="E6576" s="1" t="s">
        <v>37</v>
      </c>
      <c r="F6576" s="1">
        <v>604.14</v>
      </c>
      <c r="G6576" s="1">
        <v>63.54</v>
      </c>
      <c r="H6576" s="1">
        <v>5.0</v>
      </c>
      <c r="I6576" s="1" t="s">
        <v>34</v>
      </c>
      <c r="J6576" s="1" t="s">
        <v>18</v>
      </c>
      <c r="K6576" s="1">
        <f t="shared" si="1"/>
        <v>2023</v>
      </c>
      <c r="L6576" s="1" t="str">
        <f t="shared" si="2"/>
        <v>Mar</v>
      </c>
      <c r="M6576" s="1" t="str">
        <f t="shared" si="3"/>
        <v>Profit</v>
      </c>
    </row>
    <row r="6577" ht="14.25" customHeight="1">
      <c r="A6577" s="1" t="s">
        <v>6611</v>
      </c>
      <c r="B6577" s="2">
        <v>44536.0</v>
      </c>
      <c r="C6577" s="1" t="s">
        <v>20</v>
      </c>
      <c r="D6577" s="1" t="s">
        <v>21</v>
      </c>
      <c r="E6577" s="1" t="s">
        <v>76</v>
      </c>
      <c r="F6577" s="1">
        <v>784.24</v>
      </c>
      <c r="G6577" s="1">
        <v>16.52</v>
      </c>
      <c r="H6577" s="1">
        <v>2.0</v>
      </c>
      <c r="I6577" s="1" t="s">
        <v>17</v>
      </c>
      <c r="J6577" s="1" t="s">
        <v>18</v>
      </c>
      <c r="K6577" s="1">
        <f t="shared" si="1"/>
        <v>2021</v>
      </c>
      <c r="L6577" s="1" t="str">
        <f t="shared" si="2"/>
        <v>Dec</v>
      </c>
      <c r="M6577" s="1" t="str">
        <f t="shared" si="3"/>
        <v>Profit</v>
      </c>
    </row>
    <row r="6578" ht="14.25" customHeight="1">
      <c r="A6578" s="1" t="s">
        <v>6612</v>
      </c>
      <c r="B6578" s="2">
        <v>44837.0</v>
      </c>
      <c r="C6578" s="1" t="s">
        <v>26</v>
      </c>
      <c r="D6578" s="1" t="s">
        <v>27</v>
      </c>
      <c r="E6578" s="1" t="s">
        <v>40</v>
      </c>
      <c r="F6578" s="1">
        <v>688.68</v>
      </c>
      <c r="G6578" s="1">
        <v>226.98</v>
      </c>
      <c r="H6578" s="1">
        <v>4.0</v>
      </c>
      <c r="I6578" s="1" t="s">
        <v>17</v>
      </c>
      <c r="J6578" s="1" t="s">
        <v>18</v>
      </c>
      <c r="K6578" s="1">
        <f t="shared" si="1"/>
        <v>2022</v>
      </c>
      <c r="L6578" s="1" t="str">
        <f t="shared" si="2"/>
        <v>Oct</v>
      </c>
      <c r="M6578" s="1" t="str">
        <f t="shared" si="3"/>
        <v>Profit</v>
      </c>
    </row>
    <row r="6579" ht="14.25" customHeight="1">
      <c r="A6579" s="1" t="s">
        <v>6613</v>
      </c>
      <c r="B6579" s="2">
        <v>44791.0</v>
      </c>
      <c r="C6579" s="1" t="s">
        <v>30</v>
      </c>
      <c r="D6579" s="1" t="s">
        <v>27</v>
      </c>
      <c r="E6579" s="1" t="s">
        <v>40</v>
      </c>
      <c r="F6579" s="1">
        <v>530.71</v>
      </c>
      <c r="G6579" s="1">
        <v>49.56</v>
      </c>
      <c r="H6579" s="1">
        <v>4.0</v>
      </c>
      <c r="I6579" s="1" t="s">
        <v>17</v>
      </c>
      <c r="J6579" s="1" t="s">
        <v>35</v>
      </c>
      <c r="K6579" s="1">
        <f t="shared" si="1"/>
        <v>2022</v>
      </c>
      <c r="L6579" s="1" t="str">
        <f t="shared" si="2"/>
        <v>Aug</v>
      </c>
      <c r="M6579" s="1" t="str">
        <f t="shared" si="3"/>
        <v>Profit</v>
      </c>
    </row>
    <row r="6580" ht="14.25" customHeight="1">
      <c r="A6580" s="1" t="s">
        <v>6614</v>
      </c>
      <c r="B6580" s="2">
        <v>44920.0</v>
      </c>
      <c r="C6580" s="1" t="s">
        <v>14</v>
      </c>
      <c r="D6580" s="1" t="s">
        <v>21</v>
      </c>
      <c r="E6580" s="1" t="s">
        <v>22</v>
      </c>
      <c r="F6580" s="1">
        <v>921.83</v>
      </c>
      <c r="G6580" s="1">
        <v>-65.59</v>
      </c>
      <c r="H6580" s="1">
        <v>5.0</v>
      </c>
      <c r="I6580" s="1" t="s">
        <v>34</v>
      </c>
      <c r="J6580" s="1" t="s">
        <v>18</v>
      </c>
      <c r="K6580" s="1">
        <f t="shared" si="1"/>
        <v>2022</v>
      </c>
      <c r="L6580" s="1" t="str">
        <f t="shared" si="2"/>
        <v>Dec</v>
      </c>
      <c r="M6580" s="1" t="str">
        <f t="shared" si="3"/>
        <v>Loss</v>
      </c>
    </row>
    <row r="6581" ht="14.25" customHeight="1">
      <c r="A6581" s="1" t="s">
        <v>6615</v>
      </c>
      <c r="B6581" s="2">
        <v>44568.0</v>
      </c>
      <c r="C6581" s="1" t="s">
        <v>30</v>
      </c>
      <c r="D6581" s="1" t="s">
        <v>21</v>
      </c>
      <c r="E6581" s="1" t="s">
        <v>37</v>
      </c>
      <c r="F6581" s="1">
        <v>809.79</v>
      </c>
      <c r="G6581" s="1">
        <v>87.69</v>
      </c>
      <c r="H6581" s="1">
        <v>9.0</v>
      </c>
      <c r="I6581" s="1" t="s">
        <v>23</v>
      </c>
      <c r="J6581" s="1" t="s">
        <v>35</v>
      </c>
      <c r="K6581" s="1">
        <f t="shared" si="1"/>
        <v>2022</v>
      </c>
      <c r="L6581" s="1" t="str">
        <f t="shared" si="2"/>
        <v>Jan</v>
      </c>
      <c r="M6581" s="1" t="str">
        <f t="shared" si="3"/>
        <v>Profit</v>
      </c>
    </row>
    <row r="6582" ht="14.25" customHeight="1">
      <c r="A6582" s="1" t="s">
        <v>6616</v>
      </c>
      <c r="B6582" s="2">
        <v>44689.0</v>
      </c>
      <c r="C6582" s="1" t="s">
        <v>14</v>
      </c>
      <c r="D6582" s="1" t="s">
        <v>15</v>
      </c>
      <c r="E6582" s="1" t="s">
        <v>54</v>
      </c>
      <c r="F6582" s="1">
        <v>785.8</v>
      </c>
      <c r="G6582" s="1">
        <v>-37.66</v>
      </c>
      <c r="H6582" s="1">
        <v>3.0</v>
      </c>
      <c r="I6582" s="1" t="s">
        <v>17</v>
      </c>
      <c r="J6582" s="1" t="s">
        <v>38</v>
      </c>
      <c r="K6582" s="1">
        <f t="shared" si="1"/>
        <v>2022</v>
      </c>
      <c r="L6582" s="1" t="str">
        <f t="shared" si="2"/>
        <v>May</v>
      </c>
      <c r="M6582" s="1" t="str">
        <f t="shared" si="3"/>
        <v>Loss</v>
      </c>
    </row>
    <row r="6583" ht="14.25" customHeight="1">
      <c r="A6583" s="1" t="s">
        <v>6617</v>
      </c>
      <c r="B6583" s="2">
        <v>44554.0</v>
      </c>
      <c r="C6583" s="1" t="s">
        <v>14</v>
      </c>
      <c r="D6583" s="1" t="s">
        <v>21</v>
      </c>
      <c r="E6583" s="1" t="s">
        <v>37</v>
      </c>
      <c r="F6583" s="1">
        <v>986.58</v>
      </c>
      <c r="G6583" s="1">
        <v>149.02</v>
      </c>
      <c r="H6583" s="1">
        <v>5.0</v>
      </c>
      <c r="I6583" s="1" t="s">
        <v>34</v>
      </c>
      <c r="J6583" s="1" t="s">
        <v>24</v>
      </c>
      <c r="K6583" s="1">
        <f t="shared" si="1"/>
        <v>2021</v>
      </c>
      <c r="L6583" s="1" t="str">
        <f t="shared" si="2"/>
        <v>Dec</v>
      </c>
      <c r="M6583" s="1" t="str">
        <f t="shared" si="3"/>
        <v>Profit</v>
      </c>
    </row>
    <row r="6584" ht="14.25" customHeight="1">
      <c r="A6584" s="1" t="s">
        <v>6618</v>
      </c>
      <c r="B6584" s="2">
        <v>44872.0</v>
      </c>
      <c r="C6584" s="1" t="s">
        <v>14</v>
      </c>
      <c r="D6584" s="1" t="s">
        <v>27</v>
      </c>
      <c r="E6584" s="1" t="s">
        <v>33</v>
      </c>
      <c r="F6584" s="1">
        <v>580.43</v>
      </c>
      <c r="G6584" s="1">
        <v>-124.37</v>
      </c>
      <c r="H6584" s="1">
        <v>2.0</v>
      </c>
      <c r="I6584" s="1" t="s">
        <v>23</v>
      </c>
      <c r="J6584" s="1" t="s">
        <v>38</v>
      </c>
      <c r="K6584" s="1">
        <f t="shared" si="1"/>
        <v>2022</v>
      </c>
      <c r="L6584" s="1" t="str">
        <f t="shared" si="2"/>
        <v>Nov</v>
      </c>
      <c r="M6584" s="1" t="str">
        <f t="shared" si="3"/>
        <v>Loss</v>
      </c>
    </row>
    <row r="6585" ht="14.25" customHeight="1">
      <c r="A6585" s="1" t="s">
        <v>6619</v>
      </c>
      <c r="B6585" s="2">
        <v>45157.0</v>
      </c>
      <c r="C6585" s="1" t="s">
        <v>14</v>
      </c>
      <c r="D6585" s="1" t="s">
        <v>21</v>
      </c>
      <c r="E6585" s="1" t="s">
        <v>76</v>
      </c>
      <c r="F6585" s="1">
        <v>780.74</v>
      </c>
      <c r="G6585" s="1">
        <v>-16.57</v>
      </c>
      <c r="H6585" s="1">
        <v>1.0</v>
      </c>
      <c r="I6585" s="1" t="s">
        <v>17</v>
      </c>
      <c r="J6585" s="1" t="s">
        <v>35</v>
      </c>
      <c r="K6585" s="1">
        <f t="shared" si="1"/>
        <v>2023</v>
      </c>
      <c r="L6585" s="1" t="str">
        <f t="shared" si="2"/>
        <v>Aug</v>
      </c>
      <c r="M6585" s="1" t="str">
        <f t="shared" si="3"/>
        <v>Loss</v>
      </c>
    </row>
    <row r="6586" ht="14.25" customHeight="1">
      <c r="A6586" s="1" t="s">
        <v>6620</v>
      </c>
      <c r="B6586" s="2">
        <v>44603.0</v>
      </c>
      <c r="C6586" s="1" t="s">
        <v>26</v>
      </c>
      <c r="D6586" s="1" t="s">
        <v>21</v>
      </c>
      <c r="E6586" s="1" t="s">
        <v>37</v>
      </c>
      <c r="F6586" s="1">
        <v>579.7</v>
      </c>
      <c r="G6586" s="1">
        <v>-193.7</v>
      </c>
      <c r="H6586" s="1">
        <v>2.0</v>
      </c>
      <c r="I6586" s="1" t="s">
        <v>17</v>
      </c>
      <c r="J6586" s="1" t="s">
        <v>18</v>
      </c>
      <c r="K6586" s="1">
        <f t="shared" si="1"/>
        <v>2022</v>
      </c>
      <c r="L6586" s="1" t="str">
        <f t="shared" si="2"/>
        <v>Feb</v>
      </c>
      <c r="M6586" s="1" t="str">
        <f t="shared" si="3"/>
        <v>Loss</v>
      </c>
    </row>
    <row r="6587" ht="14.25" customHeight="1">
      <c r="A6587" s="1" t="s">
        <v>6621</v>
      </c>
      <c r="B6587" s="2">
        <v>44901.0</v>
      </c>
      <c r="C6587" s="1" t="s">
        <v>20</v>
      </c>
      <c r="D6587" s="1" t="s">
        <v>15</v>
      </c>
      <c r="E6587" s="1" t="s">
        <v>31</v>
      </c>
      <c r="F6587" s="1">
        <v>966.72</v>
      </c>
      <c r="G6587" s="1">
        <v>57.57</v>
      </c>
      <c r="H6587" s="1">
        <v>4.0</v>
      </c>
      <c r="I6587" s="1" t="s">
        <v>34</v>
      </c>
      <c r="J6587" s="1" t="s">
        <v>38</v>
      </c>
      <c r="K6587" s="1">
        <f t="shared" si="1"/>
        <v>2022</v>
      </c>
      <c r="L6587" s="1" t="str">
        <f t="shared" si="2"/>
        <v>Dec</v>
      </c>
      <c r="M6587" s="1" t="str">
        <f t="shared" si="3"/>
        <v>Profit</v>
      </c>
    </row>
    <row r="6588" ht="14.25" customHeight="1">
      <c r="A6588" s="1" t="s">
        <v>6622</v>
      </c>
      <c r="B6588" s="2">
        <v>44513.0</v>
      </c>
      <c r="C6588" s="1" t="s">
        <v>14</v>
      </c>
      <c r="D6588" s="1" t="s">
        <v>15</v>
      </c>
      <c r="E6588" s="1" t="s">
        <v>54</v>
      </c>
      <c r="F6588" s="1">
        <v>786.97</v>
      </c>
      <c r="G6588" s="1">
        <v>125.47</v>
      </c>
      <c r="H6588" s="1">
        <v>6.0</v>
      </c>
      <c r="I6588" s="1" t="s">
        <v>23</v>
      </c>
      <c r="J6588" s="1" t="s">
        <v>38</v>
      </c>
      <c r="K6588" s="1">
        <f t="shared" si="1"/>
        <v>2021</v>
      </c>
      <c r="L6588" s="1" t="str">
        <f t="shared" si="2"/>
        <v>Nov</v>
      </c>
      <c r="M6588" s="1" t="str">
        <f t="shared" si="3"/>
        <v>Profit</v>
      </c>
    </row>
    <row r="6589" ht="14.25" customHeight="1">
      <c r="A6589" s="1" t="s">
        <v>6623</v>
      </c>
      <c r="B6589" s="2">
        <v>44303.0</v>
      </c>
      <c r="C6589" s="1" t="s">
        <v>26</v>
      </c>
      <c r="D6589" s="1" t="s">
        <v>15</v>
      </c>
      <c r="E6589" s="1" t="s">
        <v>31</v>
      </c>
      <c r="F6589" s="1">
        <v>886.45</v>
      </c>
      <c r="G6589" s="1">
        <v>-15.41</v>
      </c>
      <c r="H6589" s="1">
        <v>9.0</v>
      </c>
      <c r="I6589" s="1" t="s">
        <v>17</v>
      </c>
      <c r="J6589" s="1" t="s">
        <v>24</v>
      </c>
      <c r="K6589" s="1">
        <f t="shared" si="1"/>
        <v>2021</v>
      </c>
      <c r="L6589" s="1" t="str">
        <f t="shared" si="2"/>
        <v>Apr</v>
      </c>
      <c r="M6589" s="1" t="str">
        <f t="shared" si="3"/>
        <v>Loss</v>
      </c>
    </row>
    <row r="6590" ht="14.25" customHeight="1">
      <c r="A6590" s="1" t="s">
        <v>6624</v>
      </c>
      <c r="B6590" s="2">
        <v>44552.0</v>
      </c>
      <c r="C6590" s="1" t="s">
        <v>20</v>
      </c>
      <c r="D6590" s="1" t="s">
        <v>15</v>
      </c>
      <c r="E6590" s="1" t="s">
        <v>31</v>
      </c>
      <c r="F6590" s="1">
        <v>285.98</v>
      </c>
      <c r="G6590" s="1">
        <v>98.96</v>
      </c>
      <c r="H6590" s="1">
        <v>9.0</v>
      </c>
      <c r="I6590" s="1" t="s">
        <v>23</v>
      </c>
      <c r="J6590" s="1" t="s">
        <v>18</v>
      </c>
      <c r="K6590" s="1">
        <f t="shared" si="1"/>
        <v>2021</v>
      </c>
      <c r="L6590" s="1" t="str">
        <f t="shared" si="2"/>
        <v>Dec</v>
      </c>
      <c r="M6590" s="1" t="str">
        <f t="shared" si="3"/>
        <v>Profit</v>
      </c>
    </row>
    <row r="6591" ht="14.25" customHeight="1">
      <c r="A6591" s="1" t="s">
        <v>6625</v>
      </c>
      <c r="B6591" s="2">
        <v>45087.0</v>
      </c>
      <c r="C6591" s="1" t="s">
        <v>20</v>
      </c>
      <c r="D6591" s="1" t="s">
        <v>21</v>
      </c>
      <c r="E6591" s="1" t="s">
        <v>76</v>
      </c>
      <c r="F6591" s="1">
        <v>894.15</v>
      </c>
      <c r="G6591" s="1">
        <v>-179.96</v>
      </c>
      <c r="H6591" s="1">
        <v>6.0</v>
      </c>
      <c r="I6591" s="1" t="s">
        <v>34</v>
      </c>
      <c r="J6591" s="1" t="s">
        <v>24</v>
      </c>
      <c r="K6591" s="1">
        <f t="shared" si="1"/>
        <v>2023</v>
      </c>
      <c r="L6591" s="1" t="str">
        <f t="shared" si="2"/>
        <v>Jun</v>
      </c>
      <c r="M6591" s="1" t="str">
        <f t="shared" si="3"/>
        <v>Loss</v>
      </c>
    </row>
    <row r="6592" ht="14.25" customHeight="1">
      <c r="A6592" s="1" t="s">
        <v>6626</v>
      </c>
      <c r="B6592" s="2">
        <v>44326.0</v>
      </c>
      <c r="C6592" s="1" t="s">
        <v>30</v>
      </c>
      <c r="D6592" s="1" t="s">
        <v>15</v>
      </c>
      <c r="E6592" s="1" t="s">
        <v>31</v>
      </c>
      <c r="F6592" s="1">
        <v>921.29</v>
      </c>
      <c r="G6592" s="1">
        <v>151.35</v>
      </c>
      <c r="H6592" s="1">
        <v>9.0</v>
      </c>
      <c r="I6592" s="1" t="s">
        <v>34</v>
      </c>
      <c r="J6592" s="1" t="s">
        <v>35</v>
      </c>
      <c r="K6592" s="1">
        <f t="shared" si="1"/>
        <v>2021</v>
      </c>
      <c r="L6592" s="1" t="str">
        <f t="shared" si="2"/>
        <v>May</v>
      </c>
      <c r="M6592" s="1" t="str">
        <f t="shared" si="3"/>
        <v>Profit</v>
      </c>
    </row>
    <row r="6593" ht="14.25" customHeight="1">
      <c r="A6593" s="1" t="s">
        <v>6627</v>
      </c>
      <c r="B6593" s="2">
        <v>44959.0</v>
      </c>
      <c r="C6593" s="1" t="s">
        <v>20</v>
      </c>
      <c r="D6593" s="1" t="s">
        <v>21</v>
      </c>
      <c r="E6593" s="1" t="s">
        <v>76</v>
      </c>
      <c r="F6593" s="1">
        <v>167.06</v>
      </c>
      <c r="G6593" s="1">
        <v>-2.73</v>
      </c>
      <c r="H6593" s="1">
        <v>9.0</v>
      </c>
      <c r="I6593" s="1" t="s">
        <v>17</v>
      </c>
      <c r="J6593" s="1" t="s">
        <v>18</v>
      </c>
      <c r="K6593" s="1">
        <f t="shared" si="1"/>
        <v>2023</v>
      </c>
      <c r="L6593" s="1" t="str">
        <f t="shared" si="2"/>
        <v>Feb</v>
      </c>
      <c r="M6593" s="1" t="str">
        <f t="shared" si="3"/>
        <v>Loss</v>
      </c>
    </row>
    <row r="6594" ht="14.25" customHeight="1">
      <c r="A6594" s="1" t="s">
        <v>6628</v>
      </c>
      <c r="B6594" s="2">
        <v>44420.0</v>
      </c>
      <c r="C6594" s="1" t="s">
        <v>26</v>
      </c>
      <c r="D6594" s="1" t="s">
        <v>27</v>
      </c>
      <c r="E6594" s="1" t="s">
        <v>28</v>
      </c>
      <c r="F6594" s="1">
        <v>871.19</v>
      </c>
      <c r="G6594" s="1">
        <v>230.31</v>
      </c>
      <c r="H6594" s="1">
        <v>1.0</v>
      </c>
      <c r="I6594" s="1" t="s">
        <v>17</v>
      </c>
      <c r="J6594" s="1" t="s">
        <v>35</v>
      </c>
      <c r="K6594" s="1">
        <f t="shared" si="1"/>
        <v>2021</v>
      </c>
      <c r="L6594" s="1" t="str">
        <f t="shared" si="2"/>
        <v>Aug</v>
      </c>
      <c r="M6594" s="1" t="str">
        <f t="shared" si="3"/>
        <v>Profit</v>
      </c>
    </row>
    <row r="6595" ht="14.25" customHeight="1">
      <c r="A6595" s="1" t="s">
        <v>6629</v>
      </c>
      <c r="B6595" s="2">
        <v>45209.0</v>
      </c>
      <c r="C6595" s="1" t="s">
        <v>26</v>
      </c>
      <c r="D6595" s="1" t="s">
        <v>27</v>
      </c>
      <c r="E6595" s="1" t="s">
        <v>40</v>
      </c>
      <c r="F6595" s="1">
        <v>432.82</v>
      </c>
      <c r="G6595" s="1">
        <v>210.88</v>
      </c>
      <c r="H6595" s="1">
        <v>3.0</v>
      </c>
      <c r="I6595" s="1" t="s">
        <v>17</v>
      </c>
      <c r="J6595" s="1" t="s">
        <v>35</v>
      </c>
      <c r="K6595" s="1">
        <f t="shared" si="1"/>
        <v>2023</v>
      </c>
      <c r="L6595" s="1" t="str">
        <f t="shared" si="2"/>
        <v>Oct</v>
      </c>
      <c r="M6595" s="1" t="str">
        <f t="shared" si="3"/>
        <v>Profit</v>
      </c>
    </row>
    <row r="6596" ht="14.25" customHeight="1">
      <c r="A6596" s="1" t="s">
        <v>6630</v>
      </c>
      <c r="B6596" s="2">
        <v>44650.0</v>
      </c>
      <c r="C6596" s="1" t="s">
        <v>20</v>
      </c>
      <c r="D6596" s="1" t="s">
        <v>21</v>
      </c>
      <c r="E6596" s="1" t="s">
        <v>76</v>
      </c>
      <c r="F6596" s="1">
        <v>990.61</v>
      </c>
      <c r="G6596" s="1">
        <v>265.13</v>
      </c>
      <c r="H6596" s="1">
        <v>8.0</v>
      </c>
      <c r="I6596" s="1" t="s">
        <v>17</v>
      </c>
      <c r="J6596" s="1" t="s">
        <v>18</v>
      </c>
      <c r="K6596" s="1">
        <f t="shared" si="1"/>
        <v>2022</v>
      </c>
      <c r="L6596" s="1" t="str">
        <f t="shared" si="2"/>
        <v>Mar</v>
      </c>
      <c r="M6596" s="1" t="str">
        <f t="shared" si="3"/>
        <v>Profit</v>
      </c>
    </row>
    <row r="6597" ht="14.25" customHeight="1">
      <c r="A6597" s="1" t="s">
        <v>6631</v>
      </c>
      <c r="B6597" s="2">
        <v>44565.0</v>
      </c>
      <c r="C6597" s="1" t="s">
        <v>30</v>
      </c>
      <c r="D6597" s="1" t="s">
        <v>27</v>
      </c>
      <c r="E6597" s="1" t="s">
        <v>28</v>
      </c>
      <c r="F6597" s="1">
        <v>271.29</v>
      </c>
      <c r="G6597" s="1">
        <v>-114.32</v>
      </c>
      <c r="H6597" s="1">
        <v>9.0</v>
      </c>
      <c r="I6597" s="1" t="s">
        <v>17</v>
      </c>
      <c r="J6597" s="1" t="s">
        <v>24</v>
      </c>
      <c r="K6597" s="1">
        <f t="shared" si="1"/>
        <v>2022</v>
      </c>
      <c r="L6597" s="1" t="str">
        <f t="shared" si="2"/>
        <v>Jan</v>
      </c>
      <c r="M6597" s="1" t="str">
        <f t="shared" si="3"/>
        <v>Loss</v>
      </c>
    </row>
    <row r="6598" ht="14.25" customHeight="1">
      <c r="A6598" s="1" t="s">
        <v>6632</v>
      </c>
      <c r="B6598" s="2">
        <v>45146.0</v>
      </c>
      <c r="C6598" s="1" t="s">
        <v>30</v>
      </c>
      <c r="D6598" s="1" t="s">
        <v>15</v>
      </c>
      <c r="E6598" s="1" t="s">
        <v>16</v>
      </c>
      <c r="F6598" s="1">
        <v>26.01</v>
      </c>
      <c r="G6598" s="1">
        <v>274.02</v>
      </c>
      <c r="H6598" s="1">
        <v>7.0</v>
      </c>
      <c r="I6598" s="1" t="s">
        <v>17</v>
      </c>
      <c r="J6598" s="1" t="s">
        <v>38</v>
      </c>
      <c r="K6598" s="1">
        <f t="shared" si="1"/>
        <v>2023</v>
      </c>
      <c r="L6598" s="1" t="str">
        <f t="shared" si="2"/>
        <v>Aug</v>
      </c>
      <c r="M6598" s="1" t="str">
        <f t="shared" si="3"/>
        <v>Profit</v>
      </c>
    </row>
    <row r="6599" ht="14.25" customHeight="1">
      <c r="A6599" s="1" t="s">
        <v>6633</v>
      </c>
      <c r="B6599" s="2">
        <v>45048.0</v>
      </c>
      <c r="C6599" s="1" t="s">
        <v>14</v>
      </c>
      <c r="D6599" s="1" t="s">
        <v>27</v>
      </c>
      <c r="E6599" s="1" t="s">
        <v>28</v>
      </c>
      <c r="F6599" s="1">
        <v>857.48</v>
      </c>
      <c r="G6599" s="1">
        <v>-116.54</v>
      </c>
      <c r="H6599" s="1">
        <v>2.0</v>
      </c>
      <c r="I6599" s="1" t="s">
        <v>17</v>
      </c>
      <c r="J6599" s="1" t="s">
        <v>18</v>
      </c>
      <c r="K6599" s="1">
        <f t="shared" si="1"/>
        <v>2023</v>
      </c>
      <c r="L6599" s="1" t="str">
        <f t="shared" si="2"/>
        <v>May</v>
      </c>
      <c r="M6599" s="1" t="str">
        <f t="shared" si="3"/>
        <v>Loss</v>
      </c>
    </row>
    <row r="6600" ht="14.25" customHeight="1">
      <c r="A6600" s="1" t="s">
        <v>6634</v>
      </c>
      <c r="B6600" s="2">
        <v>45009.0</v>
      </c>
      <c r="C6600" s="1" t="s">
        <v>30</v>
      </c>
      <c r="D6600" s="1" t="s">
        <v>27</v>
      </c>
      <c r="E6600" s="1" t="s">
        <v>28</v>
      </c>
      <c r="F6600" s="1">
        <v>398.92</v>
      </c>
      <c r="G6600" s="1">
        <v>152.91</v>
      </c>
      <c r="H6600" s="1">
        <v>2.0</v>
      </c>
      <c r="I6600" s="1" t="s">
        <v>17</v>
      </c>
      <c r="J6600" s="1" t="s">
        <v>35</v>
      </c>
      <c r="K6600" s="1">
        <f t="shared" si="1"/>
        <v>2023</v>
      </c>
      <c r="L6600" s="1" t="str">
        <f t="shared" si="2"/>
        <v>Mar</v>
      </c>
      <c r="M6600" s="1" t="str">
        <f t="shared" si="3"/>
        <v>Profit</v>
      </c>
    </row>
    <row r="6601" ht="14.25" customHeight="1">
      <c r="A6601" s="1" t="s">
        <v>6635</v>
      </c>
      <c r="B6601" s="2">
        <v>44553.0</v>
      </c>
      <c r="C6601" s="1" t="s">
        <v>20</v>
      </c>
      <c r="D6601" s="1" t="s">
        <v>27</v>
      </c>
      <c r="E6601" s="1" t="s">
        <v>33</v>
      </c>
      <c r="F6601" s="1">
        <v>232.51</v>
      </c>
      <c r="G6601" s="1">
        <v>122.72</v>
      </c>
      <c r="H6601" s="1">
        <v>6.0</v>
      </c>
      <c r="I6601" s="1" t="s">
        <v>17</v>
      </c>
      <c r="J6601" s="1" t="s">
        <v>18</v>
      </c>
      <c r="K6601" s="1">
        <f t="shared" si="1"/>
        <v>2021</v>
      </c>
      <c r="L6601" s="1" t="str">
        <f t="shared" si="2"/>
        <v>Dec</v>
      </c>
      <c r="M6601" s="1" t="str">
        <f t="shared" si="3"/>
        <v>Profit</v>
      </c>
    </row>
    <row r="6602" ht="14.25" customHeight="1">
      <c r="A6602" s="1" t="s">
        <v>6636</v>
      </c>
      <c r="B6602" s="2">
        <v>44739.0</v>
      </c>
      <c r="C6602" s="1" t="s">
        <v>26</v>
      </c>
      <c r="D6602" s="1" t="s">
        <v>15</v>
      </c>
      <c r="E6602" s="1" t="s">
        <v>31</v>
      </c>
      <c r="F6602" s="1">
        <v>647.49</v>
      </c>
      <c r="G6602" s="1">
        <v>-64.5</v>
      </c>
      <c r="H6602" s="1">
        <v>2.0</v>
      </c>
      <c r="I6602" s="1" t="s">
        <v>34</v>
      </c>
      <c r="J6602" s="1" t="s">
        <v>38</v>
      </c>
      <c r="K6602" s="1">
        <f t="shared" si="1"/>
        <v>2022</v>
      </c>
      <c r="L6602" s="1" t="str">
        <f t="shared" si="2"/>
        <v>Jun</v>
      </c>
      <c r="M6602" s="1" t="str">
        <f t="shared" si="3"/>
        <v>Loss</v>
      </c>
    </row>
    <row r="6603" ht="14.25" customHeight="1">
      <c r="A6603" s="1" t="s">
        <v>6637</v>
      </c>
      <c r="B6603" s="2">
        <v>44670.0</v>
      </c>
      <c r="C6603" s="1" t="s">
        <v>14</v>
      </c>
      <c r="D6603" s="1" t="s">
        <v>27</v>
      </c>
      <c r="E6603" s="1" t="s">
        <v>33</v>
      </c>
      <c r="F6603" s="1">
        <v>140.46</v>
      </c>
      <c r="G6603" s="1">
        <v>273.26</v>
      </c>
      <c r="H6603" s="1">
        <v>6.0</v>
      </c>
      <c r="I6603" s="1" t="s">
        <v>17</v>
      </c>
      <c r="J6603" s="1" t="s">
        <v>38</v>
      </c>
      <c r="K6603" s="1">
        <f t="shared" si="1"/>
        <v>2022</v>
      </c>
      <c r="L6603" s="1" t="str">
        <f t="shared" si="2"/>
        <v>Apr</v>
      </c>
      <c r="M6603" s="1" t="str">
        <f t="shared" si="3"/>
        <v>Profit</v>
      </c>
    </row>
    <row r="6604" ht="14.25" customHeight="1">
      <c r="A6604" s="1" t="s">
        <v>6638</v>
      </c>
      <c r="B6604" s="2">
        <v>44200.0</v>
      </c>
      <c r="C6604" s="1" t="s">
        <v>14</v>
      </c>
      <c r="D6604" s="1" t="s">
        <v>15</v>
      </c>
      <c r="E6604" s="1" t="s">
        <v>31</v>
      </c>
      <c r="F6604" s="1">
        <v>864.84</v>
      </c>
      <c r="G6604" s="1">
        <v>-115.56</v>
      </c>
      <c r="H6604" s="1">
        <v>1.0</v>
      </c>
      <c r="I6604" s="1" t="s">
        <v>23</v>
      </c>
      <c r="J6604" s="1" t="s">
        <v>35</v>
      </c>
      <c r="K6604" s="1">
        <f t="shared" si="1"/>
        <v>2021</v>
      </c>
      <c r="L6604" s="1" t="str">
        <f t="shared" si="2"/>
        <v>Jan</v>
      </c>
      <c r="M6604" s="1" t="str">
        <f t="shared" si="3"/>
        <v>Loss</v>
      </c>
    </row>
    <row r="6605" ht="14.25" customHeight="1">
      <c r="A6605" s="1" t="s">
        <v>6639</v>
      </c>
      <c r="B6605" s="2">
        <v>44209.0</v>
      </c>
      <c r="C6605" s="1" t="s">
        <v>20</v>
      </c>
      <c r="D6605" s="1" t="s">
        <v>27</v>
      </c>
      <c r="E6605" s="1" t="s">
        <v>28</v>
      </c>
      <c r="F6605" s="1">
        <v>915.83</v>
      </c>
      <c r="G6605" s="1">
        <v>126.54</v>
      </c>
      <c r="H6605" s="1">
        <v>9.0</v>
      </c>
      <c r="I6605" s="1" t="s">
        <v>34</v>
      </c>
      <c r="J6605" s="1" t="s">
        <v>35</v>
      </c>
      <c r="K6605" s="1">
        <f t="shared" si="1"/>
        <v>2021</v>
      </c>
      <c r="L6605" s="1" t="str">
        <f t="shared" si="2"/>
        <v>Jan</v>
      </c>
      <c r="M6605" s="1" t="str">
        <f t="shared" si="3"/>
        <v>Profit</v>
      </c>
    </row>
    <row r="6606" ht="14.25" customHeight="1">
      <c r="A6606" s="1" t="s">
        <v>6640</v>
      </c>
      <c r="B6606" s="2">
        <v>44708.0</v>
      </c>
      <c r="C6606" s="1" t="s">
        <v>20</v>
      </c>
      <c r="D6606" s="1" t="s">
        <v>15</v>
      </c>
      <c r="E6606" s="1" t="s">
        <v>31</v>
      </c>
      <c r="F6606" s="1">
        <v>493.01</v>
      </c>
      <c r="G6606" s="1">
        <v>69.42</v>
      </c>
      <c r="H6606" s="1">
        <v>1.0</v>
      </c>
      <c r="I6606" s="1" t="s">
        <v>34</v>
      </c>
      <c r="J6606" s="1" t="s">
        <v>18</v>
      </c>
      <c r="K6606" s="1">
        <f t="shared" si="1"/>
        <v>2022</v>
      </c>
      <c r="L6606" s="1" t="str">
        <f t="shared" si="2"/>
        <v>May</v>
      </c>
      <c r="M6606" s="1" t="str">
        <f t="shared" si="3"/>
        <v>Profit</v>
      </c>
    </row>
    <row r="6607" ht="14.25" customHeight="1">
      <c r="A6607" s="1" t="s">
        <v>6641</v>
      </c>
      <c r="B6607" s="2">
        <v>45126.0</v>
      </c>
      <c r="C6607" s="1" t="s">
        <v>30</v>
      </c>
      <c r="D6607" s="1" t="s">
        <v>15</v>
      </c>
      <c r="E6607" s="1" t="s">
        <v>31</v>
      </c>
      <c r="F6607" s="1">
        <v>832.96</v>
      </c>
      <c r="G6607" s="1">
        <v>198.35</v>
      </c>
      <c r="H6607" s="1">
        <v>5.0</v>
      </c>
      <c r="I6607" s="1" t="s">
        <v>34</v>
      </c>
      <c r="J6607" s="1" t="s">
        <v>24</v>
      </c>
      <c r="K6607" s="1">
        <f t="shared" si="1"/>
        <v>2023</v>
      </c>
      <c r="L6607" s="1" t="str">
        <f t="shared" si="2"/>
        <v>Jul</v>
      </c>
      <c r="M6607" s="1" t="str">
        <f t="shared" si="3"/>
        <v>Profit</v>
      </c>
    </row>
    <row r="6608" ht="14.25" customHeight="1">
      <c r="A6608" s="1" t="s">
        <v>6642</v>
      </c>
      <c r="B6608" s="2">
        <v>44626.0</v>
      </c>
      <c r="C6608" s="1" t="s">
        <v>20</v>
      </c>
      <c r="D6608" s="1" t="s">
        <v>21</v>
      </c>
      <c r="E6608" s="1" t="s">
        <v>76</v>
      </c>
      <c r="F6608" s="1">
        <v>591.18</v>
      </c>
      <c r="G6608" s="1">
        <v>65.29</v>
      </c>
      <c r="H6608" s="1">
        <v>1.0</v>
      </c>
      <c r="I6608" s="1" t="s">
        <v>23</v>
      </c>
      <c r="J6608" s="1" t="s">
        <v>24</v>
      </c>
      <c r="K6608" s="1">
        <f t="shared" si="1"/>
        <v>2022</v>
      </c>
      <c r="L6608" s="1" t="str">
        <f t="shared" si="2"/>
        <v>Mar</v>
      </c>
      <c r="M6608" s="1" t="str">
        <f t="shared" si="3"/>
        <v>Profit</v>
      </c>
    </row>
    <row r="6609" ht="14.25" customHeight="1">
      <c r="A6609" s="1" t="s">
        <v>6643</v>
      </c>
      <c r="B6609" s="2">
        <v>45226.0</v>
      </c>
      <c r="C6609" s="1" t="s">
        <v>14</v>
      </c>
      <c r="D6609" s="1" t="s">
        <v>27</v>
      </c>
      <c r="E6609" s="1" t="s">
        <v>40</v>
      </c>
      <c r="F6609" s="1">
        <v>406.33</v>
      </c>
      <c r="G6609" s="1">
        <v>240.22</v>
      </c>
      <c r="H6609" s="1">
        <v>5.0</v>
      </c>
      <c r="I6609" s="1" t="s">
        <v>17</v>
      </c>
      <c r="J6609" s="1" t="s">
        <v>18</v>
      </c>
      <c r="K6609" s="1">
        <f t="shared" si="1"/>
        <v>2023</v>
      </c>
      <c r="L6609" s="1" t="str">
        <f t="shared" si="2"/>
        <v>Oct</v>
      </c>
      <c r="M6609" s="1" t="str">
        <f t="shared" si="3"/>
        <v>Profit</v>
      </c>
    </row>
    <row r="6610" ht="14.25" customHeight="1">
      <c r="A6610" s="1" t="s">
        <v>6644</v>
      </c>
      <c r="B6610" s="2">
        <v>45234.0</v>
      </c>
      <c r="C6610" s="1" t="s">
        <v>14</v>
      </c>
      <c r="D6610" s="1" t="s">
        <v>15</v>
      </c>
      <c r="E6610" s="1" t="s">
        <v>31</v>
      </c>
      <c r="F6610" s="1">
        <v>780.33</v>
      </c>
      <c r="G6610" s="1">
        <v>27.97</v>
      </c>
      <c r="H6610" s="1">
        <v>3.0</v>
      </c>
      <c r="I6610" s="1" t="s">
        <v>17</v>
      </c>
      <c r="J6610" s="1" t="s">
        <v>18</v>
      </c>
      <c r="K6610" s="1">
        <f t="shared" si="1"/>
        <v>2023</v>
      </c>
      <c r="L6610" s="1" t="str">
        <f t="shared" si="2"/>
        <v>Nov</v>
      </c>
      <c r="M6610" s="1" t="str">
        <f t="shared" si="3"/>
        <v>Profit</v>
      </c>
    </row>
    <row r="6611" ht="14.25" customHeight="1">
      <c r="A6611" s="1" t="s">
        <v>6645</v>
      </c>
      <c r="B6611" s="2">
        <v>45155.0</v>
      </c>
      <c r="C6611" s="1" t="s">
        <v>30</v>
      </c>
      <c r="D6611" s="1" t="s">
        <v>21</v>
      </c>
      <c r="E6611" s="1" t="s">
        <v>37</v>
      </c>
      <c r="F6611" s="1">
        <v>368.23</v>
      </c>
      <c r="G6611" s="1">
        <v>-83.45</v>
      </c>
      <c r="H6611" s="1">
        <v>9.0</v>
      </c>
      <c r="I6611" s="1" t="s">
        <v>17</v>
      </c>
      <c r="J6611" s="1" t="s">
        <v>38</v>
      </c>
      <c r="K6611" s="1">
        <f t="shared" si="1"/>
        <v>2023</v>
      </c>
      <c r="L6611" s="1" t="str">
        <f t="shared" si="2"/>
        <v>Aug</v>
      </c>
      <c r="M6611" s="1" t="str">
        <f t="shared" si="3"/>
        <v>Loss</v>
      </c>
    </row>
    <row r="6612" ht="14.25" customHeight="1">
      <c r="A6612" s="1" t="s">
        <v>6646</v>
      </c>
      <c r="B6612" s="2">
        <v>44943.0</v>
      </c>
      <c r="C6612" s="1" t="s">
        <v>20</v>
      </c>
      <c r="D6612" s="1" t="s">
        <v>21</v>
      </c>
      <c r="E6612" s="1" t="s">
        <v>76</v>
      </c>
      <c r="F6612" s="1">
        <v>185.32</v>
      </c>
      <c r="G6612" s="1">
        <v>-189.01</v>
      </c>
      <c r="H6612" s="1">
        <v>1.0</v>
      </c>
      <c r="I6612" s="1" t="s">
        <v>17</v>
      </c>
      <c r="J6612" s="1" t="s">
        <v>24</v>
      </c>
      <c r="K6612" s="1">
        <f t="shared" si="1"/>
        <v>2023</v>
      </c>
      <c r="L6612" s="1" t="str">
        <f t="shared" si="2"/>
        <v>Jan</v>
      </c>
      <c r="M6612" s="1" t="str">
        <f t="shared" si="3"/>
        <v>Loss</v>
      </c>
    </row>
    <row r="6613" ht="14.25" customHeight="1">
      <c r="A6613" s="1" t="s">
        <v>6647</v>
      </c>
      <c r="B6613" s="2">
        <v>44763.0</v>
      </c>
      <c r="C6613" s="1" t="s">
        <v>26</v>
      </c>
      <c r="D6613" s="1" t="s">
        <v>15</v>
      </c>
      <c r="E6613" s="1" t="s">
        <v>16</v>
      </c>
      <c r="F6613" s="1">
        <v>361.8</v>
      </c>
      <c r="G6613" s="1">
        <v>150.44</v>
      </c>
      <c r="H6613" s="1">
        <v>9.0</v>
      </c>
      <c r="I6613" s="1" t="s">
        <v>17</v>
      </c>
      <c r="J6613" s="1" t="s">
        <v>18</v>
      </c>
      <c r="K6613" s="1">
        <f t="shared" si="1"/>
        <v>2022</v>
      </c>
      <c r="L6613" s="1" t="str">
        <f t="shared" si="2"/>
        <v>Jul</v>
      </c>
      <c r="M6613" s="1" t="str">
        <f t="shared" si="3"/>
        <v>Profit</v>
      </c>
    </row>
    <row r="6614" ht="14.25" customHeight="1">
      <c r="A6614" s="1" t="s">
        <v>6648</v>
      </c>
      <c r="B6614" s="2">
        <v>44942.0</v>
      </c>
      <c r="C6614" s="1" t="s">
        <v>26</v>
      </c>
      <c r="D6614" s="1" t="s">
        <v>15</v>
      </c>
      <c r="E6614" s="1" t="s">
        <v>31</v>
      </c>
      <c r="F6614" s="1">
        <v>499.61</v>
      </c>
      <c r="G6614" s="1">
        <v>-11.31</v>
      </c>
      <c r="H6614" s="1">
        <v>3.0</v>
      </c>
      <c r="I6614" s="1" t="s">
        <v>17</v>
      </c>
      <c r="J6614" s="1" t="s">
        <v>38</v>
      </c>
      <c r="K6614" s="1">
        <f t="shared" si="1"/>
        <v>2023</v>
      </c>
      <c r="L6614" s="1" t="str">
        <f t="shared" si="2"/>
        <v>Jan</v>
      </c>
      <c r="M6614" s="1" t="str">
        <f t="shared" si="3"/>
        <v>Loss</v>
      </c>
    </row>
    <row r="6615" ht="14.25" customHeight="1">
      <c r="A6615" s="1" t="s">
        <v>6649</v>
      </c>
      <c r="B6615" s="2">
        <v>44687.0</v>
      </c>
      <c r="C6615" s="1" t="s">
        <v>26</v>
      </c>
      <c r="D6615" s="1" t="s">
        <v>21</v>
      </c>
      <c r="E6615" s="1" t="s">
        <v>76</v>
      </c>
      <c r="F6615" s="1">
        <v>526.91</v>
      </c>
      <c r="G6615" s="1">
        <v>242.87</v>
      </c>
      <c r="H6615" s="1">
        <v>5.0</v>
      </c>
      <c r="I6615" s="1" t="s">
        <v>23</v>
      </c>
      <c r="J6615" s="1" t="s">
        <v>38</v>
      </c>
      <c r="K6615" s="1">
        <f t="shared" si="1"/>
        <v>2022</v>
      </c>
      <c r="L6615" s="1" t="str">
        <f t="shared" si="2"/>
        <v>May</v>
      </c>
      <c r="M6615" s="1" t="str">
        <f t="shared" si="3"/>
        <v>Profit</v>
      </c>
    </row>
    <row r="6616" ht="14.25" customHeight="1">
      <c r="A6616" s="1" t="s">
        <v>6650</v>
      </c>
      <c r="B6616" s="2">
        <v>45033.0</v>
      </c>
      <c r="C6616" s="1" t="s">
        <v>14</v>
      </c>
      <c r="D6616" s="1" t="s">
        <v>21</v>
      </c>
      <c r="E6616" s="1" t="s">
        <v>76</v>
      </c>
      <c r="F6616" s="1">
        <v>405.78</v>
      </c>
      <c r="G6616" s="1">
        <v>93.09</v>
      </c>
      <c r="H6616" s="1">
        <v>9.0</v>
      </c>
      <c r="I6616" s="1" t="s">
        <v>23</v>
      </c>
      <c r="J6616" s="1" t="s">
        <v>38</v>
      </c>
      <c r="K6616" s="1">
        <f t="shared" si="1"/>
        <v>2023</v>
      </c>
      <c r="L6616" s="1" t="str">
        <f t="shared" si="2"/>
        <v>Apr</v>
      </c>
      <c r="M6616" s="1" t="str">
        <f t="shared" si="3"/>
        <v>Profit</v>
      </c>
    </row>
    <row r="6617" ht="14.25" customHeight="1">
      <c r="A6617" s="1" t="s">
        <v>6651</v>
      </c>
      <c r="B6617" s="2">
        <v>44948.0</v>
      </c>
      <c r="C6617" s="1" t="s">
        <v>20</v>
      </c>
      <c r="D6617" s="1" t="s">
        <v>21</v>
      </c>
      <c r="E6617" s="1" t="s">
        <v>76</v>
      </c>
      <c r="F6617" s="1">
        <v>369.73</v>
      </c>
      <c r="G6617" s="1">
        <v>-179.93</v>
      </c>
      <c r="H6617" s="1">
        <v>1.0</v>
      </c>
      <c r="I6617" s="1" t="s">
        <v>34</v>
      </c>
      <c r="J6617" s="1" t="s">
        <v>18</v>
      </c>
      <c r="K6617" s="1">
        <f t="shared" si="1"/>
        <v>2023</v>
      </c>
      <c r="L6617" s="1" t="str">
        <f t="shared" si="2"/>
        <v>Jan</v>
      </c>
      <c r="M6617" s="1" t="str">
        <f t="shared" si="3"/>
        <v>Loss</v>
      </c>
    </row>
    <row r="6618" ht="14.25" customHeight="1">
      <c r="A6618" s="1" t="s">
        <v>6652</v>
      </c>
      <c r="B6618" s="2">
        <v>45002.0</v>
      </c>
      <c r="C6618" s="1" t="s">
        <v>20</v>
      </c>
      <c r="D6618" s="1" t="s">
        <v>15</v>
      </c>
      <c r="E6618" s="1" t="s">
        <v>16</v>
      </c>
      <c r="F6618" s="1">
        <v>328.22</v>
      </c>
      <c r="G6618" s="1">
        <v>-177.1</v>
      </c>
      <c r="H6618" s="1">
        <v>8.0</v>
      </c>
      <c r="I6618" s="1" t="s">
        <v>23</v>
      </c>
      <c r="J6618" s="1" t="s">
        <v>38</v>
      </c>
      <c r="K6618" s="1">
        <f t="shared" si="1"/>
        <v>2023</v>
      </c>
      <c r="L6618" s="1" t="str">
        <f t="shared" si="2"/>
        <v>Mar</v>
      </c>
      <c r="M6618" s="1" t="str">
        <f t="shared" si="3"/>
        <v>Loss</v>
      </c>
    </row>
    <row r="6619" ht="14.25" customHeight="1">
      <c r="A6619" s="1" t="s">
        <v>6653</v>
      </c>
      <c r="B6619" s="2">
        <v>44270.0</v>
      </c>
      <c r="C6619" s="1" t="s">
        <v>14</v>
      </c>
      <c r="D6619" s="1" t="s">
        <v>27</v>
      </c>
      <c r="E6619" s="1" t="s">
        <v>33</v>
      </c>
      <c r="F6619" s="1">
        <v>962.29</v>
      </c>
      <c r="G6619" s="1">
        <v>-121.16</v>
      </c>
      <c r="H6619" s="1">
        <v>1.0</v>
      </c>
      <c r="I6619" s="1" t="s">
        <v>34</v>
      </c>
      <c r="J6619" s="1" t="s">
        <v>18</v>
      </c>
      <c r="K6619" s="1">
        <f t="shared" si="1"/>
        <v>2021</v>
      </c>
      <c r="L6619" s="1" t="str">
        <f t="shared" si="2"/>
        <v>Mar</v>
      </c>
      <c r="M6619" s="1" t="str">
        <f t="shared" si="3"/>
        <v>Loss</v>
      </c>
    </row>
    <row r="6620" ht="14.25" customHeight="1">
      <c r="A6620" s="1" t="s">
        <v>6654</v>
      </c>
      <c r="B6620" s="2">
        <v>44569.0</v>
      </c>
      <c r="C6620" s="1" t="s">
        <v>26</v>
      </c>
      <c r="D6620" s="1" t="s">
        <v>15</v>
      </c>
      <c r="E6620" s="1" t="s">
        <v>54</v>
      </c>
      <c r="F6620" s="1">
        <v>164.23</v>
      </c>
      <c r="G6620" s="1">
        <v>119.18</v>
      </c>
      <c r="H6620" s="1">
        <v>7.0</v>
      </c>
      <c r="I6620" s="1" t="s">
        <v>23</v>
      </c>
      <c r="J6620" s="1" t="s">
        <v>35</v>
      </c>
      <c r="K6620" s="1">
        <f t="shared" si="1"/>
        <v>2022</v>
      </c>
      <c r="L6620" s="1" t="str">
        <f t="shared" si="2"/>
        <v>Jan</v>
      </c>
      <c r="M6620" s="1" t="str">
        <f t="shared" si="3"/>
        <v>Profit</v>
      </c>
    </row>
    <row r="6621" ht="14.25" customHeight="1">
      <c r="A6621" s="1" t="s">
        <v>6655</v>
      </c>
      <c r="B6621" s="2">
        <v>44499.0</v>
      </c>
      <c r="C6621" s="1" t="s">
        <v>30</v>
      </c>
      <c r="D6621" s="1" t="s">
        <v>27</v>
      </c>
      <c r="E6621" s="1" t="s">
        <v>40</v>
      </c>
      <c r="F6621" s="1">
        <v>702.08</v>
      </c>
      <c r="G6621" s="1">
        <v>82.89</v>
      </c>
      <c r="H6621" s="1">
        <v>2.0</v>
      </c>
      <c r="I6621" s="1" t="s">
        <v>34</v>
      </c>
      <c r="J6621" s="1" t="s">
        <v>35</v>
      </c>
      <c r="K6621" s="1">
        <f t="shared" si="1"/>
        <v>2021</v>
      </c>
      <c r="L6621" s="1" t="str">
        <f t="shared" si="2"/>
        <v>Oct</v>
      </c>
      <c r="M6621" s="1" t="str">
        <f t="shared" si="3"/>
        <v>Profit</v>
      </c>
    </row>
    <row r="6622" ht="14.25" customHeight="1">
      <c r="A6622" s="1" t="s">
        <v>6656</v>
      </c>
      <c r="B6622" s="2">
        <v>44471.0</v>
      </c>
      <c r="C6622" s="1" t="s">
        <v>30</v>
      </c>
      <c r="D6622" s="1" t="s">
        <v>21</v>
      </c>
      <c r="E6622" s="1" t="s">
        <v>22</v>
      </c>
      <c r="F6622" s="1">
        <v>483.08</v>
      </c>
      <c r="G6622" s="1">
        <v>-185.91</v>
      </c>
      <c r="H6622" s="1">
        <v>2.0</v>
      </c>
      <c r="I6622" s="1" t="s">
        <v>17</v>
      </c>
      <c r="J6622" s="1" t="s">
        <v>18</v>
      </c>
      <c r="K6622" s="1">
        <f t="shared" si="1"/>
        <v>2021</v>
      </c>
      <c r="L6622" s="1" t="str">
        <f t="shared" si="2"/>
        <v>Oct</v>
      </c>
      <c r="M6622" s="1" t="str">
        <f t="shared" si="3"/>
        <v>Loss</v>
      </c>
    </row>
    <row r="6623" ht="14.25" customHeight="1">
      <c r="A6623" s="1" t="s">
        <v>6657</v>
      </c>
      <c r="B6623" s="2">
        <v>44331.0</v>
      </c>
      <c r="C6623" s="1" t="s">
        <v>14</v>
      </c>
      <c r="D6623" s="1" t="s">
        <v>15</v>
      </c>
      <c r="E6623" s="1" t="s">
        <v>31</v>
      </c>
      <c r="F6623" s="1">
        <v>152.24</v>
      </c>
      <c r="G6623" s="1">
        <v>195.33</v>
      </c>
      <c r="H6623" s="1">
        <v>7.0</v>
      </c>
      <c r="I6623" s="1" t="s">
        <v>23</v>
      </c>
      <c r="J6623" s="1" t="s">
        <v>24</v>
      </c>
      <c r="K6623" s="1">
        <f t="shared" si="1"/>
        <v>2021</v>
      </c>
      <c r="L6623" s="1" t="str">
        <f t="shared" si="2"/>
        <v>May</v>
      </c>
      <c r="M6623" s="1" t="str">
        <f t="shared" si="3"/>
        <v>Profit</v>
      </c>
    </row>
    <row r="6624" ht="14.25" customHeight="1">
      <c r="A6624" s="1" t="s">
        <v>6658</v>
      </c>
      <c r="B6624" s="2">
        <v>44761.0</v>
      </c>
      <c r="C6624" s="1" t="s">
        <v>20</v>
      </c>
      <c r="D6624" s="1" t="s">
        <v>27</v>
      </c>
      <c r="E6624" s="1" t="s">
        <v>28</v>
      </c>
      <c r="F6624" s="1">
        <v>333.84</v>
      </c>
      <c r="G6624" s="1">
        <v>172.26</v>
      </c>
      <c r="H6624" s="1">
        <v>10.0</v>
      </c>
      <c r="I6624" s="1" t="s">
        <v>23</v>
      </c>
      <c r="J6624" s="1" t="s">
        <v>18</v>
      </c>
      <c r="K6624" s="1">
        <f t="shared" si="1"/>
        <v>2022</v>
      </c>
      <c r="L6624" s="1" t="str">
        <f t="shared" si="2"/>
        <v>Jul</v>
      </c>
      <c r="M6624" s="1" t="str">
        <f t="shared" si="3"/>
        <v>Profit</v>
      </c>
    </row>
    <row r="6625" ht="14.25" customHeight="1">
      <c r="A6625" s="1" t="s">
        <v>6659</v>
      </c>
      <c r="B6625" s="2">
        <v>44680.0</v>
      </c>
      <c r="C6625" s="1" t="s">
        <v>20</v>
      </c>
      <c r="D6625" s="1" t="s">
        <v>27</v>
      </c>
      <c r="E6625" s="1" t="s">
        <v>33</v>
      </c>
      <c r="F6625" s="1">
        <v>605.24</v>
      </c>
      <c r="G6625" s="1">
        <v>-52.04</v>
      </c>
      <c r="H6625" s="1">
        <v>6.0</v>
      </c>
      <c r="I6625" s="1" t="s">
        <v>17</v>
      </c>
      <c r="J6625" s="1" t="s">
        <v>35</v>
      </c>
      <c r="K6625" s="1">
        <f t="shared" si="1"/>
        <v>2022</v>
      </c>
      <c r="L6625" s="1" t="str">
        <f t="shared" si="2"/>
        <v>Apr</v>
      </c>
      <c r="M6625" s="1" t="str">
        <f t="shared" si="3"/>
        <v>Loss</v>
      </c>
    </row>
    <row r="6626" ht="14.25" customHeight="1">
      <c r="A6626" s="1" t="s">
        <v>6660</v>
      </c>
      <c r="B6626" s="2">
        <v>45120.0</v>
      </c>
      <c r="C6626" s="1" t="s">
        <v>30</v>
      </c>
      <c r="D6626" s="1" t="s">
        <v>15</v>
      </c>
      <c r="E6626" s="1" t="s">
        <v>31</v>
      </c>
      <c r="F6626" s="1">
        <v>555.26</v>
      </c>
      <c r="G6626" s="1">
        <v>-110.1</v>
      </c>
      <c r="H6626" s="1">
        <v>4.0</v>
      </c>
      <c r="I6626" s="1" t="s">
        <v>34</v>
      </c>
      <c r="J6626" s="1" t="s">
        <v>24</v>
      </c>
      <c r="K6626" s="1">
        <f t="shared" si="1"/>
        <v>2023</v>
      </c>
      <c r="L6626" s="1" t="str">
        <f t="shared" si="2"/>
        <v>Jul</v>
      </c>
      <c r="M6626" s="1" t="str">
        <f t="shared" si="3"/>
        <v>Loss</v>
      </c>
    </row>
    <row r="6627" ht="14.25" customHeight="1">
      <c r="A6627" s="1" t="s">
        <v>6661</v>
      </c>
      <c r="B6627" s="2">
        <v>44859.0</v>
      </c>
      <c r="C6627" s="1" t="s">
        <v>26</v>
      </c>
      <c r="D6627" s="1" t="s">
        <v>27</v>
      </c>
      <c r="E6627" s="1" t="s">
        <v>28</v>
      </c>
      <c r="F6627" s="1">
        <v>765.17</v>
      </c>
      <c r="G6627" s="1">
        <v>79.6</v>
      </c>
      <c r="H6627" s="1">
        <v>3.0</v>
      </c>
      <c r="I6627" s="1" t="s">
        <v>23</v>
      </c>
      <c r="J6627" s="1" t="s">
        <v>35</v>
      </c>
      <c r="K6627" s="1">
        <f t="shared" si="1"/>
        <v>2022</v>
      </c>
      <c r="L6627" s="1" t="str">
        <f t="shared" si="2"/>
        <v>Oct</v>
      </c>
      <c r="M6627" s="1" t="str">
        <f t="shared" si="3"/>
        <v>Profit</v>
      </c>
    </row>
    <row r="6628" ht="14.25" customHeight="1">
      <c r="A6628" s="1" t="s">
        <v>6662</v>
      </c>
      <c r="B6628" s="2">
        <v>44215.0</v>
      </c>
      <c r="C6628" s="1" t="s">
        <v>30</v>
      </c>
      <c r="D6628" s="1" t="s">
        <v>15</v>
      </c>
      <c r="E6628" s="1" t="s">
        <v>54</v>
      </c>
      <c r="F6628" s="1">
        <v>285.82</v>
      </c>
      <c r="G6628" s="1">
        <v>-34.9</v>
      </c>
      <c r="H6628" s="1">
        <v>3.0</v>
      </c>
      <c r="I6628" s="1" t="s">
        <v>17</v>
      </c>
      <c r="J6628" s="1" t="s">
        <v>38</v>
      </c>
      <c r="K6628" s="1">
        <f t="shared" si="1"/>
        <v>2021</v>
      </c>
      <c r="L6628" s="1" t="str">
        <f t="shared" si="2"/>
        <v>Jan</v>
      </c>
      <c r="M6628" s="1" t="str">
        <f t="shared" si="3"/>
        <v>Loss</v>
      </c>
    </row>
    <row r="6629" ht="14.25" customHeight="1">
      <c r="A6629" s="1" t="s">
        <v>6663</v>
      </c>
      <c r="B6629" s="2">
        <v>45290.0</v>
      </c>
      <c r="C6629" s="1" t="s">
        <v>26</v>
      </c>
      <c r="D6629" s="1" t="s">
        <v>27</v>
      </c>
      <c r="E6629" s="1" t="s">
        <v>33</v>
      </c>
      <c r="F6629" s="1">
        <v>911.03</v>
      </c>
      <c r="G6629" s="1">
        <v>101.36</v>
      </c>
      <c r="H6629" s="1">
        <v>9.0</v>
      </c>
      <c r="I6629" s="1" t="s">
        <v>17</v>
      </c>
      <c r="J6629" s="1" t="s">
        <v>35</v>
      </c>
      <c r="K6629" s="1">
        <f t="shared" si="1"/>
        <v>2023</v>
      </c>
      <c r="L6629" s="1" t="str">
        <f t="shared" si="2"/>
        <v>Dec</v>
      </c>
      <c r="M6629" s="1" t="str">
        <f t="shared" si="3"/>
        <v>Profit</v>
      </c>
    </row>
    <row r="6630" ht="14.25" customHeight="1">
      <c r="A6630" s="1" t="s">
        <v>6664</v>
      </c>
      <c r="B6630" s="2">
        <v>44399.0</v>
      </c>
      <c r="C6630" s="1" t="s">
        <v>26</v>
      </c>
      <c r="D6630" s="1" t="s">
        <v>15</v>
      </c>
      <c r="E6630" s="1" t="s">
        <v>54</v>
      </c>
      <c r="F6630" s="1">
        <v>992.08</v>
      </c>
      <c r="G6630" s="1">
        <v>44.07</v>
      </c>
      <c r="H6630" s="1">
        <v>6.0</v>
      </c>
      <c r="I6630" s="1" t="s">
        <v>17</v>
      </c>
      <c r="J6630" s="1" t="s">
        <v>18</v>
      </c>
      <c r="K6630" s="1">
        <f t="shared" si="1"/>
        <v>2021</v>
      </c>
      <c r="L6630" s="1" t="str">
        <f t="shared" si="2"/>
        <v>Jul</v>
      </c>
      <c r="M6630" s="1" t="str">
        <f t="shared" si="3"/>
        <v>Profit</v>
      </c>
    </row>
    <row r="6631" ht="14.25" customHeight="1">
      <c r="A6631" s="1" t="s">
        <v>6665</v>
      </c>
      <c r="B6631" s="2">
        <v>44352.0</v>
      </c>
      <c r="C6631" s="1" t="s">
        <v>20</v>
      </c>
      <c r="D6631" s="1" t="s">
        <v>27</v>
      </c>
      <c r="E6631" s="1" t="s">
        <v>33</v>
      </c>
      <c r="F6631" s="1">
        <v>35.56</v>
      </c>
      <c r="G6631" s="1">
        <v>191.72</v>
      </c>
      <c r="H6631" s="1">
        <v>4.0</v>
      </c>
      <c r="I6631" s="1" t="s">
        <v>17</v>
      </c>
      <c r="J6631" s="1" t="s">
        <v>35</v>
      </c>
      <c r="K6631" s="1">
        <f t="shared" si="1"/>
        <v>2021</v>
      </c>
      <c r="L6631" s="1" t="str">
        <f t="shared" si="2"/>
        <v>Jun</v>
      </c>
      <c r="M6631" s="1" t="str">
        <f t="shared" si="3"/>
        <v>Profit</v>
      </c>
    </row>
    <row r="6632" ht="14.25" customHeight="1">
      <c r="A6632" s="1" t="s">
        <v>6666</v>
      </c>
      <c r="B6632" s="2">
        <v>44661.0</v>
      </c>
      <c r="C6632" s="1" t="s">
        <v>14</v>
      </c>
      <c r="D6632" s="1" t="s">
        <v>27</v>
      </c>
      <c r="E6632" s="1" t="s">
        <v>33</v>
      </c>
      <c r="F6632" s="1">
        <v>49.66</v>
      </c>
      <c r="G6632" s="1">
        <v>189.88</v>
      </c>
      <c r="H6632" s="1">
        <v>8.0</v>
      </c>
      <c r="I6632" s="1" t="s">
        <v>34</v>
      </c>
      <c r="J6632" s="1" t="s">
        <v>18</v>
      </c>
      <c r="K6632" s="1">
        <f t="shared" si="1"/>
        <v>2022</v>
      </c>
      <c r="L6632" s="1" t="str">
        <f t="shared" si="2"/>
        <v>Apr</v>
      </c>
      <c r="M6632" s="1" t="str">
        <f t="shared" si="3"/>
        <v>Profit</v>
      </c>
    </row>
    <row r="6633" ht="14.25" customHeight="1">
      <c r="A6633" s="1" t="s">
        <v>6667</v>
      </c>
      <c r="B6633" s="2">
        <v>44996.0</v>
      </c>
      <c r="C6633" s="1" t="s">
        <v>14</v>
      </c>
      <c r="D6633" s="1" t="s">
        <v>15</v>
      </c>
      <c r="E6633" s="1" t="s">
        <v>31</v>
      </c>
      <c r="F6633" s="1">
        <v>375.89</v>
      </c>
      <c r="G6633" s="1">
        <v>-75.26</v>
      </c>
      <c r="H6633" s="1">
        <v>1.0</v>
      </c>
      <c r="I6633" s="1" t="s">
        <v>17</v>
      </c>
      <c r="J6633" s="1" t="s">
        <v>24</v>
      </c>
      <c r="K6633" s="1">
        <f t="shared" si="1"/>
        <v>2023</v>
      </c>
      <c r="L6633" s="1" t="str">
        <f t="shared" si="2"/>
        <v>Mar</v>
      </c>
      <c r="M6633" s="1" t="str">
        <f t="shared" si="3"/>
        <v>Loss</v>
      </c>
    </row>
    <row r="6634" ht="14.25" customHeight="1">
      <c r="A6634" s="1" t="s">
        <v>6668</v>
      </c>
      <c r="B6634" s="2">
        <v>45214.0</v>
      </c>
      <c r="C6634" s="1" t="s">
        <v>30</v>
      </c>
      <c r="D6634" s="1" t="s">
        <v>15</v>
      </c>
      <c r="E6634" s="1" t="s">
        <v>16</v>
      </c>
      <c r="F6634" s="1">
        <v>550.82</v>
      </c>
      <c r="G6634" s="1">
        <v>29.66</v>
      </c>
      <c r="H6634" s="1">
        <v>9.0</v>
      </c>
      <c r="I6634" s="1" t="s">
        <v>34</v>
      </c>
      <c r="J6634" s="1" t="s">
        <v>35</v>
      </c>
      <c r="K6634" s="1">
        <f t="shared" si="1"/>
        <v>2023</v>
      </c>
      <c r="L6634" s="1" t="str">
        <f t="shared" si="2"/>
        <v>Oct</v>
      </c>
      <c r="M6634" s="1" t="str">
        <f t="shared" si="3"/>
        <v>Profit</v>
      </c>
    </row>
    <row r="6635" ht="14.25" customHeight="1">
      <c r="A6635" s="1" t="s">
        <v>6669</v>
      </c>
      <c r="B6635" s="2">
        <v>44205.0</v>
      </c>
      <c r="C6635" s="1" t="s">
        <v>30</v>
      </c>
      <c r="D6635" s="1" t="s">
        <v>15</v>
      </c>
      <c r="E6635" s="1" t="s">
        <v>54</v>
      </c>
      <c r="F6635" s="1">
        <v>418.75</v>
      </c>
      <c r="G6635" s="1">
        <v>158.18</v>
      </c>
      <c r="H6635" s="1">
        <v>3.0</v>
      </c>
      <c r="I6635" s="1" t="s">
        <v>17</v>
      </c>
      <c r="J6635" s="1" t="s">
        <v>18</v>
      </c>
      <c r="K6635" s="1">
        <f t="shared" si="1"/>
        <v>2021</v>
      </c>
      <c r="L6635" s="1" t="str">
        <f t="shared" si="2"/>
        <v>Jan</v>
      </c>
      <c r="M6635" s="1" t="str">
        <f t="shared" si="3"/>
        <v>Profit</v>
      </c>
    </row>
    <row r="6636" ht="14.25" customHeight="1">
      <c r="A6636" s="1" t="s">
        <v>6670</v>
      </c>
      <c r="B6636" s="2">
        <v>44921.0</v>
      </c>
      <c r="C6636" s="1" t="s">
        <v>30</v>
      </c>
      <c r="D6636" s="1" t="s">
        <v>27</v>
      </c>
      <c r="E6636" s="1" t="s">
        <v>28</v>
      </c>
      <c r="F6636" s="1">
        <v>699.83</v>
      </c>
      <c r="G6636" s="1">
        <v>273.09</v>
      </c>
      <c r="H6636" s="1">
        <v>3.0</v>
      </c>
      <c r="I6636" s="1" t="s">
        <v>34</v>
      </c>
      <c r="J6636" s="1" t="s">
        <v>24</v>
      </c>
      <c r="K6636" s="1">
        <f t="shared" si="1"/>
        <v>2022</v>
      </c>
      <c r="L6636" s="1" t="str">
        <f t="shared" si="2"/>
        <v>Dec</v>
      </c>
      <c r="M6636" s="1" t="str">
        <f t="shared" si="3"/>
        <v>Profit</v>
      </c>
    </row>
    <row r="6637" ht="14.25" customHeight="1">
      <c r="A6637" s="1" t="s">
        <v>6671</v>
      </c>
      <c r="B6637" s="2">
        <v>44942.0</v>
      </c>
      <c r="C6637" s="1" t="s">
        <v>30</v>
      </c>
      <c r="D6637" s="1" t="s">
        <v>15</v>
      </c>
      <c r="E6637" s="1" t="s">
        <v>54</v>
      </c>
      <c r="F6637" s="1">
        <v>700.76</v>
      </c>
      <c r="G6637" s="1">
        <v>141.58</v>
      </c>
      <c r="H6637" s="1">
        <v>9.0</v>
      </c>
      <c r="I6637" s="1" t="s">
        <v>23</v>
      </c>
      <c r="J6637" s="1" t="s">
        <v>24</v>
      </c>
      <c r="K6637" s="1">
        <f t="shared" si="1"/>
        <v>2023</v>
      </c>
      <c r="L6637" s="1" t="str">
        <f t="shared" si="2"/>
        <v>Jan</v>
      </c>
      <c r="M6637" s="1" t="str">
        <f t="shared" si="3"/>
        <v>Profit</v>
      </c>
    </row>
    <row r="6638" ht="14.25" customHeight="1">
      <c r="A6638" s="1" t="s">
        <v>6672</v>
      </c>
      <c r="B6638" s="2">
        <v>44812.0</v>
      </c>
      <c r="C6638" s="1" t="s">
        <v>14</v>
      </c>
      <c r="D6638" s="1" t="s">
        <v>27</v>
      </c>
      <c r="E6638" s="1" t="s">
        <v>40</v>
      </c>
      <c r="F6638" s="1">
        <v>103.44</v>
      </c>
      <c r="G6638" s="1">
        <v>36.47</v>
      </c>
      <c r="H6638" s="1">
        <v>10.0</v>
      </c>
      <c r="I6638" s="1" t="s">
        <v>34</v>
      </c>
      <c r="J6638" s="1" t="s">
        <v>18</v>
      </c>
      <c r="K6638" s="1">
        <f t="shared" si="1"/>
        <v>2022</v>
      </c>
      <c r="L6638" s="1" t="str">
        <f t="shared" si="2"/>
        <v>Sep</v>
      </c>
      <c r="M6638" s="1" t="str">
        <f t="shared" si="3"/>
        <v>Profit</v>
      </c>
    </row>
    <row r="6639" ht="14.25" customHeight="1">
      <c r="A6639" s="1" t="s">
        <v>6673</v>
      </c>
      <c r="B6639" s="2">
        <v>45175.0</v>
      </c>
      <c r="C6639" s="1" t="s">
        <v>14</v>
      </c>
      <c r="D6639" s="1" t="s">
        <v>21</v>
      </c>
      <c r="E6639" s="1" t="s">
        <v>76</v>
      </c>
      <c r="F6639" s="1">
        <v>951.33</v>
      </c>
      <c r="G6639" s="1">
        <v>-181.01</v>
      </c>
      <c r="H6639" s="1">
        <v>2.0</v>
      </c>
      <c r="I6639" s="1" t="s">
        <v>17</v>
      </c>
      <c r="J6639" s="1" t="s">
        <v>24</v>
      </c>
      <c r="K6639" s="1">
        <f t="shared" si="1"/>
        <v>2023</v>
      </c>
      <c r="L6639" s="1" t="str">
        <f t="shared" si="2"/>
        <v>Sep</v>
      </c>
      <c r="M6639" s="1" t="str">
        <f t="shared" si="3"/>
        <v>Loss</v>
      </c>
    </row>
    <row r="6640" ht="14.25" customHeight="1">
      <c r="A6640" s="1" t="s">
        <v>6674</v>
      </c>
      <c r="B6640" s="2">
        <v>44586.0</v>
      </c>
      <c r="C6640" s="1" t="s">
        <v>26</v>
      </c>
      <c r="D6640" s="1" t="s">
        <v>21</v>
      </c>
      <c r="E6640" s="1" t="s">
        <v>76</v>
      </c>
      <c r="F6640" s="1">
        <v>564.37</v>
      </c>
      <c r="G6640" s="1">
        <v>291.68</v>
      </c>
      <c r="H6640" s="1">
        <v>5.0</v>
      </c>
      <c r="I6640" s="1" t="s">
        <v>23</v>
      </c>
      <c r="J6640" s="1" t="s">
        <v>38</v>
      </c>
      <c r="K6640" s="1">
        <f t="shared" si="1"/>
        <v>2022</v>
      </c>
      <c r="L6640" s="1" t="str">
        <f t="shared" si="2"/>
        <v>Jan</v>
      </c>
      <c r="M6640" s="1" t="str">
        <f t="shared" si="3"/>
        <v>Profit</v>
      </c>
    </row>
    <row r="6641" ht="14.25" customHeight="1">
      <c r="A6641" s="1" t="s">
        <v>6675</v>
      </c>
      <c r="B6641" s="2">
        <v>45245.0</v>
      </c>
      <c r="C6641" s="1" t="s">
        <v>30</v>
      </c>
      <c r="D6641" s="1" t="s">
        <v>21</v>
      </c>
      <c r="E6641" s="1" t="s">
        <v>22</v>
      </c>
      <c r="F6641" s="1">
        <v>310.99</v>
      </c>
      <c r="G6641" s="1">
        <v>-74.32</v>
      </c>
      <c r="H6641" s="1">
        <v>1.0</v>
      </c>
      <c r="I6641" s="1" t="s">
        <v>23</v>
      </c>
      <c r="J6641" s="1" t="s">
        <v>24</v>
      </c>
      <c r="K6641" s="1">
        <f t="shared" si="1"/>
        <v>2023</v>
      </c>
      <c r="L6641" s="1" t="str">
        <f t="shared" si="2"/>
        <v>Nov</v>
      </c>
      <c r="M6641" s="1" t="str">
        <f t="shared" si="3"/>
        <v>Loss</v>
      </c>
    </row>
    <row r="6642" ht="14.25" customHeight="1">
      <c r="A6642" s="1" t="s">
        <v>6676</v>
      </c>
      <c r="B6642" s="2">
        <v>45014.0</v>
      </c>
      <c r="C6642" s="1" t="s">
        <v>20</v>
      </c>
      <c r="D6642" s="1" t="s">
        <v>27</v>
      </c>
      <c r="E6642" s="1" t="s">
        <v>33</v>
      </c>
      <c r="F6642" s="1">
        <v>52.34</v>
      </c>
      <c r="G6642" s="1">
        <v>87.9</v>
      </c>
      <c r="H6642" s="1">
        <v>1.0</v>
      </c>
      <c r="I6642" s="1" t="s">
        <v>17</v>
      </c>
      <c r="J6642" s="1" t="s">
        <v>35</v>
      </c>
      <c r="K6642" s="1">
        <f t="shared" si="1"/>
        <v>2023</v>
      </c>
      <c r="L6642" s="1" t="str">
        <f t="shared" si="2"/>
        <v>Mar</v>
      </c>
      <c r="M6642" s="1" t="str">
        <f t="shared" si="3"/>
        <v>Profit</v>
      </c>
    </row>
    <row r="6643" ht="14.25" customHeight="1">
      <c r="A6643" s="1" t="s">
        <v>6677</v>
      </c>
      <c r="B6643" s="2">
        <v>44711.0</v>
      </c>
      <c r="C6643" s="1" t="s">
        <v>30</v>
      </c>
      <c r="D6643" s="1" t="s">
        <v>27</v>
      </c>
      <c r="E6643" s="1" t="s">
        <v>33</v>
      </c>
      <c r="F6643" s="1">
        <v>227.54</v>
      </c>
      <c r="G6643" s="1">
        <v>-176.61</v>
      </c>
      <c r="H6643" s="1">
        <v>9.0</v>
      </c>
      <c r="I6643" s="1" t="s">
        <v>34</v>
      </c>
      <c r="J6643" s="1" t="s">
        <v>35</v>
      </c>
      <c r="K6643" s="1">
        <f t="shared" si="1"/>
        <v>2022</v>
      </c>
      <c r="L6643" s="1" t="str">
        <f t="shared" si="2"/>
        <v>May</v>
      </c>
      <c r="M6643" s="1" t="str">
        <f t="shared" si="3"/>
        <v>Loss</v>
      </c>
    </row>
    <row r="6644" ht="14.25" customHeight="1">
      <c r="A6644" s="1" t="s">
        <v>6678</v>
      </c>
      <c r="B6644" s="2">
        <v>44369.0</v>
      </c>
      <c r="C6644" s="1" t="s">
        <v>30</v>
      </c>
      <c r="D6644" s="1" t="s">
        <v>15</v>
      </c>
      <c r="E6644" s="1" t="s">
        <v>16</v>
      </c>
      <c r="F6644" s="1">
        <v>971.36</v>
      </c>
      <c r="G6644" s="1">
        <v>234.1</v>
      </c>
      <c r="H6644" s="1">
        <v>10.0</v>
      </c>
      <c r="I6644" s="1" t="s">
        <v>23</v>
      </c>
      <c r="J6644" s="1" t="s">
        <v>24</v>
      </c>
      <c r="K6644" s="1">
        <f t="shared" si="1"/>
        <v>2021</v>
      </c>
      <c r="L6644" s="1" t="str">
        <f t="shared" si="2"/>
        <v>Jun</v>
      </c>
      <c r="M6644" s="1" t="str">
        <f t="shared" si="3"/>
        <v>Profit</v>
      </c>
    </row>
    <row r="6645" ht="14.25" customHeight="1">
      <c r="A6645" s="1" t="s">
        <v>6679</v>
      </c>
      <c r="B6645" s="2">
        <v>44432.0</v>
      </c>
      <c r="C6645" s="1" t="s">
        <v>26</v>
      </c>
      <c r="D6645" s="1" t="s">
        <v>27</v>
      </c>
      <c r="E6645" s="1" t="s">
        <v>28</v>
      </c>
      <c r="F6645" s="1">
        <v>815.39</v>
      </c>
      <c r="G6645" s="1">
        <v>112.02</v>
      </c>
      <c r="H6645" s="1">
        <v>3.0</v>
      </c>
      <c r="I6645" s="1" t="s">
        <v>23</v>
      </c>
      <c r="J6645" s="1" t="s">
        <v>38</v>
      </c>
      <c r="K6645" s="1">
        <f t="shared" si="1"/>
        <v>2021</v>
      </c>
      <c r="L6645" s="1" t="str">
        <f t="shared" si="2"/>
        <v>Aug</v>
      </c>
      <c r="M6645" s="1" t="str">
        <f t="shared" si="3"/>
        <v>Profit</v>
      </c>
    </row>
    <row r="6646" ht="14.25" customHeight="1">
      <c r="A6646" s="1" t="s">
        <v>6680</v>
      </c>
      <c r="B6646" s="2">
        <v>44713.0</v>
      </c>
      <c r="C6646" s="1" t="s">
        <v>14</v>
      </c>
      <c r="D6646" s="1" t="s">
        <v>21</v>
      </c>
      <c r="E6646" s="1" t="s">
        <v>22</v>
      </c>
      <c r="F6646" s="1">
        <v>423.82</v>
      </c>
      <c r="G6646" s="1">
        <v>-183.54</v>
      </c>
      <c r="H6646" s="1">
        <v>7.0</v>
      </c>
      <c r="I6646" s="1" t="s">
        <v>23</v>
      </c>
      <c r="J6646" s="1" t="s">
        <v>35</v>
      </c>
      <c r="K6646" s="1">
        <f t="shared" si="1"/>
        <v>2022</v>
      </c>
      <c r="L6646" s="1" t="str">
        <f t="shared" si="2"/>
        <v>Jun</v>
      </c>
      <c r="M6646" s="1" t="str">
        <f t="shared" si="3"/>
        <v>Loss</v>
      </c>
    </row>
    <row r="6647" ht="14.25" customHeight="1">
      <c r="A6647" s="1" t="s">
        <v>6681</v>
      </c>
      <c r="B6647" s="2">
        <v>45078.0</v>
      </c>
      <c r="C6647" s="1" t="s">
        <v>20</v>
      </c>
      <c r="D6647" s="1" t="s">
        <v>15</v>
      </c>
      <c r="E6647" s="1" t="s">
        <v>16</v>
      </c>
      <c r="F6647" s="1">
        <v>884.09</v>
      </c>
      <c r="G6647" s="1">
        <v>94.81</v>
      </c>
      <c r="H6647" s="1">
        <v>5.0</v>
      </c>
      <c r="I6647" s="1" t="s">
        <v>17</v>
      </c>
      <c r="J6647" s="1" t="s">
        <v>35</v>
      </c>
      <c r="K6647" s="1">
        <f t="shared" si="1"/>
        <v>2023</v>
      </c>
      <c r="L6647" s="1" t="str">
        <f t="shared" si="2"/>
        <v>Jun</v>
      </c>
      <c r="M6647" s="1" t="str">
        <f t="shared" si="3"/>
        <v>Profit</v>
      </c>
    </row>
    <row r="6648" ht="14.25" customHeight="1">
      <c r="A6648" s="1" t="s">
        <v>6682</v>
      </c>
      <c r="B6648" s="2">
        <v>44860.0</v>
      </c>
      <c r="C6648" s="1" t="s">
        <v>20</v>
      </c>
      <c r="D6648" s="1" t="s">
        <v>21</v>
      </c>
      <c r="E6648" s="1" t="s">
        <v>22</v>
      </c>
      <c r="F6648" s="1">
        <v>579.94</v>
      </c>
      <c r="G6648" s="1">
        <v>-35.23</v>
      </c>
      <c r="H6648" s="1">
        <v>4.0</v>
      </c>
      <c r="I6648" s="1" t="s">
        <v>17</v>
      </c>
      <c r="J6648" s="1" t="s">
        <v>18</v>
      </c>
      <c r="K6648" s="1">
        <f t="shared" si="1"/>
        <v>2022</v>
      </c>
      <c r="L6648" s="1" t="str">
        <f t="shared" si="2"/>
        <v>Oct</v>
      </c>
      <c r="M6648" s="1" t="str">
        <f t="shared" si="3"/>
        <v>Loss</v>
      </c>
    </row>
    <row r="6649" ht="14.25" customHeight="1">
      <c r="A6649" s="1" t="s">
        <v>6683</v>
      </c>
      <c r="B6649" s="2">
        <v>44933.0</v>
      </c>
      <c r="C6649" s="1" t="s">
        <v>26</v>
      </c>
      <c r="D6649" s="1" t="s">
        <v>21</v>
      </c>
      <c r="E6649" s="1" t="s">
        <v>76</v>
      </c>
      <c r="F6649" s="1">
        <v>168.04</v>
      </c>
      <c r="G6649" s="1">
        <v>130.97</v>
      </c>
      <c r="H6649" s="1">
        <v>2.0</v>
      </c>
      <c r="I6649" s="1" t="s">
        <v>23</v>
      </c>
      <c r="J6649" s="1" t="s">
        <v>35</v>
      </c>
      <c r="K6649" s="1">
        <f t="shared" si="1"/>
        <v>2023</v>
      </c>
      <c r="L6649" s="1" t="str">
        <f t="shared" si="2"/>
        <v>Jan</v>
      </c>
      <c r="M6649" s="1" t="str">
        <f t="shared" si="3"/>
        <v>Profit</v>
      </c>
    </row>
    <row r="6650" ht="14.25" customHeight="1">
      <c r="A6650" s="1" t="s">
        <v>6684</v>
      </c>
      <c r="B6650" s="2">
        <v>45200.0</v>
      </c>
      <c r="C6650" s="1" t="s">
        <v>26</v>
      </c>
      <c r="D6650" s="1" t="s">
        <v>21</v>
      </c>
      <c r="E6650" s="1" t="s">
        <v>76</v>
      </c>
      <c r="F6650" s="1">
        <v>934.28</v>
      </c>
      <c r="G6650" s="1">
        <v>-151.33</v>
      </c>
      <c r="H6650" s="1">
        <v>4.0</v>
      </c>
      <c r="I6650" s="1" t="s">
        <v>17</v>
      </c>
      <c r="J6650" s="1" t="s">
        <v>38</v>
      </c>
      <c r="K6650" s="1">
        <f t="shared" si="1"/>
        <v>2023</v>
      </c>
      <c r="L6650" s="1" t="str">
        <f t="shared" si="2"/>
        <v>Oct</v>
      </c>
      <c r="M6650" s="1" t="str">
        <f t="shared" si="3"/>
        <v>Loss</v>
      </c>
    </row>
    <row r="6651" ht="14.25" customHeight="1">
      <c r="A6651" s="1" t="s">
        <v>6685</v>
      </c>
      <c r="B6651" s="2">
        <v>44821.0</v>
      </c>
      <c r="C6651" s="1" t="s">
        <v>20</v>
      </c>
      <c r="D6651" s="1" t="s">
        <v>21</v>
      </c>
      <c r="E6651" s="1" t="s">
        <v>37</v>
      </c>
      <c r="F6651" s="1">
        <v>135.26</v>
      </c>
      <c r="G6651" s="1">
        <v>-98.82</v>
      </c>
      <c r="H6651" s="1">
        <v>7.0</v>
      </c>
      <c r="I6651" s="1" t="s">
        <v>23</v>
      </c>
      <c r="J6651" s="1" t="s">
        <v>35</v>
      </c>
      <c r="K6651" s="1">
        <f t="shared" si="1"/>
        <v>2022</v>
      </c>
      <c r="L6651" s="1" t="str">
        <f t="shared" si="2"/>
        <v>Sep</v>
      </c>
      <c r="M6651" s="1" t="str">
        <f t="shared" si="3"/>
        <v>Loss</v>
      </c>
    </row>
    <row r="6652" ht="14.25" customHeight="1">
      <c r="A6652" s="1" t="s">
        <v>6686</v>
      </c>
      <c r="B6652" s="2">
        <v>45239.0</v>
      </c>
      <c r="C6652" s="1" t="s">
        <v>26</v>
      </c>
      <c r="D6652" s="1" t="s">
        <v>27</v>
      </c>
      <c r="E6652" s="1" t="s">
        <v>28</v>
      </c>
      <c r="F6652" s="1">
        <v>858.96</v>
      </c>
      <c r="G6652" s="1">
        <v>-191.58</v>
      </c>
      <c r="H6652" s="1">
        <v>6.0</v>
      </c>
      <c r="I6652" s="1" t="s">
        <v>17</v>
      </c>
      <c r="J6652" s="1" t="s">
        <v>24</v>
      </c>
      <c r="K6652" s="1">
        <f t="shared" si="1"/>
        <v>2023</v>
      </c>
      <c r="L6652" s="1" t="str">
        <f t="shared" si="2"/>
        <v>Nov</v>
      </c>
      <c r="M6652" s="1" t="str">
        <f t="shared" si="3"/>
        <v>Loss</v>
      </c>
    </row>
    <row r="6653" ht="14.25" customHeight="1">
      <c r="A6653" s="1" t="s">
        <v>6687</v>
      </c>
      <c r="B6653" s="2">
        <v>44249.0</v>
      </c>
      <c r="C6653" s="1" t="s">
        <v>30</v>
      </c>
      <c r="D6653" s="1" t="s">
        <v>21</v>
      </c>
      <c r="E6653" s="1" t="s">
        <v>76</v>
      </c>
      <c r="F6653" s="1">
        <v>994.51</v>
      </c>
      <c r="G6653" s="1">
        <v>157.08</v>
      </c>
      <c r="H6653" s="1">
        <v>2.0</v>
      </c>
      <c r="I6653" s="1" t="s">
        <v>23</v>
      </c>
      <c r="J6653" s="1" t="s">
        <v>35</v>
      </c>
      <c r="K6653" s="1">
        <f t="shared" si="1"/>
        <v>2021</v>
      </c>
      <c r="L6653" s="1" t="str">
        <f t="shared" si="2"/>
        <v>Feb</v>
      </c>
      <c r="M6653" s="1" t="str">
        <f t="shared" si="3"/>
        <v>Profit</v>
      </c>
    </row>
    <row r="6654" ht="14.25" customHeight="1">
      <c r="A6654" s="1" t="s">
        <v>6688</v>
      </c>
      <c r="B6654" s="2">
        <v>45164.0</v>
      </c>
      <c r="C6654" s="1" t="s">
        <v>26</v>
      </c>
      <c r="D6654" s="1" t="s">
        <v>27</v>
      </c>
      <c r="E6654" s="1" t="s">
        <v>40</v>
      </c>
      <c r="F6654" s="1">
        <v>32.43</v>
      </c>
      <c r="G6654" s="1">
        <v>42.81</v>
      </c>
      <c r="H6654" s="1">
        <v>9.0</v>
      </c>
      <c r="I6654" s="1" t="s">
        <v>34</v>
      </c>
      <c r="J6654" s="1" t="s">
        <v>35</v>
      </c>
      <c r="K6654" s="1">
        <f t="shared" si="1"/>
        <v>2023</v>
      </c>
      <c r="L6654" s="1" t="str">
        <f t="shared" si="2"/>
        <v>Aug</v>
      </c>
      <c r="M6654" s="1" t="str">
        <f t="shared" si="3"/>
        <v>Profit</v>
      </c>
    </row>
    <row r="6655" ht="14.25" customHeight="1">
      <c r="A6655" s="1" t="s">
        <v>6689</v>
      </c>
      <c r="B6655" s="2">
        <v>45086.0</v>
      </c>
      <c r="C6655" s="1" t="s">
        <v>20</v>
      </c>
      <c r="D6655" s="1" t="s">
        <v>15</v>
      </c>
      <c r="E6655" s="1" t="s">
        <v>31</v>
      </c>
      <c r="F6655" s="1">
        <v>672.91</v>
      </c>
      <c r="G6655" s="1">
        <v>168.5</v>
      </c>
      <c r="H6655" s="1">
        <v>7.0</v>
      </c>
      <c r="I6655" s="1" t="s">
        <v>17</v>
      </c>
      <c r="J6655" s="1" t="s">
        <v>35</v>
      </c>
      <c r="K6655" s="1">
        <f t="shared" si="1"/>
        <v>2023</v>
      </c>
      <c r="L6655" s="1" t="str">
        <f t="shared" si="2"/>
        <v>Jun</v>
      </c>
      <c r="M6655" s="1" t="str">
        <f t="shared" si="3"/>
        <v>Profit</v>
      </c>
    </row>
    <row r="6656" ht="14.25" customHeight="1">
      <c r="A6656" s="1" t="s">
        <v>6690</v>
      </c>
      <c r="B6656" s="2">
        <v>45020.0</v>
      </c>
      <c r="C6656" s="1" t="s">
        <v>30</v>
      </c>
      <c r="D6656" s="1" t="s">
        <v>21</v>
      </c>
      <c r="E6656" s="1" t="s">
        <v>22</v>
      </c>
      <c r="F6656" s="1">
        <v>570.51</v>
      </c>
      <c r="G6656" s="1">
        <v>-65.09</v>
      </c>
      <c r="H6656" s="1">
        <v>4.0</v>
      </c>
      <c r="I6656" s="1" t="s">
        <v>23</v>
      </c>
      <c r="J6656" s="1" t="s">
        <v>24</v>
      </c>
      <c r="K6656" s="1">
        <f t="shared" si="1"/>
        <v>2023</v>
      </c>
      <c r="L6656" s="1" t="str">
        <f t="shared" si="2"/>
        <v>Apr</v>
      </c>
      <c r="M6656" s="1" t="str">
        <f t="shared" si="3"/>
        <v>Loss</v>
      </c>
    </row>
    <row r="6657" ht="14.25" customHeight="1">
      <c r="A6657" s="1" t="s">
        <v>6691</v>
      </c>
      <c r="B6657" s="2">
        <v>44821.0</v>
      </c>
      <c r="C6657" s="1" t="s">
        <v>14</v>
      </c>
      <c r="D6657" s="1" t="s">
        <v>27</v>
      </c>
      <c r="E6657" s="1" t="s">
        <v>28</v>
      </c>
      <c r="F6657" s="1">
        <v>28.87</v>
      </c>
      <c r="G6657" s="1">
        <v>-178.57</v>
      </c>
      <c r="H6657" s="1">
        <v>2.0</v>
      </c>
      <c r="I6657" s="1" t="s">
        <v>17</v>
      </c>
      <c r="J6657" s="1" t="s">
        <v>24</v>
      </c>
      <c r="K6657" s="1">
        <f t="shared" si="1"/>
        <v>2022</v>
      </c>
      <c r="L6657" s="1" t="str">
        <f t="shared" si="2"/>
        <v>Sep</v>
      </c>
      <c r="M6657" s="1" t="str">
        <f t="shared" si="3"/>
        <v>Loss</v>
      </c>
    </row>
    <row r="6658" ht="14.25" customHeight="1">
      <c r="A6658" s="1" t="s">
        <v>6692</v>
      </c>
      <c r="B6658" s="2">
        <v>44797.0</v>
      </c>
      <c r="C6658" s="1" t="s">
        <v>26</v>
      </c>
      <c r="D6658" s="1" t="s">
        <v>27</v>
      </c>
      <c r="E6658" s="1" t="s">
        <v>40</v>
      </c>
      <c r="F6658" s="1">
        <v>673.52</v>
      </c>
      <c r="G6658" s="1">
        <v>81.84</v>
      </c>
      <c r="H6658" s="1">
        <v>8.0</v>
      </c>
      <c r="I6658" s="1" t="s">
        <v>23</v>
      </c>
      <c r="J6658" s="1" t="s">
        <v>24</v>
      </c>
      <c r="K6658" s="1">
        <f t="shared" si="1"/>
        <v>2022</v>
      </c>
      <c r="L6658" s="1" t="str">
        <f t="shared" si="2"/>
        <v>Aug</v>
      </c>
      <c r="M6658" s="1" t="str">
        <f t="shared" si="3"/>
        <v>Profit</v>
      </c>
    </row>
    <row r="6659" ht="14.25" customHeight="1">
      <c r="A6659" s="1" t="s">
        <v>6693</v>
      </c>
      <c r="B6659" s="2">
        <v>44997.0</v>
      </c>
      <c r="C6659" s="1" t="s">
        <v>14</v>
      </c>
      <c r="D6659" s="1" t="s">
        <v>15</v>
      </c>
      <c r="E6659" s="1" t="s">
        <v>31</v>
      </c>
      <c r="F6659" s="1">
        <v>998.01</v>
      </c>
      <c r="G6659" s="1">
        <v>245.18</v>
      </c>
      <c r="H6659" s="1">
        <v>6.0</v>
      </c>
      <c r="I6659" s="1" t="s">
        <v>17</v>
      </c>
      <c r="J6659" s="1" t="s">
        <v>35</v>
      </c>
      <c r="K6659" s="1">
        <f t="shared" si="1"/>
        <v>2023</v>
      </c>
      <c r="L6659" s="1" t="str">
        <f t="shared" si="2"/>
        <v>Mar</v>
      </c>
      <c r="M6659" s="1" t="str">
        <f t="shared" si="3"/>
        <v>Profit</v>
      </c>
    </row>
    <row r="6660" ht="14.25" customHeight="1">
      <c r="A6660" s="1" t="s">
        <v>6694</v>
      </c>
      <c r="B6660" s="2">
        <v>45049.0</v>
      </c>
      <c r="C6660" s="1" t="s">
        <v>26</v>
      </c>
      <c r="D6660" s="1" t="s">
        <v>27</v>
      </c>
      <c r="E6660" s="1" t="s">
        <v>40</v>
      </c>
      <c r="F6660" s="1">
        <v>462.43</v>
      </c>
      <c r="G6660" s="1">
        <v>12.18</v>
      </c>
      <c r="H6660" s="1">
        <v>1.0</v>
      </c>
      <c r="I6660" s="1" t="s">
        <v>23</v>
      </c>
      <c r="J6660" s="1" t="s">
        <v>18</v>
      </c>
      <c r="K6660" s="1">
        <f t="shared" si="1"/>
        <v>2023</v>
      </c>
      <c r="L6660" s="1" t="str">
        <f t="shared" si="2"/>
        <v>May</v>
      </c>
      <c r="M6660" s="1" t="str">
        <f t="shared" si="3"/>
        <v>Profit</v>
      </c>
    </row>
    <row r="6661" ht="14.25" customHeight="1">
      <c r="A6661" s="1" t="s">
        <v>6695</v>
      </c>
      <c r="B6661" s="2">
        <v>44379.0</v>
      </c>
      <c r="C6661" s="1" t="s">
        <v>26</v>
      </c>
      <c r="D6661" s="1" t="s">
        <v>27</v>
      </c>
      <c r="E6661" s="1" t="s">
        <v>40</v>
      </c>
      <c r="F6661" s="1">
        <v>507.68</v>
      </c>
      <c r="G6661" s="1">
        <v>22.78</v>
      </c>
      <c r="H6661" s="1">
        <v>5.0</v>
      </c>
      <c r="I6661" s="1" t="s">
        <v>34</v>
      </c>
      <c r="J6661" s="1" t="s">
        <v>38</v>
      </c>
      <c r="K6661" s="1">
        <f t="shared" si="1"/>
        <v>2021</v>
      </c>
      <c r="L6661" s="1" t="str">
        <f t="shared" si="2"/>
        <v>Jul</v>
      </c>
      <c r="M6661" s="1" t="str">
        <f t="shared" si="3"/>
        <v>Profit</v>
      </c>
    </row>
    <row r="6662" ht="14.25" customHeight="1">
      <c r="A6662" s="1" t="s">
        <v>6696</v>
      </c>
      <c r="B6662" s="2">
        <v>44664.0</v>
      </c>
      <c r="C6662" s="1" t="s">
        <v>26</v>
      </c>
      <c r="D6662" s="1" t="s">
        <v>21</v>
      </c>
      <c r="E6662" s="1" t="s">
        <v>22</v>
      </c>
      <c r="F6662" s="1">
        <v>84.89</v>
      </c>
      <c r="G6662" s="1">
        <v>176.09</v>
      </c>
      <c r="H6662" s="1">
        <v>6.0</v>
      </c>
      <c r="I6662" s="1" t="s">
        <v>34</v>
      </c>
      <c r="J6662" s="1" t="s">
        <v>38</v>
      </c>
      <c r="K6662" s="1">
        <f t="shared" si="1"/>
        <v>2022</v>
      </c>
      <c r="L6662" s="1" t="str">
        <f t="shared" si="2"/>
        <v>Apr</v>
      </c>
      <c r="M6662" s="1" t="str">
        <f t="shared" si="3"/>
        <v>Profit</v>
      </c>
    </row>
    <row r="6663" ht="14.25" customHeight="1">
      <c r="A6663" s="1" t="s">
        <v>6697</v>
      </c>
      <c r="B6663" s="2">
        <v>44200.0</v>
      </c>
      <c r="C6663" s="1" t="s">
        <v>26</v>
      </c>
      <c r="D6663" s="1" t="s">
        <v>21</v>
      </c>
      <c r="E6663" s="1" t="s">
        <v>22</v>
      </c>
      <c r="F6663" s="1">
        <v>140.73</v>
      </c>
      <c r="G6663" s="1">
        <v>-197.89</v>
      </c>
      <c r="H6663" s="1">
        <v>6.0</v>
      </c>
      <c r="I6663" s="1" t="s">
        <v>17</v>
      </c>
      <c r="J6663" s="1" t="s">
        <v>35</v>
      </c>
      <c r="K6663" s="1">
        <f t="shared" si="1"/>
        <v>2021</v>
      </c>
      <c r="L6663" s="1" t="str">
        <f t="shared" si="2"/>
        <v>Jan</v>
      </c>
      <c r="M6663" s="1" t="str">
        <f t="shared" si="3"/>
        <v>Loss</v>
      </c>
    </row>
    <row r="6664" ht="14.25" customHeight="1">
      <c r="A6664" s="1" t="s">
        <v>6698</v>
      </c>
      <c r="B6664" s="2">
        <v>44635.0</v>
      </c>
      <c r="C6664" s="1" t="s">
        <v>30</v>
      </c>
      <c r="D6664" s="1" t="s">
        <v>15</v>
      </c>
      <c r="E6664" s="1" t="s">
        <v>31</v>
      </c>
      <c r="F6664" s="1">
        <v>473.02</v>
      </c>
      <c r="G6664" s="1">
        <v>-13.53</v>
      </c>
      <c r="H6664" s="1">
        <v>5.0</v>
      </c>
      <c r="I6664" s="1" t="s">
        <v>17</v>
      </c>
      <c r="J6664" s="1" t="s">
        <v>18</v>
      </c>
      <c r="K6664" s="1">
        <f t="shared" si="1"/>
        <v>2022</v>
      </c>
      <c r="L6664" s="1" t="str">
        <f t="shared" si="2"/>
        <v>Mar</v>
      </c>
      <c r="M6664" s="1" t="str">
        <f t="shared" si="3"/>
        <v>Loss</v>
      </c>
    </row>
    <row r="6665" ht="14.25" customHeight="1">
      <c r="A6665" s="1" t="s">
        <v>6699</v>
      </c>
      <c r="B6665" s="2">
        <v>45271.0</v>
      </c>
      <c r="C6665" s="1" t="s">
        <v>20</v>
      </c>
      <c r="D6665" s="1" t="s">
        <v>21</v>
      </c>
      <c r="E6665" s="1" t="s">
        <v>76</v>
      </c>
      <c r="F6665" s="1">
        <v>505.4</v>
      </c>
      <c r="G6665" s="1">
        <v>158.89</v>
      </c>
      <c r="H6665" s="1">
        <v>2.0</v>
      </c>
      <c r="I6665" s="1" t="s">
        <v>34</v>
      </c>
      <c r="J6665" s="1" t="s">
        <v>35</v>
      </c>
      <c r="K6665" s="1">
        <f t="shared" si="1"/>
        <v>2023</v>
      </c>
      <c r="L6665" s="1" t="str">
        <f t="shared" si="2"/>
        <v>Dec</v>
      </c>
      <c r="M6665" s="1" t="str">
        <f t="shared" si="3"/>
        <v>Profit</v>
      </c>
    </row>
    <row r="6666" ht="14.25" customHeight="1">
      <c r="A6666" s="1" t="s">
        <v>6700</v>
      </c>
      <c r="B6666" s="2">
        <v>44940.0</v>
      </c>
      <c r="C6666" s="1" t="s">
        <v>20</v>
      </c>
      <c r="D6666" s="1" t="s">
        <v>15</v>
      </c>
      <c r="E6666" s="1" t="s">
        <v>31</v>
      </c>
      <c r="F6666" s="1">
        <v>522.58</v>
      </c>
      <c r="G6666" s="1">
        <v>221.99</v>
      </c>
      <c r="H6666" s="1">
        <v>2.0</v>
      </c>
      <c r="I6666" s="1" t="s">
        <v>17</v>
      </c>
      <c r="J6666" s="1" t="s">
        <v>35</v>
      </c>
      <c r="K6666" s="1">
        <f t="shared" si="1"/>
        <v>2023</v>
      </c>
      <c r="L6666" s="1" t="str">
        <f t="shared" si="2"/>
        <v>Jan</v>
      </c>
      <c r="M6666" s="1" t="str">
        <f t="shared" si="3"/>
        <v>Profit</v>
      </c>
    </row>
    <row r="6667" ht="14.25" customHeight="1">
      <c r="A6667" s="1" t="s">
        <v>6701</v>
      </c>
      <c r="B6667" s="2">
        <v>44423.0</v>
      </c>
      <c r="C6667" s="1" t="s">
        <v>20</v>
      </c>
      <c r="D6667" s="1" t="s">
        <v>27</v>
      </c>
      <c r="E6667" s="1" t="s">
        <v>40</v>
      </c>
      <c r="F6667" s="1">
        <v>412.65</v>
      </c>
      <c r="G6667" s="1">
        <v>1.08</v>
      </c>
      <c r="H6667" s="1">
        <v>9.0</v>
      </c>
      <c r="I6667" s="1" t="s">
        <v>34</v>
      </c>
      <c r="J6667" s="1" t="s">
        <v>24</v>
      </c>
      <c r="K6667" s="1">
        <f t="shared" si="1"/>
        <v>2021</v>
      </c>
      <c r="L6667" s="1" t="str">
        <f t="shared" si="2"/>
        <v>Aug</v>
      </c>
      <c r="M6667" s="1" t="str">
        <f t="shared" si="3"/>
        <v>Profit</v>
      </c>
    </row>
    <row r="6668" ht="14.25" customHeight="1">
      <c r="A6668" s="1" t="s">
        <v>6702</v>
      </c>
      <c r="B6668" s="2">
        <v>44293.0</v>
      </c>
      <c r="C6668" s="1" t="s">
        <v>26</v>
      </c>
      <c r="D6668" s="1" t="s">
        <v>21</v>
      </c>
      <c r="E6668" s="1" t="s">
        <v>22</v>
      </c>
      <c r="F6668" s="1">
        <v>489.96</v>
      </c>
      <c r="G6668" s="1">
        <v>171.0</v>
      </c>
      <c r="H6668" s="1">
        <v>6.0</v>
      </c>
      <c r="I6668" s="1" t="s">
        <v>23</v>
      </c>
      <c r="J6668" s="1" t="s">
        <v>38</v>
      </c>
      <c r="K6668" s="1">
        <f t="shared" si="1"/>
        <v>2021</v>
      </c>
      <c r="L6668" s="1" t="str">
        <f t="shared" si="2"/>
        <v>Apr</v>
      </c>
      <c r="M6668" s="1" t="str">
        <f t="shared" si="3"/>
        <v>Profit</v>
      </c>
    </row>
    <row r="6669" ht="14.25" customHeight="1">
      <c r="A6669" s="1" t="s">
        <v>6703</v>
      </c>
      <c r="B6669" s="2">
        <v>44677.0</v>
      </c>
      <c r="C6669" s="1" t="s">
        <v>20</v>
      </c>
      <c r="D6669" s="1" t="s">
        <v>27</v>
      </c>
      <c r="E6669" s="1" t="s">
        <v>28</v>
      </c>
      <c r="F6669" s="1">
        <v>229.54</v>
      </c>
      <c r="G6669" s="1">
        <v>-81.17</v>
      </c>
      <c r="H6669" s="1">
        <v>6.0</v>
      </c>
      <c r="I6669" s="1" t="s">
        <v>23</v>
      </c>
      <c r="J6669" s="1" t="s">
        <v>38</v>
      </c>
      <c r="K6669" s="1">
        <f t="shared" si="1"/>
        <v>2022</v>
      </c>
      <c r="L6669" s="1" t="str">
        <f t="shared" si="2"/>
        <v>Apr</v>
      </c>
      <c r="M6669" s="1" t="str">
        <f t="shared" si="3"/>
        <v>Loss</v>
      </c>
    </row>
    <row r="6670" ht="14.25" customHeight="1">
      <c r="A6670" s="1" t="s">
        <v>6704</v>
      </c>
      <c r="B6670" s="2">
        <v>44206.0</v>
      </c>
      <c r="C6670" s="1" t="s">
        <v>26</v>
      </c>
      <c r="D6670" s="1" t="s">
        <v>21</v>
      </c>
      <c r="E6670" s="1" t="s">
        <v>22</v>
      </c>
      <c r="F6670" s="1">
        <v>104.01</v>
      </c>
      <c r="G6670" s="1">
        <v>-7.71</v>
      </c>
      <c r="H6670" s="1">
        <v>1.0</v>
      </c>
      <c r="I6670" s="1" t="s">
        <v>17</v>
      </c>
      <c r="J6670" s="1" t="s">
        <v>38</v>
      </c>
      <c r="K6670" s="1">
        <f t="shared" si="1"/>
        <v>2021</v>
      </c>
      <c r="L6670" s="1" t="str">
        <f t="shared" si="2"/>
        <v>Jan</v>
      </c>
      <c r="M6670" s="1" t="str">
        <f t="shared" si="3"/>
        <v>Loss</v>
      </c>
    </row>
    <row r="6671" ht="14.25" customHeight="1">
      <c r="A6671" s="1" t="s">
        <v>6705</v>
      </c>
      <c r="B6671" s="2">
        <v>45150.0</v>
      </c>
      <c r="C6671" s="1" t="s">
        <v>30</v>
      </c>
      <c r="D6671" s="1" t="s">
        <v>27</v>
      </c>
      <c r="E6671" s="1" t="s">
        <v>28</v>
      </c>
      <c r="F6671" s="1">
        <v>50.82</v>
      </c>
      <c r="G6671" s="1">
        <v>-169.97</v>
      </c>
      <c r="H6671" s="1">
        <v>9.0</v>
      </c>
      <c r="I6671" s="1" t="s">
        <v>17</v>
      </c>
      <c r="J6671" s="1" t="s">
        <v>18</v>
      </c>
      <c r="K6671" s="1">
        <f t="shared" si="1"/>
        <v>2023</v>
      </c>
      <c r="L6671" s="1" t="str">
        <f t="shared" si="2"/>
        <v>Aug</v>
      </c>
      <c r="M6671" s="1" t="str">
        <f t="shared" si="3"/>
        <v>Loss</v>
      </c>
    </row>
    <row r="6672" ht="14.25" customHeight="1">
      <c r="A6672" s="1" t="s">
        <v>6706</v>
      </c>
      <c r="B6672" s="2">
        <v>44910.0</v>
      </c>
      <c r="C6672" s="1" t="s">
        <v>14</v>
      </c>
      <c r="D6672" s="1" t="s">
        <v>21</v>
      </c>
      <c r="E6672" s="1" t="s">
        <v>76</v>
      </c>
      <c r="F6672" s="1">
        <v>554.91</v>
      </c>
      <c r="G6672" s="1">
        <v>-66.42</v>
      </c>
      <c r="H6672" s="1">
        <v>4.0</v>
      </c>
      <c r="I6672" s="1" t="s">
        <v>34</v>
      </c>
      <c r="J6672" s="1" t="s">
        <v>35</v>
      </c>
      <c r="K6672" s="1">
        <f t="shared" si="1"/>
        <v>2022</v>
      </c>
      <c r="L6672" s="1" t="str">
        <f t="shared" si="2"/>
        <v>Dec</v>
      </c>
      <c r="M6672" s="1" t="str">
        <f t="shared" si="3"/>
        <v>Loss</v>
      </c>
    </row>
    <row r="6673" ht="14.25" customHeight="1">
      <c r="A6673" s="1" t="s">
        <v>6707</v>
      </c>
      <c r="B6673" s="2">
        <v>44993.0</v>
      </c>
      <c r="C6673" s="1" t="s">
        <v>30</v>
      </c>
      <c r="D6673" s="1" t="s">
        <v>27</v>
      </c>
      <c r="E6673" s="1" t="s">
        <v>33</v>
      </c>
      <c r="F6673" s="1">
        <v>208.55</v>
      </c>
      <c r="G6673" s="1">
        <v>60.56</v>
      </c>
      <c r="H6673" s="1">
        <v>9.0</v>
      </c>
      <c r="I6673" s="1" t="s">
        <v>34</v>
      </c>
      <c r="J6673" s="1" t="s">
        <v>38</v>
      </c>
      <c r="K6673" s="1">
        <f t="shared" si="1"/>
        <v>2023</v>
      </c>
      <c r="L6673" s="1" t="str">
        <f t="shared" si="2"/>
        <v>Mar</v>
      </c>
      <c r="M6673" s="1" t="str">
        <f t="shared" si="3"/>
        <v>Profit</v>
      </c>
    </row>
    <row r="6674" ht="14.25" customHeight="1">
      <c r="A6674" s="1" t="s">
        <v>6708</v>
      </c>
      <c r="B6674" s="2">
        <v>45041.0</v>
      </c>
      <c r="C6674" s="1" t="s">
        <v>30</v>
      </c>
      <c r="D6674" s="1" t="s">
        <v>15</v>
      </c>
      <c r="E6674" s="1" t="s">
        <v>16</v>
      </c>
      <c r="F6674" s="1">
        <v>852.23</v>
      </c>
      <c r="G6674" s="1">
        <v>289.44</v>
      </c>
      <c r="H6674" s="1">
        <v>4.0</v>
      </c>
      <c r="I6674" s="1" t="s">
        <v>23</v>
      </c>
      <c r="J6674" s="1" t="s">
        <v>35</v>
      </c>
      <c r="K6674" s="1">
        <f t="shared" si="1"/>
        <v>2023</v>
      </c>
      <c r="L6674" s="1" t="str">
        <f t="shared" si="2"/>
        <v>Apr</v>
      </c>
      <c r="M6674" s="1" t="str">
        <f t="shared" si="3"/>
        <v>Profit</v>
      </c>
    </row>
    <row r="6675" ht="14.25" customHeight="1">
      <c r="A6675" s="1" t="s">
        <v>6709</v>
      </c>
      <c r="B6675" s="2">
        <v>45173.0</v>
      </c>
      <c r="C6675" s="1" t="s">
        <v>26</v>
      </c>
      <c r="D6675" s="1" t="s">
        <v>21</v>
      </c>
      <c r="E6675" s="1" t="s">
        <v>22</v>
      </c>
      <c r="F6675" s="1">
        <v>71.13</v>
      </c>
      <c r="G6675" s="1">
        <v>-21.12</v>
      </c>
      <c r="H6675" s="1">
        <v>5.0</v>
      </c>
      <c r="I6675" s="1" t="s">
        <v>34</v>
      </c>
      <c r="J6675" s="1" t="s">
        <v>18</v>
      </c>
      <c r="K6675" s="1">
        <f t="shared" si="1"/>
        <v>2023</v>
      </c>
      <c r="L6675" s="1" t="str">
        <f t="shared" si="2"/>
        <v>Sep</v>
      </c>
      <c r="M6675" s="1" t="str">
        <f t="shared" si="3"/>
        <v>Loss</v>
      </c>
    </row>
    <row r="6676" ht="14.25" customHeight="1">
      <c r="A6676" s="1" t="s">
        <v>6710</v>
      </c>
      <c r="B6676" s="2">
        <v>45030.0</v>
      </c>
      <c r="C6676" s="1" t="s">
        <v>20</v>
      </c>
      <c r="D6676" s="1" t="s">
        <v>27</v>
      </c>
      <c r="E6676" s="1" t="s">
        <v>28</v>
      </c>
      <c r="F6676" s="1">
        <v>687.57</v>
      </c>
      <c r="G6676" s="1">
        <v>152.24</v>
      </c>
      <c r="H6676" s="1">
        <v>2.0</v>
      </c>
      <c r="I6676" s="1" t="s">
        <v>34</v>
      </c>
      <c r="J6676" s="1" t="s">
        <v>38</v>
      </c>
      <c r="K6676" s="1">
        <f t="shared" si="1"/>
        <v>2023</v>
      </c>
      <c r="L6676" s="1" t="str">
        <f t="shared" si="2"/>
        <v>Apr</v>
      </c>
      <c r="M6676" s="1" t="str">
        <f t="shared" si="3"/>
        <v>Profit</v>
      </c>
    </row>
    <row r="6677" ht="14.25" customHeight="1">
      <c r="A6677" s="1" t="s">
        <v>6711</v>
      </c>
      <c r="B6677" s="2">
        <v>44279.0</v>
      </c>
      <c r="C6677" s="1" t="s">
        <v>26</v>
      </c>
      <c r="D6677" s="1" t="s">
        <v>27</v>
      </c>
      <c r="E6677" s="1" t="s">
        <v>40</v>
      </c>
      <c r="F6677" s="1">
        <v>354.55</v>
      </c>
      <c r="G6677" s="1">
        <v>-107.0</v>
      </c>
      <c r="H6677" s="1">
        <v>10.0</v>
      </c>
      <c r="I6677" s="1" t="s">
        <v>23</v>
      </c>
      <c r="J6677" s="1" t="s">
        <v>18</v>
      </c>
      <c r="K6677" s="1">
        <f t="shared" si="1"/>
        <v>2021</v>
      </c>
      <c r="L6677" s="1" t="str">
        <f t="shared" si="2"/>
        <v>Mar</v>
      </c>
      <c r="M6677" s="1" t="str">
        <f t="shared" si="3"/>
        <v>Loss</v>
      </c>
    </row>
    <row r="6678" ht="14.25" customHeight="1">
      <c r="A6678" s="1" t="s">
        <v>6712</v>
      </c>
      <c r="B6678" s="2">
        <v>44317.0</v>
      </c>
      <c r="C6678" s="1" t="s">
        <v>14</v>
      </c>
      <c r="D6678" s="1" t="s">
        <v>21</v>
      </c>
      <c r="E6678" s="1" t="s">
        <v>76</v>
      </c>
      <c r="F6678" s="1">
        <v>712.94</v>
      </c>
      <c r="G6678" s="1">
        <v>-24.81</v>
      </c>
      <c r="H6678" s="1">
        <v>7.0</v>
      </c>
      <c r="I6678" s="1" t="s">
        <v>34</v>
      </c>
      <c r="J6678" s="1" t="s">
        <v>38</v>
      </c>
      <c r="K6678" s="1">
        <f t="shared" si="1"/>
        <v>2021</v>
      </c>
      <c r="L6678" s="1" t="str">
        <f t="shared" si="2"/>
        <v>May</v>
      </c>
      <c r="M6678" s="1" t="str">
        <f t="shared" si="3"/>
        <v>Loss</v>
      </c>
    </row>
    <row r="6679" ht="14.25" customHeight="1">
      <c r="A6679" s="1" t="s">
        <v>6713</v>
      </c>
      <c r="B6679" s="2">
        <v>44674.0</v>
      </c>
      <c r="C6679" s="1" t="s">
        <v>26</v>
      </c>
      <c r="D6679" s="1" t="s">
        <v>27</v>
      </c>
      <c r="E6679" s="1" t="s">
        <v>28</v>
      </c>
      <c r="F6679" s="1">
        <v>979.93</v>
      </c>
      <c r="G6679" s="1">
        <v>-109.37</v>
      </c>
      <c r="H6679" s="1">
        <v>9.0</v>
      </c>
      <c r="I6679" s="1" t="s">
        <v>23</v>
      </c>
      <c r="J6679" s="1" t="s">
        <v>18</v>
      </c>
      <c r="K6679" s="1">
        <f t="shared" si="1"/>
        <v>2022</v>
      </c>
      <c r="L6679" s="1" t="str">
        <f t="shared" si="2"/>
        <v>Apr</v>
      </c>
      <c r="M6679" s="1" t="str">
        <f t="shared" si="3"/>
        <v>Loss</v>
      </c>
    </row>
    <row r="6680" ht="14.25" customHeight="1">
      <c r="A6680" s="1" t="s">
        <v>6714</v>
      </c>
      <c r="B6680" s="2">
        <v>44897.0</v>
      </c>
      <c r="C6680" s="1" t="s">
        <v>30</v>
      </c>
      <c r="D6680" s="1" t="s">
        <v>21</v>
      </c>
      <c r="E6680" s="1" t="s">
        <v>22</v>
      </c>
      <c r="F6680" s="1">
        <v>908.75</v>
      </c>
      <c r="G6680" s="1">
        <v>-72.83</v>
      </c>
      <c r="H6680" s="1">
        <v>7.0</v>
      </c>
      <c r="I6680" s="1" t="s">
        <v>17</v>
      </c>
      <c r="J6680" s="1" t="s">
        <v>38</v>
      </c>
      <c r="K6680" s="1">
        <f t="shared" si="1"/>
        <v>2022</v>
      </c>
      <c r="L6680" s="1" t="str">
        <f t="shared" si="2"/>
        <v>Dec</v>
      </c>
      <c r="M6680" s="1" t="str">
        <f t="shared" si="3"/>
        <v>Loss</v>
      </c>
    </row>
    <row r="6681" ht="14.25" customHeight="1">
      <c r="A6681" s="1" t="s">
        <v>6715</v>
      </c>
      <c r="B6681" s="2">
        <v>44442.0</v>
      </c>
      <c r="C6681" s="1" t="s">
        <v>14</v>
      </c>
      <c r="D6681" s="1" t="s">
        <v>15</v>
      </c>
      <c r="E6681" s="1" t="s">
        <v>31</v>
      </c>
      <c r="F6681" s="1">
        <v>960.07</v>
      </c>
      <c r="G6681" s="1">
        <v>-20.09</v>
      </c>
      <c r="H6681" s="1">
        <v>10.0</v>
      </c>
      <c r="I6681" s="1" t="s">
        <v>34</v>
      </c>
      <c r="J6681" s="1" t="s">
        <v>24</v>
      </c>
      <c r="K6681" s="1">
        <f t="shared" si="1"/>
        <v>2021</v>
      </c>
      <c r="L6681" s="1" t="str">
        <f t="shared" si="2"/>
        <v>Sep</v>
      </c>
      <c r="M6681" s="1" t="str">
        <f t="shared" si="3"/>
        <v>Loss</v>
      </c>
    </row>
    <row r="6682" ht="14.25" customHeight="1">
      <c r="A6682" s="1" t="s">
        <v>6716</v>
      </c>
      <c r="B6682" s="2">
        <v>44773.0</v>
      </c>
      <c r="C6682" s="1" t="s">
        <v>30</v>
      </c>
      <c r="D6682" s="1" t="s">
        <v>27</v>
      </c>
      <c r="E6682" s="1" t="s">
        <v>33</v>
      </c>
      <c r="F6682" s="1">
        <v>45.61</v>
      </c>
      <c r="G6682" s="1">
        <v>30.16</v>
      </c>
      <c r="H6682" s="1">
        <v>4.0</v>
      </c>
      <c r="I6682" s="1" t="s">
        <v>34</v>
      </c>
      <c r="J6682" s="1" t="s">
        <v>18</v>
      </c>
      <c r="K6682" s="1">
        <f t="shared" si="1"/>
        <v>2022</v>
      </c>
      <c r="L6682" s="1" t="str">
        <f t="shared" si="2"/>
        <v>Jul</v>
      </c>
      <c r="M6682" s="1" t="str">
        <f t="shared" si="3"/>
        <v>Profit</v>
      </c>
    </row>
    <row r="6683" ht="14.25" customHeight="1">
      <c r="A6683" s="1" t="s">
        <v>6717</v>
      </c>
      <c r="B6683" s="2">
        <v>45115.0</v>
      </c>
      <c r="C6683" s="1" t="s">
        <v>26</v>
      </c>
      <c r="D6683" s="1" t="s">
        <v>15</v>
      </c>
      <c r="E6683" s="1" t="s">
        <v>54</v>
      </c>
      <c r="F6683" s="1">
        <v>30.47</v>
      </c>
      <c r="G6683" s="1">
        <v>75.09</v>
      </c>
      <c r="H6683" s="1">
        <v>6.0</v>
      </c>
      <c r="I6683" s="1" t="s">
        <v>34</v>
      </c>
      <c r="J6683" s="1" t="s">
        <v>35</v>
      </c>
      <c r="K6683" s="1">
        <f t="shared" si="1"/>
        <v>2023</v>
      </c>
      <c r="L6683" s="1" t="str">
        <f t="shared" si="2"/>
        <v>Jul</v>
      </c>
      <c r="M6683" s="1" t="str">
        <f t="shared" si="3"/>
        <v>Profit</v>
      </c>
    </row>
    <row r="6684" ht="14.25" customHeight="1">
      <c r="A6684" s="1" t="s">
        <v>6718</v>
      </c>
      <c r="B6684" s="2">
        <v>44797.0</v>
      </c>
      <c r="C6684" s="1" t="s">
        <v>26</v>
      </c>
      <c r="D6684" s="1" t="s">
        <v>27</v>
      </c>
      <c r="E6684" s="1" t="s">
        <v>28</v>
      </c>
      <c r="F6684" s="1">
        <v>715.06</v>
      </c>
      <c r="G6684" s="1">
        <v>-119.96</v>
      </c>
      <c r="H6684" s="1">
        <v>5.0</v>
      </c>
      <c r="I6684" s="1" t="s">
        <v>17</v>
      </c>
      <c r="J6684" s="1" t="s">
        <v>18</v>
      </c>
      <c r="K6684" s="1">
        <f t="shared" si="1"/>
        <v>2022</v>
      </c>
      <c r="L6684" s="1" t="str">
        <f t="shared" si="2"/>
        <v>Aug</v>
      </c>
      <c r="M6684" s="1" t="str">
        <f t="shared" si="3"/>
        <v>Loss</v>
      </c>
    </row>
    <row r="6685" ht="14.25" customHeight="1">
      <c r="A6685" s="1" t="s">
        <v>6719</v>
      </c>
      <c r="B6685" s="2">
        <v>44289.0</v>
      </c>
      <c r="C6685" s="1" t="s">
        <v>14</v>
      </c>
      <c r="D6685" s="1" t="s">
        <v>21</v>
      </c>
      <c r="E6685" s="1" t="s">
        <v>76</v>
      </c>
      <c r="F6685" s="1">
        <v>807.5</v>
      </c>
      <c r="G6685" s="1">
        <v>252.89</v>
      </c>
      <c r="H6685" s="1">
        <v>2.0</v>
      </c>
      <c r="I6685" s="1" t="s">
        <v>34</v>
      </c>
      <c r="J6685" s="1" t="s">
        <v>35</v>
      </c>
      <c r="K6685" s="1">
        <f t="shared" si="1"/>
        <v>2021</v>
      </c>
      <c r="L6685" s="1" t="str">
        <f t="shared" si="2"/>
        <v>Apr</v>
      </c>
      <c r="M6685" s="1" t="str">
        <f t="shared" si="3"/>
        <v>Profit</v>
      </c>
    </row>
    <row r="6686" ht="14.25" customHeight="1">
      <c r="A6686" s="1" t="s">
        <v>6720</v>
      </c>
      <c r="B6686" s="2">
        <v>44553.0</v>
      </c>
      <c r="C6686" s="1" t="s">
        <v>26</v>
      </c>
      <c r="D6686" s="1" t="s">
        <v>27</v>
      </c>
      <c r="E6686" s="1" t="s">
        <v>40</v>
      </c>
      <c r="F6686" s="1">
        <v>884.84</v>
      </c>
      <c r="G6686" s="1">
        <v>-102.74</v>
      </c>
      <c r="H6686" s="1">
        <v>10.0</v>
      </c>
      <c r="I6686" s="1" t="s">
        <v>23</v>
      </c>
      <c r="J6686" s="1" t="s">
        <v>35</v>
      </c>
      <c r="K6686" s="1">
        <f t="shared" si="1"/>
        <v>2021</v>
      </c>
      <c r="L6686" s="1" t="str">
        <f t="shared" si="2"/>
        <v>Dec</v>
      </c>
      <c r="M6686" s="1" t="str">
        <f t="shared" si="3"/>
        <v>Loss</v>
      </c>
    </row>
    <row r="6687" ht="14.25" customHeight="1">
      <c r="A6687" s="1" t="s">
        <v>6721</v>
      </c>
      <c r="B6687" s="2">
        <v>44473.0</v>
      </c>
      <c r="C6687" s="1" t="s">
        <v>26</v>
      </c>
      <c r="D6687" s="1" t="s">
        <v>21</v>
      </c>
      <c r="E6687" s="1" t="s">
        <v>76</v>
      </c>
      <c r="F6687" s="1">
        <v>595.96</v>
      </c>
      <c r="G6687" s="1">
        <v>-138.51</v>
      </c>
      <c r="H6687" s="1">
        <v>7.0</v>
      </c>
      <c r="I6687" s="1" t="s">
        <v>23</v>
      </c>
      <c r="J6687" s="1" t="s">
        <v>38</v>
      </c>
      <c r="K6687" s="1">
        <f t="shared" si="1"/>
        <v>2021</v>
      </c>
      <c r="L6687" s="1" t="str">
        <f t="shared" si="2"/>
        <v>Oct</v>
      </c>
      <c r="M6687" s="1" t="str">
        <f t="shared" si="3"/>
        <v>Loss</v>
      </c>
    </row>
    <row r="6688" ht="14.25" customHeight="1">
      <c r="A6688" s="1" t="s">
        <v>6722</v>
      </c>
      <c r="B6688" s="2">
        <v>44220.0</v>
      </c>
      <c r="C6688" s="1" t="s">
        <v>26</v>
      </c>
      <c r="D6688" s="1" t="s">
        <v>27</v>
      </c>
      <c r="E6688" s="1" t="s">
        <v>40</v>
      </c>
      <c r="F6688" s="1">
        <v>130.75</v>
      </c>
      <c r="G6688" s="1">
        <v>-140.96</v>
      </c>
      <c r="H6688" s="1">
        <v>6.0</v>
      </c>
      <c r="I6688" s="1" t="s">
        <v>17</v>
      </c>
      <c r="J6688" s="1" t="s">
        <v>18</v>
      </c>
      <c r="K6688" s="1">
        <f t="shared" si="1"/>
        <v>2021</v>
      </c>
      <c r="L6688" s="1" t="str">
        <f t="shared" si="2"/>
        <v>Jan</v>
      </c>
      <c r="M6688" s="1" t="str">
        <f t="shared" si="3"/>
        <v>Loss</v>
      </c>
    </row>
    <row r="6689" ht="14.25" customHeight="1">
      <c r="A6689" s="1" t="s">
        <v>6723</v>
      </c>
      <c r="B6689" s="2">
        <v>44846.0</v>
      </c>
      <c r="C6689" s="1" t="s">
        <v>20</v>
      </c>
      <c r="D6689" s="1" t="s">
        <v>15</v>
      </c>
      <c r="E6689" s="1" t="s">
        <v>16</v>
      </c>
      <c r="F6689" s="1">
        <v>315.92</v>
      </c>
      <c r="G6689" s="1">
        <v>112.27</v>
      </c>
      <c r="H6689" s="1">
        <v>8.0</v>
      </c>
      <c r="I6689" s="1" t="s">
        <v>34</v>
      </c>
      <c r="J6689" s="1" t="s">
        <v>35</v>
      </c>
      <c r="K6689" s="1">
        <f t="shared" si="1"/>
        <v>2022</v>
      </c>
      <c r="L6689" s="1" t="str">
        <f t="shared" si="2"/>
        <v>Oct</v>
      </c>
      <c r="M6689" s="1" t="str">
        <f t="shared" si="3"/>
        <v>Profit</v>
      </c>
    </row>
    <row r="6690" ht="14.25" customHeight="1">
      <c r="A6690" s="1" t="s">
        <v>6724</v>
      </c>
      <c r="B6690" s="2">
        <v>44607.0</v>
      </c>
      <c r="C6690" s="1" t="s">
        <v>14</v>
      </c>
      <c r="D6690" s="1" t="s">
        <v>21</v>
      </c>
      <c r="E6690" s="1" t="s">
        <v>76</v>
      </c>
      <c r="F6690" s="1">
        <v>658.57</v>
      </c>
      <c r="G6690" s="1">
        <v>-149.47</v>
      </c>
      <c r="H6690" s="1">
        <v>10.0</v>
      </c>
      <c r="I6690" s="1" t="s">
        <v>17</v>
      </c>
      <c r="J6690" s="1" t="s">
        <v>24</v>
      </c>
      <c r="K6690" s="1">
        <f t="shared" si="1"/>
        <v>2022</v>
      </c>
      <c r="L6690" s="1" t="str">
        <f t="shared" si="2"/>
        <v>Feb</v>
      </c>
      <c r="M6690" s="1" t="str">
        <f t="shared" si="3"/>
        <v>Loss</v>
      </c>
    </row>
    <row r="6691" ht="14.25" customHeight="1">
      <c r="A6691" s="1" t="s">
        <v>6725</v>
      </c>
      <c r="B6691" s="2">
        <v>45032.0</v>
      </c>
      <c r="C6691" s="1" t="s">
        <v>20</v>
      </c>
      <c r="D6691" s="1" t="s">
        <v>15</v>
      </c>
      <c r="E6691" s="1" t="s">
        <v>16</v>
      </c>
      <c r="F6691" s="1">
        <v>605.61</v>
      </c>
      <c r="G6691" s="1">
        <v>59.89</v>
      </c>
      <c r="H6691" s="1">
        <v>2.0</v>
      </c>
      <c r="I6691" s="1" t="s">
        <v>17</v>
      </c>
      <c r="J6691" s="1" t="s">
        <v>38</v>
      </c>
      <c r="K6691" s="1">
        <f t="shared" si="1"/>
        <v>2023</v>
      </c>
      <c r="L6691" s="1" t="str">
        <f t="shared" si="2"/>
        <v>Apr</v>
      </c>
      <c r="M6691" s="1" t="str">
        <f t="shared" si="3"/>
        <v>Profit</v>
      </c>
    </row>
    <row r="6692" ht="14.25" customHeight="1">
      <c r="A6692" s="1" t="s">
        <v>6726</v>
      </c>
      <c r="B6692" s="2">
        <v>44938.0</v>
      </c>
      <c r="C6692" s="1" t="s">
        <v>30</v>
      </c>
      <c r="D6692" s="1" t="s">
        <v>15</v>
      </c>
      <c r="E6692" s="1" t="s">
        <v>16</v>
      </c>
      <c r="F6692" s="1">
        <v>805.6</v>
      </c>
      <c r="G6692" s="1">
        <v>-95.98</v>
      </c>
      <c r="H6692" s="1">
        <v>4.0</v>
      </c>
      <c r="I6692" s="1" t="s">
        <v>23</v>
      </c>
      <c r="J6692" s="1" t="s">
        <v>24</v>
      </c>
      <c r="K6692" s="1">
        <f t="shared" si="1"/>
        <v>2023</v>
      </c>
      <c r="L6692" s="1" t="str">
        <f t="shared" si="2"/>
        <v>Jan</v>
      </c>
      <c r="M6692" s="1" t="str">
        <f t="shared" si="3"/>
        <v>Loss</v>
      </c>
    </row>
    <row r="6693" ht="14.25" customHeight="1">
      <c r="A6693" s="1" t="s">
        <v>6727</v>
      </c>
      <c r="B6693" s="2">
        <v>44510.0</v>
      </c>
      <c r="C6693" s="1" t="s">
        <v>14</v>
      </c>
      <c r="D6693" s="1" t="s">
        <v>27</v>
      </c>
      <c r="E6693" s="1" t="s">
        <v>40</v>
      </c>
      <c r="F6693" s="1">
        <v>511.32</v>
      </c>
      <c r="G6693" s="1">
        <v>108.12</v>
      </c>
      <c r="H6693" s="1">
        <v>2.0</v>
      </c>
      <c r="I6693" s="1" t="s">
        <v>17</v>
      </c>
      <c r="J6693" s="1" t="s">
        <v>38</v>
      </c>
      <c r="K6693" s="1">
        <f t="shared" si="1"/>
        <v>2021</v>
      </c>
      <c r="L6693" s="1" t="str">
        <f t="shared" si="2"/>
        <v>Nov</v>
      </c>
      <c r="M6693" s="1" t="str">
        <f t="shared" si="3"/>
        <v>Profit</v>
      </c>
    </row>
    <row r="6694" ht="14.25" customHeight="1">
      <c r="A6694" s="1" t="s">
        <v>6728</v>
      </c>
      <c r="B6694" s="2">
        <v>45045.0</v>
      </c>
      <c r="C6694" s="1" t="s">
        <v>20</v>
      </c>
      <c r="D6694" s="1" t="s">
        <v>21</v>
      </c>
      <c r="E6694" s="1" t="s">
        <v>76</v>
      </c>
      <c r="F6694" s="1">
        <v>377.14</v>
      </c>
      <c r="G6694" s="1">
        <v>111.8</v>
      </c>
      <c r="H6694" s="1">
        <v>2.0</v>
      </c>
      <c r="I6694" s="1" t="s">
        <v>23</v>
      </c>
      <c r="J6694" s="1" t="s">
        <v>18</v>
      </c>
      <c r="K6694" s="1">
        <f t="shared" si="1"/>
        <v>2023</v>
      </c>
      <c r="L6694" s="1" t="str">
        <f t="shared" si="2"/>
        <v>Apr</v>
      </c>
      <c r="M6694" s="1" t="str">
        <f t="shared" si="3"/>
        <v>Profit</v>
      </c>
    </row>
    <row r="6695" ht="14.25" customHeight="1">
      <c r="A6695" s="1" t="s">
        <v>6729</v>
      </c>
      <c r="B6695" s="2">
        <v>44751.0</v>
      </c>
      <c r="C6695" s="1" t="s">
        <v>20</v>
      </c>
      <c r="D6695" s="1" t="s">
        <v>21</v>
      </c>
      <c r="E6695" s="1" t="s">
        <v>22</v>
      </c>
      <c r="F6695" s="1">
        <v>474.61</v>
      </c>
      <c r="G6695" s="1">
        <v>147.38</v>
      </c>
      <c r="H6695" s="1">
        <v>10.0</v>
      </c>
      <c r="I6695" s="1" t="s">
        <v>34</v>
      </c>
      <c r="J6695" s="1" t="s">
        <v>35</v>
      </c>
      <c r="K6695" s="1">
        <f t="shared" si="1"/>
        <v>2022</v>
      </c>
      <c r="L6695" s="1" t="str">
        <f t="shared" si="2"/>
        <v>Jul</v>
      </c>
      <c r="M6695" s="1" t="str">
        <f t="shared" si="3"/>
        <v>Profit</v>
      </c>
    </row>
    <row r="6696" ht="14.25" customHeight="1">
      <c r="A6696" s="1" t="s">
        <v>6730</v>
      </c>
      <c r="B6696" s="2">
        <v>44537.0</v>
      </c>
      <c r="C6696" s="1" t="s">
        <v>20</v>
      </c>
      <c r="D6696" s="1" t="s">
        <v>15</v>
      </c>
      <c r="E6696" s="1" t="s">
        <v>54</v>
      </c>
      <c r="F6696" s="1">
        <v>236.84</v>
      </c>
      <c r="G6696" s="1">
        <v>139.98</v>
      </c>
      <c r="H6696" s="1">
        <v>5.0</v>
      </c>
      <c r="I6696" s="1" t="s">
        <v>34</v>
      </c>
      <c r="J6696" s="1" t="s">
        <v>38</v>
      </c>
      <c r="K6696" s="1">
        <f t="shared" si="1"/>
        <v>2021</v>
      </c>
      <c r="L6696" s="1" t="str">
        <f t="shared" si="2"/>
        <v>Dec</v>
      </c>
      <c r="M6696" s="1" t="str">
        <f t="shared" si="3"/>
        <v>Profit</v>
      </c>
    </row>
    <row r="6697" ht="14.25" customHeight="1">
      <c r="A6697" s="1" t="s">
        <v>6731</v>
      </c>
      <c r="B6697" s="2">
        <v>44702.0</v>
      </c>
      <c r="C6697" s="1" t="s">
        <v>26</v>
      </c>
      <c r="D6697" s="1" t="s">
        <v>15</v>
      </c>
      <c r="E6697" s="1" t="s">
        <v>54</v>
      </c>
      <c r="F6697" s="1">
        <v>821.65</v>
      </c>
      <c r="G6697" s="1">
        <v>-118.82</v>
      </c>
      <c r="H6697" s="1">
        <v>9.0</v>
      </c>
      <c r="I6697" s="1" t="s">
        <v>23</v>
      </c>
      <c r="J6697" s="1" t="s">
        <v>24</v>
      </c>
      <c r="K6697" s="1">
        <f t="shared" si="1"/>
        <v>2022</v>
      </c>
      <c r="L6697" s="1" t="str">
        <f t="shared" si="2"/>
        <v>May</v>
      </c>
      <c r="M6697" s="1" t="str">
        <f t="shared" si="3"/>
        <v>Loss</v>
      </c>
    </row>
    <row r="6698" ht="14.25" customHeight="1">
      <c r="A6698" s="1" t="s">
        <v>6732</v>
      </c>
      <c r="B6698" s="2">
        <v>44454.0</v>
      </c>
      <c r="C6698" s="1" t="s">
        <v>20</v>
      </c>
      <c r="D6698" s="1" t="s">
        <v>21</v>
      </c>
      <c r="E6698" s="1" t="s">
        <v>37</v>
      </c>
      <c r="F6698" s="1">
        <v>217.07</v>
      </c>
      <c r="G6698" s="1">
        <v>-170.38</v>
      </c>
      <c r="H6698" s="1">
        <v>5.0</v>
      </c>
      <c r="I6698" s="1" t="s">
        <v>23</v>
      </c>
      <c r="J6698" s="1" t="s">
        <v>18</v>
      </c>
      <c r="K6698" s="1">
        <f t="shared" si="1"/>
        <v>2021</v>
      </c>
      <c r="L6698" s="1" t="str">
        <f t="shared" si="2"/>
        <v>Sep</v>
      </c>
      <c r="M6698" s="1" t="str">
        <f t="shared" si="3"/>
        <v>Loss</v>
      </c>
    </row>
    <row r="6699" ht="14.25" customHeight="1">
      <c r="A6699" s="1" t="s">
        <v>6733</v>
      </c>
      <c r="B6699" s="2">
        <v>44335.0</v>
      </c>
      <c r="C6699" s="1" t="s">
        <v>20</v>
      </c>
      <c r="D6699" s="1" t="s">
        <v>21</v>
      </c>
      <c r="E6699" s="1" t="s">
        <v>37</v>
      </c>
      <c r="F6699" s="1">
        <v>583.47</v>
      </c>
      <c r="G6699" s="1">
        <v>26.28</v>
      </c>
      <c r="H6699" s="1">
        <v>6.0</v>
      </c>
      <c r="I6699" s="1" t="s">
        <v>23</v>
      </c>
      <c r="J6699" s="1" t="s">
        <v>18</v>
      </c>
      <c r="K6699" s="1">
        <f t="shared" si="1"/>
        <v>2021</v>
      </c>
      <c r="L6699" s="1" t="str">
        <f t="shared" si="2"/>
        <v>May</v>
      </c>
      <c r="M6699" s="1" t="str">
        <f t="shared" si="3"/>
        <v>Profit</v>
      </c>
    </row>
    <row r="6700" ht="14.25" customHeight="1">
      <c r="A6700" s="1" t="s">
        <v>6734</v>
      </c>
      <c r="B6700" s="2">
        <v>44914.0</v>
      </c>
      <c r="C6700" s="1" t="s">
        <v>30</v>
      </c>
      <c r="D6700" s="1" t="s">
        <v>15</v>
      </c>
      <c r="E6700" s="1" t="s">
        <v>16</v>
      </c>
      <c r="F6700" s="1">
        <v>855.26</v>
      </c>
      <c r="G6700" s="1">
        <v>-28.69</v>
      </c>
      <c r="H6700" s="1">
        <v>1.0</v>
      </c>
      <c r="I6700" s="1" t="s">
        <v>34</v>
      </c>
      <c r="J6700" s="1" t="s">
        <v>18</v>
      </c>
      <c r="K6700" s="1">
        <f t="shared" si="1"/>
        <v>2022</v>
      </c>
      <c r="L6700" s="1" t="str">
        <f t="shared" si="2"/>
        <v>Dec</v>
      </c>
      <c r="M6700" s="1" t="str">
        <f t="shared" si="3"/>
        <v>Loss</v>
      </c>
    </row>
    <row r="6701" ht="14.25" customHeight="1">
      <c r="A6701" s="1" t="s">
        <v>6735</v>
      </c>
      <c r="B6701" s="2">
        <v>44997.0</v>
      </c>
      <c r="C6701" s="1" t="s">
        <v>26</v>
      </c>
      <c r="D6701" s="1" t="s">
        <v>27</v>
      </c>
      <c r="E6701" s="1" t="s">
        <v>40</v>
      </c>
      <c r="F6701" s="1">
        <v>251.13</v>
      </c>
      <c r="G6701" s="1">
        <v>-136.11</v>
      </c>
      <c r="H6701" s="1">
        <v>7.0</v>
      </c>
      <c r="I6701" s="1" t="s">
        <v>17</v>
      </c>
      <c r="J6701" s="1" t="s">
        <v>38</v>
      </c>
      <c r="K6701" s="1">
        <f t="shared" si="1"/>
        <v>2023</v>
      </c>
      <c r="L6701" s="1" t="str">
        <f t="shared" si="2"/>
        <v>Mar</v>
      </c>
      <c r="M6701" s="1" t="str">
        <f t="shared" si="3"/>
        <v>Loss</v>
      </c>
    </row>
    <row r="6702" ht="14.25" customHeight="1">
      <c r="A6702" s="1" t="s">
        <v>6736</v>
      </c>
      <c r="B6702" s="2">
        <v>44521.0</v>
      </c>
      <c r="C6702" s="1" t="s">
        <v>14</v>
      </c>
      <c r="D6702" s="1" t="s">
        <v>27</v>
      </c>
      <c r="E6702" s="1" t="s">
        <v>28</v>
      </c>
      <c r="F6702" s="1">
        <v>538.29</v>
      </c>
      <c r="G6702" s="1">
        <v>222.89</v>
      </c>
      <c r="H6702" s="1">
        <v>9.0</v>
      </c>
      <c r="I6702" s="1" t="s">
        <v>17</v>
      </c>
      <c r="J6702" s="1" t="s">
        <v>18</v>
      </c>
      <c r="K6702" s="1">
        <f t="shared" si="1"/>
        <v>2021</v>
      </c>
      <c r="L6702" s="1" t="str">
        <f t="shared" si="2"/>
        <v>Nov</v>
      </c>
      <c r="M6702" s="1" t="str">
        <f t="shared" si="3"/>
        <v>Profit</v>
      </c>
    </row>
    <row r="6703" ht="14.25" customHeight="1">
      <c r="A6703" s="1" t="s">
        <v>6737</v>
      </c>
      <c r="B6703" s="2">
        <v>44724.0</v>
      </c>
      <c r="C6703" s="1" t="s">
        <v>20</v>
      </c>
      <c r="D6703" s="1" t="s">
        <v>27</v>
      </c>
      <c r="E6703" s="1" t="s">
        <v>33</v>
      </c>
      <c r="F6703" s="1">
        <v>703.12</v>
      </c>
      <c r="G6703" s="1">
        <v>83.02</v>
      </c>
      <c r="H6703" s="1">
        <v>10.0</v>
      </c>
      <c r="I6703" s="1" t="s">
        <v>34</v>
      </c>
      <c r="J6703" s="1" t="s">
        <v>35</v>
      </c>
      <c r="K6703" s="1">
        <f t="shared" si="1"/>
        <v>2022</v>
      </c>
      <c r="L6703" s="1" t="str">
        <f t="shared" si="2"/>
        <v>Jun</v>
      </c>
      <c r="M6703" s="1" t="str">
        <f t="shared" si="3"/>
        <v>Profit</v>
      </c>
    </row>
    <row r="6704" ht="14.25" customHeight="1">
      <c r="A6704" s="1" t="s">
        <v>6738</v>
      </c>
      <c r="B6704" s="2">
        <v>44384.0</v>
      </c>
      <c r="C6704" s="1" t="s">
        <v>30</v>
      </c>
      <c r="D6704" s="1" t="s">
        <v>21</v>
      </c>
      <c r="E6704" s="1" t="s">
        <v>22</v>
      </c>
      <c r="F6704" s="1">
        <v>732.14</v>
      </c>
      <c r="G6704" s="1">
        <v>-98.46</v>
      </c>
      <c r="H6704" s="1">
        <v>4.0</v>
      </c>
      <c r="I6704" s="1" t="s">
        <v>23</v>
      </c>
      <c r="J6704" s="1" t="s">
        <v>24</v>
      </c>
      <c r="K6704" s="1">
        <f t="shared" si="1"/>
        <v>2021</v>
      </c>
      <c r="L6704" s="1" t="str">
        <f t="shared" si="2"/>
        <v>Jul</v>
      </c>
      <c r="M6704" s="1" t="str">
        <f t="shared" si="3"/>
        <v>Loss</v>
      </c>
    </row>
    <row r="6705" ht="14.25" customHeight="1">
      <c r="A6705" s="1" t="s">
        <v>6739</v>
      </c>
      <c r="B6705" s="2">
        <v>45282.0</v>
      </c>
      <c r="C6705" s="1" t="s">
        <v>30</v>
      </c>
      <c r="D6705" s="1" t="s">
        <v>21</v>
      </c>
      <c r="E6705" s="1" t="s">
        <v>37</v>
      </c>
      <c r="F6705" s="1">
        <v>783.13</v>
      </c>
      <c r="G6705" s="1">
        <v>96.88</v>
      </c>
      <c r="H6705" s="1">
        <v>9.0</v>
      </c>
      <c r="I6705" s="1" t="s">
        <v>17</v>
      </c>
      <c r="J6705" s="1" t="s">
        <v>35</v>
      </c>
      <c r="K6705" s="1">
        <f t="shared" si="1"/>
        <v>2023</v>
      </c>
      <c r="L6705" s="1" t="str">
        <f t="shared" si="2"/>
        <v>Dec</v>
      </c>
      <c r="M6705" s="1" t="str">
        <f t="shared" si="3"/>
        <v>Profit</v>
      </c>
    </row>
    <row r="6706" ht="14.25" customHeight="1">
      <c r="A6706" s="1" t="s">
        <v>6740</v>
      </c>
      <c r="B6706" s="2">
        <v>45211.0</v>
      </c>
      <c r="C6706" s="1" t="s">
        <v>14</v>
      </c>
      <c r="D6706" s="1" t="s">
        <v>15</v>
      </c>
      <c r="E6706" s="1" t="s">
        <v>16</v>
      </c>
      <c r="F6706" s="1">
        <v>279.85</v>
      </c>
      <c r="G6706" s="1">
        <v>38.71</v>
      </c>
      <c r="H6706" s="1">
        <v>5.0</v>
      </c>
      <c r="I6706" s="1" t="s">
        <v>23</v>
      </c>
      <c r="J6706" s="1" t="s">
        <v>38</v>
      </c>
      <c r="K6706" s="1">
        <f t="shared" si="1"/>
        <v>2023</v>
      </c>
      <c r="L6706" s="1" t="str">
        <f t="shared" si="2"/>
        <v>Oct</v>
      </c>
      <c r="M6706" s="1" t="str">
        <f t="shared" si="3"/>
        <v>Profit</v>
      </c>
    </row>
    <row r="6707" ht="14.25" customHeight="1">
      <c r="A6707" s="1" t="s">
        <v>6741</v>
      </c>
      <c r="B6707" s="2">
        <v>44731.0</v>
      </c>
      <c r="C6707" s="1" t="s">
        <v>14</v>
      </c>
      <c r="D6707" s="1" t="s">
        <v>27</v>
      </c>
      <c r="E6707" s="1" t="s">
        <v>40</v>
      </c>
      <c r="F6707" s="1">
        <v>170.38</v>
      </c>
      <c r="G6707" s="1">
        <v>24.68</v>
      </c>
      <c r="H6707" s="1">
        <v>7.0</v>
      </c>
      <c r="I6707" s="1" t="s">
        <v>34</v>
      </c>
      <c r="J6707" s="1" t="s">
        <v>38</v>
      </c>
      <c r="K6707" s="1">
        <f t="shared" si="1"/>
        <v>2022</v>
      </c>
      <c r="L6707" s="1" t="str">
        <f t="shared" si="2"/>
        <v>Jun</v>
      </c>
      <c r="M6707" s="1" t="str">
        <f t="shared" si="3"/>
        <v>Profit</v>
      </c>
    </row>
    <row r="6708" ht="14.25" customHeight="1">
      <c r="A6708" s="1" t="s">
        <v>6742</v>
      </c>
      <c r="B6708" s="2">
        <v>44941.0</v>
      </c>
      <c r="C6708" s="1" t="s">
        <v>30</v>
      </c>
      <c r="D6708" s="1" t="s">
        <v>21</v>
      </c>
      <c r="E6708" s="1" t="s">
        <v>22</v>
      </c>
      <c r="F6708" s="1">
        <v>540.77</v>
      </c>
      <c r="G6708" s="1">
        <v>170.03</v>
      </c>
      <c r="H6708" s="1">
        <v>10.0</v>
      </c>
      <c r="I6708" s="1" t="s">
        <v>23</v>
      </c>
      <c r="J6708" s="1" t="s">
        <v>18</v>
      </c>
      <c r="K6708" s="1">
        <f t="shared" si="1"/>
        <v>2023</v>
      </c>
      <c r="L6708" s="1" t="str">
        <f t="shared" si="2"/>
        <v>Jan</v>
      </c>
      <c r="M6708" s="1" t="str">
        <f t="shared" si="3"/>
        <v>Profit</v>
      </c>
    </row>
    <row r="6709" ht="14.25" customHeight="1">
      <c r="A6709" s="1" t="s">
        <v>6743</v>
      </c>
      <c r="B6709" s="2">
        <v>44363.0</v>
      </c>
      <c r="C6709" s="1" t="s">
        <v>26</v>
      </c>
      <c r="D6709" s="1" t="s">
        <v>27</v>
      </c>
      <c r="E6709" s="1" t="s">
        <v>28</v>
      </c>
      <c r="F6709" s="1">
        <v>337.52</v>
      </c>
      <c r="G6709" s="1">
        <v>-182.66</v>
      </c>
      <c r="H6709" s="1">
        <v>1.0</v>
      </c>
      <c r="I6709" s="1" t="s">
        <v>34</v>
      </c>
      <c r="J6709" s="1" t="s">
        <v>35</v>
      </c>
      <c r="K6709" s="1">
        <f t="shared" si="1"/>
        <v>2021</v>
      </c>
      <c r="L6709" s="1" t="str">
        <f t="shared" si="2"/>
        <v>Jun</v>
      </c>
      <c r="M6709" s="1" t="str">
        <f t="shared" si="3"/>
        <v>Loss</v>
      </c>
    </row>
    <row r="6710" ht="14.25" customHeight="1">
      <c r="A6710" s="1" t="s">
        <v>6744</v>
      </c>
      <c r="B6710" s="2">
        <v>45200.0</v>
      </c>
      <c r="C6710" s="1" t="s">
        <v>20</v>
      </c>
      <c r="D6710" s="1" t="s">
        <v>15</v>
      </c>
      <c r="E6710" s="1" t="s">
        <v>31</v>
      </c>
      <c r="F6710" s="1">
        <v>55.54</v>
      </c>
      <c r="G6710" s="1">
        <v>40.51</v>
      </c>
      <c r="H6710" s="1">
        <v>9.0</v>
      </c>
      <c r="I6710" s="1" t="s">
        <v>34</v>
      </c>
      <c r="J6710" s="1" t="s">
        <v>18</v>
      </c>
      <c r="K6710" s="1">
        <f t="shared" si="1"/>
        <v>2023</v>
      </c>
      <c r="L6710" s="1" t="str">
        <f t="shared" si="2"/>
        <v>Oct</v>
      </c>
      <c r="M6710" s="1" t="str">
        <f t="shared" si="3"/>
        <v>Profit</v>
      </c>
    </row>
    <row r="6711" ht="14.25" customHeight="1">
      <c r="A6711" s="1" t="s">
        <v>6745</v>
      </c>
      <c r="B6711" s="2">
        <v>44849.0</v>
      </c>
      <c r="C6711" s="1" t="s">
        <v>26</v>
      </c>
      <c r="D6711" s="1" t="s">
        <v>15</v>
      </c>
      <c r="E6711" s="1" t="s">
        <v>54</v>
      </c>
      <c r="F6711" s="1">
        <v>393.61</v>
      </c>
      <c r="G6711" s="1">
        <v>52.29</v>
      </c>
      <c r="H6711" s="1">
        <v>9.0</v>
      </c>
      <c r="I6711" s="1" t="s">
        <v>34</v>
      </c>
      <c r="J6711" s="1" t="s">
        <v>38</v>
      </c>
      <c r="K6711" s="1">
        <f t="shared" si="1"/>
        <v>2022</v>
      </c>
      <c r="L6711" s="1" t="str">
        <f t="shared" si="2"/>
        <v>Oct</v>
      </c>
      <c r="M6711" s="1" t="str">
        <f t="shared" si="3"/>
        <v>Profit</v>
      </c>
    </row>
    <row r="6712" ht="14.25" customHeight="1">
      <c r="A6712" s="1" t="s">
        <v>6746</v>
      </c>
      <c r="B6712" s="2">
        <v>44524.0</v>
      </c>
      <c r="C6712" s="1" t="s">
        <v>30</v>
      </c>
      <c r="D6712" s="1" t="s">
        <v>15</v>
      </c>
      <c r="E6712" s="1" t="s">
        <v>31</v>
      </c>
      <c r="F6712" s="1">
        <v>541.46</v>
      </c>
      <c r="G6712" s="1">
        <v>106.5</v>
      </c>
      <c r="H6712" s="1">
        <v>7.0</v>
      </c>
      <c r="I6712" s="1" t="s">
        <v>17</v>
      </c>
      <c r="J6712" s="1" t="s">
        <v>38</v>
      </c>
      <c r="K6712" s="1">
        <f t="shared" si="1"/>
        <v>2021</v>
      </c>
      <c r="L6712" s="1" t="str">
        <f t="shared" si="2"/>
        <v>Nov</v>
      </c>
      <c r="M6712" s="1" t="str">
        <f t="shared" si="3"/>
        <v>Profit</v>
      </c>
    </row>
    <row r="6713" ht="14.25" customHeight="1">
      <c r="A6713" s="1" t="s">
        <v>6747</v>
      </c>
      <c r="B6713" s="2">
        <v>44575.0</v>
      </c>
      <c r="C6713" s="1" t="s">
        <v>26</v>
      </c>
      <c r="D6713" s="1" t="s">
        <v>27</v>
      </c>
      <c r="E6713" s="1" t="s">
        <v>28</v>
      </c>
      <c r="F6713" s="1">
        <v>677.01</v>
      </c>
      <c r="G6713" s="1">
        <v>98.1</v>
      </c>
      <c r="H6713" s="1">
        <v>2.0</v>
      </c>
      <c r="I6713" s="1" t="s">
        <v>34</v>
      </c>
      <c r="J6713" s="1" t="s">
        <v>18</v>
      </c>
      <c r="K6713" s="1">
        <f t="shared" si="1"/>
        <v>2022</v>
      </c>
      <c r="L6713" s="1" t="str">
        <f t="shared" si="2"/>
        <v>Jan</v>
      </c>
      <c r="M6713" s="1" t="str">
        <f t="shared" si="3"/>
        <v>Profit</v>
      </c>
    </row>
    <row r="6714" ht="14.25" customHeight="1">
      <c r="A6714" s="1" t="s">
        <v>6748</v>
      </c>
      <c r="B6714" s="2">
        <v>44802.0</v>
      </c>
      <c r="C6714" s="1" t="s">
        <v>30</v>
      </c>
      <c r="D6714" s="1" t="s">
        <v>15</v>
      </c>
      <c r="E6714" s="1" t="s">
        <v>54</v>
      </c>
      <c r="F6714" s="1">
        <v>135.33</v>
      </c>
      <c r="G6714" s="1">
        <v>-67.91</v>
      </c>
      <c r="H6714" s="1">
        <v>3.0</v>
      </c>
      <c r="I6714" s="1" t="s">
        <v>23</v>
      </c>
      <c r="J6714" s="1" t="s">
        <v>35</v>
      </c>
      <c r="K6714" s="1">
        <f t="shared" si="1"/>
        <v>2022</v>
      </c>
      <c r="L6714" s="1" t="str">
        <f t="shared" si="2"/>
        <v>Aug</v>
      </c>
      <c r="M6714" s="1" t="str">
        <f t="shared" si="3"/>
        <v>Loss</v>
      </c>
    </row>
    <row r="6715" ht="14.25" customHeight="1">
      <c r="A6715" s="1" t="s">
        <v>6749</v>
      </c>
      <c r="B6715" s="2">
        <v>44277.0</v>
      </c>
      <c r="C6715" s="1" t="s">
        <v>14</v>
      </c>
      <c r="D6715" s="1" t="s">
        <v>27</v>
      </c>
      <c r="E6715" s="1" t="s">
        <v>33</v>
      </c>
      <c r="F6715" s="1">
        <v>903.39</v>
      </c>
      <c r="G6715" s="1">
        <v>5.56</v>
      </c>
      <c r="H6715" s="1">
        <v>3.0</v>
      </c>
      <c r="I6715" s="1" t="s">
        <v>23</v>
      </c>
      <c r="J6715" s="1" t="s">
        <v>35</v>
      </c>
      <c r="K6715" s="1">
        <f t="shared" si="1"/>
        <v>2021</v>
      </c>
      <c r="L6715" s="1" t="str">
        <f t="shared" si="2"/>
        <v>Mar</v>
      </c>
      <c r="M6715" s="1" t="str">
        <f t="shared" si="3"/>
        <v>Profit</v>
      </c>
    </row>
    <row r="6716" ht="14.25" customHeight="1">
      <c r="A6716" s="1" t="s">
        <v>6750</v>
      </c>
      <c r="B6716" s="2">
        <v>44279.0</v>
      </c>
      <c r="C6716" s="1" t="s">
        <v>14</v>
      </c>
      <c r="D6716" s="1" t="s">
        <v>15</v>
      </c>
      <c r="E6716" s="1" t="s">
        <v>54</v>
      </c>
      <c r="F6716" s="1">
        <v>322.67</v>
      </c>
      <c r="G6716" s="1">
        <v>233.87</v>
      </c>
      <c r="H6716" s="1">
        <v>8.0</v>
      </c>
      <c r="I6716" s="1" t="s">
        <v>17</v>
      </c>
      <c r="J6716" s="1" t="s">
        <v>38</v>
      </c>
      <c r="K6716" s="1">
        <f t="shared" si="1"/>
        <v>2021</v>
      </c>
      <c r="L6716" s="1" t="str">
        <f t="shared" si="2"/>
        <v>Mar</v>
      </c>
      <c r="M6716" s="1" t="str">
        <f t="shared" si="3"/>
        <v>Profit</v>
      </c>
    </row>
    <row r="6717" ht="14.25" customHeight="1">
      <c r="A6717" s="1" t="s">
        <v>6751</v>
      </c>
      <c r="B6717" s="2">
        <v>44864.0</v>
      </c>
      <c r="C6717" s="1" t="s">
        <v>26</v>
      </c>
      <c r="D6717" s="1" t="s">
        <v>15</v>
      </c>
      <c r="E6717" s="1" t="s">
        <v>31</v>
      </c>
      <c r="F6717" s="1">
        <v>90.99</v>
      </c>
      <c r="G6717" s="1">
        <v>-7.31</v>
      </c>
      <c r="H6717" s="1">
        <v>10.0</v>
      </c>
      <c r="I6717" s="1" t="s">
        <v>17</v>
      </c>
      <c r="J6717" s="1" t="s">
        <v>24</v>
      </c>
      <c r="K6717" s="1">
        <f t="shared" si="1"/>
        <v>2022</v>
      </c>
      <c r="L6717" s="1" t="str">
        <f t="shared" si="2"/>
        <v>Oct</v>
      </c>
      <c r="M6717" s="1" t="str">
        <f t="shared" si="3"/>
        <v>Loss</v>
      </c>
    </row>
    <row r="6718" ht="14.25" customHeight="1">
      <c r="A6718" s="1" t="s">
        <v>6752</v>
      </c>
      <c r="B6718" s="2">
        <v>44197.0</v>
      </c>
      <c r="C6718" s="1" t="s">
        <v>26</v>
      </c>
      <c r="D6718" s="1" t="s">
        <v>21</v>
      </c>
      <c r="E6718" s="1" t="s">
        <v>37</v>
      </c>
      <c r="F6718" s="1">
        <v>121.61</v>
      </c>
      <c r="G6718" s="1">
        <v>-34.63</v>
      </c>
      <c r="H6718" s="1">
        <v>7.0</v>
      </c>
      <c r="I6718" s="1" t="s">
        <v>34</v>
      </c>
      <c r="J6718" s="1" t="s">
        <v>38</v>
      </c>
      <c r="K6718" s="1">
        <f t="shared" si="1"/>
        <v>2021</v>
      </c>
      <c r="L6718" s="1" t="str">
        <f t="shared" si="2"/>
        <v>Jan</v>
      </c>
      <c r="M6718" s="1" t="str">
        <f t="shared" si="3"/>
        <v>Loss</v>
      </c>
    </row>
    <row r="6719" ht="14.25" customHeight="1">
      <c r="A6719" s="1" t="s">
        <v>6753</v>
      </c>
      <c r="B6719" s="2">
        <v>44259.0</v>
      </c>
      <c r="C6719" s="1" t="s">
        <v>26</v>
      </c>
      <c r="D6719" s="1" t="s">
        <v>15</v>
      </c>
      <c r="E6719" s="1" t="s">
        <v>16</v>
      </c>
      <c r="F6719" s="1">
        <v>820.29</v>
      </c>
      <c r="G6719" s="1">
        <v>-151.23</v>
      </c>
      <c r="H6719" s="1">
        <v>10.0</v>
      </c>
      <c r="I6719" s="1" t="s">
        <v>34</v>
      </c>
      <c r="J6719" s="1" t="s">
        <v>35</v>
      </c>
      <c r="K6719" s="1">
        <f t="shared" si="1"/>
        <v>2021</v>
      </c>
      <c r="L6719" s="1" t="str">
        <f t="shared" si="2"/>
        <v>Mar</v>
      </c>
      <c r="M6719" s="1" t="str">
        <f t="shared" si="3"/>
        <v>Loss</v>
      </c>
    </row>
    <row r="6720" ht="14.25" customHeight="1">
      <c r="A6720" s="1" t="s">
        <v>6754</v>
      </c>
      <c r="B6720" s="2">
        <v>45234.0</v>
      </c>
      <c r="C6720" s="1" t="s">
        <v>30</v>
      </c>
      <c r="D6720" s="1" t="s">
        <v>21</v>
      </c>
      <c r="E6720" s="1" t="s">
        <v>37</v>
      </c>
      <c r="F6720" s="1">
        <v>179.02</v>
      </c>
      <c r="G6720" s="1">
        <v>190.62</v>
      </c>
      <c r="H6720" s="1">
        <v>6.0</v>
      </c>
      <c r="I6720" s="1" t="s">
        <v>23</v>
      </c>
      <c r="J6720" s="1" t="s">
        <v>24</v>
      </c>
      <c r="K6720" s="1">
        <f t="shared" si="1"/>
        <v>2023</v>
      </c>
      <c r="L6720" s="1" t="str">
        <f t="shared" si="2"/>
        <v>Nov</v>
      </c>
      <c r="M6720" s="1" t="str">
        <f t="shared" si="3"/>
        <v>Profit</v>
      </c>
    </row>
    <row r="6721" ht="14.25" customHeight="1">
      <c r="A6721" s="1" t="s">
        <v>6755</v>
      </c>
      <c r="B6721" s="2">
        <v>44529.0</v>
      </c>
      <c r="C6721" s="1" t="s">
        <v>26</v>
      </c>
      <c r="D6721" s="1" t="s">
        <v>21</v>
      </c>
      <c r="E6721" s="1" t="s">
        <v>37</v>
      </c>
      <c r="F6721" s="1">
        <v>717.64</v>
      </c>
      <c r="G6721" s="1">
        <v>-158.31</v>
      </c>
      <c r="H6721" s="1">
        <v>10.0</v>
      </c>
      <c r="I6721" s="1" t="s">
        <v>17</v>
      </c>
      <c r="J6721" s="1" t="s">
        <v>18</v>
      </c>
      <c r="K6721" s="1">
        <f t="shared" si="1"/>
        <v>2021</v>
      </c>
      <c r="L6721" s="1" t="str">
        <f t="shared" si="2"/>
        <v>Nov</v>
      </c>
      <c r="M6721" s="1" t="str">
        <f t="shared" si="3"/>
        <v>Loss</v>
      </c>
    </row>
    <row r="6722" ht="14.25" customHeight="1">
      <c r="A6722" s="1" t="s">
        <v>6756</v>
      </c>
      <c r="B6722" s="2">
        <v>44794.0</v>
      </c>
      <c r="C6722" s="1" t="s">
        <v>14</v>
      </c>
      <c r="D6722" s="1" t="s">
        <v>15</v>
      </c>
      <c r="E6722" s="1" t="s">
        <v>31</v>
      </c>
      <c r="F6722" s="1">
        <v>791.77</v>
      </c>
      <c r="G6722" s="1">
        <v>-84.35</v>
      </c>
      <c r="H6722" s="1">
        <v>4.0</v>
      </c>
      <c r="I6722" s="1" t="s">
        <v>34</v>
      </c>
      <c r="J6722" s="1" t="s">
        <v>38</v>
      </c>
      <c r="K6722" s="1">
        <f t="shared" si="1"/>
        <v>2022</v>
      </c>
      <c r="L6722" s="1" t="str">
        <f t="shared" si="2"/>
        <v>Aug</v>
      </c>
      <c r="M6722" s="1" t="str">
        <f t="shared" si="3"/>
        <v>Loss</v>
      </c>
    </row>
    <row r="6723" ht="14.25" customHeight="1">
      <c r="A6723" s="1" t="s">
        <v>6757</v>
      </c>
      <c r="B6723" s="2">
        <v>44983.0</v>
      </c>
      <c r="C6723" s="1" t="s">
        <v>30</v>
      </c>
      <c r="D6723" s="1" t="s">
        <v>27</v>
      </c>
      <c r="E6723" s="1" t="s">
        <v>28</v>
      </c>
      <c r="F6723" s="1">
        <v>819.62</v>
      </c>
      <c r="G6723" s="1">
        <v>283.89</v>
      </c>
      <c r="H6723" s="1">
        <v>10.0</v>
      </c>
      <c r="I6723" s="1" t="s">
        <v>17</v>
      </c>
      <c r="J6723" s="1" t="s">
        <v>35</v>
      </c>
      <c r="K6723" s="1">
        <f t="shared" si="1"/>
        <v>2023</v>
      </c>
      <c r="L6723" s="1" t="str">
        <f t="shared" si="2"/>
        <v>Feb</v>
      </c>
      <c r="M6723" s="1" t="str">
        <f t="shared" si="3"/>
        <v>Profit</v>
      </c>
    </row>
    <row r="6724" ht="14.25" customHeight="1">
      <c r="A6724" s="1" t="s">
        <v>6758</v>
      </c>
      <c r="B6724" s="2">
        <v>45008.0</v>
      </c>
      <c r="C6724" s="1" t="s">
        <v>26</v>
      </c>
      <c r="D6724" s="1" t="s">
        <v>15</v>
      </c>
      <c r="E6724" s="1" t="s">
        <v>31</v>
      </c>
      <c r="F6724" s="1">
        <v>32.67</v>
      </c>
      <c r="G6724" s="1">
        <v>-140.03</v>
      </c>
      <c r="H6724" s="1">
        <v>1.0</v>
      </c>
      <c r="I6724" s="1" t="s">
        <v>23</v>
      </c>
      <c r="J6724" s="1" t="s">
        <v>38</v>
      </c>
      <c r="K6724" s="1">
        <f t="shared" si="1"/>
        <v>2023</v>
      </c>
      <c r="L6724" s="1" t="str">
        <f t="shared" si="2"/>
        <v>Mar</v>
      </c>
      <c r="M6724" s="1" t="str">
        <f t="shared" si="3"/>
        <v>Loss</v>
      </c>
    </row>
    <row r="6725" ht="14.25" customHeight="1">
      <c r="A6725" s="1" t="s">
        <v>6759</v>
      </c>
      <c r="B6725" s="2">
        <v>45068.0</v>
      </c>
      <c r="C6725" s="1" t="s">
        <v>30</v>
      </c>
      <c r="D6725" s="1" t="s">
        <v>15</v>
      </c>
      <c r="E6725" s="1" t="s">
        <v>31</v>
      </c>
      <c r="F6725" s="1">
        <v>382.66</v>
      </c>
      <c r="G6725" s="1">
        <v>-100.02</v>
      </c>
      <c r="H6725" s="1">
        <v>9.0</v>
      </c>
      <c r="I6725" s="1" t="s">
        <v>23</v>
      </c>
      <c r="J6725" s="1" t="s">
        <v>24</v>
      </c>
      <c r="K6725" s="1">
        <f t="shared" si="1"/>
        <v>2023</v>
      </c>
      <c r="L6725" s="1" t="str">
        <f t="shared" si="2"/>
        <v>May</v>
      </c>
      <c r="M6725" s="1" t="str">
        <f t="shared" si="3"/>
        <v>Loss</v>
      </c>
    </row>
    <row r="6726" ht="14.25" customHeight="1">
      <c r="A6726" s="1" t="s">
        <v>6760</v>
      </c>
      <c r="B6726" s="2">
        <v>44314.0</v>
      </c>
      <c r="C6726" s="1" t="s">
        <v>14</v>
      </c>
      <c r="D6726" s="1" t="s">
        <v>15</v>
      </c>
      <c r="E6726" s="1" t="s">
        <v>31</v>
      </c>
      <c r="F6726" s="1">
        <v>763.43</v>
      </c>
      <c r="G6726" s="1">
        <v>129.95</v>
      </c>
      <c r="H6726" s="1">
        <v>3.0</v>
      </c>
      <c r="I6726" s="1" t="s">
        <v>23</v>
      </c>
      <c r="J6726" s="1" t="s">
        <v>35</v>
      </c>
      <c r="K6726" s="1">
        <f t="shared" si="1"/>
        <v>2021</v>
      </c>
      <c r="L6726" s="1" t="str">
        <f t="shared" si="2"/>
        <v>Apr</v>
      </c>
      <c r="M6726" s="1" t="str">
        <f t="shared" si="3"/>
        <v>Profit</v>
      </c>
    </row>
    <row r="6727" ht="14.25" customHeight="1">
      <c r="A6727" s="1" t="s">
        <v>6761</v>
      </c>
      <c r="B6727" s="2">
        <v>44474.0</v>
      </c>
      <c r="C6727" s="1" t="s">
        <v>30</v>
      </c>
      <c r="D6727" s="1" t="s">
        <v>21</v>
      </c>
      <c r="E6727" s="1" t="s">
        <v>76</v>
      </c>
      <c r="F6727" s="1">
        <v>854.34</v>
      </c>
      <c r="G6727" s="1">
        <v>11.3</v>
      </c>
      <c r="H6727" s="1">
        <v>9.0</v>
      </c>
      <c r="I6727" s="1" t="s">
        <v>17</v>
      </c>
      <c r="J6727" s="1" t="s">
        <v>18</v>
      </c>
      <c r="K6727" s="1">
        <f t="shared" si="1"/>
        <v>2021</v>
      </c>
      <c r="L6727" s="1" t="str">
        <f t="shared" si="2"/>
        <v>Oct</v>
      </c>
      <c r="M6727" s="1" t="str">
        <f t="shared" si="3"/>
        <v>Profit</v>
      </c>
    </row>
    <row r="6728" ht="14.25" customHeight="1">
      <c r="A6728" s="1" t="s">
        <v>6762</v>
      </c>
      <c r="B6728" s="2">
        <v>44751.0</v>
      </c>
      <c r="C6728" s="1" t="s">
        <v>30</v>
      </c>
      <c r="D6728" s="1" t="s">
        <v>27</v>
      </c>
      <c r="E6728" s="1" t="s">
        <v>33</v>
      </c>
      <c r="F6728" s="1">
        <v>976.24</v>
      </c>
      <c r="G6728" s="1">
        <v>-12.27</v>
      </c>
      <c r="H6728" s="1">
        <v>5.0</v>
      </c>
      <c r="I6728" s="1" t="s">
        <v>23</v>
      </c>
      <c r="J6728" s="1" t="s">
        <v>35</v>
      </c>
      <c r="K6728" s="1">
        <f t="shared" si="1"/>
        <v>2022</v>
      </c>
      <c r="L6728" s="1" t="str">
        <f t="shared" si="2"/>
        <v>Jul</v>
      </c>
      <c r="M6728" s="1" t="str">
        <f t="shared" si="3"/>
        <v>Loss</v>
      </c>
    </row>
    <row r="6729" ht="14.25" customHeight="1">
      <c r="A6729" s="1" t="s">
        <v>6763</v>
      </c>
      <c r="B6729" s="2">
        <v>44635.0</v>
      </c>
      <c r="C6729" s="1" t="s">
        <v>20</v>
      </c>
      <c r="D6729" s="1" t="s">
        <v>27</v>
      </c>
      <c r="E6729" s="1" t="s">
        <v>28</v>
      </c>
      <c r="F6729" s="1">
        <v>287.84</v>
      </c>
      <c r="G6729" s="1">
        <v>-22.24</v>
      </c>
      <c r="H6729" s="1">
        <v>5.0</v>
      </c>
      <c r="I6729" s="1" t="s">
        <v>23</v>
      </c>
      <c r="J6729" s="1" t="s">
        <v>38</v>
      </c>
      <c r="K6729" s="1">
        <f t="shared" si="1"/>
        <v>2022</v>
      </c>
      <c r="L6729" s="1" t="str">
        <f t="shared" si="2"/>
        <v>Mar</v>
      </c>
      <c r="M6729" s="1" t="str">
        <f t="shared" si="3"/>
        <v>Loss</v>
      </c>
    </row>
    <row r="6730" ht="14.25" customHeight="1">
      <c r="A6730" s="1" t="s">
        <v>6764</v>
      </c>
      <c r="B6730" s="2">
        <v>44938.0</v>
      </c>
      <c r="C6730" s="1" t="s">
        <v>14</v>
      </c>
      <c r="D6730" s="1" t="s">
        <v>15</v>
      </c>
      <c r="E6730" s="1" t="s">
        <v>31</v>
      </c>
      <c r="F6730" s="1">
        <v>98.95</v>
      </c>
      <c r="G6730" s="1">
        <v>272.42</v>
      </c>
      <c r="H6730" s="1">
        <v>2.0</v>
      </c>
      <c r="I6730" s="1" t="s">
        <v>17</v>
      </c>
      <c r="J6730" s="1" t="s">
        <v>38</v>
      </c>
      <c r="K6730" s="1">
        <f t="shared" si="1"/>
        <v>2023</v>
      </c>
      <c r="L6730" s="1" t="str">
        <f t="shared" si="2"/>
        <v>Jan</v>
      </c>
      <c r="M6730" s="1" t="str">
        <f t="shared" si="3"/>
        <v>Profit</v>
      </c>
    </row>
    <row r="6731" ht="14.25" customHeight="1">
      <c r="A6731" s="1" t="s">
        <v>6765</v>
      </c>
      <c r="B6731" s="2">
        <v>44809.0</v>
      </c>
      <c r="C6731" s="1" t="s">
        <v>26</v>
      </c>
      <c r="D6731" s="1" t="s">
        <v>15</v>
      </c>
      <c r="E6731" s="1" t="s">
        <v>54</v>
      </c>
      <c r="F6731" s="1">
        <v>688.49</v>
      </c>
      <c r="G6731" s="1">
        <v>210.07</v>
      </c>
      <c r="H6731" s="1">
        <v>5.0</v>
      </c>
      <c r="I6731" s="1" t="s">
        <v>34</v>
      </c>
      <c r="J6731" s="1" t="s">
        <v>24</v>
      </c>
      <c r="K6731" s="1">
        <f t="shared" si="1"/>
        <v>2022</v>
      </c>
      <c r="L6731" s="1" t="str">
        <f t="shared" si="2"/>
        <v>Sep</v>
      </c>
      <c r="M6731" s="1" t="str">
        <f t="shared" si="3"/>
        <v>Profit</v>
      </c>
    </row>
    <row r="6732" ht="14.25" customHeight="1">
      <c r="A6732" s="1" t="s">
        <v>6766</v>
      </c>
      <c r="B6732" s="2">
        <v>45141.0</v>
      </c>
      <c r="C6732" s="1" t="s">
        <v>20</v>
      </c>
      <c r="D6732" s="1" t="s">
        <v>27</v>
      </c>
      <c r="E6732" s="1" t="s">
        <v>33</v>
      </c>
      <c r="F6732" s="1">
        <v>123.66</v>
      </c>
      <c r="G6732" s="1">
        <v>93.26</v>
      </c>
      <c r="H6732" s="1">
        <v>3.0</v>
      </c>
      <c r="I6732" s="1" t="s">
        <v>17</v>
      </c>
      <c r="J6732" s="1" t="s">
        <v>18</v>
      </c>
      <c r="K6732" s="1">
        <f t="shared" si="1"/>
        <v>2023</v>
      </c>
      <c r="L6732" s="1" t="str">
        <f t="shared" si="2"/>
        <v>Aug</v>
      </c>
      <c r="M6732" s="1" t="str">
        <f t="shared" si="3"/>
        <v>Profit</v>
      </c>
    </row>
    <row r="6733" ht="14.25" customHeight="1">
      <c r="A6733" s="1" t="s">
        <v>6767</v>
      </c>
      <c r="B6733" s="2">
        <v>44960.0</v>
      </c>
      <c r="C6733" s="1" t="s">
        <v>20</v>
      </c>
      <c r="D6733" s="1" t="s">
        <v>27</v>
      </c>
      <c r="E6733" s="1" t="s">
        <v>28</v>
      </c>
      <c r="F6733" s="1">
        <v>371.57</v>
      </c>
      <c r="G6733" s="1">
        <v>-56.29</v>
      </c>
      <c r="H6733" s="1">
        <v>4.0</v>
      </c>
      <c r="I6733" s="1" t="s">
        <v>17</v>
      </c>
      <c r="J6733" s="1" t="s">
        <v>35</v>
      </c>
      <c r="K6733" s="1">
        <f t="shared" si="1"/>
        <v>2023</v>
      </c>
      <c r="L6733" s="1" t="str">
        <f t="shared" si="2"/>
        <v>Feb</v>
      </c>
      <c r="M6733" s="1" t="str">
        <f t="shared" si="3"/>
        <v>Loss</v>
      </c>
    </row>
    <row r="6734" ht="14.25" customHeight="1">
      <c r="A6734" s="1" t="s">
        <v>6768</v>
      </c>
      <c r="B6734" s="2">
        <v>44501.0</v>
      </c>
      <c r="C6734" s="1" t="s">
        <v>20</v>
      </c>
      <c r="D6734" s="1" t="s">
        <v>27</v>
      </c>
      <c r="E6734" s="1" t="s">
        <v>28</v>
      </c>
      <c r="F6734" s="1">
        <v>652.03</v>
      </c>
      <c r="G6734" s="1">
        <v>-116.37</v>
      </c>
      <c r="H6734" s="1">
        <v>4.0</v>
      </c>
      <c r="I6734" s="1" t="s">
        <v>34</v>
      </c>
      <c r="J6734" s="1" t="s">
        <v>24</v>
      </c>
      <c r="K6734" s="1">
        <f t="shared" si="1"/>
        <v>2021</v>
      </c>
      <c r="L6734" s="1" t="str">
        <f t="shared" si="2"/>
        <v>Nov</v>
      </c>
      <c r="M6734" s="1" t="str">
        <f t="shared" si="3"/>
        <v>Loss</v>
      </c>
    </row>
    <row r="6735" ht="14.25" customHeight="1">
      <c r="A6735" s="1" t="s">
        <v>6769</v>
      </c>
      <c r="B6735" s="2">
        <v>44466.0</v>
      </c>
      <c r="C6735" s="1" t="s">
        <v>30</v>
      </c>
      <c r="D6735" s="1" t="s">
        <v>27</v>
      </c>
      <c r="E6735" s="1" t="s">
        <v>28</v>
      </c>
      <c r="F6735" s="1">
        <v>725.92</v>
      </c>
      <c r="G6735" s="1">
        <v>-184.84</v>
      </c>
      <c r="H6735" s="1">
        <v>4.0</v>
      </c>
      <c r="I6735" s="1" t="s">
        <v>34</v>
      </c>
      <c r="J6735" s="1" t="s">
        <v>35</v>
      </c>
      <c r="K6735" s="1">
        <f t="shared" si="1"/>
        <v>2021</v>
      </c>
      <c r="L6735" s="1" t="str">
        <f t="shared" si="2"/>
        <v>Sep</v>
      </c>
      <c r="M6735" s="1" t="str">
        <f t="shared" si="3"/>
        <v>Loss</v>
      </c>
    </row>
    <row r="6736" ht="14.25" customHeight="1">
      <c r="A6736" s="1" t="s">
        <v>6770</v>
      </c>
      <c r="B6736" s="2">
        <v>44544.0</v>
      </c>
      <c r="C6736" s="1" t="s">
        <v>14</v>
      </c>
      <c r="D6736" s="1" t="s">
        <v>21</v>
      </c>
      <c r="E6736" s="1" t="s">
        <v>76</v>
      </c>
      <c r="F6736" s="1">
        <v>293.06</v>
      </c>
      <c r="G6736" s="1">
        <v>-176.95</v>
      </c>
      <c r="H6736" s="1">
        <v>7.0</v>
      </c>
      <c r="I6736" s="1" t="s">
        <v>23</v>
      </c>
      <c r="J6736" s="1" t="s">
        <v>18</v>
      </c>
      <c r="K6736" s="1">
        <f t="shared" si="1"/>
        <v>2021</v>
      </c>
      <c r="L6736" s="1" t="str">
        <f t="shared" si="2"/>
        <v>Dec</v>
      </c>
      <c r="M6736" s="1" t="str">
        <f t="shared" si="3"/>
        <v>Loss</v>
      </c>
    </row>
    <row r="6737" ht="14.25" customHeight="1">
      <c r="A6737" s="1" t="s">
        <v>6771</v>
      </c>
      <c r="B6737" s="2">
        <v>44457.0</v>
      </c>
      <c r="C6737" s="1" t="s">
        <v>20</v>
      </c>
      <c r="D6737" s="1" t="s">
        <v>27</v>
      </c>
      <c r="E6737" s="1" t="s">
        <v>33</v>
      </c>
      <c r="F6737" s="1">
        <v>529.59</v>
      </c>
      <c r="G6737" s="1">
        <v>33.3</v>
      </c>
      <c r="H6737" s="1">
        <v>5.0</v>
      </c>
      <c r="I6737" s="1" t="s">
        <v>34</v>
      </c>
      <c r="J6737" s="1" t="s">
        <v>38</v>
      </c>
      <c r="K6737" s="1">
        <f t="shared" si="1"/>
        <v>2021</v>
      </c>
      <c r="L6737" s="1" t="str">
        <f t="shared" si="2"/>
        <v>Sep</v>
      </c>
      <c r="M6737" s="1" t="str">
        <f t="shared" si="3"/>
        <v>Profit</v>
      </c>
    </row>
    <row r="6738" ht="14.25" customHeight="1">
      <c r="A6738" s="1" t="s">
        <v>6772</v>
      </c>
      <c r="B6738" s="2">
        <v>44297.0</v>
      </c>
      <c r="C6738" s="1" t="s">
        <v>20</v>
      </c>
      <c r="D6738" s="1" t="s">
        <v>15</v>
      </c>
      <c r="E6738" s="1" t="s">
        <v>54</v>
      </c>
      <c r="F6738" s="1">
        <v>236.38</v>
      </c>
      <c r="G6738" s="1">
        <v>249.54</v>
      </c>
      <c r="H6738" s="1">
        <v>4.0</v>
      </c>
      <c r="I6738" s="1" t="s">
        <v>17</v>
      </c>
      <c r="J6738" s="1" t="s">
        <v>24</v>
      </c>
      <c r="K6738" s="1">
        <f t="shared" si="1"/>
        <v>2021</v>
      </c>
      <c r="L6738" s="1" t="str">
        <f t="shared" si="2"/>
        <v>Apr</v>
      </c>
      <c r="M6738" s="1" t="str">
        <f t="shared" si="3"/>
        <v>Profit</v>
      </c>
    </row>
    <row r="6739" ht="14.25" customHeight="1">
      <c r="A6739" s="1" t="s">
        <v>6773</v>
      </c>
      <c r="B6739" s="2">
        <v>44529.0</v>
      </c>
      <c r="C6739" s="1" t="s">
        <v>30</v>
      </c>
      <c r="D6739" s="1" t="s">
        <v>15</v>
      </c>
      <c r="E6739" s="1" t="s">
        <v>16</v>
      </c>
      <c r="F6739" s="1">
        <v>335.96</v>
      </c>
      <c r="G6739" s="1">
        <v>102.9</v>
      </c>
      <c r="H6739" s="1">
        <v>3.0</v>
      </c>
      <c r="I6739" s="1" t="s">
        <v>23</v>
      </c>
      <c r="J6739" s="1" t="s">
        <v>35</v>
      </c>
      <c r="K6739" s="1">
        <f t="shared" si="1"/>
        <v>2021</v>
      </c>
      <c r="L6739" s="1" t="str">
        <f t="shared" si="2"/>
        <v>Nov</v>
      </c>
      <c r="M6739" s="1" t="str">
        <f t="shared" si="3"/>
        <v>Profit</v>
      </c>
    </row>
    <row r="6740" ht="14.25" customHeight="1">
      <c r="A6740" s="1" t="s">
        <v>6774</v>
      </c>
      <c r="B6740" s="2">
        <v>44523.0</v>
      </c>
      <c r="C6740" s="1" t="s">
        <v>26</v>
      </c>
      <c r="D6740" s="1" t="s">
        <v>27</v>
      </c>
      <c r="E6740" s="1" t="s">
        <v>40</v>
      </c>
      <c r="F6740" s="1">
        <v>483.88</v>
      </c>
      <c r="G6740" s="1">
        <v>-4.84</v>
      </c>
      <c r="H6740" s="1">
        <v>4.0</v>
      </c>
      <c r="I6740" s="1" t="s">
        <v>23</v>
      </c>
      <c r="J6740" s="1" t="s">
        <v>38</v>
      </c>
      <c r="K6740" s="1">
        <f t="shared" si="1"/>
        <v>2021</v>
      </c>
      <c r="L6740" s="1" t="str">
        <f t="shared" si="2"/>
        <v>Nov</v>
      </c>
      <c r="M6740" s="1" t="str">
        <f t="shared" si="3"/>
        <v>Loss</v>
      </c>
    </row>
    <row r="6741" ht="14.25" customHeight="1">
      <c r="A6741" s="1" t="s">
        <v>6775</v>
      </c>
      <c r="B6741" s="2">
        <v>45265.0</v>
      </c>
      <c r="C6741" s="1" t="s">
        <v>26</v>
      </c>
      <c r="D6741" s="1" t="s">
        <v>15</v>
      </c>
      <c r="E6741" s="1" t="s">
        <v>31</v>
      </c>
      <c r="F6741" s="1">
        <v>798.06</v>
      </c>
      <c r="G6741" s="1">
        <v>291.09</v>
      </c>
      <c r="H6741" s="1">
        <v>1.0</v>
      </c>
      <c r="I6741" s="1" t="s">
        <v>34</v>
      </c>
      <c r="J6741" s="1" t="s">
        <v>35</v>
      </c>
      <c r="K6741" s="1">
        <f t="shared" si="1"/>
        <v>2023</v>
      </c>
      <c r="L6741" s="1" t="str">
        <f t="shared" si="2"/>
        <v>Dec</v>
      </c>
      <c r="M6741" s="1" t="str">
        <f t="shared" si="3"/>
        <v>Profit</v>
      </c>
    </row>
    <row r="6742" ht="14.25" customHeight="1">
      <c r="A6742" s="1" t="s">
        <v>6776</v>
      </c>
      <c r="B6742" s="2">
        <v>44629.0</v>
      </c>
      <c r="C6742" s="1" t="s">
        <v>26</v>
      </c>
      <c r="D6742" s="1" t="s">
        <v>21</v>
      </c>
      <c r="E6742" s="1" t="s">
        <v>22</v>
      </c>
      <c r="F6742" s="1">
        <v>944.5</v>
      </c>
      <c r="G6742" s="1">
        <v>-83.11</v>
      </c>
      <c r="H6742" s="1">
        <v>10.0</v>
      </c>
      <c r="I6742" s="1" t="s">
        <v>34</v>
      </c>
      <c r="J6742" s="1" t="s">
        <v>35</v>
      </c>
      <c r="K6742" s="1">
        <f t="shared" si="1"/>
        <v>2022</v>
      </c>
      <c r="L6742" s="1" t="str">
        <f t="shared" si="2"/>
        <v>Mar</v>
      </c>
      <c r="M6742" s="1" t="str">
        <f t="shared" si="3"/>
        <v>Loss</v>
      </c>
    </row>
    <row r="6743" ht="14.25" customHeight="1">
      <c r="A6743" s="1" t="s">
        <v>6777</v>
      </c>
      <c r="B6743" s="2">
        <v>45006.0</v>
      </c>
      <c r="C6743" s="1" t="s">
        <v>20</v>
      </c>
      <c r="D6743" s="1" t="s">
        <v>27</v>
      </c>
      <c r="E6743" s="1" t="s">
        <v>40</v>
      </c>
      <c r="F6743" s="1">
        <v>327.68</v>
      </c>
      <c r="G6743" s="1">
        <v>-55.5</v>
      </c>
      <c r="H6743" s="1">
        <v>5.0</v>
      </c>
      <c r="I6743" s="1" t="s">
        <v>34</v>
      </c>
      <c r="J6743" s="1" t="s">
        <v>18</v>
      </c>
      <c r="K6743" s="1">
        <f t="shared" si="1"/>
        <v>2023</v>
      </c>
      <c r="L6743" s="1" t="str">
        <f t="shared" si="2"/>
        <v>Mar</v>
      </c>
      <c r="M6743" s="1" t="str">
        <f t="shared" si="3"/>
        <v>Loss</v>
      </c>
    </row>
    <row r="6744" ht="14.25" customHeight="1">
      <c r="A6744" s="1" t="s">
        <v>6778</v>
      </c>
      <c r="B6744" s="2">
        <v>44378.0</v>
      </c>
      <c r="C6744" s="1" t="s">
        <v>20</v>
      </c>
      <c r="D6744" s="1" t="s">
        <v>21</v>
      </c>
      <c r="E6744" s="1" t="s">
        <v>37</v>
      </c>
      <c r="F6744" s="1">
        <v>765.52</v>
      </c>
      <c r="G6744" s="1">
        <v>50.3</v>
      </c>
      <c r="H6744" s="1">
        <v>1.0</v>
      </c>
      <c r="I6744" s="1" t="s">
        <v>17</v>
      </c>
      <c r="J6744" s="1" t="s">
        <v>35</v>
      </c>
      <c r="K6744" s="1">
        <f t="shared" si="1"/>
        <v>2021</v>
      </c>
      <c r="L6744" s="1" t="str">
        <f t="shared" si="2"/>
        <v>Jul</v>
      </c>
      <c r="M6744" s="1" t="str">
        <f t="shared" si="3"/>
        <v>Profit</v>
      </c>
    </row>
    <row r="6745" ht="14.25" customHeight="1">
      <c r="A6745" s="1" t="s">
        <v>6779</v>
      </c>
      <c r="B6745" s="2">
        <v>44871.0</v>
      </c>
      <c r="C6745" s="1" t="s">
        <v>26</v>
      </c>
      <c r="D6745" s="1" t="s">
        <v>27</v>
      </c>
      <c r="E6745" s="1" t="s">
        <v>40</v>
      </c>
      <c r="F6745" s="1">
        <v>287.93</v>
      </c>
      <c r="G6745" s="1">
        <v>-121.26</v>
      </c>
      <c r="H6745" s="1">
        <v>7.0</v>
      </c>
      <c r="I6745" s="1" t="s">
        <v>34</v>
      </c>
      <c r="J6745" s="1" t="s">
        <v>18</v>
      </c>
      <c r="K6745" s="1">
        <f t="shared" si="1"/>
        <v>2022</v>
      </c>
      <c r="L6745" s="1" t="str">
        <f t="shared" si="2"/>
        <v>Nov</v>
      </c>
      <c r="M6745" s="1" t="str">
        <f t="shared" si="3"/>
        <v>Loss</v>
      </c>
    </row>
    <row r="6746" ht="14.25" customHeight="1">
      <c r="A6746" s="1" t="s">
        <v>6780</v>
      </c>
      <c r="B6746" s="2">
        <v>45193.0</v>
      </c>
      <c r="C6746" s="1" t="s">
        <v>14</v>
      </c>
      <c r="D6746" s="1" t="s">
        <v>15</v>
      </c>
      <c r="E6746" s="1" t="s">
        <v>54</v>
      </c>
      <c r="F6746" s="1">
        <v>513.66</v>
      </c>
      <c r="G6746" s="1">
        <v>228.74</v>
      </c>
      <c r="H6746" s="1">
        <v>10.0</v>
      </c>
      <c r="I6746" s="1" t="s">
        <v>23</v>
      </c>
      <c r="J6746" s="1" t="s">
        <v>35</v>
      </c>
      <c r="K6746" s="1">
        <f t="shared" si="1"/>
        <v>2023</v>
      </c>
      <c r="L6746" s="1" t="str">
        <f t="shared" si="2"/>
        <v>Sep</v>
      </c>
      <c r="M6746" s="1" t="str">
        <f t="shared" si="3"/>
        <v>Profit</v>
      </c>
    </row>
    <row r="6747" ht="14.25" customHeight="1">
      <c r="A6747" s="1" t="s">
        <v>6781</v>
      </c>
      <c r="B6747" s="2">
        <v>45084.0</v>
      </c>
      <c r="C6747" s="1" t="s">
        <v>26</v>
      </c>
      <c r="D6747" s="1" t="s">
        <v>15</v>
      </c>
      <c r="E6747" s="1" t="s">
        <v>16</v>
      </c>
      <c r="F6747" s="1">
        <v>252.15</v>
      </c>
      <c r="G6747" s="1">
        <v>27.18</v>
      </c>
      <c r="H6747" s="1">
        <v>9.0</v>
      </c>
      <c r="I6747" s="1" t="s">
        <v>34</v>
      </c>
      <c r="J6747" s="1" t="s">
        <v>35</v>
      </c>
      <c r="K6747" s="1">
        <f t="shared" si="1"/>
        <v>2023</v>
      </c>
      <c r="L6747" s="1" t="str">
        <f t="shared" si="2"/>
        <v>Jun</v>
      </c>
      <c r="M6747" s="1" t="str">
        <f t="shared" si="3"/>
        <v>Profit</v>
      </c>
    </row>
    <row r="6748" ht="14.25" customHeight="1">
      <c r="A6748" s="1" t="s">
        <v>6782</v>
      </c>
      <c r="B6748" s="2">
        <v>44826.0</v>
      </c>
      <c r="C6748" s="1" t="s">
        <v>30</v>
      </c>
      <c r="D6748" s="1" t="s">
        <v>15</v>
      </c>
      <c r="E6748" s="1" t="s">
        <v>16</v>
      </c>
      <c r="F6748" s="1">
        <v>706.55</v>
      </c>
      <c r="G6748" s="1">
        <v>264.01</v>
      </c>
      <c r="H6748" s="1">
        <v>5.0</v>
      </c>
      <c r="I6748" s="1" t="s">
        <v>23</v>
      </c>
      <c r="J6748" s="1" t="s">
        <v>18</v>
      </c>
      <c r="K6748" s="1">
        <f t="shared" si="1"/>
        <v>2022</v>
      </c>
      <c r="L6748" s="1" t="str">
        <f t="shared" si="2"/>
        <v>Sep</v>
      </c>
      <c r="M6748" s="1" t="str">
        <f t="shared" si="3"/>
        <v>Profit</v>
      </c>
    </row>
    <row r="6749" ht="14.25" customHeight="1">
      <c r="A6749" s="1" t="s">
        <v>6783</v>
      </c>
      <c r="B6749" s="2">
        <v>44475.0</v>
      </c>
      <c r="C6749" s="1" t="s">
        <v>30</v>
      </c>
      <c r="D6749" s="1" t="s">
        <v>21</v>
      </c>
      <c r="E6749" s="1" t="s">
        <v>37</v>
      </c>
      <c r="F6749" s="1">
        <v>143.94</v>
      </c>
      <c r="G6749" s="1">
        <v>8.41</v>
      </c>
      <c r="H6749" s="1">
        <v>7.0</v>
      </c>
      <c r="I6749" s="1" t="s">
        <v>23</v>
      </c>
      <c r="J6749" s="1" t="s">
        <v>18</v>
      </c>
      <c r="K6749" s="1">
        <f t="shared" si="1"/>
        <v>2021</v>
      </c>
      <c r="L6749" s="1" t="str">
        <f t="shared" si="2"/>
        <v>Oct</v>
      </c>
      <c r="M6749" s="1" t="str">
        <f t="shared" si="3"/>
        <v>Profit</v>
      </c>
    </row>
    <row r="6750" ht="14.25" customHeight="1">
      <c r="A6750" s="1" t="s">
        <v>6784</v>
      </c>
      <c r="B6750" s="2">
        <v>44668.0</v>
      </c>
      <c r="C6750" s="1" t="s">
        <v>30</v>
      </c>
      <c r="D6750" s="1" t="s">
        <v>27</v>
      </c>
      <c r="E6750" s="1" t="s">
        <v>40</v>
      </c>
      <c r="F6750" s="1">
        <v>237.07</v>
      </c>
      <c r="G6750" s="1">
        <v>166.99</v>
      </c>
      <c r="H6750" s="1">
        <v>8.0</v>
      </c>
      <c r="I6750" s="1" t="s">
        <v>17</v>
      </c>
      <c r="J6750" s="1" t="s">
        <v>18</v>
      </c>
      <c r="K6750" s="1">
        <f t="shared" si="1"/>
        <v>2022</v>
      </c>
      <c r="L6750" s="1" t="str">
        <f t="shared" si="2"/>
        <v>Apr</v>
      </c>
      <c r="M6750" s="1" t="str">
        <f t="shared" si="3"/>
        <v>Profit</v>
      </c>
    </row>
    <row r="6751" ht="14.25" customHeight="1">
      <c r="A6751" s="1" t="s">
        <v>6785</v>
      </c>
      <c r="B6751" s="2">
        <v>45203.0</v>
      </c>
      <c r="C6751" s="1" t="s">
        <v>20</v>
      </c>
      <c r="D6751" s="1" t="s">
        <v>15</v>
      </c>
      <c r="E6751" s="1" t="s">
        <v>31</v>
      </c>
      <c r="F6751" s="1">
        <v>980.27</v>
      </c>
      <c r="G6751" s="1">
        <v>-179.68</v>
      </c>
      <c r="H6751" s="1">
        <v>6.0</v>
      </c>
      <c r="I6751" s="1" t="s">
        <v>34</v>
      </c>
      <c r="J6751" s="1" t="s">
        <v>35</v>
      </c>
      <c r="K6751" s="1">
        <f t="shared" si="1"/>
        <v>2023</v>
      </c>
      <c r="L6751" s="1" t="str">
        <f t="shared" si="2"/>
        <v>Oct</v>
      </c>
      <c r="M6751" s="1" t="str">
        <f t="shared" si="3"/>
        <v>Loss</v>
      </c>
    </row>
    <row r="6752" ht="14.25" customHeight="1">
      <c r="A6752" s="1" t="s">
        <v>6786</v>
      </c>
      <c r="B6752" s="2">
        <v>44381.0</v>
      </c>
      <c r="C6752" s="1" t="s">
        <v>26</v>
      </c>
      <c r="D6752" s="1" t="s">
        <v>21</v>
      </c>
      <c r="E6752" s="1" t="s">
        <v>76</v>
      </c>
      <c r="F6752" s="1">
        <v>533.7</v>
      </c>
      <c r="G6752" s="1">
        <v>163.75</v>
      </c>
      <c r="H6752" s="1">
        <v>3.0</v>
      </c>
      <c r="I6752" s="1" t="s">
        <v>23</v>
      </c>
      <c r="J6752" s="1" t="s">
        <v>38</v>
      </c>
      <c r="K6752" s="1">
        <f t="shared" si="1"/>
        <v>2021</v>
      </c>
      <c r="L6752" s="1" t="str">
        <f t="shared" si="2"/>
        <v>Jul</v>
      </c>
      <c r="M6752" s="1" t="str">
        <f t="shared" si="3"/>
        <v>Profit</v>
      </c>
    </row>
    <row r="6753" ht="14.25" customHeight="1">
      <c r="A6753" s="1" t="s">
        <v>6787</v>
      </c>
      <c r="B6753" s="2">
        <v>44264.0</v>
      </c>
      <c r="C6753" s="1" t="s">
        <v>30</v>
      </c>
      <c r="D6753" s="1" t="s">
        <v>27</v>
      </c>
      <c r="E6753" s="1" t="s">
        <v>40</v>
      </c>
      <c r="F6753" s="1">
        <v>222.36</v>
      </c>
      <c r="G6753" s="1">
        <v>-175.66</v>
      </c>
      <c r="H6753" s="1">
        <v>6.0</v>
      </c>
      <c r="I6753" s="1" t="s">
        <v>17</v>
      </c>
      <c r="J6753" s="1" t="s">
        <v>35</v>
      </c>
      <c r="K6753" s="1">
        <f t="shared" si="1"/>
        <v>2021</v>
      </c>
      <c r="L6753" s="1" t="str">
        <f t="shared" si="2"/>
        <v>Mar</v>
      </c>
      <c r="M6753" s="1" t="str">
        <f t="shared" si="3"/>
        <v>Loss</v>
      </c>
    </row>
    <row r="6754" ht="14.25" customHeight="1">
      <c r="A6754" s="1" t="s">
        <v>6788</v>
      </c>
      <c r="B6754" s="2">
        <v>44522.0</v>
      </c>
      <c r="C6754" s="1" t="s">
        <v>14</v>
      </c>
      <c r="D6754" s="1" t="s">
        <v>21</v>
      </c>
      <c r="E6754" s="1" t="s">
        <v>22</v>
      </c>
      <c r="F6754" s="1">
        <v>294.36</v>
      </c>
      <c r="G6754" s="1">
        <v>116.82</v>
      </c>
      <c r="H6754" s="1">
        <v>9.0</v>
      </c>
      <c r="I6754" s="1" t="s">
        <v>23</v>
      </c>
      <c r="J6754" s="1" t="s">
        <v>18</v>
      </c>
      <c r="K6754" s="1">
        <f t="shared" si="1"/>
        <v>2021</v>
      </c>
      <c r="L6754" s="1" t="str">
        <f t="shared" si="2"/>
        <v>Nov</v>
      </c>
      <c r="M6754" s="1" t="str">
        <f t="shared" si="3"/>
        <v>Profit</v>
      </c>
    </row>
    <row r="6755" ht="14.25" customHeight="1">
      <c r="A6755" s="1" t="s">
        <v>6789</v>
      </c>
      <c r="B6755" s="2">
        <v>44548.0</v>
      </c>
      <c r="C6755" s="1" t="s">
        <v>26</v>
      </c>
      <c r="D6755" s="1" t="s">
        <v>21</v>
      </c>
      <c r="E6755" s="1" t="s">
        <v>37</v>
      </c>
      <c r="F6755" s="1">
        <v>25.72</v>
      </c>
      <c r="G6755" s="1">
        <v>-31.94</v>
      </c>
      <c r="H6755" s="1">
        <v>9.0</v>
      </c>
      <c r="I6755" s="1" t="s">
        <v>34</v>
      </c>
      <c r="J6755" s="1" t="s">
        <v>24</v>
      </c>
      <c r="K6755" s="1">
        <f t="shared" si="1"/>
        <v>2021</v>
      </c>
      <c r="L6755" s="1" t="str">
        <f t="shared" si="2"/>
        <v>Dec</v>
      </c>
      <c r="M6755" s="1" t="str">
        <f t="shared" si="3"/>
        <v>Loss</v>
      </c>
    </row>
    <row r="6756" ht="14.25" customHeight="1">
      <c r="A6756" s="1" t="s">
        <v>6790</v>
      </c>
      <c r="B6756" s="2">
        <v>45235.0</v>
      </c>
      <c r="C6756" s="1" t="s">
        <v>20</v>
      </c>
      <c r="D6756" s="1" t="s">
        <v>21</v>
      </c>
      <c r="E6756" s="1" t="s">
        <v>37</v>
      </c>
      <c r="F6756" s="1">
        <v>53.82</v>
      </c>
      <c r="G6756" s="1">
        <v>238.33</v>
      </c>
      <c r="H6756" s="1">
        <v>10.0</v>
      </c>
      <c r="I6756" s="1" t="s">
        <v>23</v>
      </c>
      <c r="J6756" s="1" t="s">
        <v>24</v>
      </c>
      <c r="K6756" s="1">
        <f t="shared" si="1"/>
        <v>2023</v>
      </c>
      <c r="L6756" s="1" t="str">
        <f t="shared" si="2"/>
        <v>Nov</v>
      </c>
      <c r="M6756" s="1" t="str">
        <f t="shared" si="3"/>
        <v>Profit</v>
      </c>
    </row>
    <row r="6757" ht="14.25" customHeight="1">
      <c r="A6757" s="1" t="s">
        <v>6791</v>
      </c>
      <c r="B6757" s="2">
        <v>44718.0</v>
      </c>
      <c r="C6757" s="1" t="s">
        <v>14</v>
      </c>
      <c r="D6757" s="1" t="s">
        <v>15</v>
      </c>
      <c r="E6757" s="1" t="s">
        <v>31</v>
      </c>
      <c r="F6757" s="1">
        <v>103.77</v>
      </c>
      <c r="G6757" s="1">
        <v>-178.61</v>
      </c>
      <c r="H6757" s="1">
        <v>3.0</v>
      </c>
      <c r="I6757" s="1" t="s">
        <v>34</v>
      </c>
      <c r="J6757" s="1" t="s">
        <v>35</v>
      </c>
      <c r="K6757" s="1">
        <f t="shared" si="1"/>
        <v>2022</v>
      </c>
      <c r="L6757" s="1" t="str">
        <f t="shared" si="2"/>
        <v>Jun</v>
      </c>
      <c r="M6757" s="1" t="str">
        <f t="shared" si="3"/>
        <v>Loss</v>
      </c>
    </row>
    <row r="6758" ht="14.25" customHeight="1">
      <c r="A6758" s="1" t="s">
        <v>6792</v>
      </c>
      <c r="B6758" s="2">
        <v>44507.0</v>
      </c>
      <c r="C6758" s="1" t="s">
        <v>26</v>
      </c>
      <c r="D6758" s="1" t="s">
        <v>15</v>
      </c>
      <c r="E6758" s="1" t="s">
        <v>16</v>
      </c>
      <c r="F6758" s="1">
        <v>117.25</v>
      </c>
      <c r="G6758" s="1">
        <v>-195.49</v>
      </c>
      <c r="H6758" s="1">
        <v>6.0</v>
      </c>
      <c r="I6758" s="1" t="s">
        <v>34</v>
      </c>
      <c r="J6758" s="1" t="s">
        <v>18</v>
      </c>
      <c r="K6758" s="1">
        <f t="shared" si="1"/>
        <v>2021</v>
      </c>
      <c r="L6758" s="1" t="str">
        <f t="shared" si="2"/>
        <v>Nov</v>
      </c>
      <c r="M6758" s="1" t="str">
        <f t="shared" si="3"/>
        <v>Loss</v>
      </c>
    </row>
    <row r="6759" ht="14.25" customHeight="1">
      <c r="A6759" s="1" t="s">
        <v>6793</v>
      </c>
      <c r="B6759" s="2">
        <v>44543.0</v>
      </c>
      <c r="C6759" s="1" t="s">
        <v>30</v>
      </c>
      <c r="D6759" s="1" t="s">
        <v>15</v>
      </c>
      <c r="E6759" s="1" t="s">
        <v>16</v>
      </c>
      <c r="F6759" s="1">
        <v>641.54</v>
      </c>
      <c r="G6759" s="1">
        <v>13.48</v>
      </c>
      <c r="H6759" s="1">
        <v>7.0</v>
      </c>
      <c r="I6759" s="1" t="s">
        <v>34</v>
      </c>
      <c r="J6759" s="1" t="s">
        <v>35</v>
      </c>
      <c r="K6759" s="1">
        <f t="shared" si="1"/>
        <v>2021</v>
      </c>
      <c r="L6759" s="1" t="str">
        <f t="shared" si="2"/>
        <v>Dec</v>
      </c>
      <c r="M6759" s="1" t="str">
        <f t="shared" si="3"/>
        <v>Profit</v>
      </c>
    </row>
    <row r="6760" ht="14.25" customHeight="1">
      <c r="A6760" s="1" t="s">
        <v>6794</v>
      </c>
      <c r="B6760" s="2">
        <v>44456.0</v>
      </c>
      <c r="C6760" s="1" t="s">
        <v>26</v>
      </c>
      <c r="D6760" s="1" t="s">
        <v>27</v>
      </c>
      <c r="E6760" s="1" t="s">
        <v>33</v>
      </c>
      <c r="F6760" s="1">
        <v>747.49</v>
      </c>
      <c r="G6760" s="1">
        <v>76.46</v>
      </c>
      <c r="H6760" s="1">
        <v>3.0</v>
      </c>
      <c r="I6760" s="1" t="s">
        <v>23</v>
      </c>
      <c r="J6760" s="1" t="s">
        <v>24</v>
      </c>
      <c r="K6760" s="1">
        <f t="shared" si="1"/>
        <v>2021</v>
      </c>
      <c r="L6760" s="1" t="str">
        <f t="shared" si="2"/>
        <v>Sep</v>
      </c>
      <c r="M6760" s="1" t="str">
        <f t="shared" si="3"/>
        <v>Profit</v>
      </c>
    </row>
    <row r="6761" ht="14.25" customHeight="1">
      <c r="A6761" s="1" t="s">
        <v>6795</v>
      </c>
      <c r="B6761" s="2">
        <v>44496.0</v>
      </c>
      <c r="C6761" s="1" t="s">
        <v>30</v>
      </c>
      <c r="D6761" s="1" t="s">
        <v>21</v>
      </c>
      <c r="E6761" s="1" t="s">
        <v>22</v>
      </c>
      <c r="F6761" s="1">
        <v>650.68</v>
      </c>
      <c r="G6761" s="1">
        <v>-193.96</v>
      </c>
      <c r="H6761" s="1">
        <v>10.0</v>
      </c>
      <c r="I6761" s="1" t="s">
        <v>17</v>
      </c>
      <c r="J6761" s="1" t="s">
        <v>24</v>
      </c>
      <c r="K6761" s="1">
        <f t="shared" si="1"/>
        <v>2021</v>
      </c>
      <c r="L6761" s="1" t="str">
        <f t="shared" si="2"/>
        <v>Oct</v>
      </c>
      <c r="M6761" s="1" t="str">
        <f t="shared" si="3"/>
        <v>Loss</v>
      </c>
    </row>
    <row r="6762" ht="14.25" customHeight="1">
      <c r="A6762" s="1" t="s">
        <v>6796</v>
      </c>
      <c r="B6762" s="2">
        <v>45123.0</v>
      </c>
      <c r="C6762" s="1" t="s">
        <v>30</v>
      </c>
      <c r="D6762" s="1" t="s">
        <v>27</v>
      </c>
      <c r="E6762" s="1" t="s">
        <v>28</v>
      </c>
      <c r="F6762" s="1">
        <v>220.18</v>
      </c>
      <c r="G6762" s="1">
        <v>250.91</v>
      </c>
      <c r="H6762" s="1">
        <v>9.0</v>
      </c>
      <c r="I6762" s="1" t="s">
        <v>23</v>
      </c>
      <c r="J6762" s="1" t="s">
        <v>35</v>
      </c>
      <c r="K6762" s="1">
        <f t="shared" si="1"/>
        <v>2023</v>
      </c>
      <c r="L6762" s="1" t="str">
        <f t="shared" si="2"/>
        <v>Jul</v>
      </c>
      <c r="M6762" s="1" t="str">
        <f t="shared" si="3"/>
        <v>Profit</v>
      </c>
    </row>
    <row r="6763" ht="14.25" customHeight="1">
      <c r="A6763" s="1" t="s">
        <v>6797</v>
      </c>
      <c r="B6763" s="2">
        <v>44261.0</v>
      </c>
      <c r="C6763" s="1" t="s">
        <v>26</v>
      </c>
      <c r="D6763" s="1" t="s">
        <v>27</v>
      </c>
      <c r="E6763" s="1" t="s">
        <v>33</v>
      </c>
      <c r="F6763" s="1">
        <v>205.3</v>
      </c>
      <c r="G6763" s="1">
        <v>-192.19</v>
      </c>
      <c r="H6763" s="1">
        <v>2.0</v>
      </c>
      <c r="I6763" s="1" t="s">
        <v>23</v>
      </c>
      <c r="J6763" s="1" t="s">
        <v>35</v>
      </c>
      <c r="K6763" s="1">
        <f t="shared" si="1"/>
        <v>2021</v>
      </c>
      <c r="L6763" s="1" t="str">
        <f t="shared" si="2"/>
        <v>Mar</v>
      </c>
      <c r="M6763" s="1" t="str">
        <f t="shared" si="3"/>
        <v>Loss</v>
      </c>
    </row>
    <row r="6764" ht="14.25" customHeight="1">
      <c r="A6764" s="1" t="s">
        <v>6798</v>
      </c>
      <c r="B6764" s="2">
        <v>45040.0</v>
      </c>
      <c r="C6764" s="1" t="s">
        <v>20</v>
      </c>
      <c r="D6764" s="1" t="s">
        <v>15</v>
      </c>
      <c r="E6764" s="1" t="s">
        <v>54</v>
      </c>
      <c r="F6764" s="1">
        <v>136.1</v>
      </c>
      <c r="G6764" s="1">
        <v>164.97</v>
      </c>
      <c r="H6764" s="1">
        <v>5.0</v>
      </c>
      <c r="I6764" s="1" t="s">
        <v>23</v>
      </c>
      <c r="J6764" s="1" t="s">
        <v>38</v>
      </c>
      <c r="K6764" s="1">
        <f t="shared" si="1"/>
        <v>2023</v>
      </c>
      <c r="L6764" s="1" t="str">
        <f t="shared" si="2"/>
        <v>Apr</v>
      </c>
      <c r="M6764" s="1" t="str">
        <f t="shared" si="3"/>
        <v>Profit</v>
      </c>
    </row>
    <row r="6765" ht="14.25" customHeight="1">
      <c r="A6765" s="1" t="s">
        <v>6799</v>
      </c>
      <c r="B6765" s="2">
        <v>44519.0</v>
      </c>
      <c r="C6765" s="1" t="s">
        <v>14</v>
      </c>
      <c r="D6765" s="1" t="s">
        <v>21</v>
      </c>
      <c r="E6765" s="1" t="s">
        <v>22</v>
      </c>
      <c r="F6765" s="1">
        <v>31.88</v>
      </c>
      <c r="G6765" s="1">
        <v>43.18</v>
      </c>
      <c r="H6765" s="1">
        <v>7.0</v>
      </c>
      <c r="I6765" s="1" t="s">
        <v>34</v>
      </c>
      <c r="J6765" s="1" t="s">
        <v>18</v>
      </c>
      <c r="K6765" s="1">
        <f t="shared" si="1"/>
        <v>2021</v>
      </c>
      <c r="L6765" s="1" t="str">
        <f t="shared" si="2"/>
        <v>Nov</v>
      </c>
      <c r="M6765" s="1" t="str">
        <f t="shared" si="3"/>
        <v>Profit</v>
      </c>
    </row>
    <row r="6766" ht="14.25" customHeight="1">
      <c r="A6766" s="1" t="s">
        <v>6800</v>
      </c>
      <c r="B6766" s="2">
        <v>44205.0</v>
      </c>
      <c r="C6766" s="1" t="s">
        <v>14</v>
      </c>
      <c r="D6766" s="1" t="s">
        <v>21</v>
      </c>
      <c r="E6766" s="1" t="s">
        <v>22</v>
      </c>
      <c r="F6766" s="1">
        <v>804.55</v>
      </c>
      <c r="G6766" s="1">
        <v>127.53</v>
      </c>
      <c r="H6766" s="1">
        <v>4.0</v>
      </c>
      <c r="I6766" s="1" t="s">
        <v>23</v>
      </c>
      <c r="J6766" s="1" t="s">
        <v>38</v>
      </c>
      <c r="K6766" s="1">
        <f t="shared" si="1"/>
        <v>2021</v>
      </c>
      <c r="L6766" s="1" t="str">
        <f t="shared" si="2"/>
        <v>Jan</v>
      </c>
      <c r="M6766" s="1" t="str">
        <f t="shared" si="3"/>
        <v>Profit</v>
      </c>
    </row>
    <row r="6767" ht="14.25" customHeight="1">
      <c r="A6767" s="1" t="s">
        <v>6801</v>
      </c>
      <c r="B6767" s="2">
        <v>44559.0</v>
      </c>
      <c r="C6767" s="1" t="s">
        <v>26</v>
      </c>
      <c r="D6767" s="1" t="s">
        <v>15</v>
      </c>
      <c r="E6767" s="1" t="s">
        <v>31</v>
      </c>
      <c r="F6767" s="1">
        <v>456.27</v>
      </c>
      <c r="G6767" s="1">
        <v>65.17</v>
      </c>
      <c r="H6767" s="1">
        <v>4.0</v>
      </c>
      <c r="I6767" s="1" t="s">
        <v>34</v>
      </c>
      <c r="J6767" s="1" t="s">
        <v>38</v>
      </c>
      <c r="K6767" s="1">
        <f t="shared" si="1"/>
        <v>2021</v>
      </c>
      <c r="L6767" s="1" t="str">
        <f t="shared" si="2"/>
        <v>Dec</v>
      </c>
      <c r="M6767" s="1" t="str">
        <f t="shared" si="3"/>
        <v>Profit</v>
      </c>
    </row>
    <row r="6768" ht="14.25" customHeight="1">
      <c r="A6768" s="1" t="s">
        <v>6802</v>
      </c>
      <c r="B6768" s="2">
        <v>44702.0</v>
      </c>
      <c r="C6768" s="1" t="s">
        <v>14</v>
      </c>
      <c r="D6768" s="1" t="s">
        <v>15</v>
      </c>
      <c r="E6768" s="1" t="s">
        <v>54</v>
      </c>
      <c r="F6768" s="1">
        <v>854.03</v>
      </c>
      <c r="G6768" s="1">
        <v>41.26</v>
      </c>
      <c r="H6768" s="1">
        <v>1.0</v>
      </c>
      <c r="I6768" s="1" t="s">
        <v>17</v>
      </c>
      <c r="J6768" s="1" t="s">
        <v>24</v>
      </c>
      <c r="K6768" s="1">
        <f t="shared" si="1"/>
        <v>2022</v>
      </c>
      <c r="L6768" s="1" t="str">
        <f t="shared" si="2"/>
        <v>May</v>
      </c>
      <c r="M6768" s="1" t="str">
        <f t="shared" si="3"/>
        <v>Profit</v>
      </c>
    </row>
    <row r="6769" ht="14.25" customHeight="1">
      <c r="A6769" s="1" t="s">
        <v>6803</v>
      </c>
      <c r="B6769" s="2">
        <v>44933.0</v>
      </c>
      <c r="C6769" s="1" t="s">
        <v>30</v>
      </c>
      <c r="D6769" s="1" t="s">
        <v>15</v>
      </c>
      <c r="E6769" s="1" t="s">
        <v>16</v>
      </c>
      <c r="F6769" s="1">
        <v>246.66</v>
      </c>
      <c r="G6769" s="1">
        <v>-40.56</v>
      </c>
      <c r="H6769" s="1">
        <v>10.0</v>
      </c>
      <c r="I6769" s="1" t="s">
        <v>23</v>
      </c>
      <c r="J6769" s="1" t="s">
        <v>35</v>
      </c>
      <c r="K6769" s="1">
        <f t="shared" si="1"/>
        <v>2023</v>
      </c>
      <c r="L6769" s="1" t="str">
        <f t="shared" si="2"/>
        <v>Jan</v>
      </c>
      <c r="M6769" s="1" t="str">
        <f t="shared" si="3"/>
        <v>Loss</v>
      </c>
    </row>
    <row r="6770" ht="14.25" customHeight="1">
      <c r="A6770" s="1" t="s">
        <v>6804</v>
      </c>
      <c r="B6770" s="2">
        <v>44581.0</v>
      </c>
      <c r="C6770" s="1" t="s">
        <v>20</v>
      </c>
      <c r="D6770" s="1" t="s">
        <v>15</v>
      </c>
      <c r="E6770" s="1" t="s">
        <v>16</v>
      </c>
      <c r="F6770" s="1">
        <v>656.41</v>
      </c>
      <c r="G6770" s="1">
        <v>130.39</v>
      </c>
      <c r="H6770" s="1">
        <v>5.0</v>
      </c>
      <c r="I6770" s="1" t="s">
        <v>17</v>
      </c>
      <c r="J6770" s="1" t="s">
        <v>38</v>
      </c>
      <c r="K6770" s="1">
        <f t="shared" si="1"/>
        <v>2022</v>
      </c>
      <c r="L6770" s="1" t="str">
        <f t="shared" si="2"/>
        <v>Jan</v>
      </c>
      <c r="M6770" s="1" t="str">
        <f t="shared" si="3"/>
        <v>Profit</v>
      </c>
    </row>
    <row r="6771" ht="14.25" customHeight="1">
      <c r="A6771" s="1" t="s">
        <v>6805</v>
      </c>
      <c r="B6771" s="2">
        <v>44802.0</v>
      </c>
      <c r="C6771" s="1" t="s">
        <v>14</v>
      </c>
      <c r="D6771" s="1" t="s">
        <v>27</v>
      </c>
      <c r="E6771" s="1" t="s">
        <v>40</v>
      </c>
      <c r="F6771" s="1">
        <v>51.89</v>
      </c>
      <c r="G6771" s="1">
        <v>51.8</v>
      </c>
      <c r="H6771" s="1">
        <v>2.0</v>
      </c>
      <c r="I6771" s="1" t="s">
        <v>34</v>
      </c>
      <c r="J6771" s="1" t="s">
        <v>35</v>
      </c>
      <c r="K6771" s="1">
        <f t="shared" si="1"/>
        <v>2022</v>
      </c>
      <c r="L6771" s="1" t="str">
        <f t="shared" si="2"/>
        <v>Aug</v>
      </c>
      <c r="M6771" s="1" t="str">
        <f t="shared" si="3"/>
        <v>Profit</v>
      </c>
    </row>
    <row r="6772" ht="14.25" customHeight="1">
      <c r="A6772" s="1" t="s">
        <v>6806</v>
      </c>
      <c r="B6772" s="2">
        <v>45216.0</v>
      </c>
      <c r="C6772" s="1" t="s">
        <v>30</v>
      </c>
      <c r="D6772" s="1" t="s">
        <v>21</v>
      </c>
      <c r="E6772" s="1" t="s">
        <v>22</v>
      </c>
      <c r="F6772" s="1">
        <v>708.78</v>
      </c>
      <c r="G6772" s="1">
        <v>-169.94</v>
      </c>
      <c r="H6772" s="1">
        <v>3.0</v>
      </c>
      <c r="I6772" s="1" t="s">
        <v>17</v>
      </c>
      <c r="J6772" s="1" t="s">
        <v>18</v>
      </c>
      <c r="K6772" s="1">
        <f t="shared" si="1"/>
        <v>2023</v>
      </c>
      <c r="L6772" s="1" t="str">
        <f t="shared" si="2"/>
        <v>Oct</v>
      </c>
      <c r="M6772" s="1" t="str">
        <f t="shared" si="3"/>
        <v>Loss</v>
      </c>
    </row>
    <row r="6773" ht="14.25" customHeight="1">
      <c r="A6773" s="1" t="s">
        <v>6807</v>
      </c>
      <c r="B6773" s="2">
        <v>45229.0</v>
      </c>
      <c r="C6773" s="1" t="s">
        <v>20</v>
      </c>
      <c r="D6773" s="1" t="s">
        <v>27</v>
      </c>
      <c r="E6773" s="1" t="s">
        <v>28</v>
      </c>
      <c r="F6773" s="1">
        <v>649.94</v>
      </c>
      <c r="G6773" s="1">
        <v>132.14</v>
      </c>
      <c r="H6773" s="1">
        <v>5.0</v>
      </c>
      <c r="I6773" s="1" t="s">
        <v>17</v>
      </c>
      <c r="J6773" s="1" t="s">
        <v>24</v>
      </c>
      <c r="K6773" s="1">
        <f t="shared" si="1"/>
        <v>2023</v>
      </c>
      <c r="L6773" s="1" t="str">
        <f t="shared" si="2"/>
        <v>Oct</v>
      </c>
      <c r="M6773" s="1" t="str">
        <f t="shared" si="3"/>
        <v>Profit</v>
      </c>
    </row>
    <row r="6774" ht="14.25" customHeight="1">
      <c r="A6774" s="1" t="s">
        <v>6808</v>
      </c>
      <c r="B6774" s="2">
        <v>44442.0</v>
      </c>
      <c r="C6774" s="1" t="s">
        <v>30</v>
      </c>
      <c r="D6774" s="1" t="s">
        <v>27</v>
      </c>
      <c r="E6774" s="1" t="s">
        <v>33</v>
      </c>
      <c r="F6774" s="1">
        <v>528.74</v>
      </c>
      <c r="G6774" s="1">
        <v>19.79</v>
      </c>
      <c r="H6774" s="1">
        <v>10.0</v>
      </c>
      <c r="I6774" s="1" t="s">
        <v>23</v>
      </c>
      <c r="J6774" s="1" t="s">
        <v>38</v>
      </c>
      <c r="K6774" s="1">
        <f t="shared" si="1"/>
        <v>2021</v>
      </c>
      <c r="L6774" s="1" t="str">
        <f t="shared" si="2"/>
        <v>Sep</v>
      </c>
      <c r="M6774" s="1" t="str">
        <f t="shared" si="3"/>
        <v>Profit</v>
      </c>
    </row>
    <row r="6775" ht="14.25" customHeight="1">
      <c r="A6775" s="1" t="s">
        <v>6809</v>
      </c>
      <c r="B6775" s="2">
        <v>45032.0</v>
      </c>
      <c r="C6775" s="1" t="s">
        <v>14</v>
      </c>
      <c r="D6775" s="1" t="s">
        <v>27</v>
      </c>
      <c r="E6775" s="1" t="s">
        <v>33</v>
      </c>
      <c r="F6775" s="1">
        <v>635.35</v>
      </c>
      <c r="G6775" s="1">
        <v>124.5</v>
      </c>
      <c r="H6775" s="1">
        <v>5.0</v>
      </c>
      <c r="I6775" s="1" t="s">
        <v>34</v>
      </c>
      <c r="J6775" s="1" t="s">
        <v>35</v>
      </c>
      <c r="K6775" s="1">
        <f t="shared" si="1"/>
        <v>2023</v>
      </c>
      <c r="L6775" s="1" t="str">
        <f t="shared" si="2"/>
        <v>Apr</v>
      </c>
      <c r="M6775" s="1" t="str">
        <f t="shared" si="3"/>
        <v>Profit</v>
      </c>
    </row>
    <row r="6776" ht="14.25" customHeight="1">
      <c r="A6776" s="1" t="s">
        <v>6810</v>
      </c>
      <c r="B6776" s="2">
        <v>44486.0</v>
      </c>
      <c r="C6776" s="1" t="s">
        <v>14</v>
      </c>
      <c r="D6776" s="1" t="s">
        <v>15</v>
      </c>
      <c r="E6776" s="1" t="s">
        <v>16</v>
      </c>
      <c r="F6776" s="1">
        <v>272.48</v>
      </c>
      <c r="G6776" s="1">
        <v>134.44</v>
      </c>
      <c r="H6776" s="1">
        <v>9.0</v>
      </c>
      <c r="I6776" s="1" t="s">
        <v>17</v>
      </c>
      <c r="J6776" s="1" t="s">
        <v>18</v>
      </c>
      <c r="K6776" s="1">
        <f t="shared" si="1"/>
        <v>2021</v>
      </c>
      <c r="L6776" s="1" t="str">
        <f t="shared" si="2"/>
        <v>Oct</v>
      </c>
      <c r="M6776" s="1" t="str">
        <f t="shared" si="3"/>
        <v>Profit</v>
      </c>
    </row>
    <row r="6777" ht="14.25" customHeight="1">
      <c r="A6777" s="1" t="s">
        <v>6811</v>
      </c>
      <c r="B6777" s="2">
        <v>44897.0</v>
      </c>
      <c r="C6777" s="1" t="s">
        <v>20</v>
      </c>
      <c r="D6777" s="1" t="s">
        <v>27</v>
      </c>
      <c r="E6777" s="1" t="s">
        <v>28</v>
      </c>
      <c r="F6777" s="1">
        <v>846.79</v>
      </c>
      <c r="G6777" s="1">
        <v>-73.66</v>
      </c>
      <c r="H6777" s="1">
        <v>1.0</v>
      </c>
      <c r="I6777" s="1" t="s">
        <v>23</v>
      </c>
      <c r="J6777" s="1" t="s">
        <v>35</v>
      </c>
      <c r="K6777" s="1">
        <f t="shared" si="1"/>
        <v>2022</v>
      </c>
      <c r="L6777" s="1" t="str">
        <f t="shared" si="2"/>
        <v>Dec</v>
      </c>
      <c r="M6777" s="1" t="str">
        <f t="shared" si="3"/>
        <v>Loss</v>
      </c>
    </row>
    <row r="6778" ht="14.25" customHeight="1">
      <c r="A6778" s="1" t="s">
        <v>6812</v>
      </c>
      <c r="B6778" s="2">
        <v>44436.0</v>
      </c>
      <c r="C6778" s="1" t="s">
        <v>20</v>
      </c>
      <c r="D6778" s="1" t="s">
        <v>27</v>
      </c>
      <c r="E6778" s="1" t="s">
        <v>33</v>
      </c>
      <c r="F6778" s="1">
        <v>566.01</v>
      </c>
      <c r="G6778" s="1">
        <v>245.85</v>
      </c>
      <c r="H6778" s="1">
        <v>6.0</v>
      </c>
      <c r="I6778" s="1" t="s">
        <v>23</v>
      </c>
      <c r="J6778" s="1" t="s">
        <v>18</v>
      </c>
      <c r="K6778" s="1">
        <f t="shared" si="1"/>
        <v>2021</v>
      </c>
      <c r="L6778" s="1" t="str">
        <f t="shared" si="2"/>
        <v>Aug</v>
      </c>
      <c r="M6778" s="1" t="str">
        <f t="shared" si="3"/>
        <v>Profit</v>
      </c>
    </row>
    <row r="6779" ht="14.25" customHeight="1">
      <c r="A6779" s="1" t="s">
        <v>6813</v>
      </c>
      <c r="B6779" s="2">
        <v>44666.0</v>
      </c>
      <c r="C6779" s="1" t="s">
        <v>14</v>
      </c>
      <c r="D6779" s="1" t="s">
        <v>27</v>
      </c>
      <c r="E6779" s="1" t="s">
        <v>40</v>
      </c>
      <c r="F6779" s="1">
        <v>798.37</v>
      </c>
      <c r="G6779" s="1">
        <v>99.08</v>
      </c>
      <c r="H6779" s="1">
        <v>5.0</v>
      </c>
      <c r="I6779" s="1" t="s">
        <v>34</v>
      </c>
      <c r="J6779" s="1" t="s">
        <v>24</v>
      </c>
      <c r="K6779" s="1">
        <f t="shared" si="1"/>
        <v>2022</v>
      </c>
      <c r="L6779" s="1" t="str">
        <f t="shared" si="2"/>
        <v>Apr</v>
      </c>
      <c r="M6779" s="1" t="str">
        <f t="shared" si="3"/>
        <v>Profit</v>
      </c>
    </row>
    <row r="6780" ht="14.25" customHeight="1">
      <c r="A6780" s="1" t="s">
        <v>6814</v>
      </c>
      <c r="B6780" s="2">
        <v>44283.0</v>
      </c>
      <c r="C6780" s="1" t="s">
        <v>26</v>
      </c>
      <c r="D6780" s="1" t="s">
        <v>15</v>
      </c>
      <c r="E6780" s="1" t="s">
        <v>16</v>
      </c>
      <c r="F6780" s="1">
        <v>157.97</v>
      </c>
      <c r="G6780" s="1">
        <v>-22.18</v>
      </c>
      <c r="H6780" s="1">
        <v>7.0</v>
      </c>
      <c r="I6780" s="1" t="s">
        <v>17</v>
      </c>
      <c r="J6780" s="1" t="s">
        <v>24</v>
      </c>
      <c r="K6780" s="1">
        <f t="shared" si="1"/>
        <v>2021</v>
      </c>
      <c r="L6780" s="1" t="str">
        <f t="shared" si="2"/>
        <v>Mar</v>
      </c>
      <c r="M6780" s="1" t="str">
        <f t="shared" si="3"/>
        <v>Loss</v>
      </c>
    </row>
    <row r="6781" ht="14.25" customHeight="1">
      <c r="A6781" s="1" t="s">
        <v>6815</v>
      </c>
      <c r="B6781" s="2">
        <v>45145.0</v>
      </c>
      <c r="C6781" s="1" t="s">
        <v>20</v>
      </c>
      <c r="D6781" s="1" t="s">
        <v>27</v>
      </c>
      <c r="E6781" s="1" t="s">
        <v>33</v>
      </c>
      <c r="F6781" s="1">
        <v>554.35</v>
      </c>
      <c r="G6781" s="1">
        <v>109.5</v>
      </c>
      <c r="H6781" s="1">
        <v>3.0</v>
      </c>
      <c r="I6781" s="1" t="s">
        <v>23</v>
      </c>
      <c r="J6781" s="1" t="s">
        <v>24</v>
      </c>
      <c r="K6781" s="1">
        <f t="shared" si="1"/>
        <v>2023</v>
      </c>
      <c r="L6781" s="1" t="str">
        <f t="shared" si="2"/>
        <v>Aug</v>
      </c>
      <c r="M6781" s="1" t="str">
        <f t="shared" si="3"/>
        <v>Profit</v>
      </c>
    </row>
    <row r="6782" ht="14.25" customHeight="1">
      <c r="A6782" s="1" t="s">
        <v>6816</v>
      </c>
      <c r="B6782" s="2">
        <v>44210.0</v>
      </c>
      <c r="C6782" s="1" t="s">
        <v>14</v>
      </c>
      <c r="D6782" s="1" t="s">
        <v>21</v>
      </c>
      <c r="E6782" s="1" t="s">
        <v>22</v>
      </c>
      <c r="F6782" s="1">
        <v>681.29</v>
      </c>
      <c r="G6782" s="1">
        <v>276.23</v>
      </c>
      <c r="H6782" s="1">
        <v>6.0</v>
      </c>
      <c r="I6782" s="1" t="s">
        <v>23</v>
      </c>
      <c r="J6782" s="1" t="s">
        <v>38</v>
      </c>
      <c r="K6782" s="1">
        <f t="shared" si="1"/>
        <v>2021</v>
      </c>
      <c r="L6782" s="1" t="str">
        <f t="shared" si="2"/>
        <v>Jan</v>
      </c>
      <c r="M6782" s="1" t="str">
        <f t="shared" si="3"/>
        <v>Profit</v>
      </c>
    </row>
    <row r="6783" ht="14.25" customHeight="1">
      <c r="A6783" s="1" t="s">
        <v>6817</v>
      </c>
      <c r="B6783" s="2">
        <v>45024.0</v>
      </c>
      <c r="C6783" s="1" t="s">
        <v>20</v>
      </c>
      <c r="D6783" s="1" t="s">
        <v>21</v>
      </c>
      <c r="E6783" s="1" t="s">
        <v>76</v>
      </c>
      <c r="F6783" s="1">
        <v>417.32</v>
      </c>
      <c r="G6783" s="1">
        <v>-64.64</v>
      </c>
      <c r="H6783" s="1">
        <v>4.0</v>
      </c>
      <c r="I6783" s="1" t="s">
        <v>17</v>
      </c>
      <c r="J6783" s="1" t="s">
        <v>24</v>
      </c>
      <c r="K6783" s="1">
        <f t="shared" si="1"/>
        <v>2023</v>
      </c>
      <c r="L6783" s="1" t="str">
        <f t="shared" si="2"/>
        <v>Apr</v>
      </c>
      <c r="M6783" s="1" t="str">
        <f t="shared" si="3"/>
        <v>Loss</v>
      </c>
    </row>
    <row r="6784" ht="14.25" customHeight="1">
      <c r="A6784" s="1" t="s">
        <v>6818</v>
      </c>
      <c r="B6784" s="2">
        <v>45069.0</v>
      </c>
      <c r="C6784" s="1" t="s">
        <v>26</v>
      </c>
      <c r="D6784" s="1" t="s">
        <v>21</v>
      </c>
      <c r="E6784" s="1" t="s">
        <v>37</v>
      </c>
      <c r="F6784" s="1">
        <v>284.17</v>
      </c>
      <c r="G6784" s="1">
        <v>261.68</v>
      </c>
      <c r="H6784" s="1">
        <v>4.0</v>
      </c>
      <c r="I6784" s="1" t="s">
        <v>34</v>
      </c>
      <c r="J6784" s="1" t="s">
        <v>35</v>
      </c>
      <c r="K6784" s="1">
        <f t="shared" si="1"/>
        <v>2023</v>
      </c>
      <c r="L6784" s="1" t="str">
        <f t="shared" si="2"/>
        <v>May</v>
      </c>
      <c r="M6784" s="1" t="str">
        <f t="shared" si="3"/>
        <v>Profit</v>
      </c>
    </row>
    <row r="6785" ht="14.25" customHeight="1">
      <c r="A6785" s="1" t="s">
        <v>6819</v>
      </c>
      <c r="B6785" s="2">
        <v>44311.0</v>
      </c>
      <c r="C6785" s="1" t="s">
        <v>30</v>
      </c>
      <c r="D6785" s="1" t="s">
        <v>27</v>
      </c>
      <c r="E6785" s="1" t="s">
        <v>33</v>
      </c>
      <c r="F6785" s="1">
        <v>478.07</v>
      </c>
      <c r="G6785" s="1">
        <v>-137.12</v>
      </c>
      <c r="H6785" s="1">
        <v>1.0</v>
      </c>
      <c r="I6785" s="1" t="s">
        <v>34</v>
      </c>
      <c r="J6785" s="1" t="s">
        <v>35</v>
      </c>
      <c r="K6785" s="1">
        <f t="shared" si="1"/>
        <v>2021</v>
      </c>
      <c r="L6785" s="1" t="str">
        <f t="shared" si="2"/>
        <v>Apr</v>
      </c>
      <c r="M6785" s="1" t="str">
        <f t="shared" si="3"/>
        <v>Loss</v>
      </c>
    </row>
    <row r="6786" ht="14.25" customHeight="1">
      <c r="A6786" s="1" t="s">
        <v>6820</v>
      </c>
      <c r="B6786" s="2">
        <v>44273.0</v>
      </c>
      <c r="C6786" s="1" t="s">
        <v>14</v>
      </c>
      <c r="D6786" s="1" t="s">
        <v>27</v>
      </c>
      <c r="E6786" s="1" t="s">
        <v>28</v>
      </c>
      <c r="F6786" s="1">
        <v>854.91</v>
      </c>
      <c r="G6786" s="1">
        <v>-110.55</v>
      </c>
      <c r="H6786" s="1">
        <v>6.0</v>
      </c>
      <c r="I6786" s="1" t="s">
        <v>17</v>
      </c>
      <c r="J6786" s="1" t="s">
        <v>24</v>
      </c>
      <c r="K6786" s="1">
        <f t="shared" si="1"/>
        <v>2021</v>
      </c>
      <c r="L6786" s="1" t="str">
        <f t="shared" si="2"/>
        <v>Mar</v>
      </c>
      <c r="M6786" s="1" t="str">
        <f t="shared" si="3"/>
        <v>Loss</v>
      </c>
    </row>
    <row r="6787" ht="14.25" customHeight="1">
      <c r="A6787" s="1" t="s">
        <v>6821</v>
      </c>
      <c r="B6787" s="2">
        <v>44839.0</v>
      </c>
      <c r="C6787" s="1" t="s">
        <v>26</v>
      </c>
      <c r="D6787" s="1" t="s">
        <v>27</v>
      </c>
      <c r="E6787" s="1" t="s">
        <v>28</v>
      </c>
      <c r="F6787" s="1">
        <v>175.24</v>
      </c>
      <c r="G6787" s="1">
        <v>-27.17</v>
      </c>
      <c r="H6787" s="1">
        <v>5.0</v>
      </c>
      <c r="I6787" s="1" t="s">
        <v>23</v>
      </c>
      <c r="J6787" s="1" t="s">
        <v>35</v>
      </c>
      <c r="K6787" s="1">
        <f t="shared" si="1"/>
        <v>2022</v>
      </c>
      <c r="L6787" s="1" t="str">
        <f t="shared" si="2"/>
        <v>Oct</v>
      </c>
      <c r="M6787" s="1" t="str">
        <f t="shared" si="3"/>
        <v>Loss</v>
      </c>
    </row>
    <row r="6788" ht="14.25" customHeight="1">
      <c r="A6788" s="1" t="s">
        <v>6822</v>
      </c>
      <c r="B6788" s="2">
        <v>44295.0</v>
      </c>
      <c r="C6788" s="1" t="s">
        <v>20</v>
      </c>
      <c r="D6788" s="1" t="s">
        <v>27</v>
      </c>
      <c r="E6788" s="1" t="s">
        <v>28</v>
      </c>
      <c r="F6788" s="1">
        <v>819.65</v>
      </c>
      <c r="G6788" s="1">
        <v>7.93</v>
      </c>
      <c r="H6788" s="1">
        <v>3.0</v>
      </c>
      <c r="I6788" s="1" t="s">
        <v>23</v>
      </c>
      <c r="J6788" s="1" t="s">
        <v>38</v>
      </c>
      <c r="K6788" s="1">
        <f t="shared" si="1"/>
        <v>2021</v>
      </c>
      <c r="L6788" s="1" t="str">
        <f t="shared" si="2"/>
        <v>Apr</v>
      </c>
      <c r="M6788" s="1" t="str">
        <f t="shared" si="3"/>
        <v>Profit</v>
      </c>
    </row>
    <row r="6789" ht="14.25" customHeight="1">
      <c r="A6789" s="1" t="s">
        <v>6823</v>
      </c>
      <c r="B6789" s="2">
        <v>44509.0</v>
      </c>
      <c r="C6789" s="1" t="s">
        <v>20</v>
      </c>
      <c r="D6789" s="1" t="s">
        <v>15</v>
      </c>
      <c r="E6789" s="1" t="s">
        <v>54</v>
      </c>
      <c r="F6789" s="1">
        <v>527.28</v>
      </c>
      <c r="G6789" s="1">
        <v>78.69</v>
      </c>
      <c r="H6789" s="1">
        <v>1.0</v>
      </c>
      <c r="I6789" s="1" t="s">
        <v>34</v>
      </c>
      <c r="J6789" s="1" t="s">
        <v>24</v>
      </c>
      <c r="K6789" s="1">
        <f t="shared" si="1"/>
        <v>2021</v>
      </c>
      <c r="L6789" s="1" t="str">
        <f t="shared" si="2"/>
        <v>Nov</v>
      </c>
      <c r="M6789" s="1" t="str">
        <f t="shared" si="3"/>
        <v>Profit</v>
      </c>
    </row>
    <row r="6790" ht="14.25" customHeight="1">
      <c r="A6790" s="1" t="s">
        <v>6824</v>
      </c>
      <c r="B6790" s="2">
        <v>44641.0</v>
      </c>
      <c r="C6790" s="1" t="s">
        <v>14</v>
      </c>
      <c r="D6790" s="1" t="s">
        <v>15</v>
      </c>
      <c r="E6790" s="1" t="s">
        <v>16</v>
      </c>
      <c r="F6790" s="1">
        <v>935.1</v>
      </c>
      <c r="G6790" s="1">
        <v>-32.52</v>
      </c>
      <c r="H6790" s="1">
        <v>1.0</v>
      </c>
      <c r="I6790" s="1" t="s">
        <v>17</v>
      </c>
      <c r="J6790" s="1" t="s">
        <v>18</v>
      </c>
      <c r="K6790" s="1">
        <f t="shared" si="1"/>
        <v>2022</v>
      </c>
      <c r="L6790" s="1" t="str">
        <f t="shared" si="2"/>
        <v>Mar</v>
      </c>
      <c r="M6790" s="1" t="str">
        <f t="shared" si="3"/>
        <v>Loss</v>
      </c>
    </row>
    <row r="6791" ht="14.25" customHeight="1">
      <c r="A6791" s="1" t="s">
        <v>6825</v>
      </c>
      <c r="B6791" s="2">
        <v>44757.0</v>
      </c>
      <c r="C6791" s="1" t="s">
        <v>26</v>
      </c>
      <c r="D6791" s="1" t="s">
        <v>15</v>
      </c>
      <c r="E6791" s="1" t="s">
        <v>16</v>
      </c>
      <c r="F6791" s="1">
        <v>997.47</v>
      </c>
      <c r="G6791" s="1">
        <v>-125.54</v>
      </c>
      <c r="H6791" s="1">
        <v>2.0</v>
      </c>
      <c r="I6791" s="1" t="s">
        <v>17</v>
      </c>
      <c r="J6791" s="1" t="s">
        <v>24</v>
      </c>
      <c r="K6791" s="1">
        <f t="shared" si="1"/>
        <v>2022</v>
      </c>
      <c r="L6791" s="1" t="str">
        <f t="shared" si="2"/>
        <v>Jul</v>
      </c>
      <c r="M6791" s="1" t="str">
        <f t="shared" si="3"/>
        <v>Loss</v>
      </c>
    </row>
    <row r="6792" ht="14.25" customHeight="1">
      <c r="A6792" s="1" t="s">
        <v>6826</v>
      </c>
      <c r="B6792" s="2">
        <v>44437.0</v>
      </c>
      <c r="C6792" s="1" t="s">
        <v>26</v>
      </c>
      <c r="D6792" s="1" t="s">
        <v>27</v>
      </c>
      <c r="E6792" s="1" t="s">
        <v>40</v>
      </c>
      <c r="F6792" s="1">
        <v>103.6</v>
      </c>
      <c r="G6792" s="1">
        <v>47.63</v>
      </c>
      <c r="H6792" s="1">
        <v>7.0</v>
      </c>
      <c r="I6792" s="1" t="s">
        <v>23</v>
      </c>
      <c r="J6792" s="1" t="s">
        <v>24</v>
      </c>
      <c r="K6792" s="1">
        <f t="shared" si="1"/>
        <v>2021</v>
      </c>
      <c r="L6792" s="1" t="str">
        <f t="shared" si="2"/>
        <v>Aug</v>
      </c>
      <c r="M6792" s="1" t="str">
        <f t="shared" si="3"/>
        <v>Profit</v>
      </c>
    </row>
    <row r="6793" ht="14.25" customHeight="1">
      <c r="A6793" s="1" t="s">
        <v>6827</v>
      </c>
      <c r="B6793" s="2">
        <v>44810.0</v>
      </c>
      <c r="C6793" s="1" t="s">
        <v>30</v>
      </c>
      <c r="D6793" s="1" t="s">
        <v>21</v>
      </c>
      <c r="E6793" s="1" t="s">
        <v>76</v>
      </c>
      <c r="F6793" s="1">
        <v>588.61</v>
      </c>
      <c r="G6793" s="1">
        <v>-192.27</v>
      </c>
      <c r="H6793" s="1">
        <v>6.0</v>
      </c>
      <c r="I6793" s="1" t="s">
        <v>23</v>
      </c>
      <c r="J6793" s="1" t="s">
        <v>35</v>
      </c>
      <c r="K6793" s="1">
        <f t="shared" si="1"/>
        <v>2022</v>
      </c>
      <c r="L6793" s="1" t="str">
        <f t="shared" si="2"/>
        <v>Sep</v>
      </c>
      <c r="M6793" s="1" t="str">
        <f t="shared" si="3"/>
        <v>Loss</v>
      </c>
    </row>
    <row r="6794" ht="14.25" customHeight="1">
      <c r="A6794" s="1" t="s">
        <v>6828</v>
      </c>
      <c r="B6794" s="2">
        <v>45191.0</v>
      </c>
      <c r="C6794" s="1" t="s">
        <v>14</v>
      </c>
      <c r="D6794" s="1" t="s">
        <v>15</v>
      </c>
      <c r="E6794" s="1" t="s">
        <v>54</v>
      </c>
      <c r="F6794" s="1">
        <v>982.04</v>
      </c>
      <c r="G6794" s="1">
        <v>162.92</v>
      </c>
      <c r="H6794" s="1">
        <v>7.0</v>
      </c>
      <c r="I6794" s="1" t="s">
        <v>34</v>
      </c>
      <c r="J6794" s="1" t="s">
        <v>38</v>
      </c>
      <c r="K6794" s="1">
        <f t="shared" si="1"/>
        <v>2023</v>
      </c>
      <c r="L6794" s="1" t="str">
        <f t="shared" si="2"/>
        <v>Sep</v>
      </c>
      <c r="M6794" s="1" t="str">
        <f t="shared" si="3"/>
        <v>Profit</v>
      </c>
    </row>
    <row r="6795" ht="14.25" customHeight="1">
      <c r="A6795" s="1" t="s">
        <v>6829</v>
      </c>
      <c r="B6795" s="2">
        <v>44724.0</v>
      </c>
      <c r="C6795" s="1" t="s">
        <v>26</v>
      </c>
      <c r="D6795" s="1" t="s">
        <v>27</v>
      </c>
      <c r="E6795" s="1" t="s">
        <v>33</v>
      </c>
      <c r="F6795" s="1">
        <v>986.34</v>
      </c>
      <c r="G6795" s="1">
        <v>212.77</v>
      </c>
      <c r="H6795" s="1">
        <v>9.0</v>
      </c>
      <c r="I6795" s="1" t="s">
        <v>23</v>
      </c>
      <c r="J6795" s="1" t="s">
        <v>35</v>
      </c>
      <c r="K6795" s="1">
        <f t="shared" si="1"/>
        <v>2022</v>
      </c>
      <c r="L6795" s="1" t="str">
        <f t="shared" si="2"/>
        <v>Jun</v>
      </c>
      <c r="M6795" s="1" t="str">
        <f t="shared" si="3"/>
        <v>Profit</v>
      </c>
    </row>
    <row r="6796" ht="14.25" customHeight="1">
      <c r="A6796" s="1" t="s">
        <v>6830</v>
      </c>
      <c r="B6796" s="2">
        <v>44601.0</v>
      </c>
      <c r="C6796" s="1" t="s">
        <v>14</v>
      </c>
      <c r="D6796" s="1" t="s">
        <v>15</v>
      </c>
      <c r="E6796" s="1" t="s">
        <v>31</v>
      </c>
      <c r="F6796" s="1">
        <v>589.18</v>
      </c>
      <c r="G6796" s="1">
        <v>163.27</v>
      </c>
      <c r="H6796" s="1">
        <v>6.0</v>
      </c>
      <c r="I6796" s="1" t="s">
        <v>34</v>
      </c>
      <c r="J6796" s="1" t="s">
        <v>24</v>
      </c>
      <c r="K6796" s="1">
        <f t="shared" si="1"/>
        <v>2022</v>
      </c>
      <c r="L6796" s="1" t="str">
        <f t="shared" si="2"/>
        <v>Feb</v>
      </c>
      <c r="M6796" s="1" t="str">
        <f t="shared" si="3"/>
        <v>Profit</v>
      </c>
    </row>
    <row r="6797" ht="14.25" customHeight="1">
      <c r="A6797" s="1" t="s">
        <v>6831</v>
      </c>
      <c r="B6797" s="2">
        <v>44499.0</v>
      </c>
      <c r="C6797" s="1" t="s">
        <v>26</v>
      </c>
      <c r="D6797" s="1" t="s">
        <v>15</v>
      </c>
      <c r="E6797" s="1" t="s">
        <v>31</v>
      </c>
      <c r="F6797" s="1">
        <v>349.16</v>
      </c>
      <c r="G6797" s="1">
        <v>193.36</v>
      </c>
      <c r="H6797" s="1">
        <v>9.0</v>
      </c>
      <c r="I6797" s="1" t="s">
        <v>23</v>
      </c>
      <c r="J6797" s="1" t="s">
        <v>24</v>
      </c>
      <c r="K6797" s="1">
        <f t="shared" si="1"/>
        <v>2021</v>
      </c>
      <c r="L6797" s="1" t="str">
        <f t="shared" si="2"/>
        <v>Oct</v>
      </c>
      <c r="M6797" s="1" t="str">
        <f t="shared" si="3"/>
        <v>Profit</v>
      </c>
    </row>
    <row r="6798" ht="14.25" customHeight="1">
      <c r="A6798" s="1" t="s">
        <v>6832</v>
      </c>
      <c r="B6798" s="2">
        <v>44440.0</v>
      </c>
      <c r="C6798" s="1" t="s">
        <v>30</v>
      </c>
      <c r="D6798" s="1" t="s">
        <v>27</v>
      </c>
      <c r="E6798" s="1" t="s">
        <v>33</v>
      </c>
      <c r="F6798" s="1">
        <v>261.68</v>
      </c>
      <c r="G6798" s="1">
        <v>-16.7</v>
      </c>
      <c r="H6798" s="1">
        <v>5.0</v>
      </c>
      <c r="I6798" s="1" t="s">
        <v>17</v>
      </c>
      <c r="J6798" s="1" t="s">
        <v>24</v>
      </c>
      <c r="K6798" s="1">
        <f t="shared" si="1"/>
        <v>2021</v>
      </c>
      <c r="L6798" s="1" t="str">
        <f t="shared" si="2"/>
        <v>Sep</v>
      </c>
      <c r="M6798" s="1" t="str">
        <f t="shared" si="3"/>
        <v>Loss</v>
      </c>
    </row>
    <row r="6799" ht="14.25" customHeight="1">
      <c r="A6799" s="1" t="s">
        <v>6833</v>
      </c>
      <c r="B6799" s="2">
        <v>44484.0</v>
      </c>
      <c r="C6799" s="1" t="s">
        <v>26</v>
      </c>
      <c r="D6799" s="1" t="s">
        <v>21</v>
      </c>
      <c r="E6799" s="1" t="s">
        <v>37</v>
      </c>
      <c r="F6799" s="1">
        <v>765.49</v>
      </c>
      <c r="G6799" s="1">
        <v>36.54</v>
      </c>
      <c r="H6799" s="1">
        <v>9.0</v>
      </c>
      <c r="I6799" s="1" t="s">
        <v>34</v>
      </c>
      <c r="J6799" s="1" t="s">
        <v>38</v>
      </c>
      <c r="K6799" s="1">
        <f t="shared" si="1"/>
        <v>2021</v>
      </c>
      <c r="L6799" s="1" t="str">
        <f t="shared" si="2"/>
        <v>Oct</v>
      </c>
      <c r="M6799" s="1" t="str">
        <f t="shared" si="3"/>
        <v>Profit</v>
      </c>
    </row>
    <row r="6800" ht="14.25" customHeight="1">
      <c r="A6800" s="1" t="s">
        <v>6834</v>
      </c>
      <c r="B6800" s="2">
        <v>44204.0</v>
      </c>
      <c r="C6800" s="1" t="s">
        <v>20</v>
      </c>
      <c r="D6800" s="1" t="s">
        <v>27</v>
      </c>
      <c r="E6800" s="1" t="s">
        <v>28</v>
      </c>
      <c r="F6800" s="1">
        <v>277.21</v>
      </c>
      <c r="G6800" s="1">
        <v>-144.0</v>
      </c>
      <c r="H6800" s="1">
        <v>8.0</v>
      </c>
      <c r="I6800" s="1" t="s">
        <v>34</v>
      </c>
      <c r="J6800" s="1" t="s">
        <v>38</v>
      </c>
      <c r="K6800" s="1">
        <f t="shared" si="1"/>
        <v>2021</v>
      </c>
      <c r="L6800" s="1" t="str">
        <f t="shared" si="2"/>
        <v>Jan</v>
      </c>
      <c r="M6800" s="1" t="str">
        <f t="shared" si="3"/>
        <v>Loss</v>
      </c>
    </row>
    <row r="6801" ht="14.25" customHeight="1">
      <c r="A6801" s="1" t="s">
        <v>6835</v>
      </c>
      <c r="B6801" s="2">
        <v>45075.0</v>
      </c>
      <c r="C6801" s="1" t="s">
        <v>26</v>
      </c>
      <c r="D6801" s="1" t="s">
        <v>21</v>
      </c>
      <c r="E6801" s="1" t="s">
        <v>37</v>
      </c>
      <c r="F6801" s="1">
        <v>70.05</v>
      </c>
      <c r="G6801" s="1">
        <v>223.29</v>
      </c>
      <c r="H6801" s="1">
        <v>1.0</v>
      </c>
      <c r="I6801" s="1" t="s">
        <v>23</v>
      </c>
      <c r="J6801" s="1" t="s">
        <v>18</v>
      </c>
      <c r="K6801" s="1">
        <f t="shared" si="1"/>
        <v>2023</v>
      </c>
      <c r="L6801" s="1" t="str">
        <f t="shared" si="2"/>
        <v>May</v>
      </c>
      <c r="M6801" s="1" t="str">
        <f t="shared" si="3"/>
        <v>Profit</v>
      </c>
    </row>
    <row r="6802" ht="14.25" customHeight="1">
      <c r="A6802" s="1" t="s">
        <v>6836</v>
      </c>
      <c r="B6802" s="2">
        <v>44714.0</v>
      </c>
      <c r="C6802" s="1" t="s">
        <v>30</v>
      </c>
      <c r="D6802" s="1" t="s">
        <v>21</v>
      </c>
      <c r="E6802" s="1" t="s">
        <v>37</v>
      </c>
      <c r="F6802" s="1">
        <v>991.52</v>
      </c>
      <c r="G6802" s="1">
        <v>-25.21</v>
      </c>
      <c r="H6802" s="1">
        <v>9.0</v>
      </c>
      <c r="I6802" s="1" t="s">
        <v>23</v>
      </c>
      <c r="J6802" s="1" t="s">
        <v>24</v>
      </c>
      <c r="K6802" s="1">
        <f t="shared" si="1"/>
        <v>2022</v>
      </c>
      <c r="L6802" s="1" t="str">
        <f t="shared" si="2"/>
        <v>Jun</v>
      </c>
      <c r="M6802" s="1" t="str">
        <f t="shared" si="3"/>
        <v>Loss</v>
      </c>
    </row>
    <row r="6803" ht="14.25" customHeight="1">
      <c r="A6803" s="1" t="s">
        <v>6837</v>
      </c>
      <c r="B6803" s="2">
        <v>44235.0</v>
      </c>
      <c r="C6803" s="1" t="s">
        <v>26</v>
      </c>
      <c r="D6803" s="1" t="s">
        <v>15</v>
      </c>
      <c r="E6803" s="1" t="s">
        <v>54</v>
      </c>
      <c r="F6803" s="1">
        <v>252.95</v>
      </c>
      <c r="G6803" s="1">
        <v>-72.68</v>
      </c>
      <c r="H6803" s="1">
        <v>7.0</v>
      </c>
      <c r="I6803" s="1" t="s">
        <v>23</v>
      </c>
      <c r="J6803" s="1" t="s">
        <v>38</v>
      </c>
      <c r="K6803" s="1">
        <f t="shared" si="1"/>
        <v>2021</v>
      </c>
      <c r="L6803" s="1" t="str">
        <f t="shared" si="2"/>
        <v>Feb</v>
      </c>
      <c r="M6803" s="1" t="str">
        <f t="shared" si="3"/>
        <v>Loss</v>
      </c>
    </row>
    <row r="6804" ht="14.25" customHeight="1">
      <c r="A6804" s="1" t="s">
        <v>6838</v>
      </c>
      <c r="B6804" s="2">
        <v>44867.0</v>
      </c>
      <c r="C6804" s="1" t="s">
        <v>26</v>
      </c>
      <c r="D6804" s="1" t="s">
        <v>27</v>
      </c>
      <c r="E6804" s="1" t="s">
        <v>40</v>
      </c>
      <c r="F6804" s="1">
        <v>965.57</v>
      </c>
      <c r="G6804" s="1">
        <v>-111.42</v>
      </c>
      <c r="H6804" s="1">
        <v>7.0</v>
      </c>
      <c r="I6804" s="1" t="s">
        <v>23</v>
      </c>
      <c r="J6804" s="1" t="s">
        <v>35</v>
      </c>
      <c r="K6804" s="1">
        <f t="shared" si="1"/>
        <v>2022</v>
      </c>
      <c r="L6804" s="1" t="str">
        <f t="shared" si="2"/>
        <v>Nov</v>
      </c>
      <c r="M6804" s="1" t="str">
        <f t="shared" si="3"/>
        <v>Loss</v>
      </c>
    </row>
    <row r="6805" ht="14.25" customHeight="1">
      <c r="A6805" s="1" t="s">
        <v>6839</v>
      </c>
      <c r="B6805" s="2">
        <v>44646.0</v>
      </c>
      <c r="C6805" s="1" t="s">
        <v>30</v>
      </c>
      <c r="D6805" s="1" t="s">
        <v>27</v>
      </c>
      <c r="E6805" s="1" t="s">
        <v>33</v>
      </c>
      <c r="F6805" s="1">
        <v>537.69</v>
      </c>
      <c r="G6805" s="1">
        <v>80.25</v>
      </c>
      <c r="H6805" s="1">
        <v>1.0</v>
      </c>
      <c r="I6805" s="1" t="s">
        <v>23</v>
      </c>
      <c r="J6805" s="1" t="s">
        <v>38</v>
      </c>
      <c r="K6805" s="1">
        <f t="shared" si="1"/>
        <v>2022</v>
      </c>
      <c r="L6805" s="1" t="str">
        <f t="shared" si="2"/>
        <v>Mar</v>
      </c>
      <c r="M6805" s="1" t="str">
        <f t="shared" si="3"/>
        <v>Profit</v>
      </c>
    </row>
    <row r="6806" ht="14.25" customHeight="1">
      <c r="A6806" s="1" t="s">
        <v>6840</v>
      </c>
      <c r="B6806" s="2">
        <v>45146.0</v>
      </c>
      <c r="C6806" s="1" t="s">
        <v>20</v>
      </c>
      <c r="D6806" s="1" t="s">
        <v>27</v>
      </c>
      <c r="E6806" s="1" t="s">
        <v>28</v>
      </c>
      <c r="F6806" s="1">
        <v>764.03</v>
      </c>
      <c r="G6806" s="1">
        <v>-101.52</v>
      </c>
      <c r="H6806" s="1">
        <v>2.0</v>
      </c>
      <c r="I6806" s="1" t="s">
        <v>34</v>
      </c>
      <c r="J6806" s="1" t="s">
        <v>38</v>
      </c>
      <c r="K6806" s="1">
        <f t="shared" si="1"/>
        <v>2023</v>
      </c>
      <c r="L6806" s="1" t="str">
        <f t="shared" si="2"/>
        <v>Aug</v>
      </c>
      <c r="M6806" s="1" t="str">
        <f t="shared" si="3"/>
        <v>Loss</v>
      </c>
    </row>
    <row r="6807" ht="14.25" customHeight="1">
      <c r="A6807" s="1" t="s">
        <v>6841</v>
      </c>
      <c r="B6807" s="2">
        <v>44748.0</v>
      </c>
      <c r="C6807" s="1" t="s">
        <v>30</v>
      </c>
      <c r="D6807" s="1" t="s">
        <v>15</v>
      </c>
      <c r="E6807" s="1" t="s">
        <v>16</v>
      </c>
      <c r="F6807" s="1">
        <v>483.48</v>
      </c>
      <c r="G6807" s="1">
        <v>223.98</v>
      </c>
      <c r="H6807" s="1">
        <v>5.0</v>
      </c>
      <c r="I6807" s="1" t="s">
        <v>34</v>
      </c>
      <c r="J6807" s="1" t="s">
        <v>38</v>
      </c>
      <c r="K6807" s="1">
        <f t="shared" si="1"/>
        <v>2022</v>
      </c>
      <c r="L6807" s="1" t="str">
        <f t="shared" si="2"/>
        <v>Jul</v>
      </c>
      <c r="M6807" s="1" t="str">
        <f t="shared" si="3"/>
        <v>Profit</v>
      </c>
    </row>
    <row r="6808" ht="14.25" customHeight="1">
      <c r="A6808" s="1" t="s">
        <v>6842</v>
      </c>
      <c r="B6808" s="2">
        <v>44482.0</v>
      </c>
      <c r="C6808" s="1" t="s">
        <v>20</v>
      </c>
      <c r="D6808" s="1" t="s">
        <v>21</v>
      </c>
      <c r="E6808" s="1" t="s">
        <v>22</v>
      </c>
      <c r="F6808" s="1">
        <v>467.61</v>
      </c>
      <c r="G6808" s="1">
        <v>-161.28</v>
      </c>
      <c r="H6808" s="1">
        <v>5.0</v>
      </c>
      <c r="I6808" s="1" t="s">
        <v>23</v>
      </c>
      <c r="J6808" s="1" t="s">
        <v>18</v>
      </c>
      <c r="K6808" s="1">
        <f t="shared" si="1"/>
        <v>2021</v>
      </c>
      <c r="L6808" s="1" t="str">
        <f t="shared" si="2"/>
        <v>Oct</v>
      </c>
      <c r="M6808" s="1" t="str">
        <f t="shared" si="3"/>
        <v>Loss</v>
      </c>
    </row>
    <row r="6809" ht="14.25" customHeight="1">
      <c r="A6809" s="1" t="s">
        <v>6843</v>
      </c>
      <c r="B6809" s="2">
        <v>44759.0</v>
      </c>
      <c r="C6809" s="1" t="s">
        <v>26</v>
      </c>
      <c r="D6809" s="1" t="s">
        <v>15</v>
      </c>
      <c r="E6809" s="1" t="s">
        <v>31</v>
      </c>
      <c r="F6809" s="1">
        <v>439.53</v>
      </c>
      <c r="G6809" s="1">
        <v>259.72</v>
      </c>
      <c r="H6809" s="1">
        <v>6.0</v>
      </c>
      <c r="I6809" s="1" t="s">
        <v>23</v>
      </c>
      <c r="J6809" s="1" t="s">
        <v>35</v>
      </c>
      <c r="K6809" s="1">
        <f t="shared" si="1"/>
        <v>2022</v>
      </c>
      <c r="L6809" s="1" t="str">
        <f t="shared" si="2"/>
        <v>Jul</v>
      </c>
      <c r="M6809" s="1" t="str">
        <f t="shared" si="3"/>
        <v>Profit</v>
      </c>
    </row>
    <row r="6810" ht="14.25" customHeight="1">
      <c r="A6810" s="1" t="s">
        <v>6844</v>
      </c>
      <c r="B6810" s="2">
        <v>45139.0</v>
      </c>
      <c r="C6810" s="1" t="s">
        <v>26</v>
      </c>
      <c r="D6810" s="1" t="s">
        <v>15</v>
      </c>
      <c r="E6810" s="1" t="s">
        <v>16</v>
      </c>
      <c r="F6810" s="1">
        <v>649.34</v>
      </c>
      <c r="G6810" s="1">
        <v>-143.62</v>
      </c>
      <c r="H6810" s="1">
        <v>7.0</v>
      </c>
      <c r="I6810" s="1" t="s">
        <v>17</v>
      </c>
      <c r="J6810" s="1" t="s">
        <v>35</v>
      </c>
      <c r="K6810" s="1">
        <f t="shared" si="1"/>
        <v>2023</v>
      </c>
      <c r="L6810" s="1" t="str">
        <f t="shared" si="2"/>
        <v>Aug</v>
      </c>
      <c r="M6810" s="1" t="str">
        <f t="shared" si="3"/>
        <v>Loss</v>
      </c>
    </row>
    <row r="6811" ht="14.25" customHeight="1">
      <c r="A6811" s="1" t="s">
        <v>6845</v>
      </c>
      <c r="B6811" s="2">
        <v>45090.0</v>
      </c>
      <c r="C6811" s="1" t="s">
        <v>20</v>
      </c>
      <c r="D6811" s="1" t="s">
        <v>27</v>
      </c>
      <c r="E6811" s="1" t="s">
        <v>40</v>
      </c>
      <c r="F6811" s="1">
        <v>573.1</v>
      </c>
      <c r="G6811" s="1">
        <v>166.07</v>
      </c>
      <c r="H6811" s="1">
        <v>3.0</v>
      </c>
      <c r="I6811" s="1" t="s">
        <v>34</v>
      </c>
      <c r="J6811" s="1" t="s">
        <v>24</v>
      </c>
      <c r="K6811" s="1">
        <f t="shared" si="1"/>
        <v>2023</v>
      </c>
      <c r="L6811" s="1" t="str">
        <f t="shared" si="2"/>
        <v>Jun</v>
      </c>
      <c r="M6811" s="1" t="str">
        <f t="shared" si="3"/>
        <v>Profit</v>
      </c>
    </row>
    <row r="6812" ht="14.25" customHeight="1">
      <c r="A6812" s="1" t="s">
        <v>6846</v>
      </c>
      <c r="B6812" s="2">
        <v>44355.0</v>
      </c>
      <c r="C6812" s="1" t="s">
        <v>26</v>
      </c>
      <c r="D6812" s="1" t="s">
        <v>27</v>
      </c>
      <c r="E6812" s="1" t="s">
        <v>28</v>
      </c>
      <c r="F6812" s="1">
        <v>809.2</v>
      </c>
      <c r="G6812" s="1">
        <v>176.51</v>
      </c>
      <c r="H6812" s="1">
        <v>1.0</v>
      </c>
      <c r="I6812" s="1" t="s">
        <v>23</v>
      </c>
      <c r="J6812" s="1" t="s">
        <v>35</v>
      </c>
      <c r="K6812" s="1">
        <f t="shared" si="1"/>
        <v>2021</v>
      </c>
      <c r="L6812" s="1" t="str">
        <f t="shared" si="2"/>
        <v>Jun</v>
      </c>
      <c r="M6812" s="1" t="str">
        <f t="shared" si="3"/>
        <v>Profit</v>
      </c>
    </row>
    <row r="6813" ht="14.25" customHeight="1">
      <c r="A6813" s="1" t="s">
        <v>6847</v>
      </c>
      <c r="B6813" s="2">
        <v>45056.0</v>
      </c>
      <c r="C6813" s="1" t="s">
        <v>26</v>
      </c>
      <c r="D6813" s="1" t="s">
        <v>15</v>
      </c>
      <c r="E6813" s="1" t="s">
        <v>31</v>
      </c>
      <c r="F6813" s="1">
        <v>211.9</v>
      </c>
      <c r="G6813" s="1">
        <v>-173.24</v>
      </c>
      <c r="H6813" s="1">
        <v>7.0</v>
      </c>
      <c r="I6813" s="1" t="s">
        <v>17</v>
      </c>
      <c r="J6813" s="1" t="s">
        <v>35</v>
      </c>
      <c r="K6813" s="1">
        <f t="shared" si="1"/>
        <v>2023</v>
      </c>
      <c r="L6813" s="1" t="str">
        <f t="shared" si="2"/>
        <v>May</v>
      </c>
      <c r="M6813" s="1" t="str">
        <f t="shared" si="3"/>
        <v>Loss</v>
      </c>
    </row>
    <row r="6814" ht="14.25" customHeight="1">
      <c r="A6814" s="1" t="s">
        <v>6848</v>
      </c>
      <c r="B6814" s="2">
        <v>45211.0</v>
      </c>
      <c r="C6814" s="1" t="s">
        <v>14</v>
      </c>
      <c r="D6814" s="1" t="s">
        <v>27</v>
      </c>
      <c r="E6814" s="1" t="s">
        <v>33</v>
      </c>
      <c r="F6814" s="1">
        <v>791.38</v>
      </c>
      <c r="G6814" s="1">
        <v>-4.5</v>
      </c>
      <c r="H6814" s="1">
        <v>10.0</v>
      </c>
      <c r="I6814" s="1" t="s">
        <v>17</v>
      </c>
      <c r="J6814" s="1" t="s">
        <v>38</v>
      </c>
      <c r="K6814" s="1">
        <f t="shared" si="1"/>
        <v>2023</v>
      </c>
      <c r="L6814" s="1" t="str">
        <f t="shared" si="2"/>
        <v>Oct</v>
      </c>
      <c r="M6814" s="1" t="str">
        <f t="shared" si="3"/>
        <v>Loss</v>
      </c>
    </row>
    <row r="6815" ht="14.25" customHeight="1">
      <c r="A6815" s="1" t="s">
        <v>6849</v>
      </c>
      <c r="B6815" s="2">
        <v>44330.0</v>
      </c>
      <c r="C6815" s="1" t="s">
        <v>14</v>
      </c>
      <c r="D6815" s="1" t="s">
        <v>21</v>
      </c>
      <c r="E6815" s="1" t="s">
        <v>22</v>
      </c>
      <c r="F6815" s="1">
        <v>273.19</v>
      </c>
      <c r="G6815" s="1">
        <v>125.7</v>
      </c>
      <c r="H6815" s="1">
        <v>5.0</v>
      </c>
      <c r="I6815" s="1" t="s">
        <v>23</v>
      </c>
      <c r="J6815" s="1" t="s">
        <v>24</v>
      </c>
      <c r="K6815" s="1">
        <f t="shared" si="1"/>
        <v>2021</v>
      </c>
      <c r="L6815" s="1" t="str">
        <f t="shared" si="2"/>
        <v>May</v>
      </c>
      <c r="M6815" s="1" t="str">
        <f t="shared" si="3"/>
        <v>Profit</v>
      </c>
    </row>
    <row r="6816" ht="14.25" customHeight="1">
      <c r="A6816" s="1" t="s">
        <v>6850</v>
      </c>
      <c r="B6816" s="2">
        <v>44417.0</v>
      </c>
      <c r="C6816" s="1" t="s">
        <v>20</v>
      </c>
      <c r="D6816" s="1" t="s">
        <v>15</v>
      </c>
      <c r="E6816" s="1" t="s">
        <v>54</v>
      </c>
      <c r="F6816" s="1">
        <v>471.69</v>
      </c>
      <c r="G6816" s="1">
        <v>251.31</v>
      </c>
      <c r="H6816" s="1">
        <v>5.0</v>
      </c>
      <c r="I6816" s="1" t="s">
        <v>17</v>
      </c>
      <c r="J6816" s="1" t="s">
        <v>24</v>
      </c>
      <c r="K6816" s="1">
        <f t="shared" si="1"/>
        <v>2021</v>
      </c>
      <c r="L6816" s="1" t="str">
        <f t="shared" si="2"/>
        <v>Aug</v>
      </c>
      <c r="M6816" s="1" t="str">
        <f t="shared" si="3"/>
        <v>Profit</v>
      </c>
    </row>
    <row r="6817" ht="14.25" customHeight="1">
      <c r="A6817" s="1" t="s">
        <v>6851</v>
      </c>
      <c r="B6817" s="2">
        <v>44755.0</v>
      </c>
      <c r="C6817" s="1" t="s">
        <v>26</v>
      </c>
      <c r="D6817" s="1" t="s">
        <v>27</v>
      </c>
      <c r="E6817" s="1" t="s">
        <v>28</v>
      </c>
      <c r="F6817" s="1">
        <v>254.1</v>
      </c>
      <c r="G6817" s="1">
        <v>246.01</v>
      </c>
      <c r="H6817" s="1">
        <v>4.0</v>
      </c>
      <c r="I6817" s="1" t="s">
        <v>17</v>
      </c>
      <c r="J6817" s="1" t="s">
        <v>38</v>
      </c>
      <c r="K6817" s="1">
        <f t="shared" si="1"/>
        <v>2022</v>
      </c>
      <c r="L6817" s="1" t="str">
        <f t="shared" si="2"/>
        <v>Jul</v>
      </c>
      <c r="M6817" s="1" t="str">
        <f t="shared" si="3"/>
        <v>Profit</v>
      </c>
    </row>
    <row r="6818" ht="14.25" customHeight="1">
      <c r="A6818" s="1" t="s">
        <v>6852</v>
      </c>
      <c r="B6818" s="2">
        <v>44568.0</v>
      </c>
      <c r="C6818" s="1" t="s">
        <v>14</v>
      </c>
      <c r="D6818" s="1" t="s">
        <v>27</v>
      </c>
      <c r="E6818" s="1" t="s">
        <v>33</v>
      </c>
      <c r="F6818" s="1">
        <v>477.64</v>
      </c>
      <c r="G6818" s="1">
        <v>16.42</v>
      </c>
      <c r="H6818" s="1">
        <v>7.0</v>
      </c>
      <c r="I6818" s="1" t="s">
        <v>34</v>
      </c>
      <c r="J6818" s="1" t="s">
        <v>35</v>
      </c>
      <c r="K6818" s="1">
        <f t="shared" si="1"/>
        <v>2022</v>
      </c>
      <c r="L6818" s="1" t="str">
        <f t="shared" si="2"/>
        <v>Jan</v>
      </c>
      <c r="M6818" s="1" t="str">
        <f t="shared" si="3"/>
        <v>Profit</v>
      </c>
    </row>
    <row r="6819" ht="14.25" customHeight="1">
      <c r="A6819" s="1" t="s">
        <v>6853</v>
      </c>
      <c r="B6819" s="2">
        <v>44227.0</v>
      </c>
      <c r="C6819" s="1" t="s">
        <v>30</v>
      </c>
      <c r="D6819" s="1" t="s">
        <v>21</v>
      </c>
      <c r="E6819" s="1" t="s">
        <v>22</v>
      </c>
      <c r="F6819" s="1">
        <v>812.63</v>
      </c>
      <c r="G6819" s="1">
        <v>183.84</v>
      </c>
      <c r="H6819" s="1">
        <v>2.0</v>
      </c>
      <c r="I6819" s="1" t="s">
        <v>34</v>
      </c>
      <c r="J6819" s="1" t="s">
        <v>35</v>
      </c>
      <c r="K6819" s="1">
        <f t="shared" si="1"/>
        <v>2021</v>
      </c>
      <c r="L6819" s="1" t="str">
        <f t="shared" si="2"/>
        <v>Jan</v>
      </c>
      <c r="M6819" s="1" t="str">
        <f t="shared" si="3"/>
        <v>Profit</v>
      </c>
    </row>
    <row r="6820" ht="14.25" customHeight="1">
      <c r="A6820" s="1" t="s">
        <v>6854</v>
      </c>
      <c r="B6820" s="2">
        <v>44749.0</v>
      </c>
      <c r="C6820" s="1" t="s">
        <v>20</v>
      </c>
      <c r="D6820" s="1" t="s">
        <v>15</v>
      </c>
      <c r="E6820" s="1" t="s">
        <v>31</v>
      </c>
      <c r="F6820" s="1">
        <v>247.21</v>
      </c>
      <c r="G6820" s="1">
        <v>169.38</v>
      </c>
      <c r="H6820" s="1">
        <v>1.0</v>
      </c>
      <c r="I6820" s="1" t="s">
        <v>17</v>
      </c>
      <c r="J6820" s="1" t="s">
        <v>35</v>
      </c>
      <c r="K6820" s="1">
        <f t="shared" si="1"/>
        <v>2022</v>
      </c>
      <c r="L6820" s="1" t="str">
        <f t="shared" si="2"/>
        <v>Jul</v>
      </c>
      <c r="M6820" s="1" t="str">
        <f t="shared" si="3"/>
        <v>Profit</v>
      </c>
    </row>
    <row r="6821" ht="14.25" customHeight="1">
      <c r="A6821" s="1" t="s">
        <v>6855</v>
      </c>
      <c r="B6821" s="2">
        <v>45007.0</v>
      </c>
      <c r="C6821" s="1" t="s">
        <v>26</v>
      </c>
      <c r="D6821" s="1" t="s">
        <v>27</v>
      </c>
      <c r="E6821" s="1" t="s">
        <v>40</v>
      </c>
      <c r="F6821" s="1">
        <v>101.11</v>
      </c>
      <c r="G6821" s="1">
        <v>-31.87</v>
      </c>
      <c r="H6821" s="1">
        <v>7.0</v>
      </c>
      <c r="I6821" s="1" t="s">
        <v>23</v>
      </c>
      <c r="J6821" s="1" t="s">
        <v>38</v>
      </c>
      <c r="K6821" s="1">
        <f t="shared" si="1"/>
        <v>2023</v>
      </c>
      <c r="L6821" s="1" t="str">
        <f t="shared" si="2"/>
        <v>Mar</v>
      </c>
      <c r="M6821" s="1" t="str">
        <f t="shared" si="3"/>
        <v>Loss</v>
      </c>
    </row>
    <row r="6822" ht="14.25" customHeight="1">
      <c r="A6822" s="1" t="s">
        <v>6856</v>
      </c>
      <c r="B6822" s="2">
        <v>44896.0</v>
      </c>
      <c r="C6822" s="1" t="s">
        <v>20</v>
      </c>
      <c r="D6822" s="1" t="s">
        <v>15</v>
      </c>
      <c r="E6822" s="1" t="s">
        <v>54</v>
      </c>
      <c r="F6822" s="1">
        <v>923.7</v>
      </c>
      <c r="G6822" s="1">
        <v>126.29</v>
      </c>
      <c r="H6822" s="1">
        <v>2.0</v>
      </c>
      <c r="I6822" s="1" t="s">
        <v>34</v>
      </c>
      <c r="J6822" s="1" t="s">
        <v>35</v>
      </c>
      <c r="K6822" s="1">
        <f t="shared" si="1"/>
        <v>2022</v>
      </c>
      <c r="L6822" s="1" t="str">
        <f t="shared" si="2"/>
        <v>Dec</v>
      </c>
      <c r="M6822" s="1" t="str">
        <f t="shared" si="3"/>
        <v>Profit</v>
      </c>
    </row>
    <row r="6823" ht="14.25" customHeight="1">
      <c r="A6823" s="1" t="s">
        <v>6857</v>
      </c>
      <c r="B6823" s="2">
        <v>44271.0</v>
      </c>
      <c r="C6823" s="1" t="s">
        <v>30</v>
      </c>
      <c r="D6823" s="1" t="s">
        <v>27</v>
      </c>
      <c r="E6823" s="1" t="s">
        <v>40</v>
      </c>
      <c r="F6823" s="1">
        <v>527.58</v>
      </c>
      <c r="G6823" s="1">
        <v>221.09</v>
      </c>
      <c r="H6823" s="1">
        <v>9.0</v>
      </c>
      <c r="I6823" s="1" t="s">
        <v>23</v>
      </c>
      <c r="J6823" s="1" t="s">
        <v>35</v>
      </c>
      <c r="K6823" s="1">
        <f t="shared" si="1"/>
        <v>2021</v>
      </c>
      <c r="L6823" s="1" t="str">
        <f t="shared" si="2"/>
        <v>Mar</v>
      </c>
      <c r="M6823" s="1" t="str">
        <f t="shared" si="3"/>
        <v>Profit</v>
      </c>
    </row>
    <row r="6824" ht="14.25" customHeight="1">
      <c r="A6824" s="1" t="s">
        <v>6858</v>
      </c>
      <c r="B6824" s="2">
        <v>44883.0</v>
      </c>
      <c r="C6824" s="1" t="s">
        <v>30</v>
      </c>
      <c r="D6824" s="1" t="s">
        <v>15</v>
      </c>
      <c r="E6824" s="1" t="s">
        <v>54</v>
      </c>
      <c r="F6824" s="1">
        <v>716.53</v>
      </c>
      <c r="G6824" s="1">
        <v>254.82</v>
      </c>
      <c r="H6824" s="1">
        <v>8.0</v>
      </c>
      <c r="I6824" s="1" t="s">
        <v>17</v>
      </c>
      <c r="J6824" s="1" t="s">
        <v>38</v>
      </c>
      <c r="K6824" s="1">
        <f t="shared" si="1"/>
        <v>2022</v>
      </c>
      <c r="L6824" s="1" t="str">
        <f t="shared" si="2"/>
        <v>Nov</v>
      </c>
      <c r="M6824" s="1" t="str">
        <f t="shared" si="3"/>
        <v>Profit</v>
      </c>
    </row>
    <row r="6825" ht="14.25" customHeight="1">
      <c r="A6825" s="1" t="s">
        <v>6859</v>
      </c>
      <c r="B6825" s="2">
        <v>44197.0</v>
      </c>
      <c r="C6825" s="1" t="s">
        <v>14</v>
      </c>
      <c r="D6825" s="1" t="s">
        <v>27</v>
      </c>
      <c r="E6825" s="1" t="s">
        <v>40</v>
      </c>
      <c r="F6825" s="1">
        <v>640.77</v>
      </c>
      <c r="G6825" s="1">
        <v>208.79</v>
      </c>
      <c r="H6825" s="1">
        <v>6.0</v>
      </c>
      <c r="I6825" s="1" t="s">
        <v>34</v>
      </c>
      <c r="J6825" s="1" t="s">
        <v>24</v>
      </c>
      <c r="K6825" s="1">
        <f t="shared" si="1"/>
        <v>2021</v>
      </c>
      <c r="L6825" s="1" t="str">
        <f t="shared" si="2"/>
        <v>Jan</v>
      </c>
      <c r="M6825" s="1" t="str">
        <f t="shared" si="3"/>
        <v>Profit</v>
      </c>
    </row>
    <row r="6826" ht="14.25" customHeight="1">
      <c r="A6826" s="1" t="s">
        <v>6860</v>
      </c>
      <c r="B6826" s="2">
        <v>44317.0</v>
      </c>
      <c r="C6826" s="1" t="s">
        <v>26</v>
      </c>
      <c r="D6826" s="1" t="s">
        <v>15</v>
      </c>
      <c r="E6826" s="1" t="s">
        <v>16</v>
      </c>
      <c r="F6826" s="1">
        <v>330.6</v>
      </c>
      <c r="G6826" s="1">
        <v>141.82</v>
      </c>
      <c r="H6826" s="1">
        <v>6.0</v>
      </c>
      <c r="I6826" s="1" t="s">
        <v>34</v>
      </c>
      <c r="J6826" s="1" t="s">
        <v>18</v>
      </c>
      <c r="K6826" s="1">
        <f t="shared" si="1"/>
        <v>2021</v>
      </c>
      <c r="L6826" s="1" t="str">
        <f t="shared" si="2"/>
        <v>May</v>
      </c>
      <c r="M6826" s="1" t="str">
        <f t="shared" si="3"/>
        <v>Profit</v>
      </c>
    </row>
    <row r="6827" ht="14.25" customHeight="1">
      <c r="A6827" s="1" t="s">
        <v>6861</v>
      </c>
      <c r="B6827" s="2">
        <v>44766.0</v>
      </c>
      <c r="C6827" s="1" t="s">
        <v>30</v>
      </c>
      <c r="D6827" s="1" t="s">
        <v>15</v>
      </c>
      <c r="E6827" s="1" t="s">
        <v>31</v>
      </c>
      <c r="F6827" s="1">
        <v>220.58</v>
      </c>
      <c r="G6827" s="1">
        <v>30.79</v>
      </c>
      <c r="H6827" s="1">
        <v>6.0</v>
      </c>
      <c r="I6827" s="1" t="s">
        <v>17</v>
      </c>
      <c r="J6827" s="1" t="s">
        <v>18</v>
      </c>
      <c r="K6827" s="1">
        <f t="shared" si="1"/>
        <v>2022</v>
      </c>
      <c r="L6827" s="1" t="str">
        <f t="shared" si="2"/>
        <v>Jul</v>
      </c>
      <c r="M6827" s="1" t="str">
        <f t="shared" si="3"/>
        <v>Profit</v>
      </c>
    </row>
    <row r="6828" ht="14.25" customHeight="1">
      <c r="A6828" s="1" t="s">
        <v>6862</v>
      </c>
      <c r="B6828" s="2">
        <v>45208.0</v>
      </c>
      <c r="C6828" s="1" t="s">
        <v>20</v>
      </c>
      <c r="D6828" s="1" t="s">
        <v>27</v>
      </c>
      <c r="E6828" s="1" t="s">
        <v>28</v>
      </c>
      <c r="F6828" s="1">
        <v>606.96</v>
      </c>
      <c r="G6828" s="1">
        <v>201.44</v>
      </c>
      <c r="H6828" s="1">
        <v>4.0</v>
      </c>
      <c r="I6828" s="1" t="s">
        <v>17</v>
      </c>
      <c r="J6828" s="1" t="s">
        <v>35</v>
      </c>
      <c r="K6828" s="1">
        <f t="shared" si="1"/>
        <v>2023</v>
      </c>
      <c r="L6828" s="1" t="str">
        <f t="shared" si="2"/>
        <v>Oct</v>
      </c>
      <c r="M6828" s="1" t="str">
        <f t="shared" si="3"/>
        <v>Profit</v>
      </c>
    </row>
    <row r="6829" ht="14.25" customHeight="1">
      <c r="A6829" s="1" t="s">
        <v>6863</v>
      </c>
      <c r="B6829" s="2">
        <v>44958.0</v>
      </c>
      <c r="C6829" s="1" t="s">
        <v>30</v>
      </c>
      <c r="D6829" s="1" t="s">
        <v>15</v>
      </c>
      <c r="E6829" s="1" t="s">
        <v>31</v>
      </c>
      <c r="F6829" s="1">
        <v>949.21</v>
      </c>
      <c r="G6829" s="1">
        <v>168.81</v>
      </c>
      <c r="H6829" s="1">
        <v>1.0</v>
      </c>
      <c r="I6829" s="1" t="s">
        <v>23</v>
      </c>
      <c r="J6829" s="1" t="s">
        <v>38</v>
      </c>
      <c r="K6829" s="1">
        <f t="shared" si="1"/>
        <v>2023</v>
      </c>
      <c r="L6829" s="1" t="str">
        <f t="shared" si="2"/>
        <v>Feb</v>
      </c>
      <c r="M6829" s="1" t="str">
        <f t="shared" si="3"/>
        <v>Profit</v>
      </c>
    </row>
    <row r="6830" ht="14.25" customHeight="1">
      <c r="A6830" s="1" t="s">
        <v>6864</v>
      </c>
      <c r="B6830" s="2">
        <v>44243.0</v>
      </c>
      <c r="C6830" s="1" t="s">
        <v>30</v>
      </c>
      <c r="D6830" s="1" t="s">
        <v>21</v>
      </c>
      <c r="E6830" s="1" t="s">
        <v>76</v>
      </c>
      <c r="F6830" s="1">
        <v>158.3</v>
      </c>
      <c r="G6830" s="1">
        <v>140.32</v>
      </c>
      <c r="H6830" s="1">
        <v>9.0</v>
      </c>
      <c r="I6830" s="1" t="s">
        <v>17</v>
      </c>
      <c r="J6830" s="1" t="s">
        <v>24</v>
      </c>
      <c r="K6830" s="1">
        <f t="shared" si="1"/>
        <v>2021</v>
      </c>
      <c r="L6830" s="1" t="str">
        <f t="shared" si="2"/>
        <v>Feb</v>
      </c>
      <c r="M6830" s="1" t="str">
        <f t="shared" si="3"/>
        <v>Profit</v>
      </c>
    </row>
    <row r="6831" ht="14.25" customHeight="1">
      <c r="A6831" s="1" t="s">
        <v>6865</v>
      </c>
      <c r="B6831" s="2">
        <v>45067.0</v>
      </c>
      <c r="C6831" s="1" t="s">
        <v>26</v>
      </c>
      <c r="D6831" s="1" t="s">
        <v>21</v>
      </c>
      <c r="E6831" s="1" t="s">
        <v>22</v>
      </c>
      <c r="F6831" s="1">
        <v>405.01</v>
      </c>
      <c r="G6831" s="1">
        <v>-192.34</v>
      </c>
      <c r="H6831" s="1">
        <v>10.0</v>
      </c>
      <c r="I6831" s="1" t="s">
        <v>23</v>
      </c>
      <c r="J6831" s="1" t="s">
        <v>35</v>
      </c>
      <c r="K6831" s="1">
        <f t="shared" si="1"/>
        <v>2023</v>
      </c>
      <c r="L6831" s="1" t="str">
        <f t="shared" si="2"/>
        <v>May</v>
      </c>
      <c r="M6831" s="1" t="str">
        <f t="shared" si="3"/>
        <v>Loss</v>
      </c>
    </row>
    <row r="6832" ht="14.25" customHeight="1">
      <c r="A6832" s="1" t="s">
        <v>6866</v>
      </c>
      <c r="B6832" s="2">
        <v>45073.0</v>
      </c>
      <c r="C6832" s="1" t="s">
        <v>30</v>
      </c>
      <c r="D6832" s="1" t="s">
        <v>21</v>
      </c>
      <c r="E6832" s="1" t="s">
        <v>22</v>
      </c>
      <c r="F6832" s="1">
        <v>247.72</v>
      </c>
      <c r="G6832" s="1">
        <v>-4.31</v>
      </c>
      <c r="H6832" s="1">
        <v>3.0</v>
      </c>
      <c r="I6832" s="1" t="s">
        <v>23</v>
      </c>
      <c r="J6832" s="1" t="s">
        <v>38</v>
      </c>
      <c r="K6832" s="1">
        <f t="shared" si="1"/>
        <v>2023</v>
      </c>
      <c r="L6832" s="1" t="str">
        <f t="shared" si="2"/>
        <v>May</v>
      </c>
      <c r="M6832" s="1" t="str">
        <f t="shared" si="3"/>
        <v>Loss</v>
      </c>
    </row>
    <row r="6833" ht="14.25" customHeight="1">
      <c r="A6833" s="1" t="s">
        <v>6867</v>
      </c>
      <c r="B6833" s="2">
        <v>45061.0</v>
      </c>
      <c r="C6833" s="1" t="s">
        <v>30</v>
      </c>
      <c r="D6833" s="1" t="s">
        <v>21</v>
      </c>
      <c r="E6833" s="1" t="s">
        <v>22</v>
      </c>
      <c r="F6833" s="1">
        <v>28.66</v>
      </c>
      <c r="G6833" s="1">
        <v>241.1</v>
      </c>
      <c r="H6833" s="1">
        <v>3.0</v>
      </c>
      <c r="I6833" s="1" t="s">
        <v>23</v>
      </c>
      <c r="J6833" s="1" t="s">
        <v>38</v>
      </c>
      <c r="K6833" s="1">
        <f t="shared" si="1"/>
        <v>2023</v>
      </c>
      <c r="L6833" s="1" t="str">
        <f t="shared" si="2"/>
        <v>May</v>
      </c>
      <c r="M6833" s="1" t="str">
        <f t="shared" si="3"/>
        <v>Profit</v>
      </c>
    </row>
    <row r="6834" ht="14.25" customHeight="1">
      <c r="A6834" s="1" t="s">
        <v>6868</v>
      </c>
      <c r="B6834" s="2">
        <v>44973.0</v>
      </c>
      <c r="C6834" s="1" t="s">
        <v>26</v>
      </c>
      <c r="D6834" s="1" t="s">
        <v>21</v>
      </c>
      <c r="E6834" s="1" t="s">
        <v>37</v>
      </c>
      <c r="F6834" s="1">
        <v>469.81</v>
      </c>
      <c r="G6834" s="1">
        <v>133.94</v>
      </c>
      <c r="H6834" s="1">
        <v>10.0</v>
      </c>
      <c r="I6834" s="1" t="s">
        <v>17</v>
      </c>
      <c r="J6834" s="1" t="s">
        <v>24</v>
      </c>
      <c r="K6834" s="1">
        <f t="shared" si="1"/>
        <v>2023</v>
      </c>
      <c r="L6834" s="1" t="str">
        <f t="shared" si="2"/>
        <v>Feb</v>
      </c>
      <c r="M6834" s="1" t="str">
        <f t="shared" si="3"/>
        <v>Profit</v>
      </c>
    </row>
    <row r="6835" ht="14.25" customHeight="1">
      <c r="A6835" s="1" t="s">
        <v>6869</v>
      </c>
      <c r="B6835" s="2">
        <v>45079.0</v>
      </c>
      <c r="C6835" s="1" t="s">
        <v>20</v>
      </c>
      <c r="D6835" s="1" t="s">
        <v>21</v>
      </c>
      <c r="E6835" s="1" t="s">
        <v>76</v>
      </c>
      <c r="F6835" s="1">
        <v>184.84</v>
      </c>
      <c r="G6835" s="1">
        <v>-41.39</v>
      </c>
      <c r="H6835" s="1">
        <v>1.0</v>
      </c>
      <c r="I6835" s="1" t="s">
        <v>17</v>
      </c>
      <c r="J6835" s="1" t="s">
        <v>35</v>
      </c>
      <c r="K6835" s="1">
        <f t="shared" si="1"/>
        <v>2023</v>
      </c>
      <c r="L6835" s="1" t="str">
        <f t="shared" si="2"/>
        <v>Jun</v>
      </c>
      <c r="M6835" s="1" t="str">
        <f t="shared" si="3"/>
        <v>Loss</v>
      </c>
    </row>
    <row r="6836" ht="14.25" customHeight="1">
      <c r="A6836" s="1" t="s">
        <v>6870</v>
      </c>
      <c r="B6836" s="2">
        <v>44374.0</v>
      </c>
      <c r="C6836" s="1" t="s">
        <v>30</v>
      </c>
      <c r="D6836" s="1" t="s">
        <v>15</v>
      </c>
      <c r="E6836" s="1" t="s">
        <v>54</v>
      </c>
      <c r="F6836" s="1">
        <v>453.48</v>
      </c>
      <c r="G6836" s="1">
        <v>-183.89</v>
      </c>
      <c r="H6836" s="1">
        <v>8.0</v>
      </c>
      <c r="I6836" s="1" t="s">
        <v>23</v>
      </c>
      <c r="J6836" s="1" t="s">
        <v>35</v>
      </c>
      <c r="K6836" s="1">
        <f t="shared" si="1"/>
        <v>2021</v>
      </c>
      <c r="L6836" s="1" t="str">
        <f t="shared" si="2"/>
        <v>Jun</v>
      </c>
      <c r="M6836" s="1" t="str">
        <f t="shared" si="3"/>
        <v>Loss</v>
      </c>
    </row>
    <row r="6837" ht="14.25" customHeight="1">
      <c r="A6837" s="1" t="s">
        <v>6871</v>
      </c>
      <c r="B6837" s="2">
        <v>44816.0</v>
      </c>
      <c r="C6837" s="1" t="s">
        <v>20</v>
      </c>
      <c r="D6837" s="1" t="s">
        <v>15</v>
      </c>
      <c r="E6837" s="1" t="s">
        <v>31</v>
      </c>
      <c r="F6837" s="1">
        <v>820.4</v>
      </c>
      <c r="G6837" s="1">
        <v>270.81</v>
      </c>
      <c r="H6837" s="1">
        <v>7.0</v>
      </c>
      <c r="I6837" s="1" t="s">
        <v>23</v>
      </c>
      <c r="J6837" s="1" t="s">
        <v>38</v>
      </c>
      <c r="K6837" s="1">
        <f t="shared" si="1"/>
        <v>2022</v>
      </c>
      <c r="L6837" s="1" t="str">
        <f t="shared" si="2"/>
        <v>Sep</v>
      </c>
      <c r="M6837" s="1" t="str">
        <f t="shared" si="3"/>
        <v>Profit</v>
      </c>
    </row>
    <row r="6838" ht="14.25" customHeight="1">
      <c r="A6838" s="1" t="s">
        <v>6872</v>
      </c>
      <c r="B6838" s="2">
        <v>44890.0</v>
      </c>
      <c r="C6838" s="1" t="s">
        <v>30</v>
      </c>
      <c r="D6838" s="1" t="s">
        <v>27</v>
      </c>
      <c r="E6838" s="1" t="s">
        <v>40</v>
      </c>
      <c r="F6838" s="1">
        <v>103.57</v>
      </c>
      <c r="G6838" s="1">
        <v>-128.07</v>
      </c>
      <c r="H6838" s="1">
        <v>3.0</v>
      </c>
      <c r="I6838" s="1" t="s">
        <v>23</v>
      </c>
      <c r="J6838" s="1" t="s">
        <v>35</v>
      </c>
      <c r="K6838" s="1">
        <f t="shared" si="1"/>
        <v>2022</v>
      </c>
      <c r="L6838" s="1" t="str">
        <f t="shared" si="2"/>
        <v>Nov</v>
      </c>
      <c r="M6838" s="1" t="str">
        <f t="shared" si="3"/>
        <v>Loss</v>
      </c>
    </row>
    <row r="6839" ht="14.25" customHeight="1">
      <c r="A6839" s="1" t="s">
        <v>6873</v>
      </c>
      <c r="B6839" s="2">
        <v>45260.0</v>
      </c>
      <c r="C6839" s="1" t="s">
        <v>14</v>
      </c>
      <c r="D6839" s="1" t="s">
        <v>27</v>
      </c>
      <c r="E6839" s="1" t="s">
        <v>40</v>
      </c>
      <c r="F6839" s="1">
        <v>82.85</v>
      </c>
      <c r="G6839" s="1">
        <v>182.89</v>
      </c>
      <c r="H6839" s="1">
        <v>3.0</v>
      </c>
      <c r="I6839" s="1" t="s">
        <v>34</v>
      </c>
      <c r="J6839" s="1" t="s">
        <v>38</v>
      </c>
      <c r="K6839" s="1">
        <f t="shared" si="1"/>
        <v>2023</v>
      </c>
      <c r="L6839" s="1" t="str">
        <f t="shared" si="2"/>
        <v>Nov</v>
      </c>
      <c r="M6839" s="1" t="str">
        <f t="shared" si="3"/>
        <v>Profit</v>
      </c>
    </row>
    <row r="6840" ht="14.25" customHeight="1">
      <c r="A6840" s="1" t="s">
        <v>6874</v>
      </c>
      <c r="B6840" s="2">
        <v>44268.0</v>
      </c>
      <c r="C6840" s="1" t="s">
        <v>20</v>
      </c>
      <c r="D6840" s="1" t="s">
        <v>15</v>
      </c>
      <c r="E6840" s="1" t="s">
        <v>16</v>
      </c>
      <c r="F6840" s="1">
        <v>83.84</v>
      </c>
      <c r="G6840" s="1">
        <v>-196.5</v>
      </c>
      <c r="H6840" s="1">
        <v>2.0</v>
      </c>
      <c r="I6840" s="1" t="s">
        <v>34</v>
      </c>
      <c r="J6840" s="1" t="s">
        <v>18</v>
      </c>
      <c r="K6840" s="1">
        <f t="shared" si="1"/>
        <v>2021</v>
      </c>
      <c r="L6840" s="1" t="str">
        <f t="shared" si="2"/>
        <v>Mar</v>
      </c>
      <c r="M6840" s="1" t="str">
        <f t="shared" si="3"/>
        <v>Loss</v>
      </c>
    </row>
    <row r="6841" ht="14.25" customHeight="1">
      <c r="A6841" s="1" t="s">
        <v>6875</v>
      </c>
      <c r="B6841" s="2">
        <v>44875.0</v>
      </c>
      <c r="C6841" s="1" t="s">
        <v>30</v>
      </c>
      <c r="D6841" s="1" t="s">
        <v>21</v>
      </c>
      <c r="E6841" s="1" t="s">
        <v>37</v>
      </c>
      <c r="F6841" s="1">
        <v>703.83</v>
      </c>
      <c r="G6841" s="1">
        <v>50.88</v>
      </c>
      <c r="H6841" s="1">
        <v>6.0</v>
      </c>
      <c r="I6841" s="1" t="s">
        <v>23</v>
      </c>
      <c r="J6841" s="1" t="s">
        <v>24</v>
      </c>
      <c r="K6841" s="1">
        <f t="shared" si="1"/>
        <v>2022</v>
      </c>
      <c r="L6841" s="1" t="str">
        <f t="shared" si="2"/>
        <v>Nov</v>
      </c>
      <c r="M6841" s="1" t="str">
        <f t="shared" si="3"/>
        <v>Profit</v>
      </c>
    </row>
    <row r="6842" ht="14.25" customHeight="1">
      <c r="A6842" s="1" t="s">
        <v>6876</v>
      </c>
      <c r="B6842" s="2">
        <v>44427.0</v>
      </c>
      <c r="C6842" s="1" t="s">
        <v>26</v>
      </c>
      <c r="D6842" s="1" t="s">
        <v>27</v>
      </c>
      <c r="E6842" s="1" t="s">
        <v>33</v>
      </c>
      <c r="F6842" s="1">
        <v>173.89</v>
      </c>
      <c r="G6842" s="1">
        <v>-74.69</v>
      </c>
      <c r="H6842" s="1">
        <v>3.0</v>
      </c>
      <c r="I6842" s="1" t="s">
        <v>17</v>
      </c>
      <c r="J6842" s="1" t="s">
        <v>24</v>
      </c>
      <c r="K6842" s="1">
        <f t="shared" si="1"/>
        <v>2021</v>
      </c>
      <c r="L6842" s="1" t="str">
        <f t="shared" si="2"/>
        <v>Aug</v>
      </c>
      <c r="M6842" s="1" t="str">
        <f t="shared" si="3"/>
        <v>Loss</v>
      </c>
    </row>
    <row r="6843" ht="14.25" customHeight="1">
      <c r="A6843" s="1" t="s">
        <v>6877</v>
      </c>
      <c r="B6843" s="2">
        <v>45152.0</v>
      </c>
      <c r="C6843" s="1" t="s">
        <v>26</v>
      </c>
      <c r="D6843" s="1" t="s">
        <v>27</v>
      </c>
      <c r="E6843" s="1" t="s">
        <v>40</v>
      </c>
      <c r="F6843" s="1">
        <v>937.46</v>
      </c>
      <c r="G6843" s="1">
        <v>124.67</v>
      </c>
      <c r="H6843" s="1">
        <v>2.0</v>
      </c>
      <c r="I6843" s="1" t="s">
        <v>34</v>
      </c>
      <c r="J6843" s="1" t="s">
        <v>24</v>
      </c>
      <c r="K6843" s="1">
        <f t="shared" si="1"/>
        <v>2023</v>
      </c>
      <c r="L6843" s="1" t="str">
        <f t="shared" si="2"/>
        <v>Aug</v>
      </c>
      <c r="M6843" s="1" t="str">
        <f t="shared" si="3"/>
        <v>Profit</v>
      </c>
    </row>
    <row r="6844" ht="14.25" customHeight="1">
      <c r="A6844" s="1" t="s">
        <v>6878</v>
      </c>
      <c r="B6844" s="2">
        <v>44787.0</v>
      </c>
      <c r="C6844" s="1" t="s">
        <v>26</v>
      </c>
      <c r="D6844" s="1" t="s">
        <v>27</v>
      </c>
      <c r="E6844" s="1" t="s">
        <v>33</v>
      </c>
      <c r="F6844" s="1">
        <v>528.99</v>
      </c>
      <c r="G6844" s="1">
        <v>-25.1</v>
      </c>
      <c r="H6844" s="1">
        <v>3.0</v>
      </c>
      <c r="I6844" s="1" t="s">
        <v>17</v>
      </c>
      <c r="J6844" s="1" t="s">
        <v>24</v>
      </c>
      <c r="K6844" s="1">
        <f t="shared" si="1"/>
        <v>2022</v>
      </c>
      <c r="L6844" s="1" t="str">
        <f t="shared" si="2"/>
        <v>Aug</v>
      </c>
      <c r="M6844" s="1" t="str">
        <f t="shared" si="3"/>
        <v>Loss</v>
      </c>
    </row>
    <row r="6845" ht="14.25" customHeight="1">
      <c r="A6845" s="1" t="s">
        <v>6879</v>
      </c>
      <c r="B6845" s="2">
        <v>44756.0</v>
      </c>
      <c r="C6845" s="1" t="s">
        <v>20</v>
      </c>
      <c r="D6845" s="1" t="s">
        <v>15</v>
      </c>
      <c r="E6845" s="1" t="s">
        <v>31</v>
      </c>
      <c r="F6845" s="1">
        <v>506.65</v>
      </c>
      <c r="G6845" s="1">
        <v>-79.58</v>
      </c>
      <c r="H6845" s="1">
        <v>9.0</v>
      </c>
      <c r="I6845" s="1" t="s">
        <v>23</v>
      </c>
      <c r="J6845" s="1" t="s">
        <v>24</v>
      </c>
      <c r="K6845" s="1">
        <f t="shared" si="1"/>
        <v>2022</v>
      </c>
      <c r="L6845" s="1" t="str">
        <f t="shared" si="2"/>
        <v>Jul</v>
      </c>
      <c r="M6845" s="1" t="str">
        <f t="shared" si="3"/>
        <v>Loss</v>
      </c>
    </row>
    <row r="6846" ht="14.25" customHeight="1">
      <c r="A6846" s="1" t="s">
        <v>6880</v>
      </c>
      <c r="B6846" s="2">
        <v>45217.0</v>
      </c>
      <c r="C6846" s="1" t="s">
        <v>14</v>
      </c>
      <c r="D6846" s="1" t="s">
        <v>27</v>
      </c>
      <c r="E6846" s="1" t="s">
        <v>40</v>
      </c>
      <c r="F6846" s="1">
        <v>587.19</v>
      </c>
      <c r="G6846" s="1">
        <v>-160.53</v>
      </c>
      <c r="H6846" s="1">
        <v>6.0</v>
      </c>
      <c r="I6846" s="1" t="s">
        <v>23</v>
      </c>
      <c r="J6846" s="1" t="s">
        <v>24</v>
      </c>
      <c r="K6846" s="1">
        <f t="shared" si="1"/>
        <v>2023</v>
      </c>
      <c r="L6846" s="1" t="str">
        <f t="shared" si="2"/>
        <v>Oct</v>
      </c>
      <c r="M6846" s="1" t="str">
        <f t="shared" si="3"/>
        <v>Loss</v>
      </c>
    </row>
    <row r="6847" ht="14.25" customHeight="1">
      <c r="A6847" s="1" t="s">
        <v>6881</v>
      </c>
      <c r="B6847" s="2">
        <v>44233.0</v>
      </c>
      <c r="C6847" s="1" t="s">
        <v>20</v>
      </c>
      <c r="D6847" s="1" t="s">
        <v>21</v>
      </c>
      <c r="E6847" s="1" t="s">
        <v>37</v>
      </c>
      <c r="F6847" s="1">
        <v>941.18</v>
      </c>
      <c r="G6847" s="1">
        <v>48.14</v>
      </c>
      <c r="H6847" s="1">
        <v>9.0</v>
      </c>
      <c r="I6847" s="1" t="s">
        <v>17</v>
      </c>
      <c r="J6847" s="1" t="s">
        <v>24</v>
      </c>
      <c r="K6847" s="1">
        <f t="shared" si="1"/>
        <v>2021</v>
      </c>
      <c r="L6847" s="1" t="str">
        <f t="shared" si="2"/>
        <v>Feb</v>
      </c>
      <c r="M6847" s="1" t="str">
        <f t="shared" si="3"/>
        <v>Profit</v>
      </c>
    </row>
    <row r="6848" ht="14.25" customHeight="1">
      <c r="A6848" s="1" t="s">
        <v>6882</v>
      </c>
      <c r="B6848" s="2">
        <v>44870.0</v>
      </c>
      <c r="C6848" s="1" t="s">
        <v>30</v>
      </c>
      <c r="D6848" s="1" t="s">
        <v>27</v>
      </c>
      <c r="E6848" s="1" t="s">
        <v>40</v>
      </c>
      <c r="F6848" s="1">
        <v>399.08</v>
      </c>
      <c r="G6848" s="1">
        <v>92.11</v>
      </c>
      <c r="H6848" s="1">
        <v>1.0</v>
      </c>
      <c r="I6848" s="1" t="s">
        <v>17</v>
      </c>
      <c r="J6848" s="1" t="s">
        <v>38</v>
      </c>
      <c r="K6848" s="1">
        <f t="shared" si="1"/>
        <v>2022</v>
      </c>
      <c r="L6848" s="1" t="str">
        <f t="shared" si="2"/>
        <v>Nov</v>
      </c>
      <c r="M6848" s="1" t="str">
        <f t="shared" si="3"/>
        <v>Profit</v>
      </c>
    </row>
    <row r="6849" ht="14.25" customHeight="1">
      <c r="A6849" s="1" t="s">
        <v>6883</v>
      </c>
      <c r="B6849" s="2">
        <v>45130.0</v>
      </c>
      <c r="C6849" s="1" t="s">
        <v>30</v>
      </c>
      <c r="D6849" s="1" t="s">
        <v>15</v>
      </c>
      <c r="E6849" s="1" t="s">
        <v>54</v>
      </c>
      <c r="F6849" s="1">
        <v>993.25</v>
      </c>
      <c r="G6849" s="1">
        <v>-104.15</v>
      </c>
      <c r="H6849" s="1">
        <v>8.0</v>
      </c>
      <c r="I6849" s="1" t="s">
        <v>34</v>
      </c>
      <c r="J6849" s="1" t="s">
        <v>38</v>
      </c>
      <c r="K6849" s="1">
        <f t="shared" si="1"/>
        <v>2023</v>
      </c>
      <c r="L6849" s="1" t="str">
        <f t="shared" si="2"/>
        <v>Jul</v>
      </c>
      <c r="M6849" s="1" t="str">
        <f t="shared" si="3"/>
        <v>Loss</v>
      </c>
    </row>
    <row r="6850" ht="14.25" customHeight="1">
      <c r="A6850" s="1" t="s">
        <v>6884</v>
      </c>
      <c r="B6850" s="2">
        <v>45289.0</v>
      </c>
      <c r="C6850" s="1" t="s">
        <v>20</v>
      </c>
      <c r="D6850" s="1" t="s">
        <v>15</v>
      </c>
      <c r="E6850" s="1" t="s">
        <v>54</v>
      </c>
      <c r="F6850" s="1">
        <v>925.94</v>
      </c>
      <c r="G6850" s="1">
        <v>76.2</v>
      </c>
      <c r="H6850" s="1">
        <v>6.0</v>
      </c>
      <c r="I6850" s="1" t="s">
        <v>34</v>
      </c>
      <c r="J6850" s="1" t="s">
        <v>18</v>
      </c>
      <c r="K6850" s="1">
        <f t="shared" si="1"/>
        <v>2023</v>
      </c>
      <c r="L6850" s="1" t="str">
        <f t="shared" si="2"/>
        <v>Dec</v>
      </c>
      <c r="M6850" s="1" t="str">
        <f t="shared" si="3"/>
        <v>Profit</v>
      </c>
    </row>
    <row r="6851" ht="14.25" customHeight="1">
      <c r="A6851" s="1" t="s">
        <v>6885</v>
      </c>
      <c r="B6851" s="2">
        <v>44905.0</v>
      </c>
      <c r="C6851" s="1" t="s">
        <v>14</v>
      </c>
      <c r="D6851" s="1" t="s">
        <v>21</v>
      </c>
      <c r="E6851" s="1" t="s">
        <v>76</v>
      </c>
      <c r="F6851" s="1">
        <v>374.45</v>
      </c>
      <c r="G6851" s="1">
        <v>48.08</v>
      </c>
      <c r="H6851" s="1">
        <v>1.0</v>
      </c>
      <c r="I6851" s="1" t="s">
        <v>34</v>
      </c>
      <c r="J6851" s="1" t="s">
        <v>18</v>
      </c>
      <c r="K6851" s="1">
        <f t="shared" si="1"/>
        <v>2022</v>
      </c>
      <c r="L6851" s="1" t="str">
        <f t="shared" si="2"/>
        <v>Dec</v>
      </c>
      <c r="M6851" s="1" t="str">
        <f t="shared" si="3"/>
        <v>Profit</v>
      </c>
    </row>
    <row r="6852" ht="14.25" customHeight="1">
      <c r="A6852" s="1" t="s">
        <v>6886</v>
      </c>
      <c r="B6852" s="2">
        <v>44765.0</v>
      </c>
      <c r="C6852" s="1" t="s">
        <v>26</v>
      </c>
      <c r="D6852" s="1" t="s">
        <v>27</v>
      </c>
      <c r="E6852" s="1" t="s">
        <v>33</v>
      </c>
      <c r="F6852" s="1">
        <v>536.4</v>
      </c>
      <c r="G6852" s="1">
        <v>-148.72</v>
      </c>
      <c r="H6852" s="1">
        <v>2.0</v>
      </c>
      <c r="I6852" s="1" t="s">
        <v>17</v>
      </c>
      <c r="J6852" s="1" t="s">
        <v>18</v>
      </c>
      <c r="K6852" s="1">
        <f t="shared" si="1"/>
        <v>2022</v>
      </c>
      <c r="L6852" s="1" t="str">
        <f t="shared" si="2"/>
        <v>Jul</v>
      </c>
      <c r="M6852" s="1" t="str">
        <f t="shared" si="3"/>
        <v>Loss</v>
      </c>
    </row>
    <row r="6853" ht="14.25" customHeight="1">
      <c r="A6853" s="1" t="s">
        <v>6887</v>
      </c>
      <c r="B6853" s="2">
        <v>44678.0</v>
      </c>
      <c r="C6853" s="1" t="s">
        <v>20</v>
      </c>
      <c r="D6853" s="1" t="s">
        <v>27</v>
      </c>
      <c r="E6853" s="1" t="s">
        <v>40</v>
      </c>
      <c r="F6853" s="1">
        <v>312.03</v>
      </c>
      <c r="G6853" s="1">
        <v>189.41</v>
      </c>
      <c r="H6853" s="1">
        <v>10.0</v>
      </c>
      <c r="I6853" s="1" t="s">
        <v>23</v>
      </c>
      <c r="J6853" s="1" t="s">
        <v>24</v>
      </c>
      <c r="K6853" s="1">
        <f t="shared" si="1"/>
        <v>2022</v>
      </c>
      <c r="L6853" s="1" t="str">
        <f t="shared" si="2"/>
        <v>Apr</v>
      </c>
      <c r="M6853" s="1" t="str">
        <f t="shared" si="3"/>
        <v>Profit</v>
      </c>
    </row>
    <row r="6854" ht="14.25" customHeight="1">
      <c r="A6854" s="1" t="s">
        <v>6888</v>
      </c>
      <c r="B6854" s="2">
        <v>45266.0</v>
      </c>
      <c r="C6854" s="1" t="s">
        <v>26</v>
      </c>
      <c r="D6854" s="1" t="s">
        <v>15</v>
      </c>
      <c r="E6854" s="1" t="s">
        <v>31</v>
      </c>
      <c r="F6854" s="1">
        <v>765.16</v>
      </c>
      <c r="G6854" s="1">
        <v>-8.4</v>
      </c>
      <c r="H6854" s="1">
        <v>5.0</v>
      </c>
      <c r="I6854" s="1" t="s">
        <v>34</v>
      </c>
      <c r="J6854" s="1" t="s">
        <v>24</v>
      </c>
      <c r="K6854" s="1">
        <f t="shared" si="1"/>
        <v>2023</v>
      </c>
      <c r="L6854" s="1" t="str">
        <f t="shared" si="2"/>
        <v>Dec</v>
      </c>
      <c r="M6854" s="1" t="str">
        <f t="shared" si="3"/>
        <v>Loss</v>
      </c>
    </row>
    <row r="6855" ht="14.25" customHeight="1">
      <c r="A6855" s="1" t="s">
        <v>6889</v>
      </c>
      <c r="B6855" s="2">
        <v>45119.0</v>
      </c>
      <c r="C6855" s="1" t="s">
        <v>30</v>
      </c>
      <c r="D6855" s="1" t="s">
        <v>21</v>
      </c>
      <c r="E6855" s="1" t="s">
        <v>76</v>
      </c>
      <c r="F6855" s="1">
        <v>52.63</v>
      </c>
      <c r="G6855" s="1">
        <v>92.49</v>
      </c>
      <c r="H6855" s="1">
        <v>4.0</v>
      </c>
      <c r="I6855" s="1" t="s">
        <v>17</v>
      </c>
      <c r="J6855" s="1" t="s">
        <v>35</v>
      </c>
      <c r="K6855" s="1">
        <f t="shared" si="1"/>
        <v>2023</v>
      </c>
      <c r="L6855" s="1" t="str">
        <f t="shared" si="2"/>
        <v>Jul</v>
      </c>
      <c r="M6855" s="1" t="str">
        <f t="shared" si="3"/>
        <v>Profit</v>
      </c>
    </row>
    <row r="6856" ht="14.25" customHeight="1">
      <c r="A6856" s="1" t="s">
        <v>6890</v>
      </c>
      <c r="B6856" s="2">
        <v>44709.0</v>
      </c>
      <c r="C6856" s="1" t="s">
        <v>14</v>
      </c>
      <c r="D6856" s="1" t="s">
        <v>15</v>
      </c>
      <c r="E6856" s="1" t="s">
        <v>54</v>
      </c>
      <c r="F6856" s="1">
        <v>556.87</v>
      </c>
      <c r="G6856" s="1">
        <v>232.81</v>
      </c>
      <c r="H6856" s="1">
        <v>10.0</v>
      </c>
      <c r="I6856" s="1" t="s">
        <v>17</v>
      </c>
      <c r="J6856" s="1" t="s">
        <v>18</v>
      </c>
      <c r="K6856" s="1">
        <f t="shared" si="1"/>
        <v>2022</v>
      </c>
      <c r="L6856" s="1" t="str">
        <f t="shared" si="2"/>
        <v>May</v>
      </c>
      <c r="M6856" s="1" t="str">
        <f t="shared" si="3"/>
        <v>Profit</v>
      </c>
    </row>
    <row r="6857" ht="14.25" customHeight="1">
      <c r="A6857" s="1" t="s">
        <v>6891</v>
      </c>
      <c r="B6857" s="2">
        <v>44471.0</v>
      </c>
      <c r="C6857" s="1" t="s">
        <v>26</v>
      </c>
      <c r="D6857" s="1" t="s">
        <v>15</v>
      </c>
      <c r="E6857" s="1" t="s">
        <v>16</v>
      </c>
      <c r="F6857" s="1">
        <v>291.84</v>
      </c>
      <c r="G6857" s="1">
        <v>166.5</v>
      </c>
      <c r="H6857" s="1">
        <v>8.0</v>
      </c>
      <c r="I6857" s="1" t="s">
        <v>23</v>
      </c>
      <c r="J6857" s="1" t="s">
        <v>24</v>
      </c>
      <c r="K6857" s="1">
        <f t="shared" si="1"/>
        <v>2021</v>
      </c>
      <c r="L6857" s="1" t="str">
        <f t="shared" si="2"/>
        <v>Oct</v>
      </c>
      <c r="M6857" s="1" t="str">
        <f t="shared" si="3"/>
        <v>Profit</v>
      </c>
    </row>
    <row r="6858" ht="14.25" customHeight="1">
      <c r="A6858" s="1" t="s">
        <v>6892</v>
      </c>
      <c r="B6858" s="2">
        <v>44227.0</v>
      </c>
      <c r="C6858" s="1" t="s">
        <v>20</v>
      </c>
      <c r="D6858" s="1" t="s">
        <v>15</v>
      </c>
      <c r="E6858" s="1" t="s">
        <v>16</v>
      </c>
      <c r="F6858" s="1">
        <v>185.05</v>
      </c>
      <c r="G6858" s="1">
        <v>116.56</v>
      </c>
      <c r="H6858" s="1">
        <v>8.0</v>
      </c>
      <c r="I6858" s="1" t="s">
        <v>17</v>
      </c>
      <c r="J6858" s="1" t="s">
        <v>35</v>
      </c>
      <c r="K6858" s="1">
        <f t="shared" si="1"/>
        <v>2021</v>
      </c>
      <c r="L6858" s="1" t="str">
        <f t="shared" si="2"/>
        <v>Jan</v>
      </c>
      <c r="M6858" s="1" t="str">
        <f t="shared" si="3"/>
        <v>Profit</v>
      </c>
    </row>
    <row r="6859" ht="14.25" customHeight="1">
      <c r="A6859" s="1" t="s">
        <v>6893</v>
      </c>
      <c r="B6859" s="2">
        <v>44665.0</v>
      </c>
      <c r="C6859" s="1" t="s">
        <v>14</v>
      </c>
      <c r="D6859" s="1" t="s">
        <v>21</v>
      </c>
      <c r="E6859" s="1" t="s">
        <v>22</v>
      </c>
      <c r="F6859" s="1">
        <v>895.04</v>
      </c>
      <c r="G6859" s="1">
        <v>32.2</v>
      </c>
      <c r="H6859" s="1">
        <v>6.0</v>
      </c>
      <c r="I6859" s="1" t="s">
        <v>34</v>
      </c>
      <c r="J6859" s="1" t="s">
        <v>18</v>
      </c>
      <c r="K6859" s="1">
        <f t="shared" si="1"/>
        <v>2022</v>
      </c>
      <c r="L6859" s="1" t="str">
        <f t="shared" si="2"/>
        <v>Apr</v>
      </c>
      <c r="M6859" s="1" t="str">
        <f t="shared" si="3"/>
        <v>Profit</v>
      </c>
    </row>
    <row r="6860" ht="14.25" customHeight="1">
      <c r="A6860" s="1" t="s">
        <v>6894</v>
      </c>
      <c r="B6860" s="2">
        <v>44476.0</v>
      </c>
      <c r="C6860" s="1" t="s">
        <v>26</v>
      </c>
      <c r="D6860" s="1" t="s">
        <v>15</v>
      </c>
      <c r="E6860" s="1" t="s">
        <v>31</v>
      </c>
      <c r="F6860" s="1">
        <v>349.77</v>
      </c>
      <c r="G6860" s="1">
        <v>50.94</v>
      </c>
      <c r="H6860" s="1">
        <v>4.0</v>
      </c>
      <c r="I6860" s="1" t="s">
        <v>34</v>
      </c>
      <c r="J6860" s="1" t="s">
        <v>35</v>
      </c>
      <c r="K6860" s="1">
        <f t="shared" si="1"/>
        <v>2021</v>
      </c>
      <c r="L6860" s="1" t="str">
        <f t="shared" si="2"/>
        <v>Oct</v>
      </c>
      <c r="M6860" s="1" t="str">
        <f t="shared" si="3"/>
        <v>Profit</v>
      </c>
    </row>
    <row r="6861" ht="14.25" customHeight="1">
      <c r="A6861" s="1" t="s">
        <v>6895</v>
      </c>
      <c r="B6861" s="2">
        <v>44354.0</v>
      </c>
      <c r="C6861" s="1" t="s">
        <v>26</v>
      </c>
      <c r="D6861" s="1" t="s">
        <v>21</v>
      </c>
      <c r="E6861" s="1" t="s">
        <v>22</v>
      </c>
      <c r="F6861" s="1">
        <v>228.91</v>
      </c>
      <c r="G6861" s="1">
        <v>140.54</v>
      </c>
      <c r="H6861" s="1">
        <v>10.0</v>
      </c>
      <c r="I6861" s="1" t="s">
        <v>34</v>
      </c>
      <c r="J6861" s="1" t="s">
        <v>24</v>
      </c>
      <c r="K6861" s="1">
        <f t="shared" si="1"/>
        <v>2021</v>
      </c>
      <c r="L6861" s="1" t="str">
        <f t="shared" si="2"/>
        <v>Jun</v>
      </c>
      <c r="M6861" s="1" t="str">
        <f t="shared" si="3"/>
        <v>Profit</v>
      </c>
    </row>
    <row r="6862" ht="14.25" customHeight="1">
      <c r="A6862" s="1" t="s">
        <v>6896</v>
      </c>
      <c r="B6862" s="2">
        <v>44994.0</v>
      </c>
      <c r="C6862" s="1" t="s">
        <v>20</v>
      </c>
      <c r="D6862" s="1" t="s">
        <v>27</v>
      </c>
      <c r="E6862" s="1" t="s">
        <v>33</v>
      </c>
      <c r="F6862" s="1">
        <v>284.26</v>
      </c>
      <c r="G6862" s="1">
        <v>-55.6</v>
      </c>
      <c r="H6862" s="1">
        <v>6.0</v>
      </c>
      <c r="I6862" s="1" t="s">
        <v>34</v>
      </c>
      <c r="J6862" s="1" t="s">
        <v>38</v>
      </c>
      <c r="K6862" s="1">
        <f t="shared" si="1"/>
        <v>2023</v>
      </c>
      <c r="L6862" s="1" t="str">
        <f t="shared" si="2"/>
        <v>Mar</v>
      </c>
      <c r="M6862" s="1" t="str">
        <f t="shared" si="3"/>
        <v>Loss</v>
      </c>
    </row>
    <row r="6863" ht="14.25" customHeight="1">
      <c r="A6863" s="1" t="s">
        <v>6897</v>
      </c>
      <c r="B6863" s="2">
        <v>44523.0</v>
      </c>
      <c r="C6863" s="1" t="s">
        <v>20</v>
      </c>
      <c r="D6863" s="1" t="s">
        <v>27</v>
      </c>
      <c r="E6863" s="1" t="s">
        <v>33</v>
      </c>
      <c r="F6863" s="1">
        <v>791.38</v>
      </c>
      <c r="G6863" s="1">
        <v>-35.87</v>
      </c>
      <c r="H6863" s="1">
        <v>10.0</v>
      </c>
      <c r="I6863" s="1" t="s">
        <v>34</v>
      </c>
      <c r="J6863" s="1" t="s">
        <v>24</v>
      </c>
      <c r="K6863" s="1">
        <f t="shared" si="1"/>
        <v>2021</v>
      </c>
      <c r="L6863" s="1" t="str">
        <f t="shared" si="2"/>
        <v>Nov</v>
      </c>
      <c r="M6863" s="1" t="str">
        <f t="shared" si="3"/>
        <v>Loss</v>
      </c>
    </row>
    <row r="6864" ht="14.25" customHeight="1">
      <c r="A6864" s="1" t="s">
        <v>6898</v>
      </c>
      <c r="B6864" s="2">
        <v>44793.0</v>
      </c>
      <c r="C6864" s="1" t="s">
        <v>14</v>
      </c>
      <c r="D6864" s="1" t="s">
        <v>15</v>
      </c>
      <c r="E6864" s="1" t="s">
        <v>54</v>
      </c>
      <c r="F6864" s="1">
        <v>471.92</v>
      </c>
      <c r="G6864" s="1">
        <v>101.71</v>
      </c>
      <c r="H6864" s="1">
        <v>3.0</v>
      </c>
      <c r="I6864" s="1" t="s">
        <v>17</v>
      </c>
      <c r="J6864" s="1" t="s">
        <v>24</v>
      </c>
      <c r="K6864" s="1">
        <f t="shared" si="1"/>
        <v>2022</v>
      </c>
      <c r="L6864" s="1" t="str">
        <f t="shared" si="2"/>
        <v>Aug</v>
      </c>
      <c r="M6864" s="1" t="str">
        <f t="shared" si="3"/>
        <v>Profit</v>
      </c>
    </row>
    <row r="6865" ht="14.25" customHeight="1">
      <c r="A6865" s="1" t="s">
        <v>6899</v>
      </c>
      <c r="B6865" s="2">
        <v>44240.0</v>
      </c>
      <c r="C6865" s="1" t="s">
        <v>14</v>
      </c>
      <c r="D6865" s="1" t="s">
        <v>21</v>
      </c>
      <c r="E6865" s="1" t="s">
        <v>22</v>
      </c>
      <c r="F6865" s="1">
        <v>116.5</v>
      </c>
      <c r="G6865" s="1">
        <v>249.1</v>
      </c>
      <c r="H6865" s="1">
        <v>10.0</v>
      </c>
      <c r="I6865" s="1" t="s">
        <v>23</v>
      </c>
      <c r="J6865" s="1" t="s">
        <v>18</v>
      </c>
      <c r="K6865" s="1">
        <f t="shared" si="1"/>
        <v>2021</v>
      </c>
      <c r="L6865" s="1" t="str">
        <f t="shared" si="2"/>
        <v>Feb</v>
      </c>
      <c r="M6865" s="1" t="str">
        <f t="shared" si="3"/>
        <v>Profit</v>
      </c>
    </row>
    <row r="6866" ht="14.25" customHeight="1">
      <c r="A6866" s="1" t="s">
        <v>6900</v>
      </c>
      <c r="B6866" s="2">
        <v>45112.0</v>
      </c>
      <c r="C6866" s="1" t="s">
        <v>26</v>
      </c>
      <c r="D6866" s="1" t="s">
        <v>27</v>
      </c>
      <c r="E6866" s="1" t="s">
        <v>40</v>
      </c>
      <c r="F6866" s="1">
        <v>226.86</v>
      </c>
      <c r="G6866" s="1">
        <v>-33.4</v>
      </c>
      <c r="H6866" s="1">
        <v>4.0</v>
      </c>
      <c r="I6866" s="1" t="s">
        <v>23</v>
      </c>
      <c r="J6866" s="1" t="s">
        <v>35</v>
      </c>
      <c r="K6866" s="1">
        <f t="shared" si="1"/>
        <v>2023</v>
      </c>
      <c r="L6866" s="1" t="str">
        <f t="shared" si="2"/>
        <v>Jul</v>
      </c>
      <c r="M6866" s="1" t="str">
        <f t="shared" si="3"/>
        <v>Loss</v>
      </c>
    </row>
    <row r="6867" ht="14.25" customHeight="1">
      <c r="A6867" s="1" t="s">
        <v>6901</v>
      </c>
      <c r="B6867" s="2">
        <v>44426.0</v>
      </c>
      <c r="C6867" s="1" t="s">
        <v>20</v>
      </c>
      <c r="D6867" s="1" t="s">
        <v>15</v>
      </c>
      <c r="E6867" s="1" t="s">
        <v>31</v>
      </c>
      <c r="F6867" s="1">
        <v>769.4</v>
      </c>
      <c r="G6867" s="1">
        <v>-41.15</v>
      </c>
      <c r="H6867" s="1">
        <v>5.0</v>
      </c>
      <c r="I6867" s="1" t="s">
        <v>23</v>
      </c>
      <c r="J6867" s="1" t="s">
        <v>38</v>
      </c>
      <c r="K6867" s="1">
        <f t="shared" si="1"/>
        <v>2021</v>
      </c>
      <c r="L6867" s="1" t="str">
        <f t="shared" si="2"/>
        <v>Aug</v>
      </c>
      <c r="M6867" s="1" t="str">
        <f t="shared" si="3"/>
        <v>Loss</v>
      </c>
    </row>
    <row r="6868" ht="14.25" customHeight="1">
      <c r="A6868" s="1" t="s">
        <v>6902</v>
      </c>
      <c r="B6868" s="2">
        <v>44983.0</v>
      </c>
      <c r="C6868" s="1" t="s">
        <v>26</v>
      </c>
      <c r="D6868" s="1" t="s">
        <v>15</v>
      </c>
      <c r="E6868" s="1" t="s">
        <v>54</v>
      </c>
      <c r="F6868" s="1">
        <v>852.42</v>
      </c>
      <c r="G6868" s="1">
        <v>228.72</v>
      </c>
      <c r="H6868" s="1">
        <v>1.0</v>
      </c>
      <c r="I6868" s="1" t="s">
        <v>34</v>
      </c>
      <c r="J6868" s="1" t="s">
        <v>35</v>
      </c>
      <c r="K6868" s="1">
        <f t="shared" si="1"/>
        <v>2023</v>
      </c>
      <c r="L6868" s="1" t="str">
        <f t="shared" si="2"/>
        <v>Feb</v>
      </c>
      <c r="M6868" s="1" t="str">
        <f t="shared" si="3"/>
        <v>Profit</v>
      </c>
    </row>
    <row r="6869" ht="14.25" customHeight="1">
      <c r="A6869" s="1" t="s">
        <v>6903</v>
      </c>
      <c r="B6869" s="2">
        <v>44622.0</v>
      </c>
      <c r="C6869" s="1" t="s">
        <v>20</v>
      </c>
      <c r="D6869" s="1" t="s">
        <v>27</v>
      </c>
      <c r="E6869" s="1" t="s">
        <v>33</v>
      </c>
      <c r="F6869" s="1">
        <v>440.97</v>
      </c>
      <c r="G6869" s="1">
        <v>-113.68</v>
      </c>
      <c r="H6869" s="1">
        <v>2.0</v>
      </c>
      <c r="I6869" s="1" t="s">
        <v>17</v>
      </c>
      <c r="J6869" s="1" t="s">
        <v>35</v>
      </c>
      <c r="K6869" s="1">
        <f t="shared" si="1"/>
        <v>2022</v>
      </c>
      <c r="L6869" s="1" t="str">
        <f t="shared" si="2"/>
        <v>Mar</v>
      </c>
      <c r="M6869" s="1" t="str">
        <f t="shared" si="3"/>
        <v>Loss</v>
      </c>
    </row>
    <row r="6870" ht="14.25" customHeight="1">
      <c r="A6870" s="1" t="s">
        <v>6904</v>
      </c>
      <c r="B6870" s="2">
        <v>44534.0</v>
      </c>
      <c r="C6870" s="1" t="s">
        <v>26</v>
      </c>
      <c r="D6870" s="1" t="s">
        <v>15</v>
      </c>
      <c r="E6870" s="1" t="s">
        <v>54</v>
      </c>
      <c r="F6870" s="1">
        <v>649.55</v>
      </c>
      <c r="G6870" s="1">
        <v>293.37</v>
      </c>
      <c r="H6870" s="1">
        <v>3.0</v>
      </c>
      <c r="I6870" s="1" t="s">
        <v>17</v>
      </c>
      <c r="J6870" s="1" t="s">
        <v>35</v>
      </c>
      <c r="K6870" s="1">
        <f t="shared" si="1"/>
        <v>2021</v>
      </c>
      <c r="L6870" s="1" t="str">
        <f t="shared" si="2"/>
        <v>Dec</v>
      </c>
      <c r="M6870" s="1" t="str">
        <f t="shared" si="3"/>
        <v>Profit</v>
      </c>
    </row>
    <row r="6871" ht="14.25" customHeight="1">
      <c r="A6871" s="1" t="s">
        <v>6905</v>
      </c>
      <c r="B6871" s="2">
        <v>44216.0</v>
      </c>
      <c r="C6871" s="1" t="s">
        <v>14</v>
      </c>
      <c r="D6871" s="1" t="s">
        <v>27</v>
      </c>
      <c r="E6871" s="1" t="s">
        <v>28</v>
      </c>
      <c r="F6871" s="1">
        <v>25.93</v>
      </c>
      <c r="G6871" s="1">
        <v>192.16</v>
      </c>
      <c r="H6871" s="1">
        <v>10.0</v>
      </c>
      <c r="I6871" s="1" t="s">
        <v>17</v>
      </c>
      <c r="J6871" s="1" t="s">
        <v>38</v>
      </c>
      <c r="K6871" s="1">
        <f t="shared" si="1"/>
        <v>2021</v>
      </c>
      <c r="L6871" s="1" t="str">
        <f t="shared" si="2"/>
        <v>Jan</v>
      </c>
      <c r="M6871" s="1" t="str">
        <f t="shared" si="3"/>
        <v>Profit</v>
      </c>
    </row>
    <row r="6872" ht="14.25" customHeight="1">
      <c r="A6872" s="1" t="s">
        <v>6906</v>
      </c>
      <c r="B6872" s="2">
        <v>44882.0</v>
      </c>
      <c r="C6872" s="1" t="s">
        <v>26</v>
      </c>
      <c r="D6872" s="1" t="s">
        <v>15</v>
      </c>
      <c r="E6872" s="1" t="s">
        <v>16</v>
      </c>
      <c r="F6872" s="1">
        <v>839.98</v>
      </c>
      <c r="G6872" s="1">
        <v>-181.91</v>
      </c>
      <c r="H6872" s="1">
        <v>9.0</v>
      </c>
      <c r="I6872" s="1" t="s">
        <v>23</v>
      </c>
      <c r="J6872" s="1" t="s">
        <v>24</v>
      </c>
      <c r="K6872" s="1">
        <f t="shared" si="1"/>
        <v>2022</v>
      </c>
      <c r="L6872" s="1" t="str">
        <f t="shared" si="2"/>
        <v>Nov</v>
      </c>
      <c r="M6872" s="1" t="str">
        <f t="shared" si="3"/>
        <v>Loss</v>
      </c>
    </row>
    <row r="6873" ht="14.25" customHeight="1">
      <c r="A6873" s="1" t="s">
        <v>6907</v>
      </c>
      <c r="B6873" s="2">
        <v>44266.0</v>
      </c>
      <c r="C6873" s="1" t="s">
        <v>30</v>
      </c>
      <c r="D6873" s="1" t="s">
        <v>27</v>
      </c>
      <c r="E6873" s="1" t="s">
        <v>40</v>
      </c>
      <c r="F6873" s="1">
        <v>167.53</v>
      </c>
      <c r="G6873" s="1">
        <v>50.07</v>
      </c>
      <c r="H6873" s="1">
        <v>2.0</v>
      </c>
      <c r="I6873" s="1" t="s">
        <v>23</v>
      </c>
      <c r="J6873" s="1" t="s">
        <v>38</v>
      </c>
      <c r="K6873" s="1">
        <f t="shared" si="1"/>
        <v>2021</v>
      </c>
      <c r="L6873" s="1" t="str">
        <f t="shared" si="2"/>
        <v>Mar</v>
      </c>
      <c r="M6873" s="1" t="str">
        <f t="shared" si="3"/>
        <v>Profit</v>
      </c>
    </row>
    <row r="6874" ht="14.25" customHeight="1">
      <c r="A6874" s="1" t="s">
        <v>6908</v>
      </c>
      <c r="B6874" s="2">
        <v>44267.0</v>
      </c>
      <c r="C6874" s="1" t="s">
        <v>20</v>
      </c>
      <c r="D6874" s="1" t="s">
        <v>21</v>
      </c>
      <c r="E6874" s="1" t="s">
        <v>37</v>
      </c>
      <c r="F6874" s="1">
        <v>215.48</v>
      </c>
      <c r="G6874" s="1">
        <v>40.6</v>
      </c>
      <c r="H6874" s="1">
        <v>4.0</v>
      </c>
      <c r="I6874" s="1" t="s">
        <v>17</v>
      </c>
      <c r="J6874" s="1" t="s">
        <v>24</v>
      </c>
      <c r="K6874" s="1">
        <f t="shared" si="1"/>
        <v>2021</v>
      </c>
      <c r="L6874" s="1" t="str">
        <f t="shared" si="2"/>
        <v>Mar</v>
      </c>
      <c r="M6874" s="1" t="str">
        <f t="shared" si="3"/>
        <v>Profit</v>
      </c>
    </row>
    <row r="6875" ht="14.25" customHeight="1">
      <c r="A6875" s="1" t="s">
        <v>6909</v>
      </c>
      <c r="B6875" s="2">
        <v>44527.0</v>
      </c>
      <c r="C6875" s="1" t="s">
        <v>26</v>
      </c>
      <c r="D6875" s="1" t="s">
        <v>21</v>
      </c>
      <c r="E6875" s="1" t="s">
        <v>22</v>
      </c>
      <c r="F6875" s="1">
        <v>164.97</v>
      </c>
      <c r="G6875" s="1">
        <v>-68.51</v>
      </c>
      <c r="H6875" s="1">
        <v>5.0</v>
      </c>
      <c r="I6875" s="1" t="s">
        <v>23</v>
      </c>
      <c r="J6875" s="1" t="s">
        <v>35</v>
      </c>
      <c r="K6875" s="1">
        <f t="shared" si="1"/>
        <v>2021</v>
      </c>
      <c r="L6875" s="1" t="str">
        <f t="shared" si="2"/>
        <v>Nov</v>
      </c>
      <c r="M6875" s="1" t="str">
        <f t="shared" si="3"/>
        <v>Loss</v>
      </c>
    </row>
    <row r="6876" ht="14.25" customHeight="1">
      <c r="A6876" s="1" t="s">
        <v>6910</v>
      </c>
      <c r="B6876" s="2">
        <v>45039.0</v>
      </c>
      <c r="C6876" s="1" t="s">
        <v>26</v>
      </c>
      <c r="D6876" s="1" t="s">
        <v>27</v>
      </c>
      <c r="E6876" s="1" t="s">
        <v>40</v>
      </c>
      <c r="F6876" s="1">
        <v>357.77</v>
      </c>
      <c r="G6876" s="1">
        <v>237.57</v>
      </c>
      <c r="H6876" s="1">
        <v>4.0</v>
      </c>
      <c r="I6876" s="1" t="s">
        <v>34</v>
      </c>
      <c r="J6876" s="1" t="s">
        <v>38</v>
      </c>
      <c r="K6876" s="1">
        <f t="shared" si="1"/>
        <v>2023</v>
      </c>
      <c r="L6876" s="1" t="str">
        <f t="shared" si="2"/>
        <v>Apr</v>
      </c>
      <c r="M6876" s="1" t="str">
        <f t="shared" si="3"/>
        <v>Profit</v>
      </c>
    </row>
    <row r="6877" ht="14.25" customHeight="1">
      <c r="A6877" s="1" t="s">
        <v>6911</v>
      </c>
      <c r="B6877" s="2">
        <v>44914.0</v>
      </c>
      <c r="C6877" s="1" t="s">
        <v>14</v>
      </c>
      <c r="D6877" s="1" t="s">
        <v>21</v>
      </c>
      <c r="E6877" s="1" t="s">
        <v>37</v>
      </c>
      <c r="F6877" s="1">
        <v>676.19</v>
      </c>
      <c r="G6877" s="1">
        <v>242.91</v>
      </c>
      <c r="H6877" s="1">
        <v>5.0</v>
      </c>
      <c r="I6877" s="1" t="s">
        <v>23</v>
      </c>
      <c r="J6877" s="1" t="s">
        <v>35</v>
      </c>
      <c r="K6877" s="1">
        <f t="shared" si="1"/>
        <v>2022</v>
      </c>
      <c r="L6877" s="1" t="str">
        <f t="shared" si="2"/>
        <v>Dec</v>
      </c>
      <c r="M6877" s="1" t="str">
        <f t="shared" si="3"/>
        <v>Profit</v>
      </c>
    </row>
    <row r="6878" ht="14.25" customHeight="1">
      <c r="A6878" s="1" t="s">
        <v>6912</v>
      </c>
      <c r="B6878" s="2">
        <v>44269.0</v>
      </c>
      <c r="C6878" s="1" t="s">
        <v>14</v>
      </c>
      <c r="D6878" s="1" t="s">
        <v>27</v>
      </c>
      <c r="E6878" s="1" t="s">
        <v>33</v>
      </c>
      <c r="F6878" s="1">
        <v>590.59</v>
      </c>
      <c r="G6878" s="1">
        <v>261.92</v>
      </c>
      <c r="H6878" s="1">
        <v>1.0</v>
      </c>
      <c r="I6878" s="1" t="s">
        <v>34</v>
      </c>
      <c r="J6878" s="1" t="s">
        <v>38</v>
      </c>
      <c r="K6878" s="1">
        <f t="shared" si="1"/>
        <v>2021</v>
      </c>
      <c r="L6878" s="1" t="str">
        <f t="shared" si="2"/>
        <v>Mar</v>
      </c>
      <c r="M6878" s="1" t="str">
        <f t="shared" si="3"/>
        <v>Profit</v>
      </c>
    </row>
    <row r="6879" ht="14.25" customHeight="1">
      <c r="A6879" s="1" t="s">
        <v>6913</v>
      </c>
      <c r="B6879" s="2">
        <v>44302.0</v>
      </c>
      <c r="C6879" s="1" t="s">
        <v>26</v>
      </c>
      <c r="D6879" s="1" t="s">
        <v>21</v>
      </c>
      <c r="E6879" s="1" t="s">
        <v>22</v>
      </c>
      <c r="F6879" s="1">
        <v>344.96</v>
      </c>
      <c r="G6879" s="1">
        <v>139.85</v>
      </c>
      <c r="H6879" s="1">
        <v>5.0</v>
      </c>
      <c r="I6879" s="1" t="s">
        <v>17</v>
      </c>
      <c r="J6879" s="1" t="s">
        <v>18</v>
      </c>
      <c r="K6879" s="1">
        <f t="shared" si="1"/>
        <v>2021</v>
      </c>
      <c r="L6879" s="1" t="str">
        <f t="shared" si="2"/>
        <v>Apr</v>
      </c>
      <c r="M6879" s="1" t="str">
        <f t="shared" si="3"/>
        <v>Profit</v>
      </c>
    </row>
    <row r="6880" ht="14.25" customHeight="1">
      <c r="A6880" s="1" t="s">
        <v>6914</v>
      </c>
      <c r="B6880" s="2">
        <v>44619.0</v>
      </c>
      <c r="C6880" s="1" t="s">
        <v>26</v>
      </c>
      <c r="D6880" s="1" t="s">
        <v>21</v>
      </c>
      <c r="E6880" s="1" t="s">
        <v>37</v>
      </c>
      <c r="F6880" s="1">
        <v>501.62</v>
      </c>
      <c r="G6880" s="1">
        <v>16.25</v>
      </c>
      <c r="H6880" s="1">
        <v>8.0</v>
      </c>
      <c r="I6880" s="1" t="s">
        <v>17</v>
      </c>
      <c r="J6880" s="1" t="s">
        <v>38</v>
      </c>
      <c r="K6880" s="1">
        <f t="shared" si="1"/>
        <v>2022</v>
      </c>
      <c r="L6880" s="1" t="str">
        <f t="shared" si="2"/>
        <v>Feb</v>
      </c>
      <c r="M6880" s="1" t="str">
        <f t="shared" si="3"/>
        <v>Profit</v>
      </c>
    </row>
    <row r="6881" ht="14.25" customHeight="1">
      <c r="A6881" s="1" t="s">
        <v>6915</v>
      </c>
      <c r="B6881" s="2">
        <v>44870.0</v>
      </c>
      <c r="C6881" s="1" t="s">
        <v>30</v>
      </c>
      <c r="D6881" s="1" t="s">
        <v>15</v>
      </c>
      <c r="E6881" s="1" t="s">
        <v>31</v>
      </c>
      <c r="F6881" s="1">
        <v>457.32</v>
      </c>
      <c r="G6881" s="1">
        <v>215.73</v>
      </c>
      <c r="H6881" s="1">
        <v>1.0</v>
      </c>
      <c r="I6881" s="1" t="s">
        <v>23</v>
      </c>
      <c r="J6881" s="1" t="s">
        <v>24</v>
      </c>
      <c r="K6881" s="1">
        <f t="shared" si="1"/>
        <v>2022</v>
      </c>
      <c r="L6881" s="1" t="str">
        <f t="shared" si="2"/>
        <v>Nov</v>
      </c>
      <c r="M6881" s="1" t="str">
        <f t="shared" si="3"/>
        <v>Profit</v>
      </c>
    </row>
    <row r="6882" ht="14.25" customHeight="1">
      <c r="A6882" s="1" t="s">
        <v>6916</v>
      </c>
      <c r="B6882" s="2">
        <v>44308.0</v>
      </c>
      <c r="C6882" s="1" t="s">
        <v>26</v>
      </c>
      <c r="D6882" s="1" t="s">
        <v>27</v>
      </c>
      <c r="E6882" s="1" t="s">
        <v>28</v>
      </c>
      <c r="F6882" s="1">
        <v>526.81</v>
      </c>
      <c r="G6882" s="1">
        <v>16.57</v>
      </c>
      <c r="H6882" s="1">
        <v>6.0</v>
      </c>
      <c r="I6882" s="1" t="s">
        <v>34</v>
      </c>
      <c r="J6882" s="1" t="s">
        <v>38</v>
      </c>
      <c r="K6882" s="1">
        <f t="shared" si="1"/>
        <v>2021</v>
      </c>
      <c r="L6882" s="1" t="str">
        <f t="shared" si="2"/>
        <v>Apr</v>
      </c>
      <c r="M6882" s="1" t="str">
        <f t="shared" si="3"/>
        <v>Profit</v>
      </c>
    </row>
    <row r="6883" ht="14.25" customHeight="1">
      <c r="A6883" s="1" t="s">
        <v>6917</v>
      </c>
      <c r="B6883" s="2">
        <v>44370.0</v>
      </c>
      <c r="C6883" s="1" t="s">
        <v>26</v>
      </c>
      <c r="D6883" s="1" t="s">
        <v>15</v>
      </c>
      <c r="E6883" s="1" t="s">
        <v>16</v>
      </c>
      <c r="F6883" s="1">
        <v>285.43</v>
      </c>
      <c r="G6883" s="1">
        <v>-46.81</v>
      </c>
      <c r="H6883" s="1">
        <v>1.0</v>
      </c>
      <c r="I6883" s="1" t="s">
        <v>23</v>
      </c>
      <c r="J6883" s="1" t="s">
        <v>38</v>
      </c>
      <c r="K6883" s="1">
        <f t="shared" si="1"/>
        <v>2021</v>
      </c>
      <c r="L6883" s="1" t="str">
        <f t="shared" si="2"/>
        <v>Jun</v>
      </c>
      <c r="M6883" s="1" t="str">
        <f t="shared" si="3"/>
        <v>Loss</v>
      </c>
    </row>
    <row r="6884" ht="14.25" customHeight="1">
      <c r="A6884" s="1" t="s">
        <v>6918</v>
      </c>
      <c r="B6884" s="2">
        <v>44523.0</v>
      </c>
      <c r="C6884" s="1" t="s">
        <v>20</v>
      </c>
      <c r="D6884" s="1" t="s">
        <v>27</v>
      </c>
      <c r="E6884" s="1" t="s">
        <v>40</v>
      </c>
      <c r="F6884" s="1">
        <v>655.39</v>
      </c>
      <c r="G6884" s="1">
        <v>211.7</v>
      </c>
      <c r="H6884" s="1">
        <v>10.0</v>
      </c>
      <c r="I6884" s="1" t="s">
        <v>34</v>
      </c>
      <c r="J6884" s="1" t="s">
        <v>38</v>
      </c>
      <c r="K6884" s="1">
        <f t="shared" si="1"/>
        <v>2021</v>
      </c>
      <c r="L6884" s="1" t="str">
        <f t="shared" si="2"/>
        <v>Nov</v>
      </c>
      <c r="M6884" s="1" t="str">
        <f t="shared" si="3"/>
        <v>Profit</v>
      </c>
    </row>
    <row r="6885" ht="14.25" customHeight="1">
      <c r="A6885" s="1" t="s">
        <v>6919</v>
      </c>
      <c r="B6885" s="2">
        <v>44700.0</v>
      </c>
      <c r="C6885" s="1" t="s">
        <v>20</v>
      </c>
      <c r="D6885" s="1" t="s">
        <v>15</v>
      </c>
      <c r="E6885" s="1" t="s">
        <v>16</v>
      </c>
      <c r="F6885" s="1">
        <v>737.33</v>
      </c>
      <c r="G6885" s="1">
        <v>-100.23</v>
      </c>
      <c r="H6885" s="1">
        <v>6.0</v>
      </c>
      <c r="I6885" s="1" t="s">
        <v>23</v>
      </c>
      <c r="J6885" s="1" t="s">
        <v>38</v>
      </c>
      <c r="K6885" s="1">
        <f t="shared" si="1"/>
        <v>2022</v>
      </c>
      <c r="L6885" s="1" t="str">
        <f t="shared" si="2"/>
        <v>May</v>
      </c>
      <c r="M6885" s="1" t="str">
        <f t="shared" si="3"/>
        <v>Loss</v>
      </c>
    </row>
    <row r="6886" ht="14.25" customHeight="1">
      <c r="A6886" s="1" t="s">
        <v>6920</v>
      </c>
      <c r="B6886" s="2">
        <v>44888.0</v>
      </c>
      <c r="C6886" s="1" t="s">
        <v>26</v>
      </c>
      <c r="D6886" s="1" t="s">
        <v>21</v>
      </c>
      <c r="E6886" s="1" t="s">
        <v>37</v>
      </c>
      <c r="F6886" s="1">
        <v>483.06</v>
      </c>
      <c r="G6886" s="1">
        <v>-89.84</v>
      </c>
      <c r="H6886" s="1">
        <v>2.0</v>
      </c>
      <c r="I6886" s="1" t="s">
        <v>17</v>
      </c>
      <c r="J6886" s="1" t="s">
        <v>24</v>
      </c>
      <c r="K6886" s="1">
        <f t="shared" si="1"/>
        <v>2022</v>
      </c>
      <c r="L6886" s="1" t="str">
        <f t="shared" si="2"/>
        <v>Nov</v>
      </c>
      <c r="M6886" s="1" t="str">
        <f t="shared" si="3"/>
        <v>Loss</v>
      </c>
    </row>
    <row r="6887" ht="14.25" customHeight="1">
      <c r="A6887" s="1" t="s">
        <v>6921</v>
      </c>
      <c r="B6887" s="2">
        <v>44596.0</v>
      </c>
      <c r="C6887" s="1" t="s">
        <v>20</v>
      </c>
      <c r="D6887" s="1" t="s">
        <v>27</v>
      </c>
      <c r="E6887" s="1" t="s">
        <v>28</v>
      </c>
      <c r="F6887" s="1">
        <v>533.77</v>
      </c>
      <c r="G6887" s="1">
        <v>-187.65</v>
      </c>
      <c r="H6887" s="1">
        <v>10.0</v>
      </c>
      <c r="I6887" s="1" t="s">
        <v>34</v>
      </c>
      <c r="J6887" s="1" t="s">
        <v>35</v>
      </c>
      <c r="K6887" s="1">
        <f t="shared" si="1"/>
        <v>2022</v>
      </c>
      <c r="L6887" s="1" t="str">
        <f t="shared" si="2"/>
        <v>Feb</v>
      </c>
      <c r="M6887" s="1" t="str">
        <f t="shared" si="3"/>
        <v>Loss</v>
      </c>
    </row>
    <row r="6888" ht="14.25" customHeight="1">
      <c r="A6888" s="1" t="s">
        <v>6922</v>
      </c>
      <c r="B6888" s="2">
        <v>44943.0</v>
      </c>
      <c r="C6888" s="1" t="s">
        <v>14</v>
      </c>
      <c r="D6888" s="1" t="s">
        <v>21</v>
      </c>
      <c r="E6888" s="1" t="s">
        <v>37</v>
      </c>
      <c r="F6888" s="1">
        <v>756.73</v>
      </c>
      <c r="G6888" s="1">
        <v>-101.69</v>
      </c>
      <c r="H6888" s="1">
        <v>6.0</v>
      </c>
      <c r="I6888" s="1" t="s">
        <v>17</v>
      </c>
      <c r="J6888" s="1" t="s">
        <v>38</v>
      </c>
      <c r="K6888" s="1">
        <f t="shared" si="1"/>
        <v>2023</v>
      </c>
      <c r="L6888" s="1" t="str">
        <f t="shared" si="2"/>
        <v>Jan</v>
      </c>
      <c r="M6888" s="1" t="str">
        <f t="shared" si="3"/>
        <v>Loss</v>
      </c>
    </row>
    <row r="6889" ht="14.25" customHeight="1">
      <c r="A6889" s="1" t="s">
        <v>6923</v>
      </c>
      <c r="B6889" s="2">
        <v>44983.0</v>
      </c>
      <c r="C6889" s="1" t="s">
        <v>26</v>
      </c>
      <c r="D6889" s="1" t="s">
        <v>15</v>
      </c>
      <c r="E6889" s="1" t="s">
        <v>31</v>
      </c>
      <c r="F6889" s="1">
        <v>24.84</v>
      </c>
      <c r="G6889" s="1">
        <v>112.24</v>
      </c>
      <c r="H6889" s="1">
        <v>10.0</v>
      </c>
      <c r="I6889" s="1" t="s">
        <v>17</v>
      </c>
      <c r="J6889" s="1" t="s">
        <v>38</v>
      </c>
      <c r="K6889" s="1">
        <f t="shared" si="1"/>
        <v>2023</v>
      </c>
      <c r="L6889" s="1" t="str">
        <f t="shared" si="2"/>
        <v>Feb</v>
      </c>
      <c r="M6889" s="1" t="str">
        <f t="shared" si="3"/>
        <v>Profit</v>
      </c>
    </row>
    <row r="6890" ht="14.25" customHeight="1">
      <c r="A6890" s="1" t="s">
        <v>6924</v>
      </c>
      <c r="B6890" s="2">
        <v>45001.0</v>
      </c>
      <c r="C6890" s="1" t="s">
        <v>20</v>
      </c>
      <c r="D6890" s="1" t="s">
        <v>27</v>
      </c>
      <c r="E6890" s="1" t="s">
        <v>40</v>
      </c>
      <c r="F6890" s="1">
        <v>59.08</v>
      </c>
      <c r="G6890" s="1">
        <v>193.59</v>
      </c>
      <c r="H6890" s="1">
        <v>6.0</v>
      </c>
      <c r="I6890" s="1" t="s">
        <v>23</v>
      </c>
      <c r="J6890" s="1" t="s">
        <v>35</v>
      </c>
      <c r="K6890" s="1">
        <f t="shared" si="1"/>
        <v>2023</v>
      </c>
      <c r="L6890" s="1" t="str">
        <f t="shared" si="2"/>
        <v>Mar</v>
      </c>
      <c r="M6890" s="1" t="str">
        <f t="shared" si="3"/>
        <v>Profit</v>
      </c>
    </row>
    <row r="6891" ht="14.25" customHeight="1">
      <c r="A6891" s="1" t="s">
        <v>6925</v>
      </c>
      <c r="B6891" s="2">
        <v>44691.0</v>
      </c>
      <c r="C6891" s="1" t="s">
        <v>14</v>
      </c>
      <c r="D6891" s="1" t="s">
        <v>21</v>
      </c>
      <c r="E6891" s="1" t="s">
        <v>22</v>
      </c>
      <c r="F6891" s="1">
        <v>51.14</v>
      </c>
      <c r="G6891" s="1">
        <v>135.9</v>
      </c>
      <c r="H6891" s="1">
        <v>3.0</v>
      </c>
      <c r="I6891" s="1" t="s">
        <v>23</v>
      </c>
      <c r="J6891" s="1" t="s">
        <v>35</v>
      </c>
      <c r="K6891" s="1">
        <f t="shared" si="1"/>
        <v>2022</v>
      </c>
      <c r="L6891" s="1" t="str">
        <f t="shared" si="2"/>
        <v>May</v>
      </c>
      <c r="M6891" s="1" t="str">
        <f t="shared" si="3"/>
        <v>Profit</v>
      </c>
    </row>
    <row r="6892" ht="14.25" customHeight="1">
      <c r="A6892" s="1" t="s">
        <v>6926</v>
      </c>
      <c r="B6892" s="2">
        <v>45016.0</v>
      </c>
      <c r="C6892" s="1" t="s">
        <v>14</v>
      </c>
      <c r="D6892" s="1" t="s">
        <v>15</v>
      </c>
      <c r="E6892" s="1" t="s">
        <v>54</v>
      </c>
      <c r="F6892" s="1">
        <v>760.06</v>
      </c>
      <c r="G6892" s="1">
        <v>16.61</v>
      </c>
      <c r="H6892" s="1">
        <v>7.0</v>
      </c>
      <c r="I6892" s="1" t="s">
        <v>34</v>
      </c>
      <c r="J6892" s="1" t="s">
        <v>38</v>
      </c>
      <c r="K6892" s="1">
        <f t="shared" si="1"/>
        <v>2023</v>
      </c>
      <c r="L6892" s="1" t="str">
        <f t="shared" si="2"/>
        <v>Mar</v>
      </c>
      <c r="M6892" s="1" t="str">
        <f t="shared" si="3"/>
        <v>Profit</v>
      </c>
    </row>
    <row r="6893" ht="14.25" customHeight="1">
      <c r="A6893" s="1" t="s">
        <v>6927</v>
      </c>
      <c r="B6893" s="2">
        <v>44768.0</v>
      </c>
      <c r="C6893" s="1" t="s">
        <v>30</v>
      </c>
      <c r="D6893" s="1" t="s">
        <v>15</v>
      </c>
      <c r="E6893" s="1" t="s">
        <v>31</v>
      </c>
      <c r="F6893" s="1">
        <v>976.83</v>
      </c>
      <c r="G6893" s="1">
        <v>1.07</v>
      </c>
      <c r="H6893" s="1">
        <v>10.0</v>
      </c>
      <c r="I6893" s="1" t="s">
        <v>23</v>
      </c>
      <c r="J6893" s="1" t="s">
        <v>35</v>
      </c>
      <c r="K6893" s="1">
        <f t="shared" si="1"/>
        <v>2022</v>
      </c>
      <c r="L6893" s="1" t="str">
        <f t="shared" si="2"/>
        <v>Jul</v>
      </c>
      <c r="M6893" s="1" t="str">
        <f t="shared" si="3"/>
        <v>Profit</v>
      </c>
    </row>
    <row r="6894" ht="14.25" customHeight="1">
      <c r="A6894" s="1" t="s">
        <v>6928</v>
      </c>
      <c r="B6894" s="2">
        <v>45226.0</v>
      </c>
      <c r="C6894" s="1" t="s">
        <v>20</v>
      </c>
      <c r="D6894" s="1" t="s">
        <v>21</v>
      </c>
      <c r="E6894" s="1" t="s">
        <v>22</v>
      </c>
      <c r="F6894" s="1">
        <v>872.6</v>
      </c>
      <c r="G6894" s="1">
        <v>198.7</v>
      </c>
      <c r="H6894" s="1">
        <v>6.0</v>
      </c>
      <c r="I6894" s="1" t="s">
        <v>34</v>
      </c>
      <c r="J6894" s="1" t="s">
        <v>38</v>
      </c>
      <c r="K6894" s="1">
        <f t="shared" si="1"/>
        <v>2023</v>
      </c>
      <c r="L6894" s="1" t="str">
        <f t="shared" si="2"/>
        <v>Oct</v>
      </c>
      <c r="M6894" s="1" t="str">
        <f t="shared" si="3"/>
        <v>Profit</v>
      </c>
    </row>
    <row r="6895" ht="14.25" customHeight="1">
      <c r="A6895" s="1" t="s">
        <v>6929</v>
      </c>
      <c r="B6895" s="2">
        <v>45212.0</v>
      </c>
      <c r="C6895" s="1" t="s">
        <v>26</v>
      </c>
      <c r="D6895" s="1" t="s">
        <v>27</v>
      </c>
      <c r="E6895" s="1" t="s">
        <v>33</v>
      </c>
      <c r="F6895" s="1">
        <v>597.6</v>
      </c>
      <c r="G6895" s="1">
        <v>-195.28</v>
      </c>
      <c r="H6895" s="1">
        <v>3.0</v>
      </c>
      <c r="I6895" s="1" t="s">
        <v>23</v>
      </c>
      <c r="J6895" s="1" t="s">
        <v>38</v>
      </c>
      <c r="K6895" s="1">
        <f t="shared" si="1"/>
        <v>2023</v>
      </c>
      <c r="L6895" s="1" t="str">
        <f t="shared" si="2"/>
        <v>Oct</v>
      </c>
      <c r="M6895" s="1" t="str">
        <f t="shared" si="3"/>
        <v>Loss</v>
      </c>
    </row>
    <row r="6896" ht="14.25" customHeight="1">
      <c r="A6896" s="1" t="s">
        <v>6930</v>
      </c>
      <c r="B6896" s="2">
        <v>44637.0</v>
      </c>
      <c r="C6896" s="1" t="s">
        <v>14</v>
      </c>
      <c r="D6896" s="1" t="s">
        <v>21</v>
      </c>
      <c r="E6896" s="1" t="s">
        <v>76</v>
      </c>
      <c r="F6896" s="1">
        <v>294.24</v>
      </c>
      <c r="G6896" s="1">
        <v>250.99</v>
      </c>
      <c r="H6896" s="1">
        <v>8.0</v>
      </c>
      <c r="I6896" s="1" t="s">
        <v>23</v>
      </c>
      <c r="J6896" s="1" t="s">
        <v>18</v>
      </c>
      <c r="K6896" s="1">
        <f t="shared" si="1"/>
        <v>2022</v>
      </c>
      <c r="L6896" s="1" t="str">
        <f t="shared" si="2"/>
        <v>Mar</v>
      </c>
      <c r="M6896" s="1" t="str">
        <f t="shared" si="3"/>
        <v>Profit</v>
      </c>
    </row>
    <row r="6897" ht="14.25" customHeight="1">
      <c r="A6897" s="1" t="s">
        <v>6931</v>
      </c>
      <c r="B6897" s="2">
        <v>44476.0</v>
      </c>
      <c r="C6897" s="1" t="s">
        <v>26</v>
      </c>
      <c r="D6897" s="1" t="s">
        <v>21</v>
      </c>
      <c r="E6897" s="1" t="s">
        <v>37</v>
      </c>
      <c r="F6897" s="1">
        <v>542.06</v>
      </c>
      <c r="G6897" s="1">
        <v>117.58</v>
      </c>
      <c r="H6897" s="1">
        <v>10.0</v>
      </c>
      <c r="I6897" s="1" t="s">
        <v>34</v>
      </c>
      <c r="J6897" s="1" t="s">
        <v>38</v>
      </c>
      <c r="K6897" s="1">
        <f t="shared" si="1"/>
        <v>2021</v>
      </c>
      <c r="L6897" s="1" t="str">
        <f t="shared" si="2"/>
        <v>Oct</v>
      </c>
      <c r="M6897" s="1" t="str">
        <f t="shared" si="3"/>
        <v>Profit</v>
      </c>
    </row>
    <row r="6898" ht="14.25" customHeight="1">
      <c r="A6898" s="1" t="s">
        <v>6932</v>
      </c>
      <c r="B6898" s="2">
        <v>44395.0</v>
      </c>
      <c r="C6898" s="1" t="s">
        <v>20</v>
      </c>
      <c r="D6898" s="1" t="s">
        <v>21</v>
      </c>
      <c r="E6898" s="1" t="s">
        <v>22</v>
      </c>
      <c r="F6898" s="1">
        <v>598.73</v>
      </c>
      <c r="G6898" s="1">
        <v>258.01</v>
      </c>
      <c r="H6898" s="1">
        <v>3.0</v>
      </c>
      <c r="I6898" s="1" t="s">
        <v>23</v>
      </c>
      <c r="J6898" s="1" t="s">
        <v>18</v>
      </c>
      <c r="K6898" s="1">
        <f t="shared" si="1"/>
        <v>2021</v>
      </c>
      <c r="L6898" s="1" t="str">
        <f t="shared" si="2"/>
        <v>Jul</v>
      </c>
      <c r="M6898" s="1" t="str">
        <f t="shared" si="3"/>
        <v>Profit</v>
      </c>
    </row>
    <row r="6899" ht="14.25" customHeight="1">
      <c r="A6899" s="1" t="s">
        <v>6933</v>
      </c>
      <c r="B6899" s="2">
        <v>44232.0</v>
      </c>
      <c r="C6899" s="1" t="s">
        <v>26</v>
      </c>
      <c r="D6899" s="1" t="s">
        <v>27</v>
      </c>
      <c r="E6899" s="1" t="s">
        <v>40</v>
      </c>
      <c r="F6899" s="1">
        <v>981.63</v>
      </c>
      <c r="G6899" s="1">
        <v>15.38</v>
      </c>
      <c r="H6899" s="1">
        <v>7.0</v>
      </c>
      <c r="I6899" s="1" t="s">
        <v>34</v>
      </c>
      <c r="J6899" s="1" t="s">
        <v>18</v>
      </c>
      <c r="K6899" s="1">
        <f t="shared" si="1"/>
        <v>2021</v>
      </c>
      <c r="L6899" s="1" t="str">
        <f t="shared" si="2"/>
        <v>Feb</v>
      </c>
      <c r="M6899" s="1" t="str">
        <f t="shared" si="3"/>
        <v>Profit</v>
      </c>
    </row>
    <row r="6900" ht="14.25" customHeight="1">
      <c r="A6900" s="1" t="s">
        <v>6934</v>
      </c>
      <c r="B6900" s="2">
        <v>44445.0</v>
      </c>
      <c r="C6900" s="1" t="s">
        <v>30</v>
      </c>
      <c r="D6900" s="1" t="s">
        <v>27</v>
      </c>
      <c r="E6900" s="1" t="s">
        <v>40</v>
      </c>
      <c r="F6900" s="1">
        <v>696.44</v>
      </c>
      <c r="G6900" s="1">
        <v>91.18</v>
      </c>
      <c r="H6900" s="1">
        <v>1.0</v>
      </c>
      <c r="I6900" s="1" t="s">
        <v>23</v>
      </c>
      <c r="J6900" s="1" t="s">
        <v>18</v>
      </c>
      <c r="K6900" s="1">
        <f t="shared" si="1"/>
        <v>2021</v>
      </c>
      <c r="L6900" s="1" t="str">
        <f t="shared" si="2"/>
        <v>Sep</v>
      </c>
      <c r="M6900" s="1" t="str">
        <f t="shared" si="3"/>
        <v>Profit</v>
      </c>
    </row>
    <row r="6901" ht="14.25" customHeight="1">
      <c r="A6901" s="1" t="s">
        <v>6935</v>
      </c>
      <c r="B6901" s="2">
        <v>44971.0</v>
      </c>
      <c r="C6901" s="1" t="s">
        <v>30</v>
      </c>
      <c r="D6901" s="1" t="s">
        <v>15</v>
      </c>
      <c r="E6901" s="1" t="s">
        <v>54</v>
      </c>
      <c r="F6901" s="1">
        <v>486.7</v>
      </c>
      <c r="G6901" s="1">
        <v>-187.5</v>
      </c>
      <c r="H6901" s="1">
        <v>8.0</v>
      </c>
      <c r="I6901" s="1" t="s">
        <v>34</v>
      </c>
      <c r="J6901" s="1" t="s">
        <v>35</v>
      </c>
      <c r="K6901" s="1">
        <f t="shared" si="1"/>
        <v>2023</v>
      </c>
      <c r="L6901" s="1" t="str">
        <f t="shared" si="2"/>
        <v>Feb</v>
      </c>
      <c r="M6901" s="1" t="str">
        <f t="shared" si="3"/>
        <v>Loss</v>
      </c>
    </row>
    <row r="6902" ht="14.25" customHeight="1">
      <c r="A6902" s="1" t="s">
        <v>6936</v>
      </c>
      <c r="B6902" s="2">
        <v>44522.0</v>
      </c>
      <c r="C6902" s="1" t="s">
        <v>26</v>
      </c>
      <c r="D6902" s="1" t="s">
        <v>21</v>
      </c>
      <c r="E6902" s="1" t="s">
        <v>76</v>
      </c>
      <c r="F6902" s="1">
        <v>909.27</v>
      </c>
      <c r="G6902" s="1">
        <v>64.6</v>
      </c>
      <c r="H6902" s="1">
        <v>10.0</v>
      </c>
      <c r="I6902" s="1" t="s">
        <v>17</v>
      </c>
      <c r="J6902" s="1" t="s">
        <v>35</v>
      </c>
      <c r="K6902" s="1">
        <f t="shared" si="1"/>
        <v>2021</v>
      </c>
      <c r="L6902" s="1" t="str">
        <f t="shared" si="2"/>
        <v>Nov</v>
      </c>
      <c r="M6902" s="1" t="str">
        <f t="shared" si="3"/>
        <v>Profit</v>
      </c>
    </row>
    <row r="6903" ht="14.25" customHeight="1">
      <c r="A6903" s="1" t="s">
        <v>6937</v>
      </c>
      <c r="B6903" s="2">
        <v>45203.0</v>
      </c>
      <c r="C6903" s="1" t="s">
        <v>26</v>
      </c>
      <c r="D6903" s="1" t="s">
        <v>27</v>
      </c>
      <c r="E6903" s="1" t="s">
        <v>33</v>
      </c>
      <c r="F6903" s="1">
        <v>506.07</v>
      </c>
      <c r="G6903" s="1">
        <v>-61.62</v>
      </c>
      <c r="H6903" s="1">
        <v>4.0</v>
      </c>
      <c r="I6903" s="1" t="s">
        <v>23</v>
      </c>
      <c r="J6903" s="1" t="s">
        <v>35</v>
      </c>
      <c r="K6903" s="1">
        <f t="shared" si="1"/>
        <v>2023</v>
      </c>
      <c r="L6903" s="1" t="str">
        <f t="shared" si="2"/>
        <v>Oct</v>
      </c>
      <c r="M6903" s="1" t="str">
        <f t="shared" si="3"/>
        <v>Loss</v>
      </c>
    </row>
    <row r="6904" ht="14.25" customHeight="1">
      <c r="A6904" s="1" t="s">
        <v>6938</v>
      </c>
      <c r="B6904" s="2">
        <v>44454.0</v>
      </c>
      <c r="C6904" s="1" t="s">
        <v>20</v>
      </c>
      <c r="D6904" s="1" t="s">
        <v>15</v>
      </c>
      <c r="E6904" s="1" t="s">
        <v>16</v>
      </c>
      <c r="F6904" s="1">
        <v>623.5</v>
      </c>
      <c r="G6904" s="1">
        <v>272.97</v>
      </c>
      <c r="H6904" s="1">
        <v>5.0</v>
      </c>
      <c r="I6904" s="1" t="s">
        <v>34</v>
      </c>
      <c r="J6904" s="1" t="s">
        <v>35</v>
      </c>
      <c r="K6904" s="1">
        <f t="shared" si="1"/>
        <v>2021</v>
      </c>
      <c r="L6904" s="1" t="str">
        <f t="shared" si="2"/>
        <v>Sep</v>
      </c>
      <c r="M6904" s="1" t="str">
        <f t="shared" si="3"/>
        <v>Profit</v>
      </c>
    </row>
    <row r="6905" ht="14.25" customHeight="1">
      <c r="A6905" s="1" t="s">
        <v>6939</v>
      </c>
      <c r="B6905" s="2">
        <v>44463.0</v>
      </c>
      <c r="C6905" s="1" t="s">
        <v>30</v>
      </c>
      <c r="D6905" s="1" t="s">
        <v>27</v>
      </c>
      <c r="E6905" s="1" t="s">
        <v>28</v>
      </c>
      <c r="F6905" s="1">
        <v>726.38</v>
      </c>
      <c r="G6905" s="1">
        <v>-26.09</v>
      </c>
      <c r="H6905" s="1">
        <v>2.0</v>
      </c>
      <c r="I6905" s="1" t="s">
        <v>17</v>
      </c>
      <c r="J6905" s="1" t="s">
        <v>18</v>
      </c>
      <c r="K6905" s="1">
        <f t="shared" si="1"/>
        <v>2021</v>
      </c>
      <c r="L6905" s="1" t="str">
        <f t="shared" si="2"/>
        <v>Sep</v>
      </c>
      <c r="M6905" s="1" t="str">
        <f t="shared" si="3"/>
        <v>Loss</v>
      </c>
    </row>
    <row r="6906" ht="14.25" customHeight="1">
      <c r="A6906" s="1" t="s">
        <v>6940</v>
      </c>
      <c r="B6906" s="2">
        <v>44290.0</v>
      </c>
      <c r="C6906" s="1" t="s">
        <v>26</v>
      </c>
      <c r="D6906" s="1" t="s">
        <v>27</v>
      </c>
      <c r="E6906" s="1" t="s">
        <v>40</v>
      </c>
      <c r="F6906" s="1">
        <v>984.1</v>
      </c>
      <c r="G6906" s="1">
        <v>55.79</v>
      </c>
      <c r="H6906" s="1">
        <v>1.0</v>
      </c>
      <c r="I6906" s="1" t="s">
        <v>23</v>
      </c>
      <c r="J6906" s="1" t="s">
        <v>18</v>
      </c>
      <c r="K6906" s="1">
        <f t="shared" si="1"/>
        <v>2021</v>
      </c>
      <c r="L6906" s="1" t="str">
        <f t="shared" si="2"/>
        <v>Apr</v>
      </c>
      <c r="M6906" s="1" t="str">
        <f t="shared" si="3"/>
        <v>Profit</v>
      </c>
    </row>
    <row r="6907" ht="14.25" customHeight="1">
      <c r="A6907" s="1" t="s">
        <v>6941</v>
      </c>
      <c r="B6907" s="2">
        <v>44726.0</v>
      </c>
      <c r="C6907" s="1" t="s">
        <v>26</v>
      </c>
      <c r="D6907" s="1" t="s">
        <v>21</v>
      </c>
      <c r="E6907" s="1" t="s">
        <v>22</v>
      </c>
      <c r="F6907" s="1">
        <v>242.35</v>
      </c>
      <c r="G6907" s="1">
        <v>8.38</v>
      </c>
      <c r="H6907" s="1">
        <v>8.0</v>
      </c>
      <c r="I6907" s="1" t="s">
        <v>34</v>
      </c>
      <c r="J6907" s="1" t="s">
        <v>38</v>
      </c>
      <c r="K6907" s="1">
        <f t="shared" si="1"/>
        <v>2022</v>
      </c>
      <c r="L6907" s="1" t="str">
        <f t="shared" si="2"/>
        <v>Jun</v>
      </c>
      <c r="M6907" s="1" t="str">
        <f t="shared" si="3"/>
        <v>Profit</v>
      </c>
    </row>
    <row r="6908" ht="14.25" customHeight="1">
      <c r="A6908" s="1" t="s">
        <v>6942</v>
      </c>
      <c r="B6908" s="2">
        <v>44750.0</v>
      </c>
      <c r="C6908" s="1" t="s">
        <v>30</v>
      </c>
      <c r="D6908" s="1" t="s">
        <v>15</v>
      </c>
      <c r="E6908" s="1" t="s">
        <v>16</v>
      </c>
      <c r="F6908" s="1">
        <v>988.59</v>
      </c>
      <c r="G6908" s="1">
        <v>-10.84</v>
      </c>
      <c r="H6908" s="1">
        <v>10.0</v>
      </c>
      <c r="I6908" s="1" t="s">
        <v>17</v>
      </c>
      <c r="J6908" s="1" t="s">
        <v>24</v>
      </c>
      <c r="K6908" s="1">
        <f t="shared" si="1"/>
        <v>2022</v>
      </c>
      <c r="L6908" s="1" t="str">
        <f t="shared" si="2"/>
        <v>Jul</v>
      </c>
      <c r="M6908" s="1" t="str">
        <f t="shared" si="3"/>
        <v>Loss</v>
      </c>
    </row>
    <row r="6909" ht="14.25" customHeight="1">
      <c r="A6909" s="1" t="s">
        <v>6943</v>
      </c>
      <c r="B6909" s="2">
        <v>44416.0</v>
      </c>
      <c r="C6909" s="1" t="s">
        <v>30</v>
      </c>
      <c r="D6909" s="1" t="s">
        <v>15</v>
      </c>
      <c r="E6909" s="1" t="s">
        <v>16</v>
      </c>
      <c r="F6909" s="1">
        <v>871.47</v>
      </c>
      <c r="G6909" s="1">
        <v>-127.09</v>
      </c>
      <c r="H6909" s="1">
        <v>6.0</v>
      </c>
      <c r="I6909" s="1" t="s">
        <v>17</v>
      </c>
      <c r="J6909" s="1" t="s">
        <v>24</v>
      </c>
      <c r="K6909" s="1">
        <f t="shared" si="1"/>
        <v>2021</v>
      </c>
      <c r="L6909" s="1" t="str">
        <f t="shared" si="2"/>
        <v>Aug</v>
      </c>
      <c r="M6909" s="1" t="str">
        <f t="shared" si="3"/>
        <v>Loss</v>
      </c>
    </row>
    <row r="6910" ht="14.25" customHeight="1">
      <c r="A6910" s="1" t="s">
        <v>6944</v>
      </c>
      <c r="B6910" s="2">
        <v>44913.0</v>
      </c>
      <c r="C6910" s="1" t="s">
        <v>14</v>
      </c>
      <c r="D6910" s="1" t="s">
        <v>27</v>
      </c>
      <c r="E6910" s="1" t="s">
        <v>28</v>
      </c>
      <c r="F6910" s="1">
        <v>242.48</v>
      </c>
      <c r="G6910" s="1">
        <v>204.34</v>
      </c>
      <c r="H6910" s="1">
        <v>3.0</v>
      </c>
      <c r="I6910" s="1" t="s">
        <v>34</v>
      </c>
      <c r="J6910" s="1" t="s">
        <v>18</v>
      </c>
      <c r="K6910" s="1">
        <f t="shared" si="1"/>
        <v>2022</v>
      </c>
      <c r="L6910" s="1" t="str">
        <f t="shared" si="2"/>
        <v>Dec</v>
      </c>
      <c r="M6910" s="1" t="str">
        <f t="shared" si="3"/>
        <v>Profit</v>
      </c>
    </row>
    <row r="6911" ht="14.25" customHeight="1">
      <c r="A6911" s="1" t="s">
        <v>6945</v>
      </c>
      <c r="B6911" s="2">
        <v>45043.0</v>
      </c>
      <c r="C6911" s="1" t="s">
        <v>30</v>
      </c>
      <c r="D6911" s="1" t="s">
        <v>21</v>
      </c>
      <c r="E6911" s="1" t="s">
        <v>37</v>
      </c>
      <c r="F6911" s="1">
        <v>231.52</v>
      </c>
      <c r="G6911" s="1">
        <v>-133.8</v>
      </c>
      <c r="H6911" s="1">
        <v>5.0</v>
      </c>
      <c r="I6911" s="1" t="s">
        <v>34</v>
      </c>
      <c r="J6911" s="1" t="s">
        <v>24</v>
      </c>
      <c r="K6911" s="1">
        <f t="shared" si="1"/>
        <v>2023</v>
      </c>
      <c r="L6911" s="1" t="str">
        <f t="shared" si="2"/>
        <v>Apr</v>
      </c>
      <c r="M6911" s="1" t="str">
        <f t="shared" si="3"/>
        <v>Loss</v>
      </c>
    </row>
    <row r="6912" ht="14.25" customHeight="1">
      <c r="A6912" s="1" t="s">
        <v>6946</v>
      </c>
      <c r="B6912" s="2">
        <v>45175.0</v>
      </c>
      <c r="C6912" s="1" t="s">
        <v>14</v>
      </c>
      <c r="D6912" s="1" t="s">
        <v>15</v>
      </c>
      <c r="E6912" s="1" t="s">
        <v>54</v>
      </c>
      <c r="F6912" s="1">
        <v>977.88</v>
      </c>
      <c r="G6912" s="1">
        <v>-128.28</v>
      </c>
      <c r="H6912" s="1">
        <v>5.0</v>
      </c>
      <c r="I6912" s="1" t="s">
        <v>34</v>
      </c>
      <c r="J6912" s="1" t="s">
        <v>38</v>
      </c>
      <c r="K6912" s="1">
        <f t="shared" si="1"/>
        <v>2023</v>
      </c>
      <c r="L6912" s="1" t="str">
        <f t="shared" si="2"/>
        <v>Sep</v>
      </c>
      <c r="M6912" s="1" t="str">
        <f t="shared" si="3"/>
        <v>Loss</v>
      </c>
    </row>
    <row r="6913" ht="14.25" customHeight="1">
      <c r="A6913" s="1" t="s">
        <v>6947</v>
      </c>
      <c r="B6913" s="2">
        <v>44527.0</v>
      </c>
      <c r="C6913" s="1" t="s">
        <v>20</v>
      </c>
      <c r="D6913" s="1" t="s">
        <v>15</v>
      </c>
      <c r="E6913" s="1" t="s">
        <v>54</v>
      </c>
      <c r="F6913" s="1">
        <v>854.06</v>
      </c>
      <c r="G6913" s="1">
        <v>-33.52</v>
      </c>
      <c r="H6913" s="1">
        <v>1.0</v>
      </c>
      <c r="I6913" s="1" t="s">
        <v>34</v>
      </c>
      <c r="J6913" s="1" t="s">
        <v>38</v>
      </c>
      <c r="K6913" s="1">
        <f t="shared" si="1"/>
        <v>2021</v>
      </c>
      <c r="L6913" s="1" t="str">
        <f t="shared" si="2"/>
        <v>Nov</v>
      </c>
      <c r="M6913" s="1" t="str">
        <f t="shared" si="3"/>
        <v>Loss</v>
      </c>
    </row>
    <row r="6914" ht="14.25" customHeight="1">
      <c r="A6914" s="1" t="s">
        <v>6948</v>
      </c>
      <c r="B6914" s="2">
        <v>45107.0</v>
      </c>
      <c r="C6914" s="1" t="s">
        <v>30</v>
      </c>
      <c r="D6914" s="1" t="s">
        <v>21</v>
      </c>
      <c r="E6914" s="1" t="s">
        <v>22</v>
      </c>
      <c r="F6914" s="1">
        <v>945.08</v>
      </c>
      <c r="G6914" s="1">
        <v>289.46</v>
      </c>
      <c r="H6914" s="1">
        <v>10.0</v>
      </c>
      <c r="I6914" s="1" t="s">
        <v>17</v>
      </c>
      <c r="J6914" s="1" t="s">
        <v>38</v>
      </c>
      <c r="K6914" s="1">
        <f t="shared" si="1"/>
        <v>2023</v>
      </c>
      <c r="L6914" s="1" t="str">
        <f t="shared" si="2"/>
        <v>Jun</v>
      </c>
      <c r="M6914" s="1" t="str">
        <f t="shared" si="3"/>
        <v>Profit</v>
      </c>
    </row>
    <row r="6915" ht="14.25" customHeight="1">
      <c r="A6915" s="1" t="s">
        <v>6949</v>
      </c>
      <c r="B6915" s="2">
        <v>44613.0</v>
      </c>
      <c r="C6915" s="1" t="s">
        <v>20</v>
      </c>
      <c r="D6915" s="1" t="s">
        <v>27</v>
      </c>
      <c r="E6915" s="1" t="s">
        <v>28</v>
      </c>
      <c r="F6915" s="1">
        <v>543.99</v>
      </c>
      <c r="G6915" s="1">
        <v>49.61</v>
      </c>
      <c r="H6915" s="1">
        <v>2.0</v>
      </c>
      <c r="I6915" s="1" t="s">
        <v>17</v>
      </c>
      <c r="J6915" s="1" t="s">
        <v>35</v>
      </c>
      <c r="K6915" s="1">
        <f t="shared" si="1"/>
        <v>2022</v>
      </c>
      <c r="L6915" s="1" t="str">
        <f t="shared" si="2"/>
        <v>Feb</v>
      </c>
      <c r="M6915" s="1" t="str">
        <f t="shared" si="3"/>
        <v>Profit</v>
      </c>
    </row>
    <row r="6916" ht="14.25" customHeight="1">
      <c r="A6916" s="1" t="s">
        <v>6950</v>
      </c>
      <c r="B6916" s="2">
        <v>44342.0</v>
      </c>
      <c r="C6916" s="1" t="s">
        <v>20</v>
      </c>
      <c r="D6916" s="1" t="s">
        <v>27</v>
      </c>
      <c r="E6916" s="1" t="s">
        <v>28</v>
      </c>
      <c r="F6916" s="1">
        <v>611.66</v>
      </c>
      <c r="G6916" s="1">
        <v>-64.81</v>
      </c>
      <c r="H6916" s="1">
        <v>3.0</v>
      </c>
      <c r="I6916" s="1" t="s">
        <v>34</v>
      </c>
      <c r="J6916" s="1" t="s">
        <v>38</v>
      </c>
      <c r="K6916" s="1">
        <f t="shared" si="1"/>
        <v>2021</v>
      </c>
      <c r="L6916" s="1" t="str">
        <f t="shared" si="2"/>
        <v>May</v>
      </c>
      <c r="M6916" s="1" t="str">
        <f t="shared" si="3"/>
        <v>Loss</v>
      </c>
    </row>
    <row r="6917" ht="14.25" customHeight="1">
      <c r="A6917" s="1" t="s">
        <v>6951</v>
      </c>
      <c r="B6917" s="2">
        <v>44237.0</v>
      </c>
      <c r="C6917" s="1" t="s">
        <v>14</v>
      </c>
      <c r="D6917" s="1" t="s">
        <v>27</v>
      </c>
      <c r="E6917" s="1" t="s">
        <v>28</v>
      </c>
      <c r="F6917" s="1">
        <v>251.97</v>
      </c>
      <c r="G6917" s="1">
        <v>228.12</v>
      </c>
      <c r="H6917" s="1">
        <v>9.0</v>
      </c>
      <c r="I6917" s="1" t="s">
        <v>23</v>
      </c>
      <c r="J6917" s="1" t="s">
        <v>24</v>
      </c>
      <c r="K6917" s="1">
        <f t="shared" si="1"/>
        <v>2021</v>
      </c>
      <c r="L6917" s="1" t="str">
        <f t="shared" si="2"/>
        <v>Feb</v>
      </c>
      <c r="M6917" s="1" t="str">
        <f t="shared" si="3"/>
        <v>Profit</v>
      </c>
    </row>
    <row r="6918" ht="14.25" customHeight="1">
      <c r="A6918" s="1" t="s">
        <v>6952</v>
      </c>
      <c r="B6918" s="2">
        <v>44779.0</v>
      </c>
      <c r="C6918" s="1" t="s">
        <v>14</v>
      </c>
      <c r="D6918" s="1" t="s">
        <v>15</v>
      </c>
      <c r="E6918" s="1" t="s">
        <v>54</v>
      </c>
      <c r="F6918" s="1">
        <v>635.74</v>
      </c>
      <c r="G6918" s="1">
        <v>275.18</v>
      </c>
      <c r="H6918" s="1">
        <v>5.0</v>
      </c>
      <c r="I6918" s="1" t="s">
        <v>34</v>
      </c>
      <c r="J6918" s="1" t="s">
        <v>24</v>
      </c>
      <c r="K6918" s="1">
        <f t="shared" si="1"/>
        <v>2022</v>
      </c>
      <c r="L6918" s="1" t="str">
        <f t="shared" si="2"/>
        <v>Aug</v>
      </c>
      <c r="M6918" s="1" t="str">
        <f t="shared" si="3"/>
        <v>Profit</v>
      </c>
    </row>
    <row r="6919" ht="14.25" customHeight="1">
      <c r="A6919" s="1" t="s">
        <v>6953</v>
      </c>
      <c r="B6919" s="2">
        <v>44543.0</v>
      </c>
      <c r="C6919" s="1" t="s">
        <v>14</v>
      </c>
      <c r="D6919" s="1" t="s">
        <v>21</v>
      </c>
      <c r="E6919" s="1" t="s">
        <v>76</v>
      </c>
      <c r="F6919" s="1">
        <v>36.15</v>
      </c>
      <c r="G6919" s="1">
        <v>131.84</v>
      </c>
      <c r="H6919" s="1">
        <v>10.0</v>
      </c>
      <c r="I6919" s="1" t="s">
        <v>34</v>
      </c>
      <c r="J6919" s="1" t="s">
        <v>35</v>
      </c>
      <c r="K6919" s="1">
        <f t="shared" si="1"/>
        <v>2021</v>
      </c>
      <c r="L6919" s="1" t="str">
        <f t="shared" si="2"/>
        <v>Dec</v>
      </c>
      <c r="M6919" s="1" t="str">
        <f t="shared" si="3"/>
        <v>Profit</v>
      </c>
    </row>
    <row r="6920" ht="14.25" customHeight="1">
      <c r="A6920" s="1" t="s">
        <v>6954</v>
      </c>
      <c r="B6920" s="2">
        <v>44238.0</v>
      </c>
      <c r="C6920" s="1" t="s">
        <v>30</v>
      </c>
      <c r="D6920" s="1" t="s">
        <v>21</v>
      </c>
      <c r="E6920" s="1" t="s">
        <v>22</v>
      </c>
      <c r="F6920" s="1">
        <v>947.05</v>
      </c>
      <c r="G6920" s="1">
        <v>108.01</v>
      </c>
      <c r="H6920" s="1">
        <v>1.0</v>
      </c>
      <c r="I6920" s="1" t="s">
        <v>23</v>
      </c>
      <c r="J6920" s="1" t="s">
        <v>18</v>
      </c>
      <c r="K6920" s="1">
        <f t="shared" si="1"/>
        <v>2021</v>
      </c>
      <c r="L6920" s="1" t="str">
        <f t="shared" si="2"/>
        <v>Feb</v>
      </c>
      <c r="M6920" s="1" t="str">
        <f t="shared" si="3"/>
        <v>Profit</v>
      </c>
    </row>
    <row r="6921" ht="14.25" customHeight="1">
      <c r="A6921" s="1" t="s">
        <v>6955</v>
      </c>
      <c r="B6921" s="2">
        <v>44451.0</v>
      </c>
      <c r="C6921" s="1" t="s">
        <v>30</v>
      </c>
      <c r="D6921" s="1" t="s">
        <v>21</v>
      </c>
      <c r="E6921" s="1" t="s">
        <v>37</v>
      </c>
      <c r="F6921" s="1">
        <v>131.18</v>
      </c>
      <c r="G6921" s="1">
        <v>8.91</v>
      </c>
      <c r="H6921" s="1">
        <v>2.0</v>
      </c>
      <c r="I6921" s="1" t="s">
        <v>34</v>
      </c>
      <c r="J6921" s="1" t="s">
        <v>38</v>
      </c>
      <c r="K6921" s="1">
        <f t="shared" si="1"/>
        <v>2021</v>
      </c>
      <c r="L6921" s="1" t="str">
        <f t="shared" si="2"/>
        <v>Sep</v>
      </c>
      <c r="M6921" s="1" t="str">
        <f t="shared" si="3"/>
        <v>Profit</v>
      </c>
    </row>
    <row r="6922" ht="14.25" customHeight="1">
      <c r="A6922" s="1" t="s">
        <v>6956</v>
      </c>
      <c r="B6922" s="2">
        <v>44247.0</v>
      </c>
      <c r="C6922" s="1" t="s">
        <v>26</v>
      </c>
      <c r="D6922" s="1" t="s">
        <v>21</v>
      </c>
      <c r="E6922" s="1" t="s">
        <v>22</v>
      </c>
      <c r="F6922" s="1">
        <v>462.1</v>
      </c>
      <c r="G6922" s="1">
        <v>-181.32</v>
      </c>
      <c r="H6922" s="1">
        <v>1.0</v>
      </c>
      <c r="I6922" s="1" t="s">
        <v>23</v>
      </c>
      <c r="J6922" s="1" t="s">
        <v>38</v>
      </c>
      <c r="K6922" s="1">
        <f t="shared" si="1"/>
        <v>2021</v>
      </c>
      <c r="L6922" s="1" t="str">
        <f t="shared" si="2"/>
        <v>Feb</v>
      </c>
      <c r="M6922" s="1" t="str">
        <f t="shared" si="3"/>
        <v>Loss</v>
      </c>
    </row>
    <row r="6923" ht="14.25" customHeight="1">
      <c r="A6923" s="1" t="s">
        <v>6957</v>
      </c>
      <c r="B6923" s="2">
        <v>44682.0</v>
      </c>
      <c r="C6923" s="1" t="s">
        <v>30</v>
      </c>
      <c r="D6923" s="1" t="s">
        <v>21</v>
      </c>
      <c r="E6923" s="1" t="s">
        <v>37</v>
      </c>
      <c r="F6923" s="1">
        <v>551.53</v>
      </c>
      <c r="G6923" s="1">
        <v>-158.09</v>
      </c>
      <c r="H6923" s="1">
        <v>6.0</v>
      </c>
      <c r="I6923" s="1" t="s">
        <v>23</v>
      </c>
      <c r="J6923" s="1" t="s">
        <v>35</v>
      </c>
      <c r="K6923" s="1">
        <f t="shared" si="1"/>
        <v>2022</v>
      </c>
      <c r="L6923" s="1" t="str">
        <f t="shared" si="2"/>
        <v>May</v>
      </c>
      <c r="M6923" s="1" t="str">
        <f t="shared" si="3"/>
        <v>Loss</v>
      </c>
    </row>
    <row r="6924" ht="14.25" customHeight="1">
      <c r="A6924" s="1" t="s">
        <v>6958</v>
      </c>
      <c r="B6924" s="2">
        <v>44369.0</v>
      </c>
      <c r="C6924" s="1" t="s">
        <v>26</v>
      </c>
      <c r="D6924" s="1" t="s">
        <v>21</v>
      </c>
      <c r="E6924" s="1" t="s">
        <v>22</v>
      </c>
      <c r="F6924" s="1">
        <v>812.26</v>
      </c>
      <c r="G6924" s="1">
        <v>-54.69</v>
      </c>
      <c r="H6924" s="1">
        <v>7.0</v>
      </c>
      <c r="I6924" s="1" t="s">
        <v>23</v>
      </c>
      <c r="J6924" s="1" t="s">
        <v>38</v>
      </c>
      <c r="K6924" s="1">
        <f t="shared" si="1"/>
        <v>2021</v>
      </c>
      <c r="L6924" s="1" t="str">
        <f t="shared" si="2"/>
        <v>Jun</v>
      </c>
      <c r="M6924" s="1" t="str">
        <f t="shared" si="3"/>
        <v>Loss</v>
      </c>
    </row>
    <row r="6925" ht="14.25" customHeight="1">
      <c r="A6925" s="1" t="s">
        <v>6959</v>
      </c>
      <c r="B6925" s="2">
        <v>44216.0</v>
      </c>
      <c r="C6925" s="1" t="s">
        <v>30</v>
      </c>
      <c r="D6925" s="1" t="s">
        <v>21</v>
      </c>
      <c r="E6925" s="1" t="s">
        <v>22</v>
      </c>
      <c r="F6925" s="1">
        <v>840.96</v>
      </c>
      <c r="G6925" s="1">
        <v>-31.04</v>
      </c>
      <c r="H6925" s="1">
        <v>2.0</v>
      </c>
      <c r="I6925" s="1" t="s">
        <v>34</v>
      </c>
      <c r="J6925" s="1" t="s">
        <v>35</v>
      </c>
      <c r="K6925" s="1">
        <f t="shared" si="1"/>
        <v>2021</v>
      </c>
      <c r="L6925" s="1" t="str">
        <f t="shared" si="2"/>
        <v>Jan</v>
      </c>
      <c r="M6925" s="1" t="str">
        <f t="shared" si="3"/>
        <v>Loss</v>
      </c>
    </row>
    <row r="6926" ht="14.25" customHeight="1">
      <c r="A6926" s="1" t="s">
        <v>6960</v>
      </c>
      <c r="B6926" s="2">
        <v>45074.0</v>
      </c>
      <c r="C6926" s="1" t="s">
        <v>20</v>
      </c>
      <c r="D6926" s="1" t="s">
        <v>15</v>
      </c>
      <c r="E6926" s="1" t="s">
        <v>54</v>
      </c>
      <c r="F6926" s="1">
        <v>170.58</v>
      </c>
      <c r="G6926" s="1">
        <v>-25.61</v>
      </c>
      <c r="H6926" s="1">
        <v>6.0</v>
      </c>
      <c r="I6926" s="1" t="s">
        <v>17</v>
      </c>
      <c r="J6926" s="1" t="s">
        <v>18</v>
      </c>
      <c r="K6926" s="1">
        <f t="shared" si="1"/>
        <v>2023</v>
      </c>
      <c r="L6926" s="1" t="str">
        <f t="shared" si="2"/>
        <v>May</v>
      </c>
      <c r="M6926" s="1" t="str">
        <f t="shared" si="3"/>
        <v>Loss</v>
      </c>
    </row>
    <row r="6927" ht="14.25" customHeight="1">
      <c r="A6927" s="1" t="s">
        <v>6961</v>
      </c>
      <c r="B6927" s="2">
        <v>44713.0</v>
      </c>
      <c r="C6927" s="1" t="s">
        <v>30</v>
      </c>
      <c r="D6927" s="1" t="s">
        <v>21</v>
      </c>
      <c r="E6927" s="1" t="s">
        <v>37</v>
      </c>
      <c r="F6927" s="1">
        <v>514.75</v>
      </c>
      <c r="G6927" s="1">
        <v>234.71</v>
      </c>
      <c r="H6927" s="1">
        <v>7.0</v>
      </c>
      <c r="I6927" s="1" t="s">
        <v>23</v>
      </c>
      <c r="J6927" s="1" t="s">
        <v>38</v>
      </c>
      <c r="K6927" s="1">
        <f t="shared" si="1"/>
        <v>2022</v>
      </c>
      <c r="L6927" s="1" t="str">
        <f t="shared" si="2"/>
        <v>Jun</v>
      </c>
      <c r="M6927" s="1" t="str">
        <f t="shared" si="3"/>
        <v>Profit</v>
      </c>
    </row>
    <row r="6928" ht="14.25" customHeight="1">
      <c r="A6928" s="1" t="s">
        <v>6962</v>
      </c>
      <c r="B6928" s="2">
        <v>44690.0</v>
      </c>
      <c r="C6928" s="1" t="s">
        <v>26</v>
      </c>
      <c r="D6928" s="1" t="s">
        <v>15</v>
      </c>
      <c r="E6928" s="1" t="s">
        <v>54</v>
      </c>
      <c r="F6928" s="1">
        <v>648.15</v>
      </c>
      <c r="G6928" s="1">
        <v>-7.42</v>
      </c>
      <c r="H6928" s="1">
        <v>1.0</v>
      </c>
      <c r="I6928" s="1" t="s">
        <v>17</v>
      </c>
      <c r="J6928" s="1" t="s">
        <v>38</v>
      </c>
      <c r="K6928" s="1">
        <f t="shared" si="1"/>
        <v>2022</v>
      </c>
      <c r="L6928" s="1" t="str">
        <f t="shared" si="2"/>
        <v>May</v>
      </c>
      <c r="M6928" s="1" t="str">
        <f t="shared" si="3"/>
        <v>Loss</v>
      </c>
    </row>
    <row r="6929" ht="14.25" customHeight="1">
      <c r="A6929" s="1" t="s">
        <v>6963</v>
      </c>
      <c r="B6929" s="2">
        <v>44435.0</v>
      </c>
      <c r="C6929" s="1" t="s">
        <v>20</v>
      </c>
      <c r="D6929" s="1" t="s">
        <v>27</v>
      </c>
      <c r="E6929" s="1" t="s">
        <v>33</v>
      </c>
      <c r="F6929" s="1">
        <v>565.86</v>
      </c>
      <c r="G6929" s="1">
        <v>279.5</v>
      </c>
      <c r="H6929" s="1">
        <v>5.0</v>
      </c>
      <c r="I6929" s="1" t="s">
        <v>34</v>
      </c>
      <c r="J6929" s="1" t="s">
        <v>35</v>
      </c>
      <c r="K6929" s="1">
        <f t="shared" si="1"/>
        <v>2021</v>
      </c>
      <c r="L6929" s="1" t="str">
        <f t="shared" si="2"/>
        <v>Aug</v>
      </c>
      <c r="M6929" s="1" t="str">
        <f t="shared" si="3"/>
        <v>Profit</v>
      </c>
    </row>
    <row r="6930" ht="14.25" customHeight="1">
      <c r="A6930" s="1" t="s">
        <v>6964</v>
      </c>
      <c r="B6930" s="2">
        <v>45291.0</v>
      </c>
      <c r="C6930" s="1" t="s">
        <v>20</v>
      </c>
      <c r="D6930" s="1" t="s">
        <v>15</v>
      </c>
      <c r="E6930" s="1" t="s">
        <v>16</v>
      </c>
      <c r="F6930" s="1">
        <v>562.47</v>
      </c>
      <c r="G6930" s="1">
        <v>212.28</v>
      </c>
      <c r="H6930" s="1">
        <v>5.0</v>
      </c>
      <c r="I6930" s="1" t="s">
        <v>34</v>
      </c>
      <c r="J6930" s="1" t="s">
        <v>24</v>
      </c>
      <c r="K6930" s="1">
        <f t="shared" si="1"/>
        <v>2023</v>
      </c>
      <c r="L6930" s="1" t="str">
        <f t="shared" si="2"/>
        <v>Dec</v>
      </c>
      <c r="M6930" s="1" t="str">
        <f t="shared" si="3"/>
        <v>Profit</v>
      </c>
    </row>
    <row r="6931" ht="14.25" customHeight="1">
      <c r="A6931" s="1" t="s">
        <v>6965</v>
      </c>
      <c r="B6931" s="2">
        <v>45222.0</v>
      </c>
      <c r="C6931" s="1" t="s">
        <v>26</v>
      </c>
      <c r="D6931" s="1" t="s">
        <v>15</v>
      </c>
      <c r="E6931" s="1" t="s">
        <v>16</v>
      </c>
      <c r="F6931" s="1">
        <v>724.43</v>
      </c>
      <c r="G6931" s="1">
        <v>102.3</v>
      </c>
      <c r="H6931" s="1">
        <v>5.0</v>
      </c>
      <c r="I6931" s="1" t="s">
        <v>34</v>
      </c>
      <c r="J6931" s="1" t="s">
        <v>35</v>
      </c>
      <c r="K6931" s="1">
        <f t="shared" si="1"/>
        <v>2023</v>
      </c>
      <c r="L6931" s="1" t="str">
        <f t="shared" si="2"/>
        <v>Oct</v>
      </c>
      <c r="M6931" s="1" t="str">
        <f t="shared" si="3"/>
        <v>Profit</v>
      </c>
    </row>
    <row r="6932" ht="14.25" customHeight="1">
      <c r="A6932" s="1" t="s">
        <v>6966</v>
      </c>
      <c r="B6932" s="2">
        <v>45194.0</v>
      </c>
      <c r="C6932" s="1" t="s">
        <v>14</v>
      </c>
      <c r="D6932" s="1" t="s">
        <v>27</v>
      </c>
      <c r="E6932" s="1" t="s">
        <v>40</v>
      </c>
      <c r="F6932" s="1">
        <v>131.97</v>
      </c>
      <c r="G6932" s="1">
        <v>238.57</v>
      </c>
      <c r="H6932" s="1">
        <v>10.0</v>
      </c>
      <c r="I6932" s="1" t="s">
        <v>17</v>
      </c>
      <c r="J6932" s="1" t="s">
        <v>35</v>
      </c>
      <c r="K6932" s="1">
        <f t="shared" si="1"/>
        <v>2023</v>
      </c>
      <c r="L6932" s="1" t="str">
        <f t="shared" si="2"/>
        <v>Sep</v>
      </c>
      <c r="M6932" s="1" t="str">
        <f t="shared" si="3"/>
        <v>Profit</v>
      </c>
    </row>
    <row r="6933" ht="14.25" customHeight="1">
      <c r="A6933" s="1" t="s">
        <v>6967</v>
      </c>
      <c r="B6933" s="2">
        <v>44659.0</v>
      </c>
      <c r="C6933" s="1" t="s">
        <v>30</v>
      </c>
      <c r="D6933" s="1" t="s">
        <v>21</v>
      </c>
      <c r="E6933" s="1" t="s">
        <v>22</v>
      </c>
      <c r="F6933" s="1">
        <v>900.65</v>
      </c>
      <c r="G6933" s="1">
        <v>-28.92</v>
      </c>
      <c r="H6933" s="1">
        <v>6.0</v>
      </c>
      <c r="I6933" s="1" t="s">
        <v>34</v>
      </c>
      <c r="J6933" s="1" t="s">
        <v>35</v>
      </c>
      <c r="K6933" s="1">
        <f t="shared" si="1"/>
        <v>2022</v>
      </c>
      <c r="L6933" s="1" t="str">
        <f t="shared" si="2"/>
        <v>Apr</v>
      </c>
      <c r="M6933" s="1" t="str">
        <f t="shared" si="3"/>
        <v>Loss</v>
      </c>
    </row>
    <row r="6934" ht="14.25" customHeight="1">
      <c r="A6934" s="1" t="s">
        <v>6968</v>
      </c>
      <c r="B6934" s="2">
        <v>44274.0</v>
      </c>
      <c r="C6934" s="1" t="s">
        <v>30</v>
      </c>
      <c r="D6934" s="1" t="s">
        <v>15</v>
      </c>
      <c r="E6934" s="1" t="s">
        <v>54</v>
      </c>
      <c r="F6934" s="1">
        <v>244.27</v>
      </c>
      <c r="G6934" s="1">
        <v>243.29</v>
      </c>
      <c r="H6934" s="1">
        <v>5.0</v>
      </c>
      <c r="I6934" s="1" t="s">
        <v>34</v>
      </c>
      <c r="J6934" s="1" t="s">
        <v>18</v>
      </c>
      <c r="K6934" s="1">
        <f t="shared" si="1"/>
        <v>2021</v>
      </c>
      <c r="L6934" s="1" t="str">
        <f t="shared" si="2"/>
        <v>Mar</v>
      </c>
      <c r="M6934" s="1" t="str">
        <f t="shared" si="3"/>
        <v>Profit</v>
      </c>
    </row>
    <row r="6935" ht="14.25" customHeight="1">
      <c r="A6935" s="1" t="s">
        <v>6969</v>
      </c>
      <c r="B6935" s="2">
        <v>44765.0</v>
      </c>
      <c r="C6935" s="1" t="s">
        <v>20</v>
      </c>
      <c r="D6935" s="1" t="s">
        <v>21</v>
      </c>
      <c r="E6935" s="1" t="s">
        <v>22</v>
      </c>
      <c r="F6935" s="1">
        <v>957.24</v>
      </c>
      <c r="G6935" s="1">
        <v>257.34</v>
      </c>
      <c r="H6935" s="1">
        <v>10.0</v>
      </c>
      <c r="I6935" s="1" t="s">
        <v>34</v>
      </c>
      <c r="J6935" s="1" t="s">
        <v>35</v>
      </c>
      <c r="K6935" s="1">
        <f t="shared" si="1"/>
        <v>2022</v>
      </c>
      <c r="L6935" s="1" t="str">
        <f t="shared" si="2"/>
        <v>Jul</v>
      </c>
      <c r="M6935" s="1" t="str">
        <f t="shared" si="3"/>
        <v>Profit</v>
      </c>
    </row>
    <row r="6936" ht="14.25" customHeight="1">
      <c r="A6936" s="1" t="s">
        <v>6970</v>
      </c>
      <c r="B6936" s="2">
        <v>45051.0</v>
      </c>
      <c r="C6936" s="1" t="s">
        <v>26</v>
      </c>
      <c r="D6936" s="1" t="s">
        <v>15</v>
      </c>
      <c r="E6936" s="1" t="s">
        <v>31</v>
      </c>
      <c r="F6936" s="1">
        <v>754.46</v>
      </c>
      <c r="G6936" s="1">
        <v>277.26</v>
      </c>
      <c r="H6936" s="1">
        <v>2.0</v>
      </c>
      <c r="I6936" s="1" t="s">
        <v>17</v>
      </c>
      <c r="J6936" s="1" t="s">
        <v>35</v>
      </c>
      <c r="K6936" s="1">
        <f t="shared" si="1"/>
        <v>2023</v>
      </c>
      <c r="L6936" s="1" t="str">
        <f t="shared" si="2"/>
        <v>May</v>
      </c>
      <c r="M6936" s="1" t="str">
        <f t="shared" si="3"/>
        <v>Profit</v>
      </c>
    </row>
    <row r="6937" ht="14.25" customHeight="1">
      <c r="A6937" s="1" t="s">
        <v>6971</v>
      </c>
      <c r="B6937" s="2">
        <v>45163.0</v>
      </c>
      <c r="C6937" s="1" t="s">
        <v>30</v>
      </c>
      <c r="D6937" s="1" t="s">
        <v>27</v>
      </c>
      <c r="E6937" s="1" t="s">
        <v>28</v>
      </c>
      <c r="F6937" s="1">
        <v>79.81</v>
      </c>
      <c r="G6937" s="1">
        <v>-85.07</v>
      </c>
      <c r="H6937" s="1">
        <v>4.0</v>
      </c>
      <c r="I6937" s="1" t="s">
        <v>34</v>
      </c>
      <c r="J6937" s="1" t="s">
        <v>18</v>
      </c>
      <c r="K6937" s="1">
        <f t="shared" si="1"/>
        <v>2023</v>
      </c>
      <c r="L6937" s="1" t="str">
        <f t="shared" si="2"/>
        <v>Aug</v>
      </c>
      <c r="M6937" s="1" t="str">
        <f t="shared" si="3"/>
        <v>Loss</v>
      </c>
    </row>
    <row r="6938" ht="14.25" customHeight="1">
      <c r="A6938" s="1" t="s">
        <v>6972</v>
      </c>
      <c r="B6938" s="2">
        <v>45087.0</v>
      </c>
      <c r="C6938" s="1" t="s">
        <v>26</v>
      </c>
      <c r="D6938" s="1" t="s">
        <v>21</v>
      </c>
      <c r="E6938" s="1" t="s">
        <v>76</v>
      </c>
      <c r="F6938" s="1">
        <v>712.93</v>
      </c>
      <c r="G6938" s="1">
        <v>135.4</v>
      </c>
      <c r="H6938" s="1">
        <v>1.0</v>
      </c>
      <c r="I6938" s="1" t="s">
        <v>17</v>
      </c>
      <c r="J6938" s="1" t="s">
        <v>35</v>
      </c>
      <c r="K6938" s="1">
        <f t="shared" si="1"/>
        <v>2023</v>
      </c>
      <c r="L6938" s="1" t="str">
        <f t="shared" si="2"/>
        <v>Jun</v>
      </c>
      <c r="M6938" s="1" t="str">
        <f t="shared" si="3"/>
        <v>Profit</v>
      </c>
    </row>
    <row r="6939" ht="14.25" customHeight="1">
      <c r="A6939" s="1" t="s">
        <v>6973</v>
      </c>
      <c r="B6939" s="2">
        <v>44983.0</v>
      </c>
      <c r="C6939" s="1" t="s">
        <v>30</v>
      </c>
      <c r="D6939" s="1" t="s">
        <v>21</v>
      </c>
      <c r="E6939" s="1" t="s">
        <v>22</v>
      </c>
      <c r="F6939" s="1">
        <v>113.73</v>
      </c>
      <c r="G6939" s="1">
        <v>83.39</v>
      </c>
      <c r="H6939" s="1">
        <v>9.0</v>
      </c>
      <c r="I6939" s="1" t="s">
        <v>23</v>
      </c>
      <c r="J6939" s="1" t="s">
        <v>24</v>
      </c>
      <c r="K6939" s="1">
        <f t="shared" si="1"/>
        <v>2023</v>
      </c>
      <c r="L6939" s="1" t="str">
        <f t="shared" si="2"/>
        <v>Feb</v>
      </c>
      <c r="M6939" s="1" t="str">
        <f t="shared" si="3"/>
        <v>Profit</v>
      </c>
    </row>
    <row r="6940" ht="14.25" customHeight="1">
      <c r="A6940" s="1" t="s">
        <v>6974</v>
      </c>
      <c r="B6940" s="2">
        <v>44589.0</v>
      </c>
      <c r="C6940" s="1" t="s">
        <v>26</v>
      </c>
      <c r="D6940" s="1" t="s">
        <v>21</v>
      </c>
      <c r="E6940" s="1" t="s">
        <v>22</v>
      </c>
      <c r="F6940" s="1">
        <v>389.89</v>
      </c>
      <c r="G6940" s="1">
        <v>191.61</v>
      </c>
      <c r="H6940" s="1">
        <v>7.0</v>
      </c>
      <c r="I6940" s="1" t="s">
        <v>23</v>
      </c>
      <c r="J6940" s="1" t="s">
        <v>38</v>
      </c>
      <c r="K6940" s="1">
        <f t="shared" si="1"/>
        <v>2022</v>
      </c>
      <c r="L6940" s="1" t="str">
        <f t="shared" si="2"/>
        <v>Jan</v>
      </c>
      <c r="M6940" s="1" t="str">
        <f t="shared" si="3"/>
        <v>Profit</v>
      </c>
    </row>
    <row r="6941" ht="14.25" customHeight="1">
      <c r="A6941" s="1" t="s">
        <v>6975</v>
      </c>
      <c r="B6941" s="2">
        <v>44668.0</v>
      </c>
      <c r="C6941" s="1" t="s">
        <v>26</v>
      </c>
      <c r="D6941" s="1" t="s">
        <v>15</v>
      </c>
      <c r="E6941" s="1" t="s">
        <v>31</v>
      </c>
      <c r="F6941" s="1">
        <v>855.46</v>
      </c>
      <c r="G6941" s="1">
        <v>279.21</v>
      </c>
      <c r="H6941" s="1">
        <v>10.0</v>
      </c>
      <c r="I6941" s="1" t="s">
        <v>34</v>
      </c>
      <c r="J6941" s="1" t="s">
        <v>18</v>
      </c>
      <c r="K6941" s="1">
        <f t="shared" si="1"/>
        <v>2022</v>
      </c>
      <c r="L6941" s="1" t="str">
        <f t="shared" si="2"/>
        <v>Apr</v>
      </c>
      <c r="M6941" s="1" t="str">
        <f t="shared" si="3"/>
        <v>Profit</v>
      </c>
    </row>
    <row r="6942" ht="14.25" customHeight="1">
      <c r="A6942" s="1" t="s">
        <v>6976</v>
      </c>
      <c r="B6942" s="2">
        <v>44551.0</v>
      </c>
      <c r="C6942" s="1" t="s">
        <v>14</v>
      </c>
      <c r="D6942" s="1" t="s">
        <v>15</v>
      </c>
      <c r="E6942" s="1" t="s">
        <v>16</v>
      </c>
      <c r="F6942" s="1">
        <v>492.96</v>
      </c>
      <c r="G6942" s="1">
        <v>119.96</v>
      </c>
      <c r="H6942" s="1">
        <v>3.0</v>
      </c>
      <c r="I6942" s="1" t="s">
        <v>17</v>
      </c>
      <c r="J6942" s="1" t="s">
        <v>35</v>
      </c>
      <c r="K6942" s="1">
        <f t="shared" si="1"/>
        <v>2021</v>
      </c>
      <c r="L6942" s="1" t="str">
        <f t="shared" si="2"/>
        <v>Dec</v>
      </c>
      <c r="M6942" s="1" t="str">
        <f t="shared" si="3"/>
        <v>Profit</v>
      </c>
    </row>
    <row r="6943" ht="14.25" customHeight="1">
      <c r="A6943" s="1" t="s">
        <v>6977</v>
      </c>
      <c r="B6943" s="2">
        <v>45020.0</v>
      </c>
      <c r="C6943" s="1" t="s">
        <v>20</v>
      </c>
      <c r="D6943" s="1" t="s">
        <v>21</v>
      </c>
      <c r="E6943" s="1" t="s">
        <v>37</v>
      </c>
      <c r="F6943" s="1">
        <v>583.22</v>
      </c>
      <c r="G6943" s="1">
        <v>231.79</v>
      </c>
      <c r="H6943" s="1">
        <v>9.0</v>
      </c>
      <c r="I6943" s="1" t="s">
        <v>23</v>
      </c>
      <c r="J6943" s="1" t="s">
        <v>35</v>
      </c>
      <c r="K6943" s="1">
        <f t="shared" si="1"/>
        <v>2023</v>
      </c>
      <c r="L6943" s="1" t="str">
        <f t="shared" si="2"/>
        <v>Apr</v>
      </c>
      <c r="M6943" s="1" t="str">
        <f t="shared" si="3"/>
        <v>Profit</v>
      </c>
    </row>
    <row r="6944" ht="14.25" customHeight="1">
      <c r="A6944" s="1" t="s">
        <v>6978</v>
      </c>
      <c r="B6944" s="2">
        <v>45218.0</v>
      </c>
      <c r="C6944" s="1" t="s">
        <v>14</v>
      </c>
      <c r="D6944" s="1" t="s">
        <v>21</v>
      </c>
      <c r="E6944" s="1" t="s">
        <v>76</v>
      </c>
      <c r="F6944" s="1">
        <v>315.77</v>
      </c>
      <c r="G6944" s="1">
        <v>-74.51</v>
      </c>
      <c r="H6944" s="1">
        <v>6.0</v>
      </c>
      <c r="I6944" s="1" t="s">
        <v>23</v>
      </c>
      <c r="J6944" s="1" t="s">
        <v>38</v>
      </c>
      <c r="K6944" s="1">
        <f t="shared" si="1"/>
        <v>2023</v>
      </c>
      <c r="L6944" s="1" t="str">
        <f t="shared" si="2"/>
        <v>Oct</v>
      </c>
      <c r="M6944" s="1" t="str">
        <f t="shared" si="3"/>
        <v>Loss</v>
      </c>
    </row>
    <row r="6945" ht="14.25" customHeight="1">
      <c r="A6945" s="1" t="s">
        <v>6979</v>
      </c>
      <c r="B6945" s="2">
        <v>45212.0</v>
      </c>
      <c r="C6945" s="1" t="s">
        <v>14</v>
      </c>
      <c r="D6945" s="1" t="s">
        <v>27</v>
      </c>
      <c r="E6945" s="1" t="s">
        <v>28</v>
      </c>
      <c r="F6945" s="1">
        <v>976.3</v>
      </c>
      <c r="G6945" s="1">
        <v>98.3</v>
      </c>
      <c r="H6945" s="1">
        <v>3.0</v>
      </c>
      <c r="I6945" s="1" t="s">
        <v>17</v>
      </c>
      <c r="J6945" s="1" t="s">
        <v>18</v>
      </c>
      <c r="K6945" s="1">
        <f t="shared" si="1"/>
        <v>2023</v>
      </c>
      <c r="L6945" s="1" t="str">
        <f t="shared" si="2"/>
        <v>Oct</v>
      </c>
      <c r="M6945" s="1" t="str">
        <f t="shared" si="3"/>
        <v>Profit</v>
      </c>
    </row>
    <row r="6946" ht="14.25" customHeight="1">
      <c r="A6946" s="1" t="s">
        <v>6980</v>
      </c>
      <c r="B6946" s="2">
        <v>44830.0</v>
      </c>
      <c r="C6946" s="1" t="s">
        <v>14</v>
      </c>
      <c r="D6946" s="1" t="s">
        <v>21</v>
      </c>
      <c r="E6946" s="1" t="s">
        <v>22</v>
      </c>
      <c r="F6946" s="1">
        <v>540.32</v>
      </c>
      <c r="G6946" s="1">
        <v>49.49</v>
      </c>
      <c r="H6946" s="1">
        <v>9.0</v>
      </c>
      <c r="I6946" s="1" t="s">
        <v>34</v>
      </c>
      <c r="J6946" s="1" t="s">
        <v>24</v>
      </c>
      <c r="K6946" s="1">
        <f t="shared" si="1"/>
        <v>2022</v>
      </c>
      <c r="L6946" s="1" t="str">
        <f t="shared" si="2"/>
        <v>Sep</v>
      </c>
      <c r="M6946" s="1" t="str">
        <f t="shared" si="3"/>
        <v>Profit</v>
      </c>
    </row>
    <row r="6947" ht="14.25" customHeight="1">
      <c r="A6947" s="1" t="s">
        <v>6981</v>
      </c>
      <c r="B6947" s="2">
        <v>45146.0</v>
      </c>
      <c r="C6947" s="1" t="s">
        <v>30</v>
      </c>
      <c r="D6947" s="1" t="s">
        <v>15</v>
      </c>
      <c r="E6947" s="1" t="s">
        <v>16</v>
      </c>
      <c r="F6947" s="1">
        <v>532.28</v>
      </c>
      <c r="G6947" s="1">
        <v>-114.71</v>
      </c>
      <c r="H6947" s="1">
        <v>7.0</v>
      </c>
      <c r="I6947" s="1" t="s">
        <v>17</v>
      </c>
      <c r="J6947" s="1" t="s">
        <v>24</v>
      </c>
      <c r="K6947" s="1">
        <f t="shared" si="1"/>
        <v>2023</v>
      </c>
      <c r="L6947" s="1" t="str">
        <f t="shared" si="2"/>
        <v>Aug</v>
      </c>
      <c r="M6947" s="1" t="str">
        <f t="shared" si="3"/>
        <v>Loss</v>
      </c>
    </row>
    <row r="6948" ht="14.25" customHeight="1">
      <c r="A6948" s="1" t="s">
        <v>6982</v>
      </c>
      <c r="B6948" s="2">
        <v>45161.0</v>
      </c>
      <c r="C6948" s="1" t="s">
        <v>30</v>
      </c>
      <c r="D6948" s="1" t="s">
        <v>15</v>
      </c>
      <c r="E6948" s="1" t="s">
        <v>16</v>
      </c>
      <c r="F6948" s="1">
        <v>149.92</v>
      </c>
      <c r="G6948" s="1">
        <v>-40.56</v>
      </c>
      <c r="H6948" s="1">
        <v>9.0</v>
      </c>
      <c r="I6948" s="1" t="s">
        <v>17</v>
      </c>
      <c r="J6948" s="1" t="s">
        <v>24</v>
      </c>
      <c r="K6948" s="1">
        <f t="shared" si="1"/>
        <v>2023</v>
      </c>
      <c r="L6948" s="1" t="str">
        <f t="shared" si="2"/>
        <v>Aug</v>
      </c>
      <c r="M6948" s="1" t="str">
        <f t="shared" si="3"/>
        <v>Loss</v>
      </c>
    </row>
    <row r="6949" ht="14.25" customHeight="1">
      <c r="A6949" s="1" t="s">
        <v>6983</v>
      </c>
      <c r="B6949" s="2">
        <v>45292.0</v>
      </c>
      <c r="C6949" s="1" t="s">
        <v>26</v>
      </c>
      <c r="D6949" s="1" t="s">
        <v>15</v>
      </c>
      <c r="E6949" s="1" t="s">
        <v>54</v>
      </c>
      <c r="F6949" s="1">
        <v>373.34</v>
      </c>
      <c r="G6949" s="1">
        <v>-183.35</v>
      </c>
      <c r="H6949" s="1">
        <v>7.0</v>
      </c>
      <c r="I6949" s="1" t="s">
        <v>34</v>
      </c>
      <c r="J6949" s="1" t="s">
        <v>38</v>
      </c>
      <c r="K6949" s="1">
        <f t="shared" si="1"/>
        <v>2024</v>
      </c>
      <c r="L6949" s="1" t="str">
        <f t="shared" si="2"/>
        <v>Jan</v>
      </c>
      <c r="M6949" s="1" t="str">
        <f t="shared" si="3"/>
        <v>Loss</v>
      </c>
    </row>
    <row r="6950" ht="14.25" customHeight="1">
      <c r="A6950" s="1" t="s">
        <v>6984</v>
      </c>
      <c r="B6950" s="2">
        <v>44615.0</v>
      </c>
      <c r="C6950" s="1" t="s">
        <v>20</v>
      </c>
      <c r="D6950" s="1" t="s">
        <v>27</v>
      </c>
      <c r="E6950" s="1" t="s">
        <v>28</v>
      </c>
      <c r="F6950" s="1">
        <v>144.87</v>
      </c>
      <c r="G6950" s="1">
        <v>175.94</v>
      </c>
      <c r="H6950" s="1">
        <v>8.0</v>
      </c>
      <c r="I6950" s="1" t="s">
        <v>23</v>
      </c>
      <c r="J6950" s="1" t="s">
        <v>24</v>
      </c>
      <c r="K6950" s="1">
        <f t="shared" si="1"/>
        <v>2022</v>
      </c>
      <c r="L6950" s="1" t="str">
        <f t="shared" si="2"/>
        <v>Feb</v>
      </c>
      <c r="M6950" s="1" t="str">
        <f t="shared" si="3"/>
        <v>Profit</v>
      </c>
    </row>
    <row r="6951" ht="14.25" customHeight="1">
      <c r="A6951" s="1" t="s">
        <v>6985</v>
      </c>
      <c r="B6951" s="2">
        <v>45245.0</v>
      </c>
      <c r="C6951" s="1" t="s">
        <v>14</v>
      </c>
      <c r="D6951" s="1" t="s">
        <v>27</v>
      </c>
      <c r="E6951" s="1" t="s">
        <v>28</v>
      </c>
      <c r="F6951" s="1">
        <v>675.39</v>
      </c>
      <c r="G6951" s="1">
        <v>294.67</v>
      </c>
      <c r="H6951" s="1">
        <v>2.0</v>
      </c>
      <c r="I6951" s="1" t="s">
        <v>17</v>
      </c>
      <c r="J6951" s="1" t="s">
        <v>35</v>
      </c>
      <c r="K6951" s="1">
        <f t="shared" si="1"/>
        <v>2023</v>
      </c>
      <c r="L6951" s="1" t="str">
        <f t="shared" si="2"/>
        <v>Nov</v>
      </c>
      <c r="M6951" s="1" t="str">
        <f t="shared" si="3"/>
        <v>Profit</v>
      </c>
    </row>
    <row r="6952" ht="14.25" customHeight="1">
      <c r="A6952" s="1" t="s">
        <v>6986</v>
      </c>
      <c r="B6952" s="2">
        <v>44478.0</v>
      </c>
      <c r="C6952" s="1" t="s">
        <v>20</v>
      </c>
      <c r="D6952" s="1" t="s">
        <v>27</v>
      </c>
      <c r="E6952" s="1" t="s">
        <v>28</v>
      </c>
      <c r="F6952" s="1">
        <v>190.62</v>
      </c>
      <c r="G6952" s="1">
        <v>238.28</v>
      </c>
      <c r="H6952" s="1">
        <v>8.0</v>
      </c>
      <c r="I6952" s="1" t="s">
        <v>23</v>
      </c>
      <c r="J6952" s="1" t="s">
        <v>38</v>
      </c>
      <c r="K6952" s="1">
        <f t="shared" si="1"/>
        <v>2021</v>
      </c>
      <c r="L6952" s="1" t="str">
        <f t="shared" si="2"/>
        <v>Oct</v>
      </c>
      <c r="M6952" s="1" t="str">
        <f t="shared" si="3"/>
        <v>Profit</v>
      </c>
    </row>
    <row r="6953" ht="14.25" customHeight="1">
      <c r="A6953" s="1" t="s">
        <v>6987</v>
      </c>
      <c r="B6953" s="2">
        <v>44274.0</v>
      </c>
      <c r="C6953" s="1" t="s">
        <v>14</v>
      </c>
      <c r="D6953" s="1" t="s">
        <v>15</v>
      </c>
      <c r="E6953" s="1" t="s">
        <v>54</v>
      </c>
      <c r="F6953" s="1">
        <v>682.6</v>
      </c>
      <c r="G6953" s="1">
        <v>233.43</v>
      </c>
      <c r="H6953" s="1">
        <v>9.0</v>
      </c>
      <c r="I6953" s="1" t="s">
        <v>17</v>
      </c>
      <c r="J6953" s="1" t="s">
        <v>24</v>
      </c>
      <c r="K6953" s="1">
        <f t="shared" si="1"/>
        <v>2021</v>
      </c>
      <c r="L6953" s="1" t="str">
        <f t="shared" si="2"/>
        <v>Mar</v>
      </c>
      <c r="M6953" s="1" t="str">
        <f t="shared" si="3"/>
        <v>Profit</v>
      </c>
    </row>
    <row r="6954" ht="14.25" customHeight="1">
      <c r="A6954" s="1" t="s">
        <v>6988</v>
      </c>
      <c r="B6954" s="2">
        <v>45056.0</v>
      </c>
      <c r="C6954" s="1" t="s">
        <v>26</v>
      </c>
      <c r="D6954" s="1" t="s">
        <v>27</v>
      </c>
      <c r="E6954" s="1" t="s">
        <v>28</v>
      </c>
      <c r="F6954" s="1">
        <v>858.72</v>
      </c>
      <c r="G6954" s="1">
        <v>128.66</v>
      </c>
      <c r="H6954" s="1">
        <v>7.0</v>
      </c>
      <c r="I6954" s="1" t="s">
        <v>23</v>
      </c>
      <c r="J6954" s="1" t="s">
        <v>24</v>
      </c>
      <c r="K6954" s="1">
        <f t="shared" si="1"/>
        <v>2023</v>
      </c>
      <c r="L6954" s="1" t="str">
        <f t="shared" si="2"/>
        <v>May</v>
      </c>
      <c r="M6954" s="1" t="str">
        <f t="shared" si="3"/>
        <v>Profit</v>
      </c>
    </row>
    <row r="6955" ht="14.25" customHeight="1">
      <c r="A6955" s="1" t="s">
        <v>6989</v>
      </c>
      <c r="B6955" s="2">
        <v>45284.0</v>
      </c>
      <c r="C6955" s="1" t="s">
        <v>26</v>
      </c>
      <c r="D6955" s="1" t="s">
        <v>15</v>
      </c>
      <c r="E6955" s="1" t="s">
        <v>16</v>
      </c>
      <c r="F6955" s="1">
        <v>794.51</v>
      </c>
      <c r="G6955" s="1">
        <v>-175.55</v>
      </c>
      <c r="H6955" s="1">
        <v>5.0</v>
      </c>
      <c r="I6955" s="1" t="s">
        <v>17</v>
      </c>
      <c r="J6955" s="1" t="s">
        <v>38</v>
      </c>
      <c r="K6955" s="1">
        <f t="shared" si="1"/>
        <v>2023</v>
      </c>
      <c r="L6955" s="1" t="str">
        <f t="shared" si="2"/>
        <v>Dec</v>
      </c>
      <c r="M6955" s="1" t="str">
        <f t="shared" si="3"/>
        <v>Loss</v>
      </c>
    </row>
    <row r="6956" ht="14.25" customHeight="1">
      <c r="A6956" s="1" t="s">
        <v>6990</v>
      </c>
      <c r="B6956" s="2">
        <v>45197.0</v>
      </c>
      <c r="C6956" s="1" t="s">
        <v>30</v>
      </c>
      <c r="D6956" s="1" t="s">
        <v>15</v>
      </c>
      <c r="E6956" s="1" t="s">
        <v>54</v>
      </c>
      <c r="F6956" s="1">
        <v>379.49</v>
      </c>
      <c r="G6956" s="1">
        <v>-154.56</v>
      </c>
      <c r="H6956" s="1">
        <v>5.0</v>
      </c>
      <c r="I6956" s="1" t="s">
        <v>23</v>
      </c>
      <c r="J6956" s="1" t="s">
        <v>35</v>
      </c>
      <c r="K6956" s="1">
        <f t="shared" si="1"/>
        <v>2023</v>
      </c>
      <c r="L6956" s="1" t="str">
        <f t="shared" si="2"/>
        <v>Sep</v>
      </c>
      <c r="M6956" s="1" t="str">
        <f t="shared" si="3"/>
        <v>Loss</v>
      </c>
    </row>
    <row r="6957" ht="14.25" customHeight="1">
      <c r="A6957" s="1" t="s">
        <v>6991</v>
      </c>
      <c r="B6957" s="2">
        <v>44479.0</v>
      </c>
      <c r="C6957" s="1" t="s">
        <v>20</v>
      </c>
      <c r="D6957" s="1" t="s">
        <v>21</v>
      </c>
      <c r="E6957" s="1" t="s">
        <v>22</v>
      </c>
      <c r="F6957" s="1">
        <v>62.8</v>
      </c>
      <c r="G6957" s="1">
        <v>-130.1</v>
      </c>
      <c r="H6957" s="1">
        <v>7.0</v>
      </c>
      <c r="I6957" s="1" t="s">
        <v>34</v>
      </c>
      <c r="J6957" s="1" t="s">
        <v>35</v>
      </c>
      <c r="K6957" s="1">
        <f t="shared" si="1"/>
        <v>2021</v>
      </c>
      <c r="L6957" s="1" t="str">
        <f t="shared" si="2"/>
        <v>Oct</v>
      </c>
      <c r="M6957" s="1" t="str">
        <f t="shared" si="3"/>
        <v>Loss</v>
      </c>
    </row>
    <row r="6958" ht="14.25" customHeight="1">
      <c r="A6958" s="1" t="s">
        <v>6992</v>
      </c>
      <c r="B6958" s="2">
        <v>44347.0</v>
      </c>
      <c r="C6958" s="1" t="s">
        <v>26</v>
      </c>
      <c r="D6958" s="1" t="s">
        <v>27</v>
      </c>
      <c r="E6958" s="1" t="s">
        <v>28</v>
      </c>
      <c r="F6958" s="1">
        <v>622.63</v>
      </c>
      <c r="G6958" s="1">
        <v>256.44</v>
      </c>
      <c r="H6958" s="1">
        <v>9.0</v>
      </c>
      <c r="I6958" s="1" t="s">
        <v>17</v>
      </c>
      <c r="J6958" s="1" t="s">
        <v>18</v>
      </c>
      <c r="K6958" s="1">
        <f t="shared" si="1"/>
        <v>2021</v>
      </c>
      <c r="L6958" s="1" t="str">
        <f t="shared" si="2"/>
        <v>May</v>
      </c>
      <c r="M6958" s="1" t="str">
        <f t="shared" si="3"/>
        <v>Profit</v>
      </c>
    </row>
    <row r="6959" ht="14.25" customHeight="1">
      <c r="A6959" s="1" t="s">
        <v>6993</v>
      </c>
      <c r="B6959" s="2">
        <v>44641.0</v>
      </c>
      <c r="C6959" s="1" t="s">
        <v>26</v>
      </c>
      <c r="D6959" s="1" t="s">
        <v>27</v>
      </c>
      <c r="E6959" s="1" t="s">
        <v>28</v>
      </c>
      <c r="F6959" s="1">
        <v>545.22</v>
      </c>
      <c r="G6959" s="1">
        <v>253.38</v>
      </c>
      <c r="H6959" s="1">
        <v>1.0</v>
      </c>
      <c r="I6959" s="1" t="s">
        <v>17</v>
      </c>
      <c r="J6959" s="1" t="s">
        <v>24</v>
      </c>
      <c r="K6959" s="1">
        <f t="shared" si="1"/>
        <v>2022</v>
      </c>
      <c r="L6959" s="1" t="str">
        <f t="shared" si="2"/>
        <v>Mar</v>
      </c>
      <c r="M6959" s="1" t="str">
        <f t="shared" si="3"/>
        <v>Profit</v>
      </c>
    </row>
    <row r="6960" ht="14.25" customHeight="1">
      <c r="A6960" s="1" t="s">
        <v>6994</v>
      </c>
      <c r="B6960" s="2">
        <v>44641.0</v>
      </c>
      <c r="C6960" s="1" t="s">
        <v>20</v>
      </c>
      <c r="D6960" s="1" t="s">
        <v>21</v>
      </c>
      <c r="E6960" s="1" t="s">
        <v>22</v>
      </c>
      <c r="F6960" s="1">
        <v>397.83</v>
      </c>
      <c r="G6960" s="1">
        <v>291.42</v>
      </c>
      <c r="H6960" s="1">
        <v>7.0</v>
      </c>
      <c r="I6960" s="1" t="s">
        <v>34</v>
      </c>
      <c r="J6960" s="1" t="s">
        <v>24</v>
      </c>
      <c r="K6960" s="1">
        <f t="shared" si="1"/>
        <v>2022</v>
      </c>
      <c r="L6960" s="1" t="str">
        <f t="shared" si="2"/>
        <v>Mar</v>
      </c>
      <c r="M6960" s="1" t="str">
        <f t="shared" si="3"/>
        <v>Profit</v>
      </c>
    </row>
    <row r="6961" ht="14.25" customHeight="1">
      <c r="A6961" s="1" t="s">
        <v>6995</v>
      </c>
      <c r="B6961" s="2">
        <v>44867.0</v>
      </c>
      <c r="C6961" s="1" t="s">
        <v>30</v>
      </c>
      <c r="D6961" s="1" t="s">
        <v>27</v>
      </c>
      <c r="E6961" s="1" t="s">
        <v>28</v>
      </c>
      <c r="F6961" s="1">
        <v>387.66</v>
      </c>
      <c r="G6961" s="1">
        <v>-2.0</v>
      </c>
      <c r="H6961" s="1">
        <v>7.0</v>
      </c>
      <c r="I6961" s="1" t="s">
        <v>17</v>
      </c>
      <c r="J6961" s="1" t="s">
        <v>24</v>
      </c>
      <c r="K6961" s="1">
        <f t="shared" si="1"/>
        <v>2022</v>
      </c>
      <c r="L6961" s="1" t="str">
        <f t="shared" si="2"/>
        <v>Nov</v>
      </c>
      <c r="M6961" s="1" t="str">
        <f t="shared" si="3"/>
        <v>Loss</v>
      </c>
    </row>
    <row r="6962" ht="14.25" customHeight="1">
      <c r="A6962" s="1" t="s">
        <v>6996</v>
      </c>
      <c r="B6962" s="2">
        <v>45183.0</v>
      </c>
      <c r="C6962" s="1" t="s">
        <v>26</v>
      </c>
      <c r="D6962" s="1" t="s">
        <v>27</v>
      </c>
      <c r="E6962" s="1" t="s">
        <v>33</v>
      </c>
      <c r="F6962" s="1">
        <v>647.52</v>
      </c>
      <c r="G6962" s="1">
        <v>-129.75</v>
      </c>
      <c r="H6962" s="1">
        <v>2.0</v>
      </c>
      <c r="I6962" s="1" t="s">
        <v>23</v>
      </c>
      <c r="J6962" s="1" t="s">
        <v>35</v>
      </c>
      <c r="K6962" s="1">
        <f t="shared" si="1"/>
        <v>2023</v>
      </c>
      <c r="L6962" s="1" t="str">
        <f t="shared" si="2"/>
        <v>Sep</v>
      </c>
      <c r="M6962" s="1" t="str">
        <f t="shared" si="3"/>
        <v>Loss</v>
      </c>
    </row>
    <row r="6963" ht="14.25" customHeight="1">
      <c r="A6963" s="1" t="s">
        <v>6997</v>
      </c>
      <c r="B6963" s="2">
        <v>44739.0</v>
      </c>
      <c r="C6963" s="1" t="s">
        <v>14</v>
      </c>
      <c r="D6963" s="1" t="s">
        <v>15</v>
      </c>
      <c r="E6963" s="1" t="s">
        <v>54</v>
      </c>
      <c r="F6963" s="1">
        <v>603.01</v>
      </c>
      <c r="G6963" s="1">
        <v>217.04</v>
      </c>
      <c r="H6963" s="1">
        <v>1.0</v>
      </c>
      <c r="I6963" s="1" t="s">
        <v>34</v>
      </c>
      <c r="J6963" s="1" t="s">
        <v>24</v>
      </c>
      <c r="K6963" s="1">
        <f t="shared" si="1"/>
        <v>2022</v>
      </c>
      <c r="L6963" s="1" t="str">
        <f t="shared" si="2"/>
        <v>Jun</v>
      </c>
      <c r="M6963" s="1" t="str">
        <f t="shared" si="3"/>
        <v>Profit</v>
      </c>
    </row>
    <row r="6964" ht="14.25" customHeight="1">
      <c r="A6964" s="1" t="s">
        <v>6998</v>
      </c>
      <c r="B6964" s="2">
        <v>45085.0</v>
      </c>
      <c r="C6964" s="1" t="s">
        <v>20</v>
      </c>
      <c r="D6964" s="1" t="s">
        <v>15</v>
      </c>
      <c r="E6964" s="1" t="s">
        <v>31</v>
      </c>
      <c r="F6964" s="1">
        <v>732.35</v>
      </c>
      <c r="G6964" s="1">
        <v>250.15</v>
      </c>
      <c r="H6964" s="1">
        <v>4.0</v>
      </c>
      <c r="I6964" s="1" t="s">
        <v>34</v>
      </c>
      <c r="J6964" s="1" t="s">
        <v>38</v>
      </c>
      <c r="K6964" s="1">
        <f t="shared" si="1"/>
        <v>2023</v>
      </c>
      <c r="L6964" s="1" t="str">
        <f t="shared" si="2"/>
        <v>Jun</v>
      </c>
      <c r="M6964" s="1" t="str">
        <f t="shared" si="3"/>
        <v>Profit</v>
      </c>
    </row>
    <row r="6965" ht="14.25" customHeight="1">
      <c r="A6965" s="1" t="s">
        <v>6999</v>
      </c>
      <c r="B6965" s="2">
        <v>45059.0</v>
      </c>
      <c r="C6965" s="1" t="s">
        <v>14</v>
      </c>
      <c r="D6965" s="1" t="s">
        <v>27</v>
      </c>
      <c r="E6965" s="1" t="s">
        <v>33</v>
      </c>
      <c r="F6965" s="1">
        <v>203.83</v>
      </c>
      <c r="G6965" s="1">
        <v>228.79</v>
      </c>
      <c r="H6965" s="1">
        <v>2.0</v>
      </c>
      <c r="I6965" s="1" t="s">
        <v>34</v>
      </c>
      <c r="J6965" s="1" t="s">
        <v>38</v>
      </c>
      <c r="K6965" s="1">
        <f t="shared" si="1"/>
        <v>2023</v>
      </c>
      <c r="L6965" s="1" t="str">
        <f t="shared" si="2"/>
        <v>May</v>
      </c>
      <c r="M6965" s="1" t="str">
        <f t="shared" si="3"/>
        <v>Profit</v>
      </c>
    </row>
    <row r="6966" ht="14.25" customHeight="1">
      <c r="A6966" s="1" t="s">
        <v>7000</v>
      </c>
      <c r="B6966" s="2">
        <v>44831.0</v>
      </c>
      <c r="C6966" s="1" t="s">
        <v>26</v>
      </c>
      <c r="D6966" s="1" t="s">
        <v>15</v>
      </c>
      <c r="E6966" s="1" t="s">
        <v>31</v>
      </c>
      <c r="F6966" s="1">
        <v>640.39</v>
      </c>
      <c r="G6966" s="1">
        <v>-168.24</v>
      </c>
      <c r="H6966" s="1">
        <v>9.0</v>
      </c>
      <c r="I6966" s="1" t="s">
        <v>34</v>
      </c>
      <c r="J6966" s="1" t="s">
        <v>24</v>
      </c>
      <c r="K6966" s="1">
        <f t="shared" si="1"/>
        <v>2022</v>
      </c>
      <c r="L6966" s="1" t="str">
        <f t="shared" si="2"/>
        <v>Sep</v>
      </c>
      <c r="M6966" s="1" t="str">
        <f t="shared" si="3"/>
        <v>Loss</v>
      </c>
    </row>
    <row r="6967" ht="14.25" customHeight="1">
      <c r="A6967" s="1" t="s">
        <v>7001</v>
      </c>
      <c r="B6967" s="2">
        <v>44886.0</v>
      </c>
      <c r="C6967" s="1" t="s">
        <v>14</v>
      </c>
      <c r="D6967" s="1" t="s">
        <v>15</v>
      </c>
      <c r="E6967" s="1" t="s">
        <v>54</v>
      </c>
      <c r="F6967" s="1">
        <v>284.76</v>
      </c>
      <c r="G6967" s="1">
        <v>38.29</v>
      </c>
      <c r="H6967" s="1">
        <v>1.0</v>
      </c>
      <c r="I6967" s="1" t="s">
        <v>23</v>
      </c>
      <c r="J6967" s="1" t="s">
        <v>35</v>
      </c>
      <c r="K6967" s="1">
        <f t="shared" si="1"/>
        <v>2022</v>
      </c>
      <c r="L6967" s="1" t="str">
        <f t="shared" si="2"/>
        <v>Nov</v>
      </c>
      <c r="M6967" s="1" t="str">
        <f t="shared" si="3"/>
        <v>Profit</v>
      </c>
    </row>
    <row r="6968" ht="14.25" customHeight="1">
      <c r="A6968" s="1" t="s">
        <v>7002</v>
      </c>
      <c r="B6968" s="2">
        <v>45079.0</v>
      </c>
      <c r="C6968" s="1" t="s">
        <v>30</v>
      </c>
      <c r="D6968" s="1" t="s">
        <v>21</v>
      </c>
      <c r="E6968" s="1" t="s">
        <v>22</v>
      </c>
      <c r="F6968" s="1">
        <v>716.46</v>
      </c>
      <c r="G6968" s="1">
        <v>270.41</v>
      </c>
      <c r="H6968" s="1">
        <v>4.0</v>
      </c>
      <c r="I6968" s="1" t="s">
        <v>23</v>
      </c>
      <c r="J6968" s="1" t="s">
        <v>38</v>
      </c>
      <c r="K6968" s="1">
        <f t="shared" si="1"/>
        <v>2023</v>
      </c>
      <c r="L6968" s="1" t="str">
        <f t="shared" si="2"/>
        <v>Jun</v>
      </c>
      <c r="M6968" s="1" t="str">
        <f t="shared" si="3"/>
        <v>Profit</v>
      </c>
    </row>
    <row r="6969" ht="14.25" customHeight="1">
      <c r="A6969" s="1" t="s">
        <v>7003</v>
      </c>
      <c r="B6969" s="2">
        <v>44822.0</v>
      </c>
      <c r="C6969" s="1" t="s">
        <v>30</v>
      </c>
      <c r="D6969" s="1" t="s">
        <v>21</v>
      </c>
      <c r="E6969" s="1" t="s">
        <v>22</v>
      </c>
      <c r="F6969" s="1">
        <v>566.03</v>
      </c>
      <c r="G6969" s="1">
        <v>70.68</v>
      </c>
      <c r="H6969" s="1">
        <v>4.0</v>
      </c>
      <c r="I6969" s="1" t="s">
        <v>23</v>
      </c>
      <c r="J6969" s="1" t="s">
        <v>38</v>
      </c>
      <c r="K6969" s="1">
        <f t="shared" si="1"/>
        <v>2022</v>
      </c>
      <c r="L6969" s="1" t="str">
        <f t="shared" si="2"/>
        <v>Sep</v>
      </c>
      <c r="M6969" s="1" t="str">
        <f t="shared" si="3"/>
        <v>Profit</v>
      </c>
    </row>
    <row r="6970" ht="14.25" customHeight="1">
      <c r="A6970" s="1" t="s">
        <v>7004</v>
      </c>
      <c r="B6970" s="2">
        <v>44612.0</v>
      </c>
      <c r="C6970" s="1" t="s">
        <v>14</v>
      </c>
      <c r="D6970" s="1" t="s">
        <v>27</v>
      </c>
      <c r="E6970" s="1" t="s">
        <v>40</v>
      </c>
      <c r="F6970" s="1">
        <v>566.47</v>
      </c>
      <c r="G6970" s="1">
        <v>-21.46</v>
      </c>
      <c r="H6970" s="1">
        <v>6.0</v>
      </c>
      <c r="I6970" s="1" t="s">
        <v>23</v>
      </c>
      <c r="J6970" s="1" t="s">
        <v>24</v>
      </c>
      <c r="K6970" s="1">
        <f t="shared" si="1"/>
        <v>2022</v>
      </c>
      <c r="L6970" s="1" t="str">
        <f t="shared" si="2"/>
        <v>Feb</v>
      </c>
      <c r="M6970" s="1" t="str">
        <f t="shared" si="3"/>
        <v>Loss</v>
      </c>
    </row>
    <row r="6971" ht="14.25" customHeight="1">
      <c r="A6971" s="1" t="s">
        <v>7005</v>
      </c>
      <c r="B6971" s="2">
        <v>44871.0</v>
      </c>
      <c r="C6971" s="1" t="s">
        <v>14</v>
      </c>
      <c r="D6971" s="1" t="s">
        <v>21</v>
      </c>
      <c r="E6971" s="1" t="s">
        <v>37</v>
      </c>
      <c r="F6971" s="1">
        <v>812.79</v>
      </c>
      <c r="G6971" s="1">
        <v>289.61</v>
      </c>
      <c r="H6971" s="1">
        <v>10.0</v>
      </c>
      <c r="I6971" s="1" t="s">
        <v>17</v>
      </c>
      <c r="J6971" s="1" t="s">
        <v>18</v>
      </c>
      <c r="K6971" s="1">
        <f t="shared" si="1"/>
        <v>2022</v>
      </c>
      <c r="L6971" s="1" t="str">
        <f t="shared" si="2"/>
        <v>Nov</v>
      </c>
      <c r="M6971" s="1" t="str">
        <f t="shared" si="3"/>
        <v>Profit</v>
      </c>
    </row>
    <row r="6972" ht="14.25" customHeight="1">
      <c r="A6972" s="1" t="s">
        <v>7006</v>
      </c>
      <c r="B6972" s="2">
        <v>44488.0</v>
      </c>
      <c r="C6972" s="1" t="s">
        <v>20</v>
      </c>
      <c r="D6972" s="1" t="s">
        <v>27</v>
      </c>
      <c r="E6972" s="1" t="s">
        <v>28</v>
      </c>
      <c r="F6972" s="1">
        <v>391.43</v>
      </c>
      <c r="G6972" s="1">
        <v>232.92</v>
      </c>
      <c r="H6972" s="1">
        <v>6.0</v>
      </c>
      <c r="I6972" s="1" t="s">
        <v>23</v>
      </c>
      <c r="J6972" s="1" t="s">
        <v>18</v>
      </c>
      <c r="K6972" s="1">
        <f t="shared" si="1"/>
        <v>2021</v>
      </c>
      <c r="L6972" s="1" t="str">
        <f t="shared" si="2"/>
        <v>Oct</v>
      </c>
      <c r="M6972" s="1" t="str">
        <f t="shared" si="3"/>
        <v>Profit</v>
      </c>
    </row>
    <row r="6973" ht="14.25" customHeight="1">
      <c r="A6973" s="1" t="s">
        <v>7007</v>
      </c>
      <c r="B6973" s="2">
        <v>44767.0</v>
      </c>
      <c r="C6973" s="1" t="s">
        <v>26</v>
      </c>
      <c r="D6973" s="1" t="s">
        <v>15</v>
      </c>
      <c r="E6973" s="1" t="s">
        <v>16</v>
      </c>
      <c r="F6973" s="1">
        <v>47.83</v>
      </c>
      <c r="G6973" s="1">
        <v>34.1</v>
      </c>
      <c r="H6973" s="1">
        <v>9.0</v>
      </c>
      <c r="I6973" s="1" t="s">
        <v>34</v>
      </c>
      <c r="J6973" s="1" t="s">
        <v>38</v>
      </c>
      <c r="K6973" s="1">
        <f t="shared" si="1"/>
        <v>2022</v>
      </c>
      <c r="L6973" s="1" t="str">
        <f t="shared" si="2"/>
        <v>Jul</v>
      </c>
      <c r="M6973" s="1" t="str">
        <f t="shared" si="3"/>
        <v>Profit</v>
      </c>
    </row>
    <row r="6974" ht="14.25" customHeight="1">
      <c r="A6974" s="1" t="s">
        <v>7008</v>
      </c>
      <c r="B6974" s="2">
        <v>44657.0</v>
      </c>
      <c r="C6974" s="1" t="s">
        <v>20</v>
      </c>
      <c r="D6974" s="1" t="s">
        <v>15</v>
      </c>
      <c r="E6974" s="1" t="s">
        <v>16</v>
      </c>
      <c r="F6974" s="1">
        <v>200.19</v>
      </c>
      <c r="G6974" s="1">
        <v>-120.87</v>
      </c>
      <c r="H6974" s="1">
        <v>7.0</v>
      </c>
      <c r="I6974" s="1" t="s">
        <v>17</v>
      </c>
      <c r="J6974" s="1" t="s">
        <v>24</v>
      </c>
      <c r="K6974" s="1">
        <f t="shared" si="1"/>
        <v>2022</v>
      </c>
      <c r="L6974" s="1" t="str">
        <f t="shared" si="2"/>
        <v>Apr</v>
      </c>
      <c r="M6974" s="1" t="str">
        <f t="shared" si="3"/>
        <v>Loss</v>
      </c>
    </row>
    <row r="6975" ht="14.25" customHeight="1">
      <c r="A6975" s="1" t="s">
        <v>7009</v>
      </c>
      <c r="B6975" s="2">
        <v>44737.0</v>
      </c>
      <c r="C6975" s="1" t="s">
        <v>26</v>
      </c>
      <c r="D6975" s="1" t="s">
        <v>27</v>
      </c>
      <c r="E6975" s="1" t="s">
        <v>28</v>
      </c>
      <c r="F6975" s="1">
        <v>259.28</v>
      </c>
      <c r="G6975" s="1">
        <v>-60.03</v>
      </c>
      <c r="H6975" s="1">
        <v>9.0</v>
      </c>
      <c r="I6975" s="1" t="s">
        <v>23</v>
      </c>
      <c r="J6975" s="1" t="s">
        <v>35</v>
      </c>
      <c r="K6975" s="1">
        <f t="shared" si="1"/>
        <v>2022</v>
      </c>
      <c r="L6975" s="1" t="str">
        <f t="shared" si="2"/>
        <v>Jun</v>
      </c>
      <c r="M6975" s="1" t="str">
        <f t="shared" si="3"/>
        <v>Loss</v>
      </c>
    </row>
    <row r="6976" ht="14.25" customHeight="1">
      <c r="A6976" s="1" t="s">
        <v>7010</v>
      </c>
      <c r="B6976" s="2">
        <v>44286.0</v>
      </c>
      <c r="C6976" s="1" t="s">
        <v>30</v>
      </c>
      <c r="D6976" s="1" t="s">
        <v>27</v>
      </c>
      <c r="E6976" s="1" t="s">
        <v>40</v>
      </c>
      <c r="F6976" s="1">
        <v>878.43</v>
      </c>
      <c r="G6976" s="1">
        <v>87.74</v>
      </c>
      <c r="H6976" s="1">
        <v>5.0</v>
      </c>
      <c r="I6976" s="1" t="s">
        <v>17</v>
      </c>
      <c r="J6976" s="1" t="s">
        <v>35</v>
      </c>
      <c r="K6976" s="1">
        <f t="shared" si="1"/>
        <v>2021</v>
      </c>
      <c r="L6976" s="1" t="str">
        <f t="shared" si="2"/>
        <v>Mar</v>
      </c>
      <c r="M6976" s="1" t="str">
        <f t="shared" si="3"/>
        <v>Profit</v>
      </c>
    </row>
    <row r="6977" ht="14.25" customHeight="1">
      <c r="A6977" s="1" t="s">
        <v>7011</v>
      </c>
      <c r="B6977" s="2">
        <v>44347.0</v>
      </c>
      <c r="C6977" s="1" t="s">
        <v>14</v>
      </c>
      <c r="D6977" s="1" t="s">
        <v>15</v>
      </c>
      <c r="E6977" s="1" t="s">
        <v>16</v>
      </c>
      <c r="F6977" s="1">
        <v>117.84</v>
      </c>
      <c r="G6977" s="1">
        <v>55.5</v>
      </c>
      <c r="H6977" s="1">
        <v>2.0</v>
      </c>
      <c r="I6977" s="1" t="s">
        <v>17</v>
      </c>
      <c r="J6977" s="1" t="s">
        <v>18</v>
      </c>
      <c r="K6977" s="1">
        <f t="shared" si="1"/>
        <v>2021</v>
      </c>
      <c r="L6977" s="1" t="str">
        <f t="shared" si="2"/>
        <v>May</v>
      </c>
      <c r="M6977" s="1" t="str">
        <f t="shared" si="3"/>
        <v>Profit</v>
      </c>
    </row>
    <row r="6978" ht="14.25" customHeight="1">
      <c r="A6978" s="1" t="s">
        <v>7012</v>
      </c>
      <c r="B6978" s="2">
        <v>44916.0</v>
      </c>
      <c r="C6978" s="1" t="s">
        <v>14</v>
      </c>
      <c r="D6978" s="1" t="s">
        <v>21</v>
      </c>
      <c r="E6978" s="1" t="s">
        <v>37</v>
      </c>
      <c r="F6978" s="1">
        <v>452.51</v>
      </c>
      <c r="G6978" s="1">
        <v>-191.88</v>
      </c>
      <c r="H6978" s="1">
        <v>4.0</v>
      </c>
      <c r="I6978" s="1" t="s">
        <v>34</v>
      </c>
      <c r="J6978" s="1" t="s">
        <v>18</v>
      </c>
      <c r="K6978" s="1">
        <f t="shared" si="1"/>
        <v>2022</v>
      </c>
      <c r="L6978" s="1" t="str">
        <f t="shared" si="2"/>
        <v>Dec</v>
      </c>
      <c r="M6978" s="1" t="str">
        <f t="shared" si="3"/>
        <v>Loss</v>
      </c>
    </row>
    <row r="6979" ht="14.25" customHeight="1">
      <c r="A6979" s="1" t="s">
        <v>7013</v>
      </c>
      <c r="B6979" s="2">
        <v>44776.0</v>
      </c>
      <c r="C6979" s="1" t="s">
        <v>20</v>
      </c>
      <c r="D6979" s="1" t="s">
        <v>27</v>
      </c>
      <c r="E6979" s="1" t="s">
        <v>33</v>
      </c>
      <c r="F6979" s="1">
        <v>434.12</v>
      </c>
      <c r="G6979" s="1">
        <v>8.48</v>
      </c>
      <c r="H6979" s="1">
        <v>8.0</v>
      </c>
      <c r="I6979" s="1" t="s">
        <v>23</v>
      </c>
      <c r="J6979" s="1" t="s">
        <v>24</v>
      </c>
      <c r="K6979" s="1">
        <f t="shared" si="1"/>
        <v>2022</v>
      </c>
      <c r="L6979" s="1" t="str">
        <f t="shared" si="2"/>
        <v>Aug</v>
      </c>
      <c r="M6979" s="1" t="str">
        <f t="shared" si="3"/>
        <v>Profit</v>
      </c>
    </row>
    <row r="6980" ht="14.25" customHeight="1">
      <c r="A6980" s="1" t="s">
        <v>7014</v>
      </c>
      <c r="B6980" s="2">
        <v>44525.0</v>
      </c>
      <c r="C6980" s="1" t="s">
        <v>26</v>
      </c>
      <c r="D6980" s="1" t="s">
        <v>27</v>
      </c>
      <c r="E6980" s="1" t="s">
        <v>40</v>
      </c>
      <c r="F6980" s="1">
        <v>671.73</v>
      </c>
      <c r="G6980" s="1">
        <v>146.95</v>
      </c>
      <c r="H6980" s="1">
        <v>9.0</v>
      </c>
      <c r="I6980" s="1" t="s">
        <v>23</v>
      </c>
      <c r="J6980" s="1" t="s">
        <v>18</v>
      </c>
      <c r="K6980" s="1">
        <f t="shared" si="1"/>
        <v>2021</v>
      </c>
      <c r="L6980" s="1" t="str">
        <f t="shared" si="2"/>
        <v>Nov</v>
      </c>
      <c r="M6980" s="1" t="str">
        <f t="shared" si="3"/>
        <v>Profit</v>
      </c>
    </row>
    <row r="6981" ht="14.25" customHeight="1">
      <c r="A6981" s="1" t="s">
        <v>7015</v>
      </c>
      <c r="B6981" s="2">
        <v>44664.0</v>
      </c>
      <c r="C6981" s="1" t="s">
        <v>14</v>
      </c>
      <c r="D6981" s="1" t="s">
        <v>21</v>
      </c>
      <c r="E6981" s="1" t="s">
        <v>37</v>
      </c>
      <c r="F6981" s="1">
        <v>166.25</v>
      </c>
      <c r="G6981" s="1">
        <v>9.89</v>
      </c>
      <c r="H6981" s="1">
        <v>5.0</v>
      </c>
      <c r="I6981" s="1" t="s">
        <v>34</v>
      </c>
      <c r="J6981" s="1" t="s">
        <v>18</v>
      </c>
      <c r="K6981" s="1">
        <f t="shared" si="1"/>
        <v>2022</v>
      </c>
      <c r="L6981" s="1" t="str">
        <f t="shared" si="2"/>
        <v>Apr</v>
      </c>
      <c r="M6981" s="1" t="str">
        <f t="shared" si="3"/>
        <v>Profit</v>
      </c>
    </row>
    <row r="6982" ht="14.25" customHeight="1">
      <c r="A6982" s="1" t="s">
        <v>7016</v>
      </c>
      <c r="B6982" s="2">
        <v>45198.0</v>
      </c>
      <c r="C6982" s="1" t="s">
        <v>20</v>
      </c>
      <c r="D6982" s="1" t="s">
        <v>15</v>
      </c>
      <c r="E6982" s="1" t="s">
        <v>16</v>
      </c>
      <c r="F6982" s="1">
        <v>301.88</v>
      </c>
      <c r="G6982" s="1">
        <v>-122.77</v>
      </c>
      <c r="H6982" s="1">
        <v>4.0</v>
      </c>
      <c r="I6982" s="1" t="s">
        <v>23</v>
      </c>
      <c r="J6982" s="1" t="s">
        <v>38</v>
      </c>
      <c r="K6982" s="1">
        <f t="shared" si="1"/>
        <v>2023</v>
      </c>
      <c r="L6982" s="1" t="str">
        <f t="shared" si="2"/>
        <v>Sep</v>
      </c>
      <c r="M6982" s="1" t="str">
        <f t="shared" si="3"/>
        <v>Loss</v>
      </c>
    </row>
    <row r="6983" ht="14.25" customHeight="1">
      <c r="A6983" s="1" t="s">
        <v>7017</v>
      </c>
      <c r="B6983" s="2">
        <v>44553.0</v>
      </c>
      <c r="C6983" s="1" t="s">
        <v>20</v>
      </c>
      <c r="D6983" s="1" t="s">
        <v>27</v>
      </c>
      <c r="E6983" s="1" t="s">
        <v>40</v>
      </c>
      <c r="F6983" s="1">
        <v>379.0</v>
      </c>
      <c r="G6983" s="1">
        <v>-116.54</v>
      </c>
      <c r="H6983" s="1">
        <v>10.0</v>
      </c>
      <c r="I6983" s="1" t="s">
        <v>23</v>
      </c>
      <c r="J6983" s="1" t="s">
        <v>18</v>
      </c>
      <c r="K6983" s="1">
        <f t="shared" si="1"/>
        <v>2021</v>
      </c>
      <c r="L6983" s="1" t="str">
        <f t="shared" si="2"/>
        <v>Dec</v>
      </c>
      <c r="M6983" s="1" t="str">
        <f t="shared" si="3"/>
        <v>Loss</v>
      </c>
    </row>
    <row r="6984" ht="14.25" customHeight="1">
      <c r="A6984" s="1" t="s">
        <v>7018</v>
      </c>
      <c r="B6984" s="2">
        <v>44795.0</v>
      </c>
      <c r="C6984" s="1" t="s">
        <v>20</v>
      </c>
      <c r="D6984" s="1" t="s">
        <v>21</v>
      </c>
      <c r="E6984" s="1" t="s">
        <v>22</v>
      </c>
      <c r="F6984" s="1">
        <v>602.53</v>
      </c>
      <c r="G6984" s="1">
        <v>-183.47</v>
      </c>
      <c r="H6984" s="1">
        <v>10.0</v>
      </c>
      <c r="I6984" s="1" t="s">
        <v>34</v>
      </c>
      <c r="J6984" s="1" t="s">
        <v>24</v>
      </c>
      <c r="K6984" s="1">
        <f t="shared" si="1"/>
        <v>2022</v>
      </c>
      <c r="L6984" s="1" t="str">
        <f t="shared" si="2"/>
        <v>Aug</v>
      </c>
      <c r="M6984" s="1" t="str">
        <f t="shared" si="3"/>
        <v>Loss</v>
      </c>
    </row>
    <row r="6985" ht="14.25" customHeight="1">
      <c r="A6985" s="1" t="s">
        <v>7019</v>
      </c>
      <c r="B6985" s="2">
        <v>44459.0</v>
      </c>
      <c r="C6985" s="1" t="s">
        <v>14</v>
      </c>
      <c r="D6985" s="1" t="s">
        <v>15</v>
      </c>
      <c r="E6985" s="1" t="s">
        <v>54</v>
      </c>
      <c r="F6985" s="1">
        <v>579.43</v>
      </c>
      <c r="G6985" s="1">
        <v>-29.93</v>
      </c>
      <c r="H6985" s="1">
        <v>8.0</v>
      </c>
      <c r="I6985" s="1" t="s">
        <v>34</v>
      </c>
      <c r="J6985" s="1" t="s">
        <v>18</v>
      </c>
      <c r="K6985" s="1">
        <f t="shared" si="1"/>
        <v>2021</v>
      </c>
      <c r="L6985" s="1" t="str">
        <f t="shared" si="2"/>
        <v>Sep</v>
      </c>
      <c r="M6985" s="1" t="str">
        <f t="shared" si="3"/>
        <v>Loss</v>
      </c>
    </row>
    <row r="6986" ht="14.25" customHeight="1">
      <c r="A6986" s="1" t="s">
        <v>7020</v>
      </c>
      <c r="B6986" s="2">
        <v>44434.0</v>
      </c>
      <c r="C6986" s="1" t="s">
        <v>30</v>
      </c>
      <c r="D6986" s="1" t="s">
        <v>27</v>
      </c>
      <c r="E6986" s="1" t="s">
        <v>33</v>
      </c>
      <c r="F6986" s="1">
        <v>305.66</v>
      </c>
      <c r="G6986" s="1">
        <v>-23.35</v>
      </c>
      <c r="H6986" s="1">
        <v>7.0</v>
      </c>
      <c r="I6986" s="1" t="s">
        <v>34</v>
      </c>
      <c r="J6986" s="1" t="s">
        <v>38</v>
      </c>
      <c r="K6986" s="1">
        <f t="shared" si="1"/>
        <v>2021</v>
      </c>
      <c r="L6986" s="1" t="str">
        <f t="shared" si="2"/>
        <v>Aug</v>
      </c>
      <c r="M6986" s="1" t="str">
        <f t="shared" si="3"/>
        <v>Loss</v>
      </c>
    </row>
    <row r="6987" ht="14.25" customHeight="1">
      <c r="A6987" s="1" t="s">
        <v>7021</v>
      </c>
      <c r="B6987" s="2">
        <v>44689.0</v>
      </c>
      <c r="C6987" s="1" t="s">
        <v>26</v>
      </c>
      <c r="D6987" s="1" t="s">
        <v>15</v>
      </c>
      <c r="E6987" s="1" t="s">
        <v>31</v>
      </c>
      <c r="F6987" s="1">
        <v>849.07</v>
      </c>
      <c r="G6987" s="1">
        <v>292.71</v>
      </c>
      <c r="H6987" s="1">
        <v>10.0</v>
      </c>
      <c r="I6987" s="1" t="s">
        <v>23</v>
      </c>
      <c r="J6987" s="1" t="s">
        <v>18</v>
      </c>
      <c r="K6987" s="1">
        <f t="shared" si="1"/>
        <v>2022</v>
      </c>
      <c r="L6987" s="1" t="str">
        <f t="shared" si="2"/>
        <v>May</v>
      </c>
      <c r="M6987" s="1" t="str">
        <f t="shared" si="3"/>
        <v>Profit</v>
      </c>
    </row>
    <row r="6988" ht="14.25" customHeight="1">
      <c r="A6988" s="1" t="s">
        <v>7022</v>
      </c>
      <c r="B6988" s="2">
        <v>44720.0</v>
      </c>
      <c r="C6988" s="1" t="s">
        <v>26</v>
      </c>
      <c r="D6988" s="1" t="s">
        <v>21</v>
      </c>
      <c r="E6988" s="1" t="s">
        <v>37</v>
      </c>
      <c r="F6988" s="1">
        <v>845.43</v>
      </c>
      <c r="G6988" s="1">
        <v>-17.15</v>
      </c>
      <c r="H6988" s="1">
        <v>8.0</v>
      </c>
      <c r="I6988" s="1" t="s">
        <v>17</v>
      </c>
      <c r="J6988" s="1" t="s">
        <v>38</v>
      </c>
      <c r="K6988" s="1">
        <f t="shared" si="1"/>
        <v>2022</v>
      </c>
      <c r="L6988" s="1" t="str">
        <f t="shared" si="2"/>
        <v>Jun</v>
      </c>
      <c r="M6988" s="1" t="str">
        <f t="shared" si="3"/>
        <v>Loss</v>
      </c>
    </row>
    <row r="6989" ht="14.25" customHeight="1">
      <c r="A6989" s="1" t="s">
        <v>7023</v>
      </c>
      <c r="B6989" s="2">
        <v>44840.0</v>
      </c>
      <c r="C6989" s="1" t="s">
        <v>20</v>
      </c>
      <c r="D6989" s="1" t="s">
        <v>27</v>
      </c>
      <c r="E6989" s="1" t="s">
        <v>28</v>
      </c>
      <c r="F6989" s="1">
        <v>566.71</v>
      </c>
      <c r="G6989" s="1">
        <v>-14.06</v>
      </c>
      <c r="H6989" s="1">
        <v>8.0</v>
      </c>
      <c r="I6989" s="1" t="s">
        <v>17</v>
      </c>
      <c r="J6989" s="1" t="s">
        <v>24</v>
      </c>
      <c r="K6989" s="1">
        <f t="shared" si="1"/>
        <v>2022</v>
      </c>
      <c r="L6989" s="1" t="str">
        <f t="shared" si="2"/>
        <v>Oct</v>
      </c>
      <c r="M6989" s="1" t="str">
        <f t="shared" si="3"/>
        <v>Loss</v>
      </c>
    </row>
    <row r="6990" ht="14.25" customHeight="1">
      <c r="A6990" s="1" t="s">
        <v>7024</v>
      </c>
      <c r="B6990" s="2">
        <v>44294.0</v>
      </c>
      <c r="C6990" s="1" t="s">
        <v>30</v>
      </c>
      <c r="D6990" s="1" t="s">
        <v>21</v>
      </c>
      <c r="E6990" s="1" t="s">
        <v>37</v>
      </c>
      <c r="F6990" s="1">
        <v>322.2</v>
      </c>
      <c r="G6990" s="1">
        <v>280.58</v>
      </c>
      <c r="H6990" s="1">
        <v>9.0</v>
      </c>
      <c r="I6990" s="1" t="s">
        <v>17</v>
      </c>
      <c r="J6990" s="1" t="s">
        <v>35</v>
      </c>
      <c r="K6990" s="1">
        <f t="shared" si="1"/>
        <v>2021</v>
      </c>
      <c r="L6990" s="1" t="str">
        <f t="shared" si="2"/>
        <v>Apr</v>
      </c>
      <c r="M6990" s="1" t="str">
        <f t="shared" si="3"/>
        <v>Profit</v>
      </c>
    </row>
    <row r="6991" ht="14.25" customHeight="1">
      <c r="A6991" s="1" t="s">
        <v>7025</v>
      </c>
      <c r="B6991" s="2">
        <v>44455.0</v>
      </c>
      <c r="C6991" s="1" t="s">
        <v>26</v>
      </c>
      <c r="D6991" s="1" t="s">
        <v>21</v>
      </c>
      <c r="E6991" s="1" t="s">
        <v>76</v>
      </c>
      <c r="F6991" s="1">
        <v>140.04</v>
      </c>
      <c r="G6991" s="1">
        <v>-105.18</v>
      </c>
      <c r="H6991" s="1">
        <v>1.0</v>
      </c>
      <c r="I6991" s="1" t="s">
        <v>34</v>
      </c>
      <c r="J6991" s="1" t="s">
        <v>18</v>
      </c>
      <c r="K6991" s="1">
        <f t="shared" si="1"/>
        <v>2021</v>
      </c>
      <c r="L6991" s="1" t="str">
        <f t="shared" si="2"/>
        <v>Sep</v>
      </c>
      <c r="M6991" s="1" t="str">
        <f t="shared" si="3"/>
        <v>Loss</v>
      </c>
    </row>
    <row r="6992" ht="14.25" customHeight="1">
      <c r="A6992" s="1" t="s">
        <v>7026</v>
      </c>
      <c r="B6992" s="2">
        <v>45136.0</v>
      </c>
      <c r="C6992" s="1" t="s">
        <v>30</v>
      </c>
      <c r="D6992" s="1" t="s">
        <v>15</v>
      </c>
      <c r="E6992" s="1" t="s">
        <v>31</v>
      </c>
      <c r="F6992" s="1">
        <v>538.5</v>
      </c>
      <c r="G6992" s="1">
        <v>-68.92</v>
      </c>
      <c r="H6992" s="1">
        <v>9.0</v>
      </c>
      <c r="I6992" s="1" t="s">
        <v>34</v>
      </c>
      <c r="J6992" s="1" t="s">
        <v>24</v>
      </c>
      <c r="K6992" s="1">
        <f t="shared" si="1"/>
        <v>2023</v>
      </c>
      <c r="L6992" s="1" t="str">
        <f t="shared" si="2"/>
        <v>Jul</v>
      </c>
      <c r="M6992" s="1" t="str">
        <f t="shared" si="3"/>
        <v>Loss</v>
      </c>
    </row>
    <row r="6993" ht="14.25" customHeight="1">
      <c r="A6993" s="1" t="s">
        <v>7027</v>
      </c>
      <c r="B6993" s="2">
        <v>44931.0</v>
      </c>
      <c r="C6993" s="1" t="s">
        <v>14</v>
      </c>
      <c r="D6993" s="1" t="s">
        <v>21</v>
      </c>
      <c r="E6993" s="1" t="s">
        <v>22</v>
      </c>
      <c r="F6993" s="1">
        <v>957.18</v>
      </c>
      <c r="G6993" s="1">
        <v>15.83</v>
      </c>
      <c r="H6993" s="1">
        <v>8.0</v>
      </c>
      <c r="I6993" s="1" t="s">
        <v>34</v>
      </c>
      <c r="J6993" s="1" t="s">
        <v>38</v>
      </c>
      <c r="K6993" s="1">
        <f t="shared" si="1"/>
        <v>2023</v>
      </c>
      <c r="L6993" s="1" t="str">
        <f t="shared" si="2"/>
        <v>Jan</v>
      </c>
      <c r="M6993" s="1" t="str">
        <f t="shared" si="3"/>
        <v>Profit</v>
      </c>
    </row>
    <row r="6994" ht="14.25" customHeight="1">
      <c r="A6994" s="1" t="s">
        <v>7028</v>
      </c>
      <c r="B6994" s="2">
        <v>44622.0</v>
      </c>
      <c r="C6994" s="1" t="s">
        <v>14</v>
      </c>
      <c r="D6994" s="1" t="s">
        <v>27</v>
      </c>
      <c r="E6994" s="1" t="s">
        <v>28</v>
      </c>
      <c r="F6994" s="1">
        <v>323.01</v>
      </c>
      <c r="G6994" s="1">
        <v>-1.77</v>
      </c>
      <c r="H6994" s="1">
        <v>6.0</v>
      </c>
      <c r="I6994" s="1" t="s">
        <v>23</v>
      </c>
      <c r="J6994" s="1" t="s">
        <v>18</v>
      </c>
      <c r="K6994" s="1">
        <f t="shared" si="1"/>
        <v>2022</v>
      </c>
      <c r="L6994" s="1" t="str">
        <f t="shared" si="2"/>
        <v>Mar</v>
      </c>
      <c r="M6994" s="1" t="str">
        <f t="shared" si="3"/>
        <v>Loss</v>
      </c>
    </row>
    <row r="6995" ht="14.25" customHeight="1">
      <c r="A6995" s="1" t="s">
        <v>7029</v>
      </c>
      <c r="B6995" s="2">
        <v>44621.0</v>
      </c>
      <c r="C6995" s="1" t="s">
        <v>30</v>
      </c>
      <c r="D6995" s="1" t="s">
        <v>27</v>
      </c>
      <c r="E6995" s="1" t="s">
        <v>40</v>
      </c>
      <c r="F6995" s="1">
        <v>745.82</v>
      </c>
      <c r="G6995" s="1">
        <v>-70.03</v>
      </c>
      <c r="H6995" s="1">
        <v>7.0</v>
      </c>
      <c r="I6995" s="1" t="s">
        <v>34</v>
      </c>
      <c r="J6995" s="1" t="s">
        <v>24</v>
      </c>
      <c r="K6995" s="1">
        <f t="shared" si="1"/>
        <v>2022</v>
      </c>
      <c r="L6995" s="1" t="str">
        <f t="shared" si="2"/>
        <v>Mar</v>
      </c>
      <c r="M6995" s="1" t="str">
        <f t="shared" si="3"/>
        <v>Loss</v>
      </c>
    </row>
    <row r="6996" ht="14.25" customHeight="1">
      <c r="A6996" s="1" t="s">
        <v>7030</v>
      </c>
      <c r="B6996" s="2">
        <v>44902.0</v>
      </c>
      <c r="C6996" s="1" t="s">
        <v>30</v>
      </c>
      <c r="D6996" s="1" t="s">
        <v>21</v>
      </c>
      <c r="E6996" s="1" t="s">
        <v>37</v>
      </c>
      <c r="F6996" s="1">
        <v>685.26</v>
      </c>
      <c r="G6996" s="1">
        <v>-10.01</v>
      </c>
      <c r="H6996" s="1">
        <v>6.0</v>
      </c>
      <c r="I6996" s="1" t="s">
        <v>17</v>
      </c>
      <c r="J6996" s="1" t="s">
        <v>35</v>
      </c>
      <c r="K6996" s="1">
        <f t="shared" si="1"/>
        <v>2022</v>
      </c>
      <c r="L6996" s="1" t="str">
        <f t="shared" si="2"/>
        <v>Dec</v>
      </c>
      <c r="M6996" s="1" t="str">
        <f t="shared" si="3"/>
        <v>Loss</v>
      </c>
    </row>
    <row r="6997" ht="14.25" customHeight="1">
      <c r="A6997" s="1" t="s">
        <v>7031</v>
      </c>
      <c r="B6997" s="2">
        <v>44646.0</v>
      </c>
      <c r="C6997" s="1" t="s">
        <v>14</v>
      </c>
      <c r="D6997" s="1" t="s">
        <v>27</v>
      </c>
      <c r="E6997" s="1" t="s">
        <v>28</v>
      </c>
      <c r="F6997" s="1">
        <v>340.5</v>
      </c>
      <c r="G6997" s="1">
        <v>-167.76</v>
      </c>
      <c r="H6997" s="1">
        <v>4.0</v>
      </c>
      <c r="I6997" s="1" t="s">
        <v>17</v>
      </c>
      <c r="J6997" s="1" t="s">
        <v>38</v>
      </c>
      <c r="K6997" s="1">
        <f t="shared" si="1"/>
        <v>2022</v>
      </c>
      <c r="L6997" s="1" t="str">
        <f t="shared" si="2"/>
        <v>Mar</v>
      </c>
      <c r="M6997" s="1" t="str">
        <f t="shared" si="3"/>
        <v>Loss</v>
      </c>
    </row>
    <row r="6998" ht="14.25" customHeight="1">
      <c r="A6998" s="1" t="s">
        <v>7032</v>
      </c>
      <c r="B6998" s="2">
        <v>44324.0</v>
      </c>
      <c r="C6998" s="1" t="s">
        <v>26</v>
      </c>
      <c r="D6998" s="1" t="s">
        <v>15</v>
      </c>
      <c r="E6998" s="1" t="s">
        <v>31</v>
      </c>
      <c r="F6998" s="1">
        <v>842.34</v>
      </c>
      <c r="G6998" s="1">
        <v>274.82</v>
      </c>
      <c r="H6998" s="1">
        <v>3.0</v>
      </c>
      <c r="I6998" s="1" t="s">
        <v>23</v>
      </c>
      <c r="J6998" s="1" t="s">
        <v>18</v>
      </c>
      <c r="K6998" s="1">
        <f t="shared" si="1"/>
        <v>2021</v>
      </c>
      <c r="L6998" s="1" t="str">
        <f t="shared" si="2"/>
        <v>May</v>
      </c>
      <c r="M6998" s="1" t="str">
        <f t="shared" si="3"/>
        <v>Profit</v>
      </c>
    </row>
    <row r="6999" ht="14.25" customHeight="1">
      <c r="A6999" s="1" t="s">
        <v>7033</v>
      </c>
      <c r="B6999" s="2">
        <v>44472.0</v>
      </c>
      <c r="C6999" s="1" t="s">
        <v>26</v>
      </c>
      <c r="D6999" s="1" t="s">
        <v>15</v>
      </c>
      <c r="E6999" s="1" t="s">
        <v>31</v>
      </c>
      <c r="F6999" s="1">
        <v>904.25</v>
      </c>
      <c r="G6999" s="1">
        <v>-78.91</v>
      </c>
      <c r="H6999" s="1">
        <v>7.0</v>
      </c>
      <c r="I6999" s="1" t="s">
        <v>17</v>
      </c>
      <c r="J6999" s="1" t="s">
        <v>35</v>
      </c>
      <c r="K6999" s="1">
        <f t="shared" si="1"/>
        <v>2021</v>
      </c>
      <c r="L6999" s="1" t="str">
        <f t="shared" si="2"/>
        <v>Oct</v>
      </c>
      <c r="M6999" s="1" t="str">
        <f t="shared" si="3"/>
        <v>Loss</v>
      </c>
    </row>
    <row r="7000" ht="14.25" customHeight="1">
      <c r="A7000" s="1" t="s">
        <v>7034</v>
      </c>
      <c r="B7000" s="2">
        <v>44246.0</v>
      </c>
      <c r="C7000" s="1" t="s">
        <v>30</v>
      </c>
      <c r="D7000" s="1" t="s">
        <v>27</v>
      </c>
      <c r="E7000" s="1" t="s">
        <v>33</v>
      </c>
      <c r="F7000" s="1">
        <v>623.56</v>
      </c>
      <c r="G7000" s="1">
        <v>-109.84</v>
      </c>
      <c r="H7000" s="1">
        <v>1.0</v>
      </c>
      <c r="I7000" s="1" t="s">
        <v>34</v>
      </c>
      <c r="J7000" s="1" t="s">
        <v>18</v>
      </c>
      <c r="K7000" s="1">
        <f t="shared" si="1"/>
        <v>2021</v>
      </c>
      <c r="L7000" s="1" t="str">
        <f t="shared" si="2"/>
        <v>Feb</v>
      </c>
      <c r="M7000" s="1" t="str">
        <f t="shared" si="3"/>
        <v>Loss</v>
      </c>
    </row>
    <row r="7001" ht="14.25" customHeight="1">
      <c r="A7001" s="1" t="s">
        <v>7035</v>
      </c>
      <c r="B7001" s="2">
        <v>45140.0</v>
      </c>
      <c r="C7001" s="1" t="s">
        <v>20</v>
      </c>
      <c r="D7001" s="1" t="s">
        <v>27</v>
      </c>
      <c r="E7001" s="1" t="s">
        <v>28</v>
      </c>
      <c r="F7001" s="1">
        <v>266.52</v>
      </c>
      <c r="G7001" s="1">
        <v>-124.48</v>
      </c>
      <c r="H7001" s="1">
        <v>10.0</v>
      </c>
      <c r="I7001" s="1" t="s">
        <v>34</v>
      </c>
      <c r="J7001" s="1" t="s">
        <v>18</v>
      </c>
      <c r="K7001" s="1">
        <f t="shared" si="1"/>
        <v>2023</v>
      </c>
      <c r="L7001" s="1" t="str">
        <f t="shared" si="2"/>
        <v>Aug</v>
      </c>
      <c r="M7001" s="1" t="str">
        <f t="shared" si="3"/>
        <v>Loss</v>
      </c>
    </row>
    <row r="7002" ht="14.25" customHeight="1">
      <c r="A7002" s="1" t="s">
        <v>7036</v>
      </c>
      <c r="B7002" s="2">
        <v>44712.0</v>
      </c>
      <c r="C7002" s="1" t="s">
        <v>14</v>
      </c>
      <c r="D7002" s="1" t="s">
        <v>21</v>
      </c>
      <c r="E7002" s="1" t="s">
        <v>37</v>
      </c>
      <c r="F7002" s="1">
        <v>510.64</v>
      </c>
      <c r="G7002" s="1">
        <v>160.04</v>
      </c>
      <c r="H7002" s="1">
        <v>7.0</v>
      </c>
      <c r="I7002" s="1" t="s">
        <v>17</v>
      </c>
      <c r="J7002" s="1" t="s">
        <v>38</v>
      </c>
      <c r="K7002" s="1">
        <f t="shared" si="1"/>
        <v>2022</v>
      </c>
      <c r="L7002" s="1" t="str">
        <f t="shared" si="2"/>
        <v>May</v>
      </c>
      <c r="M7002" s="1" t="str">
        <f t="shared" si="3"/>
        <v>Profit</v>
      </c>
    </row>
    <row r="7003" ht="14.25" customHeight="1">
      <c r="A7003" s="1" t="s">
        <v>7037</v>
      </c>
      <c r="B7003" s="2">
        <v>44473.0</v>
      </c>
      <c r="C7003" s="1" t="s">
        <v>14</v>
      </c>
      <c r="D7003" s="1" t="s">
        <v>27</v>
      </c>
      <c r="E7003" s="1" t="s">
        <v>33</v>
      </c>
      <c r="F7003" s="1">
        <v>954.63</v>
      </c>
      <c r="G7003" s="1">
        <v>-127.38</v>
      </c>
      <c r="H7003" s="1">
        <v>10.0</v>
      </c>
      <c r="I7003" s="1" t="s">
        <v>34</v>
      </c>
      <c r="J7003" s="1" t="s">
        <v>38</v>
      </c>
      <c r="K7003" s="1">
        <f t="shared" si="1"/>
        <v>2021</v>
      </c>
      <c r="L7003" s="1" t="str">
        <f t="shared" si="2"/>
        <v>Oct</v>
      </c>
      <c r="M7003" s="1" t="str">
        <f t="shared" si="3"/>
        <v>Loss</v>
      </c>
    </row>
    <row r="7004" ht="14.25" customHeight="1">
      <c r="A7004" s="1" t="s">
        <v>7038</v>
      </c>
      <c r="B7004" s="2">
        <v>44668.0</v>
      </c>
      <c r="C7004" s="1" t="s">
        <v>20</v>
      </c>
      <c r="D7004" s="1" t="s">
        <v>15</v>
      </c>
      <c r="E7004" s="1" t="s">
        <v>16</v>
      </c>
      <c r="F7004" s="1">
        <v>640.33</v>
      </c>
      <c r="G7004" s="1">
        <v>205.02</v>
      </c>
      <c r="H7004" s="1">
        <v>9.0</v>
      </c>
      <c r="I7004" s="1" t="s">
        <v>34</v>
      </c>
      <c r="J7004" s="1" t="s">
        <v>38</v>
      </c>
      <c r="K7004" s="1">
        <f t="shared" si="1"/>
        <v>2022</v>
      </c>
      <c r="L7004" s="1" t="str">
        <f t="shared" si="2"/>
        <v>Apr</v>
      </c>
      <c r="M7004" s="1" t="str">
        <f t="shared" si="3"/>
        <v>Profit</v>
      </c>
    </row>
    <row r="7005" ht="14.25" customHeight="1">
      <c r="A7005" s="1" t="s">
        <v>7039</v>
      </c>
      <c r="B7005" s="2">
        <v>44952.0</v>
      </c>
      <c r="C7005" s="1" t="s">
        <v>26</v>
      </c>
      <c r="D7005" s="1" t="s">
        <v>27</v>
      </c>
      <c r="E7005" s="1" t="s">
        <v>40</v>
      </c>
      <c r="F7005" s="1">
        <v>852.73</v>
      </c>
      <c r="G7005" s="1">
        <v>162.42</v>
      </c>
      <c r="H7005" s="1">
        <v>9.0</v>
      </c>
      <c r="I7005" s="1" t="s">
        <v>17</v>
      </c>
      <c r="J7005" s="1" t="s">
        <v>35</v>
      </c>
      <c r="K7005" s="1">
        <f t="shared" si="1"/>
        <v>2023</v>
      </c>
      <c r="L7005" s="1" t="str">
        <f t="shared" si="2"/>
        <v>Jan</v>
      </c>
      <c r="M7005" s="1" t="str">
        <f t="shared" si="3"/>
        <v>Profit</v>
      </c>
    </row>
    <row r="7006" ht="14.25" customHeight="1">
      <c r="A7006" s="1" t="s">
        <v>7040</v>
      </c>
      <c r="B7006" s="2">
        <v>44677.0</v>
      </c>
      <c r="C7006" s="1" t="s">
        <v>30</v>
      </c>
      <c r="D7006" s="1" t="s">
        <v>21</v>
      </c>
      <c r="E7006" s="1" t="s">
        <v>76</v>
      </c>
      <c r="F7006" s="1">
        <v>663.14</v>
      </c>
      <c r="G7006" s="1">
        <v>-74.87</v>
      </c>
      <c r="H7006" s="1">
        <v>3.0</v>
      </c>
      <c r="I7006" s="1" t="s">
        <v>34</v>
      </c>
      <c r="J7006" s="1" t="s">
        <v>18</v>
      </c>
      <c r="K7006" s="1">
        <f t="shared" si="1"/>
        <v>2022</v>
      </c>
      <c r="L7006" s="1" t="str">
        <f t="shared" si="2"/>
        <v>Apr</v>
      </c>
      <c r="M7006" s="1" t="str">
        <f t="shared" si="3"/>
        <v>Loss</v>
      </c>
    </row>
    <row r="7007" ht="14.25" customHeight="1">
      <c r="A7007" s="1" t="s">
        <v>7041</v>
      </c>
      <c r="B7007" s="2">
        <v>44543.0</v>
      </c>
      <c r="C7007" s="1" t="s">
        <v>20</v>
      </c>
      <c r="D7007" s="1" t="s">
        <v>15</v>
      </c>
      <c r="E7007" s="1" t="s">
        <v>31</v>
      </c>
      <c r="F7007" s="1">
        <v>110.12</v>
      </c>
      <c r="G7007" s="1">
        <v>-59.7</v>
      </c>
      <c r="H7007" s="1">
        <v>2.0</v>
      </c>
      <c r="I7007" s="1" t="s">
        <v>23</v>
      </c>
      <c r="J7007" s="1" t="s">
        <v>38</v>
      </c>
      <c r="K7007" s="1">
        <f t="shared" si="1"/>
        <v>2021</v>
      </c>
      <c r="L7007" s="1" t="str">
        <f t="shared" si="2"/>
        <v>Dec</v>
      </c>
      <c r="M7007" s="1" t="str">
        <f t="shared" si="3"/>
        <v>Loss</v>
      </c>
    </row>
    <row r="7008" ht="14.25" customHeight="1">
      <c r="A7008" s="1" t="s">
        <v>7042</v>
      </c>
      <c r="B7008" s="2">
        <v>44998.0</v>
      </c>
      <c r="C7008" s="1" t="s">
        <v>26</v>
      </c>
      <c r="D7008" s="1" t="s">
        <v>27</v>
      </c>
      <c r="E7008" s="1" t="s">
        <v>28</v>
      </c>
      <c r="F7008" s="1">
        <v>865.83</v>
      </c>
      <c r="G7008" s="1">
        <v>-60.28</v>
      </c>
      <c r="H7008" s="1">
        <v>10.0</v>
      </c>
      <c r="I7008" s="1" t="s">
        <v>23</v>
      </c>
      <c r="J7008" s="1" t="s">
        <v>24</v>
      </c>
      <c r="K7008" s="1">
        <f t="shared" si="1"/>
        <v>2023</v>
      </c>
      <c r="L7008" s="1" t="str">
        <f t="shared" si="2"/>
        <v>Mar</v>
      </c>
      <c r="M7008" s="1" t="str">
        <f t="shared" si="3"/>
        <v>Loss</v>
      </c>
    </row>
    <row r="7009" ht="14.25" customHeight="1">
      <c r="A7009" s="1" t="s">
        <v>7043</v>
      </c>
      <c r="B7009" s="2">
        <v>45289.0</v>
      </c>
      <c r="C7009" s="1" t="s">
        <v>14</v>
      </c>
      <c r="D7009" s="1" t="s">
        <v>27</v>
      </c>
      <c r="E7009" s="1" t="s">
        <v>40</v>
      </c>
      <c r="F7009" s="1">
        <v>183.02</v>
      </c>
      <c r="G7009" s="1">
        <v>87.84</v>
      </c>
      <c r="H7009" s="1">
        <v>9.0</v>
      </c>
      <c r="I7009" s="1" t="s">
        <v>34</v>
      </c>
      <c r="J7009" s="1" t="s">
        <v>38</v>
      </c>
      <c r="K7009" s="1">
        <f t="shared" si="1"/>
        <v>2023</v>
      </c>
      <c r="L7009" s="1" t="str">
        <f t="shared" si="2"/>
        <v>Dec</v>
      </c>
      <c r="M7009" s="1" t="str">
        <f t="shared" si="3"/>
        <v>Profit</v>
      </c>
    </row>
    <row r="7010" ht="14.25" customHeight="1">
      <c r="A7010" s="1" t="s">
        <v>7044</v>
      </c>
      <c r="B7010" s="2">
        <v>44606.0</v>
      </c>
      <c r="C7010" s="1" t="s">
        <v>14</v>
      </c>
      <c r="D7010" s="1" t="s">
        <v>27</v>
      </c>
      <c r="E7010" s="1" t="s">
        <v>33</v>
      </c>
      <c r="F7010" s="1">
        <v>443.34</v>
      </c>
      <c r="G7010" s="1">
        <v>-43.0</v>
      </c>
      <c r="H7010" s="1">
        <v>6.0</v>
      </c>
      <c r="I7010" s="1" t="s">
        <v>34</v>
      </c>
      <c r="J7010" s="1" t="s">
        <v>18</v>
      </c>
      <c r="K7010" s="1">
        <f t="shared" si="1"/>
        <v>2022</v>
      </c>
      <c r="L7010" s="1" t="str">
        <f t="shared" si="2"/>
        <v>Feb</v>
      </c>
      <c r="M7010" s="1" t="str">
        <f t="shared" si="3"/>
        <v>Loss</v>
      </c>
    </row>
    <row r="7011" ht="14.25" customHeight="1">
      <c r="A7011" s="1" t="s">
        <v>7045</v>
      </c>
      <c r="B7011" s="2">
        <v>44387.0</v>
      </c>
      <c r="C7011" s="1" t="s">
        <v>30</v>
      </c>
      <c r="D7011" s="1" t="s">
        <v>27</v>
      </c>
      <c r="E7011" s="1" t="s">
        <v>33</v>
      </c>
      <c r="F7011" s="1">
        <v>892.42</v>
      </c>
      <c r="G7011" s="1">
        <v>19.38</v>
      </c>
      <c r="H7011" s="1">
        <v>5.0</v>
      </c>
      <c r="I7011" s="1" t="s">
        <v>17</v>
      </c>
      <c r="J7011" s="1" t="s">
        <v>35</v>
      </c>
      <c r="K7011" s="1">
        <f t="shared" si="1"/>
        <v>2021</v>
      </c>
      <c r="L7011" s="1" t="str">
        <f t="shared" si="2"/>
        <v>Jul</v>
      </c>
      <c r="M7011" s="1" t="str">
        <f t="shared" si="3"/>
        <v>Profit</v>
      </c>
    </row>
    <row r="7012" ht="14.25" customHeight="1">
      <c r="A7012" s="1" t="s">
        <v>7046</v>
      </c>
      <c r="B7012" s="2">
        <v>45280.0</v>
      </c>
      <c r="C7012" s="1" t="s">
        <v>26</v>
      </c>
      <c r="D7012" s="1" t="s">
        <v>21</v>
      </c>
      <c r="E7012" s="1" t="s">
        <v>37</v>
      </c>
      <c r="F7012" s="1">
        <v>269.31</v>
      </c>
      <c r="G7012" s="1">
        <v>-152.52</v>
      </c>
      <c r="H7012" s="1">
        <v>4.0</v>
      </c>
      <c r="I7012" s="1" t="s">
        <v>17</v>
      </c>
      <c r="J7012" s="1" t="s">
        <v>24</v>
      </c>
      <c r="K7012" s="1">
        <f t="shared" si="1"/>
        <v>2023</v>
      </c>
      <c r="L7012" s="1" t="str">
        <f t="shared" si="2"/>
        <v>Dec</v>
      </c>
      <c r="M7012" s="1" t="str">
        <f t="shared" si="3"/>
        <v>Loss</v>
      </c>
    </row>
    <row r="7013" ht="14.25" customHeight="1">
      <c r="A7013" s="1" t="s">
        <v>7047</v>
      </c>
      <c r="B7013" s="2">
        <v>44224.0</v>
      </c>
      <c r="C7013" s="1" t="s">
        <v>20</v>
      </c>
      <c r="D7013" s="1" t="s">
        <v>15</v>
      </c>
      <c r="E7013" s="1" t="s">
        <v>54</v>
      </c>
      <c r="F7013" s="1">
        <v>592.77</v>
      </c>
      <c r="G7013" s="1">
        <v>72.6</v>
      </c>
      <c r="H7013" s="1">
        <v>5.0</v>
      </c>
      <c r="I7013" s="1" t="s">
        <v>23</v>
      </c>
      <c r="J7013" s="1" t="s">
        <v>24</v>
      </c>
      <c r="K7013" s="1">
        <f t="shared" si="1"/>
        <v>2021</v>
      </c>
      <c r="L7013" s="1" t="str">
        <f t="shared" si="2"/>
        <v>Jan</v>
      </c>
      <c r="M7013" s="1" t="str">
        <f t="shared" si="3"/>
        <v>Profit</v>
      </c>
    </row>
    <row r="7014" ht="14.25" customHeight="1">
      <c r="A7014" s="1" t="s">
        <v>7048</v>
      </c>
      <c r="B7014" s="2">
        <v>44793.0</v>
      </c>
      <c r="C7014" s="1" t="s">
        <v>30</v>
      </c>
      <c r="D7014" s="1" t="s">
        <v>15</v>
      </c>
      <c r="E7014" s="1" t="s">
        <v>54</v>
      </c>
      <c r="F7014" s="1">
        <v>837.44</v>
      </c>
      <c r="G7014" s="1">
        <v>-159.96</v>
      </c>
      <c r="H7014" s="1">
        <v>10.0</v>
      </c>
      <c r="I7014" s="1" t="s">
        <v>23</v>
      </c>
      <c r="J7014" s="1" t="s">
        <v>24</v>
      </c>
      <c r="K7014" s="1">
        <f t="shared" si="1"/>
        <v>2022</v>
      </c>
      <c r="L7014" s="1" t="str">
        <f t="shared" si="2"/>
        <v>Aug</v>
      </c>
      <c r="M7014" s="1" t="str">
        <f t="shared" si="3"/>
        <v>Loss</v>
      </c>
    </row>
    <row r="7015" ht="14.25" customHeight="1">
      <c r="A7015" s="1" t="s">
        <v>7049</v>
      </c>
      <c r="B7015" s="2">
        <v>44924.0</v>
      </c>
      <c r="C7015" s="1" t="s">
        <v>20</v>
      </c>
      <c r="D7015" s="1" t="s">
        <v>21</v>
      </c>
      <c r="E7015" s="1" t="s">
        <v>22</v>
      </c>
      <c r="F7015" s="1">
        <v>965.98</v>
      </c>
      <c r="G7015" s="1">
        <v>58.57</v>
      </c>
      <c r="H7015" s="1">
        <v>1.0</v>
      </c>
      <c r="I7015" s="1" t="s">
        <v>23</v>
      </c>
      <c r="J7015" s="1" t="s">
        <v>38</v>
      </c>
      <c r="K7015" s="1">
        <f t="shared" si="1"/>
        <v>2022</v>
      </c>
      <c r="L7015" s="1" t="str">
        <f t="shared" si="2"/>
        <v>Dec</v>
      </c>
      <c r="M7015" s="1" t="str">
        <f t="shared" si="3"/>
        <v>Profit</v>
      </c>
    </row>
    <row r="7016" ht="14.25" customHeight="1">
      <c r="A7016" s="1" t="s">
        <v>7050</v>
      </c>
      <c r="B7016" s="2">
        <v>44641.0</v>
      </c>
      <c r="C7016" s="1" t="s">
        <v>26</v>
      </c>
      <c r="D7016" s="1" t="s">
        <v>21</v>
      </c>
      <c r="E7016" s="1" t="s">
        <v>37</v>
      </c>
      <c r="F7016" s="1">
        <v>251.2</v>
      </c>
      <c r="G7016" s="1">
        <v>-85.77</v>
      </c>
      <c r="H7016" s="1">
        <v>2.0</v>
      </c>
      <c r="I7016" s="1" t="s">
        <v>17</v>
      </c>
      <c r="J7016" s="1" t="s">
        <v>38</v>
      </c>
      <c r="K7016" s="1">
        <f t="shared" si="1"/>
        <v>2022</v>
      </c>
      <c r="L7016" s="1" t="str">
        <f t="shared" si="2"/>
        <v>Mar</v>
      </c>
      <c r="M7016" s="1" t="str">
        <f t="shared" si="3"/>
        <v>Loss</v>
      </c>
    </row>
    <row r="7017" ht="14.25" customHeight="1">
      <c r="A7017" s="1" t="s">
        <v>7051</v>
      </c>
      <c r="B7017" s="2">
        <v>44558.0</v>
      </c>
      <c r="C7017" s="1" t="s">
        <v>30</v>
      </c>
      <c r="D7017" s="1" t="s">
        <v>15</v>
      </c>
      <c r="E7017" s="1" t="s">
        <v>16</v>
      </c>
      <c r="F7017" s="1">
        <v>263.35</v>
      </c>
      <c r="G7017" s="1">
        <v>174.05</v>
      </c>
      <c r="H7017" s="1">
        <v>3.0</v>
      </c>
      <c r="I7017" s="1" t="s">
        <v>34</v>
      </c>
      <c r="J7017" s="1" t="s">
        <v>24</v>
      </c>
      <c r="K7017" s="1">
        <f t="shared" si="1"/>
        <v>2021</v>
      </c>
      <c r="L7017" s="1" t="str">
        <f t="shared" si="2"/>
        <v>Dec</v>
      </c>
      <c r="M7017" s="1" t="str">
        <f t="shared" si="3"/>
        <v>Profit</v>
      </c>
    </row>
    <row r="7018" ht="14.25" customHeight="1">
      <c r="A7018" s="1" t="s">
        <v>7052</v>
      </c>
      <c r="B7018" s="2">
        <v>44549.0</v>
      </c>
      <c r="C7018" s="1" t="s">
        <v>30</v>
      </c>
      <c r="D7018" s="1" t="s">
        <v>27</v>
      </c>
      <c r="E7018" s="1" t="s">
        <v>40</v>
      </c>
      <c r="F7018" s="1">
        <v>675.22</v>
      </c>
      <c r="G7018" s="1">
        <v>-74.48</v>
      </c>
      <c r="H7018" s="1">
        <v>5.0</v>
      </c>
      <c r="I7018" s="1" t="s">
        <v>34</v>
      </c>
      <c r="J7018" s="1" t="s">
        <v>24</v>
      </c>
      <c r="K7018" s="1">
        <f t="shared" si="1"/>
        <v>2021</v>
      </c>
      <c r="L7018" s="1" t="str">
        <f t="shared" si="2"/>
        <v>Dec</v>
      </c>
      <c r="M7018" s="1" t="str">
        <f t="shared" si="3"/>
        <v>Loss</v>
      </c>
    </row>
    <row r="7019" ht="14.25" customHeight="1">
      <c r="A7019" s="1" t="s">
        <v>7053</v>
      </c>
      <c r="B7019" s="2">
        <v>44327.0</v>
      </c>
      <c r="C7019" s="1" t="s">
        <v>14</v>
      </c>
      <c r="D7019" s="1" t="s">
        <v>15</v>
      </c>
      <c r="E7019" s="1" t="s">
        <v>31</v>
      </c>
      <c r="F7019" s="1">
        <v>28.95</v>
      </c>
      <c r="G7019" s="1">
        <v>-44.94</v>
      </c>
      <c r="H7019" s="1">
        <v>10.0</v>
      </c>
      <c r="I7019" s="1" t="s">
        <v>23</v>
      </c>
      <c r="J7019" s="1" t="s">
        <v>35</v>
      </c>
      <c r="K7019" s="1">
        <f t="shared" si="1"/>
        <v>2021</v>
      </c>
      <c r="L7019" s="1" t="str">
        <f t="shared" si="2"/>
        <v>May</v>
      </c>
      <c r="M7019" s="1" t="str">
        <f t="shared" si="3"/>
        <v>Loss</v>
      </c>
    </row>
    <row r="7020" ht="14.25" customHeight="1">
      <c r="A7020" s="1" t="s">
        <v>7054</v>
      </c>
      <c r="B7020" s="2">
        <v>44352.0</v>
      </c>
      <c r="C7020" s="1" t="s">
        <v>20</v>
      </c>
      <c r="D7020" s="1" t="s">
        <v>15</v>
      </c>
      <c r="E7020" s="1" t="s">
        <v>16</v>
      </c>
      <c r="F7020" s="1">
        <v>285.59</v>
      </c>
      <c r="G7020" s="1">
        <v>278.79</v>
      </c>
      <c r="H7020" s="1">
        <v>10.0</v>
      </c>
      <c r="I7020" s="1" t="s">
        <v>17</v>
      </c>
      <c r="J7020" s="1" t="s">
        <v>35</v>
      </c>
      <c r="K7020" s="1">
        <f t="shared" si="1"/>
        <v>2021</v>
      </c>
      <c r="L7020" s="1" t="str">
        <f t="shared" si="2"/>
        <v>Jun</v>
      </c>
      <c r="M7020" s="1" t="str">
        <f t="shared" si="3"/>
        <v>Profit</v>
      </c>
    </row>
    <row r="7021" ht="14.25" customHeight="1">
      <c r="A7021" s="1" t="s">
        <v>7055</v>
      </c>
      <c r="B7021" s="2">
        <v>44566.0</v>
      </c>
      <c r="C7021" s="1" t="s">
        <v>30</v>
      </c>
      <c r="D7021" s="1" t="s">
        <v>21</v>
      </c>
      <c r="E7021" s="1" t="s">
        <v>37</v>
      </c>
      <c r="F7021" s="1">
        <v>241.8</v>
      </c>
      <c r="G7021" s="1">
        <v>-148.4</v>
      </c>
      <c r="H7021" s="1">
        <v>8.0</v>
      </c>
      <c r="I7021" s="1" t="s">
        <v>34</v>
      </c>
      <c r="J7021" s="1" t="s">
        <v>35</v>
      </c>
      <c r="K7021" s="1">
        <f t="shared" si="1"/>
        <v>2022</v>
      </c>
      <c r="L7021" s="1" t="str">
        <f t="shared" si="2"/>
        <v>Jan</v>
      </c>
      <c r="M7021" s="1" t="str">
        <f t="shared" si="3"/>
        <v>Loss</v>
      </c>
    </row>
    <row r="7022" ht="14.25" customHeight="1">
      <c r="A7022" s="1" t="s">
        <v>7056</v>
      </c>
      <c r="B7022" s="2">
        <v>44253.0</v>
      </c>
      <c r="C7022" s="1" t="s">
        <v>26</v>
      </c>
      <c r="D7022" s="1" t="s">
        <v>15</v>
      </c>
      <c r="E7022" s="1" t="s">
        <v>16</v>
      </c>
      <c r="F7022" s="1">
        <v>143.99</v>
      </c>
      <c r="G7022" s="1">
        <v>9.37</v>
      </c>
      <c r="H7022" s="1">
        <v>2.0</v>
      </c>
      <c r="I7022" s="1" t="s">
        <v>23</v>
      </c>
      <c r="J7022" s="1" t="s">
        <v>24</v>
      </c>
      <c r="K7022" s="1">
        <f t="shared" si="1"/>
        <v>2021</v>
      </c>
      <c r="L7022" s="1" t="str">
        <f t="shared" si="2"/>
        <v>Feb</v>
      </c>
      <c r="M7022" s="1" t="str">
        <f t="shared" si="3"/>
        <v>Profit</v>
      </c>
    </row>
    <row r="7023" ht="14.25" customHeight="1">
      <c r="A7023" s="1" t="s">
        <v>7057</v>
      </c>
      <c r="B7023" s="2">
        <v>44490.0</v>
      </c>
      <c r="C7023" s="1" t="s">
        <v>20</v>
      </c>
      <c r="D7023" s="1" t="s">
        <v>21</v>
      </c>
      <c r="E7023" s="1" t="s">
        <v>76</v>
      </c>
      <c r="F7023" s="1">
        <v>810.98</v>
      </c>
      <c r="G7023" s="1">
        <v>-107.3</v>
      </c>
      <c r="H7023" s="1">
        <v>6.0</v>
      </c>
      <c r="I7023" s="1" t="s">
        <v>23</v>
      </c>
      <c r="J7023" s="1" t="s">
        <v>24</v>
      </c>
      <c r="K7023" s="1">
        <f t="shared" si="1"/>
        <v>2021</v>
      </c>
      <c r="L7023" s="1" t="str">
        <f t="shared" si="2"/>
        <v>Oct</v>
      </c>
      <c r="M7023" s="1" t="str">
        <f t="shared" si="3"/>
        <v>Loss</v>
      </c>
    </row>
    <row r="7024" ht="14.25" customHeight="1">
      <c r="A7024" s="1" t="s">
        <v>7058</v>
      </c>
      <c r="B7024" s="2">
        <v>44365.0</v>
      </c>
      <c r="C7024" s="1" t="s">
        <v>30</v>
      </c>
      <c r="D7024" s="1" t="s">
        <v>15</v>
      </c>
      <c r="E7024" s="1" t="s">
        <v>54</v>
      </c>
      <c r="F7024" s="1">
        <v>413.44</v>
      </c>
      <c r="G7024" s="1">
        <v>-37.78</v>
      </c>
      <c r="H7024" s="1">
        <v>1.0</v>
      </c>
      <c r="I7024" s="1" t="s">
        <v>17</v>
      </c>
      <c r="J7024" s="1" t="s">
        <v>38</v>
      </c>
      <c r="K7024" s="1">
        <f t="shared" si="1"/>
        <v>2021</v>
      </c>
      <c r="L7024" s="1" t="str">
        <f t="shared" si="2"/>
        <v>Jun</v>
      </c>
      <c r="M7024" s="1" t="str">
        <f t="shared" si="3"/>
        <v>Loss</v>
      </c>
    </row>
    <row r="7025" ht="14.25" customHeight="1">
      <c r="A7025" s="1" t="s">
        <v>7059</v>
      </c>
      <c r="B7025" s="2">
        <v>45279.0</v>
      </c>
      <c r="C7025" s="1" t="s">
        <v>14</v>
      </c>
      <c r="D7025" s="1" t="s">
        <v>15</v>
      </c>
      <c r="E7025" s="1" t="s">
        <v>16</v>
      </c>
      <c r="F7025" s="1">
        <v>492.08</v>
      </c>
      <c r="G7025" s="1">
        <v>84.1</v>
      </c>
      <c r="H7025" s="1">
        <v>3.0</v>
      </c>
      <c r="I7025" s="1" t="s">
        <v>34</v>
      </c>
      <c r="J7025" s="1" t="s">
        <v>18</v>
      </c>
      <c r="K7025" s="1">
        <f t="shared" si="1"/>
        <v>2023</v>
      </c>
      <c r="L7025" s="1" t="str">
        <f t="shared" si="2"/>
        <v>Dec</v>
      </c>
      <c r="M7025" s="1" t="str">
        <f t="shared" si="3"/>
        <v>Profit</v>
      </c>
    </row>
    <row r="7026" ht="14.25" customHeight="1">
      <c r="A7026" s="1" t="s">
        <v>7060</v>
      </c>
      <c r="B7026" s="2">
        <v>44451.0</v>
      </c>
      <c r="C7026" s="1" t="s">
        <v>20</v>
      </c>
      <c r="D7026" s="1" t="s">
        <v>27</v>
      </c>
      <c r="E7026" s="1" t="s">
        <v>40</v>
      </c>
      <c r="F7026" s="1">
        <v>102.54</v>
      </c>
      <c r="G7026" s="1">
        <v>111.22</v>
      </c>
      <c r="H7026" s="1">
        <v>1.0</v>
      </c>
      <c r="I7026" s="1" t="s">
        <v>23</v>
      </c>
      <c r="J7026" s="1" t="s">
        <v>18</v>
      </c>
      <c r="K7026" s="1">
        <f t="shared" si="1"/>
        <v>2021</v>
      </c>
      <c r="L7026" s="1" t="str">
        <f t="shared" si="2"/>
        <v>Sep</v>
      </c>
      <c r="M7026" s="1" t="str">
        <f t="shared" si="3"/>
        <v>Profit</v>
      </c>
    </row>
    <row r="7027" ht="14.25" customHeight="1">
      <c r="A7027" s="1" t="s">
        <v>7061</v>
      </c>
      <c r="B7027" s="2">
        <v>45275.0</v>
      </c>
      <c r="C7027" s="1" t="s">
        <v>26</v>
      </c>
      <c r="D7027" s="1" t="s">
        <v>15</v>
      </c>
      <c r="E7027" s="1" t="s">
        <v>31</v>
      </c>
      <c r="F7027" s="1">
        <v>980.23</v>
      </c>
      <c r="G7027" s="1">
        <v>-91.66</v>
      </c>
      <c r="H7027" s="1">
        <v>10.0</v>
      </c>
      <c r="I7027" s="1" t="s">
        <v>34</v>
      </c>
      <c r="J7027" s="1" t="s">
        <v>18</v>
      </c>
      <c r="K7027" s="1">
        <f t="shared" si="1"/>
        <v>2023</v>
      </c>
      <c r="L7027" s="1" t="str">
        <f t="shared" si="2"/>
        <v>Dec</v>
      </c>
      <c r="M7027" s="1" t="str">
        <f t="shared" si="3"/>
        <v>Loss</v>
      </c>
    </row>
    <row r="7028" ht="14.25" customHeight="1">
      <c r="A7028" s="1" t="s">
        <v>7062</v>
      </c>
      <c r="B7028" s="2">
        <v>44357.0</v>
      </c>
      <c r="C7028" s="1" t="s">
        <v>14</v>
      </c>
      <c r="D7028" s="1" t="s">
        <v>21</v>
      </c>
      <c r="E7028" s="1" t="s">
        <v>22</v>
      </c>
      <c r="F7028" s="1">
        <v>42.52</v>
      </c>
      <c r="G7028" s="1">
        <v>102.97</v>
      </c>
      <c r="H7028" s="1">
        <v>4.0</v>
      </c>
      <c r="I7028" s="1" t="s">
        <v>23</v>
      </c>
      <c r="J7028" s="1" t="s">
        <v>38</v>
      </c>
      <c r="K7028" s="1">
        <f t="shared" si="1"/>
        <v>2021</v>
      </c>
      <c r="L7028" s="1" t="str">
        <f t="shared" si="2"/>
        <v>Jun</v>
      </c>
      <c r="M7028" s="1" t="str">
        <f t="shared" si="3"/>
        <v>Profit</v>
      </c>
    </row>
    <row r="7029" ht="14.25" customHeight="1">
      <c r="A7029" s="1" t="s">
        <v>7063</v>
      </c>
      <c r="B7029" s="2">
        <v>44445.0</v>
      </c>
      <c r="C7029" s="1" t="s">
        <v>20</v>
      </c>
      <c r="D7029" s="1" t="s">
        <v>15</v>
      </c>
      <c r="E7029" s="1" t="s">
        <v>16</v>
      </c>
      <c r="F7029" s="1">
        <v>129.82</v>
      </c>
      <c r="G7029" s="1">
        <v>111.05</v>
      </c>
      <c r="H7029" s="1">
        <v>3.0</v>
      </c>
      <c r="I7029" s="1" t="s">
        <v>17</v>
      </c>
      <c r="J7029" s="1" t="s">
        <v>24</v>
      </c>
      <c r="K7029" s="1">
        <f t="shared" si="1"/>
        <v>2021</v>
      </c>
      <c r="L7029" s="1" t="str">
        <f t="shared" si="2"/>
        <v>Sep</v>
      </c>
      <c r="M7029" s="1" t="str">
        <f t="shared" si="3"/>
        <v>Profit</v>
      </c>
    </row>
    <row r="7030" ht="14.25" customHeight="1">
      <c r="A7030" s="1" t="s">
        <v>7064</v>
      </c>
      <c r="B7030" s="2">
        <v>45212.0</v>
      </c>
      <c r="C7030" s="1" t="s">
        <v>30</v>
      </c>
      <c r="D7030" s="1" t="s">
        <v>27</v>
      </c>
      <c r="E7030" s="1" t="s">
        <v>33</v>
      </c>
      <c r="F7030" s="1">
        <v>854.34</v>
      </c>
      <c r="G7030" s="1">
        <v>114.29</v>
      </c>
      <c r="H7030" s="1">
        <v>4.0</v>
      </c>
      <c r="I7030" s="1" t="s">
        <v>23</v>
      </c>
      <c r="J7030" s="1" t="s">
        <v>18</v>
      </c>
      <c r="K7030" s="1">
        <f t="shared" si="1"/>
        <v>2023</v>
      </c>
      <c r="L7030" s="1" t="str">
        <f t="shared" si="2"/>
        <v>Oct</v>
      </c>
      <c r="M7030" s="1" t="str">
        <f t="shared" si="3"/>
        <v>Profit</v>
      </c>
    </row>
    <row r="7031" ht="14.25" customHeight="1">
      <c r="A7031" s="1" t="s">
        <v>7065</v>
      </c>
      <c r="B7031" s="2">
        <v>44323.0</v>
      </c>
      <c r="C7031" s="1" t="s">
        <v>26</v>
      </c>
      <c r="D7031" s="1" t="s">
        <v>21</v>
      </c>
      <c r="E7031" s="1" t="s">
        <v>76</v>
      </c>
      <c r="F7031" s="1">
        <v>620.77</v>
      </c>
      <c r="G7031" s="1">
        <v>171.09</v>
      </c>
      <c r="H7031" s="1">
        <v>6.0</v>
      </c>
      <c r="I7031" s="1" t="s">
        <v>34</v>
      </c>
      <c r="J7031" s="1" t="s">
        <v>38</v>
      </c>
      <c r="K7031" s="1">
        <f t="shared" si="1"/>
        <v>2021</v>
      </c>
      <c r="L7031" s="1" t="str">
        <f t="shared" si="2"/>
        <v>May</v>
      </c>
      <c r="M7031" s="1" t="str">
        <f t="shared" si="3"/>
        <v>Profit</v>
      </c>
    </row>
    <row r="7032" ht="14.25" customHeight="1">
      <c r="A7032" s="1" t="s">
        <v>7066</v>
      </c>
      <c r="B7032" s="2">
        <v>44657.0</v>
      </c>
      <c r="C7032" s="1" t="s">
        <v>20</v>
      </c>
      <c r="D7032" s="1" t="s">
        <v>21</v>
      </c>
      <c r="E7032" s="1" t="s">
        <v>37</v>
      </c>
      <c r="F7032" s="1">
        <v>118.0</v>
      </c>
      <c r="G7032" s="1">
        <v>87.41</v>
      </c>
      <c r="H7032" s="1">
        <v>6.0</v>
      </c>
      <c r="I7032" s="1" t="s">
        <v>23</v>
      </c>
      <c r="J7032" s="1" t="s">
        <v>24</v>
      </c>
      <c r="K7032" s="1">
        <f t="shared" si="1"/>
        <v>2022</v>
      </c>
      <c r="L7032" s="1" t="str">
        <f t="shared" si="2"/>
        <v>Apr</v>
      </c>
      <c r="M7032" s="1" t="str">
        <f t="shared" si="3"/>
        <v>Profit</v>
      </c>
    </row>
    <row r="7033" ht="14.25" customHeight="1">
      <c r="A7033" s="1" t="s">
        <v>7067</v>
      </c>
      <c r="B7033" s="2">
        <v>44227.0</v>
      </c>
      <c r="C7033" s="1" t="s">
        <v>26</v>
      </c>
      <c r="D7033" s="1" t="s">
        <v>21</v>
      </c>
      <c r="E7033" s="1" t="s">
        <v>22</v>
      </c>
      <c r="F7033" s="1">
        <v>147.21</v>
      </c>
      <c r="G7033" s="1">
        <v>-128.76</v>
      </c>
      <c r="H7033" s="1">
        <v>7.0</v>
      </c>
      <c r="I7033" s="1" t="s">
        <v>23</v>
      </c>
      <c r="J7033" s="1" t="s">
        <v>18</v>
      </c>
      <c r="K7033" s="1">
        <f t="shared" si="1"/>
        <v>2021</v>
      </c>
      <c r="L7033" s="1" t="str">
        <f t="shared" si="2"/>
        <v>Jan</v>
      </c>
      <c r="M7033" s="1" t="str">
        <f t="shared" si="3"/>
        <v>Loss</v>
      </c>
    </row>
    <row r="7034" ht="14.25" customHeight="1">
      <c r="A7034" s="1" t="s">
        <v>7068</v>
      </c>
      <c r="B7034" s="2">
        <v>44843.0</v>
      </c>
      <c r="C7034" s="1" t="s">
        <v>30</v>
      </c>
      <c r="D7034" s="1" t="s">
        <v>15</v>
      </c>
      <c r="E7034" s="1" t="s">
        <v>16</v>
      </c>
      <c r="F7034" s="1">
        <v>773.34</v>
      </c>
      <c r="G7034" s="1">
        <v>-156.67</v>
      </c>
      <c r="H7034" s="1">
        <v>7.0</v>
      </c>
      <c r="I7034" s="1" t="s">
        <v>17</v>
      </c>
      <c r="J7034" s="1" t="s">
        <v>18</v>
      </c>
      <c r="K7034" s="1">
        <f t="shared" si="1"/>
        <v>2022</v>
      </c>
      <c r="L7034" s="1" t="str">
        <f t="shared" si="2"/>
        <v>Oct</v>
      </c>
      <c r="M7034" s="1" t="str">
        <f t="shared" si="3"/>
        <v>Loss</v>
      </c>
    </row>
    <row r="7035" ht="14.25" customHeight="1">
      <c r="A7035" s="1" t="s">
        <v>7069</v>
      </c>
      <c r="B7035" s="2">
        <v>44510.0</v>
      </c>
      <c r="C7035" s="1" t="s">
        <v>14</v>
      </c>
      <c r="D7035" s="1" t="s">
        <v>27</v>
      </c>
      <c r="E7035" s="1" t="s">
        <v>28</v>
      </c>
      <c r="F7035" s="1">
        <v>476.52</v>
      </c>
      <c r="G7035" s="1">
        <v>-172.06</v>
      </c>
      <c r="H7035" s="1">
        <v>3.0</v>
      </c>
      <c r="I7035" s="1" t="s">
        <v>17</v>
      </c>
      <c r="J7035" s="1" t="s">
        <v>38</v>
      </c>
      <c r="K7035" s="1">
        <f t="shared" si="1"/>
        <v>2021</v>
      </c>
      <c r="L7035" s="1" t="str">
        <f t="shared" si="2"/>
        <v>Nov</v>
      </c>
      <c r="M7035" s="1" t="str">
        <f t="shared" si="3"/>
        <v>Loss</v>
      </c>
    </row>
    <row r="7036" ht="14.25" customHeight="1">
      <c r="A7036" s="1" t="s">
        <v>7070</v>
      </c>
      <c r="B7036" s="2">
        <v>45005.0</v>
      </c>
      <c r="C7036" s="1" t="s">
        <v>26</v>
      </c>
      <c r="D7036" s="1" t="s">
        <v>21</v>
      </c>
      <c r="E7036" s="1" t="s">
        <v>76</v>
      </c>
      <c r="F7036" s="1">
        <v>89.84</v>
      </c>
      <c r="G7036" s="1">
        <v>-4.26</v>
      </c>
      <c r="H7036" s="1">
        <v>8.0</v>
      </c>
      <c r="I7036" s="1" t="s">
        <v>34</v>
      </c>
      <c r="J7036" s="1" t="s">
        <v>38</v>
      </c>
      <c r="K7036" s="1">
        <f t="shared" si="1"/>
        <v>2023</v>
      </c>
      <c r="L7036" s="1" t="str">
        <f t="shared" si="2"/>
        <v>Mar</v>
      </c>
      <c r="M7036" s="1" t="str">
        <f t="shared" si="3"/>
        <v>Loss</v>
      </c>
    </row>
    <row r="7037" ht="14.25" customHeight="1">
      <c r="A7037" s="1" t="s">
        <v>7071</v>
      </c>
      <c r="B7037" s="2">
        <v>44274.0</v>
      </c>
      <c r="C7037" s="1" t="s">
        <v>26</v>
      </c>
      <c r="D7037" s="1" t="s">
        <v>27</v>
      </c>
      <c r="E7037" s="1" t="s">
        <v>33</v>
      </c>
      <c r="F7037" s="1">
        <v>767.77</v>
      </c>
      <c r="G7037" s="1">
        <v>230.85</v>
      </c>
      <c r="H7037" s="1">
        <v>1.0</v>
      </c>
      <c r="I7037" s="1" t="s">
        <v>17</v>
      </c>
      <c r="J7037" s="1" t="s">
        <v>24</v>
      </c>
      <c r="K7037" s="1">
        <f t="shared" si="1"/>
        <v>2021</v>
      </c>
      <c r="L7037" s="1" t="str">
        <f t="shared" si="2"/>
        <v>Mar</v>
      </c>
      <c r="M7037" s="1" t="str">
        <f t="shared" si="3"/>
        <v>Profit</v>
      </c>
    </row>
    <row r="7038" ht="14.25" customHeight="1">
      <c r="A7038" s="1" t="s">
        <v>7072</v>
      </c>
      <c r="B7038" s="2">
        <v>45018.0</v>
      </c>
      <c r="C7038" s="1" t="s">
        <v>20</v>
      </c>
      <c r="D7038" s="1" t="s">
        <v>21</v>
      </c>
      <c r="E7038" s="1" t="s">
        <v>37</v>
      </c>
      <c r="F7038" s="1">
        <v>809.13</v>
      </c>
      <c r="G7038" s="1">
        <v>-133.09</v>
      </c>
      <c r="H7038" s="1">
        <v>5.0</v>
      </c>
      <c r="I7038" s="1" t="s">
        <v>23</v>
      </c>
      <c r="J7038" s="1" t="s">
        <v>38</v>
      </c>
      <c r="K7038" s="1">
        <f t="shared" si="1"/>
        <v>2023</v>
      </c>
      <c r="L7038" s="1" t="str">
        <f t="shared" si="2"/>
        <v>Apr</v>
      </c>
      <c r="M7038" s="1" t="str">
        <f t="shared" si="3"/>
        <v>Loss</v>
      </c>
    </row>
    <row r="7039" ht="14.25" customHeight="1">
      <c r="A7039" s="1" t="s">
        <v>7073</v>
      </c>
      <c r="B7039" s="2">
        <v>45142.0</v>
      </c>
      <c r="C7039" s="1" t="s">
        <v>26</v>
      </c>
      <c r="D7039" s="1" t="s">
        <v>27</v>
      </c>
      <c r="E7039" s="1" t="s">
        <v>40</v>
      </c>
      <c r="F7039" s="1">
        <v>992.54</v>
      </c>
      <c r="G7039" s="1">
        <v>255.57</v>
      </c>
      <c r="H7039" s="1">
        <v>4.0</v>
      </c>
      <c r="I7039" s="1" t="s">
        <v>17</v>
      </c>
      <c r="J7039" s="1" t="s">
        <v>38</v>
      </c>
      <c r="K7039" s="1">
        <f t="shared" si="1"/>
        <v>2023</v>
      </c>
      <c r="L7039" s="1" t="str">
        <f t="shared" si="2"/>
        <v>Aug</v>
      </c>
      <c r="M7039" s="1" t="str">
        <f t="shared" si="3"/>
        <v>Profit</v>
      </c>
    </row>
    <row r="7040" ht="14.25" customHeight="1">
      <c r="A7040" s="1" t="s">
        <v>7074</v>
      </c>
      <c r="B7040" s="2">
        <v>44592.0</v>
      </c>
      <c r="C7040" s="1" t="s">
        <v>30</v>
      </c>
      <c r="D7040" s="1" t="s">
        <v>21</v>
      </c>
      <c r="E7040" s="1" t="s">
        <v>22</v>
      </c>
      <c r="F7040" s="1">
        <v>618.01</v>
      </c>
      <c r="G7040" s="1">
        <v>-167.86</v>
      </c>
      <c r="H7040" s="1">
        <v>3.0</v>
      </c>
      <c r="I7040" s="1" t="s">
        <v>34</v>
      </c>
      <c r="J7040" s="1" t="s">
        <v>38</v>
      </c>
      <c r="K7040" s="1">
        <f t="shared" si="1"/>
        <v>2022</v>
      </c>
      <c r="L7040" s="1" t="str">
        <f t="shared" si="2"/>
        <v>Jan</v>
      </c>
      <c r="M7040" s="1" t="str">
        <f t="shared" si="3"/>
        <v>Loss</v>
      </c>
    </row>
    <row r="7041" ht="14.25" customHeight="1">
      <c r="A7041" s="1" t="s">
        <v>7075</v>
      </c>
      <c r="B7041" s="2">
        <v>44987.0</v>
      </c>
      <c r="C7041" s="1" t="s">
        <v>26</v>
      </c>
      <c r="D7041" s="1" t="s">
        <v>15</v>
      </c>
      <c r="E7041" s="1" t="s">
        <v>54</v>
      </c>
      <c r="F7041" s="1">
        <v>323.72</v>
      </c>
      <c r="G7041" s="1">
        <v>236.04</v>
      </c>
      <c r="H7041" s="1">
        <v>1.0</v>
      </c>
      <c r="I7041" s="1" t="s">
        <v>23</v>
      </c>
      <c r="J7041" s="1" t="s">
        <v>24</v>
      </c>
      <c r="K7041" s="1">
        <f t="shared" si="1"/>
        <v>2023</v>
      </c>
      <c r="L7041" s="1" t="str">
        <f t="shared" si="2"/>
        <v>Mar</v>
      </c>
      <c r="M7041" s="1" t="str">
        <f t="shared" si="3"/>
        <v>Profit</v>
      </c>
    </row>
    <row r="7042" ht="14.25" customHeight="1">
      <c r="A7042" s="1" t="s">
        <v>7076</v>
      </c>
      <c r="B7042" s="2">
        <v>45074.0</v>
      </c>
      <c r="C7042" s="1" t="s">
        <v>26</v>
      </c>
      <c r="D7042" s="1" t="s">
        <v>21</v>
      </c>
      <c r="E7042" s="1" t="s">
        <v>22</v>
      </c>
      <c r="F7042" s="1">
        <v>802.11</v>
      </c>
      <c r="G7042" s="1">
        <v>-140.93</v>
      </c>
      <c r="H7042" s="1">
        <v>6.0</v>
      </c>
      <c r="I7042" s="1" t="s">
        <v>17</v>
      </c>
      <c r="J7042" s="1" t="s">
        <v>35</v>
      </c>
      <c r="K7042" s="1">
        <f t="shared" si="1"/>
        <v>2023</v>
      </c>
      <c r="L7042" s="1" t="str">
        <f t="shared" si="2"/>
        <v>May</v>
      </c>
      <c r="M7042" s="1" t="str">
        <f t="shared" si="3"/>
        <v>Loss</v>
      </c>
    </row>
    <row r="7043" ht="14.25" customHeight="1">
      <c r="A7043" s="1" t="s">
        <v>7077</v>
      </c>
      <c r="B7043" s="2">
        <v>44806.0</v>
      </c>
      <c r="C7043" s="1" t="s">
        <v>20</v>
      </c>
      <c r="D7043" s="1" t="s">
        <v>15</v>
      </c>
      <c r="E7043" s="1" t="s">
        <v>54</v>
      </c>
      <c r="F7043" s="1">
        <v>971.73</v>
      </c>
      <c r="G7043" s="1">
        <v>213.42</v>
      </c>
      <c r="H7043" s="1">
        <v>1.0</v>
      </c>
      <c r="I7043" s="1" t="s">
        <v>34</v>
      </c>
      <c r="J7043" s="1" t="s">
        <v>24</v>
      </c>
      <c r="K7043" s="1">
        <f t="shared" si="1"/>
        <v>2022</v>
      </c>
      <c r="L7043" s="1" t="str">
        <f t="shared" si="2"/>
        <v>Sep</v>
      </c>
      <c r="M7043" s="1" t="str">
        <f t="shared" si="3"/>
        <v>Profit</v>
      </c>
    </row>
    <row r="7044" ht="14.25" customHeight="1">
      <c r="A7044" s="1" t="s">
        <v>7078</v>
      </c>
      <c r="B7044" s="2">
        <v>45182.0</v>
      </c>
      <c r="C7044" s="1" t="s">
        <v>14</v>
      </c>
      <c r="D7044" s="1" t="s">
        <v>15</v>
      </c>
      <c r="E7044" s="1" t="s">
        <v>54</v>
      </c>
      <c r="F7044" s="1">
        <v>891.37</v>
      </c>
      <c r="G7044" s="1">
        <v>104.58</v>
      </c>
      <c r="H7044" s="1">
        <v>8.0</v>
      </c>
      <c r="I7044" s="1" t="s">
        <v>17</v>
      </c>
      <c r="J7044" s="1" t="s">
        <v>35</v>
      </c>
      <c r="K7044" s="1">
        <f t="shared" si="1"/>
        <v>2023</v>
      </c>
      <c r="L7044" s="1" t="str">
        <f t="shared" si="2"/>
        <v>Sep</v>
      </c>
      <c r="M7044" s="1" t="str">
        <f t="shared" si="3"/>
        <v>Profit</v>
      </c>
    </row>
    <row r="7045" ht="14.25" customHeight="1">
      <c r="A7045" s="1" t="s">
        <v>7079</v>
      </c>
      <c r="B7045" s="2">
        <v>45045.0</v>
      </c>
      <c r="C7045" s="1" t="s">
        <v>14</v>
      </c>
      <c r="D7045" s="1" t="s">
        <v>27</v>
      </c>
      <c r="E7045" s="1" t="s">
        <v>33</v>
      </c>
      <c r="F7045" s="1">
        <v>115.35</v>
      </c>
      <c r="G7045" s="1">
        <v>-74.09</v>
      </c>
      <c r="H7045" s="1">
        <v>8.0</v>
      </c>
      <c r="I7045" s="1" t="s">
        <v>23</v>
      </c>
      <c r="J7045" s="1" t="s">
        <v>24</v>
      </c>
      <c r="K7045" s="1">
        <f t="shared" si="1"/>
        <v>2023</v>
      </c>
      <c r="L7045" s="1" t="str">
        <f t="shared" si="2"/>
        <v>Apr</v>
      </c>
      <c r="M7045" s="1" t="str">
        <f t="shared" si="3"/>
        <v>Loss</v>
      </c>
    </row>
    <row r="7046" ht="14.25" customHeight="1">
      <c r="A7046" s="1" t="s">
        <v>7080</v>
      </c>
      <c r="B7046" s="2">
        <v>44911.0</v>
      </c>
      <c r="C7046" s="1" t="s">
        <v>20</v>
      </c>
      <c r="D7046" s="1" t="s">
        <v>21</v>
      </c>
      <c r="E7046" s="1" t="s">
        <v>76</v>
      </c>
      <c r="F7046" s="1">
        <v>482.93</v>
      </c>
      <c r="G7046" s="1">
        <v>299.28</v>
      </c>
      <c r="H7046" s="1">
        <v>3.0</v>
      </c>
      <c r="I7046" s="1" t="s">
        <v>17</v>
      </c>
      <c r="J7046" s="1" t="s">
        <v>38</v>
      </c>
      <c r="K7046" s="1">
        <f t="shared" si="1"/>
        <v>2022</v>
      </c>
      <c r="L7046" s="1" t="str">
        <f t="shared" si="2"/>
        <v>Dec</v>
      </c>
      <c r="M7046" s="1" t="str">
        <f t="shared" si="3"/>
        <v>Profit</v>
      </c>
    </row>
    <row r="7047" ht="14.25" customHeight="1">
      <c r="A7047" s="1" t="s">
        <v>7081</v>
      </c>
      <c r="B7047" s="2">
        <v>44575.0</v>
      </c>
      <c r="C7047" s="1" t="s">
        <v>30</v>
      </c>
      <c r="D7047" s="1" t="s">
        <v>27</v>
      </c>
      <c r="E7047" s="1" t="s">
        <v>40</v>
      </c>
      <c r="F7047" s="1">
        <v>529.87</v>
      </c>
      <c r="G7047" s="1">
        <v>47.79</v>
      </c>
      <c r="H7047" s="1">
        <v>6.0</v>
      </c>
      <c r="I7047" s="1" t="s">
        <v>34</v>
      </c>
      <c r="J7047" s="1" t="s">
        <v>38</v>
      </c>
      <c r="K7047" s="1">
        <f t="shared" si="1"/>
        <v>2022</v>
      </c>
      <c r="L7047" s="1" t="str">
        <f t="shared" si="2"/>
        <v>Jan</v>
      </c>
      <c r="M7047" s="1" t="str">
        <f t="shared" si="3"/>
        <v>Profit</v>
      </c>
    </row>
    <row r="7048" ht="14.25" customHeight="1">
      <c r="A7048" s="1" t="s">
        <v>7082</v>
      </c>
      <c r="B7048" s="2">
        <v>44603.0</v>
      </c>
      <c r="C7048" s="1" t="s">
        <v>26</v>
      </c>
      <c r="D7048" s="1" t="s">
        <v>15</v>
      </c>
      <c r="E7048" s="1" t="s">
        <v>54</v>
      </c>
      <c r="F7048" s="1">
        <v>543.22</v>
      </c>
      <c r="G7048" s="1">
        <v>184.61</v>
      </c>
      <c r="H7048" s="1">
        <v>2.0</v>
      </c>
      <c r="I7048" s="1" t="s">
        <v>17</v>
      </c>
      <c r="J7048" s="1" t="s">
        <v>35</v>
      </c>
      <c r="K7048" s="1">
        <f t="shared" si="1"/>
        <v>2022</v>
      </c>
      <c r="L7048" s="1" t="str">
        <f t="shared" si="2"/>
        <v>Feb</v>
      </c>
      <c r="M7048" s="1" t="str">
        <f t="shared" si="3"/>
        <v>Profit</v>
      </c>
    </row>
    <row r="7049" ht="14.25" customHeight="1">
      <c r="A7049" s="1" t="s">
        <v>7083</v>
      </c>
      <c r="B7049" s="2">
        <v>44371.0</v>
      </c>
      <c r="C7049" s="1" t="s">
        <v>20</v>
      </c>
      <c r="D7049" s="1" t="s">
        <v>15</v>
      </c>
      <c r="E7049" s="1" t="s">
        <v>16</v>
      </c>
      <c r="F7049" s="1">
        <v>894.42</v>
      </c>
      <c r="G7049" s="1">
        <v>267.24</v>
      </c>
      <c r="H7049" s="1">
        <v>8.0</v>
      </c>
      <c r="I7049" s="1" t="s">
        <v>34</v>
      </c>
      <c r="J7049" s="1" t="s">
        <v>38</v>
      </c>
      <c r="K7049" s="1">
        <f t="shared" si="1"/>
        <v>2021</v>
      </c>
      <c r="L7049" s="1" t="str">
        <f t="shared" si="2"/>
        <v>Jun</v>
      </c>
      <c r="M7049" s="1" t="str">
        <f t="shared" si="3"/>
        <v>Profit</v>
      </c>
    </row>
    <row r="7050" ht="14.25" customHeight="1">
      <c r="A7050" s="1" t="s">
        <v>7084</v>
      </c>
      <c r="B7050" s="2">
        <v>44709.0</v>
      </c>
      <c r="C7050" s="1" t="s">
        <v>26</v>
      </c>
      <c r="D7050" s="1" t="s">
        <v>27</v>
      </c>
      <c r="E7050" s="1" t="s">
        <v>40</v>
      </c>
      <c r="F7050" s="1">
        <v>124.62</v>
      </c>
      <c r="G7050" s="1">
        <v>2.3</v>
      </c>
      <c r="H7050" s="1">
        <v>3.0</v>
      </c>
      <c r="I7050" s="1" t="s">
        <v>17</v>
      </c>
      <c r="J7050" s="1" t="s">
        <v>24</v>
      </c>
      <c r="K7050" s="1">
        <f t="shared" si="1"/>
        <v>2022</v>
      </c>
      <c r="L7050" s="1" t="str">
        <f t="shared" si="2"/>
        <v>May</v>
      </c>
      <c r="M7050" s="1" t="str">
        <f t="shared" si="3"/>
        <v>Profit</v>
      </c>
    </row>
    <row r="7051" ht="14.25" customHeight="1">
      <c r="A7051" s="1" t="s">
        <v>7085</v>
      </c>
      <c r="B7051" s="2">
        <v>45071.0</v>
      </c>
      <c r="C7051" s="1" t="s">
        <v>26</v>
      </c>
      <c r="D7051" s="1" t="s">
        <v>27</v>
      </c>
      <c r="E7051" s="1" t="s">
        <v>33</v>
      </c>
      <c r="F7051" s="1">
        <v>457.02</v>
      </c>
      <c r="G7051" s="1">
        <v>48.89</v>
      </c>
      <c r="H7051" s="1">
        <v>2.0</v>
      </c>
      <c r="I7051" s="1" t="s">
        <v>23</v>
      </c>
      <c r="J7051" s="1" t="s">
        <v>24</v>
      </c>
      <c r="K7051" s="1">
        <f t="shared" si="1"/>
        <v>2023</v>
      </c>
      <c r="L7051" s="1" t="str">
        <f t="shared" si="2"/>
        <v>May</v>
      </c>
      <c r="M7051" s="1" t="str">
        <f t="shared" si="3"/>
        <v>Profit</v>
      </c>
    </row>
    <row r="7052" ht="14.25" customHeight="1">
      <c r="A7052" s="1" t="s">
        <v>7086</v>
      </c>
      <c r="B7052" s="2">
        <v>44378.0</v>
      </c>
      <c r="C7052" s="1" t="s">
        <v>26</v>
      </c>
      <c r="D7052" s="1" t="s">
        <v>27</v>
      </c>
      <c r="E7052" s="1" t="s">
        <v>40</v>
      </c>
      <c r="F7052" s="1">
        <v>74.65</v>
      </c>
      <c r="G7052" s="1">
        <v>-194.41</v>
      </c>
      <c r="H7052" s="1">
        <v>5.0</v>
      </c>
      <c r="I7052" s="1" t="s">
        <v>17</v>
      </c>
      <c r="J7052" s="1" t="s">
        <v>38</v>
      </c>
      <c r="K7052" s="1">
        <f t="shared" si="1"/>
        <v>2021</v>
      </c>
      <c r="L7052" s="1" t="str">
        <f t="shared" si="2"/>
        <v>Jul</v>
      </c>
      <c r="M7052" s="1" t="str">
        <f t="shared" si="3"/>
        <v>Loss</v>
      </c>
    </row>
    <row r="7053" ht="14.25" customHeight="1">
      <c r="A7053" s="1" t="s">
        <v>7087</v>
      </c>
      <c r="B7053" s="2">
        <v>44716.0</v>
      </c>
      <c r="C7053" s="1" t="s">
        <v>30</v>
      </c>
      <c r="D7053" s="1" t="s">
        <v>21</v>
      </c>
      <c r="E7053" s="1" t="s">
        <v>37</v>
      </c>
      <c r="F7053" s="1">
        <v>648.6</v>
      </c>
      <c r="G7053" s="1">
        <v>110.77</v>
      </c>
      <c r="H7053" s="1">
        <v>3.0</v>
      </c>
      <c r="I7053" s="1" t="s">
        <v>17</v>
      </c>
      <c r="J7053" s="1" t="s">
        <v>18</v>
      </c>
      <c r="K7053" s="1">
        <f t="shared" si="1"/>
        <v>2022</v>
      </c>
      <c r="L7053" s="1" t="str">
        <f t="shared" si="2"/>
        <v>Jun</v>
      </c>
      <c r="M7053" s="1" t="str">
        <f t="shared" si="3"/>
        <v>Profit</v>
      </c>
    </row>
    <row r="7054" ht="14.25" customHeight="1">
      <c r="A7054" s="1" t="s">
        <v>7088</v>
      </c>
      <c r="B7054" s="2">
        <v>44675.0</v>
      </c>
      <c r="C7054" s="1" t="s">
        <v>20</v>
      </c>
      <c r="D7054" s="1" t="s">
        <v>21</v>
      </c>
      <c r="E7054" s="1" t="s">
        <v>37</v>
      </c>
      <c r="F7054" s="1">
        <v>182.82</v>
      </c>
      <c r="G7054" s="1">
        <v>-169.51</v>
      </c>
      <c r="H7054" s="1">
        <v>7.0</v>
      </c>
      <c r="I7054" s="1" t="s">
        <v>23</v>
      </c>
      <c r="J7054" s="1" t="s">
        <v>35</v>
      </c>
      <c r="K7054" s="1">
        <f t="shared" si="1"/>
        <v>2022</v>
      </c>
      <c r="L7054" s="1" t="str">
        <f t="shared" si="2"/>
        <v>Apr</v>
      </c>
      <c r="M7054" s="1" t="str">
        <f t="shared" si="3"/>
        <v>Loss</v>
      </c>
    </row>
    <row r="7055" ht="14.25" customHeight="1">
      <c r="A7055" s="1" t="s">
        <v>7089</v>
      </c>
      <c r="B7055" s="2">
        <v>44545.0</v>
      </c>
      <c r="C7055" s="1" t="s">
        <v>14</v>
      </c>
      <c r="D7055" s="1" t="s">
        <v>15</v>
      </c>
      <c r="E7055" s="1" t="s">
        <v>31</v>
      </c>
      <c r="F7055" s="1">
        <v>738.53</v>
      </c>
      <c r="G7055" s="1">
        <v>59.38</v>
      </c>
      <c r="H7055" s="1">
        <v>10.0</v>
      </c>
      <c r="I7055" s="1" t="s">
        <v>17</v>
      </c>
      <c r="J7055" s="1" t="s">
        <v>24</v>
      </c>
      <c r="K7055" s="1">
        <f t="shared" si="1"/>
        <v>2021</v>
      </c>
      <c r="L7055" s="1" t="str">
        <f t="shared" si="2"/>
        <v>Dec</v>
      </c>
      <c r="M7055" s="1" t="str">
        <f t="shared" si="3"/>
        <v>Profit</v>
      </c>
    </row>
    <row r="7056" ht="14.25" customHeight="1">
      <c r="A7056" s="1" t="s">
        <v>7090</v>
      </c>
      <c r="B7056" s="2">
        <v>44874.0</v>
      </c>
      <c r="C7056" s="1" t="s">
        <v>26</v>
      </c>
      <c r="D7056" s="1" t="s">
        <v>21</v>
      </c>
      <c r="E7056" s="1" t="s">
        <v>76</v>
      </c>
      <c r="F7056" s="1">
        <v>234.12</v>
      </c>
      <c r="G7056" s="1">
        <v>-135.56</v>
      </c>
      <c r="H7056" s="1">
        <v>9.0</v>
      </c>
      <c r="I7056" s="1" t="s">
        <v>34</v>
      </c>
      <c r="J7056" s="1" t="s">
        <v>24</v>
      </c>
      <c r="K7056" s="1">
        <f t="shared" si="1"/>
        <v>2022</v>
      </c>
      <c r="L7056" s="1" t="str">
        <f t="shared" si="2"/>
        <v>Nov</v>
      </c>
      <c r="M7056" s="1" t="str">
        <f t="shared" si="3"/>
        <v>Loss</v>
      </c>
    </row>
    <row r="7057" ht="14.25" customHeight="1">
      <c r="A7057" s="1" t="s">
        <v>7091</v>
      </c>
      <c r="B7057" s="2">
        <v>44879.0</v>
      </c>
      <c r="C7057" s="1" t="s">
        <v>30</v>
      </c>
      <c r="D7057" s="1" t="s">
        <v>21</v>
      </c>
      <c r="E7057" s="1" t="s">
        <v>76</v>
      </c>
      <c r="F7057" s="1">
        <v>625.68</v>
      </c>
      <c r="G7057" s="1">
        <v>-40.59</v>
      </c>
      <c r="H7057" s="1">
        <v>7.0</v>
      </c>
      <c r="I7057" s="1" t="s">
        <v>34</v>
      </c>
      <c r="J7057" s="1" t="s">
        <v>18</v>
      </c>
      <c r="K7057" s="1">
        <f t="shared" si="1"/>
        <v>2022</v>
      </c>
      <c r="L7057" s="1" t="str">
        <f t="shared" si="2"/>
        <v>Nov</v>
      </c>
      <c r="M7057" s="1" t="str">
        <f t="shared" si="3"/>
        <v>Loss</v>
      </c>
    </row>
    <row r="7058" ht="14.25" customHeight="1">
      <c r="A7058" s="1" t="s">
        <v>7092</v>
      </c>
      <c r="B7058" s="2">
        <v>44307.0</v>
      </c>
      <c r="C7058" s="1" t="s">
        <v>14</v>
      </c>
      <c r="D7058" s="1" t="s">
        <v>27</v>
      </c>
      <c r="E7058" s="1" t="s">
        <v>40</v>
      </c>
      <c r="F7058" s="1">
        <v>64.32</v>
      </c>
      <c r="G7058" s="1">
        <v>-87.78</v>
      </c>
      <c r="H7058" s="1">
        <v>3.0</v>
      </c>
      <c r="I7058" s="1" t="s">
        <v>17</v>
      </c>
      <c r="J7058" s="1" t="s">
        <v>18</v>
      </c>
      <c r="K7058" s="1">
        <f t="shared" si="1"/>
        <v>2021</v>
      </c>
      <c r="L7058" s="1" t="str">
        <f t="shared" si="2"/>
        <v>Apr</v>
      </c>
      <c r="M7058" s="1" t="str">
        <f t="shared" si="3"/>
        <v>Loss</v>
      </c>
    </row>
    <row r="7059" ht="14.25" customHeight="1">
      <c r="A7059" s="1" t="s">
        <v>7093</v>
      </c>
      <c r="B7059" s="2">
        <v>45231.0</v>
      </c>
      <c r="C7059" s="1" t="s">
        <v>30</v>
      </c>
      <c r="D7059" s="1" t="s">
        <v>21</v>
      </c>
      <c r="E7059" s="1" t="s">
        <v>37</v>
      </c>
      <c r="F7059" s="1">
        <v>755.86</v>
      </c>
      <c r="G7059" s="1">
        <v>168.81</v>
      </c>
      <c r="H7059" s="1">
        <v>5.0</v>
      </c>
      <c r="I7059" s="1" t="s">
        <v>23</v>
      </c>
      <c r="J7059" s="1" t="s">
        <v>18</v>
      </c>
      <c r="K7059" s="1">
        <f t="shared" si="1"/>
        <v>2023</v>
      </c>
      <c r="L7059" s="1" t="str">
        <f t="shared" si="2"/>
        <v>Nov</v>
      </c>
      <c r="M7059" s="1" t="str">
        <f t="shared" si="3"/>
        <v>Profit</v>
      </c>
    </row>
    <row r="7060" ht="14.25" customHeight="1">
      <c r="A7060" s="1" t="s">
        <v>7094</v>
      </c>
      <c r="B7060" s="2">
        <v>44472.0</v>
      </c>
      <c r="C7060" s="1" t="s">
        <v>14</v>
      </c>
      <c r="D7060" s="1" t="s">
        <v>15</v>
      </c>
      <c r="E7060" s="1" t="s">
        <v>54</v>
      </c>
      <c r="F7060" s="1">
        <v>893.46</v>
      </c>
      <c r="G7060" s="1">
        <v>255.68</v>
      </c>
      <c r="H7060" s="1">
        <v>7.0</v>
      </c>
      <c r="I7060" s="1" t="s">
        <v>34</v>
      </c>
      <c r="J7060" s="1" t="s">
        <v>24</v>
      </c>
      <c r="K7060" s="1">
        <f t="shared" si="1"/>
        <v>2021</v>
      </c>
      <c r="L7060" s="1" t="str">
        <f t="shared" si="2"/>
        <v>Oct</v>
      </c>
      <c r="M7060" s="1" t="str">
        <f t="shared" si="3"/>
        <v>Profit</v>
      </c>
    </row>
    <row r="7061" ht="14.25" customHeight="1">
      <c r="A7061" s="1" t="s">
        <v>7095</v>
      </c>
      <c r="B7061" s="2">
        <v>44527.0</v>
      </c>
      <c r="C7061" s="1" t="s">
        <v>14</v>
      </c>
      <c r="D7061" s="1" t="s">
        <v>15</v>
      </c>
      <c r="E7061" s="1" t="s">
        <v>31</v>
      </c>
      <c r="F7061" s="1">
        <v>621.42</v>
      </c>
      <c r="G7061" s="1">
        <v>-126.34</v>
      </c>
      <c r="H7061" s="1">
        <v>10.0</v>
      </c>
      <c r="I7061" s="1" t="s">
        <v>34</v>
      </c>
      <c r="J7061" s="1" t="s">
        <v>24</v>
      </c>
      <c r="K7061" s="1">
        <f t="shared" si="1"/>
        <v>2021</v>
      </c>
      <c r="L7061" s="1" t="str">
        <f t="shared" si="2"/>
        <v>Nov</v>
      </c>
      <c r="M7061" s="1" t="str">
        <f t="shared" si="3"/>
        <v>Loss</v>
      </c>
    </row>
    <row r="7062" ht="14.25" customHeight="1">
      <c r="A7062" s="1" t="s">
        <v>7096</v>
      </c>
      <c r="B7062" s="2">
        <v>45206.0</v>
      </c>
      <c r="C7062" s="1" t="s">
        <v>14</v>
      </c>
      <c r="D7062" s="1" t="s">
        <v>15</v>
      </c>
      <c r="E7062" s="1" t="s">
        <v>54</v>
      </c>
      <c r="F7062" s="1">
        <v>738.32</v>
      </c>
      <c r="G7062" s="1">
        <v>252.07</v>
      </c>
      <c r="H7062" s="1">
        <v>8.0</v>
      </c>
      <c r="I7062" s="1" t="s">
        <v>34</v>
      </c>
      <c r="J7062" s="1" t="s">
        <v>24</v>
      </c>
      <c r="K7062" s="1">
        <f t="shared" si="1"/>
        <v>2023</v>
      </c>
      <c r="L7062" s="1" t="str">
        <f t="shared" si="2"/>
        <v>Oct</v>
      </c>
      <c r="M7062" s="1" t="str">
        <f t="shared" si="3"/>
        <v>Profit</v>
      </c>
    </row>
    <row r="7063" ht="14.25" customHeight="1">
      <c r="A7063" s="1" t="s">
        <v>7097</v>
      </c>
      <c r="B7063" s="2">
        <v>44962.0</v>
      </c>
      <c r="C7063" s="1" t="s">
        <v>20</v>
      </c>
      <c r="D7063" s="1" t="s">
        <v>27</v>
      </c>
      <c r="E7063" s="1" t="s">
        <v>28</v>
      </c>
      <c r="F7063" s="1">
        <v>776.77</v>
      </c>
      <c r="G7063" s="1">
        <v>-120.61</v>
      </c>
      <c r="H7063" s="1">
        <v>7.0</v>
      </c>
      <c r="I7063" s="1" t="s">
        <v>23</v>
      </c>
      <c r="J7063" s="1" t="s">
        <v>35</v>
      </c>
      <c r="K7063" s="1">
        <f t="shared" si="1"/>
        <v>2023</v>
      </c>
      <c r="L7063" s="1" t="str">
        <f t="shared" si="2"/>
        <v>Feb</v>
      </c>
      <c r="M7063" s="1" t="str">
        <f t="shared" si="3"/>
        <v>Loss</v>
      </c>
    </row>
    <row r="7064" ht="14.25" customHeight="1">
      <c r="A7064" s="1" t="s">
        <v>7098</v>
      </c>
      <c r="B7064" s="2">
        <v>44996.0</v>
      </c>
      <c r="C7064" s="1" t="s">
        <v>14</v>
      </c>
      <c r="D7064" s="1" t="s">
        <v>15</v>
      </c>
      <c r="E7064" s="1" t="s">
        <v>31</v>
      </c>
      <c r="F7064" s="1">
        <v>984.02</v>
      </c>
      <c r="G7064" s="1">
        <v>137.16</v>
      </c>
      <c r="H7064" s="1">
        <v>3.0</v>
      </c>
      <c r="I7064" s="1" t="s">
        <v>23</v>
      </c>
      <c r="J7064" s="1" t="s">
        <v>18</v>
      </c>
      <c r="K7064" s="1">
        <f t="shared" si="1"/>
        <v>2023</v>
      </c>
      <c r="L7064" s="1" t="str">
        <f t="shared" si="2"/>
        <v>Mar</v>
      </c>
      <c r="M7064" s="1" t="str">
        <f t="shared" si="3"/>
        <v>Profit</v>
      </c>
    </row>
    <row r="7065" ht="14.25" customHeight="1">
      <c r="A7065" s="1" t="s">
        <v>7099</v>
      </c>
      <c r="B7065" s="2">
        <v>44878.0</v>
      </c>
      <c r="C7065" s="1" t="s">
        <v>30</v>
      </c>
      <c r="D7065" s="1" t="s">
        <v>15</v>
      </c>
      <c r="E7065" s="1" t="s">
        <v>16</v>
      </c>
      <c r="F7065" s="1">
        <v>133.41</v>
      </c>
      <c r="G7065" s="1">
        <v>33.79</v>
      </c>
      <c r="H7065" s="1">
        <v>6.0</v>
      </c>
      <c r="I7065" s="1" t="s">
        <v>23</v>
      </c>
      <c r="J7065" s="1" t="s">
        <v>35</v>
      </c>
      <c r="K7065" s="1">
        <f t="shared" si="1"/>
        <v>2022</v>
      </c>
      <c r="L7065" s="1" t="str">
        <f t="shared" si="2"/>
        <v>Nov</v>
      </c>
      <c r="M7065" s="1" t="str">
        <f t="shared" si="3"/>
        <v>Profit</v>
      </c>
    </row>
    <row r="7066" ht="14.25" customHeight="1">
      <c r="A7066" s="1" t="s">
        <v>7100</v>
      </c>
      <c r="B7066" s="2">
        <v>44383.0</v>
      </c>
      <c r="C7066" s="1" t="s">
        <v>26</v>
      </c>
      <c r="D7066" s="1" t="s">
        <v>21</v>
      </c>
      <c r="E7066" s="1" t="s">
        <v>37</v>
      </c>
      <c r="F7066" s="1">
        <v>793.74</v>
      </c>
      <c r="G7066" s="1">
        <v>293.93</v>
      </c>
      <c r="H7066" s="1">
        <v>9.0</v>
      </c>
      <c r="I7066" s="1" t="s">
        <v>34</v>
      </c>
      <c r="J7066" s="1" t="s">
        <v>18</v>
      </c>
      <c r="K7066" s="1">
        <f t="shared" si="1"/>
        <v>2021</v>
      </c>
      <c r="L7066" s="1" t="str">
        <f t="shared" si="2"/>
        <v>Jul</v>
      </c>
      <c r="M7066" s="1" t="str">
        <f t="shared" si="3"/>
        <v>Profit</v>
      </c>
    </row>
    <row r="7067" ht="14.25" customHeight="1">
      <c r="A7067" s="1" t="s">
        <v>7101</v>
      </c>
      <c r="B7067" s="2">
        <v>45010.0</v>
      </c>
      <c r="C7067" s="1" t="s">
        <v>30</v>
      </c>
      <c r="D7067" s="1" t="s">
        <v>15</v>
      </c>
      <c r="E7067" s="1" t="s">
        <v>16</v>
      </c>
      <c r="F7067" s="1">
        <v>930.11</v>
      </c>
      <c r="G7067" s="1">
        <v>-195.72</v>
      </c>
      <c r="H7067" s="1">
        <v>4.0</v>
      </c>
      <c r="I7067" s="1" t="s">
        <v>34</v>
      </c>
      <c r="J7067" s="1" t="s">
        <v>38</v>
      </c>
      <c r="K7067" s="1">
        <f t="shared" si="1"/>
        <v>2023</v>
      </c>
      <c r="L7067" s="1" t="str">
        <f t="shared" si="2"/>
        <v>Mar</v>
      </c>
      <c r="M7067" s="1" t="str">
        <f t="shared" si="3"/>
        <v>Loss</v>
      </c>
    </row>
    <row r="7068" ht="14.25" customHeight="1">
      <c r="A7068" s="1" t="s">
        <v>7102</v>
      </c>
      <c r="B7068" s="2">
        <v>45132.0</v>
      </c>
      <c r="C7068" s="1" t="s">
        <v>26</v>
      </c>
      <c r="D7068" s="1" t="s">
        <v>21</v>
      </c>
      <c r="E7068" s="1" t="s">
        <v>37</v>
      </c>
      <c r="F7068" s="1">
        <v>625.79</v>
      </c>
      <c r="G7068" s="1">
        <v>-101.39</v>
      </c>
      <c r="H7068" s="1">
        <v>8.0</v>
      </c>
      <c r="I7068" s="1" t="s">
        <v>17</v>
      </c>
      <c r="J7068" s="1" t="s">
        <v>24</v>
      </c>
      <c r="K7068" s="1">
        <f t="shared" si="1"/>
        <v>2023</v>
      </c>
      <c r="L7068" s="1" t="str">
        <f t="shared" si="2"/>
        <v>Jul</v>
      </c>
      <c r="M7068" s="1" t="str">
        <f t="shared" si="3"/>
        <v>Loss</v>
      </c>
    </row>
    <row r="7069" ht="14.25" customHeight="1">
      <c r="A7069" s="1" t="s">
        <v>7103</v>
      </c>
      <c r="B7069" s="2">
        <v>44921.0</v>
      </c>
      <c r="C7069" s="1" t="s">
        <v>14</v>
      </c>
      <c r="D7069" s="1" t="s">
        <v>27</v>
      </c>
      <c r="E7069" s="1" t="s">
        <v>33</v>
      </c>
      <c r="F7069" s="1">
        <v>631.3</v>
      </c>
      <c r="G7069" s="1">
        <v>188.01</v>
      </c>
      <c r="H7069" s="1">
        <v>5.0</v>
      </c>
      <c r="I7069" s="1" t="s">
        <v>23</v>
      </c>
      <c r="J7069" s="1" t="s">
        <v>38</v>
      </c>
      <c r="K7069" s="1">
        <f t="shared" si="1"/>
        <v>2022</v>
      </c>
      <c r="L7069" s="1" t="str">
        <f t="shared" si="2"/>
        <v>Dec</v>
      </c>
      <c r="M7069" s="1" t="str">
        <f t="shared" si="3"/>
        <v>Profit</v>
      </c>
    </row>
    <row r="7070" ht="14.25" customHeight="1">
      <c r="A7070" s="1" t="s">
        <v>7104</v>
      </c>
      <c r="B7070" s="2">
        <v>44398.0</v>
      </c>
      <c r="C7070" s="1" t="s">
        <v>26</v>
      </c>
      <c r="D7070" s="1" t="s">
        <v>21</v>
      </c>
      <c r="E7070" s="1" t="s">
        <v>76</v>
      </c>
      <c r="F7070" s="1">
        <v>969.16</v>
      </c>
      <c r="G7070" s="1">
        <v>142.57</v>
      </c>
      <c r="H7070" s="1">
        <v>3.0</v>
      </c>
      <c r="I7070" s="1" t="s">
        <v>23</v>
      </c>
      <c r="J7070" s="1" t="s">
        <v>24</v>
      </c>
      <c r="K7070" s="1">
        <f t="shared" si="1"/>
        <v>2021</v>
      </c>
      <c r="L7070" s="1" t="str">
        <f t="shared" si="2"/>
        <v>Jul</v>
      </c>
      <c r="M7070" s="1" t="str">
        <f t="shared" si="3"/>
        <v>Profit</v>
      </c>
    </row>
    <row r="7071" ht="14.25" customHeight="1">
      <c r="A7071" s="1" t="s">
        <v>7105</v>
      </c>
      <c r="B7071" s="2">
        <v>44966.0</v>
      </c>
      <c r="C7071" s="1" t="s">
        <v>14</v>
      </c>
      <c r="D7071" s="1" t="s">
        <v>15</v>
      </c>
      <c r="E7071" s="1" t="s">
        <v>54</v>
      </c>
      <c r="F7071" s="1">
        <v>727.23</v>
      </c>
      <c r="G7071" s="1">
        <v>123.08</v>
      </c>
      <c r="H7071" s="1">
        <v>2.0</v>
      </c>
      <c r="I7071" s="1" t="s">
        <v>23</v>
      </c>
      <c r="J7071" s="1" t="s">
        <v>38</v>
      </c>
      <c r="K7071" s="1">
        <f t="shared" si="1"/>
        <v>2023</v>
      </c>
      <c r="L7071" s="1" t="str">
        <f t="shared" si="2"/>
        <v>Feb</v>
      </c>
      <c r="M7071" s="1" t="str">
        <f t="shared" si="3"/>
        <v>Profit</v>
      </c>
    </row>
    <row r="7072" ht="14.25" customHeight="1">
      <c r="A7072" s="1" t="s">
        <v>7106</v>
      </c>
      <c r="B7072" s="2">
        <v>44950.0</v>
      </c>
      <c r="C7072" s="1" t="s">
        <v>14</v>
      </c>
      <c r="D7072" s="1" t="s">
        <v>21</v>
      </c>
      <c r="E7072" s="1" t="s">
        <v>22</v>
      </c>
      <c r="F7072" s="1">
        <v>258.28</v>
      </c>
      <c r="G7072" s="1">
        <v>237.99</v>
      </c>
      <c r="H7072" s="1">
        <v>6.0</v>
      </c>
      <c r="I7072" s="1" t="s">
        <v>34</v>
      </c>
      <c r="J7072" s="1" t="s">
        <v>24</v>
      </c>
      <c r="K7072" s="1">
        <f t="shared" si="1"/>
        <v>2023</v>
      </c>
      <c r="L7072" s="1" t="str">
        <f t="shared" si="2"/>
        <v>Jan</v>
      </c>
      <c r="M7072" s="1" t="str">
        <f t="shared" si="3"/>
        <v>Profit</v>
      </c>
    </row>
    <row r="7073" ht="14.25" customHeight="1">
      <c r="A7073" s="1" t="s">
        <v>7107</v>
      </c>
      <c r="B7073" s="2">
        <v>44370.0</v>
      </c>
      <c r="C7073" s="1" t="s">
        <v>26</v>
      </c>
      <c r="D7073" s="1" t="s">
        <v>21</v>
      </c>
      <c r="E7073" s="1" t="s">
        <v>76</v>
      </c>
      <c r="F7073" s="1">
        <v>364.68</v>
      </c>
      <c r="G7073" s="1">
        <v>146.52</v>
      </c>
      <c r="H7073" s="1">
        <v>10.0</v>
      </c>
      <c r="I7073" s="1" t="s">
        <v>23</v>
      </c>
      <c r="J7073" s="1" t="s">
        <v>35</v>
      </c>
      <c r="K7073" s="1">
        <f t="shared" si="1"/>
        <v>2021</v>
      </c>
      <c r="L7073" s="1" t="str">
        <f t="shared" si="2"/>
        <v>Jun</v>
      </c>
      <c r="M7073" s="1" t="str">
        <f t="shared" si="3"/>
        <v>Profit</v>
      </c>
    </row>
    <row r="7074" ht="14.25" customHeight="1">
      <c r="A7074" s="1" t="s">
        <v>7108</v>
      </c>
      <c r="B7074" s="2">
        <v>44780.0</v>
      </c>
      <c r="C7074" s="1" t="s">
        <v>14</v>
      </c>
      <c r="D7074" s="1" t="s">
        <v>15</v>
      </c>
      <c r="E7074" s="1" t="s">
        <v>54</v>
      </c>
      <c r="F7074" s="1">
        <v>476.45</v>
      </c>
      <c r="G7074" s="1">
        <v>82.94</v>
      </c>
      <c r="H7074" s="1">
        <v>8.0</v>
      </c>
      <c r="I7074" s="1" t="s">
        <v>17</v>
      </c>
      <c r="J7074" s="1" t="s">
        <v>35</v>
      </c>
      <c r="K7074" s="1">
        <f t="shared" si="1"/>
        <v>2022</v>
      </c>
      <c r="L7074" s="1" t="str">
        <f t="shared" si="2"/>
        <v>Aug</v>
      </c>
      <c r="M7074" s="1" t="str">
        <f t="shared" si="3"/>
        <v>Profit</v>
      </c>
    </row>
    <row r="7075" ht="14.25" customHeight="1">
      <c r="A7075" s="1" t="s">
        <v>7109</v>
      </c>
      <c r="B7075" s="2">
        <v>45236.0</v>
      </c>
      <c r="C7075" s="1" t="s">
        <v>26</v>
      </c>
      <c r="D7075" s="1" t="s">
        <v>15</v>
      </c>
      <c r="E7075" s="1" t="s">
        <v>16</v>
      </c>
      <c r="F7075" s="1">
        <v>34.23</v>
      </c>
      <c r="G7075" s="1">
        <v>-54.12</v>
      </c>
      <c r="H7075" s="1">
        <v>9.0</v>
      </c>
      <c r="I7075" s="1" t="s">
        <v>17</v>
      </c>
      <c r="J7075" s="1" t="s">
        <v>18</v>
      </c>
      <c r="K7075" s="1">
        <f t="shared" si="1"/>
        <v>2023</v>
      </c>
      <c r="L7075" s="1" t="str">
        <f t="shared" si="2"/>
        <v>Nov</v>
      </c>
      <c r="M7075" s="1" t="str">
        <f t="shared" si="3"/>
        <v>Loss</v>
      </c>
    </row>
    <row r="7076" ht="14.25" customHeight="1">
      <c r="A7076" s="1" t="s">
        <v>7110</v>
      </c>
      <c r="B7076" s="2">
        <v>44606.0</v>
      </c>
      <c r="C7076" s="1" t="s">
        <v>14</v>
      </c>
      <c r="D7076" s="1" t="s">
        <v>27</v>
      </c>
      <c r="E7076" s="1" t="s">
        <v>33</v>
      </c>
      <c r="F7076" s="1">
        <v>488.74</v>
      </c>
      <c r="G7076" s="1">
        <v>-168.61</v>
      </c>
      <c r="H7076" s="1">
        <v>2.0</v>
      </c>
      <c r="I7076" s="1" t="s">
        <v>17</v>
      </c>
      <c r="J7076" s="1" t="s">
        <v>38</v>
      </c>
      <c r="K7076" s="1">
        <f t="shared" si="1"/>
        <v>2022</v>
      </c>
      <c r="L7076" s="1" t="str">
        <f t="shared" si="2"/>
        <v>Feb</v>
      </c>
      <c r="M7076" s="1" t="str">
        <f t="shared" si="3"/>
        <v>Loss</v>
      </c>
    </row>
    <row r="7077" ht="14.25" customHeight="1">
      <c r="A7077" s="1" t="s">
        <v>7111</v>
      </c>
      <c r="B7077" s="2">
        <v>45145.0</v>
      </c>
      <c r="C7077" s="1" t="s">
        <v>14</v>
      </c>
      <c r="D7077" s="1" t="s">
        <v>27</v>
      </c>
      <c r="E7077" s="1" t="s">
        <v>28</v>
      </c>
      <c r="F7077" s="1">
        <v>970.67</v>
      </c>
      <c r="G7077" s="1">
        <v>99.32</v>
      </c>
      <c r="H7077" s="1">
        <v>7.0</v>
      </c>
      <c r="I7077" s="1" t="s">
        <v>34</v>
      </c>
      <c r="J7077" s="1" t="s">
        <v>18</v>
      </c>
      <c r="K7077" s="1">
        <f t="shared" si="1"/>
        <v>2023</v>
      </c>
      <c r="L7077" s="1" t="str">
        <f t="shared" si="2"/>
        <v>Aug</v>
      </c>
      <c r="M7077" s="1" t="str">
        <f t="shared" si="3"/>
        <v>Profit</v>
      </c>
    </row>
    <row r="7078" ht="14.25" customHeight="1">
      <c r="A7078" s="1" t="s">
        <v>7112</v>
      </c>
      <c r="B7078" s="2">
        <v>44301.0</v>
      </c>
      <c r="C7078" s="1" t="s">
        <v>14</v>
      </c>
      <c r="D7078" s="1" t="s">
        <v>21</v>
      </c>
      <c r="E7078" s="1" t="s">
        <v>76</v>
      </c>
      <c r="F7078" s="1">
        <v>344.78</v>
      </c>
      <c r="G7078" s="1">
        <v>127.01</v>
      </c>
      <c r="H7078" s="1">
        <v>1.0</v>
      </c>
      <c r="I7078" s="1" t="s">
        <v>34</v>
      </c>
      <c r="J7078" s="1" t="s">
        <v>35</v>
      </c>
      <c r="K7078" s="1">
        <f t="shared" si="1"/>
        <v>2021</v>
      </c>
      <c r="L7078" s="1" t="str">
        <f t="shared" si="2"/>
        <v>Apr</v>
      </c>
      <c r="M7078" s="1" t="str">
        <f t="shared" si="3"/>
        <v>Profit</v>
      </c>
    </row>
    <row r="7079" ht="14.25" customHeight="1">
      <c r="A7079" s="1" t="s">
        <v>7113</v>
      </c>
      <c r="B7079" s="2">
        <v>44722.0</v>
      </c>
      <c r="C7079" s="1" t="s">
        <v>14</v>
      </c>
      <c r="D7079" s="1" t="s">
        <v>27</v>
      </c>
      <c r="E7079" s="1" t="s">
        <v>40</v>
      </c>
      <c r="F7079" s="1">
        <v>943.57</v>
      </c>
      <c r="G7079" s="1">
        <v>-32.01</v>
      </c>
      <c r="H7079" s="1">
        <v>2.0</v>
      </c>
      <c r="I7079" s="1" t="s">
        <v>34</v>
      </c>
      <c r="J7079" s="1" t="s">
        <v>24</v>
      </c>
      <c r="K7079" s="1">
        <f t="shared" si="1"/>
        <v>2022</v>
      </c>
      <c r="L7079" s="1" t="str">
        <f t="shared" si="2"/>
        <v>Jun</v>
      </c>
      <c r="M7079" s="1" t="str">
        <f t="shared" si="3"/>
        <v>Loss</v>
      </c>
    </row>
    <row r="7080" ht="14.25" customHeight="1">
      <c r="A7080" s="1" t="s">
        <v>7114</v>
      </c>
      <c r="B7080" s="2">
        <v>44560.0</v>
      </c>
      <c r="C7080" s="1" t="s">
        <v>30</v>
      </c>
      <c r="D7080" s="1" t="s">
        <v>27</v>
      </c>
      <c r="E7080" s="1" t="s">
        <v>40</v>
      </c>
      <c r="F7080" s="1">
        <v>747.01</v>
      </c>
      <c r="G7080" s="1">
        <v>-119.34</v>
      </c>
      <c r="H7080" s="1">
        <v>6.0</v>
      </c>
      <c r="I7080" s="1" t="s">
        <v>34</v>
      </c>
      <c r="J7080" s="1" t="s">
        <v>38</v>
      </c>
      <c r="K7080" s="1">
        <f t="shared" si="1"/>
        <v>2021</v>
      </c>
      <c r="L7080" s="1" t="str">
        <f t="shared" si="2"/>
        <v>Dec</v>
      </c>
      <c r="M7080" s="1" t="str">
        <f t="shared" si="3"/>
        <v>Loss</v>
      </c>
    </row>
    <row r="7081" ht="14.25" customHeight="1">
      <c r="A7081" s="1" t="s">
        <v>7115</v>
      </c>
      <c r="B7081" s="2">
        <v>45164.0</v>
      </c>
      <c r="C7081" s="1" t="s">
        <v>26</v>
      </c>
      <c r="D7081" s="1" t="s">
        <v>21</v>
      </c>
      <c r="E7081" s="1" t="s">
        <v>37</v>
      </c>
      <c r="F7081" s="1">
        <v>847.04</v>
      </c>
      <c r="G7081" s="1">
        <v>-13.91</v>
      </c>
      <c r="H7081" s="1">
        <v>4.0</v>
      </c>
      <c r="I7081" s="1" t="s">
        <v>17</v>
      </c>
      <c r="J7081" s="1" t="s">
        <v>18</v>
      </c>
      <c r="K7081" s="1">
        <f t="shared" si="1"/>
        <v>2023</v>
      </c>
      <c r="L7081" s="1" t="str">
        <f t="shared" si="2"/>
        <v>Aug</v>
      </c>
      <c r="M7081" s="1" t="str">
        <f t="shared" si="3"/>
        <v>Loss</v>
      </c>
    </row>
    <row r="7082" ht="14.25" customHeight="1">
      <c r="A7082" s="1" t="s">
        <v>7116</v>
      </c>
      <c r="B7082" s="2">
        <v>44661.0</v>
      </c>
      <c r="C7082" s="1" t="s">
        <v>14</v>
      </c>
      <c r="D7082" s="1" t="s">
        <v>21</v>
      </c>
      <c r="E7082" s="1" t="s">
        <v>76</v>
      </c>
      <c r="F7082" s="1">
        <v>220.78</v>
      </c>
      <c r="G7082" s="1">
        <v>-28.51</v>
      </c>
      <c r="H7082" s="1">
        <v>8.0</v>
      </c>
      <c r="I7082" s="1" t="s">
        <v>34</v>
      </c>
      <c r="J7082" s="1" t="s">
        <v>35</v>
      </c>
      <c r="K7082" s="1">
        <f t="shared" si="1"/>
        <v>2022</v>
      </c>
      <c r="L7082" s="1" t="str">
        <f t="shared" si="2"/>
        <v>Apr</v>
      </c>
      <c r="M7082" s="1" t="str">
        <f t="shared" si="3"/>
        <v>Loss</v>
      </c>
    </row>
    <row r="7083" ht="14.25" customHeight="1">
      <c r="A7083" s="1" t="s">
        <v>7117</v>
      </c>
      <c r="B7083" s="2">
        <v>45076.0</v>
      </c>
      <c r="C7083" s="1" t="s">
        <v>26</v>
      </c>
      <c r="D7083" s="1" t="s">
        <v>15</v>
      </c>
      <c r="E7083" s="1" t="s">
        <v>31</v>
      </c>
      <c r="F7083" s="1">
        <v>288.31</v>
      </c>
      <c r="G7083" s="1">
        <v>266.33</v>
      </c>
      <c r="H7083" s="1">
        <v>1.0</v>
      </c>
      <c r="I7083" s="1" t="s">
        <v>17</v>
      </c>
      <c r="J7083" s="1" t="s">
        <v>35</v>
      </c>
      <c r="K7083" s="1">
        <f t="shared" si="1"/>
        <v>2023</v>
      </c>
      <c r="L7083" s="1" t="str">
        <f t="shared" si="2"/>
        <v>May</v>
      </c>
      <c r="M7083" s="1" t="str">
        <f t="shared" si="3"/>
        <v>Profit</v>
      </c>
    </row>
    <row r="7084" ht="14.25" customHeight="1">
      <c r="A7084" s="1" t="s">
        <v>7118</v>
      </c>
      <c r="B7084" s="2">
        <v>45113.0</v>
      </c>
      <c r="C7084" s="1" t="s">
        <v>14</v>
      </c>
      <c r="D7084" s="1" t="s">
        <v>27</v>
      </c>
      <c r="E7084" s="1" t="s">
        <v>28</v>
      </c>
      <c r="F7084" s="1">
        <v>54.69</v>
      </c>
      <c r="G7084" s="1">
        <v>-179.05</v>
      </c>
      <c r="H7084" s="1">
        <v>3.0</v>
      </c>
      <c r="I7084" s="1" t="s">
        <v>34</v>
      </c>
      <c r="J7084" s="1" t="s">
        <v>38</v>
      </c>
      <c r="K7084" s="1">
        <f t="shared" si="1"/>
        <v>2023</v>
      </c>
      <c r="L7084" s="1" t="str">
        <f t="shared" si="2"/>
        <v>Jul</v>
      </c>
      <c r="M7084" s="1" t="str">
        <f t="shared" si="3"/>
        <v>Loss</v>
      </c>
    </row>
    <row r="7085" ht="14.25" customHeight="1">
      <c r="A7085" s="1" t="s">
        <v>7119</v>
      </c>
      <c r="B7085" s="2">
        <v>44332.0</v>
      </c>
      <c r="C7085" s="1" t="s">
        <v>30</v>
      </c>
      <c r="D7085" s="1" t="s">
        <v>15</v>
      </c>
      <c r="E7085" s="1" t="s">
        <v>16</v>
      </c>
      <c r="F7085" s="1">
        <v>675.44</v>
      </c>
      <c r="G7085" s="1">
        <v>176.51</v>
      </c>
      <c r="H7085" s="1">
        <v>3.0</v>
      </c>
      <c r="I7085" s="1" t="s">
        <v>23</v>
      </c>
      <c r="J7085" s="1" t="s">
        <v>18</v>
      </c>
      <c r="K7085" s="1">
        <f t="shared" si="1"/>
        <v>2021</v>
      </c>
      <c r="L7085" s="1" t="str">
        <f t="shared" si="2"/>
        <v>May</v>
      </c>
      <c r="M7085" s="1" t="str">
        <f t="shared" si="3"/>
        <v>Profit</v>
      </c>
    </row>
    <row r="7086" ht="14.25" customHeight="1">
      <c r="A7086" s="1" t="s">
        <v>7120</v>
      </c>
      <c r="B7086" s="2">
        <v>45151.0</v>
      </c>
      <c r="C7086" s="1" t="s">
        <v>26</v>
      </c>
      <c r="D7086" s="1" t="s">
        <v>27</v>
      </c>
      <c r="E7086" s="1" t="s">
        <v>33</v>
      </c>
      <c r="F7086" s="1">
        <v>481.68</v>
      </c>
      <c r="G7086" s="1">
        <v>17.75</v>
      </c>
      <c r="H7086" s="1">
        <v>9.0</v>
      </c>
      <c r="I7086" s="1" t="s">
        <v>17</v>
      </c>
      <c r="J7086" s="1" t="s">
        <v>35</v>
      </c>
      <c r="K7086" s="1">
        <f t="shared" si="1"/>
        <v>2023</v>
      </c>
      <c r="L7086" s="1" t="str">
        <f t="shared" si="2"/>
        <v>Aug</v>
      </c>
      <c r="M7086" s="1" t="str">
        <f t="shared" si="3"/>
        <v>Profit</v>
      </c>
    </row>
    <row r="7087" ht="14.25" customHeight="1">
      <c r="A7087" s="1" t="s">
        <v>7121</v>
      </c>
      <c r="B7087" s="2">
        <v>44251.0</v>
      </c>
      <c r="C7087" s="1" t="s">
        <v>20</v>
      </c>
      <c r="D7087" s="1" t="s">
        <v>27</v>
      </c>
      <c r="E7087" s="1" t="s">
        <v>28</v>
      </c>
      <c r="F7087" s="1">
        <v>424.32</v>
      </c>
      <c r="G7087" s="1">
        <v>-177.4</v>
      </c>
      <c r="H7087" s="1">
        <v>2.0</v>
      </c>
      <c r="I7087" s="1" t="s">
        <v>23</v>
      </c>
      <c r="J7087" s="1" t="s">
        <v>38</v>
      </c>
      <c r="K7087" s="1">
        <f t="shared" si="1"/>
        <v>2021</v>
      </c>
      <c r="L7087" s="1" t="str">
        <f t="shared" si="2"/>
        <v>Feb</v>
      </c>
      <c r="M7087" s="1" t="str">
        <f t="shared" si="3"/>
        <v>Loss</v>
      </c>
    </row>
    <row r="7088" ht="14.25" customHeight="1">
      <c r="A7088" s="1" t="s">
        <v>7122</v>
      </c>
      <c r="B7088" s="2">
        <v>45106.0</v>
      </c>
      <c r="C7088" s="1" t="s">
        <v>26</v>
      </c>
      <c r="D7088" s="1" t="s">
        <v>15</v>
      </c>
      <c r="E7088" s="1" t="s">
        <v>31</v>
      </c>
      <c r="F7088" s="1">
        <v>415.79</v>
      </c>
      <c r="G7088" s="1">
        <v>7.98</v>
      </c>
      <c r="H7088" s="1">
        <v>5.0</v>
      </c>
      <c r="I7088" s="1" t="s">
        <v>34</v>
      </c>
      <c r="J7088" s="1" t="s">
        <v>35</v>
      </c>
      <c r="K7088" s="1">
        <f t="shared" si="1"/>
        <v>2023</v>
      </c>
      <c r="L7088" s="1" t="str">
        <f t="shared" si="2"/>
        <v>Jun</v>
      </c>
      <c r="M7088" s="1" t="str">
        <f t="shared" si="3"/>
        <v>Profit</v>
      </c>
    </row>
    <row r="7089" ht="14.25" customHeight="1">
      <c r="A7089" s="1" t="s">
        <v>7123</v>
      </c>
      <c r="B7089" s="2">
        <v>45038.0</v>
      </c>
      <c r="C7089" s="1" t="s">
        <v>14</v>
      </c>
      <c r="D7089" s="1" t="s">
        <v>27</v>
      </c>
      <c r="E7089" s="1" t="s">
        <v>40</v>
      </c>
      <c r="F7089" s="1">
        <v>779.92</v>
      </c>
      <c r="G7089" s="1">
        <v>257.31</v>
      </c>
      <c r="H7089" s="1">
        <v>3.0</v>
      </c>
      <c r="I7089" s="1" t="s">
        <v>34</v>
      </c>
      <c r="J7089" s="1" t="s">
        <v>18</v>
      </c>
      <c r="K7089" s="1">
        <f t="shared" si="1"/>
        <v>2023</v>
      </c>
      <c r="L7089" s="1" t="str">
        <f t="shared" si="2"/>
        <v>Apr</v>
      </c>
      <c r="M7089" s="1" t="str">
        <f t="shared" si="3"/>
        <v>Profit</v>
      </c>
    </row>
    <row r="7090" ht="14.25" customHeight="1">
      <c r="A7090" s="1" t="s">
        <v>7124</v>
      </c>
      <c r="B7090" s="2">
        <v>44835.0</v>
      </c>
      <c r="C7090" s="1" t="s">
        <v>20</v>
      </c>
      <c r="D7090" s="1" t="s">
        <v>21</v>
      </c>
      <c r="E7090" s="1" t="s">
        <v>37</v>
      </c>
      <c r="F7090" s="1">
        <v>275.15</v>
      </c>
      <c r="G7090" s="1">
        <v>64.7</v>
      </c>
      <c r="H7090" s="1">
        <v>5.0</v>
      </c>
      <c r="I7090" s="1" t="s">
        <v>17</v>
      </c>
      <c r="J7090" s="1" t="s">
        <v>24</v>
      </c>
      <c r="K7090" s="1">
        <f t="shared" si="1"/>
        <v>2022</v>
      </c>
      <c r="L7090" s="1" t="str">
        <f t="shared" si="2"/>
        <v>Oct</v>
      </c>
      <c r="M7090" s="1" t="str">
        <f t="shared" si="3"/>
        <v>Profit</v>
      </c>
    </row>
    <row r="7091" ht="14.25" customHeight="1">
      <c r="A7091" s="1" t="s">
        <v>7125</v>
      </c>
      <c r="B7091" s="2">
        <v>44971.0</v>
      </c>
      <c r="C7091" s="1" t="s">
        <v>26</v>
      </c>
      <c r="D7091" s="1" t="s">
        <v>21</v>
      </c>
      <c r="E7091" s="1" t="s">
        <v>37</v>
      </c>
      <c r="F7091" s="1">
        <v>896.65</v>
      </c>
      <c r="G7091" s="1">
        <v>-35.05</v>
      </c>
      <c r="H7091" s="1">
        <v>5.0</v>
      </c>
      <c r="I7091" s="1" t="s">
        <v>34</v>
      </c>
      <c r="J7091" s="1" t="s">
        <v>24</v>
      </c>
      <c r="K7091" s="1">
        <f t="shared" si="1"/>
        <v>2023</v>
      </c>
      <c r="L7091" s="1" t="str">
        <f t="shared" si="2"/>
        <v>Feb</v>
      </c>
      <c r="M7091" s="1" t="str">
        <f t="shared" si="3"/>
        <v>Loss</v>
      </c>
    </row>
    <row r="7092" ht="14.25" customHeight="1">
      <c r="A7092" s="1" t="s">
        <v>7126</v>
      </c>
      <c r="B7092" s="2">
        <v>45000.0</v>
      </c>
      <c r="C7092" s="1" t="s">
        <v>30</v>
      </c>
      <c r="D7092" s="1" t="s">
        <v>15</v>
      </c>
      <c r="E7092" s="1" t="s">
        <v>31</v>
      </c>
      <c r="F7092" s="1">
        <v>598.84</v>
      </c>
      <c r="G7092" s="1">
        <v>76.72</v>
      </c>
      <c r="H7092" s="1">
        <v>1.0</v>
      </c>
      <c r="I7092" s="1" t="s">
        <v>17</v>
      </c>
      <c r="J7092" s="1" t="s">
        <v>18</v>
      </c>
      <c r="K7092" s="1">
        <f t="shared" si="1"/>
        <v>2023</v>
      </c>
      <c r="L7092" s="1" t="str">
        <f t="shared" si="2"/>
        <v>Mar</v>
      </c>
      <c r="M7092" s="1" t="str">
        <f t="shared" si="3"/>
        <v>Profit</v>
      </c>
    </row>
    <row r="7093" ht="14.25" customHeight="1">
      <c r="A7093" s="1" t="s">
        <v>7127</v>
      </c>
      <c r="B7093" s="2">
        <v>44561.0</v>
      </c>
      <c r="C7093" s="1" t="s">
        <v>14</v>
      </c>
      <c r="D7093" s="1" t="s">
        <v>27</v>
      </c>
      <c r="E7093" s="1" t="s">
        <v>33</v>
      </c>
      <c r="F7093" s="1">
        <v>970.02</v>
      </c>
      <c r="G7093" s="1">
        <v>50.16</v>
      </c>
      <c r="H7093" s="1">
        <v>2.0</v>
      </c>
      <c r="I7093" s="1" t="s">
        <v>34</v>
      </c>
      <c r="J7093" s="1" t="s">
        <v>38</v>
      </c>
      <c r="K7093" s="1">
        <f t="shared" si="1"/>
        <v>2021</v>
      </c>
      <c r="L7093" s="1" t="str">
        <f t="shared" si="2"/>
        <v>Dec</v>
      </c>
      <c r="M7093" s="1" t="str">
        <f t="shared" si="3"/>
        <v>Profit</v>
      </c>
    </row>
    <row r="7094" ht="14.25" customHeight="1">
      <c r="A7094" s="1" t="s">
        <v>7128</v>
      </c>
      <c r="B7094" s="2">
        <v>44438.0</v>
      </c>
      <c r="C7094" s="1" t="s">
        <v>20</v>
      </c>
      <c r="D7094" s="1" t="s">
        <v>27</v>
      </c>
      <c r="E7094" s="1" t="s">
        <v>40</v>
      </c>
      <c r="F7094" s="1">
        <v>626.73</v>
      </c>
      <c r="G7094" s="1">
        <v>189.56</v>
      </c>
      <c r="H7094" s="1">
        <v>1.0</v>
      </c>
      <c r="I7094" s="1" t="s">
        <v>34</v>
      </c>
      <c r="J7094" s="1" t="s">
        <v>35</v>
      </c>
      <c r="K7094" s="1">
        <f t="shared" si="1"/>
        <v>2021</v>
      </c>
      <c r="L7094" s="1" t="str">
        <f t="shared" si="2"/>
        <v>Aug</v>
      </c>
      <c r="M7094" s="1" t="str">
        <f t="shared" si="3"/>
        <v>Profit</v>
      </c>
    </row>
    <row r="7095" ht="14.25" customHeight="1">
      <c r="A7095" s="1" t="s">
        <v>7129</v>
      </c>
      <c r="B7095" s="2">
        <v>45118.0</v>
      </c>
      <c r="C7095" s="1" t="s">
        <v>14</v>
      </c>
      <c r="D7095" s="1" t="s">
        <v>21</v>
      </c>
      <c r="E7095" s="1" t="s">
        <v>22</v>
      </c>
      <c r="F7095" s="1">
        <v>365.62</v>
      </c>
      <c r="G7095" s="1">
        <v>13.21</v>
      </c>
      <c r="H7095" s="1">
        <v>2.0</v>
      </c>
      <c r="I7095" s="1" t="s">
        <v>17</v>
      </c>
      <c r="J7095" s="1" t="s">
        <v>35</v>
      </c>
      <c r="K7095" s="1">
        <f t="shared" si="1"/>
        <v>2023</v>
      </c>
      <c r="L7095" s="1" t="str">
        <f t="shared" si="2"/>
        <v>Jul</v>
      </c>
      <c r="M7095" s="1" t="str">
        <f t="shared" si="3"/>
        <v>Profit</v>
      </c>
    </row>
    <row r="7096" ht="14.25" customHeight="1">
      <c r="A7096" s="1" t="s">
        <v>7130</v>
      </c>
      <c r="B7096" s="2">
        <v>44579.0</v>
      </c>
      <c r="C7096" s="1" t="s">
        <v>14</v>
      </c>
      <c r="D7096" s="1" t="s">
        <v>27</v>
      </c>
      <c r="E7096" s="1" t="s">
        <v>28</v>
      </c>
      <c r="F7096" s="1">
        <v>440.65</v>
      </c>
      <c r="G7096" s="1">
        <v>65.3</v>
      </c>
      <c r="H7096" s="1">
        <v>4.0</v>
      </c>
      <c r="I7096" s="1" t="s">
        <v>34</v>
      </c>
      <c r="J7096" s="1" t="s">
        <v>35</v>
      </c>
      <c r="K7096" s="1">
        <f t="shared" si="1"/>
        <v>2022</v>
      </c>
      <c r="L7096" s="1" t="str">
        <f t="shared" si="2"/>
        <v>Jan</v>
      </c>
      <c r="M7096" s="1" t="str">
        <f t="shared" si="3"/>
        <v>Profit</v>
      </c>
    </row>
    <row r="7097" ht="14.25" customHeight="1">
      <c r="A7097" s="1" t="s">
        <v>7131</v>
      </c>
      <c r="B7097" s="2">
        <v>44774.0</v>
      </c>
      <c r="C7097" s="1" t="s">
        <v>20</v>
      </c>
      <c r="D7097" s="1" t="s">
        <v>21</v>
      </c>
      <c r="E7097" s="1" t="s">
        <v>22</v>
      </c>
      <c r="F7097" s="1">
        <v>334.16</v>
      </c>
      <c r="G7097" s="1">
        <v>-50.61</v>
      </c>
      <c r="H7097" s="1">
        <v>2.0</v>
      </c>
      <c r="I7097" s="1" t="s">
        <v>34</v>
      </c>
      <c r="J7097" s="1" t="s">
        <v>18</v>
      </c>
      <c r="K7097" s="1">
        <f t="shared" si="1"/>
        <v>2022</v>
      </c>
      <c r="L7097" s="1" t="str">
        <f t="shared" si="2"/>
        <v>Aug</v>
      </c>
      <c r="M7097" s="1" t="str">
        <f t="shared" si="3"/>
        <v>Loss</v>
      </c>
    </row>
    <row r="7098" ht="14.25" customHeight="1">
      <c r="A7098" s="1" t="s">
        <v>7132</v>
      </c>
      <c r="B7098" s="2">
        <v>44857.0</v>
      </c>
      <c r="C7098" s="1" t="s">
        <v>20</v>
      </c>
      <c r="D7098" s="1" t="s">
        <v>27</v>
      </c>
      <c r="E7098" s="1" t="s">
        <v>28</v>
      </c>
      <c r="F7098" s="1">
        <v>587.76</v>
      </c>
      <c r="G7098" s="1">
        <v>263.45</v>
      </c>
      <c r="H7098" s="1">
        <v>1.0</v>
      </c>
      <c r="I7098" s="1" t="s">
        <v>17</v>
      </c>
      <c r="J7098" s="1" t="s">
        <v>38</v>
      </c>
      <c r="K7098" s="1">
        <f t="shared" si="1"/>
        <v>2022</v>
      </c>
      <c r="L7098" s="1" t="str">
        <f t="shared" si="2"/>
        <v>Oct</v>
      </c>
      <c r="M7098" s="1" t="str">
        <f t="shared" si="3"/>
        <v>Profit</v>
      </c>
    </row>
    <row r="7099" ht="14.25" customHeight="1">
      <c r="A7099" s="1" t="s">
        <v>7133</v>
      </c>
      <c r="B7099" s="2">
        <v>45236.0</v>
      </c>
      <c r="C7099" s="1" t="s">
        <v>14</v>
      </c>
      <c r="D7099" s="1" t="s">
        <v>21</v>
      </c>
      <c r="E7099" s="1" t="s">
        <v>22</v>
      </c>
      <c r="F7099" s="1">
        <v>232.68</v>
      </c>
      <c r="G7099" s="1">
        <v>139.54</v>
      </c>
      <c r="H7099" s="1">
        <v>1.0</v>
      </c>
      <c r="I7099" s="1" t="s">
        <v>17</v>
      </c>
      <c r="J7099" s="1" t="s">
        <v>35</v>
      </c>
      <c r="K7099" s="1">
        <f t="shared" si="1"/>
        <v>2023</v>
      </c>
      <c r="L7099" s="1" t="str">
        <f t="shared" si="2"/>
        <v>Nov</v>
      </c>
      <c r="M7099" s="1" t="str">
        <f t="shared" si="3"/>
        <v>Profit</v>
      </c>
    </row>
    <row r="7100" ht="14.25" customHeight="1">
      <c r="A7100" s="1" t="s">
        <v>7134</v>
      </c>
      <c r="B7100" s="2">
        <v>45279.0</v>
      </c>
      <c r="C7100" s="1" t="s">
        <v>20</v>
      </c>
      <c r="D7100" s="1" t="s">
        <v>15</v>
      </c>
      <c r="E7100" s="1" t="s">
        <v>16</v>
      </c>
      <c r="F7100" s="1">
        <v>490.45</v>
      </c>
      <c r="G7100" s="1">
        <v>-14.19</v>
      </c>
      <c r="H7100" s="1">
        <v>4.0</v>
      </c>
      <c r="I7100" s="1" t="s">
        <v>17</v>
      </c>
      <c r="J7100" s="1" t="s">
        <v>24</v>
      </c>
      <c r="K7100" s="1">
        <f t="shared" si="1"/>
        <v>2023</v>
      </c>
      <c r="L7100" s="1" t="str">
        <f t="shared" si="2"/>
        <v>Dec</v>
      </c>
      <c r="M7100" s="1" t="str">
        <f t="shared" si="3"/>
        <v>Loss</v>
      </c>
    </row>
    <row r="7101" ht="14.25" customHeight="1">
      <c r="A7101" s="1" t="s">
        <v>7135</v>
      </c>
      <c r="B7101" s="2">
        <v>44585.0</v>
      </c>
      <c r="C7101" s="1" t="s">
        <v>30</v>
      </c>
      <c r="D7101" s="1" t="s">
        <v>21</v>
      </c>
      <c r="E7101" s="1" t="s">
        <v>37</v>
      </c>
      <c r="F7101" s="1">
        <v>936.94</v>
      </c>
      <c r="G7101" s="1">
        <v>-111.95</v>
      </c>
      <c r="H7101" s="1">
        <v>5.0</v>
      </c>
      <c r="I7101" s="1" t="s">
        <v>17</v>
      </c>
      <c r="J7101" s="1" t="s">
        <v>18</v>
      </c>
      <c r="K7101" s="1">
        <f t="shared" si="1"/>
        <v>2022</v>
      </c>
      <c r="L7101" s="1" t="str">
        <f t="shared" si="2"/>
        <v>Jan</v>
      </c>
      <c r="M7101" s="1" t="str">
        <f t="shared" si="3"/>
        <v>Loss</v>
      </c>
    </row>
    <row r="7102" ht="14.25" customHeight="1">
      <c r="A7102" s="1" t="s">
        <v>7136</v>
      </c>
      <c r="B7102" s="2">
        <v>44832.0</v>
      </c>
      <c r="C7102" s="1" t="s">
        <v>20</v>
      </c>
      <c r="D7102" s="1" t="s">
        <v>15</v>
      </c>
      <c r="E7102" s="1" t="s">
        <v>54</v>
      </c>
      <c r="F7102" s="1">
        <v>626.14</v>
      </c>
      <c r="G7102" s="1">
        <v>71.8</v>
      </c>
      <c r="H7102" s="1">
        <v>3.0</v>
      </c>
      <c r="I7102" s="1" t="s">
        <v>23</v>
      </c>
      <c r="J7102" s="1" t="s">
        <v>24</v>
      </c>
      <c r="K7102" s="1">
        <f t="shared" si="1"/>
        <v>2022</v>
      </c>
      <c r="L7102" s="1" t="str">
        <f t="shared" si="2"/>
        <v>Sep</v>
      </c>
      <c r="M7102" s="1" t="str">
        <f t="shared" si="3"/>
        <v>Profit</v>
      </c>
    </row>
    <row r="7103" ht="14.25" customHeight="1">
      <c r="A7103" s="1" t="s">
        <v>7137</v>
      </c>
      <c r="B7103" s="2">
        <v>44863.0</v>
      </c>
      <c r="C7103" s="1" t="s">
        <v>20</v>
      </c>
      <c r="D7103" s="1" t="s">
        <v>21</v>
      </c>
      <c r="E7103" s="1" t="s">
        <v>22</v>
      </c>
      <c r="F7103" s="1">
        <v>861.32</v>
      </c>
      <c r="G7103" s="1">
        <v>-52.02</v>
      </c>
      <c r="H7103" s="1">
        <v>5.0</v>
      </c>
      <c r="I7103" s="1" t="s">
        <v>34</v>
      </c>
      <c r="J7103" s="1" t="s">
        <v>24</v>
      </c>
      <c r="K7103" s="1">
        <f t="shared" si="1"/>
        <v>2022</v>
      </c>
      <c r="L7103" s="1" t="str">
        <f t="shared" si="2"/>
        <v>Oct</v>
      </c>
      <c r="M7103" s="1" t="str">
        <f t="shared" si="3"/>
        <v>Loss</v>
      </c>
    </row>
    <row r="7104" ht="14.25" customHeight="1">
      <c r="A7104" s="1" t="s">
        <v>7138</v>
      </c>
      <c r="B7104" s="2">
        <v>44942.0</v>
      </c>
      <c r="C7104" s="1" t="s">
        <v>30</v>
      </c>
      <c r="D7104" s="1" t="s">
        <v>15</v>
      </c>
      <c r="E7104" s="1" t="s">
        <v>54</v>
      </c>
      <c r="F7104" s="1">
        <v>141.75</v>
      </c>
      <c r="G7104" s="1">
        <v>-27.73</v>
      </c>
      <c r="H7104" s="1">
        <v>1.0</v>
      </c>
      <c r="I7104" s="1" t="s">
        <v>17</v>
      </c>
      <c r="J7104" s="1" t="s">
        <v>18</v>
      </c>
      <c r="K7104" s="1">
        <f t="shared" si="1"/>
        <v>2023</v>
      </c>
      <c r="L7104" s="1" t="str">
        <f t="shared" si="2"/>
        <v>Jan</v>
      </c>
      <c r="M7104" s="1" t="str">
        <f t="shared" si="3"/>
        <v>Loss</v>
      </c>
    </row>
    <row r="7105" ht="14.25" customHeight="1">
      <c r="A7105" s="1" t="s">
        <v>7139</v>
      </c>
      <c r="B7105" s="2">
        <v>44888.0</v>
      </c>
      <c r="C7105" s="1" t="s">
        <v>20</v>
      </c>
      <c r="D7105" s="1" t="s">
        <v>21</v>
      </c>
      <c r="E7105" s="1" t="s">
        <v>22</v>
      </c>
      <c r="F7105" s="1">
        <v>797.34</v>
      </c>
      <c r="G7105" s="1">
        <v>-19.35</v>
      </c>
      <c r="H7105" s="1">
        <v>6.0</v>
      </c>
      <c r="I7105" s="1" t="s">
        <v>34</v>
      </c>
      <c r="J7105" s="1" t="s">
        <v>18</v>
      </c>
      <c r="K7105" s="1">
        <f t="shared" si="1"/>
        <v>2022</v>
      </c>
      <c r="L7105" s="1" t="str">
        <f t="shared" si="2"/>
        <v>Nov</v>
      </c>
      <c r="M7105" s="1" t="str">
        <f t="shared" si="3"/>
        <v>Loss</v>
      </c>
    </row>
    <row r="7106" ht="14.25" customHeight="1">
      <c r="A7106" s="1" t="s">
        <v>7140</v>
      </c>
      <c r="B7106" s="2">
        <v>44849.0</v>
      </c>
      <c r="C7106" s="1" t="s">
        <v>20</v>
      </c>
      <c r="D7106" s="1" t="s">
        <v>21</v>
      </c>
      <c r="E7106" s="1" t="s">
        <v>37</v>
      </c>
      <c r="F7106" s="1">
        <v>424.46</v>
      </c>
      <c r="G7106" s="1">
        <v>-74.13</v>
      </c>
      <c r="H7106" s="1">
        <v>7.0</v>
      </c>
      <c r="I7106" s="1" t="s">
        <v>17</v>
      </c>
      <c r="J7106" s="1" t="s">
        <v>38</v>
      </c>
      <c r="K7106" s="1">
        <f t="shared" si="1"/>
        <v>2022</v>
      </c>
      <c r="L7106" s="1" t="str">
        <f t="shared" si="2"/>
        <v>Oct</v>
      </c>
      <c r="M7106" s="1" t="str">
        <f t="shared" si="3"/>
        <v>Loss</v>
      </c>
    </row>
    <row r="7107" ht="14.25" customHeight="1">
      <c r="A7107" s="1" t="s">
        <v>7141</v>
      </c>
      <c r="B7107" s="2">
        <v>44313.0</v>
      </c>
      <c r="C7107" s="1" t="s">
        <v>14</v>
      </c>
      <c r="D7107" s="1" t="s">
        <v>21</v>
      </c>
      <c r="E7107" s="1" t="s">
        <v>37</v>
      </c>
      <c r="F7107" s="1">
        <v>486.51</v>
      </c>
      <c r="G7107" s="1">
        <v>-113.26</v>
      </c>
      <c r="H7107" s="1">
        <v>6.0</v>
      </c>
      <c r="I7107" s="1" t="s">
        <v>34</v>
      </c>
      <c r="J7107" s="1" t="s">
        <v>38</v>
      </c>
      <c r="K7107" s="1">
        <f t="shared" si="1"/>
        <v>2021</v>
      </c>
      <c r="L7107" s="1" t="str">
        <f t="shared" si="2"/>
        <v>Apr</v>
      </c>
      <c r="M7107" s="1" t="str">
        <f t="shared" si="3"/>
        <v>Loss</v>
      </c>
    </row>
    <row r="7108" ht="14.25" customHeight="1">
      <c r="A7108" s="1" t="s">
        <v>7142</v>
      </c>
      <c r="B7108" s="2">
        <v>44338.0</v>
      </c>
      <c r="C7108" s="1" t="s">
        <v>26</v>
      </c>
      <c r="D7108" s="1" t="s">
        <v>27</v>
      </c>
      <c r="E7108" s="1" t="s">
        <v>40</v>
      </c>
      <c r="F7108" s="1">
        <v>835.55</v>
      </c>
      <c r="G7108" s="1">
        <v>-46.68</v>
      </c>
      <c r="H7108" s="1">
        <v>5.0</v>
      </c>
      <c r="I7108" s="1" t="s">
        <v>17</v>
      </c>
      <c r="J7108" s="1" t="s">
        <v>38</v>
      </c>
      <c r="K7108" s="1">
        <f t="shared" si="1"/>
        <v>2021</v>
      </c>
      <c r="L7108" s="1" t="str">
        <f t="shared" si="2"/>
        <v>May</v>
      </c>
      <c r="M7108" s="1" t="str">
        <f t="shared" si="3"/>
        <v>Loss</v>
      </c>
    </row>
    <row r="7109" ht="14.25" customHeight="1">
      <c r="A7109" s="1" t="s">
        <v>7143</v>
      </c>
      <c r="B7109" s="2">
        <v>44738.0</v>
      </c>
      <c r="C7109" s="1" t="s">
        <v>14</v>
      </c>
      <c r="D7109" s="1" t="s">
        <v>27</v>
      </c>
      <c r="E7109" s="1" t="s">
        <v>28</v>
      </c>
      <c r="F7109" s="1">
        <v>814.2</v>
      </c>
      <c r="G7109" s="1">
        <v>18.51</v>
      </c>
      <c r="H7109" s="1">
        <v>10.0</v>
      </c>
      <c r="I7109" s="1" t="s">
        <v>17</v>
      </c>
      <c r="J7109" s="1" t="s">
        <v>35</v>
      </c>
      <c r="K7109" s="1">
        <f t="shared" si="1"/>
        <v>2022</v>
      </c>
      <c r="L7109" s="1" t="str">
        <f t="shared" si="2"/>
        <v>Jun</v>
      </c>
      <c r="M7109" s="1" t="str">
        <f t="shared" si="3"/>
        <v>Profit</v>
      </c>
    </row>
    <row r="7110" ht="14.25" customHeight="1">
      <c r="A7110" s="1" t="s">
        <v>7144</v>
      </c>
      <c r="B7110" s="2">
        <v>44745.0</v>
      </c>
      <c r="C7110" s="1" t="s">
        <v>14</v>
      </c>
      <c r="D7110" s="1" t="s">
        <v>21</v>
      </c>
      <c r="E7110" s="1" t="s">
        <v>22</v>
      </c>
      <c r="F7110" s="1">
        <v>62.65</v>
      </c>
      <c r="G7110" s="1">
        <v>-17.49</v>
      </c>
      <c r="H7110" s="1">
        <v>5.0</v>
      </c>
      <c r="I7110" s="1" t="s">
        <v>34</v>
      </c>
      <c r="J7110" s="1" t="s">
        <v>38</v>
      </c>
      <c r="K7110" s="1">
        <f t="shared" si="1"/>
        <v>2022</v>
      </c>
      <c r="L7110" s="1" t="str">
        <f t="shared" si="2"/>
        <v>Jul</v>
      </c>
      <c r="M7110" s="1" t="str">
        <f t="shared" si="3"/>
        <v>Loss</v>
      </c>
    </row>
    <row r="7111" ht="14.25" customHeight="1">
      <c r="A7111" s="1" t="s">
        <v>7145</v>
      </c>
      <c r="B7111" s="2">
        <v>44427.0</v>
      </c>
      <c r="C7111" s="1" t="s">
        <v>30</v>
      </c>
      <c r="D7111" s="1" t="s">
        <v>21</v>
      </c>
      <c r="E7111" s="1" t="s">
        <v>76</v>
      </c>
      <c r="F7111" s="1">
        <v>657.79</v>
      </c>
      <c r="G7111" s="1">
        <v>-171.82</v>
      </c>
      <c r="H7111" s="1">
        <v>10.0</v>
      </c>
      <c r="I7111" s="1" t="s">
        <v>34</v>
      </c>
      <c r="J7111" s="1" t="s">
        <v>18</v>
      </c>
      <c r="K7111" s="1">
        <f t="shared" si="1"/>
        <v>2021</v>
      </c>
      <c r="L7111" s="1" t="str">
        <f t="shared" si="2"/>
        <v>Aug</v>
      </c>
      <c r="M7111" s="1" t="str">
        <f t="shared" si="3"/>
        <v>Loss</v>
      </c>
    </row>
    <row r="7112" ht="14.25" customHeight="1">
      <c r="A7112" s="1" t="s">
        <v>7146</v>
      </c>
      <c r="B7112" s="2">
        <v>44468.0</v>
      </c>
      <c r="C7112" s="1" t="s">
        <v>26</v>
      </c>
      <c r="D7112" s="1" t="s">
        <v>21</v>
      </c>
      <c r="E7112" s="1" t="s">
        <v>76</v>
      </c>
      <c r="F7112" s="1">
        <v>904.79</v>
      </c>
      <c r="G7112" s="1">
        <v>-150.3</v>
      </c>
      <c r="H7112" s="1">
        <v>2.0</v>
      </c>
      <c r="I7112" s="1" t="s">
        <v>17</v>
      </c>
      <c r="J7112" s="1" t="s">
        <v>35</v>
      </c>
      <c r="K7112" s="1">
        <f t="shared" si="1"/>
        <v>2021</v>
      </c>
      <c r="L7112" s="1" t="str">
        <f t="shared" si="2"/>
        <v>Sep</v>
      </c>
      <c r="M7112" s="1" t="str">
        <f t="shared" si="3"/>
        <v>Loss</v>
      </c>
    </row>
    <row r="7113" ht="14.25" customHeight="1">
      <c r="A7113" s="1" t="s">
        <v>7147</v>
      </c>
      <c r="B7113" s="2">
        <v>44657.0</v>
      </c>
      <c r="C7113" s="1" t="s">
        <v>30</v>
      </c>
      <c r="D7113" s="1" t="s">
        <v>21</v>
      </c>
      <c r="E7113" s="1" t="s">
        <v>76</v>
      </c>
      <c r="F7113" s="1">
        <v>989.71</v>
      </c>
      <c r="G7113" s="1">
        <v>-108.87</v>
      </c>
      <c r="H7113" s="1">
        <v>4.0</v>
      </c>
      <c r="I7113" s="1" t="s">
        <v>23</v>
      </c>
      <c r="J7113" s="1" t="s">
        <v>18</v>
      </c>
      <c r="K7113" s="1">
        <f t="shared" si="1"/>
        <v>2022</v>
      </c>
      <c r="L7113" s="1" t="str">
        <f t="shared" si="2"/>
        <v>Apr</v>
      </c>
      <c r="M7113" s="1" t="str">
        <f t="shared" si="3"/>
        <v>Loss</v>
      </c>
    </row>
    <row r="7114" ht="14.25" customHeight="1">
      <c r="A7114" s="1" t="s">
        <v>7148</v>
      </c>
      <c r="B7114" s="2">
        <v>44540.0</v>
      </c>
      <c r="C7114" s="1" t="s">
        <v>20</v>
      </c>
      <c r="D7114" s="1" t="s">
        <v>15</v>
      </c>
      <c r="E7114" s="1" t="s">
        <v>16</v>
      </c>
      <c r="F7114" s="1">
        <v>255.27</v>
      </c>
      <c r="G7114" s="1">
        <v>272.11</v>
      </c>
      <c r="H7114" s="1">
        <v>2.0</v>
      </c>
      <c r="I7114" s="1" t="s">
        <v>34</v>
      </c>
      <c r="J7114" s="1" t="s">
        <v>24</v>
      </c>
      <c r="K7114" s="1">
        <f t="shared" si="1"/>
        <v>2021</v>
      </c>
      <c r="L7114" s="1" t="str">
        <f t="shared" si="2"/>
        <v>Dec</v>
      </c>
      <c r="M7114" s="1" t="str">
        <f t="shared" si="3"/>
        <v>Profit</v>
      </c>
    </row>
    <row r="7115" ht="14.25" customHeight="1">
      <c r="A7115" s="1" t="s">
        <v>7149</v>
      </c>
      <c r="B7115" s="2">
        <v>44795.0</v>
      </c>
      <c r="C7115" s="1" t="s">
        <v>26</v>
      </c>
      <c r="D7115" s="1" t="s">
        <v>21</v>
      </c>
      <c r="E7115" s="1" t="s">
        <v>76</v>
      </c>
      <c r="F7115" s="1">
        <v>848.12</v>
      </c>
      <c r="G7115" s="1">
        <v>109.61</v>
      </c>
      <c r="H7115" s="1">
        <v>9.0</v>
      </c>
      <c r="I7115" s="1" t="s">
        <v>17</v>
      </c>
      <c r="J7115" s="1" t="s">
        <v>35</v>
      </c>
      <c r="K7115" s="1">
        <f t="shared" si="1"/>
        <v>2022</v>
      </c>
      <c r="L7115" s="1" t="str">
        <f t="shared" si="2"/>
        <v>Aug</v>
      </c>
      <c r="M7115" s="1" t="str">
        <f t="shared" si="3"/>
        <v>Profit</v>
      </c>
    </row>
    <row r="7116" ht="14.25" customHeight="1">
      <c r="A7116" s="1" t="s">
        <v>7150</v>
      </c>
      <c r="B7116" s="2">
        <v>45050.0</v>
      </c>
      <c r="C7116" s="1" t="s">
        <v>30</v>
      </c>
      <c r="D7116" s="1" t="s">
        <v>21</v>
      </c>
      <c r="E7116" s="1" t="s">
        <v>76</v>
      </c>
      <c r="F7116" s="1">
        <v>408.24</v>
      </c>
      <c r="G7116" s="1">
        <v>-40.47</v>
      </c>
      <c r="H7116" s="1">
        <v>2.0</v>
      </c>
      <c r="I7116" s="1" t="s">
        <v>23</v>
      </c>
      <c r="J7116" s="1" t="s">
        <v>24</v>
      </c>
      <c r="K7116" s="1">
        <f t="shared" si="1"/>
        <v>2023</v>
      </c>
      <c r="L7116" s="1" t="str">
        <f t="shared" si="2"/>
        <v>May</v>
      </c>
      <c r="M7116" s="1" t="str">
        <f t="shared" si="3"/>
        <v>Loss</v>
      </c>
    </row>
    <row r="7117" ht="14.25" customHeight="1">
      <c r="A7117" s="1" t="s">
        <v>7151</v>
      </c>
      <c r="B7117" s="2">
        <v>45147.0</v>
      </c>
      <c r="C7117" s="1" t="s">
        <v>20</v>
      </c>
      <c r="D7117" s="1" t="s">
        <v>27</v>
      </c>
      <c r="E7117" s="1" t="s">
        <v>33</v>
      </c>
      <c r="F7117" s="1">
        <v>317.83</v>
      </c>
      <c r="G7117" s="1">
        <v>251.2</v>
      </c>
      <c r="H7117" s="1">
        <v>7.0</v>
      </c>
      <c r="I7117" s="1" t="s">
        <v>23</v>
      </c>
      <c r="J7117" s="1" t="s">
        <v>24</v>
      </c>
      <c r="K7117" s="1">
        <f t="shared" si="1"/>
        <v>2023</v>
      </c>
      <c r="L7117" s="1" t="str">
        <f t="shared" si="2"/>
        <v>Aug</v>
      </c>
      <c r="M7117" s="1" t="str">
        <f t="shared" si="3"/>
        <v>Profit</v>
      </c>
    </row>
    <row r="7118" ht="14.25" customHeight="1">
      <c r="A7118" s="1" t="s">
        <v>7152</v>
      </c>
      <c r="B7118" s="2">
        <v>45231.0</v>
      </c>
      <c r="C7118" s="1" t="s">
        <v>14</v>
      </c>
      <c r="D7118" s="1" t="s">
        <v>15</v>
      </c>
      <c r="E7118" s="1" t="s">
        <v>54</v>
      </c>
      <c r="F7118" s="1">
        <v>760.75</v>
      </c>
      <c r="G7118" s="1">
        <v>183.72</v>
      </c>
      <c r="H7118" s="1">
        <v>9.0</v>
      </c>
      <c r="I7118" s="1" t="s">
        <v>17</v>
      </c>
      <c r="J7118" s="1" t="s">
        <v>18</v>
      </c>
      <c r="K7118" s="1">
        <f t="shared" si="1"/>
        <v>2023</v>
      </c>
      <c r="L7118" s="1" t="str">
        <f t="shared" si="2"/>
        <v>Nov</v>
      </c>
      <c r="M7118" s="1" t="str">
        <f t="shared" si="3"/>
        <v>Profit</v>
      </c>
    </row>
    <row r="7119" ht="14.25" customHeight="1">
      <c r="A7119" s="1" t="s">
        <v>7153</v>
      </c>
      <c r="B7119" s="2">
        <v>44743.0</v>
      </c>
      <c r="C7119" s="1" t="s">
        <v>30</v>
      </c>
      <c r="D7119" s="1" t="s">
        <v>27</v>
      </c>
      <c r="E7119" s="1" t="s">
        <v>33</v>
      </c>
      <c r="F7119" s="1">
        <v>101.25</v>
      </c>
      <c r="G7119" s="1">
        <v>-65.51</v>
      </c>
      <c r="H7119" s="1">
        <v>1.0</v>
      </c>
      <c r="I7119" s="1" t="s">
        <v>17</v>
      </c>
      <c r="J7119" s="1" t="s">
        <v>35</v>
      </c>
      <c r="K7119" s="1">
        <f t="shared" si="1"/>
        <v>2022</v>
      </c>
      <c r="L7119" s="1" t="str">
        <f t="shared" si="2"/>
        <v>Jul</v>
      </c>
      <c r="M7119" s="1" t="str">
        <f t="shared" si="3"/>
        <v>Loss</v>
      </c>
    </row>
    <row r="7120" ht="14.25" customHeight="1">
      <c r="A7120" s="1" t="s">
        <v>7154</v>
      </c>
      <c r="B7120" s="2">
        <v>44603.0</v>
      </c>
      <c r="C7120" s="1" t="s">
        <v>26</v>
      </c>
      <c r="D7120" s="1" t="s">
        <v>27</v>
      </c>
      <c r="E7120" s="1" t="s">
        <v>33</v>
      </c>
      <c r="F7120" s="1">
        <v>124.47</v>
      </c>
      <c r="G7120" s="1">
        <v>59.64</v>
      </c>
      <c r="H7120" s="1">
        <v>6.0</v>
      </c>
      <c r="I7120" s="1" t="s">
        <v>23</v>
      </c>
      <c r="J7120" s="1" t="s">
        <v>24</v>
      </c>
      <c r="K7120" s="1">
        <f t="shared" si="1"/>
        <v>2022</v>
      </c>
      <c r="L7120" s="1" t="str">
        <f t="shared" si="2"/>
        <v>Feb</v>
      </c>
      <c r="M7120" s="1" t="str">
        <f t="shared" si="3"/>
        <v>Profit</v>
      </c>
    </row>
    <row r="7121" ht="14.25" customHeight="1">
      <c r="A7121" s="1" t="s">
        <v>7155</v>
      </c>
      <c r="B7121" s="2">
        <v>44667.0</v>
      </c>
      <c r="C7121" s="1" t="s">
        <v>14</v>
      </c>
      <c r="D7121" s="1" t="s">
        <v>15</v>
      </c>
      <c r="E7121" s="1" t="s">
        <v>54</v>
      </c>
      <c r="F7121" s="1">
        <v>114.27</v>
      </c>
      <c r="G7121" s="1">
        <v>-70.64</v>
      </c>
      <c r="H7121" s="1">
        <v>1.0</v>
      </c>
      <c r="I7121" s="1" t="s">
        <v>34</v>
      </c>
      <c r="J7121" s="1" t="s">
        <v>24</v>
      </c>
      <c r="K7121" s="1">
        <f t="shared" si="1"/>
        <v>2022</v>
      </c>
      <c r="L7121" s="1" t="str">
        <f t="shared" si="2"/>
        <v>Apr</v>
      </c>
      <c r="M7121" s="1" t="str">
        <f t="shared" si="3"/>
        <v>Loss</v>
      </c>
    </row>
    <row r="7122" ht="14.25" customHeight="1">
      <c r="A7122" s="1" t="s">
        <v>7156</v>
      </c>
      <c r="B7122" s="2">
        <v>44714.0</v>
      </c>
      <c r="C7122" s="1" t="s">
        <v>14</v>
      </c>
      <c r="D7122" s="1" t="s">
        <v>21</v>
      </c>
      <c r="E7122" s="1" t="s">
        <v>22</v>
      </c>
      <c r="F7122" s="1">
        <v>431.93</v>
      </c>
      <c r="G7122" s="1">
        <v>274.86</v>
      </c>
      <c r="H7122" s="1">
        <v>8.0</v>
      </c>
      <c r="I7122" s="1" t="s">
        <v>17</v>
      </c>
      <c r="J7122" s="1" t="s">
        <v>38</v>
      </c>
      <c r="K7122" s="1">
        <f t="shared" si="1"/>
        <v>2022</v>
      </c>
      <c r="L7122" s="1" t="str">
        <f t="shared" si="2"/>
        <v>Jun</v>
      </c>
      <c r="M7122" s="1" t="str">
        <f t="shared" si="3"/>
        <v>Profit</v>
      </c>
    </row>
    <row r="7123" ht="14.25" customHeight="1">
      <c r="A7123" s="1" t="s">
        <v>7157</v>
      </c>
      <c r="B7123" s="2">
        <v>45153.0</v>
      </c>
      <c r="C7123" s="1" t="s">
        <v>30</v>
      </c>
      <c r="D7123" s="1" t="s">
        <v>27</v>
      </c>
      <c r="E7123" s="1" t="s">
        <v>33</v>
      </c>
      <c r="F7123" s="1">
        <v>533.88</v>
      </c>
      <c r="G7123" s="1">
        <v>120.31</v>
      </c>
      <c r="H7123" s="1">
        <v>2.0</v>
      </c>
      <c r="I7123" s="1" t="s">
        <v>17</v>
      </c>
      <c r="J7123" s="1" t="s">
        <v>35</v>
      </c>
      <c r="K7123" s="1">
        <f t="shared" si="1"/>
        <v>2023</v>
      </c>
      <c r="L7123" s="1" t="str">
        <f t="shared" si="2"/>
        <v>Aug</v>
      </c>
      <c r="M7123" s="1" t="str">
        <f t="shared" si="3"/>
        <v>Profit</v>
      </c>
    </row>
    <row r="7124" ht="14.25" customHeight="1">
      <c r="A7124" s="1" t="s">
        <v>7158</v>
      </c>
      <c r="B7124" s="2">
        <v>45067.0</v>
      </c>
      <c r="C7124" s="1" t="s">
        <v>30</v>
      </c>
      <c r="D7124" s="1" t="s">
        <v>21</v>
      </c>
      <c r="E7124" s="1" t="s">
        <v>76</v>
      </c>
      <c r="F7124" s="1">
        <v>697.61</v>
      </c>
      <c r="G7124" s="1">
        <v>199.56</v>
      </c>
      <c r="H7124" s="1">
        <v>5.0</v>
      </c>
      <c r="I7124" s="1" t="s">
        <v>34</v>
      </c>
      <c r="J7124" s="1" t="s">
        <v>18</v>
      </c>
      <c r="K7124" s="1">
        <f t="shared" si="1"/>
        <v>2023</v>
      </c>
      <c r="L7124" s="1" t="str">
        <f t="shared" si="2"/>
        <v>May</v>
      </c>
      <c r="M7124" s="1" t="str">
        <f t="shared" si="3"/>
        <v>Profit</v>
      </c>
    </row>
    <row r="7125" ht="14.25" customHeight="1">
      <c r="A7125" s="1" t="s">
        <v>7159</v>
      </c>
      <c r="B7125" s="2">
        <v>44954.0</v>
      </c>
      <c r="C7125" s="1" t="s">
        <v>14</v>
      </c>
      <c r="D7125" s="1" t="s">
        <v>27</v>
      </c>
      <c r="E7125" s="1" t="s">
        <v>40</v>
      </c>
      <c r="F7125" s="1">
        <v>123.87</v>
      </c>
      <c r="G7125" s="1">
        <v>237.72</v>
      </c>
      <c r="H7125" s="1">
        <v>10.0</v>
      </c>
      <c r="I7125" s="1" t="s">
        <v>17</v>
      </c>
      <c r="J7125" s="1" t="s">
        <v>35</v>
      </c>
      <c r="K7125" s="1">
        <f t="shared" si="1"/>
        <v>2023</v>
      </c>
      <c r="L7125" s="1" t="str">
        <f t="shared" si="2"/>
        <v>Jan</v>
      </c>
      <c r="M7125" s="1" t="str">
        <f t="shared" si="3"/>
        <v>Profit</v>
      </c>
    </row>
    <row r="7126" ht="14.25" customHeight="1">
      <c r="A7126" s="1" t="s">
        <v>7160</v>
      </c>
      <c r="B7126" s="2">
        <v>45068.0</v>
      </c>
      <c r="C7126" s="1" t="s">
        <v>14</v>
      </c>
      <c r="D7126" s="1" t="s">
        <v>21</v>
      </c>
      <c r="E7126" s="1" t="s">
        <v>76</v>
      </c>
      <c r="F7126" s="1">
        <v>593.84</v>
      </c>
      <c r="G7126" s="1">
        <v>192.66</v>
      </c>
      <c r="H7126" s="1">
        <v>1.0</v>
      </c>
      <c r="I7126" s="1" t="s">
        <v>34</v>
      </c>
      <c r="J7126" s="1" t="s">
        <v>35</v>
      </c>
      <c r="K7126" s="1">
        <f t="shared" si="1"/>
        <v>2023</v>
      </c>
      <c r="L7126" s="1" t="str">
        <f t="shared" si="2"/>
        <v>May</v>
      </c>
      <c r="M7126" s="1" t="str">
        <f t="shared" si="3"/>
        <v>Profit</v>
      </c>
    </row>
    <row r="7127" ht="14.25" customHeight="1">
      <c r="A7127" s="1" t="s">
        <v>7161</v>
      </c>
      <c r="B7127" s="2">
        <v>44845.0</v>
      </c>
      <c r="C7127" s="1" t="s">
        <v>20</v>
      </c>
      <c r="D7127" s="1" t="s">
        <v>15</v>
      </c>
      <c r="E7127" s="1" t="s">
        <v>54</v>
      </c>
      <c r="F7127" s="1">
        <v>93.89</v>
      </c>
      <c r="G7127" s="1">
        <v>78.12</v>
      </c>
      <c r="H7127" s="1">
        <v>2.0</v>
      </c>
      <c r="I7127" s="1" t="s">
        <v>23</v>
      </c>
      <c r="J7127" s="1" t="s">
        <v>24</v>
      </c>
      <c r="K7127" s="1">
        <f t="shared" si="1"/>
        <v>2022</v>
      </c>
      <c r="L7127" s="1" t="str">
        <f t="shared" si="2"/>
        <v>Oct</v>
      </c>
      <c r="M7127" s="1" t="str">
        <f t="shared" si="3"/>
        <v>Profit</v>
      </c>
    </row>
    <row r="7128" ht="14.25" customHeight="1">
      <c r="A7128" s="1" t="s">
        <v>7162</v>
      </c>
      <c r="B7128" s="2">
        <v>44508.0</v>
      </c>
      <c r="C7128" s="1" t="s">
        <v>14</v>
      </c>
      <c r="D7128" s="1" t="s">
        <v>21</v>
      </c>
      <c r="E7128" s="1" t="s">
        <v>37</v>
      </c>
      <c r="F7128" s="1">
        <v>733.36</v>
      </c>
      <c r="G7128" s="1">
        <v>240.65</v>
      </c>
      <c r="H7128" s="1">
        <v>7.0</v>
      </c>
      <c r="I7128" s="1" t="s">
        <v>23</v>
      </c>
      <c r="J7128" s="1" t="s">
        <v>38</v>
      </c>
      <c r="K7128" s="1">
        <f t="shared" si="1"/>
        <v>2021</v>
      </c>
      <c r="L7128" s="1" t="str">
        <f t="shared" si="2"/>
        <v>Nov</v>
      </c>
      <c r="M7128" s="1" t="str">
        <f t="shared" si="3"/>
        <v>Profit</v>
      </c>
    </row>
    <row r="7129" ht="14.25" customHeight="1">
      <c r="A7129" s="1" t="s">
        <v>7163</v>
      </c>
      <c r="B7129" s="2">
        <v>45134.0</v>
      </c>
      <c r="C7129" s="1" t="s">
        <v>26</v>
      </c>
      <c r="D7129" s="1" t="s">
        <v>15</v>
      </c>
      <c r="E7129" s="1" t="s">
        <v>16</v>
      </c>
      <c r="F7129" s="1">
        <v>529.98</v>
      </c>
      <c r="G7129" s="1">
        <v>-188.16</v>
      </c>
      <c r="H7129" s="1">
        <v>5.0</v>
      </c>
      <c r="I7129" s="1" t="s">
        <v>23</v>
      </c>
      <c r="J7129" s="1" t="s">
        <v>18</v>
      </c>
      <c r="K7129" s="1">
        <f t="shared" si="1"/>
        <v>2023</v>
      </c>
      <c r="L7129" s="1" t="str">
        <f t="shared" si="2"/>
        <v>Jul</v>
      </c>
      <c r="M7129" s="1" t="str">
        <f t="shared" si="3"/>
        <v>Loss</v>
      </c>
    </row>
    <row r="7130" ht="14.25" customHeight="1">
      <c r="A7130" s="1" t="s">
        <v>7164</v>
      </c>
      <c r="B7130" s="2">
        <v>45067.0</v>
      </c>
      <c r="C7130" s="1" t="s">
        <v>20</v>
      </c>
      <c r="D7130" s="1" t="s">
        <v>21</v>
      </c>
      <c r="E7130" s="1" t="s">
        <v>76</v>
      </c>
      <c r="F7130" s="1">
        <v>356.13</v>
      </c>
      <c r="G7130" s="1">
        <v>212.9</v>
      </c>
      <c r="H7130" s="1">
        <v>8.0</v>
      </c>
      <c r="I7130" s="1" t="s">
        <v>34</v>
      </c>
      <c r="J7130" s="1" t="s">
        <v>35</v>
      </c>
      <c r="K7130" s="1">
        <f t="shared" si="1"/>
        <v>2023</v>
      </c>
      <c r="L7130" s="1" t="str">
        <f t="shared" si="2"/>
        <v>May</v>
      </c>
      <c r="M7130" s="1" t="str">
        <f t="shared" si="3"/>
        <v>Profit</v>
      </c>
    </row>
    <row r="7131" ht="14.25" customHeight="1">
      <c r="A7131" s="1" t="s">
        <v>7165</v>
      </c>
      <c r="B7131" s="2">
        <v>45104.0</v>
      </c>
      <c r="C7131" s="1" t="s">
        <v>20</v>
      </c>
      <c r="D7131" s="1" t="s">
        <v>15</v>
      </c>
      <c r="E7131" s="1" t="s">
        <v>16</v>
      </c>
      <c r="F7131" s="1">
        <v>590.47</v>
      </c>
      <c r="G7131" s="1">
        <v>-97.72</v>
      </c>
      <c r="H7131" s="1">
        <v>7.0</v>
      </c>
      <c r="I7131" s="1" t="s">
        <v>34</v>
      </c>
      <c r="J7131" s="1" t="s">
        <v>24</v>
      </c>
      <c r="K7131" s="1">
        <f t="shared" si="1"/>
        <v>2023</v>
      </c>
      <c r="L7131" s="1" t="str">
        <f t="shared" si="2"/>
        <v>Jun</v>
      </c>
      <c r="M7131" s="1" t="str">
        <f t="shared" si="3"/>
        <v>Loss</v>
      </c>
    </row>
    <row r="7132" ht="14.25" customHeight="1">
      <c r="A7132" s="1" t="s">
        <v>7166</v>
      </c>
      <c r="B7132" s="2">
        <v>44510.0</v>
      </c>
      <c r="C7132" s="1" t="s">
        <v>30</v>
      </c>
      <c r="D7132" s="1" t="s">
        <v>15</v>
      </c>
      <c r="E7132" s="1" t="s">
        <v>54</v>
      </c>
      <c r="F7132" s="1">
        <v>418.53</v>
      </c>
      <c r="G7132" s="1">
        <v>254.24</v>
      </c>
      <c r="H7132" s="1">
        <v>1.0</v>
      </c>
      <c r="I7132" s="1" t="s">
        <v>23</v>
      </c>
      <c r="J7132" s="1" t="s">
        <v>35</v>
      </c>
      <c r="K7132" s="1">
        <f t="shared" si="1"/>
        <v>2021</v>
      </c>
      <c r="L7132" s="1" t="str">
        <f t="shared" si="2"/>
        <v>Nov</v>
      </c>
      <c r="M7132" s="1" t="str">
        <f t="shared" si="3"/>
        <v>Profit</v>
      </c>
    </row>
    <row r="7133" ht="14.25" customHeight="1">
      <c r="A7133" s="1" t="s">
        <v>7167</v>
      </c>
      <c r="B7133" s="2">
        <v>44375.0</v>
      </c>
      <c r="C7133" s="1" t="s">
        <v>30</v>
      </c>
      <c r="D7133" s="1" t="s">
        <v>27</v>
      </c>
      <c r="E7133" s="1" t="s">
        <v>33</v>
      </c>
      <c r="F7133" s="1">
        <v>370.58</v>
      </c>
      <c r="G7133" s="1">
        <v>217.68</v>
      </c>
      <c r="H7133" s="1">
        <v>9.0</v>
      </c>
      <c r="I7133" s="1" t="s">
        <v>23</v>
      </c>
      <c r="J7133" s="1" t="s">
        <v>24</v>
      </c>
      <c r="K7133" s="1">
        <f t="shared" si="1"/>
        <v>2021</v>
      </c>
      <c r="L7133" s="1" t="str">
        <f t="shared" si="2"/>
        <v>Jun</v>
      </c>
      <c r="M7133" s="1" t="str">
        <f t="shared" si="3"/>
        <v>Profit</v>
      </c>
    </row>
    <row r="7134" ht="14.25" customHeight="1">
      <c r="A7134" s="1" t="s">
        <v>7168</v>
      </c>
      <c r="B7134" s="2">
        <v>45233.0</v>
      </c>
      <c r="C7134" s="1" t="s">
        <v>20</v>
      </c>
      <c r="D7134" s="1" t="s">
        <v>15</v>
      </c>
      <c r="E7134" s="1" t="s">
        <v>31</v>
      </c>
      <c r="F7134" s="1">
        <v>50.64</v>
      </c>
      <c r="G7134" s="1">
        <v>279.5</v>
      </c>
      <c r="H7134" s="1">
        <v>4.0</v>
      </c>
      <c r="I7134" s="1" t="s">
        <v>23</v>
      </c>
      <c r="J7134" s="1" t="s">
        <v>38</v>
      </c>
      <c r="K7134" s="1">
        <f t="shared" si="1"/>
        <v>2023</v>
      </c>
      <c r="L7134" s="1" t="str">
        <f t="shared" si="2"/>
        <v>Nov</v>
      </c>
      <c r="M7134" s="1" t="str">
        <f t="shared" si="3"/>
        <v>Profit</v>
      </c>
    </row>
    <row r="7135" ht="14.25" customHeight="1">
      <c r="A7135" s="1" t="s">
        <v>7169</v>
      </c>
      <c r="B7135" s="2">
        <v>45209.0</v>
      </c>
      <c r="C7135" s="1" t="s">
        <v>30</v>
      </c>
      <c r="D7135" s="1" t="s">
        <v>21</v>
      </c>
      <c r="E7135" s="1" t="s">
        <v>76</v>
      </c>
      <c r="F7135" s="1">
        <v>533.13</v>
      </c>
      <c r="G7135" s="1">
        <v>75.85</v>
      </c>
      <c r="H7135" s="1">
        <v>1.0</v>
      </c>
      <c r="I7135" s="1" t="s">
        <v>17</v>
      </c>
      <c r="J7135" s="1" t="s">
        <v>24</v>
      </c>
      <c r="K7135" s="1">
        <f t="shared" si="1"/>
        <v>2023</v>
      </c>
      <c r="L7135" s="1" t="str">
        <f t="shared" si="2"/>
        <v>Oct</v>
      </c>
      <c r="M7135" s="1" t="str">
        <f t="shared" si="3"/>
        <v>Profit</v>
      </c>
    </row>
    <row r="7136" ht="14.25" customHeight="1">
      <c r="A7136" s="1" t="s">
        <v>7170</v>
      </c>
      <c r="B7136" s="2">
        <v>44796.0</v>
      </c>
      <c r="C7136" s="1" t="s">
        <v>14</v>
      </c>
      <c r="D7136" s="1" t="s">
        <v>21</v>
      </c>
      <c r="E7136" s="1" t="s">
        <v>37</v>
      </c>
      <c r="F7136" s="1">
        <v>391.12</v>
      </c>
      <c r="G7136" s="1">
        <v>204.33</v>
      </c>
      <c r="H7136" s="1">
        <v>7.0</v>
      </c>
      <c r="I7136" s="1" t="s">
        <v>17</v>
      </c>
      <c r="J7136" s="1" t="s">
        <v>18</v>
      </c>
      <c r="K7136" s="1">
        <f t="shared" si="1"/>
        <v>2022</v>
      </c>
      <c r="L7136" s="1" t="str">
        <f t="shared" si="2"/>
        <v>Aug</v>
      </c>
      <c r="M7136" s="1" t="str">
        <f t="shared" si="3"/>
        <v>Profit</v>
      </c>
    </row>
    <row r="7137" ht="14.25" customHeight="1">
      <c r="A7137" s="1" t="s">
        <v>7171</v>
      </c>
      <c r="B7137" s="2">
        <v>44864.0</v>
      </c>
      <c r="C7137" s="1" t="s">
        <v>30</v>
      </c>
      <c r="D7137" s="1" t="s">
        <v>15</v>
      </c>
      <c r="E7137" s="1" t="s">
        <v>31</v>
      </c>
      <c r="F7137" s="1">
        <v>69.19</v>
      </c>
      <c r="G7137" s="1">
        <v>-191.18</v>
      </c>
      <c r="H7137" s="1">
        <v>10.0</v>
      </c>
      <c r="I7137" s="1" t="s">
        <v>23</v>
      </c>
      <c r="J7137" s="1" t="s">
        <v>18</v>
      </c>
      <c r="K7137" s="1">
        <f t="shared" si="1"/>
        <v>2022</v>
      </c>
      <c r="L7137" s="1" t="str">
        <f t="shared" si="2"/>
        <v>Oct</v>
      </c>
      <c r="M7137" s="1" t="str">
        <f t="shared" si="3"/>
        <v>Loss</v>
      </c>
    </row>
    <row r="7138" ht="14.25" customHeight="1">
      <c r="A7138" s="1" t="s">
        <v>7172</v>
      </c>
      <c r="B7138" s="2">
        <v>44400.0</v>
      </c>
      <c r="C7138" s="1" t="s">
        <v>20</v>
      </c>
      <c r="D7138" s="1" t="s">
        <v>21</v>
      </c>
      <c r="E7138" s="1" t="s">
        <v>22</v>
      </c>
      <c r="F7138" s="1">
        <v>401.51</v>
      </c>
      <c r="G7138" s="1">
        <v>-121.43</v>
      </c>
      <c r="H7138" s="1">
        <v>2.0</v>
      </c>
      <c r="I7138" s="1" t="s">
        <v>34</v>
      </c>
      <c r="J7138" s="1" t="s">
        <v>38</v>
      </c>
      <c r="K7138" s="1">
        <f t="shared" si="1"/>
        <v>2021</v>
      </c>
      <c r="L7138" s="1" t="str">
        <f t="shared" si="2"/>
        <v>Jul</v>
      </c>
      <c r="M7138" s="1" t="str">
        <f t="shared" si="3"/>
        <v>Loss</v>
      </c>
    </row>
    <row r="7139" ht="14.25" customHeight="1">
      <c r="A7139" s="1" t="s">
        <v>7173</v>
      </c>
      <c r="B7139" s="2">
        <v>44309.0</v>
      </c>
      <c r="C7139" s="1" t="s">
        <v>20</v>
      </c>
      <c r="D7139" s="1" t="s">
        <v>27</v>
      </c>
      <c r="E7139" s="1" t="s">
        <v>28</v>
      </c>
      <c r="F7139" s="1">
        <v>138.87</v>
      </c>
      <c r="G7139" s="1">
        <v>170.96</v>
      </c>
      <c r="H7139" s="1">
        <v>9.0</v>
      </c>
      <c r="I7139" s="1" t="s">
        <v>17</v>
      </c>
      <c r="J7139" s="1" t="s">
        <v>38</v>
      </c>
      <c r="K7139" s="1">
        <f t="shared" si="1"/>
        <v>2021</v>
      </c>
      <c r="L7139" s="1" t="str">
        <f t="shared" si="2"/>
        <v>Apr</v>
      </c>
      <c r="M7139" s="1" t="str">
        <f t="shared" si="3"/>
        <v>Profit</v>
      </c>
    </row>
    <row r="7140" ht="14.25" customHeight="1">
      <c r="A7140" s="1" t="s">
        <v>7174</v>
      </c>
      <c r="B7140" s="2">
        <v>44286.0</v>
      </c>
      <c r="C7140" s="1" t="s">
        <v>20</v>
      </c>
      <c r="D7140" s="1" t="s">
        <v>15</v>
      </c>
      <c r="E7140" s="1" t="s">
        <v>16</v>
      </c>
      <c r="F7140" s="1">
        <v>922.66</v>
      </c>
      <c r="G7140" s="1">
        <v>-134.42</v>
      </c>
      <c r="H7140" s="1">
        <v>3.0</v>
      </c>
      <c r="I7140" s="1" t="s">
        <v>23</v>
      </c>
      <c r="J7140" s="1" t="s">
        <v>24</v>
      </c>
      <c r="K7140" s="1">
        <f t="shared" si="1"/>
        <v>2021</v>
      </c>
      <c r="L7140" s="1" t="str">
        <f t="shared" si="2"/>
        <v>Mar</v>
      </c>
      <c r="M7140" s="1" t="str">
        <f t="shared" si="3"/>
        <v>Loss</v>
      </c>
    </row>
    <row r="7141" ht="14.25" customHeight="1">
      <c r="A7141" s="1" t="s">
        <v>7175</v>
      </c>
      <c r="B7141" s="2">
        <v>45129.0</v>
      </c>
      <c r="C7141" s="1" t="s">
        <v>20</v>
      </c>
      <c r="D7141" s="1" t="s">
        <v>21</v>
      </c>
      <c r="E7141" s="1" t="s">
        <v>76</v>
      </c>
      <c r="F7141" s="1">
        <v>987.01</v>
      </c>
      <c r="G7141" s="1">
        <v>-68.71</v>
      </c>
      <c r="H7141" s="1">
        <v>9.0</v>
      </c>
      <c r="I7141" s="1" t="s">
        <v>17</v>
      </c>
      <c r="J7141" s="1" t="s">
        <v>24</v>
      </c>
      <c r="K7141" s="1">
        <f t="shared" si="1"/>
        <v>2023</v>
      </c>
      <c r="L7141" s="1" t="str">
        <f t="shared" si="2"/>
        <v>Jul</v>
      </c>
      <c r="M7141" s="1" t="str">
        <f t="shared" si="3"/>
        <v>Loss</v>
      </c>
    </row>
    <row r="7142" ht="14.25" customHeight="1">
      <c r="A7142" s="1" t="s">
        <v>7176</v>
      </c>
      <c r="B7142" s="2">
        <v>45055.0</v>
      </c>
      <c r="C7142" s="1" t="s">
        <v>20</v>
      </c>
      <c r="D7142" s="1" t="s">
        <v>15</v>
      </c>
      <c r="E7142" s="1" t="s">
        <v>16</v>
      </c>
      <c r="F7142" s="1">
        <v>864.96</v>
      </c>
      <c r="G7142" s="1">
        <v>103.95</v>
      </c>
      <c r="H7142" s="1">
        <v>5.0</v>
      </c>
      <c r="I7142" s="1" t="s">
        <v>34</v>
      </c>
      <c r="J7142" s="1" t="s">
        <v>35</v>
      </c>
      <c r="K7142" s="1">
        <f t="shared" si="1"/>
        <v>2023</v>
      </c>
      <c r="L7142" s="1" t="str">
        <f t="shared" si="2"/>
        <v>May</v>
      </c>
      <c r="M7142" s="1" t="str">
        <f t="shared" si="3"/>
        <v>Profit</v>
      </c>
    </row>
    <row r="7143" ht="14.25" customHeight="1">
      <c r="A7143" s="1" t="s">
        <v>7177</v>
      </c>
      <c r="B7143" s="2">
        <v>45027.0</v>
      </c>
      <c r="C7143" s="1" t="s">
        <v>14</v>
      </c>
      <c r="D7143" s="1" t="s">
        <v>21</v>
      </c>
      <c r="E7143" s="1" t="s">
        <v>22</v>
      </c>
      <c r="F7143" s="1">
        <v>719.79</v>
      </c>
      <c r="G7143" s="1">
        <v>-31.69</v>
      </c>
      <c r="H7143" s="1">
        <v>2.0</v>
      </c>
      <c r="I7143" s="1" t="s">
        <v>34</v>
      </c>
      <c r="J7143" s="1" t="s">
        <v>24</v>
      </c>
      <c r="K7143" s="1">
        <f t="shared" si="1"/>
        <v>2023</v>
      </c>
      <c r="L7143" s="1" t="str">
        <f t="shared" si="2"/>
        <v>Apr</v>
      </c>
      <c r="M7143" s="1" t="str">
        <f t="shared" si="3"/>
        <v>Loss</v>
      </c>
    </row>
    <row r="7144" ht="14.25" customHeight="1">
      <c r="A7144" s="1" t="s">
        <v>7178</v>
      </c>
      <c r="B7144" s="2">
        <v>44340.0</v>
      </c>
      <c r="C7144" s="1" t="s">
        <v>26</v>
      </c>
      <c r="D7144" s="1" t="s">
        <v>15</v>
      </c>
      <c r="E7144" s="1" t="s">
        <v>31</v>
      </c>
      <c r="F7144" s="1">
        <v>244.74</v>
      </c>
      <c r="G7144" s="1">
        <v>98.75</v>
      </c>
      <c r="H7144" s="1">
        <v>2.0</v>
      </c>
      <c r="I7144" s="1" t="s">
        <v>17</v>
      </c>
      <c r="J7144" s="1" t="s">
        <v>38</v>
      </c>
      <c r="K7144" s="1">
        <f t="shared" si="1"/>
        <v>2021</v>
      </c>
      <c r="L7144" s="1" t="str">
        <f t="shared" si="2"/>
        <v>May</v>
      </c>
      <c r="M7144" s="1" t="str">
        <f t="shared" si="3"/>
        <v>Profit</v>
      </c>
    </row>
    <row r="7145" ht="14.25" customHeight="1">
      <c r="A7145" s="1" t="s">
        <v>7179</v>
      </c>
      <c r="B7145" s="2">
        <v>44392.0</v>
      </c>
      <c r="C7145" s="1" t="s">
        <v>20</v>
      </c>
      <c r="D7145" s="1" t="s">
        <v>21</v>
      </c>
      <c r="E7145" s="1" t="s">
        <v>37</v>
      </c>
      <c r="F7145" s="1">
        <v>551.73</v>
      </c>
      <c r="G7145" s="1">
        <v>-39.34</v>
      </c>
      <c r="H7145" s="1">
        <v>6.0</v>
      </c>
      <c r="I7145" s="1" t="s">
        <v>23</v>
      </c>
      <c r="J7145" s="1" t="s">
        <v>38</v>
      </c>
      <c r="K7145" s="1">
        <f t="shared" si="1"/>
        <v>2021</v>
      </c>
      <c r="L7145" s="1" t="str">
        <f t="shared" si="2"/>
        <v>Jul</v>
      </c>
      <c r="M7145" s="1" t="str">
        <f t="shared" si="3"/>
        <v>Loss</v>
      </c>
    </row>
    <row r="7146" ht="14.25" customHeight="1">
      <c r="A7146" s="1" t="s">
        <v>7180</v>
      </c>
      <c r="B7146" s="2">
        <v>45289.0</v>
      </c>
      <c r="C7146" s="1" t="s">
        <v>26</v>
      </c>
      <c r="D7146" s="1" t="s">
        <v>15</v>
      </c>
      <c r="E7146" s="1" t="s">
        <v>31</v>
      </c>
      <c r="F7146" s="1">
        <v>914.59</v>
      </c>
      <c r="G7146" s="1">
        <v>-55.67</v>
      </c>
      <c r="H7146" s="1">
        <v>1.0</v>
      </c>
      <c r="I7146" s="1" t="s">
        <v>34</v>
      </c>
      <c r="J7146" s="1" t="s">
        <v>35</v>
      </c>
      <c r="K7146" s="1">
        <f t="shared" si="1"/>
        <v>2023</v>
      </c>
      <c r="L7146" s="1" t="str">
        <f t="shared" si="2"/>
        <v>Dec</v>
      </c>
      <c r="M7146" s="1" t="str">
        <f t="shared" si="3"/>
        <v>Loss</v>
      </c>
    </row>
    <row r="7147" ht="14.25" customHeight="1">
      <c r="A7147" s="1" t="s">
        <v>7181</v>
      </c>
      <c r="B7147" s="2">
        <v>44207.0</v>
      </c>
      <c r="C7147" s="1" t="s">
        <v>20</v>
      </c>
      <c r="D7147" s="1" t="s">
        <v>21</v>
      </c>
      <c r="E7147" s="1" t="s">
        <v>22</v>
      </c>
      <c r="F7147" s="1">
        <v>826.93</v>
      </c>
      <c r="G7147" s="1">
        <v>-38.02</v>
      </c>
      <c r="H7147" s="1">
        <v>7.0</v>
      </c>
      <c r="I7147" s="1" t="s">
        <v>17</v>
      </c>
      <c r="J7147" s="1" t="s">
        <v>24</v>
      </c>
      <c r="K7147" s="1">
        <f t="shared" si="1"/>
        <v>2021</v>
      </c>
      <c r="L7147" s="1" t="str">
        <f t="shared" si="2"/>
        <v>Jan</v>
      </c>
      <c r="M7147" s="1" t="str">
        <f t="shared" si="3"/>
        <v>Loss</v>
      </c>
    </row>
    <row r="7148" ht="14.25" customHeight="1">
      <c r="A7148" s="1" t="s">
        <v>7182</v>
      </c>
      <c r="B7148" s="2">
        <v>44847.0</v>
      </c>
      <c r="C7148" s="1" t="s">
        <v>30</v>
      </c>
      <c r="D7148" s="1" t="s">
        <v>21</v>
      </c>
      <c r="E7148" s="1" t="s">
        <v>22</v>
      </c>
      <c r="F7148" s="1">
        <v>357.86</v>
      </c>
      <c r="G7148" s="1">
        <v>-82.97</v>
      </c>
      <c r="H7148" s="1">
        <v>1.0</v>
      </c>
      <c r="I7148" s="1" t="s">
        <v>17</v>
      </c>
      <c r="J7148" s="1" t="s">
        <v>35</v>
      </c>
      <c r="K7148" s="1">
        <f t="shared" si="1"/>
        <v>2022</v>
      </c>
      <c r="L7148" s="1" t="str">
        <f t="shared" si="2"/>
        <v>Oct</v>
      </c>
      <c r="M7148" s="1" t="str">
        <f t="shared" si="3"/>
        <v>Loss</v>
      </c>
    </row>
    <row r="7149" ht="14.25" customHeight="1">
      <c r="A7149" s="1" t="s">
        <v>7183</v>
      </c>
      <c r="B7149" s="2">
        <v>44591.0</v>
      </c>
      <c r="C7149" s="1" t="s">
        <v>30</v>
      </c>
      <c r="D7149" s="1" t="s">
        <v>21</v>
      </c>
      <c r="E7149" s="1" t="s">
        <v>37</v>
      </c>
      <c r="F7149" s="1">
        <v>340.04</v>
      </c>
      <c r="G7149" s="1">
        <v>65.69</v>
      </c>
      <c r="H7149" s="1">
        <v>5.0</v>
      </c>
      <c r="I7149" s="1" t="s">
        <v>23</v>
      </c>
      <c r="J7149" s="1" t="s">
        <v>38</v>
      </c>
      <c r="K7149" s="1">
        <f t="shared" si="1"/>
        <v>2022</v>
      </c>
      <c r="L7149" s="1" t="str">
        <f t="shared" si="2"/>
        <v>Jan</v>
      </c>
      <c r="M7149" s="1" t="str">
        <f t="shared" si="3"/>
        <v>Profit</v>
      </c>
    </row>
    <row r="7150" ht="14.25" customHeight="1">
      <c r="A7150" s="1" t="s">
        <v>7184</v>
      </c>
      <c r="B7150" s="2">
        <v>44654.0</v>
      </c>
      <c r="C7150" s="1" t="s">
        <v>14</v>
      </c>
      <c r="D7150" s="1" t="s">
        <v>27</v>
      </c>
      <c r="E7150" s="1" t="s">
        <v>40</v>
      </c>
      <c r="F7150" s="1">
        <v>420.52</v>
      </c>
      <c r="G7150" s="1">
        <v>145.15</v>
      </c>
      <c r="H7150" s="1">
        <v>1.0</v>
      </c>
      <c r="I7150" s="1" t="s">
        <v>17</v>
      </c>
      <c r="J7150" s="1" t="s">
        <v>24</v>
      </c>
      <c r="K7150" s="1">
        <f t="shared" si="1"/>
        <v>2022</v>
      </c>
      <c r="L7150" s="1" t="str">
        <f t="shared" si="2"/>
        <v>Apr</v>
      </c>
      <c r="M7150" s="1" t="str">
        <f t="shared" si="3"/>
        <v>Profit</v>
      </c>
    </row>
    <row r="7151" ht="14.25" customHeight="1">
      <c r="A7151" s="1" t="s">
        <v>7185</v>
      </c>
      <c r="B7151" s="2">
        <v>45163.0</v>
      </c>
      <c r="C7151" s="1" t="s">
        <v>20</v>
      </c>
      <c r="D7151" s="1" t="s">
        <v>15</v>
      </c>
      <c r="E7151" s="1" t="s">
        <v>16</v>
      </c>
      <c r="F7151" s="1">
        <v>644.92</v>
      </c>
      <c r="G7151" s="1">
        <v>-53.48</v>
      </c>
      <c r="H7151" s="1">
        <v>6.0</v>
      </c>
      <c r="I7151" s="1" t="s">
        <v>34</v>
      </c>
      <c r="J7151" s="1" t="s">
        <v>35</v>
      </c>
      <c r="K7151" s="1">
        <f t="shared" si="1"/>
        <v>2023</v>
      </c>
      <c r="L7151" s="1" t="str">
        <f t="shared" si="2"/>
        <v>Aug</v>
      </c>
      <c r="M7151" s="1" t="str">
        <f t="shared" si="3"/>
        <v>Loss</v>
      </c>
    </row>
    <row r="7152" ht="14.25" customHeight="1">
      <c r="A7152" s="1" t="s">
        <v>7186</v>
      </c>
      <c r="B7152" s="2">
        <v>44660.0</v>
      </c>
      <c r="C7152" s="1" t="s">
        <v>26</v>
      </c>
      <c r="D7152" s="1" t="s">
        <v>27</v>
      </c>
      <c r="E7152" s="1" t="s">
        <v>28</v>
      </c>
      <c r="F7152" s="1">
        <v>383.84</v>
      </c>
      <c r="G7152" s="1">
        <v>188.84</v>
      </c>
      <c r="H7152" s="1">
        <v>6.0</v>
      </c>
      <c r="I7152" s="1" t="s">
        <v>17</v>
      </c>
      <c r="J7152" s="1" t="s">
        <v>24</v>
      </c>
      <c r="K7152" s="1">
        <f t="shared" si="1"/>
        <v>2022</v>
      </c>
      <c r="L7152" s="1" t="str">
        <f t="shared" si="2"/>
        <v>Apr</v>
      </c>
      <c r="M7152" s="1" t="str">
        <f t="shared" si="3"/>
        <v>Profit</v>
      </c>
    </row>
    <row r="7153" ht="14.25" customHeight="1">
      <c r="A7153" s="1" t="s">
        <v>7187</v>
      </c>
      <c r="B7153" s="2">
        <v>45014.0</v>
      </c>
      <c r="C7153" s="1" t="s">
        <v>14</v>
      </c>
      <c r="D7153" s="1" t="s">
        <v>27</v>
      </c>
      <c r="E7153" s="1" t="s">
        <v>28</v>
      </c>
      <c r="F7153" s="1">
        <v>976.16</v>
      </c>
      <c r="G7153" s="1">
        <v>219.45</v>
      </c>
      <c r="H7153" s="1">
        <v>1.0</v>
      </c>
      <c r="I7153" s="1" t="s">
        <v>17</v>
      </c>
      <c r="J7153" s="1" t="s">
        <v>18</v>
      </c>
      <c r="K7153" s="1">
        <f t="shared" si="1"/>
        <v>2023</v>
      </c>
      <c r="L7153" s="1" t="str">
        <f t="shared" si="2"/>
        <v>Mar</v>
      </c>
      <c r="M7153" s="1" t="str">
        <f t="shared" si="3"/>
        <v>Profit</v>
      </c>
    </row>
    <row r="7154" ht="14.25" customHeight="1">
      <c r="A7154" s="1" t="s">
        <v>7188</v>
      </c>
      <c r="B7154" s="2">
        <v>45278.0</v>
      </c>
      <c r="C7154" s="1" t="s">
        <v>20</v>
      </c>
      <c r="D7154" s="1" t="s">
        <v>21</v>
      </c>
      <c r="E7154" s="1" t="s">
        <v>76</v>
      </c>
      <c r="F7154" s="1">
        <v>854.28</v>
      </c>
      <c r="G7154" s="1">
        <v>-93.26</v>
      </c>
      <c r="H7154" s="1">
        <v>1.0</v>
      </c>
      <c r="I7154" s="1" t="s">
        <v>23</v>
      </c>
      <c r="J7154" s="1" t="s">
        <v>35</v>
      </c>
      <c r="K7154" s="1">
        <f t="shared" si="1"/>
        <v>2023</v>
      </c>
      <c r="L7154" s="1" t="str">
        <f t="shared" si="2"/>
        <v>Dec</v>
      </c>
      <c r="M7154" s="1" t="str">
        <f t="shared" si="3"/>
        <v>Loss</v>
      </c>
    </row>
    <row r="7155" ht="14.25" customHeight="1">
      <c r="A7155" s="1" t="s">
        <v>7189</v>
      </c>
      <c r="B7155" s="2">
        <v>44585.0</v>
      </c>
      <c r="C7155" s="1" t="s">
        <v>14</v>
      </c>
      <c r="D7155" s="1" t="s">
        <v>27</v>
      </c>
      <c r="E7155" s="1" t="s">
        <v>40</v>
      </c>
      <c r="F7155" s="1">
        <v>443.84</v>
      </c>
      <c r="G7155" s="1">
        <v>-143.59</v>
      </c>
      <c r="H7155" s="1">
        <v>5.0</v>
      </c>
      <c r="I7155" s="1" t="s">
        <v>23</v>
      </c>
      <c r="J7155" s="1" t="s">
        <v>24</v>
      </c>
      <c r="K7155" s="1">
        <f t="shared" si="1"/>
        <v>2022</v>
      </c>
      <c r="L7155" s="1" t="str">
        <f t="shared" si="2"/>
        <v>Jan</v>
      </c>
      <c r="M7155" s="1" t="str">
        <f t="shared" si="3"/>
        <v>Loss</v>
      </c>
    </row>
    <row r="7156" ht="14.25" customHeight="1">
      <c r="A7156" s="1" t="s">
        <v>7190</v>
      </c>
      <c r="B7156" s="2">
        <v>44284.0</v>
      </c>
      <c r="C7156" s="1" t="s">
        <v>20</v>
      </c>
      <c r="D7156" s="1" t="s">
        <v>27</v>
      </c>
      <c r="E7156" s="1" t="s">
        <v>40</v>
      </c>
      <c r="F7156" s="1">
        <v>118.75</v>
      </c>
      <c r="G7156" s="1">
        <v>94.68</v>
      </c>
      <c r="H7156" s="1">
        <v>4.0</v>
      </c>
      <c r="I7156" s="1" t="s">
        <v>17</v>
      </c>
      <c r="J7156" s="1" t="s">
        <v>18</v>
      </c>
      <c r="K7156" s="1">
        <f t="shared" si="1"/>
        <v>2021</v>
      </c>
      <c r="L7156" s="1" t="str">
        <f t="shared" si="2"/>
        <v>Mar</v>
      </c>
      <c r="M7156" s="1" t="str">
        <f t="shared" si="3"/>
        <v>Profit</v>
      </c>
    </row>
    <row r="7157" ht="14.25" customHeight="1">
      <c r="A7157" s="1" t="s">
        <v>7191</v>
      </c>
      <c r="B7157" s="2">
        <v>45018.0</v>
      </c>
      <c r="C7157" s="1" t="s">
        <v>30</v>
      </c>
      <c r="D7157" s="1" t="s">
        <v>27</v>
      </c>
      <c r="E7157" s="1" t="s">
        <v>40</v>
      </c>
      <c r="F7157" s="1">
        <v>187.14</v>
      </c>
      <c r="G7157" s="1">
        <v>183.4</v>
      </c>
      <c r="H7157" s="1">
        <v>7.0</v>
      </c>
      <c r="I7157" s="1" t="s">
        <v>23</v>
      </c>
      <c r="J7157" s="1" t="s">
        <v>35</v>
      </c>
      <c r="K7157" s="1">
        <f t="shared" si="1"/>
        <v>2023</v>
      </c>
      <c r="L7157" s="1" t="str">
        <f t="shared" si="2"/>
        <v>Apr</v>
      </c>
      <c r="M7157" s="1" t="str">
        <f t="shared" si="3"/>
        <v>Profit</v>
      </c>
    </row>
    <row r="7158" ht="14.25" customHeight="1">
      <c r="A7158" s="1" t="s">
        <v>7192</v>
      </c>
      <c r="B7158" s="2">
        <v>45209.0</v>
      </c>
      <c r="C7158" s="1" t="s">
        <v>30</v>
      </c>
      <c r="D7158" s="1" t="s">
        <v>21</v>
      </c>
      <c r="E7158" s="1" t="s">
        <v>76</v>
      </c>
      <c r="F7158" s="1">
        <v>812.53</v>
      </c>
      <c r="G7158" s="1">
        <v>197.28</v>
      </c>
      <c r="H7158" s="1">
        <v>10.0</v>
      </c>
      <c r="I7158" s="1" t="s">
        <v>23</v>
      </c>
      <c r="J7158" s="1" t="s">
        <v>35</v>
      </c>
      <c r="K7158" s="1">
        <f t="shared" si="1"/>
        <v>2023</v>
      </c>
      <c r="L7158" s="1" t="str">
        <f t="shared" si="2"/>
        <v>Oct</v>
      </c>
      <c r="M7158" s="1" t="str">
        <f t="shared" si="3"/>
        <v>Profit</v>
      </c>
    </row>
    <row r="7159" ht="14.25" customHeight="1">
      <c r="A7159" s="1" t="s">
        <v>7193</v>
      </c>
      <c r="B7159" s="2">
        <v>44836.0</v>
      </c>
      <c r="C7159" s="1" t="s">
        <v>20</v>
      </c>
      <c r="D7159" s="1" t="s">
        <v>15</v>
      </c>
      <c r="E7159" s="1" t="s">
        <v>16</v>
      </c>
      <c r="F7159" s="1">
        <v>314.3</v>
      </c>
      <c r="G7159" s="1">
        <v>-82.87</v>
      </c>
      <c r="H7159" s="1">
        <v>7.0</v>
      </c>
      <c r="I7159" s="1" t="s">
        <v>34</v>
      </c>
      <c r="J7159" s="1" t="s">
        <v>24</v>
      </c>
      <c r="K7159" s="1">
        <f t="shared" si="1"/>
        <v>2022</v>
      </c>
      <c r="L7159" s="1" t="str">
        <f t="shared" si="2"/>
        <v>Oct</v>
      </c>
      <c r="M7159" s="1" t="str">
        <f t="shared" si="3"/>
        <v>Loss</v>
      </c>
    </row>
    <row r="7160" ht="14.25" customHeight="1">
      <c r="A7160" s="1" t="s">
        <v>7194</v>
      </c>
      <c r="B7160" s="2">
        <v>44241.0</v>
      </c>
      <c r="C7160" s="1" t="s">
        <v>26</v>
      </c>
      <c r="D7160" s="1" t="s">
        <v>27</v>
      </c>
      <c r="E7160" s="1" t="s">
        <v>33</v>
      </c>
      <c r="F7160" s="1">
        <v>515.12</v>
      </c>
      <c r="G7160" s="1">
        <v>4.19</v>
      </c>
      <c r="H7160" s="1">
        <v>9.0</v>
      </c>
      <c r="I7160" s="1" t="s">
        <v>34</v>
      </c>
      <c r="J7160" s="1" t="s">
        <v>24</v>
      </c>
      <c r="K7160" s="1">
        <f t="shared" si="1"/>
        <v>2021</v>
      </c>
      <c r="L7160" s="1" t="str">
        <f t="shared" si="2"/>
        <v>Feb</v>
      </c>
      <c r="M7160" s="1" t="str">
        <f t="shared" si="3"/>
        <v>Profit</v>
      </c>
    </row>
    <row r="7161" ht="14.25" customHeight="1">
      <c r="A7161" s="1" t="s">
        <v>7195</v>
      </c>
      <c r="B7161" s="2">
        <v>44816.0</v>
      </c>
      <c r="C7161" s="1" t="s">
        <v>26</v>
      </c>
      <c r="D7161" s="1" t="s">
        <v>15</v>
      </c>
      <c r="E7161" s="1" t="s">
        <v>31</v>
      </c>
      <c r="F7161" s="1">
        <v>845.2</v>
      </c>
      <c r="G7161" s="1">
        <v>123.05</v>
      </c>
      <c r="H7161" s="1">
        <v>8.0</v>
      </c>
      <c r="I7161" s="1" t="s">
        <v>23</v>
      </c>
      <c r="J7161" s="1" t="s">
        <v>24</v>
      </c>
      <c r="K7161" s="1">
        <f t="shared" si="1"/>
        <v>2022</v>
      </c>
      <c r="L7161" s="1" t="str">
        <f t="shared" si="2"/>
        <v>Sep</v>
      </c>
      <c r="M7161" s="1" t="str">
        <f t="shared" si="3"/>
        <v>Profit</v>
      </c>
    </row>
    <row r="7162" ht="14.25" customHeight="1">
      <c r="A7162" s="1" t="s">
        <v>7196</v>
      </c>
      <c r="B7162" s="2">
        <v>44426.0</v>
      </c>
      <c r="C7162" s="1" t="s">
        <v>14</v>
      </c>
      <c r="D7162" s="1" t="s">
        <v>15</v>
      </c>
      <c r="E7162" s="1" t="s">
        <v>54</v>
      </c>
      <c r="F7162" s="1">
        <v>804.23</v>
      </c>
      <c r="G7162" s="1">
        <v>236.29</v>
      </c>
      <c r="H7162" s="1">
        <v>6.0</v>
      </c>
      <c r="I7162" s="1" t="s">
        <v>34</v>
      </c>
      <c r="J7162" s="1" t="s">
        <v>35</v>
      </c>
      <c r="K7162" s="1">
        <f t="shared" si="1"/>
        <v>2021</v>
      </c>
      <c r="L7162" s="1" t="str">
        <f t="shared" si="2"/>
        <v>Aug</v>
      </c>
      <c r="M7162" s="1" t="str">
        <f t="shared" si="3"/>
        <v>Profit</v>
      </c>
    </row>
    <row r="7163" ht="14.25" customHeight="1">
      <c r="A7163" s="1" t="s">
        <v>7197</v>
      </c>
      <c r="B7163" s="2">
        <v>44643.0</v>
      </c>
      <c r="C7163" s="1" t="s">
        <v>30</v>
      </c>
      <c r="D7163" s="1" t="s">
        <v>27</v>
      </c>
      <c r="E7163" s="1" t="s">
        <v>33</v>
      </c>
      <c r="F7163" s="1">
        <v>464.23</v>
      </c>
      <c r="G7163" s="1">
        <v>202.79</v>
      </c>
      <c r="H7163" s="1">
        <v>7.0</v>
      </c>
      <c r="I7163" s="1" t="s">
        <v>17</v>
      </c>
      <c r="J7163" s="1" t="s">
        <v>35</v>
      </c>
      <c r="K7163" s="1">
        <f t="shared" si="1"/>
        <v>2022</v>
      </c>
      <c r="L7163" s="1" t="str">
        <f t="shared" si="2"/>
        <v>Mar</v>
      </c>
      <c r="M7163" s="1" t="str">
        <f t="shared" si="3"/>
        <v>Profit</v>
      </c>
    </row>
    <row r="7164" ht="14.25" customHeight="1">
      <c r="A7164" s="1" t="s">
        <v>7198</v>
      </c>
      <c r="B7164" s="2">
        <v>44548.0</v>
      </c>
      <c r="C7164" s="1" t="s">
        <v>14</v>
      </c>
      <c r="D7164" s="1" t="s">
        <v>21</v>
      </c>
      <c r="E7164" s="1" t="s">
        <v>22</v>
      </c>
      <c r="F7164" s="1">
        <v>664.55</v>
      </c>
      <c r="G7164" s="1">
        <v>158.74</v>
      </c>
      <c r="H7164" s="1">
        <v>1.0</v>
      </c>
      <c r="I7164" s="1" t="s">
        <v>34</v>
      </c>
      <c r="J7164" s="1" t="s">
        <v>35</v>
      </c>
      <c r="K7164" s="1">
        <f t="shared" si="1"/>
        <v>2021</v>
      </c>
      <c r="L7164" s="1" t="str">
        <f t="shared" si="2"/>
        <v>Dec</v>
      </c>
      <c r="M7164" s="1" t="str">
        <f t="shared" si="3"/>
        <v>Profit</v>
      </c>
    </row>
    <row r="7165" ht="14.25" customHeight="1">
      <c r="A7165" s="1" t="s">
        <v>7199</v>
      </c>
      <c r="B7165" s="2">
        <v>44346.0</v>
      </c>
      <c r="C7165" s="1" t="s">
        <v>26</v>
      </c>
      <c r="D7165" s="1" t="s">
        <v>27</v>
      </c>
      <c r="E7165" s="1" t="s">
        <v>40</v>
      </c>
      <c r="F7165" s="1">
        <v>356.95</v>
      </c>
      <c r="G7165" s="1">
        <v>208.88</v>
      </c>
      <c r="H7165" s="1">
        <v>8.0</v>
      </c>
      <c r="I7165" s="1" t="s">
        <v>23</v>
      </c>
      <c r="J7165" s="1" t="s">
        <v>24</v>
      </c>
      <c r="K7165" s="1">
        <f t="shared" si="1"/>
        <v>2021</v>
      </c>
      <c r="L7165" s="1" t="str">
        <f t="shared" si="2"/>
        <v>May</v>
      </c>
      <c r="M7165" s="1" t="str">
        <f t="shared" si="3"/>
        <v>Profit</v>
      </c>
    </row>
    <row r="7166" ht="14.25" customHeight="1">
      <c r="A7166" s="1" t="s">
        <v>7200</v>
      </c>
      <c r="B7166" s="2">
        <v>45243.0</v>
      </c>
      <c r="C7166" s="1" t="s">
        <v>20</v>
      </c>
      <c r="D7166" s="1" t="s">
        <v>15</v>
      </c>
      <c r="E7166" s="1" t="s">
        <v>31</v>
      </c>
      <c r="F7166" s="1">
        <v>886.03</v>
      </c>
      <c r="G7166" s="1">
        <v>-180.09</v>
      </c>
      <c r="H7166" s="1">
        <v>4.0</v>
      </c>
      <c r="I7166" s="1" t="s">
        <v>23</v>
      </c>
      <c r="J7166" s="1" t="s">
        <v>24</v>
      </c>
      <c r="K7166" s="1">
        <f t="shared" si="1"/>
        <v>2023</v>
      </c>
      <c r="L7166" s="1" t="str">
        <f t="shared" si="2"/>
        <v>Nov</v>
      </c>
      <c r="M7166" s="1" t="str">
        <f t="shared" si="3"/>
        <v>Loss</v>
      </c>
    </row>
    <row r="7167" ht="14.25" customHeight="1">
      <c r="A7167" s="1" t="s">
        <v>7201</v>
      </c>
      <c r="B7167" s="2">
        <v>44579.0</v>
      </c>
      <c r="C7167" s="1" t="s">
        <v>26</v>
      </c>
      <c r="D7167" s="1" t="s">
        <v>21</v>
      </c>
      <c r="E7167" s="1" t="s">
        <v>22</v>
      </c>
      <c r="F7167" s="1">
        <v>610.46</v>
      </c>
      <c r="G7167" s="1">
        <v>65.01</v>
      </c>
      <c r="H7167" s="1">
        <v>6.0</v>
      </c>
      <c r="I7167" s="1" t="s">
        <v>23</v>
      </c>
      <c r="J7167" s="1" t="s">
        <v>18</v>
      </c>
      <c r="K7167" s="1">
        <f t="shared" si="1"/>
        <v>2022</v>
      </c>
      <c r="L7167" s="1" t="str">
        <f t="shared" si="2"/>
        <v>Jan</v>
      </c>
      <c r="M7167" s="1" t="str">
        <f t="shared" si="3"/>
        <v>Profit</v>
      </c>
    </row>
    <row r="7168" ht="14.25" customHeight="1">
      <c r="A7168" s="1" t="s">
        <v>7202</v>
      </c>
      <c r="B7168" s="2">
        <v>44726.0</v>
      </c>
      <c r="C7168" s="1" t="s">
        <v>30</v>
      </c>
      <c r="D7168" s="1" t="s">
        <v>15</v>
      </c>
      <c r="E7168" s="1" t="s">
        <v>31</v>
      </c>
      <c r="F7168" s="1">
        <v>650.46</v>
      </c>
      <c r="G7168" s="1">
        <v>109.32</v>
      </c>
      <c r="H7168" s="1">
        <v>10.0</v>
      </c>
      <c r="I7168" s="1" t="s">
        <v>23</v>
      </c>
      <c r="J7168" s="1" t="s">
        <v>18</v>
      </c>
      <c r="K7168" s="1">
        <f t="shared" si="1"/>
        <v>2022</v>
      </c>
      <c r="L7168" s="1" t="str">
        <f t="shared" si="2"/>
        <v>Jun</v>
      </c>
      <c r="M7168" s="1" t="str">
        <f t="shared" si="3"/>
        <v>Profit</v>
      </c>
    </row>
    <row r="7169" ht="14.25" customHeight="1">
      <c r="A7169" s="1" t="s">
        <v>7203</v>
      </c>
      <c r="B7169" s="2">
        <v>44670.0</v>
      </c>
      <c r="C7169" s="1" t="s">
        <v>14</v>
      </c>
      <c r="D7169" s="1" t="s">
        <v>27</v>
      </c>
      <c r="E7169" s="1" t="s">
        <v>33</v>
      </c>
      <c r="F7169" s="1">
        <v>650.57</v>
      </c>
      <c r="G7169" s="1">
        <v>249.87</v>
      </c>
      <c r="H7169" s="1">
        <v>3.0</v>
      </c>
      <c r="I7169" s="1" t="s">
        <v>34</v>
      </c>
      <c r="J7169" s="1" t="s">
        <v>24</v>
      </c>
      <c r="K7169" s="1">
        <f t="shared" si="1"/>
        <v>2022</v>
      </c>
      <c r="L7169" s="1" t="str">
        <f t="shared" si="2"/>
        <v>Apr</v>
      </c>
      <c r="M7169" s="1" t="str">
        <f t="shared" si="3"/>
        <v>Profit</v>
      </c>
    </row>
    <row r="7170" ht="14.25" customHeight="1">
      <c r="A7170" s="1" t="s">
        <v>7204</v>
      </c>
      <c r="B7170" s="2">
        <v>44525.0</v>
      </c>
      <c r="C7170" s="1" t="s">
        <v>14</v>
      </c>
      <c r="D7170" s="1" t="s">
        <v>21</v>
      </c>
      <c r="E7170" s="1" t="s">
        <v>22</v>
      </c>
      <c r="F7170" s="1">
        <v>622.64</v>
      </c>
      <c r="G7170" s="1">
        <v>-135.06</v>
      </c>
      <c r="H7170" s="1">
        <v>6.0</v>
      </c>
      <c r="I7170" s="1" t="s">
        <v>17</v>
      </c>
      <c r="J7170" s="1" t="s">
        <v>18</v>
      </c>
      <c r="K7170" s="1">
        <f t="shared" si="1"/>
        <v>2021</v>
      </c>
      <c r="L7170" s="1" t="str">
        <f t="shared" si="2"/>
        <v>Nov</v>
      </c>
      <c r="M7170" s="1" t="str">
        <f t="shared" si="3"/>
        <v>Loss</v>
      </c>
    </row>
    <row r="7171" ht="14.25" customHeight="1">
      <c r="A7171" s="1" t="s">
        <v>7205</v>
      </c>
      <c r="B7171" s="2">
        <v>44595.0</v>
      </c>
      <c r="C7171" s="1" t="s">
        <v>26</v>
      </c>
      <c r="D7171" s="1" t="s">
        <v>15</v>
      </c>
      <c r="E7171" s="1" t="s">
        <v>54</v>
      </c>
      <c r="F7171" s="1">
        <v>491.7</v>
      </c>
      <c r="G7171" s="1">
        <v>40.22</v>
      </c>
      <c r="H7171" s="1">
        <v>1.0</v>
      </c>
      <c r="I7171" s="1" t="s">
        <v>23</v>
      </c>
      <c r="J7171" s="1" t="s">
        <v>38</v>
      </c>
      <c r="K7171" s="1">
        <f t="shared" si="1"/>
        <v>2022</v>
      </c>
      <c r="L7171" s="1" t="str">
        <f t="shared" si="2"/>
        <v>Feb</v>
      </c>
      <c r="M7171" s="1" t="str">
        <f t="shared" si="3"/>
        <v>Profit</v>
      </c>
    </row>
    <row r="7172" ht="14.25" customHeight="1">
      <c r="A7172" s="1" t="s">
        <v>7206</v>
      </c>
      <c r="B7172" s="2">
        <v>44924.0</v>
      </c>
      <c r="C7172" s="1" t="s">
        <v>26</v>
      </c>
      <c r="D7172" s="1" t="s">
        <v>21</v>
      </c>
      <c r="E7172" s="1" t="s">
        <v>22</v>
      </c>
      <c r="F7172" s="1">
        <v>714.33</v>
      </c>
      <c r="G7172" s="1">
        <v>-126.29</v>
      </c>
      <c r="H7172" s="1">
        <v>8.0</v>
      </c>
      <c r="I7172" s="1" t="s">
        <v>17</v>
      </c>
      <c r="J7172" s="1" t="s">
        <v>18</v>
      </c>
      <c r="K7172" s="1">
        <f t="shared" si="1"/>
        <v>2022</v>
      </c>
      <c r="L7172" s="1" t="str">
        <f t="shared" si="2"/>
        <v>Dec</v>
      </c>
      <c r="M7172" s="1" t="str">
        <f t="shared" si="3"/>
        <v>Loss</v>
      </c>
    </row>
    <row r="7173" ht="14.25" customHeight="1">
      <c r="A7173" s="1" t="s">
        <v>7207</v>
      </c>
      <c r="B7173" s="2">
        <v>44289.0</v>
      </c>
      <c r="C7173" s="1" t="s">
        <v>20</v>
      </c>
      <c r="D7173" s="1" t="s">
        <v>15</v>
      </c>
      <c r="E7173" s="1" t="s">
        <v>54</v>
      </c>
      <c r="F7173" s="1">
        <v>244.02</v>
      </c>
      <c r="G7173" s="1">
        <v>-141.56</v>
      </c>
      <c r="H7173" s="1">
        <v>3.0</v>
      </c>
      <c r="I7173" s="1" t="s">
        <v>17</v>
      </c>
      <c r="J7173" s="1" t="s">
        <v>24</v>
      </c>
      <c r="K7173" s="1">
        <f t="shared" si="1"/>
        <v>2021</v>
      </c>
      <c r="L7173" s="1" t="str">
        <f t="shared" si="2"/>
        <v>Apr</v>
      </c>
      <c r="M7173" s="1" t="str">
        <f t="shared" si="3"/>
        <v>Loss</v>
      </c>
    </row>
    <row r="7174" ht="14.25" customHeight="1">
      <c r="A7174" s="1" t="s">
        <v>7208</v>
      </c>
      <c r="B7174" s="2">
        <v>44294.0</v>
      </c>
      <c r="C7174" s="1" t="s">
        <v>14</v>
      </c>
      <c r="D7174" s="1" t="s">
        <v>15</v>
      </c>
      <c r="E7174" s="1" t="s">
        <v>31</v>
      </c>
      <c r="F7174" s="1">
        <v>512.23</v>
      </c>
      <c r="G7174" s="1">
        <v>-48.17</v>
      </c>
      <c r="H7174" s="1">
        <v>2.0</v>
      </c>
      <c r="I7174" s="1" t="s">
        <v>23</v>
      </c>
      <c r="J7174" s="1" t="s">
        <v>18</v>
      </c>
      <c r="K7174" s="1">
        <f t="shared" si="1"/>
        <v>2021</v>
      </c>
      <c r="L7174" s="1" t="str">
        <f t="shared" si="2"/>
        <v>Apr</v>
      </c>
      <c r="M7174" s="1" t="str">
        <f t="shared" si="3"/>
        <v>Loss</v>
      </c>
    </row>
    <row r="7175" ht="14.25" customHeight="1">
      <c r="A7175" s="1" t="s">
        <v>7209</v>
      </c>
      <c r="B7175" s="2">
        <v>44385.0</v>
      </c>
      <c r="C7175" s="1" t="s">
        <v>26</v>
      </c>
      <c r="D7175" s="1" t="s">
        <v>15</v>
      </c>
      <c r="E7175" s="1" t="s">
        <v>54</v>
      </c>
      <c r="F7175" s="1">
        <v>850.53</v>
      </c>
      <c r="G7175" s="1">
        <v>-180.0</v>
      </c>
      <c r="H7175" s="1">
        <v>10.0</v>
      </c>
      <c r="I7175" s="1" t="s">
        <v>34</v>
      </c>
      <c r="J7175" s="1" t="s">
        <v>35</v>
      </c>
      <c r="K7175" s="1">
        <f t="shared" si="1"/>
        <v>2021</v>
      </c>
      <c r="L7175" s="1" t="str">
        <f t="shared" si="2"/>
        <v>Jul</v>
      </c>
      <c r="M7175" s="1" t="str">
        <f t="shared" si="3"/>
        <v>Loss</v>
      </c>
    </row>
    <row r="7176" ht="14.25" customHeight="1">
      <c r="A7176" s="1" t="s">
        <v>7210</v>
      </c>
      <c r="B7176" s="2">
        <v>44692.0</v>
      </c>
      <c r="C7176" s="1" t="s">
        <v>30</v>
      </c>
      <c r="D7176" s="1" t="s">
        <v>27</v>
      </c>
      <c r="E7176" s="1" t="s">
        <v>33</v>
      </c>
      <c r="F7176" s="1">
        <v>383.83</v>
      </c>
      <c r="G7176" s="1">
        <v>272.62</v>
      </c>
      <c r="H7176" s="1">
        <v>9.0</v>
      </c>
      <c r="I7176" s="1" t="s">
        <v>34</v>
      </c>
      <c r="J7176" s="1" t="s">
        <v>24</v>
      </c>
      <c r="K7176" s="1">
        <f t="shared" si="1"/>
        <v>2022</v>
      </c>
      <c r="L7176" s="1" t="str">
        <f t="shared" si="2"/>
        <v>May</v>
      </c>
      <c r="M7176" s="1" t="str">
        <f t="shared" si="3"/>
        <v>Profit</v>
      </c>
    </row>
    <row r="7177" ht="14.25" customHeight="1">
      <c r="A7177" s="1" t="s">
        <v>7211</v>
      </c>
      <c r="B7177" s="2">
        <v>44731.0</v>
      </c>
      <c r="C7177" s="1" t="s">
        <v>26</v>
      </c>
      <c r="D7177" s="1" t="s">
        <v>27</v>
      </c>
      <c r="E7177" s="1" t="s">
        <v>28</v>
      </c>
      <c r="F7177" s="1">
        <v>348.95</v>
      </c>
      <c r="G7177" s="1">
        <v>52.05</v>
      </c>
      <c r="H7177" s="1">
        <v>5.0</v>
      </c>
      <c r="I7177" s="1" t="s">
        <v>23</v>
      </c>
      <c r="J7177" s="1" t="s">
        <v>18</v>
      </c>
      <c r="K7177" s="1">
        <f t="shared" si="1"/>
        <v>2022</v>
      </c>
      <c r="L7177" s="1" t="str">
        <f t="shared" si="2"/>
        <v>Jun</v>
      </c>
      <c r="M7177" s="1" t="str">
        <f t="shared" si="3"/>
        <v>Profit</v>
      </c>
    </row>
    <row r="7178" ht="14.25" customHeight="1">
      <c r="A7178" s="1" t="s">
        <v>7212</v>
      </c>
      <c r="B7178" s="2">
        <v>44541.0</v>
      </c>
      <c r="C7178" s="1" t="s">
        <v>14</v>
      </c>
      <c r="D7178" s="1" t="s">
        <v>21</v>
      </c>
      <c r="E7178" s="1" t="s">
        <v>76</v>
      </c>
      <c r="F7178" s="1">
        <v>545.16</v>
      </c>
      <c r="G7178" s="1">
        <v>-144.19</v>
      </c>
      <c r="H7178" s="1">
        <v>1.0</v>
      </c>
      <c r="I7178" s="1" t="s">
        <v>23</v>
      </c>
      <c r="J7178" s="1" t="s">
        <v>24</v>
      </c>
      <c r="K7178" s="1">
        <f t="shared" si="1"/>
        <v>2021</v>
      </c>
      <c r="L7178" s="1" t="str">
        <f t="shared" si="2"/>
        <v>Dec</v>
      </c>
      <c r="M7178" s="1" t="str">
        <f t="shared" si="3"/>
        <v>Loss</v>
      </c>
    </row>
    <row r="7179" ht="14.25" customHeight="1">
      <c r="A7179" s="1" t="s">
        <v>7213</v>
      </c>
      <c r="B7179" s="2">
        <v>44437.0</v>
      </c>
      <c r="C7179" s="1" t="s">
        <v>20</v>
      </c>
      <c r="D7179" s="1" t="s">
        <v>15</v>
      </c>
      <c r="E7179" s="1" t="s">
        <v>54</v>
      </c>
      <c r="F7179" s="1">
        <v>141.26</v>
      </c>
      <c r="G7179" s="1">
        <v>160.27</v>
      </c>
      <c r="H7179" s="1">
        <v>6.0</v>
      </c>
      <c r="I7179" s="1" t="s">
        <v>17</v>
      </c>
      <c r="J7179" s="1" t="s">
        <v>35</v>
      </c>
      <c r="K7179" s="1">
        <f t="shared" si="1"/>
        <v>2021</v>
      </c>
      <c r="L7179" s="1" t="str">
        <f t="shared" si="2"/>
        <v>Aug</v>
      </c>
      <c r="M7179" s="1" t="str">
        <f t="shared" si="3"/>
        <v>Profit</v>
      </c>
    </row>
    <row r="7180" ht="14.25" customHeight="1">
      <c r="A7180" s="1" t="s">
        <v>7214</v>
      </c>
      <c r="B7180" s="2">
        <v>44718.0</v>
      </c>
      <c r="C7180" s="1" t="s">
        <v>14</v>
      </c>
      <c r="D7180" s="1" t="s">
        <v>15</v>
      </c>
      <c r="E7180" s="1" t="s">
        <v>54</v>
      </c>
      <c r="F7180" s="1">
        <v>170.45</v>
      </c>
      <c r="G7180" s="1">
        <v>13.7</v>
      </c>
      <c r="H7180" s="1">
        <v>2.0</v>
      </c>
      <c r="I7180" s="1" t="s">
        <v>23</v>
      </c>
      <c r="J7180" s="1" t="s">
        <v>18</v>
      </c>
      <c r="K7180" s="1">
        <f t="shared" si="1"/>
        <v>2022</v>
      </c>
      <c r="L7180" s="1" t="str">
        <f t="shared" si="2"/>
        <v>Jun</v>
      </c>
      <c r="M7180" s="1" t="str">
        <f t="shared" si="3"/>
        <v>Profit</v>
      </c>
    </row>
    <row r="7181" ht="14.25" customHeight="1">
      <c r="A7181" s="1" t="s">
        <v>7215</v>
      </c>
      <c r="B7181" s="2">
        <v>44553.0</v>
      </c>
      <c r="C7181" s="1" t="s">
        <v>14</v>
      </c>
      <c r="D7181" s="1" t="s">
        <v>21</v>
      </c>
      <c r="E7181" s="1" t="s">
        <v>37</v>
      </c>
      <c r="F7181" s="1">
        <v>856.56</v>
      </c>
      <c r="G7181" s="1">
        <v>245.19</v>
      </c>
      <c r="H7181" s="1">
        <v>4.0</v>
      </c>
      <c r="I7181" s="1" t="s">
        <v>17</v>
      </c>
      <c r="J7181" s="1" t="s">
        <v>38</v>
      </c>
      <c r="K7181" s="1">
        <f t="shared" si="1"/>
        <v>2021</v>
      </c>
      <c r="L7181" s="1" t="str">
        <f t="shared" si="2"/>
        <v>Dec</v>
      </c>
      <c r="M7181" s="1" t="str">
        <f t="shared" si="3"/>
        <v>Profit</v>
      </c>
    </row>
    <row r="7182" ht="14.25" customHeight="1">
      <c r="A7182" s="1" t="s">
        <v>7216</v>
      </c>
      <c r="B7182" s="2">
        <v>44972.0</v>
      </c>
      <c r="C7182" s="1" t="s">
        <v>20</v>
      </c>
      <c r="D7182" s="1" t="s">
        <v>21</v>
      </c>
      <c r="E7182" s="1" t="s">
        <v>22</v>
      </c>
      <c r="F7182" s="1">
        <v>540.77</v>
      </c>
      <c r="G7182" s="1">
        <v>27.62</v>
      </c>
      <c r="H7182" s="1">
        <v>9.0</v>
      </c>
      <c r="I7182" s="1" t="s">
        <v>23</v>
      </c>
      <c r="J7182" s="1" t="s">
        <v>24</v>
      </c>
      <c r="K7182" s="1">
        <f t="shared" si="1"/>
        <v>2023</v>
      </c>
      <c r="L7182" s="1" t="str">
        <f t="shared" si="2"/>
        <v>Feb</v>
      </c>
      <c r="M7182" s="1" t="str">
        <f t="shared" si="3"/>
        <v>Profit</v>
      </c>
    </row>
    <row r="7183" ht="14.25" customHeight="1">
      <c r="A7183" s="1" t="s">
        <v>7217</v>
      </c>
      <c r="B7183" s="2">
        <v>44796.0</v>
      </c>
      <c r="C7183" s="1" t="s">
        <v>14</v>
      </c>
      <c r="D7183" s="1" t="s">
        <v>21</v>
      </c>
      <c r="E7183" s="1" t="s">
        <v>22</v>
      </c>
      <c r="F7183" s="1">
        <v>172.49</v>
      </c>
      <c r="G7183" s="1">
        <v>-49.85</v>
      </c>
      <c r="H7183" s="1">
        <v>1.0</v>
      </c>
      <c r="I7183" s="1" t="s">
        <v>17</v>
      </c>
      <c r="J7183" s="1" t="s">
        <v>35</v>
      </c>
      <c r="K7183" s="1">
        <f t="shared" si="1"/>
        <v>2022</v>
      </c>
      <c r="L7183" s="1" t="str">
        <f t="shared" si="2"/>
        <v>Aug</v>
      </c>
      <c r="M7183" s="1" t="str">
        <f t="shared" si="3"/>
        <v>Loss</v>
      </c>
    </row>
    <row r="7184" ht="14.25" customHeight="1">
      <c r="A7184" s="1" t="s">
        <v>7218</v>
      </c>
      <c r="B7184" s="2">
        <v>45196.0</v>
      </c>
      <c r="C7184" s="1" t="s">
        <v>14</v>
      </c>
      <c r="D7184" s="1" t="s">
        <v>21</v>
      </c>
      <c r="E7184" s="1" t="s">
        <v>37</v>
      </c>
      <c r="F7184" s="1">
        <v>745.35</v>
      </c>
      <c r="G7184" s="1">
        <v>187.37</v>
      </c>
      <c r="H7184" s="1">
        <v>4.0</v>
      </c>
      <c r="I7184" s="1" t="s">
        <v>23</v>
      </c>
      <c r="J7184" s="1" t="s">
        <v>35</v>
      </c>
      <c r="K7184" s="1">
        <f t="shared" si="1"/>
        <v>2023</v>
      </c>
      <c r="L7184" s="1" t="str">
        <f t="shared" si="2"/>
        <v>Sep</v>
      </c>
      <c r="M7184" s="1" t="str">
        <f t="shared" si="3"/>
        <v>Profit</v>
      </c>
    </row>
    <row r="7185" ht="14.25" customHeight="1">
      <c r="A7185" s="1" t="s">
        <v>7219</v>
      </c>
      <c r="B7185" s="2">
        <v>44575.0</v>
      </c>
      <c r="C7185" s="1" t="s">
        <v>14</v>
      </c>
      <c r="D7185" s="1" t="s">
        <v>15</v>
      </c>
      <c r="E7185" s="1" t="s">
        <v>31</v>
      </c>
      <c r="F7185" s="1">
        <v>389.29</v>
      </c>
      <c r="G7185" s="1">
        <v>28.32</v>
      </c>
      <c r="H7185" s="1">
        <v>10.0</v>
      </c>
      <c r="I7185" s="1" t="s">
        <v>23</v>
      </c>
      <c r="J7185" s="1" t="s">
        <v>18</v>
      </c>
      <c r="K7185" s="1">
        <f t="shared" si="1"/>
        <v>2022</v>
      </c>
      <c r="L7185" s="1" t="str">
        <f t="shared" si="2"/>
        <v>Jan</v>
      </c>
      <c r="M7185" s="1" t="str">
        <f t="shared" si="3"/>
        <v>Profit</v>
      </c>
    </row>
    <row r="7186" ht="14.25" customHeight="1">
      <c r="A7186" s="1" t="s">
        <v>7220</v>
      </c>
      <c r="B7186" s="2">
        <v>44606.0</v>
      </c>
      <c r="C7186" s="1" t="s">
        <v>20</v>
      </c>
      <c r="D7186" s="1" t="s">
        <v>27</v>
      </c>
      <c r="E7186" s="1" t="s">
        <v>40</v>
      </c>
      <c r="F7186" s="1">
        <v>540.3</v>
      </c>
      <c r="G7186" s="1">
        <v>120.13</v>
      </c>
      <c r="H7186" s="1">
        <v>6.0</v>
      </c>
      <c r="I7186" s="1" t="s">
        <v>23</v>
      </c>
      <c r="J7186" s="1" t="s">
        <v>35</v>
      </c>
      <c r="K7186" s="1">
        <f t="shared" si="1"/>
        <v>2022</v>
      </c>
      <c r="L7186" s="1" t="str">
        <f t="shared" si="2"/>
        <v>Feb</v>
      </c>
      <c r="M7186" s="1" t="str">
        <f t="shared" si="3"/>
        <v>Profit</v>
      </c>
    </row>
    <row r="7187" ht="14.25" customHeight="1">
      <c r="A7187" s="1" t="s">
        <v>7221</v>
      </c>
      <c r="B7187" s="2">
        <v>45023.0</v>
      </c>
      <c r="C7187" s="1" t="s">
        <v>30</v>
      </c>
      <c r="D7187" s="1" t="s">
        <v>27</v>
      </c>
      <c r="E7187" s="1" t="s">
        <v>28</v>
      </c>
      <c r="F7187" s="1">
        <v>289.71</v>
      </c>
      <c r="G7187" s="1">
        <v>221.38</v>
      </c>
      <c r="H7187" s="1">
        <v>1.0</v>
      </c>
      <c r="I7187" s="1" t="s">
        <v>17</v>
      </c>
      <c r="J7187" s="1" t="s">
        <v>35</v>
      </c>
      <c r="K7187" s="1">
        <f t="shared" si="1"/>
        <v>2023</v>
      </c>
      <c r="L7187" s="1" t="str">
        <f t="shared" si="2"/>
        <v>Apr</v>
      </c>
      <c r="M7187" s="1" t="str">
        <f t="shared" si="3"/>
        <v>Profit</v>
      </c>
    </row>
    <row r="7188" ht="14.25" customHeight="1">
      <c r="A7188" s="1" t="s">
        <v>7222</v>
      </c>
      <c r="B7188" s="2">
        <v>44817.0</v>
      </c>
      <c r="C7188" s="1" t="s">
        <v>30</v>
      </c>
      <c r="D7188" s="1" t="s">
        <v>21</v>
      </c>
      <c r="E7188" s="1" t="s">
        <v>37</v>
      </c>
      <c r="F7188" s="1">
        <v>695.01</v>
      </c>
      <c r="G7188" s="1">
        <v>199.23</v>
      </c>
      <c r="H7188" s="1">
        <v>3.0</v>
      </c>
      <c r="I7188" s="1" t="s">
        <v>34</v>
      </c>
      <c r="J7188" s="1" t="s">
        <v>24</v>
      </c>
      <c r="K7188" s="1">
        <f t="shared" si="1"/>
        <v>2022</v>
      </c>
      <c r="L7188" s="1" t="str">
        <f t="shared" si="2"/>
        <v>Sep</v>
      </c>
      <c r="M7188" s="1" t="str">
        <f t="shared" si="3"/>
        <v>Profit</v>
      </c>
    </row>
    <row r="7189" ht="14.25" customHeight="1">
      <c r="A7189" s="1" t="s">
        <v>7223</v>
      </c>
      <c r="B7189" s="2">
        <v>44713.0</v>
      </c>
      <c r="C7189" s="1" t="s">
        <v>14</v>
      </c>
      <c r="D7189" s="1" t="s">
        <v>27</v>
      </c>
      <c r="E7189" s="1" t="s">
        <v>28</v>
      </c>
      <c r="F7189" s="1">
        <v>33.93</v>
      </c>
      <c r="G7189" s="1">
        <v>81.63</v>
      </c>
      <c r="H7189" s="1">
        <v>9.0</v>
      </c>
      <c r="I7189" s="1" t="s">
        <v>17</v>
      </c>
      <c r="J7189" s="1" t="s">
        <v>24</v>
      </c>
      <c r="K7189" s="1">
        <f t="shared" si="1"/>
        <v>2022</v>
      </c>
      <c r="L7189" s="1" t="str">
        <f t="shared" si="2"/>
        <v>Jun</v>
      </c>
      <c r="M7189" s="1" t="str">
        <f t="shared" si="3"/>
        <v>Profit</v>
      </c>
    </row>
    <row r="7190" ht="14.25" customHeight="1">
      <c r="A7190" s="1" t="s">
        <v>7224</v>
      </c>
      <c r="B7190" s="2">
        <v>44735.0</v>
      </c>
      <c r="C7190" s="1" t="s">
        <v>30</v>
      </c>
      <c r="D7190" s="1" t="s">
        <v>27</v>
      </c>
      <c r="E7190" s="1" t="s">
        <v>40</v>
      </c>
      <c r="F7190" s="1">
        <v>779.61</v>
      </c>
      <c r="G7190" s="1">
        <v>-141.19</v>
      </c>
      <c r="H7190" s="1">
        <v>3.0</v>
      </c>
      <c r="I7190" s="1" t="s">
        <v>17</v>
      </c>
      <c r="J7190" s="1" t="s">
        <v>38</v>
      </c>
      <c r="K7190" s="1">
        <f t="shared" si="1"/>
        <v>2022</v>
      </c>
      <c r="L7190" s="1" t="str">
        <f t="shared" si="2"/>
        <v>Jun</v>
      </c>
      <c r="M7190" s="1" t="str">
        <f t="shared" si="3"/>
        <v>Loss</v>
      </c>
    </row>
    <row r="7191" ht="14.25" customHeight="1">
      <c r="A7191" s="1" t="s">
        <v>7225</v>
      </c>
      <c r="B7191" s="2">
        <v>44826.0</v>
      </c>
      <c r="C7191" s="1" t="s">
        <v>14</v>
      </c>
      <c r="D7191" s="1" t="s">
        <v>21</v>
      </c>
      <c r="E7191" s="1" t="s">
        <v>37</v>
      </c>
      <c r="F7191" s="1">
        <v>938.11</v>
      </c>
      <c r="G7191" s="1">
        <v>247.99</v>
      </c>
      <c r="H7191" s="1">
        <v>7.0</v>
      </c>
      <c r="I7191" s="1" t="s">
        <v>23</v>
      </c>
      <c r="J7191" s="1" t="s">
        <v>38</v>
      </c>
      <c r="K7191" s="1">
        <f t="shared" si="1"/>
        <v>2022</v>
      </c>
      <c r="L7191" s="1" t="str">
        <f t="shared" si="2"/>
        <v>Sep</v>
      </c>
      <c r="M7191" s="1" t="str">
        <f t="shared" si="3"/>
        <v>Profit</v>
      </c>
    </row>
    <row r="7192" ht="14.25" customHeight="1">
      <c r="A7192" s="1" t="s">
        <v>7226</v>
      </c>
      <c r="B7192" s="2">
        <v>45198.0</v>
      </c>
      <c r="C7192" s="1" t="s">
        <v>20</v>
      </c>
      <c r="D7192" s="1" t="s">
        <v>21</v>
      </c>
      <c r="E7192" s="1" t="s">
        <v>37</v>
      </c>
      <c r="F7192" s="1">
        <v>805.93</v>
      </c>
      <c r="G7192" s="1">
        <v>-68.11</v>
      </c>
      <c r="H7192" s="1">
        <v>10.0</v>
      </c>
      <c r="I7192" s="1" t="s">
        <v>17</v>
      </c>
      <c r="J7192" s="1" t="s">
        <v>35</v>
      </c>
      <c r="K7192" s="1">
        <f t="shared" si="1"/>
        <v>2023</v>
      </c>
      <c r="L7192" s="1" t="str">
        <f t="shared" si="2"/>
        <v>Sep</v>
      </c>
      <c r="M7192" s="1" t="str">
        <f t="shared" si="3"/>
        <v>Loss</v>
      </c>
    </row>
    <row r="7193" ht="14.25" customHeight="1">
      <c r="A7193" s="1" t="s">
        <v>7227</v>
      </c>
      <c r="B7193" s="2">
        <v>44923.0</v>
      </c>
      <c r="C7193" s="1" t="s">
        <v>14</v>
      </c>
      <c r="D7193" s="1" t="s">
        <v>15</v>
      </c>
      <c r="E7193" s="1" t="s">
        <v>16</v>
      </c>
      <c r="F7193" s="1">
        <v>61.76</v>
      </c>
      <c r="G7193" s="1">
        <v>45.94</v>
      </c>
      <c r="H7193" s="1">
        <v>3.0</v>
      </c>
      <c r="I7193" s="1" t="s">
        <v>23</v>
      </c>
      <c r="J7193" s="1" t="s">
        <v>35</v>
      </c>
      <c r="K7193" s="1">
        <f t="shared" si="1"/>
        <v>2022</v>
      </c>
      <c r="L7193" s="1" t="str">
        <f t="shared" si="2"/>
        <v>Dec</v>
      </c>
      <c r="M7193" s="1" t="str">
        <f t="shared" si="3"/>
        <v>Profit</v>
      </c>
    </row>
    <row r="7194" ht="14.25" customHeight="1">
      <c r="A7194" s="1" t="s">
        <v>7228</v>
      </c>
      <c r="B7194" s="2">
        <v>44795.0</v>
      </c>
      <c r="C7194" s="1" t="s">
        <v>14</v>
      </c>
      <c r="D7194" s="1" t="s">
        <v>15</v>
      </c>
      <c r="E7194" s="1" t="s">
        <v>31</v>
      </c>
      <c r="F7194" s="1">
        <v>54.12</v>
      </c>
      <c r="G7194" s="1">
        <v>-150.9</v>
      </c>
      <c r="H7194" s="1">
        <v>2.0</v>
      </c>
      <c r="I7194" s="1" t="s">
        <v>23</v>
      </c>
      <c r="J7194" s="1" t="s">
        <v>24</v>
      </c>
      <c r="K7194" s="1">
        <f t="shared" si="1"/>
        <v>2022</v>
      </c>
      <c r="L7194" s="1" t="str">
        <f t="shared" si="2"/>
        <v>Aug</v>
      </c>
      <c r="M7194" s="1" t="str">
        <f t="shared" si="3"/>
        <v>Loss</v>
      </c>
    </row>
    <row r="7195" ht="14.25" customHeight="1">
      <c r="A7195" s="1" t="s">
        <v>7229</v>
      </c>
      <c r="B7195" s="2">
        <v>45052.0</v>
      </c>
      <c r="C7195" s="1" t="s">
        <v>26</v>
      </c>
      <c r="D7195" s="1" t="s">
        <v>21</v>
      </c>
      <c r="E7195" s="1" t="s">
        <v>76</v>
      </c>
      <c r="F7195" s="1">
        <v>50.86</v>
      </c>
      <c r="G7195" s="1">
        <v>185.71</v>
      </c>
      <c r="H7195" s="1">
        <v>3.0</v>
      </c>
      <c r="I7195" s="1" t="s">
        <v>17</v>
      </c>
      <c r="J7195" s="1" t="s">
        <v>24</v>
      </c>
      <c r="K7195" s="1">
        <f t="shared" si="1"/>
        <v>2023</v>
      </c>
      <c r="L7195" s="1" t="str">
        <f t="shared" si="2"/>
        <v>May</v>
      </c>
      <c r="M7195" s="1" t="str">
        <f t="shared" si="3"/>
        <v>Profit</v>
      </c>
    </row>
    <row r="7196" ht="14.25" customHeight="1">
      <c r="A7196" s="1" t="s">
        <v>7230</v>
      </c>
      <c r="B7196" s="2">
        <v>44321.0</v>
      </c>
      <c r="C7196" s="1" t="s">
        <v>30</v>
      </c>
      <c r="D7196" s="1" t="s">
        <v>21</v>
      </c>
      <c r="E7196" s="1" t="s">
        <v>76</v>
      </c>
      <c r="F7196" s="1">
        <v>579.58</v>
      </c>
      <c r="G7196" s="1">
        <v>-58.21</v>
      </c>
      <c r="H7196" s="1">
        <v>6.0</v>
      </c>
      <c r="I7196" s="1" t="s">
        <v>34</v>
      </c>
      <c r="J7196" s="1" t="s">
        <v>24</v>
      </c>
      <c r="K7196" s="1">
        <f t="shared" si="1"/>
        <v>2021</v>
      </c>
      <c r="L7196" s="1" t="str">
        <f t="shared" si="2"/>
        <v>May</v>
      </c>
      <c r="M7196" s="1" t="str">
        <f t="shared" si="3"/>
        <v>Loss</v>
      </c>
    </row>
    <row r="7197" ht="14.25" customHeight="1">
      <c r="A7197" s="1" t="s">
        <v>7231</v>
      </c>
      <c r="B7197" s="2">
        <v>45091.0</v>
      </c>
      <c r="C7197" s="1" t="s">
        <v>26</v>
      </c>
      <c r="D7197" s="1" t="s">
        <v>21</v>
      </c>
      <c r="E7197" s="1" t="s">
        <v>22</v>
      </c>
      <c r="F7197" s="1">
        <v>557.79</v>
      </c>
      <c r="G7197" s="1">
        <v>137.43</v>
      </c>
      <c r="H7197" s="1">
        <v>1.0</v>
      </c>
      <c r="I7197" s="1" t="s">
        <v>34</v>
      </c>
      <c r="J7197" s="1" t="s">
        <v>38</v>
      </c>
      <c r="K7197" s="1">
        <f t="shared" si="1"/>
        <v>2023</v>
      </c>
      <c r="L7197" s="1" t="str">
        <f t="shared" si="2"/>
        <v>Jun</v>
      </c>
      <c r="M7197" s="1" t="str">
        <f t="shared" si="3"/>
        <v>Profit</v>
      </c>
    </row>
    <row r="7198" ht="14.25" customHeight="1">
      <c r="A7198" s="1" t="s">
        <v>7232</v>
      </c>
      <c r="B7198" s="2">
        <v>45142.0</v>
      </c>
      <c r="C7198" s="1" t="s">
        <v>14</v>
      </c>
      <c r="D7198" s="1" t="s">
        <v>15</v>
      </c>
      <c r="E7198" s="1" t="s">
        <v>54</v>
      </c>
      <c r="F7198" s="1">
        <v>563.2</v>
      </c>
      <c r="G7198" s="1">
        <v>114.95</v>
      </c>
      <c r="H7198" s="1">
        <v>9.0</v>
      </c>
      <c r="I7198" s="1" t="s">
        <v>17</v>
      </c>
      <c r="J7198" s="1" t="s">
        <v>38</v>
      </c>
      <c r="K7198" s="1">
        <f t="shared" si="1"/>
        <v>2023</v>
      </c>
      <c r="L7198" s="1" t="str">
        <f t="shared" si="2"/>
        <v>Aug</v>
      </c>
      <c r="M7198" s="1" t="str">
        <f t="shared" si="3"/>
        <v>Profit</v>
      </c>
    </row>
    <row r="7199" ht="14.25" customHeight="1">
      <c r="A7199" s="1" t="s">
        <v>7233</v>
      </c>
      <c r="B7199" s="2">
        <v>44635.0</v>
      </c>
      <c r="C7199" s="1" t="s">
        <v>30</v>
      </c>
      <c r="D7199" s="1" t="s">
        <v>21</v>
      </c>
      <c r="E7199" s="1" t="s">
        <v>22</v>
      </c>
      <c r="F7199" s="1">
        <v>115.62</v>
      </c>
      <c r="G7199" s="1">
        <v>-128.97</v>
      </c>
      <c r="H7199" s="1">
        <v>6.0</v>
      </c>
      <c r="I7199" s="1" t="s">
        <v>17</v>
      </c>
      <c r="J7199" s="1" t="s">
        <v>24</v>
      </c>
      <c r="K7199" s="1">
        <f t="shared" si="1"/>
        <v>2022</v>
      </c>
      <c r="L7199" s="1" t="str">
        <f t="shared" si="2"/>
        <v>Mar</v>
      </c>
      <c r="M7199" s="1" t="str">
        <f t="shared" si="3"/>
        <v>Loss</v>
      </c>
    </row>
    <row r="7200" ht="14.25" customHeight="1">
      <c r="A7200" s="1" t="s">
        <v>7234</v>
      </c>
      <c r="B7200" s="2">
        <v>45052.0</v>
      </c>
      <c r="C7200" s="1" t="s">
        <v>20</v>
      </c>
      <c r="D7200" s="1" t="s">
        <v>21</v>
      </c>
      <c r="E7200" s="1" t="s">
        <v>37</v>
      </c>
      <c r="F7200" s="1">
        <v>907.26</v>
      </c>
      <c r="G7200" s="1">
        <v>-96.24</v>
      </c>
      <c r="H7200" s="1">
        <v>7.0</v>
      </c>
      <c r="I7200" s="1" t="s">
        <v>17</v>
      </c>
      <c r="J7200" s="1" t="s">
        <v>38</v>
      </c>
      <c r="K7200" s="1">
        <f t="shared" si="1"/>
        <v>2023</v>
      </c>
      <c r="L7200" s="1" t="str">
        <f t="shared" si="2"/>
        <v>May</v>
      </c>
      <c r="M7200" s="1" t="str">
        <f t="shared" si="3"/>
        <v>Loss</v>
      </c>
    </row>
    <row r="7201" ht="14.25" customHeight="1">
      <c r="A7201" s="1" t="s">
        <v>7235</v>
      </c>
      <c r="B7201" s="2">
        <v>44773.0</v>
      </c>
      <c r="C7201" s="1" t="s">
        <v>30</v>
      </c>
      <c r="D7201" s="1" t="s">
        <v>27</v>
      </c>
      <c r="E7201" s="1" t="s">
        <v>28</v>
      </c>
      <c r="F7201" s="1">
        <v>287.11</v>
      </c>
      <c r="G7201" s="1">
        <v>129.54</v>
      </c>
      <c r="H7201" s="1">
        <v>2.0</v>
      </c>
      <c r="I7201" s="1" t="s">
        <v>23</v>
      </c>
      <c r="J7201" s="1" t="s">
        <v>35</v>
      </c>
      <c r="K7201" s="1">
        <f t="shared" si="1"/>
        <v>2022</v>
      </c>
      <c r="L7201" s="1" t="str">
        <f t="shared" si="2"/>
        <v>Jul</v>
      </c>
      <c r="M7201" s="1" t="str">
        <f t="shared" si="3"/>
        <v>Profit</v>
      </c>
    </row>
    <row r="7202" ht="14.25" customHeight="1">
      <c r="A7202" s="1" t="s">
        <v>7236</v>
      </c>
      <c r="B7202" s="2">
        <v>45010.0</v>
      </c>
      <c r="C7202" s="1" t="s">
        <v>26</v>
      </c>
      <c r="D7202" s="1" t="s">
        <v>27</v>
      </c>
      <c r="E7202" s="1" t="s">
        <v>40</v>
      </c>
      <c r="F7202" s="1">
        <v>755.6</v>
      </c>
      <c r="G7202" s="1">
        <v>25.8</v>
      </c>
      <c r="H7202" s="1">
        <v>2.0</v>
      </c>
      <c r="I7202" s="1" t="s">
        <v>17</v>
      </c>
      <c r="J7202" s="1" t="s">
        <v>35</v>
      </c>
      <c r="K7202" s="1">
        <f t="shared" si="1"/>
        <v>2023</v>
      </c>
      <c r="L7202" s="1" t="str">
        <f t="shared" si="2"/>
        <v>Mar</v>
      </c>
      <c r="M7202" s="1" t="str">
        <f t="shared" si="3"/>
        <v>Profit</v>
      </c>
    </row>
    <row r="7203" ht="14.25" customHeight="1">
      <c r="A7203" s="1" t="s">
        <v>7237</v>
      </c>
      <c r="B7203" s="2">
        <v>44937.0</v>
      </c>
      <c r="C7203" s="1" t="s">
        <v>14</v>
      </c>
      <c r="D7203" s="1" t="s">
        <v>27</v>
      </c>
      <c r="E7203" s="1" t="s">
        <v>33</v>
      </c>
      <c r="F7203" s="1">
        <v>221.24</v>
      </c>
      <c r="G7203" s="1">
        <v>221.07</v>
      </c>
      <c r="H7203" s="1">
        <v>6.0</v>
      </c>
      <c r="I7203" s="1" t="s">
        <v>17</v>
      </c>
      <c r="J7203" s="1" t="s">
        <v>18</v>
      </c>
      <c r="K7203" s="1">
        <f t="shared" si="1"/>
        <v>2023</v>
      </c>
      <c r="L7203" s="1" t="str">
        <f t="shared" si="2"/>
        <v>Jan</v>
      </c>
      <c r="M7203" s="1" t="str">
        <f t="shared" si="3"/>
        <v>Profit</v>
      </c>
    </row>
    <row r="7204" ht="14.25" customHeight="1">
      <c r="A7204" s="1" t="s">
        <v>7238</v>
      </c>
      <c r="B7204" s="2">
        <v>44809.0</v>
      </c>
      <c r="C7204" s="1" t="s">
        <v>26</v>
      </c>
      <c r="D7204" s="1" t="s">
        <v>27</v>
      </c>
      <c r="E7204" s="1" t="s">
        <v>33</v>
      </c>
      <c r="F7204" s="1">
        <v>277.04</v>
      </c>
      <c r="G7204" s="1">
        <v>68.57</v>
      </c>
      <c r="H7204" s="1">
        <v>8.0</v>
      </c>
      <c r="I7204" s="1" t="s">
        <v>23</v>
      </c>
      <c r="J7204" s="1" t="s">
        <v>35</v>
      </c>
      <c r="K7204" s="1">
        <f t="shared" si="1"/>
        <v>2022</v>
      </c>
      <c r="L7204" s="1" t="str">
        <f t="shared" si="2"/>
        <v>Sep</v>
      </c>
      <c r="M7204" s="1" t="str">
        <f t="shared" si="3"/>
        <v>Profit</v>
      </c>
    </row>
    <row r="7205" ht="14.25" customHeight="1">
      <c r="A7205" s="1" t="s">
        <v>7239</v>
      </c>
      <c r="B7205" s="2">
        <v>44379.0</v>
      </c>
      <c r="C7205" s="1" t="s">
        <v>26</v>
      </c>
      <c r="D7205" s="1" t="s">
        <v>15</v>
      </c>
      <c r="E7205" s="1" t="s">
        <v>31</v>
      </c>
      <c r="F7205" s="1">
        <v>348.24</v>
      </c>
      <c r="G7205" s="1">
        <v>44.72</v>
      </c>
      <c r="H7205" s="1">
        <v>5.0</v>
      </c>
      <c r="I7205" s="1" t="s">
        <v>23</v>
      </c>
      <c r="J7205" s="1" t="s">
        <v>38</v>
      </c>
      <c r="K7205" s="1">
        <f t="shared" si="1"/>
        <v>2021</v>
      </c>
      <c r="L7205" s="1" t="str">
        <f t="shared" si="2"/>
        <v>Jul</v>
      </c>
      <c r="M7205" s="1" t="str">
        <f t="shared" si="3"/>
        <v>Profit</v>
      </c>
    </row>
    <row r="7206" ht="14.25" customHeight="1">
      <c r="A7206" s="1" t="s">
        <v>7240</v>
      </c>
      <c r="B7206" s="2">
        <v>44371.0</v>
      </c>
      <c r="C7206" s="1" t="s">
        <v>30</v>
      </c>
      <c r="D7206" s="1" t="s">
        <v>21</v>
      </c>
      <c r="E7206" s="1" t="s">
        <v>22</v>
      </c>
      <c r="F7206" s="1">
        <v>994.63</v>
      </c>
      <c r="G7206" s="1">
        <v>225.36</v>
      </c>
      <c r="H7206" s="1">
        <v>8.0</v>
      </c>
      <c r="I7206" s="1" t="s">
        <v>34</v>
      </c>
      <c r="J7206" s="1" t="s">
        <v>24</v>
      </c>
      <c r="K7206" s="1">
        <f t="shared" si="1"/>
        <v>2021</v>
      </c>
      <c r="L7206" s="1" t="str">
        <f t="shared" si="2"/>
        <v>Jun</v>
      </c>
      <c r="M7206" s="1" t="str">
        <f t="shared" si="3"/>
        <v>Profit</v>
      </c>
    </row>
    <row r="7207" ht="14.25" customHeight="1">
      <c r="A7207" s="1" t="s">
        <v>7241</v>
      </c>
      <c r="B7207" s="2">
        <v>44597.0</v>
      </c>
      <c r="C7207" s="1" t="s">
        <v>20</v>
      </c>
      <c r="D7207" s="1" t="s">
        <v>21</v>
      </c>
      <c r="E7207" s="1" t="s">
        <v>76</v>
      </c>
      <c r="F7207" s="1">
        <v>314.15</v>
      </c>
      <c r="G7207" s="1">
        <v>248.2</v>
      </c>
      <c r="H7207" s="1">
        <v>5.0</v>
      </c>
      <c r="I7207" s="1" t="s">
        <v>23</v>
      </c>
      <c r="J7207" s="1" t="s">
        <v>35</v>
      </c>
      <c r="K7207" s="1">
        <f t="shared" si="1"/>
        <v>2022</v>
      </c>
      <c r="L7207" s="1" t="str">
        <f t="shared" si="2"/>
        <v>Feb</v>
      </c>
      <c r="M7207" s="1" t="str">
        <f t="shared" si="3"/>
        <v>Profit</v>
      </c>
    </row>
    <row r="7208" ht="14.25" customHeight="1">
      <c r="A7208" s="1" t="s">
        <v>7242</v>
      </c>
      <c r="B7208" s="2">
        <v>45251.0</v>
      </c>
      <c r="C7208" s="1" t="s">
        <v>20</v>
      </c>
      <c r="D7208" s="1" t="s">
        <v>15</v>
      </c>
      <c r="E7208" s="1" t="s">
        <v>54</v>
      </c>
      <c r="F7208" s="1">
        <v>983.6</v>
      </c>
      <c r="G7208" s="1">
        <v>65.7</v>
      </c>
      <c r="H7208" s="1">
        <v>8.0</v>
      </c>
      <c r="I7208" s="1" t="s">
        <v>23</v>
      </c>
      <c r="J7208" s="1" t="s">
        <v>24</v>
      </c>
      <c r="K7208" s="1">
        <f t="shared" si="1"/>
        <v>2023</v>
      </c>
      <c r="L7208" s="1" t="str">
        <f t="shared" si="2"/>
        <v>Nov</v>
      </c>
      <c r="M7208" s="1" t="str">
        <f t="shared" si="3"/>
        <v>Profit</v>
      </c>
    </row>
    <row r="7209" ht="14.25" customHeight="1">
      <c r="A7209" s="1" t="s">
        <v>7243</v>
      </c>
      <c r="B7209" s="2">
        <v>44332.0</v>
      </c>
      <c r="C7209" s="1" t="s">
        <v>30</v>
      </c>
      <c r="D7209" s="1" t="s">
        <v>27</v>
      </c>
      <c r="E7209" s="1" t="s">
        <v>28</v>
      </c>
      <c r="F7209" s="1">
        <v>510.84</v>
      </c>
      <c r="G7209" s="1">
        <v>122.51</v>
      </c>
      <c r="H7209" s="1">
        <v>6.0</v>
      </c>
      <c r="I7209" s="1" t="s">
        <v>34</v>
      </c>
      <c r="J7209" s="1" t="s">
        <v>18</v>
      </c>
      <c r="K7209" s="1">
        <f t="shared" si="1"/>
        <v>2021</v>
      </c>
      <c r="L7209" s="1" t="str">
        <f t="shared" si="2"/>
        <v>May</v>
      </c>
      <c r="M7209" s="1" t="str">
        <f t="shared" si="3"/>
        <v>Profit</v>
      </c>
    </row>
    <row r="7210" ht="14.25" customHeight="1">
      <c r="A7210" s="1" t="s">
        <v>7244</v>
      </c>
      <c r="B7210" s="2">
        <v>44513.0</v>
      </c>
      <c r="C7210" s="1" t="s">
        <v>14</v>
      </c>
      <c r="D7210" s="1" t="s">
        <v>15</v>
      </c>
      <c r="E7210" s="1" t="s">
        <v>31</v>
      </c>
      <c r="F7210" s="1">
        <v>119.54</v>
      </c>
      <c r="G7210" s="1">
        <v>206.37</v>
      </c>
      <c r="H7210" s="1">
        <v>4.0</v>
      </c>
      <c r="I7210" s="1" t="s">
        <v>34</v>
      </c>
      <c r="J7210" s="1" t="s">
        <v>38</v>
      </c>
      <c r="K7210" s="1">
        <f t="shared" si="1"/>
        <v>2021</v>
      </c>
      <c r="L7210" s="1" t="str">
        <f t="shared" si="2"/>
        <v>Nov</v>
      </c>
      <c r="M7210" s="1" t="str">
        <f t="shared" si="3"/>
        <v>Profit</v>
      </c>
    </row>
    <row r="7211" ht="14.25" customHeight="1">
      <c r="A7211" s="1" t="s">
        <v>7245</v>
      </c>
      <c r="B7211" s="2">
        <v>45046.0</v>
      </c>
      <c r="C7211" s="1" t="s">
        <v>14</v>
      </c>
      <c r="D7211" s="1" t="s">
        <v>15</v>
      </c>
      <c r="E7211" s="1" t="s">
        <v>54</v>
      </c>
      <c r="F7211" s="1">
        <v>97.84</v>
      </c>
      <c r="G7211" s="1">
        <v>-8.46</v>
      </c>
      <c r="H7211" s="1">
        <v>3.0</v>
      </c>
      <c r="I7211" s="1" t="s">
        <v>34</v>
      </c>
      <c r="J7211" s="1" t="s">
        <v>18</v>
      </c>
      <c r="K7211" s="1">
        <f t="shared" si="1"/>
        <v>2023</v>
      </c>
      <c r="L7211" s="1" t="str">
        <f t="shared" si="2"/>
        <v>Apr</v>
      </c>
      <c r="M7211" s="1" t="str">
        <f t="shared" si="3"/>
        <v>Loss</v>
      </c>
    </row>
    <row r="7212" ht="14.25" customHeight="1">
      <c r="A7212" s="1" t="s">
        <v>7246</v>
      </c>
      <c r="B7212" s="2">
        <v>45194.0</v>
      </c>
      <c r="C7212" s="1" t="s">
        <v>20</v>
      </c>
      <c r="D7212" s="1" t="s">
        <v>21</v>
      </c>
      <c r="E7212" s="1" t="s">
        <v>37</v>
      </c>
      <c r="F7212" s="1">
        <v>454.86</v>
      </c>
      <c r="G7212" s="1">
        <v>-21.6</v>
      </c>
      <c r="H7212" s="1">
        <v>7.0</v>
      </c>
      <c r="I7212" s="1" t="s">
        <v>17</v>
      </c>
      <c r="J7212" s="1" t="s">
        <v>35</v>
      </c>
      <c r="K7212" s="1">
        <f t="shared" si="1"/>
        <v>2023</v>
      </c>
      <c r="L7212" s="1" t="str">
        <f t="shared" si="2"/>
        <v>Sep</v>
      </c>
      <c r="M7212" s="1" t="str">
        <f t="shared" si="3"/>
        <v>Loss</v>
      </c>
    </row>
    <row r="7213" ht="14.25" customHeight="1">
      <c r="A7213" s="1" t="s">
        <v>7247</v>
      </c>
      <c r="B7213" s="2">
        <v>44573.0</v>
      </c>
      <c r="C7213" s="1" t="s">
        <v>26</v>
      </c>
      <c r="D7213" s="1" t="s">
        <v>21</v>
      </c>
      <c r="E7213" s="1" t="s">
        <v>37</v>
      </c>
      <c r="F7213" s="1">
        <v>674.42</v>
      </c>
      <c r="G7213" s="1">
        <v>42.03</v>
      </c>
      <c r="H7213" s="1">
        <v>3.0</v>
      </c>
      <c r="I7213" s="1" t="s">
        <v>34</v>
      </c>
      <c r="J7213" s="1" t="s">
        <v>35</v>
      </c>
      <c r="K7213" s="1">
        <f t="shared" si="1"/>
        <v>2022</v>
      </c>
      <c r="L7213" s="1" t="str">
        <f t="shared" si="2"/>
        <v>Jan</v>
      </c>
      <c r="M7213" s="1" t="str">
        <f t="shared" si="3"/>
        <v>Profit</v>
      </c>
    </row>
    <row r="7214" ht="14.25" customHeight="1">
      <c r="A7214" s="1" t="s">
        <v>7248</v>
      </c>
      <c r="B7214" s="2">
        <v>44265.0</v>
      </c>
      <c r="C7214" s="1" t="s">
        <v>30</v>
      </c>
      <c r="D7214" s="1" t="s">
        <v>27</v>
      </c>
      <c r="E7214" s="1" t="s">
        <v>33</v>
      </c>
      <c r="F7214" s="1">
        <v>918.48</v>
      </c>
      <c r="G7214" s="1">
        <v>17.98</v>
      </c>
      <c r="H7214" s="1">
        <v>2.0</v>
      </c>
      <c r="I7214" s="1" t="s">
        <v>23</v>
      </c>
      <c r="J7214" s="1" t="s">
        <v>38</v>
      </c>
      <c r="K7214" s="1">
        <f t="shared" si="1"/>
        <v>2021</v>
      </c>
      <c r="L7214" s="1" t="str">
        <f t="shared" si="2"/>
        <v>Mar</v>
      </c>
      <c r="M7214" s="1" t="str">
        <f t="shared" si="3"/>
        <v>Profit</v>
      </c>
    </row>
    <row r="7215" ht="14.25" customHeight="1">
      <c r="A7215" s="1" t="s">
        <v>7249</v>
      </c>
      <c r="B7215" s="2">
        <v>44383.0</v>
      </c>
      <c r="C7215" s="1" t="s">
        <v>14</v>
      </c>
      <c r="D7215" s="1" t="s">
        <v>21</v>
      </c>
      <c r="E7215" s="1" t="s">
        <v>76</v>
      </c>
      <c r="F7215" s="1">
        <v>537.86</v>
      </c>
      <c r="G7215" s="1">
        <v>-25.06</v>
      </c>
      <c r="H7215" s="1">
        <v>9.0</v>
      </c>
      <c r="I7215" s="1" t="s">
        <v>23</v>
      </c>
      <c r="J7215" s="1" t="s">
        <v>35</v>
      </c>
      <c r="K7215" s="1">
        <f t="shared" si="1"/>
        <v>2021</v>
      </c>
      <c r="L7215" s="1" t="str">
        <f t="shared" si="2"/>
        <v>Jul</v>
      </c>
      <c r="M7215" s="1" t="str">
        <f t="shared" si="3"/>
        <v>Loss</v>
      </c>
    </row>
    <row r="7216" ht="14.25" customHeight="1">
      <c r="A7216" s="1" t="s">
        <v>7250</v>
      </c>
      <c r="B7216" s="2">
        <v>44950.0</v>
      </c>
      <c r="C7216" s="1" t="s">
        <v>20</v>
      </c>
      <c r="D7216" s="1" t="s">
        <v>15</v>
      </c>
      <c r="E7216" s="1" t="s">
        <v>31</v>
      </c>
      <c r="F7216" s="1">
        <v>239.72</v>
      </c>
      <c r="G7216" s="1">
        <v>131.06</v>
      </c>
      <c r="H7216" s="1">
        <v>10.0</v>
      </c>
      <c r="I7216" s="1" t="s">
        <v>17</v>
      </c>
      <c r="J7216" s="1" t="s">
        <v>18</v>
      </c>
      <c r="K7216" s="1">
        <f t="shared" si="1"/>
        <v>2023</v>
      </c>
      <c r="L7216" s="1" t="str">
        <f t="shared" si="2"/>
        <v>Jan</v>
      </c>
      <c r="M7216" s="1" t="str">
        <f t="shared" si="3"/>
        <v>Profit</v>
      </c>
    </row>
    <row r="7217" ht="14.25" customHeight="1">
      <c r="A7217" s="1" t="s">
        <v>7251</v>
      </c>
      <c r="B7217" s="2">
        <v>44714.0</v>
      </c>
      <c r="C7217" s="1" t="s">
        <v>14</v>
      </c>
      <c r="D7217" s="1" t="s">
        <v>21</v>
      </c>
      <c r="E7217" s="1" t="s">
        <v>76</v>
      </c>
      <c r="F7217" s="1">
        <v>805.1</v>
      </c>
      <c r="G7217" s="1">
        <v>13.26</v>
      </c>
      <c r="H7217" s="1">
        <v>1.0</v>
      </c>
      <c r="I7217" s="1" t="s">
        <v>17</v>
      </c>
      <c r="J7217" s="1" t="s">
        <v>18</v>
      </c>
      <c r="K7217" s="1">
        <f t="shared" si="1"/>
        <v>2022</v>
      </c>
      <c r="L7217" s="1" t="str">
        <f t="shared" si="2"/>
        <v>Jun</v>
      </c>
      <c r="M7217" s="1" t="str">
        <f t="shared" si="3"/>
        <v>Profit</v>
      </c>
    </row>
    <row r="7218" ht="14.25" customHeight="1">
      <c r="A7218" s="1" t="s">
        <v>7252</v>
      </c>
      <c r="B7218" s="2">
        <v>44483.0</v>
      </c>
      <c r="C7218" s="1" t="s">
        <v>14</v>
      </c>
      <c r="D7218" s="1" t="s">
        <v>21</v>
      </c>
      <c r="E7218" s="1" t="s">
        <v>76</v>
      </c>
      <c r="F7218" s="1">
        <v>668.61</v>
      </c>
      <c r="G7218" s="1">
        <v>131.95</v>
      </c>
      <c r="H7218" s="1">
        <v>3.0</v>
      </c>
      <c r="I7218" s="1" t="s">
        <v>23</v>
      </c>
      <c r="J7218" s="1" t="s">
        <v>24</v>
      </c>
      <c r="K7218" s="1">
        <f t="shared" si="1"/>
        <v>2021</v>
      </c>
      <c r="L7218" s="1" t="str">
        <f t="shared" si="2"/>
        <v>Oct</v>
      </c>
      <c r="M7218" s="1" t="str">
        <f t="shared" si="3"/>
        <v>Profit</v>
      </c>
    </row>
    <row r="7219" ht="14.25" customHeight="1">
      <c r="A7219" s="1" t="s">
        <v>7253</v>
      </c>
      <c r="B7219" s="2">
        <v>44334.0</v>
      </c>
      <c r="C7219" s="1" t="s">
        <v>26</v>
      </c>
      <c r="D7219" s="1" t="s">
        <v>21</v>
      </c>
      <c r="E7219" s="1" t="s">
        <v>22</v>
      </c>
      <c r="F7219" s="1">
        <v>517.89</v>
      </c>
      <c r="G7219" s="1">
        <v>-101.75</v>
      </c>
      <c r="H7219" s="1">
        <v>8.0</v>
      </c>
      <c r="I7219" s="1" t="s">
        <v>17</v>
      </c>
      <c r="J7219" s="1" t="s">
        <v>24</v>
      </c>
      <c r="K7219" s="1">
        <f t="shared" si="1"/>
        <v>2021</v>
      </c>
      <c r="L7219" s="1" t="str">
        <f t="shared" si="2"/>
        <v>May</v>
      </c>
      <c r="M7219" s="1" t="str">
        <f t="shared" si="3"/>
        <v>Loss</v>
      </c>
    </row>
    <row r="7220" ht="14.25" customHeight="1">
      <c r="A7220" s="1" t="s">
        <v>7254</v>
      </c>
      <c r="B7220" s="2">
        <v>44716.0</v>
      </c>
      <c r="C7220" s="1" t="s">
        <v>14</v>
      </c>
      <c r="D7220" s="1" t="s">
        <v>21</v>
      </c>
      <c r="E7220" s="1" t="s">
        <v>37</v>
      </c>
      <c r="F7220" s="1">
        <v>102.79</v>
      </c>
      <c r="G7220" s="1">
        <v>270.62</v>
      </c>
      <c r="H7220" s="1">
        <v>3.0</v>
      </c>
      <c r="I7220" s="1" t="s">
        <v>17</v>
      </c>
      <c r="J7220" s="1" t="s">
        <v>38</v>
      </c>
      <c r="K7220" s="1">
        <f t="shared" si="1"/>
        <v>2022</v>
      </c>
      <c r="L7220" s="1" t="str">
        <f t="shared" si="2"/>
        <v>Jun</v>
      </c>
      <c r="M7220" s="1" t="str">
        <f t="shared" si="3"/>
        <v>Profit</v>
      </c>
    </row>
    <row r="7221" ht="14.25" customHeight="1">
      <c r="A7221" s="1" t="s">
        <v>7255</v>
      </c>
      <c r="B7221" s="2">
        <v>44266.0</v>
      </c>
      <c r="C7221" s="1" t="s">
        <v>20</v>
      </c>
      <c r="D7221" s="1" t="s">
        <v>15</v>
      </c>
      <c r="E7221" s="1" t="s">
        <v>31</v>
      </c>
      <c r="F7221" s="1">
        <v>982.29</v>
      </c>
      <c r="G7221" s="1">
        <v>-44.53</v>
      </c>
      <c r="H7221" s="1">
        <v>1.0</v>
      </c>
      <c r="I7221" s="1" t="s">
        <v>23</v>
      </c>
      <c r="J7221" s="1" t="s">
        <v>38</v>
      </c>
      <c r="K7221" s="1">
        <f t="shared" si="1"/>
        <v>2021</v>
      </c>
      <c r="L7221" s="1" t="str">
        <f t="shared" si="2"/>
        <v>Mar</v>
      </c>
      <c r="M7221" s="1" t="str">
        <f t="shared" si="3"/>
        <v>Loss</v>
      </c>
    </row>
    <row r="7222" ht="14.25" customHeight="1">
      <c r="A7222" s="1" t="s">
        <v>7256</v>
      </c>
      <c r="B7222" s="2">
        <v>44580.0</v>
      </c>
      <c r="C7222" s="1" t="s">
        <v>26</v>
      </c>
      <c r="D7222" s="1" t="s">
        <v>15</v>
      </c>
      <c r="E7222" s="1" t="s">
        <v>16</v>
      </c>
      <c r="F7222" s="1">
        <v>807.55</v>
      </c>
      <c r="G7222" s="1">
        <v>-42.44</v>
      </c>
      <c r="H7222" s="1">
        <v>9.0</v>
      </c>
      <c r="I7222" s="1" t="s">
        <v>34</v>
      </c>
      <c r="J7222" s="1" t="s">
        <v>18</v>
      </c>
      <c r="K7222" s="1">
        <f t="shared" si="1"/>
        <v>2022</v>
      </c>
      <c r="L7222" s="1" t="str">
        <f t="shared" si="2"/>
        <v>Jan</v>
      </c>
      <c r="M7222" s="1" t="str">
        <f t="shared" si="3"/>
        <v>Loss</v>
      </c>
    </row>
    <row r="7223" ht="14.25" customHeight="1">
      <c r="A7223" s="1" t="s">
        <v>7257</v>
      </c>
      <c r="B7223" s="2">
        <v>44270.0</v>
      </c>
      <c r="C7223" s="1" t="s">
        <v>26</v>
      </c>
      <c r="D7223" s="1" t="s">
        <v>21</v>
      </c>
      <c r="E7223" s="1" t="s">
        <v>76</v>
      </c>
      <c r="F7223" s="1">
        <v>186.95</v>
      </c>
      <c r="G7223" s="1">
        <v>69.8</v>
      </c>
      <c r="H7223" s="1">
        <v>6.0</v>
      </c>
      <c r="I7223" s="1" t="s">
        <v>23</v>
      </c>
      <c r="J7223" s="1" t="s">
        <v>24</v>
      </c>
      <c r="K7223" s="1">
        <f t="shared" si="1"/>
        <v>2021</v>
      </c>
      <c r="L7223" s="1" t="str">
        <f t="shared" si="2"/>
        <v>Mar</v>
      </c>
      <c r="M7223" s="1" t="str">
        <f t="shared" si="3"/>
        <v>Profit</v>
      </c>
    </row>
    <row r="7224" ht="14.25" customHeight="1">
      <c r="A7224" s="1" t="s">
        <v>7258</v>
      </c>
      <c r="B7224" s="2">
        <v>45058.0</v>
      </c>
      <c r="C7224" s="1" t="s">
        <v>14</v>
      </c>
      <c r="D7224" s="1" t="s">
        <v>27</v>
      </c>
      <c r="E7224" s="1" t="s">
        <v>33</v>
      </c>
      <c r="F7224" s="1">
        <v>957.44</v>
      </c>
      <c r="G7224" s="1">
        <v>104.52</v>
      </c>
      <c r="H7224" s="1">
        <v>4.0</v>
      </c>
      <c r="I7224" s="1" t="s">
        <v>23</v>
      </c>
      <c r="J7224" s="1" t="s">
        <v>38</v>
      </c>
      <c r="K7224" s="1">
        <f t="shared" si="1"/>
        <v>2023</v>
      </c>
      <c r="L7224" s="1" t="str">
        <f t="shared" si="2"/>
        <v>May</v>
      </c>
      <c r="M7224" s="1" t="str">
        <f t="shared" si="3"/>
        <v>Profit</v>
      </c>
    </row>
    <row r="7225" ht="14.25" customHeight="1">
      <c r="A7225" s="1" t="s">
        <v>7259</v>
      </c>
      <c r="B7225" s="2">
        <v>44349.0</v>
      </c>
      <c r="C7225" s="1" t="s">
        <v>14</v>
      </c>
      <c r="D7225" s="1" t="s">
        <v>15</v>
      </c>
      <c r="E7225" s="1" t="s">
        <v>54</v>
      </c>
      <c r="F7225" s="1">
        <v>320.31</v>
      </c>
      <c r="G7225" s="1">
        <v>-106.49</v>
      </c>
      <c r="H7225" s="1">
        <v>7.0</v>
      </c>
      <c r="I7225" s="1" t="s">
        <v>34</v>
      </c>
      <c r="J7225" s="1" t="s">
        <v>24</v>
      </c>
      <c r="K7225" s="1">
        <f t="shared" si="1"/>
        <v>2021</v>
      </c>
      <c r="L7225" s="1" t="str">
        <f t="shared" si="2"/>
        <v>Jun</v>
      </c>
      <c r="M7225" s="1" t="str">
        <f t="shared" si="3"/>
        <v>Loss</v>
      </c>
    </row>
    <row r="7226" ht="14.25" customHeight="1">
      <c r="A7226" s="1" t="s">
        <v>7260</v>
      </c>
      <c r="B7226" s="2">
        <v>44746.0</v>
      </c>
      <c r="C7226" s="1" t="s">
        <v>26</v>
      </c>
      <c r="D7226" s="1" t="s">
        <v>21</v>
      </c>
      <c r="E7226" s="1" t="s">
        <v>22</v>
      </c>
      <c r="F7226" s="1">
        <v>120.96</v>
      </c>
      <c r="G7226" s="1">
        <v>-169.22</v>
      </c>
      <c r="H7226" s="1">
        <v>6.0</v>
      </c>
      <c r="I7226" s="1" t="s">
        <v>17</v>
      </c>
      <c r="J7226" s="1" t="s">
        <v>38</v>
      </c>
      <c r="K7226" s="1">
        <f t="shared" si="1"/>
        <v>2022</v>
      </c>
      <c r="L7226" s="1" t="str">
        <f t="shared" si="2"/>
        <v>Jul</v>
      </c>
      <c r="M7226" s="1" t="str">
        <f t="shared" si="3"/>
        <v>Loss</v>
      </c>
    </row>
    <row r="7227" ht="14.25" customHeight="1">
      <c r="A7227" s="1" t="s">
        <v>7261</v>
      </c>
      <c r="B7227" s="2">
        <v>44998.0</v>
      </c>
      <c r="C7227" s="1" t="s">
        <v>30</v>
      </c>
      <c r="D7227" s="1" t="s">
        <v>15</v>
      </c>
      <c r="E7227" s="1" t="s">
        <v>54</v>
      </c>
      <c r="F7227" s="1">
        <v>854.62</v>
      </c>
      <c r="G7227" s="1">
        <v>35.29</v>
      </c>
      <c r="H7227" s="1">
        <v>2.0</v>
      </c>
      <c r="I7227" s="1" t="s">
        <v>34</v>
      </c>
      <c r="J7227" s="1" t="s">
        <v>18</v>
      </c>
      <c r="K7227" s="1">
        <f t="shared" si="1"/>
        <v>2023</v>
      </c>
      <c r="L7227" s="1" t="str">
        <f t="shared" si="2"/>
        <v>Mar</v>
      </c>
      <c r="M7227" s="1" t="str">
        <f t="shared" si="3"/>
        <v>Profit</v>
      </c>
    </row>
    <row r="7228" ht="14.25" customHeight="1">
      <c r="A7228" s="1" t="s">
        <v>7262</v>
      </c>
      <c r="B7228" s="2">
        <v>44347.0</v>
      </c>
      <c r="C7228" s="1" t="s">
        <v>20</v>
      </c>
      <c r="D7228" s="1" t="s">
        <v>27</v>
      </c>
      <c r="E7228" s="1" t="s">
        <v>40</v>
      </c>
      <c r="F7228" s="1">
        <v>744.55</v>
      </c>
      <c r="G7228" s="1">
        <v>158.8</v>
      </c>
      <c r="H7228" s="1">
        <v>10.0</v>
      </c>
      <c r="I7228" s="1" t="s">
        <v>17</v>
      </c>
      <c r="J7228" s="1" t="s">
        <v>24</v>
      </c>
      <c r="K7228" s="1">
        <f t="shared" si="1"/>
        <v>2021</v>
      </c>
      <c r="L7228" s="1" t="str">
        <f t="shared" si="2"/>
        <v>May</v>
      </c>
      <c r="M7228" s="1" t="str">
        <f t="shared" si="3"/>
        <v>Profit</v>
      </c>
    </row>
    <row r="7229" ht="14.25" customHeight="1">
      <c r="A7229" s="1" t="s">
        <v>7263</v>
      </c>
      <c r="B7229" s="2">
        <v>45061.0</v>
      </c>
      <c r="C7229" s="1" t="s">
        <v>30</v>
      </c>
      <c r="D7229" s="1" t="s">
        <v>27</v>
      </c>
      <c r="E7229" s="1" t="s">
        <v>40</v>
      </c>
      <c r="F7229" s="1">
        <v>738.13</v>
      </c>
      <c r="G7229" s="1">
        <v>226.8</v>
      </c>
      <c r="H7229" s="1">
        <v>4.0</v>
      </c>
      <c r="I7229" s="1" t="s">
        <v>34</v>
      </c>
      <c r="J7229" s="1" t="s">
        <v>35</v>
      </c>
      <c r="K7229" s="1">
        <f t="shared" si="1"/>
        <v>2023</v>
      </c>
      <c r="L7229" s="1" t="str">
        <f t="shared" si="2"/>
        <v>May</v>
      </c>
      <c r="M7229" s="1" t="str">
        <f t="shared" si="3"/>
        <v>Profit</v>
      </c>
    </row>
    <row r="7230" ht="14.25" customHeight="1">
      <c r="A7230" s="1" t="s">
        <v>7264</v>
      </c>
      <c r="B7230" s="2">
        <v>44855.0</v>
      </c>
      <c r="C7230" s="1" t="s">
        <v>20</v>
      </c>
      <c r="D7230" s="1" t="s">
        <v>15</v>
      </c>
      <c r="E7230" s="1" t="s">
        <v>31</v>
      </c>
      <c r="F7230" s="1">
        <v>68.64</v>
      </c>
      <c r="G7230" s="1">
        <v>205.03</v>
      </c>
      <c r="H7230" s="1">
        <v>8.0</v>
      </c>
      <c r="I7230" s="1" t="s">
        <v>34</v>
      </c>
      <c r="J7230" s="1" t="s">
        <v>24</v>
      </c>
      <c r="K7230" s="1">
        <f t="shared" si="1"/>
        <v>2022</v>
      </c>
      <c r="L7230" s="1" t="str">
        <f t="shared" si="2"/>
        <v>Oct</v>
      </c>
      <c r="M7230" s="1" t="str">
        <f t="shared" si="3"/>
        <v>Profit</v>
      </c>
    </row>
    <row r="7231" ht="14.25" customHeight="1">
      <c r="A7231" s="1" t="s">
        <v>7265</v>
      </c>
      <c r="B7231" s="2">
        <v>44747.0</v>
      </c>
      <c r="C7231" s="1" t="s">
        <v>20</v>
      </c>
      <c r="D7231" s="1" t="s">
        <v>21</v>
      </c>
      <c r="E7231" s="1" t="s">
        <v>76</v>
      </c>
      <c r="F7231" s="1">
        <v>963.72</v>
      </c>
      <c r="G7231" s="1">
        <v>22.58</v>
      </c>
      <c r="H7231" s="1">
        <v>6.0</v>
      </c>
      <c r="I7231" s="1" t="s">
        <v>34</v>
      </c>
      <c r="J7231" s="1" t="s">
        <v>38</v>
      </c>
      <c r="K7231" s="1">
        <f t="shared" si="1"/>
        <v>2022</v>
      </c>
      <c r="L7231" s="1" t="str">
        <f t="shared" si="2"/>
        <v>Jul</v>
      </c>
      <c r="M7231" s="1" t="str">
        <f t="shared" si="3"/>
        <v>Profit</v>
      </c>
    </row>
    <row r="7232" ht="14.25" customHeight="1">
      <c r="A7232" s="1" t="s">
        <v>7266</v>
      </c>
      <c r="B7232" s="2">
        <v>44231.0</v>
      </c>
      <c r="C7232" s="1" t="s">
        <v>26</v>
      </c>
      <c r="D7232" s="1" t="s">
        <v>15</v>
      </c>
      <c r="E7232" s="1" t="s">
        <v>16</v>
      </c>
      <c r="F7232" s="1">
        <v>932.76</v>
      </c>
      <c r="G7232" s="1">
        <v>193.61</v>
      </c>
      <c r="H7232" s="1">
        <v>4.0</v>
      </c>
      <c r="I7232" s="1" t="s">
        <v>17</v>
      </c>
      <c r="J7232" s="1" t="s">
        <v>38</v>
      </c>
      <c r="K7232" s="1">
        <f t="shared" si="1"/>
        <v>2021</v>
      </c>
      <c r="L7232" s="1" t="str">
        <f t="shared" si="2"/>
        <v>Feb</v>
      </c>
      <c r="M7232" s="1" t="str">
        <f t="shared" si="3"/>
        <v>Profit</v>
      </c>
    </row>
    <row r="7233" ht="14.25" customHeight="1">
      <c r="A7233" s="1" t="s">
        <v>7267</v>
      </c>
      <c r="B7233" s="2">
        <v>44685.0</v>
      </c>
      <c r="C7233" s="1" t="s">
        <v>20</v>
      </c>
      <c r="D7233" s="1" t="s">
        <v>21</v>
      </c>
      <c r="E7233" s="1" t="s">
        <v>22</v>
      </c>
      <c r="F7233" s="1">
        <v>857.42</v>
      </c>
      <c r="G7233" s="1">
        <v>-125.33</v>
      </c>
      <c r="H7233" s="1">
        <v>7.0</v>
      </c>
      <c r="I7233" s="1" t="s">
        <v>34</v>
      </c>
      <c r="J7233" s="1" t="s">
        <v>38</v>
      </c>
      <c r="K7233" s="1">
        <f t="shared" si="1"/>
        <v>2022</v>
      </c>
      <c r="L7233" s="1" t="str">
        <f t="shared" si="2"/>
        <v>May</v>
      </c>
      <c r="M7233" s="1" t="str">
        <f t="shared" si="3"/>
        <v>Loss</v>
      </c>
    </row>
    <row r="7234" ht="14.25" customHeight="1">
      <c r="A7234" s="1" t="s">
        <v>7268</v>
      </c>
      <c r="B7234" s="2">
        <v>44317.0</v>
      </c>
      <c r="C7234" s="1" t="s">
        <v>20</v>
      </c>
      <c r="D7234" s="1" t="s">
        <v>15</v>
      </c>
      <c r="E7234" s="1" t="s">
        <v>31</v>
      </c>
      <c r="F7234" s="1">
        <v>659.64</v>
      </c>
      <c r="G7234" s="1">
        <v>221.37</v>
      </c>
      <c r="H7234" s="1">
        <v>6.0</v>
      </c>
      <c r="I7234" s="1" t="s">
        <v>17</v>
      </c>
      <c r="J7234" s="1" t="s">
        <v>35</v>
      </c>
      <c r="K7234" s="1">
        <f t="shared" si="1"/>
        <v>2021</v>
      </c>
      <c r="L7234" s="1" t="str">
        <f t="shared" si="2"/>
        <v>May</v>
      </c>
      <c r="M7234" s="1" t="str">
        <f t="shared" si="3"/>
        <v>Profit</v>
      </c>
    </row>
    <row r="7235" ht="14.25" customHeight="1">
      <c r="A7235" s="1" t="s">
        <v>7269</v>
      </c>
      <c r="B7235" s="2">
        <v>44879.0</v>
      </c>
      <c r="C7235" s="1" t="s">
        <v>26</v>
      </c>
      <c r="D7235" s="1" t="s">
        <v>21</v>
      </c>
      <c r="E7235" s="1" t="s">
        <v>37</v>
      </c>
      <c r="F7235" s="1">
        <v>673.82</v>
      </c>
      <c r="G7235" s="1">
        <v>57.58</v>
      </c>
      <c r="H7235" s="1">
        <v>3.0</v>
      </c>
      <c r="I7235" s="1" t="s">
        <v>23</v>
      </c>
      <c r="J7235" s="1" t="s">
        <v>35</v>
      </c>
      <c r="K7235" s="1">
        <f t="shared" si="1"/>
        <v>2022</v>
      </c>
      <c r="L7235" s="1" t="str">
        <f t="shared" si="2"/>
        <v>Nov</v>
      </c>
      <c r="M7235" s="1" t="str">
        <f t="shared" si="3"/>
        <v>Profit</v>
      </c>
    </row>
    <row r="7236" ht="14.25" customHeight="1">
      <c r="A7236" s="1" t="s">
        <v>7270</v>
      </c>
      <c r="B7236" s="2">
        <v>45231.0</v>
      </c>
      <c r="C7236" s="1" t="s">
        <v>14</v>
      </c>
      <c r="D7236" s="1" t="s">
        <v>15</v>
      </c>
      <c r="E7236" s="1" t="s">
        <v>16</v>
      </c>
      <c r="F7236" s="1">
        <v>227.87</v>
      </c>
      <c r="G7236" s="1">
        <v>-34.72</v>
      </c>
      <c r="H7236" s="1">
        <v>2.0</v>
      </c>
      <c r="I7236" s="1" t="s">
        <v>34</v>
      </c>
      <c r="J7236" s="1" t="s">
        <v>24</v>
      </c>
      <c r="K7236" s="1">
        <f t="shared" si="1"/>
        <v>2023</v>
      </c>
      <c r="L7236" s="1" t="str">
        <f t="shared" si="2"/>
        <v>Nov</v>
      </c>
      <c r="M7236" s="1" t="str">
        <f t="shared" si="3"/>
        <v>Loss</v>
      </c>
    </row>
    <row r="7237" ht="14.25" customHeight="1">
      <c r="A7237" s="1" t="s">
        <v>7271</v>
      </c>
      <c r="B7237" s="2">
        <v>44752.0</v>
      </c>
      <c r="C7237" s="1" t="s">
        <v>14</v>
      </c>
      <c r="D7237" s="1" t="s">
        <v>15</v>
      </c>
      <c r="E7237" s="1" t="s">
        <v>54</v>
      </c>
      <c r="F7237" s="1">
        <v>93.93</v>
      </c>
      <c r="G7237" s="1">
        <v>-145.8</v>
      </c>
      <c r="H7237" s="1">
        <v>1.0</v>
      </c>
      <c r="I7237" s="1" t="s">
        <v>23</v>
      </c>
      <c r="J7237" s="1" t="s">
        <v>24</v>
      </c>
      <c r="K7237" s="1">
        <f t="shared" si="1"/>
        <v>2022</v>
      </c>
      <c r="L7237" s="1" t="str">
        <f t="shared" si="2"/>
        <v>Jul</v>
      </c>
      <c r="M7237" s="1" t="str">
        <f t="shared" si="3"/>
        <v>Loss</v>
      </c>
    </row>
    <row r="7238" ht="14.25" customHeight="1">
      <c r="A7238" s="1" t="s">
        <v>7272</v>
      </c>
      <c r="B7238" s="2">
        <v>45092.0</v>
      </c>
      <c r="C7238" s="1" t="s">
        <v>26</v>
      </c>
      <c r="D7238" s="1" t="s">
        <v>15</v>
      </c>
      <c r="E7238" s="1" t="s">
        <v>16</v>
      </c>
      <c r="F7238" s="1">
        <v>618.28</v>
      </c>
      <c r="G7238" s="1">
        <v>-12.48</v>
      </c>
      <c r="H7238" s="1">
        <v>6.0</v>
      </c>
      <c r="I7238" s="1" t="s">
        <v>17</v>
      </c>
      <c r="J7238" s="1" t="s">
        <v>38</v>
      </c>
      <c r="K7238" s="1">
        <f t="shared" si="1"/>
        <v>2023</v>
      </c>
      <c r="L7238" s="1" t="str">
        <f t="shared" si="2"/>
        <v>Jun</v>
      </c>
      <c r="M7238" s="1" t="str">
        <f t="shared" si="3"/>
        <v>Loss</v>
      </c>
    </row>
    <row r="7239" ht="14.25" customHeight="1">
      <c r="A7239" s="1" t="s">
        <v>7273</v>
      </c>
      <c r="B7239" s="2">
        <v>44656.0</v>
      </c>
      <c r="C7239" s="1" t="s">
        <v>30</v>
      </c>
      <c r="D7239" s="1" t="s">
        <v>27</v>
      </c>
      <c r="E7239" s="1" t="s">
        <v>33</v>
      </c>
      <c r="F7239" s="1">
        <v>457.32</v>
      </c>
      <c r="G7239" s="1">
        <v>-35.35</v>
      </c>
      <c r="H7239" s="1">
        <v>7.0</v>
      </c>
      <c r="I7239" s="1" t="s">
        <v>17</v>
      </c>
      <c r="J7239" s="1" t="s">
        <v>35</v>
      </c>
      <c r="K7239" s="1">
        <f t="shared" si="1"/>
        <v>2022</v>
      </c>
      <c r="L7239" s="1" t="str">
        <f t="shared" si="2"/>
        <v>Apr</v>
      </c>
      <c r="M7239" s="1" t="str">
        <f t="shared" si="3"/>
        <v>Loss</v>
      </c>
    </row>
    <row r="7240" ht="14.25" customHeight="1">
      <c r="A7240" s="1" t="s">
        <v>7274</v>
      </c>
      <c r="B7240" s="2">
        <v>44421.0</v>
      </c>
      <c r="C7240" s="1" t="s">
        <v>14</v>
      </c>
      <c r="D7240" s="1" t="s">
        <v>27</v>
      </c>
      <c r="E7240" s="1" t="s">
        <v>33</v>
      </c>
      <c r="F7240" s="1">
        <v>161.29</v>
      </c>
      <c r="G7240" s="1">
        <v>194.19</v>
      </c>
      <c r="H7240" s="1">
        <v>6.0</v>
      </c>
      <c r="I7240" s="1" t="s">
        <v>17</v>
      </c>
      <c r="J7240" s="1" t="s">
        <v>24</v>
      </c>
      <c r="K7240" s="1">
        <f t="shared" si="1"/>
        <v>2021</v>
      </c>
      <c r="L7240" s="1" t="str">
        <f t="shared" si="2"/>
        <v>Aug</v>
      </c>
      <c r="M7240" s="1" t="str">
        <f t="shared" si="3"/>
        <v>Profit</v>
      </c>
    </row>
    <row r="7241" ht="14.25" customHeight="1">
      <c r="A7241" s="1" t="s">
        <v>7275</v>
      </c>
      <c r="B7241" s="2">
        <v>45062.0</v>
      </c>
      <c r="C7241" s="1" t="s">
        <v>20</v>
      </c>
      <c r="D7241" s="1" t="s">
        <v>27</v>
      </c>
      <c r="E7241" s="1" t="s">
        <v>28</v>
      </c>
      <c r="F7241" s="1">
        <v>294.34</v>
      </c>
      <c r="G7241" s="1">
        <v>94.32</v>
      </c>
      <c r="H7241" s="1">
        <v>7.0</v>
      </c>
      <c r="I7241" s="1" t="s">
        <v>23</v>
      </c>
      <c r="J7241" s="1" t="s">
        <v>18</v>
      </c>
      <c r="K7241" s="1">
        <f t="shared" si="1"/>
        <v>2023</v>
      </c>
      <c r="L7241" s="1" t="str">
        <f t="shared" si="2"/>
        <v>May</v>
      </c>
      <c r="M7241" s="1" t="str">
        <f t="shared" si="3"/>
        <v>Profit</v>
      </c>
    </row>
    <row r="7242" ht="14.25" customHeight="1">
      <c r="A7242" s="1" t="s">
        <v>7276</v>
      </c>
      <c r="B7242" s="2">
        <v>44481.0</v>
      </c>
      <c r="C7242" s="1" t="s">
        <v>14</v>
      </c>
      <c r="D7242" s="1" t="s">
        <v>27</v>
      </c>
      <c r="E7242" s="1" t="s">
        <v>33</v>
      </c>
      <c r="F7242" s="1">
        <v>689.19</v>
      </c>
      <c r="G7242" s="1">
        <v>155.61</v>
      </c>
      <c r="H7242" s="1">
        <v>9.0</v>
      </c>
      <c r="I7242" s="1" t="s">
        <v>34</v>
      </c>
      <c r="J7242" s="1" t="s">
        <v>38</v>
      </c>
      <c r="K7242" s="1">
        <f t="shared" si="1"/>
        <v>2021</v>
      </c>
      <c r="L7242" s="1" t="str">
        <f t="shared" si="2"/>
        <v>Oct</v>
      </c>
      <c r="M7242" s="1" t="str">
        <f t="shared" si="3"/>
        <v>Profit</v>
      </c>
    </row>
    <row r="7243" ht="14.25" customHeight="1">
      <c r="A7243" s="1" t="s">
        <v>7277</v>
      </c>
      <c r="B7243" s="2">
        <v>44687.0</v>
      </c>
      <c r="C7243" s="1" t="s">
        <v>14</v>
      </c>
      <c r="D7243" s="1" t="s">
        <v>15</v>
      </c>
      <c r="E7243" s="1" t="s">
        <v>16</v>
      </c>
      <c r="F7243" s="1">
        <v>511.37</v>
      </c>
      <c r="G7243" s="1">
        <v>39.33</v>
      </c>
      <c r="H7243" s="1">
        <v>4.0</v>
      </c>
      <c r="I7243" s="1" t="s">
        <v>17</v>
      </c>
      <c r="J7243" s="1" t="s">
        <v>38</v>
      </c>
      <c r="K7243" s="1">
        <f t="shared" si="1"/>
        <v>2022</v>
      </c>
      <c r="L7243" s="1" t="str">
        <f t="shared" si="2"/>
        <v>May</v>
      </c>
      <c r="M7243" s="1" t="str">
        <f t="shared" si="3"/>
        <v>Profit</v>
      </c>
    </row>
    <row r="7244" ht="14.25" customHeight="1">
      <c r="A7244" s="1" t="s">
        <v>7278</v>
      </c>
      <c r="B7244" s="2">
        <v>45203.0</v>
      </c>
      <c r="C7244" s="1" t="s">
        <v>14</v>
      </c>
      <c r="D7244" s="1" t="s">
        <v>21</v>
      </c>
      <c r="E7244" s="1" t="s">
        <v>22</v>
      </c>
      <c r="F7244" s="1">
        <v>480.08</v>
      </c>
      <c r="G7244" s="1">
        <v>260.38</v>
      </c>
      <c r="H7244" s="1">
        <v>2.0</v>
      </c>
      <c r="I7244" s="1" t="s">
        <v>23</v>
      </c>
      <c r="J7244" s="1" t="s">
        <v>18</v>
      </c>
      <c r="K7244" s="1">
        <f t="shared" si="1"/>
        <v>2023</v>
      </c>
      <c r="L7244" s="1" t="str">
        <f t="shared" si="2"/>
        <v>Oct</v>
      </c>
      <c r="M7244" s="1" t="str">
        <f t="shared" si="3"/>
        <v>Profit</v>
      </c>
    </row>
    <row r="7245" ht="14.25" customHeight="1">
      <c r="A7245" s="1" t="s">
        <v>7279</v>
      </c>
      <c r="B7245" s="2">
        <v>44582.0</v>
      </c>
      <c r="C7245" s="1" t="s">
        <v>14</v>
      </c>
      <c r="D7245" s="1" t="s">
        <v>21</v>
      </c>
      <c r="E7245" s="1" t="s">
        <v>22</v>
      </c>
      <c r="F7245" s="1">
        <v>430.59</v>
      </c>
      <c r="G7245" s="1">
        <v>206.35</v>
      </c>
      <c r="H7245" s="1">
        <v>1.0</v>
      </c>
      <c r="I7245" s="1" t="s">
        <v>23</v>
      </c>
      <c r="J7245" s="1" t="s">
        <v>24</v>
      </c>
      <c r="K7245" s="1">
        <f t="shared" si="1"/>
        <v>2022</v>
      </c>
      <c r="L7245" s="1" t="str">
        <f t="shared" si="2"/>
        <v>Jan</v>
      </c>
      <c r="M7245" s="1" t="str">
        <f t="shared" si="3"/>
        <v>Profit</v>
      </c>
    </row>
    <row r="7246" ht="14.25" customHeight="1">
      <c r="A7246" s="1" t="s">
        <v>7280</v>
      </c>
      <c r="B7246" s="2">
        <v>44587.0</v>
      </c>
      <c r="C7246" s="1" t="s">
        <v>14</v>
      </c>
      <c r="D7246" s="1" t="s">
        <v>21</v>
      </c>
      <c r="E7246" s="1" t="s">
        <v>76</v>
      </c>
      <c r="F7246" s="1">
        <v>82.29</v>
      </c>
      <c r="G7246" s="1">
        <v>-185.02</v>
      </c>
      <c r="H7246" s="1">
        <v>3.0</v>
      </c>
      <c r="I7246" s="1" t="s">
        <v>23</v>
      </c>
      <c r="J7246" s="1" t="s">
        <v>38</v>
      </c>
      <c r="K7246" s="1">
        <f t="shared" si="1"/>
        <v>2022</v>
      </c>
      <c r="L7246" s="1" t="str">
        <f t="shared" si="2"/>
        <v>Jan</v>
      </c>
      <c r="M7246" s="1" t="str">
        <f t="shared" si="3"/>
        <v>Loss</v>
      </c>
    </row>
    <row r="7247" ht="14.25" customHeight="1">
      <c r="A7247" s="1" t="s">
        <v>7281</v>
      </c>
      <c r="B7247" s="2">
        <v>44556.0</v>
      </c>
      <c r="C7247" s="1" t="s">
        <v>14</v>
      </c>
      <c r="D7247" s="1" t="s">
        <v>27</v>
      </c>
      <c r="E7247" s="1" t="s">
        <v>28</v>
      </c>
      <c r="F7247" s="1">
        <v>597.74</v>
      </c>
      <c r="G7247" s="1">
        <v>259.6</v>
      </c>
      <c r="H7247" s="1">
        <v>2.0</v>
      </c>
      <c r="I7247" s="1" t="s">
        <v>23</v>
      </c>
      <c r="J7247" s="1" t="s">
        <v>18</v>
      </c>
      <c r="K7247" s="1">
        <f t="shared" si="1"/>
        <v>2021</v>
      </c>
      <c r="L7247" s="1" t="str">
        <f t="shared" si="2"/>
        <v>Dec</v>
      </c>
      <c r="M7247" s="1" t="str">
        <f t="shared" si="3"/>
        <v>Profit</v>
      </c>
    </row>
    <row r="7248" ht="14.25" customHeight="1">
      <c r="A7248" s="1" t="s">
        <v>7282</v>
      </c>
      <c r="B7248" s="2">
        <v>44621.0</v>
      </c>
      <c r="C7248" s="1" t="s">
        <v>14</v>
      </c>
      <c r="D7248" s="1" t="s">
        <v>27</v>
      </c>
      <c r="E7248" s="1" t="s">
        <v>40</v>
      </c>
      <c r="F7248" s="1">
        <v>488.6</v>
      </c>
      <c r="G7248" s="1">
        <v>100.54</v>
      </c>
      <c r="H7248" s="1">
        <v>9.0</v>
      </c>
      <c r="I7248" s="1" t="s">
        <v>23</v>
      </c>
      <c r="J7248" s="1" t="s">
        <v>18</v>
      </c>
      <c r="K7248" s="1">
        <f t="shared" si="1"/>
        <v>2022</v>
      </c>
      <c r="L7248" s="1" t="str">
        <f t="shared" si="2"/>
        <v>Mar</v>
      </c>
      <c r="M7248" s="1" t="str">
        <f t="shared" si="3"/>
        <v>Profit</v>
      </c>
    </row>
    <row r="7249" ht="14.25" customHeight="1">
      <c r="A7249" s="1" t="s">
        <v>7283</v>
      </c>
      <c r="B7249" s="2">
        <v>44757.0</v>
      </c>
      <c r="C7249" s="1" t="s">
        <v>20</v>
      </c>
      <c r="D7249" s="1" t="s">
        <v>21</v>
      </c>
      <c r="E7249" s="1" t="s">
        <v>22</v>
      </c>
      <c r="F7249" s="1">
        <v>604.38</v>
      </c>
      <c r="G7249" s="1">
        <v>-24.4</v>
      </c>
      <c r="H7249" s="1">
        <v>7.0</v>
      </c>
      <c r="I7249" s="1" t="s">
        <v>23</v>
      </c>
      <c r="J7249" s="1" t="s">
        <v>24</v>
      </c>
      <c r="K7249" s="1">
        <f t="shared" si="1"/>
        <v>2022</v>
      </c>
      <c r="L7249" s="1" t="str">
        <f t="shared" si="2"/>
        <v>Jul</v>
      </c>
      <c r="M7249" s="1" t="str">
        <f t="shared" si="3"/>
        <v>Loss</v>
      </c>
    </row>
    <row r="7250" ht="14.25" customHeight="1">
      <c r="A7250" s="1" t="s">
        <v>7284</v>
      </c>
      <c r="B7250" s="2">
        <v>44727.0</v>
      </c>
      <c r="C7250" s="1" t="s">
        <v>26</v>
      </c>
      <c r="D7250" s="1" t="s">
        <v>21</v>
      </c>
      <c r="E7250" s="1" t="s">
        <v>37</v>
      </c>
      <c r="F7250" s="1">
        <v>553.08</v>
      </c>
      <c r="G7250" s="1">
        <v>56.82</v>
      </c>
      <c r="H7250" s="1">
        <v>1.0</v>
      </c>
      <c r="I7250" s="1" t="s">
        <v>34</v>
      </c>
      <c r="J7250" s="1" t="s">
        <v>38</v>
      </c>
      <c r="K7250" s="1">
        <f t="shared" si="1"/>
        <v>2022</v>
      </c>
      <c r="L7250" s="1" t="str">
        <f t="shared" si="2"/>
        <v>Jun</v>
      </c>
      <c r="M7250" s="1" t="str">
        <f t="shared" si="3"/>
        <v>Profit</v>
      </c>
    </row>
    <row r="7251" ht="14.25" customHeight="1">
      <c r="A7251" s="1" t="s">
        <v>7285</v>
      </c>
      <c r="B7251" s="2">
        <v>44397.0</v>
      </c>
      <c r="C7251" s="1" t="s">
        <v>30</v>
      </c>
      <c r="D7251" s="1" t="s">
        <v>27</v>
      </c>
      <c r="E7251" s="1" t="s">
        <v>28</v>
      </c>
      <c r="F7251" s="1">
        <v>42.3</v>
      </c>
      <c r="G7251" s="1">
        <v>-196.26</v>
      </c>
      <c r="H7251" s="1">
        <v>9.0</v>
      </c>
      <c r="I7251" s="1" t="s">
        <v>17</v>
      </c>
      <c r="J7251" s="1" t="s">
        <v>18</v>
      </c>
      <c r="K7251" s="1">
        <f t="shared" si="1"/>
        <v>2021</v>
      </c>
      <c r="L7251" s="1" t="str">
        <f t="shared" si="2"/>
        <v>Jul</v>
      </c>
      <c r="M7251" s="1" t="str">
        <f t="shared" si="3"/>
        <v>Loss</v>
      </c>
    </row>
    <row r="7252" ht="14.25" customHeight="1">
      <c r="A7252" s="1" t="s">
        <v>7286</v>
      </c>
      <c r="B7252" s="2">
        <v>44469.0</v>
      </c>
      <c r="C7252" s="1" t="s">
        <v>20</v>
      </c>
      <c r="D7252" s="1" t="s">
        <v>21</v>
      </c>
      <c r="E7252" s="1" t="s">
        <v>22</v>
      </c>
      <c r="F7252" s="1">
        <v>467.82</v>
      </c>
      <c r="G7252" s="1">
        <v>212.18</v>
      </c>
      <c r="H7252" s="1">
        <v>7.0</v>
      </c>
      <c r="I7252" s="1" t="s">
        <v>23</v>
      </c>
      <c r="J7252" s="1" t="s">
        <v>38</v>
      </c>
      <c r="K7252" s="1">
        <f t="shared" si="1"/>
        <v>2021</v>
      </c>
      <c r="L7252" s="1" t="str">
        <f t="shared" si="2"/>
        <v>Sep</v>
      </c>
      <c r="M7252" s="1" t="str">
        <f t="shared" si="3"/>
        <v>Profit</v>
      </c>
    </row>
    <row r="7253" ht="14.25" customHeight="1">
      <c r="A7253" s="1" t="s">
        <v>7287</v>
      </c>
      <c r="B7253" s="2">
        <v>44754.0</v>
      </c>
      <c r="C7253" s="1" t="s">
        <v>26</v>
      </c>
      <c r="D7253" s="1" t="s">
        <v>15</v>
      </c>
      <c r="E7253" s="1" t="s">
        <v>54</v>
      </c>
      <c r="F7253" s="1">
        <v>980.94</v>
      </c>
      <c r="G7253" s="1">
        <v>58.2</v>
      </c>
      <c r="H7253" s="1">
        <v>10.0</v>
      </c>
      <c r="I7253" s="1" t="s">
        <v>34</v>
      </c>
      <c r="J7253" s="1" t="s">
        <v>35</v>
      </c>
      <c r="K7253" s="1">
        <f t="shared" si="1"/>
        <v>2022</v>
      </c>
      <c r="L7253" s="1" t="str">
        <f t="shared" si="2"/>
        <v>Jul</v>
      </c>
      <c r="M7253" s="1" t="str">
        <f t="shared" si="3"/>
        <v>Profit</v>
      </c>
    </row>
    <row r="7254" ht="14.25" customHeight="1">
      <c r="A7254" s="1" t="s">
        <v>7288</v>
      </c>
      <c r="B7254" s="2">
        <v>44390.0</v>
      </c>
      <c r="C7254" s="1" t="s">
        <v>20</v>
      </c>
      <c r="D7254" s="1" t="s">
        <v>15</v>
      </c>
      <c r="E7254" s="1" t="s">
        <v>54</v>
      </c>
      <c r="F7254" s="1">
        <v>813.73</v>
      </c>
      <c r="G7254" s="1">
        <v>297.2</v>
      </c>
      <c r="H7254" s="1">
        <v>8.0</v>
      </c>
      <c r="I7254" s="1" t="s">
        <v>34</v>
      </c>
      <c r="J7254" s="1" t="s">
        <v>38</v>
      </c>
      <c r="K7254" s="1">
        <f t="shared" si="1"/>
        <v>2021</v>
      </c>
      <c r="L7254" s="1" t="str">
        <f t="shared" si="2"/>
        <v>Jul</v>
      </c>
      <c r="M7254" s="1" t="str">
        <f t="shared" si="3"/>
        <v>Profit</v>
      </c>
    </row>
    <row r="7255" ht="14.25" customHeight="1">
      <c r="A7255" s="1" t="s">
        <v>7289</v>
      </c>
      <c r="B7255" s="2">
        <v>45235.0</v>
      </c>
      <c r="C7255" s="1" t="s">
        <v>30</v>
      </c>
      <c r="D7255" s="1" t="s">
        <v>21</v>
      </c>
      <c r="E7255" s="1" t="s">
        <v>37</v>
      </c>
      <c r="F7255" s="1">
        <v>607.47</v>
      </c>
      <c r="G7255" s="1">
        <v>-155.16</v>
      </c>
      <c r="H7255" s="1">
        <v>9.0</v>
      </c>
      <c r="I7255" s="1" t="s">
        <v>17</v>
      </c>
      <c r="J7255" s="1" t="s">
        <v>24</v>
      </c>
      <c r="K7255" s="1">
        <f t="shared" si="1"/>
        <v>2023</v>
      </c>
      <c r="L7255" s="1" t="str">
        <f t="shared" si="2"/>
        <v>Nov</v>
      </c>
      <c r="M7255" s="1" t="str">
        <f t="shared" si="3"/>
        <v>Loss</v>
      </c>
    </row>
    <row r="7256" ht="14.25" customHeight="1">
      <c r="A7256" s="1" t="s">
        <v>7290</v>
      </c>
      <c r="B7256" s="2">
        <v>44632.0</v>
      </c>
      <c r="C7256" s="1" t="s">
        <v>30</v>
      </c>
      <c r="D7256" s="1" t="s">
        <v>27</v>
      </c>
      <c r="E7256" s="1" t="s">
        <v>28</v>
      </c>
      <c r="F7256" s="1">
        <v>75.79</v>
      </c>
      <c r="G7256" s="1">
        <v>197.75</v>
      </c>
      <c r="H7256" s="1">
        <v>9.0</v>
      </c>
      <c r="I7256" s="1" t="s">
        <v>23</v>
      </c>
      <c r="J7256" s="1" t="s">
        <v>24</v>
      </c>
      <c r="K7256" s="1">
        <f t="shared" si="1"/>
        <v>2022</v>
      </c>
      <c r="L7256" s="1" t="str">
        <f t="shared" si="2"/>
        <v>Mar</v>
      </c>
      <c r="M7256" s="1" t="str">
        <f t="shared" si="3"/>
        <v>Profit</v>
      </c>
    </row>
    <row r="7257" ht="14.25" customHeight="1">
      <c r="A7257" s="1" t="s">
        <v>7291</v>
      </c>
      <c r="B7257" s="2">
        <v>45212.0</v>
      </c>
      <c r="C7257" s="1" t="s">
        <v>14</v>
      </c>
      <c r="D7257" s="1" t="s">
        <v>27</v>
      </c>
      <c r="E7257" s="1" t="s">
        <v>33</v>
      </c>
      <c r="F7257" s="1">
        <v>658.48</v>
      </c>
      <c r="G7257" s="1">
        <v>25.75</v>
      </c>
      <c r="H7257" s="1">
        <v>6.0</v>
      </c>
      <c r="I7257" s="1" t="s">
        <v>34</v>
      </c>
      <c r="J7257" s="1" t="s">
        <v>24</v>
      </c>
      <c r="K7257" s="1">
        <f t="shared" si="1"/>
        <v>2023</v>
      </c>
      <c r="L7257" s="1" t="str">
        <f t="shared" si="2"/>
        <v>Oct</v>
      </c>
      <c r="M7257" s="1" t="str">
        <f t="shared" si="3"/>
        <v>Profit</v>
      </c>
    </row>
    <row r="7258" ht="14.25" customHeight="1">
      <c r="A7258" s="1" t="s">
        <v>7292</v>
      </c>
      <c r="B7258" s="2">
        <v>45119.0</v>
      </c>
      <c r="C7258" s="1" t="s">
        <v>26</v>
      </c>
      <c r="D7258" s="1" t="s">
        <v>15</v>
      </c>
      <c r="E7258" s="1" t="s">
        <v>16</v>
      </c>
      <c r="F7258" s="1">
        <v>926.4</v>
      </c>
      <c r="G7258" s="1">
        <v>-184.27</v>
      </c>
      <c r="H7258" s="1">
        <v>9.0</v>
      </c>
      <c r="I7258" s="1" t="s">
        <v>34</v>
      </c>
      <c r="J7258" s="1" t="s">
        <v>35</v>
      </c>
      <c r="K7258" s="1">
        <f t="shared" si="1"/>
        <v>2023</v>
      </c>
      <c r="L7258" s="1" t="str">
        <f t="shared" si="2"/>
        <v>Jul</v>
      </c>
      <c r="M7258" s="1" t="str">
        <f t="shared" si="3"/>
        <v>Loss</v>
      </c>
    </row>
    <row r="7259" ht="14.25" customHeight="1">
      <c r="A7259" s="1" t="s">
        <v>7293</v>
      </c>
      <c r="B7259" s="2">
        <v>44453.0</v>
      </c>
      <c r="C7259" s="1" t="s">
        <v>14</v>
      </c>
      <c r="D7259" s="1" t="s">
        <v>27</v>
      </c>
      <c r="E7259" s="1" t="s">
        <v>28</v>
      </c>
      <c r="F7259" s="1">
        <v>489.48</v>
      </c>
      <c r="G7259" s="1">
        <v>-93.65</v>
      </c>
      <c r="H7259" s="1">
        <v>1.0</v>
      </c>
      <c r="I7259" s="1" t="s">
        <v>34</v>
      </c>
      <c r="J7259" s="1" t="s">
        <v>35</v>
      </c>
      <c r="K7259" s="1">
        <f t="shared" si="1"/>
        <v>2021</v>
      </c>
      <c r="L7259" s="1" t="str">
        <f t="shared" si="2"/>
        <v>Sep</v>
      </c>
      <c r="M7259" s="1" t="str">
        <f t="shared" si="3"/>
        <v>Loss</v>
      </c>
    </row>
    <row r="7260" ht="14.25" customHeight="1">
      <c r="A7260" s="1" t="s">
        <v>7294</v>
      </c>
      <c r="B7260" s="2">
        <v>44734.0</v>
      </c>
      <c r="C7260" s="1" t="s">
        <v>14</v>
      </c>
      <c r="D7260" s="1" t="s">
        <v>21</v>
      </c>
      <c r="E7260" s="1" t="s">
        <v>37</v>
      </c>
      <c r="F7260" s="1">
        <v>134.89</v>
      </c>
      <c r="G7260" s="1">
        <v>193.92</v>
      </c>
      <c r="H7260" s="1">
        <v>9.0</v>
      </c>
      <c r="I7260" s="1" t="s">
        <v>23</v>
      </c>
      <c r="J7260" s="1" t="s">
        <v>18</v>
      </c>
      <c r="K7260" s="1">
        <f t="shared" si="1"/>
        <v>2022</v>
      </c>
      <c r="L7260" s="1" t="str">
        <f t="shared" si="2"/>
        <v>Jun</v>
      </c>
      <c r="M7260" s="1" t="str">
        <f t="shared" si="3"/>
        <v>Profit</v>
      </c>
    </row>
    <row r="7261" ht="14.25" customHeight="1">
      <c r="A7261" s="1" t="s">
        <v>7295</v>
      </c>
      <c r="B7261" s="2">
        <v>44921.0</v>
      </c>
      <c r="C7261" s="1" t="s">
        <v>20</v>
      </c>
      <c r="D7261" s="1" t="s">
        <v>15</v>
      </c>
      <c r="E7261" s="1" t="s">
        <v>54</v>
      </c>
      <c r="F7261" s="1">
        <v>575.12</v>
      </c>
      <c r="G7261" s="1">
        <v>-86.19</v>
      </c>
      <c r="H7261" s="1">
        <v>1.0</v>
      </c>
      <c r="I7261" s="1" t="s">
        <v>23</v>
      </c>
      <c r="J7261" s="1" t="s">
        <v>35</v>
      </c>
      <c r="K7261" s="1">
        <f t="shared" si="1"/>
        <v>2022</v>
      </c>
      <c r="L7261" s="1" t="str">
        <f t="shared" si="2"/>
        <v>Dec</v>
      </c>
      <c r="M7261" s="1" t="str">
        <f t="shared" si="3"/>
        <v>Loss</v>
      </c>
    </row>
    <row r="7262" ht="14.25" customHeight="1">
      <c r="A7262" s="1" t="s">
        <v>7296</v>
      </c>
      <c r="B7262" s="2">
        <v>44672.0</v>
      </c>
      <c r="C7262" s="1" t="s">
        <v>14</v>
      </c>
      <c r="D7262" s="1" t="s">
        <v>15</v>
      </c>
      <c r="E7262" s="1" t="s">
        <v>31</v>
      </c>
      <c r="F7262" s="1">
        <v>29.37</v>
      </c>
      <c r="G7262" s="1">
        <v>-118.9</v>
      </c>
      <c r="H7262" s="1">
        <v>6.0</v>
      </c>
      <c r="I7262" s="1" t="s">
        <v>23</v>
      </c>
      <c r="J7262" s="1" t="s">
        <v>35</v>
      </c>
      <c r="K7262" s="1">
        <f t="shared" si="1"/>
        <v>2022</v>
      </c>
      <c r="L7262" s="1" t="str">
        <f t="shared" si="2"/>
        <v>Apr</v>
      </c>
      <c r="M7262" s="1" t="str">
        <f t="shared" si="3"/>
        <v>Loss</v>
      </c>
    </row>
    <row r="7263" ht="14.25" customHeight="1">
      <c r="A7263" s="1" t="s">
        <v>7297</v>
      </c>
      <c r="B7263" s="2">
        <v>44272.0</v>
      </c>
      <c r="C7263" s="1" t="s">
        <v>26</v>
      </c>
      <c r="D7263" s="1" t="s">
        <v>27</v>
      </c>
      <c r="E7263" s="1" t="s">
        <v>33</v>
      </c>
      <c r="F7263" s="1">
        <v>917.92</v>
      </c>
      <c r="G7263" s="1">
        <v>145.36</v>
      </c>
      <c r="H7263" s="1">
        <v>7.0</v>
      </c>
      <c r="I7263" s="1" t="s">
        <v>23</v>
      </c>
      <c r="J7263" s="1" t="s">
        <v>18</v>
      </c>
      <c r="K7263" s="1">
        <f t="shared" si="1"/>
        <v>2021</v>
      </c>
      <c r="L7263" s="1" t="str">
        <f t="shared" si="2"/>
        <v>Mar</v>
      </c>
      <c r="M7263" s="1" t="str">
        <f t="shared" si="3"/>
        <v>Profit</v>
      </c>
    </row>
    <row r="7264" ht="14.25" customHeight="1">
      <c r="A7264" s="1" t="s">
        <v>7298</v>
      </c>
      <c r="B7264" s="2">
        <v>44800.0</v>
      </c>
      <c r="C7264" s="1" t="s">
        <v>20</v>
      </c>
      <c r="D7264" s="1" t="s">
        <v>27</v>
      </c>
      <c r="E7264" s="1" t="s">
        <v>28</v>
      </c>
      <c r="F7264" s="1">
        <v>528.22</v>
      </c>
      <c r="G7264" s="1">
        <v>59.71</v>
      </c>
      <c r="H7264" s="1">
        <v>9.0</v>
      </c>
      <c r="I7264" s="1" t="s">
        <v>23</v>
      </c>
      <c r="J7264" s="1" t="s">
        <v>24</v>
      </c>
      <c r="K7264" s="1">
        <f t="shared" si="1"/>
        <v>2022</v>
      </c>
      <c r="L7264" s="1" t="str">
        <f t="shared" si="2"/>
        <v>Aug</v>
      </c>
      <c r="M7264" s="1" t="str">
        <f t="shared" si="3"/>
        <v>Profit</v>
      </c>
    </row>
    <row r="7265" ht="14.25" customHeight="1">
      <c r="A7265" s="1" t="s">
        <v>7299</v>
      </c>
      <c r="B7265" s="2">
        <v>44266.0</v>
      </c>
      <c r="C7265" s="1" t="s">
        <v>20</v>
      </c>
      <c r="D7265" s="1" t="s">
        <v>27</v>
      </c>
      <c r="E7265" s="1" t="s">
        <v>28</v>
      </c>
      <c r="F7265" s="1">
        <v>969.55</v>
      </c>
      <c r="G7265" s="1">
        <v>-174.84</v>
      </c>
      <c r="H7265" s="1">
        <v>1.0</v>
      </c>
      <c r="I7265" s="1" t="s">
        <v>34</v>
      </c>
      <c r="J7265" s="1" t="s">
        <v>18</v>
      </c>
      <c r="K7265" s="1">
        <f t="shared" si="1"/>
        <v>2021</v>
      </c>
      <c r="L7265" s="1" t="str">
        <f t="shared" si="2"/>
        <v>Mar</v>
      </c>
      <c r="M7265" s="1" t="str">
        <f t="shared" si="3"/>
        <v>Loss</v>
      </c>
    </row>
    <row r="7266" ht="14.25" customHeight="1">
      <c r="A7266" s="1" t="s">
        <v>7300</v>
      </c>
      <c r="B7266" s="2">
        <v>44481.0</v>
      </c>
      <c r="C7266" s="1" t="s">
        <v>30</v>
      </c>
      <c r="D7266" s="1" t="s">
        <v>27</v>
      </c>
      <c r="E7266" s="1" t="s">
        <v>28</v>
      </c>
      <c r="F7266" s="1">
        <v>631.68</v>
      </c>
      <c r="G7266" s="1">
        <v>267.06</v>
      </c>
      <c r="H7266" s="1">
        <v>7.0</v>
      </c>
      <c r="I7266" s="1" t="s">
        <v>17</v>
      </c>
      <c r="J7266" s="1" t="s">
        <v>38</v>
      </c>
      <c r="K7266" s="1">
        <f t="shared" si="1"/>
        <v>2021</v>
      </c>
      <c r="L7266" s="1" t="str">
        <f t="shared" si="2"/>
        <v>Oct</v>
      </c>
      <c r="M7266" s="1" t="str">
        <f t="shared" si="3"/>
        <v>Profit</v>
      </c>
    </row>
    <row r="7267" ht="14.25" customHeight="1">
      <c r="A7267" s="1" t="s">
        <v>7301</v>
      </c>
      <c r="B7267" s="2">
        <v>44998.0</v>
      </c>
      <c r="C7267" s="1" t="s">
        <v>20</v>
      </c>
      <c r="D7267" s="1" t="s">
        <v>21</v>
      </c>
      <c r="E7267" s="1" t="s">
        <v>37</v>
      </c>
      <c r="F7267" s="1">
        <v>302.7</v>
      </c>
      <c r="G7267" s="1">
        <v>174.88</v>
      </c>
      <c r="H7267" s="1">
        <v>8.0</v>
      </c>
      <c r="I7267" s="1" t="s">
        <v>17</v>
      </c>
      <c r="J7267" s="1" t="s">
        <v>18</v>
      </c>
      <c r="K7267" s="1">
        <f t="shared" si="1"/>
        <v>2023</v>
      </c>
      <c r="L7267" s="1" t="str">
        <f t="shared" si="2"/>
        <v>Mar</v>
      </c>
      <c r="M7267" s="1" t="str">
        <f t="shared" si="3"/>
        <v>Profit</v>
      </c>
    </row>
    <row r="7268" ht="14.25" customHeight="1">
      <c r="A7268" s="1" t="s">
        <v>7302</v>
      </c>
      <c r="B7268" s="2">
        <v>44387.0</v>
      </c>
      <c r="C7268" s="1" t="s">
        <v>14</v>
      </c>
      <c r="D7268" s="1" t="s">
        <v>27</v>
      </c>
      <c r="E7268" s="1" t="s">
        <v>33</v>
      </c>
      <c r="F7268" s="1">
        <v>179.98</v>
      </c>
      <c r="G7268" s="1">
        <v>246.69</v>
      </c>
      <c r="H7268" s="1">
        <v>3.0</v>
      </c>
      <c r="I7268" s="1" t="s">
        <v>17</v>
      </c>
      <c r="J7268" s="1" t="s">
        <v>35</v>
      </c>
      <c r="K7268" s="1">
        <f t="shared" si="1"/>
        <v>2021</v>
      </c>
      <c r="L7268" s="1" t="str">
        <f t="shared" si="2"/>
        <v>Jul</v>
      </c>
      <c r="M7268" s="1" t="str">
        <f t="shared" si="3"/>
        <v>Profit</v>
      </c>
    </row>
    <row r="7269" ht="14.25" customHeight="1">
      <c r="A7269" s="1" t="s">
        <v>7303</v>
      </c>
      <c r="B7269" s="2">
        <v>45027.0</v>
      </c>
      <c r="C7269" s="1" t="s">
        <v>30</v>
      </c>
      <c r="D7269" s="1" t="s">
        <v>27</v>
      </c>
      <c r="E7269" s="1" t="s">
        <v>28</v>
      </c>
      <c r="F7269" s="1">
        <v>815.35</v>
      </c>
      <c r="G7269" s="1">
        <v>-38.2</v>
      </c>
      <c r="H7269" s="1">
        <v>10.0</v>
      </c>
      <c r="I7269" s="1" t="s">
        <v>23</v>
      </c>
      <c r="J7269" s="1" t="s">
        <v>38</v>
      </c>
      <c r="K7269" s="1">
        <f t="shared" si="1"/>
        <v>2023</v>
      </c>
      <c r="L7269" s="1" t="str">
        <f t="shared" si="2"/>
        <v>Apr</v>
      </c>
      <c r="M7269" s="1" t="str">
        <f t="shared" si="3"/>
        <v>Loss</v>
      </c>
    </row>
    <row r="7270" ht="14.25" customHeight="1">
      <c r="A7270" s="1" t="s">
        <v>7304</v>
      </c>
      <c r="B7270" s="2">
        <v>44662.0</v>
      </c>
      <c r="C7270" s="1" t="s">
        <v>20</v>
      </c>
      <c r="D7270" s="1" t="s">
        <v>15</v>
      </c>
      <c r="E7270" s="1" t="s">
        <v>31</v>
      </c>
      <c r="F7270" s="1">
        <v>643.6</v>
      </c>
      <c r="G7270" s="1">
        <v>245.34</v>
      </c>
      <c r="H7270" s="1">
        <v>8.0</v>
      </c>
      <c r="I7270" s="1" t="s">
        <v>17</v>
      </c>
      <c r="J7270" s="1" t="s">
        <v>24</v>
      </c>
      <c r="K7270" s="1">
        <f t="shared" si="1"/>
        <v>2022</v>
      </c>
      <c r="L7270" s="1" t="str">
        <f t="shared" si="2"/>
        <v>Apr</v>
      </c>
      <c r="M7270" s="1" t="str">
        <f t="shared" si="3"/>
        <v>Profit</v>
      </c>
    </row>
    <row r="7271" ht="14.25" customHeight="1">
      <c r="A7271" s="1" t="s">
        <v>7305</v>
      </c>
      <c r="B7271" s="2">
        <v>44749.0</v>
      </c>
      <c r="C7271" s="1" t="s">
        <v>30</v>
      </c>
      <c r="D7271" s="1" t="s">
        <v>15</v>
      </c>
      <c r="E7271" s="1" t="s">
        <v>31</v>
      </c>
      <c r="F7271" s="1">
        <v>436.49</v>
      </c>
      <c r="G7271" s="1">
        <v>-133.38</v>
      </c>
      <c r="H7271" s="1">
        <v>3.0</v>
      </c>
      <c r="I7271" s="1" t="s">
        <v>23</v>
      </c>
      <c r="J7271" s="1" t="s">
        <v>35</v>
      </c>
      <c r="K7271" s="1">
        <f t="shared" si="1"/>
        <v>2022</v>
      </c>
      <c r="L7271" s="1" t="str">
        <f t="shared" si="2"/>
        <v>Jul</v>
      </c>
      <c r="M7271" s="1" t="str">
        <f t="shared" si="3"/>
        <v>Loss</v>
      </c>
    </row>
    <row r="7272" ht="14.25" customHeight="1">
      <c r="A7272" s="1" t="s">
        <v>7306</v>
      </c>
      <c r="B7272" s="2">
        <v>44372.0</v>
      </c>
      <c r="C7272" s="1" t="s">
        <v>20</v>
      </c>
      <c r="D7272" s="1" t="s">
        <v>27</v>
      </c>
      <c r="E7272" s="1" t="s">
        <v>40</v>
      </c>
      <c r="F7272" s="1">
        <v>456.78</v>
      </c>
      <c r="G7272" s="1">
        <v>270.0</v>
      </c>
      <c r="H7272" s="1">
        <v>2.0</v>
      </c>
      <c r="I7272" s="1" t="s">
        <v>17</v>
      </c>
      <c r="J7272" s="1" t="s">
        <v>38</v>
      </c>
      <c r="K7272" s="1">
        <f t="shared" si="1"/>
        <v>2021</v>
      </c>
      <c r="L7272" s="1" t="str">
        <f t="shared" si="2"/>
        <v>Jun</v>
      </c>
      <c r="M7272" s="1" t="str">
        <f t="shared" si="3"/>
        <v>Profit</v>
      </c>
    </row>
    <row r="7273" ht="14.25" customHeight="1">
      <c r="A7273" s="1" t="s">
        <v>7307</v>
      </c>
      <c r="B7273" s="2">
        <v>44689.0</v>
      </c>
      <c r="C7273" s="1" t="s">
        <v>26</v>
      </c>
      <c r="D7273" s="1" t="s">
        <v>27</v>
      </c>
      <c r="E7273" s="1" t="s">
        <v>40</v>
      </c>
      <c r="F7273" s="1">
        <v>403.49</v>
      </c>
      <c r="G7273" s="1">
        <v>115.47</v>
      </c>
      <c r="H7273" s="1">
        <v>3.0</v>
      </c>
      <c r="I7273" s="1" t="s">
        <v>23</v>
      </c>
      <c r="J7273" s="1" t="s">
        <v>24</v>
      </c>
      <c r="K7273" s="1">
        <f t="shared" si="1"/>
        <v>2022</v>
      </c>
      <c r="L7273" s="1" t="str">
        <f t="shared" si="2"/>
        <v>May</v>
      </c>
      <c r="M7273" s="1" t="str">
        <f t="shared" si="3"/>
        <v>Profit</v>
      </c>
    </row>
    <row r="7274" ht="14.25" customHeight="1">
      <c r="A7274" s="1" t="s">
        <v>7308</v>
      </c>
      <c r="B7274" s="2">
        <v>44367.0</v>
      </c>
      <c r="C7274" s="1" t="s">
        <v>14</v>
      </c>
      <c r="D7274" s="1" t="s">
        <v>27</v>
      </c>
      <c r="E7274" s="1" t="s">
        <v>40</v>
      </c>
      <c r="F7274" s="1">
        <v>290.39</v>
      </c>
      <c r="G7274" s="1">
        <v>198.82</v>
      </c>
      <c r="H7274" s="1">
        <v>7.0</v>
      </c>
      <c r="I7274" s="1" t="s">
        <v>17</v>
      </c>
      <c r="J7274" s="1" t="s">
        <v>35</v>
      </c>
      <c r="K7274" s="1">
        <f t="shared" si="1"/>
        <v>2021</v>
      </c>
      <c r="L7274" s="1" t="str">
        <f t="shared" si="2"/>
        <v>Jun</v>
      </c>
      <c r="M7274" s="1" t="str">
        <f t="shared" si="3"/>
        <v>Profit</v>
      </c>
    </row>
    <row r="7275" ht="14.25" customHeight="1">
      <c r="A7275" s="1" t="s">
        <v>7309</v>
      </c>
      <c r="B7275" s="2">
        <v>44401.0</v>
      </c>
      <c r="C7275" s="1" t="s">
        <v>30</v>
      </c>
      <c r="D7275" s="1" t="s">
        <v>21</v>
      </c>
      <c r="E7275" s="1" t="s">
        <v>22</v>
      </c>
      <c r="F7275" s="1">
        <v>678.61</v>
      </c>
      <c r="G7275" s="1">
        <v>-15.72</v>
      </c>
      <c r="H7275" s="1">
        <v>10.0</v>
      </c>
      <c r="I7275" s="1" t="s">
        <v>34</v>
      </c>
      <c r="J7275" s="1" t="s">
        <v>35</v>
      </c>
      <c r="K7275" s="1">
        <f t="shared" si="1"/>
        <v>2021</v>
      </c>
      <c r="L7275" s="1" t="str">
        <f t="shared" si="2"/>
        <v>Jul</v>
      </c>
      <c r="M7275" s="1" t="str">
        <f t="shared" si="3"/>
        <v>Loss</v>
      </c>
    </row>
    <row r="7276" ht="14.25" customHeight="1">
      <c r="A7276" s="1" t="s">
        <v>7310</v>
      </c>
      <c r="B7276" s="2">
        <v>44723.0</v>
      </c>
      <c r="C7276" s="1" t="s">
        <v>14</v>
      </c>
      <c r="D7276" s="1" t="s">
        <v>15</v>
      </c>
      <c r="E7276" s="1" t="s">
        <v>31</v>
      </c>
      <c r="F7276" s="1">
        <v>498.04</v>
      </c>
      <c r="G7276" s="1">
        <v>178.73</v>
      </c>
      <c r="H7276" s="1">
        <v>1.0</v>
      </c>
      <c r="I7276" s="1" t="s">
        <v>17</v>
      </c>
      <c r="J7276" s="1" t="s">
        <v>35</v>
      </c>
      <c r="K7276" s="1">
        <f t="shared" si="1"/>
        <v>2022</v>
      </c>
      <c r="L7276" s="1" t="str">
        <f t="shared" si="2"/>
        <v>Jun</v>
      </c>
      <c r="M7276" s="1" t="str">
        <f t="shared" si="3"/>
        <v>Profit</v>
      </c>
    </row>
    <row r="7277" ht="14.25" customHeight="1">
      <c r="A7277" s="1" t="s">
        <v>7311</v>
      </c>
      <c r="B7277" s="2">
        <v>44328.0</v>
      </c>
      <c r="C7277" s="1" t="s">
        <v>14</v>
      </c>
      <c r="D7277" s="1" t="s">
        <v>15</v>
      </c>
      <c r="E7277" s="1" t="s">
        <v>54</v>
      </c>
      <c r="F7277" s="1">
        <v>865.82</v>
      </c>
      <c r="G7277" s="1">
        <v>-93.16</v>
      </c>
      <c r="H7277" s="1">
        <v>10.0</v>
      </c>
      <c r="I7277" s="1" t="s">
        <v>34</v>
      </c>
      <c r="J7277" s="1" t="s">
        <v>35</v>
      </c>
      <c r="K7277" s="1">
        <f t="shared" si="1"/>
        <v>2021</v>
      </c>
      <c r="L7277" s="1" t="str">
        <f t="shared" si="2"/>
        <v>May</v>
      </c>
      <c r="M7277" s="1" t="str">
        <f t="shared" si="3"/>
        <v>Loss</v>
      </c>
    </row>
    <row r="7278" ht="14.25" customHeight="1">
      <c r="A7278" s="1" t="s">
        <v>7312</v>
      </c>
      <c r="B7278" s="2">
        <v>44708.0</v>
      </c>
      <c r="C7278" s="1" t="s">
        <v>30</v>
      </c>
      <c r="D7278" s="1" t="s">
        <v>27</v>
      </c>
      <c r="E7278" s="1" t="s">
        <v>28</v>
      </c>
      <c r="F7278" s="1">
        <v>444.4</v>
      </c>
      <c r="G7278" s="1">
        <v>145.2</v>
      </c>
      <c r="H7278" s="1">
        <v>7.0</v>
      </c>
      <c r="I7278" s="1" t="s">
        <v>23</v>
      </c>
      <c r="J7278" s="1" t="s">
        <v>18</v>
      </c>
      <c r="K7278" s="1">
        <f t="shared" si="1"/>
        <v>2022</v>
      </c>
      <c r="L7278" s="1" t="str">
        <f t="shared" si="2"/>
        <v>May</v>
      </c>
      <c r="M7278" s="1" t="str">
        <f t="shared" si="3"/>
        <v>Profit</v>
      </c>
    </row>
    <row r="7279" ht="14.25" customHeight="1">
      <c r="A7279" s="1" t="s">
        <v>7313</v>
      </c>
      <c r="B7279" s="2">
        <v>44690.0</v>
      </c>
      <c r="C7279" s="1" t="s">
        <v>26</v>
      </c>
      <c r="D7279" s="1" t="s">
        <v>27</v>
      </c>
      <c r="E7279" s="1" t="s">
        <v>40</v>
      </c>
      <c r="F7279" s="1">
        <v>500.75</v>
      </c>
      <c r="G7279" s="1">
        <v>-20.03</v>
      </c>
      <c r="H7279" s="1">
        <v>6.0</v>
      </c>
      <c r="I7279" s="1" t="s">
        <v>34</v>
      </c>
      <c r="J7279" s="1" t="s">
        <v>18</v>
      </c>
      <c r="K7279" s="1">
        <f t="shared" si="1"/>
        <v>2022</v>
      </c>
      <c r="L7279" s="1" t="str">
        <f t="shared" si="2"/>
        <v>May</v>
      </c>
      <c r="M7279" s="1" t="str">
        <f t="shared" si="3"/>
        <v>Loss</v>
      </c>
    </row>
    <row r="7280" ht="14.25" customHeight="1">
      <c r="A7280" s="1" t="s">
        <v>7314</v>
      </c>
      <c r="B7280" s="2">
        <v>44913.0</v>
      </c>
      <c r="C7280" s="1" t="s">
        <v>20</v>
      </c>
      <c r="D7280" s="1" t="s">
        <v>21</v>
      </c>
      <c r="E7280" s="1" t="s">
        <v>37</v>
      </c>
      <c r="F7280" s="1">
        <v>646.65</v>
      </c>
      <c r="G7280" s="1">
        <v>74.57</v>
      </c>
      <c r="H7280" s="1">
        <v>1.0</v>
      </c>
      <c r="I7280" s="1" t="s">
        <v>17</v>
      </c>
      <c r="J7280" s="1" t="s">
        <v>24</v>
      </c>
      <c r="K7280" s="1">
        <f t="shared" si="1"/>
        <v>2022</v>
      </c>
      <c r="L7280" s="1" t="str">
        <f t="shared" si="2"/>
        <v>Dec</v>
      </c>
      <c r="M7280" s="1" t="str">
        <f t="shared" si="3"/>
        <v>Profit</v>
      </c>
    </row>
    <row r="7281" ht="14.25" customHeight="1">
      <c r="A7281" s="1" t="s">
        <v>7315</v>
      </c>
      <c r="B7281" s="2">
        <v>44272.0</v>
      </c>
      <c r="C7281" s="1" t="s">
        <v>20</v>
      </c>
      <c r="D7281" s="1" t="s">
        <v>21</v>
      </c>
      <c r="E7281" s="1" t="s">
        <v>22</v>
      </c>
      <c r="F7281" s="1">
        <v>343.01</v>
      </c>
      <c r="G7281" s="1">
        <v>-43.53</v>
      </c>
      <c r="H7281" s="1">
        <v>10.0</v>
      </c>
      <c r="I7281" s="1" t="s">
        <v>23</v>
      </c>
      <c r="J7281" s="1" t="s">
        <v>24</v>
      </c>
      <c r="K7281" s="1">
        <f t="shared" si="1"/>
        <v>2021</v>
      </c>
      <c r="L7281" s="1" t="str">
        <f t="shared" si="2"/>
        <v>Mar</v>
      </c>
      <c r="M7281" s="1" t="str">
        <f t="shared" si="3"/>
        <v>Loss</v>
      </c>
    </row>
    <row r="7282" ht="14.25" customHeight="1">
      <c r="A7282" s="1" t="s">
        <v>7316</v>
      </c>
      <c r="B7282" s="2">
        <v>44538.0</v>
      </c>
      <c r="C7282" s="1" t="s">
        <v>14</v>
      </c>
      <c r="D7282" s="1" t="s">
        <v>27</v>
      </c>
      <c r="E7282" s="1" t="s">
        <v>40</v>
      </c>
      <c r="F7282" s="1">
        <v>24.98</v>
      </c>
      <c r="G7282" s="1">
        <v>6.71</v>
      </c>
      <c r="H7282" s="1">
        <v>1.0</v>
      </c>
      <c r="I7282" s="1" t="s">
        <v>23</v>
      </c>
      <c r="J7282" s="1" t="s">
        <v>24</v>
      </c>
      <c r="K7282" s="1">
        <f t="shared" si="1"/>
        <v>2021</v>
      </c>
      <c r="L7282" s="1" t="str">
        <f t="shared" si="2"/>
        <v>Dec</v>
      </c>
      <c r="M7282" s="1" t="str">
        <f t="shared" si="3"/>
        <v>Profit</v>
      </c>
    </row>
    <row r="7283" ht="14.25" customHeight="1">
      <c r="A7283" s="1" t="s">
        <v>7317</v>
      </c>
      <c r="B7283" s="2">
        <v>44210.0</v>
      </c>
      <c r="C7283" s="1" t="s">
        <v>20</v>
      </c>
      <c r="D7283" s="1" t="s">
        <v>27</v>
      </c>
      <c r="E7283" s="1" t="s">
        <v>28</v>
      </c>
      <c r="F7283" s="1">
        <v>214.19</v>
      </c>
      <c r="G7283" s="1">
        <v>-61.07</v>
      </c>
      <c r="H7283" s="1">
        <v>10.0</v>
      </c>
      <c r="I7283" s="1" t="s">
        <v>34</v>
      </c>
      <c r="J7283" s="1" t="s">
        <v>38</v>
      </c>
      <c r="K7283" s="1">
        <f t="shared" si="1"/>
        <v>2021</v>
      </c>
      <c r="L7283" s="1" t="str">
        <f t="shared" si="2"/>
        <v>Jan</v>
      </c>
      <c r="M7283" s="1" t="str">
        <f t="shared" si="3"/>
        <v>Loss</v>
      </c>
    </row>
    <row r="7284" ht="14.25" customHeight="1">
      <c r="A7284" s="1" t="s">
        <v>7318</v>
      </c>
      <c r="B7284" s="2">
        <v>44430.0</v>
      </c>
      <c r="C7284" s="1" t="s">
        <v>14</v>
      </c>
      <c r="D7284" s="1" t="s">
        <v>21</v>
      </c>
      <c r="E7284" s="1" t="s">
        <v>37</v>
      </c>
      <c r="F7284" s="1">
        <v>540.33</v>
      </c>
      <c r="G7284" s="1">
        <v>82.08</v>
      </c>
      <c r="H7284" s="1">
        <v>9.0</v>
      </c>
      <c r="I7284" s="1" t="s">
        <v>34</v>
      </c>
      <c r="J7284" s="1" t="s">
        <v>35</v>
      </c>
      <c r="K7284" s="1">
        <f t="shared" si="1"/>
        <v>2021</v>
      </c>
      <c r="L7284" s="1" t="str">
        <f t="shared" si="2"/>
        <v>Aug</v>
      </c>
      <c r="M7284" s="1" t="str">
        <f t="shared" si="3"/>
        <v>Profit</v>
      </c>
    </row>
    <row r="7285" ht="14.25" customHeight="1">
      <c r="A7285" s="1" t="s">
        <v>7319</v>
      </c>
      <c r="B7285" s="2">
        <v>44737.0</v>
      </c>
      <c r="C7285" s="1" t="s">
        <v>30</v>
      </c>
      <c r="D7285" s="1" t="s">
        <v>21</v>
      </c>
      <c r="E7285" s="1" t="s">
        <v>37</v>
      </c>
      <c r="F7285" s="1">
        <v>890.05</v>
      </c>
      <c r="G7285" s="1">
        <v>76.75</v>
      </c>
      <c r="H7285" s="1">
        <v>4.0</v>
      </c>
      <c r="I7285" s="1" t="s">
        <v>23</v>
      </c>
      <c r="J7285" s="1" t="s">
        <v>24</v>
      </c>
      <c r="K7285" s="1">
        <f t="shared" si="1"/>
        <v>2022</v>
      </c>
      <c r="L7285" s="1" t="str">
        <f t="shared" si="2"/>
        <v>Jun</v>
      </c>
      <c r="M7285" s="1" t="str">
        <f t="shared" si="3"/>
        <v>Profit</v>
      </c>
    </row>
    <row r="7286" ht="14.25" customHeight="1">
      <c r="A7286" s="1" t="s">
        <v>7320</v>
      </c>
      <c r="B7286" s="2">
        <v>44355.0</v>
      </c>
      <c r="C7286" s="1" t="s">
        <v>26</v>
      </c>
      <c r="D7286" s="1" t="s">
        <v>27</v>
      </c>
      <c r="E7286" s="1" t="s">
        <v>28</v>
      </c>
      <c r="F7286" s="1">
        <v>500.62</v>
      </c>
      <c r="G7286" s="1">
        <v>134.64</v>
      </c>
      <c r="H7286" s="1">
        <v>7.0</v>
      </c>
      <c r="I7286" s="1" t="s">
        <v>23</v>
      </c>
      <c r="J7286" s="1" t="s">
        <v>35</v>
      </c>
      <c r="K7286" s="1">
        <f t="shared" si="1"/>
        <v>2021</v>
      </c>
      <c r="L7286" s="1" t="str">
        <f t="shared" si="2"/>
        <v>Jun</v>
      </c>
      <c r="M7286" s="1" t="str">
        <f t="shared" si="3"/>
        <v>Profit</v>
      </c>
    </row>
    <row r="7287" ht="14.25" customHeight="1">
      <c r="A7287" s="1" t="s">
        <v>7321</v>
      </c>
      <c r="B7287" s="2">
        <v>44536.0</v>
      </c>
      <c r="C7287" s="1" t="s">
        <v>26</v>
      </c>
      <c r="D7287" s="1" t="s">
        <v>15</v>
      </c>
      <c r="E7287" s="1" t="s">
        <v>54</v>
      </c>
      <c r="F7287" s="1">
        <v>324.7</v>
      </c>
      <c r="G7287" s="1">
        <v>266.87</v>
      </c>
      <c r="H7287" s="1">
        <v>1.0</v>
      </c>
      <c r="I7287" s="1" t="s">
        <v>17</v>
      </c>
      <c r="J7287" s="1" t="s">
        <v>24</v>
      </c>
      <c r="K7287" s="1">
        <f t="shared" si="1"/>
        <v>2021</v>
      </c>
      <c r="L7287" s="1" t="str">
        <f t="shared" si="2"/>
        <v>Dec</v>
      </c>
      <c r="M7287" s="1" t="str">
        <f t="shared" si="3"/>
        <v>Profit</v>
      </c>
    </row>
    <row r="7288" ht="14.25" customHeight="1">
      <c r="A7288" s="1" t="s">
        <v>7322</v>
      </c>
      <c r="B7288" s="2">
        <v>44735.0</v>
      </c>
      <c r="C7288" s="1" t="s">
        <v>26</v>
      </c>
      <c r="D7288" s="1" t="s">
        <v>15</v>
      </c>
      <c r="E7288" s="1" t="s">
        <v>16</v>
      </c>
      <c r="F7288" s="1">
        <v>705.29</v>
      </c>
      <c r="G7288" s="1">
        <v>97.06</v>
      </c>
      <c r="H7288" s="1">
        <v>1.0</v>
      </c>
      <c r="I7288" s="1" t="s">
        <v>34</v>
      </c>
      <c r="J7288" s="1" t="s">
        <v>35</v>
      </c>
      <c r="K7288" s="1">
        <f t="shared" si="1"/>
        <v>2022</v>
      </c>
      <c r="L7288" s="1" t="str">
        <f t="shared" si="2"/>
        <v>Jun</v>
      </c>
      <c r="M7288" s="1" t="str">
        <f t="shared" si="3"/>
        <v>Profit</v>
      </c>
    </row>
    <row r="7289" ht="14.25" customHeight="1">
      <c r="A7289" s="1" t="s">
        <v>7323</v>
      </c>
      <c r="B7289" s="2">
        <v>44378.0</v>
      </c>
      <c r="C7289" s="1" t="s">
        <v>14</v>
      </c>
      <c r="D7289" s="1" t="s">
        <v>21</v>
      </c>
      <c r="E7289" s="1" t="s">
        <v>37</v>
      </c>
      <c r="F7289" s="1">
        <v>523.51</v>
      </c>
      <c r="G7289" s="1">
        <v>30.75</v>
      </c>
      <c r="H7289" s="1">
        <v>3.0</v>
      </c>
      <c r="I7289" s="1" t="s">
        <v>17</v>
      </c>
      <c r="J7289" s="1" t="s">
        <v>24</v>
      </c>
      <c r="K7289" s="1">
        <f t="shared" si="1"/>
        <v>2021</v>
      </c>
      <c r="L7289" s="1" t="str">
        <f t="shared" si="2"/>
        <v>Jul</v>
      </c>
      <c r="M7289" s="1" t="str">
        <f t="shared" si="3"/>
        <v>Profit</v>
      </c>
    </row>
    <row r="7290" ht="14.25" customHeight="1">
      <c r="A7290" s="1" t="s">
        <v>7324</v>
      </c>
      <c r="B7290" s="2">
        <v>44635.0</v>
      </c>
      <c r="C7290" s="1" t="s">
        <v>14</v>
      </c>
      <c r="D7290" s="1" t="s">
        <v>21</v>
      </c>
      <c r="E7290" s="1" t="s">
        <v>76</v>
      </c>
      <c r="F7290" s="1">
        <v>872.83</v>
      </c>
      <c r="G7290" s="1">
        <v>-42.67</v>
      </c>
      <c r="H7290" s="1">
        <v>7.0</v>
      </c>
      <c r="I7290" s="1" t="s">
        <v>34</v>
      </c>
      <c r="J7290" s="1" t="s">
        <v>38</v>
      </c>
      <c r="K7290" s="1">
        <f t="shared" si="1"/>
        <v>2022</v>
      </c>
      <c r="L7290" s="1" t="str">
        <f t="shared" si="2"/>
        <v>Mar</v>
      </c>
      <c r="M7290" s="1" t="str">
        <f t="shared" si="3"/>
        <v>Loss</v>
      </c>
    </row>
    <row r="7291" ht="14.25" customHeight="1">
      <c r="A7291" s="1" t="s">
        <v>7325</v>
      </c>
      <c r="B7291" s="2">
        <v>44682.0</v>
      </c>
      <c r="C7291" s="1" t="s">
        <v>30</v>
      </c>
      <c r="D7291" s="1" t="s">
        <v>21</v>
      </c>
      <c r="E7291" s="1" t="s">
        <v>76</v>
      </c>
      <c r="F7291" s="1">
        <v>915.54</v>
      </c>
      <c r="G7291" s="1">
        <v>-48.22</v>
      </c>
      <c r="H7291" s="1">
        <v>3.0</v>
      </c>
      <c r="I7291" s="1" t="s">
        <v>17</v>
      </c>
      <c r="J7291" s="1" t="s">
        <v>35</v>
      </c>
      <c r="K7291" s="1">
        <f t="shared" si="1"/>
        <v>2022</v>
      </c>
      <c r="L7291" s="1" t="str">
        <f t="shared" si="2"/>
        <v>May</v>
      </c>
      <c r="M7291" s="1" t="str">
        <f t="shared" si="3"/>
        <v>Loss</v>
      </c>
    </row>
    <row r="7292" ht="14.25" customHeight="1">
      <c r="A7292" s="1" t="s">
        <v>7326</v>
      </c>
      <c r="B7292" s="2">
        <v>44413.0</v>
      </c>
      <c r="C7292" s="1" t="s">
        <v>30</v>
      </c>
      <c r="D7292" s="1" t="s">
        <v>21</v>
      </c>
      <c r="E7292" s="1" t="s">
        <v>37</v>
      </c>
      <c r="F7292" s="1">
        <v>310.59</v>
      </c>
      <c r="G7292" s="1">
        <v>-149.81</v>
      </c>
      <c r="H7292" s="1">
        <v>1.0</v>
      </c>
      <c r="I7292" s="1" t="s">
        <v>17</v>
      </c>
      <c r="J7292" s="1" t="s">
        <v>18</v>
      </c>
      <c r="K7292" s="1">
        <f t="shared" si="1"/>
        <v>2021</v>
      </c>
      <c r="L7292" s="1" t="str">
        <f t="shared" si="2"/>
        <v>Aug</v>
      </c>
      <c r="M7292" s="1" t="str">
        <f t="shared" si="3"/>
        <v>Loss</v>
      </c>
    </row>
    <row r="7293" ht="14.25" customHeight="1">
      <c r="A7293" s="1" t="s">
        <v>7327</v>
      </c>
      <c r="B7293" s="2">
        <v>44197.0</v>
      </c>
      <c r="C7293" s="1" t="s">
        <v>26</v>
      </c>
      <c r="D7293" s="1" t="s">
        <v>15</v>
      </c>
      <c r="E7293" s="1" t="s">
        <v>16</v>
      </c>
      <c r="F7293" s="1">
        <v>405.37</v>
      </c>
      <c r="G7293" s="1">
        <v>8.33</v>
      </c>
      <c r="H7293" s="1">
        <v>8.0</v>
      </c>
      <c r="I7293" s="1" t="s">
        <v>17</v>
      </c>
      <c r="J7293" s="1" t="s">
        <v>35</v>
      </c>
      <c r="K7293" s="1">
        <f t="shared" si="1"/>
        <v>2021</v>
      </c>
      <c r="L7293" s="1" t="str">
        <f t="shared" si="2"/>
        <v>Jan</v>
      </c>
      <c r="M7293" s="1" t="str">
        <f t="shared" si="3"/>
        <v>Profit</v>
      </c>
    </row>
    <row r="7294" ht="14.25" customHeight="1">
      <c r="A7294" s="1" t="s">
        <v>7328</v>
      </c>
      <c r="B7294" s="2">
        <v>44240.0</v>
      </c>
      <c r="C7294" s="1" t="s">
        <v>26</v>
      </c>
      <c r="D7294" s="1" t="s">
        <v>15</v>
      </c>
      <c r="E7294" s="1" t="s">
        <v>16</v>
      </c>
      <c r="F7294" s="1">
        <v>499.82</v>
      </c>
      <c r="G7294" s="1">
        <v>-91.69</v>
      </c>
      <c r="H7294" s="1">
        <v>1.0</v>
      </c>
      <c r="I7294" s="1" t="s">
        <v>17</v>
      </c>
      <c r="J7294" s="1" t="s">
        <v>38</v>
      </c>
      <c r="K7294" s="1">
        <f t="shared" si="1"/>
        <v>2021</v>
      </c>
      <c r="L7294" s="1" t="str">
        <f t="shared" si="2"/>
        <v>Feb</v>
      </c>
      <c r="M7294" s="1" t="str">
        <f t="shared" si="3"/>
        <v>Loss</v>
      </c>
    </row>
    <row r="7295" ht="14.25" customHeight="1">
      <c r="A7295" s="1" t="s">
        <v>7329</v>
      </c>
      <c r="B7295" s="2">
        <v>45253.0</v>
      </c>
      <c r="C7295" s="1" t="s">
        <v>14</v>
      </c>
      <c r="D7295" s="1" t="s">
        <v>21</v>
      </c>
      <c r="E7295" s="1" t="s">
        <v>76</v>
      </c>
      <c r="F7295" s="1">
        <v>707.18</v>
      </c>
      <c r="G7295" s="1">
        <v>-40.51</v>
      </c>
      <c r="H7295" s="1">
        <v>8.0</v>
      </c>
      <c r="I7295" s="1" t="s">
        <v>23</v>
      </c>
      <c r="J7295" s="1" t="s">
        <v>24</v>
      </c>
      <c r="K7295" s="1">
        <f t="shared" si="1"/>
        <v>2023</v>
      </c>
      <c r="L7295" s="1" t="str">
        <f t="shared" si="2"/>
        <v>Nov</v>
      </c>
      <c r="M7295" s="1" t="str">
        <f t="shared" si="3"/>
        <v>Loss</v>
      </c>
    </row>
    <row r="7296" ht="14.25" customHeight="1">
      <c r="A7296" s="1" t="s">
        <v>7330</v>
      </c>
      <c r="B7296" s="2">
        <v>45244.0</v>
      </c>
      <c r="C7296" s="1" t="s">
        <v>14</v>
      </c>
      <c r="D7296" s="1" t="s">
        <v>15</v>
      </c>
      <c r="E7296" s="1" t="s">
        <v>31</v>
      </c>
      <c r="F7296" s="1">
        <v>774.04</v>
      </c>
      <c r="G7296" s="1">
        <v>140.63</v>
      </c>
      <c r="H7296" s="1">
        <v>8.0</v>
      </c>
      <c r="I7296" s="1" t="s">
        <v>17</v>
      </c>
      <c r="J7296" s="1" t="s">
        <v>24</v>
      </c>
      <c r="K7296" s="1">
        <f t="shared" si="1"/>
        <v>2023</v>
      </c>
      <c r="L7296" s="1" t="str">
        <f t="shared" si="2"/>
        <v>Nov</v>
      </c>
      <c r="M7296" s="1" t="str">
        <f t="shared" si="3"/>
        <v>Profit</v>
      </c>
    </row>
    <row r="7297" ht="14.25" customHeight="1">
      <c r="A7297" s="1" t="s">
        <v>7331</v>
      </c>
      <c r="B7297" s="2">
        <v>44960.0</v>
      </c>
      <c r="C7297" s="1" t="s">
        <v>26</v>
      </c>
      <c r="D7297" s="1" t="s">
        <v>15</v>
      </c>
      <c r="E7297" s="1" t="s">
        <v>31</v>
      </c>
      <c r="F7297" s="1">
        <v>808.85</v>
      </c>
      <c r="G7297" s="1">
        <v>140.41</v>
      </c>
      <c r="H7297" s="1">
        <v>9.0</v>
      </c>
      <c r="I7297" s="1" t="s">
        <v>17</v>
      </c>
      <c r="J7297" s="1" t="s">
        <v>24</v>
      </c>
      <c r="K7297" s="1">
        <f t="shared" si="1"/>
        <v>2023</v>
      </c>
      <c r="L7297" s="1" t="str">
        <f t="shared" si="2"/>
        <v>Feb</v>
      </c>
      <c r="M7297" s="1" t="str">
        <f t="shared" si="3"/>
        <v>Profit</v>
      </c>
    </row>
    <row r="7298" ht="14.25" customHeight="1">
      <c r="A7298" s="1" t="s">
        <v>7332</v>
      </c>
      <c r="B7298" s="2">
        <v>44496.0</v>
      </c>
      <c r="C7298" s="1" t="s">
        <v>26</v>
      </c>
      <c r="D7298" s="1" t="s">
        <v>21</v>
      </c>
      <c r="E7298" s="1" t="s">
        <v>22</v>
      </c>
      <c r="F7298" s="1">
        <v>885.79</v>
      </c>
      <c r="G7298" s="1">
        <v>-54.04</v>
      </c>
      <c r="H7298" s="1">
        <v>5.0</v>
      </c>
      <c r="I7298" s="1" t="s">
        <v>17</v>
      </c>
      <c r="J7298" s="1" t="s">
        <v>35</v>
      </c>
      <c r="K7298" s="1">
        <f t="shared" si="1"/>
        <v>2021</v>
      </c>
      <c r="L7298" s="1" t="str">
        <f t="shared" si="2"/>
        <v>Oct</v>
      </c>
      <c r="M7298" s="1" t="str">
        <f t="shared" si="3"/>
        <v>Loss</v>
      </c>
    </row>
    <row r="7299" ht="14.25" customHeight="1">
      <c r="A7299" s="1" t="s">
        <v>7333</v>
      </c>
      <c r="B7299" s="2">
        <v>44481.0</v>
      </c>
      <c r="C7299" s="1" t="s">
        <v>20</v>
      </c>
      <c r="D7299" s="1" t="s">
        <v>27</v>
      </c>
      <c r="E7299" s="1" t="s">
        <v>40</v>
      </c>
      <c r="F7299" s="1">
        <v>109.31</v>
      </c>
      <c r="G7299" s="1">
        <v>24.25</v>
      </c>
      <c r="H7299" s="1">
        <v>8.0</v>
      </c>
      <c r="I7299" s="1" t="s">
        <v>17</v>
      </c>
      <c r="J7299" s="1" t="s">
        <v>18</v>
      </c>
      <c r="K7299" s="1">
        <f t="shared" si="1"/>
        <v>2021</v>
      </c>
      <c r="L7299" s="1" t="str">
        <f t="shared" si="2"/>
        <v>Oct</v>
      </c>
      <c r="M7299" s="1" t="str">
        <f t="shared" si="3"/>
        <v>Profit</v>
      </c>
    </row>
    <row r="7300" ht="14.25" customHeight="1">
      <c r="A7300" s="1" t="s">
        <v>7334</v>
      </c>
      <c r="B7300" s="2">
        <v>44450.0</v>
      </c>
      <c r="C7300" s="1" t="s">
        <v>14</v>
      </c>
      <c r="D7300" s="1" t="s">
        <v>27</v>
      </c>
      <c r="E7300" s="1" t="s">
        <v>40</v>
      </c>
      <c r="F7300" s="1">
        <v>581.61</v>
      </c>
      <c r="G7300" s="1">
        <v>100.99</v>
      </c>
      <c r="H7300" s="1">
        <v>2.0</v>
      </c>
      <c r="I7300" s="1" t="s">
        <v>34</v>
      </c>
      <c r="J7300" s="1" t="s">
        <v>35</v>
      </c>
      <c r="K7300" s="1">
        <f t="shared" si="1"/>
        <v>2021</v>
      </c>
      <c r="L7300" s="1" t="str">
        <f t="shared" si="2"/>
        <v>Sep</v>
      </c>
      <c r="M7300" s="1" t="str">
        <f t="shared" si="3"/>
        <v>Profit</v>
      </c>
    </row>
    <row r="7301" ht="14.25" customHeight="1">
      <c r="A7301" s="1" t="s">
        <v>7335</v>
      </c>
      <c r="B7301" s="2">
        <v>44475.0</v>
      </c>
      <c r="C7301" s="1" t="s">
        <v>30</v>
      </c>
      <c r="D7301" s="1" t="s">
        <v>15</v>
      </c>
      <c r="E7301" s="1" t="s">
        <v>16</v>
      </c>
      <c r="F7301" s="1">
        <v>543.99</v>
      </c>
      <c r="G7301" s="1">
        <v>-61.75</v>
      </c>
      <c r="H7301" s="1">
        <v>7.0</v>
      </c>
      <c r="I7301" s="1" t="s">
        <v>23</v>
      </c>
      <c r="J7301" s="1" t="s">
        <v>18</v>
      </c>
      <c r="K7301" s="1">
        <f t="shared" si="1"/>
        <v>2021</v>
      </c>
      <c r="L7301" s="1" t="str">
        <f t="shared" si="2"/>
        <v>Oct</v>
      </c>
      <c r="M7301" s="1" t="str">
        <f t="shared" si="3"/>
        <v>Loss</v>
      </c>
    </row>
    <row r="7302" ht="14.25" customHeight="1">
      <c r="A7302" s="1" t="s">
        <v>7336</v>
      </c>
      <c r="B7302" s="2">
        <v>45052.0</v>
      </c>
      <c r="C7302" s="1" t="s">
        <v>20</v>
      </c>
      <c r="D7302" s="1" t="s">
        <v>21</v>
      </c>
      <c r="E7302" s="1" t="s">
        <v>22</v>
      </c>
      <c r="F7302" s="1">
        <v>430.02</v>
      </c>
      <c r="G7302" s="1">
        <v>138.86</v>
      </c>
      <c r="H7302" s="1">
        <v>10.0</v>
      </c>
      <c r="I7302" s="1" t="s">
        <v>34</v>
      </c>
      <c r="J7302" s="1" t="s">
        <v>38</v>
      </c>
      <c r="K7302" s="1">
        <f t="shared" si="1"/>
        <v>2023</v>
      </c>
      <c r="L7302" s="1" t="str">
        <f t="shared" si="2"/>
        <v>May</v>
      </c>
      <c r="M7302" s="1" t="str">
        <f t="shared" si="3"/>
        <v>Profit</v>
      </c>
    </row>
    <row r="7303" ht="14.25" customHeight="1">
      <c r="A7303" s="1" t="s">
        <v>7337</v>
      </c>
      <c r="B7303" s="2">
        <v>44924.0</v>
      </c>
      <c r="C7303" s="1" t="s">
        <v>20</v>
      </c>
      <c r="D7303" s="1" t="s">
        <v>21</v>
      </c>
      <c r="E7303" s="1" t="s">
        <v>22</v>
      </c>
      <c r="F7303" s="1">
        <v>926.37</v>
      </c>
      <c r="G7303" s="1">
        <v>264.22</v>
      </c>
      <c r="H7303" s="1">
        <v>9.0</v>
      </c>
      <c r="I7303" s="1" t="s">
        <v>17</v>
      </c>
      <c r="J7303" s="1" t="s">
        <v>38</v>
      </c>
      <c r="K7303" s="1">
        <f t="shared" si="1"/>
        <v>2022</v>
      </c>
      <c r="L7303" s="1" t="str">
        <f t="shared" si="2"/>
        <v>Dec</v>
      </c>
      <c r="M7303" s="1" t="str">
        <f t="shared" si="3"/>
        <v>Profit</v>
      </c>
    </row>
    <row r="7304" ht="14.25" customHeight="1">
      <c r="A7304" s="1" t="s">
        <v>7338</v>
      </c>
      <c r="B7304" s="2">
        <v>44451.0</v>
      </c>
      <c r="C7304" s="1" t="s">
        <v>26</v>
      </c>
      <c r="D7304" s="1" t="s">
        <v>15</v>
      </c>
      <c r="E7304" s="1" t="s">
        <v>16</v>
      </c>
      <c r="F7304" s="1">
        <v>882.29</v>
      </c>
      <c r="G7304" s="1">
        <v>244.92</v>
      </c>
      <c r="H7304" s="1">
        <v>5.0</v>
      </c>
      <c r="I7304" s="1" t="s">
        <v>17</v>
      </c>
      <c r="J7304" s="1" t="s">
        <v>18</v>
      </c>
      <c r="K7304" s="1">
        <f t="shared" si="1"/>
        <v>2021</v>
      </c>
      <c r="L7304" s="1" t="str">
        <f t="shared" si="2"/>
        <v>Sep</v>
      </c>
      <c r="M7304" s="1" t="str">
        <f t="shared" si="3"/>
        <v>Profit</v>
      </c>
    </row>
    <row r="7305" ht="14.25" customHeight="1">
      <c r="A7305" s="1" t="s">
        <v>7339</v>
      </c>
      <c r="B7305" s="2">
        <v>44451.0</v>
      </c>
      <c r="C7305" s="1" t="s">
        <v>26</v>
      </c>
      <c r="D7305" s="1" t="s">
        <v>21</v>
      </c>
      <c r="E7305" s="1" t="s">
        <v>22</v>
      </c>
      <c r="F7305" s="1">
        <v>889.97</v>
      </c>
      <c r="G7305" s="1">
        <v>138.39</v>
      </c>
      <c r="H7305" s="1">
        <v>8.0</v>
      </c>
      <c r="I7305" s="1" t="s">
        <v>17</v>
      </c>
      <c r="J7305" s="1" t="s">
        <v>18</v>
      </c>
      <c r="K7305" s="1">
        <f t="shared" si="1"/>
        <v>2021</v>
      </c>
      <c r="L7305" s="1" t="str">
        <f t="shared" si="2"/>
        <v>Sep</v>
      </c>
      <c r="M7305" s="1" t="str">
        <f t="shared" si="3"/>
        <v>Profit</v>
      </c>
    </row>
    <row r="7306" ht="14.25" customHeight="1">
      <c r="A7306" s="1" t="s">
        <v>7340</v>
      </c>
      <c r="B7306" s="2">
        <v>44633.0</v>
      </c>
      <c r="C7306" s="1" t="s">
        <v>30</v>
      </c>
      <c r="D7306" s="1" t="s">
        <v>15</v>
      </c>
      <c r="E7306" s="1" t="s">
        <v>31</v>
      </c>
      <c r="F7306" s="1">
        <v>577.1</v>
      </c>
      <c r="G7306" s="1">
        <v>99.06</v>
      </c>
      <c r="H7306" s="1">
        <v>7.0</v>
      </c>
      <c r="I7306" s="1" t="s">
        <v>17</v>
      </c>
      <c r="J7306" s="1" t="s">
        <v>18</v>
      </c>
      <c r="K7306" s="1">
        <f t="shared" si="1"/>
        <v>2022</v>
      </c>
      <c r="L7306" s="1" t="str">
        <f t="shared" si="2"/>
        <v>Mar</v>
      </c>
      <c r="M7306" s="1" t="str">
        <f t="shared" si="3"/>
        <v>Profit</v>
      </c>
    </row>
    <row r="7307" ht="14.25" customHeight="1">
      <c r="A7307" s="1" t="s">
        <v>7341</v>
      </c>
      <c r="B7307" s="2">
        <v>44306.0</v>
      </c>
      <c r="C7307" s="1" t="s">
        <v>20</v>
      </c>
      <c r="D7307" s="1" t="s">
        <v>15</v>
      </c>
      <c r="E7307" s="1" t="s">
        <v>31</v>
      </c>
      <c r="F7307" s="1">
        <v>666.16</v>
      </c>
      <c r="G7307" s="1">
        <v>-39.14</v>
      </c>
      <c r="H7307" s="1">
        <v>7.0</v>
      </c>
      <c r="I7307" s="1" t="s">
        <v>23</v>
      </c>
      <c r="J7307" s="1" t="s">
        <v>18</v>
      </c>
      <c r="K7307" s="1">
        <f t="shared" si="1"/>
        <v>2021</v>
      </c>
      <c r="L7307" s="1" t="str">
        <f t="shared" si="2"/>
        <v>Apr</v>
      </c>
      <c r="M7307" s="1" t="str">
        <f t="shared" si="3"/>
        <v>Loss</v>
      </c>
    </row>
    <row r="7308" ht="14.25" customHeight="1">
      <c r="A7308" s="1" t="s">
        <v>7342</v>
      </c>
      <c r="B7308" s="2">
        <v>44348.0</v>
      </c>
      <c r="C7308" s="1" t="s">
        <v>14</v>
      </c>
      <c r="D7308" s="1" t="s">
        <v>15</v>
      </c>
      <c r="E7308" s="1" t="s">
        <v>31</v>
      </c>
      <c r="F7308" s="1">
        <v>69.17</v>
      </c>
      <c r="G7308" s="1">
        <v>-182.57</v>
      </c>
      <c r="H7308" s="1">
        <v>2.0</v>
      </c>
      <c r="I7308" s="1" t="s">
        <v>34</v>
      </c>
      <c r="J7308" s="1" t="s">
        <v>24</v>
      </c>
      <c r="K7308" s="1">
        <f t="shared" si="1"/>
        <v>2021</v>
      </c>
      <c r="L7308" s="1" t="str">
        <f t="shared" si="2"/>
        <v>Jun</v>
      </c>
      <c r="M7308" s="1" t="str">
        <f t="shared" si="3"/>
        <v>Loss</v>
      </c>
    </row>
    <row r="7309" ht="14.25" customHeight="1">
      <c r="A7309" s="1" t="s">
        <v>7343</v>
      </c>
      <c r="B7309" s="2">
        <v>44396.0</v>
      </c>
      <c r="C7309" s="1" t="s">
        <v>20</v>
      </c>
      <c r="D7309" s="1" t="s">
        <v>21</v>
      </c>
      <c r="E7309" s="1" t="s">
        <v>37</v>
      </c>
      <c r="F7309" s="1">
        <v>572.21</v>
      </c>
      <c r="G7309" s="1">
        <v>-96.83</v>
      </c>
      <c r="H7309" s="1">
        <v>8.0</v>
      </c>
      <c r="I7309" s="1" t="s">
        <v>17</v>
      </c>
      <c r="J7309" s="1" t="s">
        <v>24</v>
      </c>
      <c r="K7309" s="1">
        <f t="shared" si="1"/>
        <v>2021</v>
      </c>
      <c r="L7309" s="1" t="str">
        <f t="shared" si="2"/>
        <v>Jul</v>
      </c>
      <c r="M7309" s="1" t="str">
        <f t="shared" si="3"/>
        <v>Loss</v>
      </c>
    </row>
    <row r="7310" ht="14.25" customHeight="1">
      <c r="A7310" s="1" t="s">
        <v>7344</v>
      </c>
      <c r="B7310" s="2">
        <v>44641.0</v>
      </c>
      <c r="C7310" s="1" t="s">
        <v>26</v>
      </c>
      <c r="D7310" s="1" t="s">
        <v>21</v>
      </c>
      <c r="E7310" s="1" t="s">
        <v>37</v>
      </c>
      <c r="F7310" s="1">
        <v>823.61</v>
      </c>
      <c r="G7310" s="1">
        <v>27.53</v>
      </c>
      <c r="H7310" s="1">
        <v>10.0</v>
      </c>
      <c r="I7310" s="1" t="s">
        <v>17</v>
      </c>
      <c r="J7310" s="1" t="s">
        <v>38</v>
      </c>
      <c r="K7310" s="1">
        <f t="shared" si="1"/>
        <v>2022</v>
      </c>
      <c r="L7310" s="1" t="str">
        <f t="shared" si="2"/>
        <v>Mar</v>
      </c>
      <c r="M7310" s="1" t="str">
        <f t="shared" si="3"/>
        <v>Profit</v>
      </c>
    </row>
    <row r="7311" ht="14.25" customHeight="1">
      <c r="A7311" s="1" t="s">
        <v>7345</v>
      </c>
      <c r="B7311" s="2">
        <v>44228.0</v>
      </c>
      <c r="C7311" s="1" t="s">
        <v>20</v>
      </c>
      <c r="D7311" s="1" t="s">
        <v>15</v>
      </c>
      <c r="E7311" s="1" t="s">
        <v>54</v>
      </c>
      <c r="F7311" s="1">
        <v>28.44</v>
      </c>
      <c r="G7311" s="1">
        <v>289.25</v>
      </c>
      <c r="H7311" s="1">
        <v>6.0</v>
      </c>
      <c r="I7311" s="1" t="s">
        <v>23</v>
      </c>
      <c r="J7311" s="1" t="s">
        <v>35</v>
      </c>
      <c r="K7311" s="1">
        <f t="shared" si="1"/>
        <v>2021</v>
      </c>
      <c r="L7311" s="1" t="str">
        <f t="shared" si="2"/>
        <v>Feb</v>
      </c>
      <c r="M7311" s="1" t="str">
        <f t="shared" si="3"/>
        <v>Profit</v>
      </c>
    </row>
    <row r="7312" ht="14.25" customHeight="1">
      <c r="A7312" s="1" t="s">
        <v>7346</v>
      </c>
      <c r="B7312" s="2">
        <v>44390.0</v>
      </c>
      <c r="C7312" s="1" t="s">
        <v>30</v>
      </c>
      <c r="D7312" s="1" t="s">
        <v>15</v>
      </c>
      <c r="E7312" s="1" t="s">
        <v>54</v>
      </c>
      <c r="F7312" s="1">
        <v>92.42</v>
      </c>
      <c r="G7312" s="1">
        <v>147.32</v>
      </c>
      <c r="H7312" s="1">
        <v>10.0</v>
      </c>
      <c r="I7312" s="1" t="s">
        <v>34</v>
      </c>
      <c r="J7312" s="1" t="s">
        <v>35</v>
      </c>
      <c r="K7312" s="1">
        <f t="shared" si="1"/>
        <v>2021</v>
      </c>
      <c r="L7312" s="1" t="str">
        <f t="shared" si="2"/>
        <v>Jul</v>
      </c>
      <c r="M7312" s="1" t="str">
        <f t="shared" si="3"/>
        <v>Profit</v>
      </c>
    </row>
    <row r="7313" ht="14.25" customHeight="1">
      <c r="A7313" s="1" t="s">
        <v>7347</v>
      </c>
      <c r="B7313" s="2">
        <v>44302.0</v>
      </c>
      <c r="C7313" s="1" t="s">
        <v>26</v>
      </c>
      <c r="D7313" s="1" t="s">
        <v>27</v>
      </c>
      <c r="E7313" s="1" t="s">
        <v>28</v>
      </c>
      <c r="F7313" s="1">
        <v>992.38</v>
      </c>
      <c r="G7313" s="1">
        <v>112.45</v>
      </c>
      <c r="H7313" s="1">
        <v>5.0</v>
      </c>
      <c r="I7313" s="1" t="s">
        <v>17</v>
      </c>
      <c r="J7313" s="1" t="s">
        <v>24</v>
      </c>
      <c r="K7313" s="1">
        <f t="shared" si="1"/>
        <v>2021</v>
      </c>
      <c r="L7313" s="1" t="str">
        <f t="shared" si="2"/>
        <v>Apr</v>
      </c>
      <c r="M7313" s="1" t="str">
        <f t="shared" si="3"/>
        <v>Profit</v>
      </c>
    </row>
    <row r="7314" ht="14.25" customHeight="1">
      <c r="A7314" s="1" t="s">
        <v>7348</v>
      </c>
      <c r="B7314" s="2">
        <v>44286.0</v>
      </c>
      <c r="C7314" s="1" t="s">
        <v>26</v>
      </c>
      <c r="D7314" s="1" t="s">
        <v>21</v>
      </c>
      <c r="E7314" s="1" t="s">
        <v>76</v>
      </c>
      <c r="F7314" s="1">
        <v>680.73</v>
      </c>
      <c r="G7314" s="1">
        <v>65.26</v>
      </c>
      <c r="H7314" s="1">
        <v>3.0</v>
      </c>
      <c r="I7314" s="1" t="s">
        <v>23</v>
      </c>
      <c r="J7314" s="1" t="s">
        <v>18</v>
      </c>
      <c r="K7314" s="1">
        <f t="shared" si="1"/>
        <v>2021</v>
      </c>
      <c r="L7314" s="1" t="str">
        <f t="shared" si="2"/>
        <v>Mar</v>
      </c>
      <c r="M7314" s="1" t="str">
        <f t="shared" si="3"/>
        <v>Profit</v>
      </c>
    </row>
    <row r="7315" ht="14.25" customHeight="1">
      <c r="A7315" s="1" t="s">
        <v>7349</v>
      </c>
      <c r="B7315" s="2">
        <v>44204.0</v>
      </c>
      <c r="C7315" s="1" t="s">
        <v>26</v>
      </c>
      <c r="D7315" s="1" t="s">
        <v>21</v>
      </c>
      <c r="E7315" s="1" t="s">
        <v>37</v>
      </c>
      <c r="F7315" s="1">
        <v>98.42</v>
      </c>
      <c r="G7315" s="1">
        <v>235.75</v>
      </c>
      <c r="H7315" s="1">
        <v>1.0</v>
      </c>
      <c r="I7315" s="1" t="s">
        <v>17</v>
      </c>
      <c r="J7315" s="1" t="s">
        <v>18</v>
      </c>
      <c r="K7315" s="1">
        <f t="shared" si="1"/>
        <v>2021</v>
      </c>
      <c r="L7315" s="1" t="str">
        <f t="shared" si="2"/>
        <v>Jan</v>
      </c>
      <c r="M7315" s="1" t="str">
        <f t="shared" si="3"/>
        <v>Profit</v>
      </c>
    </row>
    <row r="7316" ht="14.25" customHeight="1">
      <c r="A7316" s="1" t="s">
        <v>7350</v>
      </c>
      <c r="B7316" s="2">
        <v>45244.0</v>
      </c>
      <c r="C7316" s="1" t="s">
        <v>26</v>
      </c>
      <c r="D7316" s="1" t="s">
        <v>27</v>
      </c>
      <c r="E7316" s="1" t="s">
        <v>33</v>
      </c>
      <c r="F7316" s="1">
        <v>339.37</v>
      </c>
      <c r="G7316" s="1">
        <v>-123.13</v>
      </c>
      <c r="H7316" s="1">
        <v>4.0</v>
      </c>
      <c r="I7316" s="1" t="s">
        <v>17</v>
      </c>
      <c r="J7316" s="1" t="s">
        <v>35</v>
      </c>
      <c r="K7316" s="1">
        <f t="shared" si="1"/>
        <v>2023</v>
      </c>
      <c r="L7316" s="1" t="str">
        <f t="shared" si="2"/>
        <v>Nov</v>
      </c>
      <c r="M7316" s="1" t="str">
        <f t="shared" si="3"/>
        <v>Loss</v>
      </c>
    </row>
    <row r="7317" ht="14.25" customHeight="1">
      <c r="A7317" s="1" t="s">
        <v>7351</v>
      </c>
      <c r="B7317" s="2">
        <v>45262.0</v>
      </c>
      <c r="C7317" s="1" t="s">
        <v>26</v>
      </c>
      <c r="D7317" s="1" t="s">
        <v>27</v>
      </c>
      <c r="E7317" s="1" t="s">
        <v>33</v>
      </c>
      <c r="F7317" s="1">
        <v>158.08</v>
      </c>
      <c r="G7317" s="1">
        <v>-35.14</v>
      </c>
      <c r="H7317" s="1">
        <v>4.0</v>
      </c>
      <c r="I7317" s="1" t="s">
        <v>23</v>
      </c>
      <c r="J7317" s="1" t="s">
        <v>38</v>
      </c>
      <c r="K7317" s="1">
        <f t="shared" si="1"/>
        <v>2023</v>
      </c>
      <c r="L7317" s="1" t="str">
        <f t="shared" si="2"/>
        <v>Dec</v>
      </c>
      <c r="M7317" s="1" t="str">
        <f t="shared" si="3"/>
        <v>Loss</v>
      </c>
    </row>
    <row r="7318" ht="14.25" customHeight="1">
      <c r="A7318" s="1" t="s">
        <v>7352</v>
      </c>
      <c r="B7318" s="2">
        <v>45192.0</v>
      </c>
      <c r="C7318" s="1" t="s">
        <v>30</v>
      </c>
      <c r="D7318" s="1" t="s">
        <v>27</v>
      </c>
      <c r="E7318" s="1" t="s">
        <v>33</v>
      </c>
      <c r="F7318" s="1">
        <v>714.29</v>
      </c>
      <c r="G7318" s="1">
        <v>-107.56</v>
      </c>
      <c r="H7318" s="1">
        <v>5.0</v>
      </c>
      <c r="I7318" s="1" t="s">
        <v>23</v>
      </c>
      <c r="J7318" s="1" t="s">
        <v>38</v>
      </c>
      <c r="K7318" s="1">
        <f t="shared" si="1"/>
        <v>2023</v>
      </c>
      <c r="L7318" s="1" t="str">
        <f t="shared" si="2"/>
        <v>Sep</v>
      </c>
      <c r="M7318" s="1" t="str">
        <f t="shared" si="3"/>
        <v>Loss</v>
      </c>
    </row>
    <row r="7319" ht="14.25" customHeight="1">
      <c r="A7319" s="1" t="s">
        <v>7353</v>
      </c>
      <c r="B7319" s="2">
        <v>45253.0</v>
      </c>
      <c r="C7319" s="1" t="s">
        <v>14</v>
      </c>
      <c r="D7319" s="1" t="s">
        <v>15</v>
      </c>
      <c r="E7319" s="1" t="s">
        <v>31</v>
      </c>
      <c r="F7319" s="1">
        <v>544.45</v>
      </c>
      <c r="G7319" s="1">
        <v>252.64</v>
      </c>
      <c r="H7319" s="1">
        <v>9.0</v>
      </c>
      <c r="I7319" s="1" t="s">
        <v>23</v>
      </c>
      <c r="J7319" s="1" t="s">
        <v>38</v>
      </c>
      <c r="K7319" s="1">
        <f t="shared" si="1"/>
        <v>2023</v>
      </c>
      <c r="L7319" s="1" t="str">
        <f t="shared" si="2"/>
        <v>Nov</v>
      </c>
      <c r="M7319" s="1" t="str">
        <f t="shared" si="3"/>
        <v>Profit</v>
      </c>
    </row>
    <row r="7320" ht="14.25" customHeight="1">
      <c r="A7320" s="1" t="s">
        <v>7354</v>
      </c>
      <c r="B7320" s="2">
        <v>44955.0</v>
      </c>
      <c r="C7320" s="1" t="s">
        <v>14</v>
      </c>
      <c r="D7320" s="1" t="s">
        <v>27</v>
      </c>
      <c r="E7320" s="1" t="s">
        <v>40</v>
      </c>
      <c r="F7320" s="1">
        <v>89.77</v>
      </c>
      <c r="G7320" s="1">
        <v>-170.53</v>
      </c>
      <c r="H7320" s="1">
        <v>10.0</v>
      </c>
      <c r="I7320" s="1" t="s">
        <v>34</v>
      </c>
      <c r="J7320" s="1" t="s">
        <v>35</v>
      </c>
      <c r="K7320" s="1">
        <f t="shared" si="1"/>
        <v>2023</v>
      </c>
      <c r="L7320" s="1" t="str">
        <f t="shared" si="2"/>
        <v>Jan</v>
      </c>
      <c r="M7320" s="1" t="str">
        <f t="shared" si="3"/>
        <v>Loss</v>
      </c>
    </row>
    <row r="7321" ht="14.25" customHeight="1">
      <c r="A7321" s="1" t="s">
        <v>7355</v>
      </c>
      <c r="B7321" s="2">
        <v>44484.0</v>
      </c>
      <c r="C7321" s="1" t="s">
        <v>30</v>
      </c>
      <c r="D7321" s="1" t="s">
        <v>27</v>
      </c>
      <c r="E7321" s="1" t="s">
        <v>33</v>
      </c>
      <c r="F7321" s="1">
        <v>300.47</v>
      </c>
      <c r="G7321" s="1">
        <v>-166.59</v>
      </c>
      <c r="H7321" s="1">
        <v>9.0</v>
      </c>
      <c r="I7321" s="1" t="s">
        <v>34</v>
      </c>
      <c r="J7321" s="1" t="s">
        <v>18</v>
      </c>
      <c r="K7321" s="1">
        <f t="shared" si="1"/>
        <v>2021</v>
      </c>
      <c r="L7321" s="1" t="str">
        <f t="shared" si="2"/>
        <v>Oct</v>
      </c>
      <c r="M7321" s="1" t="str">
        <f t="shared" si="3"/>
        <v>Loss</v>
      </c>
    </row>
    <row r="7322" ht="14.25" customHeight="1">
      <c r="A7322" s="1" t="s">
        <v>7356</v>
      </c>
      <c r="B7322" s="2">
        <v>45146.0</v>
      </c>
      <c r="C7322" s="1" t="s">
        <v>26</v>
      </c>
      <c r="D7322" s="1" t="s">
        <v>15</v>
      </c>
      <c r="E7322" s="1" t="s">
        <v>54</v>
      </c>
      <c r="F7322" s="1">
        <v>189.96</v>
      </c>
      <c r="G7322" s="1">
        <v>-62.06</v>
      </c>
      <c r="H7322" s="1">
        <v>9.0</v>
      </c>
      <c r="I7322" s="1" t="s">
        <v>23</v>
      </c>
      <c r="J7322" s="1" t="s">
        <v>38</v>
      </c>
      <c r="K7322" s="1">
        <f t="shared" si="1"/>
        <v>2023</v>
      </c>
      <c r="L7322" s="1" t="str">
        <f t="shared" si="2"/>
        <v>Aug</v>
      </c>
      <c r="M7322" s="1" t="str">
        <f t="shared" si="3"/>
        <v>Loss</v>
      </c>
    </row>
    <row r="7323" ht="14.25" customHeight="1">
      <c r="A7323" s="1" t="s">
        <v>7357</v>
      </c>
      <c r="B7323" s="2">
        <v>44426.0</v>
      </c>
      <c r="C7323" s="1" t="s">
        <v>20</v>
      </c>
      <c r="D7323" s="1" t="s">
        <v>15</v>
      </c>
      <c r="E7323" s="1" t="s">
        <v>16</v>
      </c>
      <c r="F7323" s="1">
        <v>974.45</v>
      </c>
      <c r="G7323" s="1">
        <v>168.73</v>
      </c>
      <c r="H7323" s="1">
        <v>3.0</v>
      </c>
      <c r="I7323" s="1" t="s">
        <v>34</v>
      </c>
      <c r="J7323" s="1" t="s">
        <v>18</v>
      </c>
      <c r="K7323" s="1">
        <f t="shared" si="1"/>
        <v>2021</v>
      </c>
      <c r="L7323" s="1" t="str">
        <f t="shared" si="2"/>
        <v>Aug</v>
      </c>
      <c r="M7323" s="1" t="str">
        <f t="shared" si="3"/>
        <v>Profit</v>
      </c>
    </row>
    <row r="7324" ht="14.25" customHeight="1">
      <c r="A7324" s="1" t="s">
        <v>7358</v>
      </c>
      <c r="B7324" s="2">
        <v>45159.0</v>
      </c>
      <c r="C7324" s="1" t="s">
        <v>20</v>
      </c>
      <c r="D7324" s="1" t="s">
        <v>15</v>
      </c>
      <c r="E7324" s="1" t="s">
        <v>31</v>
      </c>
      <c r="F7324" s="1">
        <v>913.89</v>
      </c>
      <c r="G7324" s="1">
        <v>214.41</v>
      </c>
      <c r="H7324" s="1">
        <v>9.0</v>
      </c>
      <c r="I7324" s="1" t="s">
        <v>17</v>
      </c>
      <c r="J7324" s="1" t="s">
        <v>24</v>
      </c>
      <c r="K7324" s="1">
        <f t="shared" si="1"/>
        <v>2023</v>
      </c>
      <c r="L7324" s="1" t="str">
        <f t="shared" si="2"/>
        <v>Aug</v>
      </c>
      <c r="M7324" s="1" t="str">
        <f t="shared" si="3"/>
        <v>Profit</v>
      </c>
    </row>
    <row r="7325" ht="14.25" customHeight="1">
      <c r="A7325" s="1" t="s">
        <v>7359</v>
      </c>
      <c r="B7325" s="2">
        <v>45187.0</v>
      </c>
      <c r="C7325" s="1" t="s">
        <v>26</v>
      </c>
      <c r="D7325" s="1" t="s">
        <v>27</v>
      </c>
      <c r="E7325" s="1" t="s">
        <v>33</v>
      </c>
      <c r="F7325" s="1">
        <v>258.26</v>
      </c>
      <c r="G7325" s="1">
        <v>-133.57</v>
      </c>
      <c r="H7325" s="1">
        <v>1.0</v>
      </c>
      <c r="I7325" s="1" t="s">
        <v>23</v>
      </c>
      <c r="J7325" s="1" t="s">
        <v>38</v>
      </c>
      <c r="K7325" s="1">
        <f t="shared" si="1"/>
        <v>2023</v>
      </c>
      <c r="L7325" s="1" t="str">
        <f t="shared" si="2"/>
        <v>Sep</v>
      </c>
      <c r="M7325" s="1" t="str">
        <f t="shared" si="3"/>
        <v>Loss</v>
      </c>
    </row>
    <row r="7326" ht="14.25" customHeight="1">
      <c r="A7326" s="1" t="s">
        <v>7360</v>
      </c>
      <c r="B7326" s="2">
        <v>44295.0</v>
      </c>
      <c r="C7326" s="1" t="s">
        <v>26</v>
      </c>
      <c r="D7326" s="1" t="s">
        <v>21</v>
      </c>
      <c r="E7326" s="1" t="s">
        <v>37</v>
      </c>
      <c r="F7326" s="1">
        <v>789.14</v>
      </c>
      <c r="G7326" s="1">
        <v>36.11</v>
      </c>
      <c r="H7326" s="1">
        <v>6.0</v>
      </c>
      <c r="I7326" s="1" t="s">
        <v>17</v>
      </c>
      <c r="J7326" s="1" t="s">
        <v>24</v>
      </c>
      <c r="K7326" s="1">
        <f t="shared" si="1"/>
        <v>2021</v>
      </c>
      <c r="L7326" s="1" t="str">
        <f t="shared" si="2"/>
        <v>Apr</v>
      </c>
      <c r="M7326" s="1" t="str">
        <f t="shared" si="3"/>
        <v>Profit</v>
      </c>
    </row>
    <row r="7327" ht="14.25" customHeight="1">
      <c r="A7327" s="1" t="s">
        <v>7361</v>
      </c>
      <c r="B7327" s="2">
        <v>44274.0</v>
      </c>
      <c r="C7327" s="1" t="s">
        <v>26</v>
      </c>
      <c r="D7327" s="1" t="s">
        <v>21</v>
      </c>
      <c r="E7327" s="1" t="s">
        <v>76</v>
      </c>
      <c r="F7327" s="1">
        <v>656.72</v>
      </c>
      <c r="G7327" s="1">
        <v>244.8</v>
      </c>
      <c r="H7327" s="1">
        <v>8.0</v>
      </c>
      <c r="I7327" s="1" t="s">
        <v>17</v>
      </c>
      <c r="J7327" s="1" t="s">
        <v>18</v>
      </c>
      <c r="K7327" s="1">
        <f t="shared" si="1"/>
        <v>2021</v>
      </c>
      <c r="L7327" s="1" t="str">
        <f t="shared" si="2"/>
        <v>Mar</v>
      </c>
      <c r="M7327" s="1" t="str">
        <f t="shared" si="3"/>
        <v>Profit</v>
      </c>
    </row>
    <row r="7328" ht="14.25" customHeight="1">
      <c r="A7328" s="1" t="s">
        <v>7362</v>
      </c>
      <c r="B7328" s="2">
        <v>44535.0</v>
      </c>
      <c r="C7328" s="1" t="s">
        <v>26</v>
      </c>
      <c r="D7328" s="1" t="s">
        <v>27</v>
      </c>
      <c r="E7328" s="1" t="s">
        <v>28</v>
      </c>
      <c r="F7328" s="1">
        <v>490.64</v>
      </c>
      <c r="G7328" s="1">
        <v>-149.76</v>
      </c>
      <c r="H7328" s="1">
        <v>3.0</v>
      </c>
      <c r="I7328" s="1" t="s">
        <v>23</v>
      </c>
      <c r="J7328" s="1" t="s">
        <v>35</v>
      </c>
      <c r="K7328" s="1">
        <f t="shared" si="1"/>
        <v>2021</v>
      </c>
      <c r="L7328" s="1" t="str">
        <f t="shared" si="2"/>
        <v>Dec</v>
      </c>
      <c r="M7328" s="1" t="str">
        <f t="shared" si="3"/>
        <v>Loss</v>
      </c>
    </row>
    <row r="7329" ht="14.25" customHeight="1">
      <c r="A7329" s="1" t="s">
        <v>7363</v>
      </c>
      <c r="B7329" s="2">
        <v>44916.0</v>
      </c>
      <c r="C7329" s="1" t="s">
        <v>26</v>
      </c>
      <c r="D7329" s="1" t="s">
        <v>15</v>
      </c>
      <c r="E7329" s="1" t="s">
        <v>54</v>
      </c>
      <c r="F7329" s="1">
        <v>656.79</v>
      </c>
      <c r="G7329" s="1">
        <v>-8.63</v>
      </c>
      <c r="H7329" s="1">
        <v>8.0</v>
      </c>
      <c r="I7329" s="1" t="s">
        <v>17</v>
      </c>
      <c r="J7329" s="1" t="s">
        <v>35</v>
      </c>
      <c r="K7329" s="1">
        <f t="shared" si="1"/>
        <v>2022</v>
      </c>
      <c r="L7329" s="1" t="str">
        <f t="shared" si="2"/>
        <v>Dec</v>
      </c>
      <c r="M7329" s="1" t="str">
        <f t="shared" si="3"/>
        <v>Loss</v>
      </c>
    </row>
    <row r="7330" ht="14.25" customHeight="1">
      <c r="A7330" s="1" t="s">
        <v>7364</v>
      </c>
      <c r="B7330" s="2">
        <v>44988.0</v>
      </c>
      <c r="C7330" s="1" t="s">
        <v>14</v>
      </c>
      <c r="D7330" s="1" t="s">
        <v>27</v>
      </c>
      <c r="E7330" s="1" t="s">
        <v>40</v>
      </c>
      <c r="F7330" s="1">
        <v>216.06</v>
      </c>
      <c r="G7330" s="1">
        <v>200.44</v>
      </c>
      <c r="H7330" s="1">
        <v>8.0</v>
      </c>
      <c r="I7330" s="1" t="s">
        <v>17</v>
      </c>
      <c r="J7330" s="1" t="s">
        <v>38</v>
      </c>
      <c r="K7330" s="1">
        <f t="shared" si="1"/>
        <v>2023</v>
      </c>
      <c r="L7330" s="1" t="str">
        <f t="shared" si="2"/>
        <v>Mar</v>
      </c>
      <c r="M7330" s="1" t="str">
        <f t="shared" si="3"/>
        <v>Profit</v>
      </c>
    </row>
    <row r="7331" ht="14.25" customHeight="1">
      <c r="A7331" s="1" t="s">
        <v>7365</v>
      </c>
      <c r="B7331" s="2">
        <v>44267.0</v>
      </c>
      <c r="C7331" s="1" t="s">
        <v>26</v>
      </c>
      <c r="D7331" s="1" t="s">
        <v>27</v>
      </c>
      <c r="E7331" s="1" t="s">
        <v>33</v>
      </c>
      <c r="F7331" s="1">
        <v>166.36</v>
      </c>
      <c r="G7331" s="1">
        <v>-144.01</v>
      </c>
      <c r="H7331" s="1">
        <v>7.0</v>
      </c>
      <c r="I7331" s="1" t="s">
        <v>34</v>
      </c>
      <c r="J7331" s="1" t="s">
        <v>24</v>
      </c>
      <c r="K7331" s="1">
        <f t="shared" si="1"/>
        <v>2021</v>
      </c>
      <c r="L7331" s="1" t="str">
        <f t="shared" si="2"/>
        <v>Mar</v>
      </c>
      <c r="M7331" s="1" t="str">
        <f t="shared" si="3"/>
        <v>Loss</v>
      </c>
    </row>
    <row r="7332" ht="14.25" customHeight="1">
      <c r="A7332" s="1" t="s">
        <v>7366</v>
      </c>
      <c r="B7332" s="2">
        <v>45139.0</v>
      </c>
      <c r="C7332" s="1" t="s">
        <v>20</v>
      </c>
      <c r="D7332" s="1" t="s">
        <v>15</v>
      </c>
      <c r="E7332" s="1" t="s">
        <v>16</v>
      </c>
      <c r="F7332" s="1">
        <v>526.96</v>
      </c>
      <c r="G7332" s="1">
        <v>94.96</v>
      </c>
      <c r="H7332" s="1">
        <v>7.0</v>
      </c>
      <c r="I7332" s="1" t="s">
        <v>17</v>
      </c>
      <c r="J7332" s="1" t="s">
        <v>38</v>
      </c>
      <c r="K7332" s="1">
        <f t="shared" si="1"/>
        <v>2023</v>
      </c>
      <c r="L7332" s="1" t="str">
        <f t="shared" si="2"/>
        <v>Aug</v>
      </c>
      <c r="M7332" s="1" t="str">
        <f t="shared" si="3"/>
        <v>Profit</v>
      </c>
    </row>
    <row r="7333" ht="14.25" customHeight="1">
      <c r="A7333" s="1" t="s">
        <v>7367</v>
      </c>
      <c r="B7333" s="2">
        <v>44571.0</v>
      </c>
      <c r="C7333" s="1" t="s">
        <v>26</v>
      </c>
      <c r="D7333" s="1" t="s">
        <v>15</v>
      </c>
      <c r="E7333" s="1" t="s">
        <v>54</v>
      </c>
      <c r="F7333" s="1">
        <v>225.06</v>
      </c>
      <c r="G7333" s="1">
        <v>-111.71</v>
      </c>
      <c r="H7333" s="1">
        <v>1.0</v>
      </c>
      <c r="I7333" s="1" t="s">
        <v>34</v>
      </c>
      <c r="J7333" s="1" t="s">
        <v>38</v>
      </c>
      <c r="K7333" s="1">
        <f t="shared" si="1"/>
        <v>2022</v>
      </c>
      <c r="L7333" s="1" t="str">
        <f t="shared" si="2"/>
        <v>Jan</v>
      </c>
      <c r="M7333" s="1" t="str">
        <f t="shared" si="3"/>
        <v>Loss</v>
      </c>
    </row>
    <row r="7334" ht="14.25" customHeight="1">
      <c r="A7334" s="1" t="s">
        <v>7368</v>
      </c>
      <c r="B7334" s="2">
        <v>44298.0</v>
      </c>
      <c r="C7334" s="1" t="s">
        <v>14</v>
      </c>
      <c r="D7334" s="1" t="s">
        <v>21</v>
      </c>
      <c r="E7334" s="1" t="s">
        <v>22</v>
      </c>
      <c r="F7334" s="1">
        <v>85.56</v>
      </c>
      <c r="G7334" s="1">
        <v>78.12</v>
      </c>
      <c r="H7334" s="1">
        <v>1.0</v>
      </c>
      <c r="I7334" s="1" t="s">
        <v>23</v>
      </c>
      <c r="J7334" s="1" t="s">
        <v>38</v>
      </c>
      <c r="K7334" s="1">
        <f t="shared" si="1"/>
        <v>2021</v>
      </c>
      <c r="L7334" s="1" t="str">
        <f t="shared" si="2"/>
        <v>Apr</v>
      </c>
      <c r="M7334" s="1" t="str">
        <f t="shared" si="3"/>
        <v>Profit</v>
      </c>
    </row>
    <row r="7335" ht="14.25" customHeight="1">
      <c r="A7335" s="1" t="s">
        <v>7369</v>
      </c>
      <c r="B7335" s="2">
        <v>45089.0</v>
      </c>
      <c r="C7335" s="1" t="s">
        <v>26</v>
      </c>
      <c r="D7335" s="1" t="s">
        <v>15</v>
      </c>
      <c r="E7335" s="1" t="s">
        <v>16</v>
      </c>
      <c r="F7335" s="1">
        <v>770.83</v>
      </c>
      <c r="G7335" s="1">
        <v>28.31</v>
      </c>
      <c r="H7335" s="1">
        <v>9.0</v>
      </c>
      <c r="I7335" s="1" t="s">
        <v>17</v>
      </c>
      <c r="J7335" s="1" t="s">
        <v>38</v>
      </c>
      <c r="K7335" s="1">
        <f t="shared" si="1"/>
        <v>2023</v>
      </c>
      <c r="L7335" s="1" t="str">
        <f t="shared" si="2"/>
        <v>Jun</v>
      </c>
      <c r="M7335" s="1" t="str">
        <f t="shared" si="3"/>
        <v>Profit</v>
      </c>
    </row>
    <row r="7336" ht="14.25" customHeight="1">
      <c r="A7336" s="1" t="s">
        <v>7370</v>
      </c>
      <c r="B7336" s="2">
        <v>45209.0</v>
      </c>
      <c r="C7336" s="1" t="s">
        <v>26</v>
      </c>
      <c r="D7336" s="1" t="s">
        <v>27</v>
      </c>
      <c r="E7336" s="1" t="s">
        <v>28</v>
      </c>
      <c r="F7336" s="1">
        <v>830.91</v>
      </c>
      <c r="G7336" s="1">
        <v>-85.02</v>
      </c>
      <c r="H7336" s="1">
        <v>9.0</v>
      </c>
      <c r="I7336" s="1" t="s">
        <v>17</v>
      </c>
      <c r="J7336" s="1" t="s">
        <v>38</v>
      </c>
      <c r="K7336" s="1">
        <f t="shared" si="1"/>
        <v>2023</v>
      </c>
      <c r="L7336" s="1" t="str">
        <f t="shared" si="2"/>
        <v>Oct</v>
      </c>
      <c r="M7336" s="1" t="str">
        <f t="shared" si="3"/>
        <v>Loss</v>
      </c>
    </row>
    <row r="7337" ht="14.25" customHeight="1">
      <c r="A7337" s="1" t="s">
        <v>7371</v>
      </c>
      <c r="B7337" s="2">
        <v>45140.0</v>
      </c>
      <c r="C7337" s="1" t="s">
        <v>30</v>
      </c>
      <c r="D7337" s="1" t="s">
        <v>21</v>
      </c>
      <c r="E7337" s="1" t="s">
        <v>37</v>
      </c>
      <c r="F7337" s="1">
        <v>219.71</v>
      </c>
      <c r="G7337" s="1">
        <v>-121.7</v>
      </c>
      <c r="H7337" s="1">
        <v>9.0</v>
      </c>
      <c r="I7337" s="1" t="s">
        <v>34</v>
      </c>
      <c r="J7337" s="1" t="s">
        <v>38</v>
      </c>
      <c r="K7337" s="1">
        <f t="shared" si="1"/>
        <v>2023</v>
      </c>
      <c r="L7337" s="1" t="str">
        <f t="shared" si="2"/>
        <v>Aug</v>
      </c>
      <c r="M7337" s="1" t="str">
        <f t="shared" si="3"/>
        <v>Loss</v>
      </c>
    </row>
    <row r="7338" ht="14.25" customHeight="1">
      <c r="A7338" s="1" t="s">
        <v>7372</v>
      </c>
      <c r="B7338" s="2">
        <v>44301.0</v>
      </c>
      <c r="C7338" s="1" t="s">
        <v>14</v>
      </c>
      <c r="D7338" s="1" t="s">
        <v>15</v>
      </c>
      <c r="E7338" s="1" t="s">
        <v>16</v>
      </c>
      <c r="F7338" s="1">
        <v>258.68</v>
      </c>
      <c r="G7338" s="1">
        <v>82.26</v>
      </c>
      <c r="H7338" s="1">
        <v>6.0</v>
      </c>
      <c r="I7338" s="1" t="s">
        <v>34</v>
      </c>
      <c r="J7338" s="1" t="s">
        <v>24</v>
      </c>
      <c r="K7338" s="1">
        <f t="shared" si="1"/>
        <v>2021</v>
      </c>
      <c r="L7338" s="1" t="str">
        <f t="shared" si="2"/>
        <v>Apr</v>
      </c>
      <c r="M7338" s="1" t="str">
        <f t="shared" si="3"/>
        <v>Profit</v>
      </c>
    </row>
    <row r="7339" ht="14.25" customHeight="1">
      <c r="A7339" s="1" t="s">
        <v>7373</v>
      </c>
      <c r="B7339" s="2">
        <v>45071.0</v>
      </c>
      <c r="C7339" s="1" t="s">
        <v>14</v>
      </c>
      <c r="D7339" s="1" t="s">
        <v>15</v>
      </c>
      <c r="E7339" s="1" t="s">
        <v>16</v>
      </c>
      <c r="F7339" s="1">
        <v>384.35</v>
      </c>
      <c r="G7339" s="1">
        <v>72.32</v>
      </c>
      <c r="H7339" s="1">
        <v>5.0</v>
      </c>
      <c r="I7339" s="1" t="s">
        <v>34</v>
      </c>
      <c r="J7339" s="1" t="s">
        <v>18</v>
      </c>
      <c r="K7339" s="1">
        <f t="shared" si="1"/>
        <v>2023</v>
      </c>
      <c r="L7339" s="1" t="str">
        <f t="shared" si="2"/>
        <v>May</v>
      </c>
      <c r="M7339" s="1" t="str">
        <f t="shared" si="3"/>
        <v>Profit</v>
      </c>
    </row>
    <row r="7340" ht="14.25" customHeight="1">
      <c r="A7340" s="1" t="s">
        <v>7374</v>
      </c>
      <c r="B7340" s="2">
        <v>44838.0</v>
      </c>
      <c r="C7340" s="1" t="s">
        <v>20</v>
      </c>
      <c r="D7340" s="1" t="s">
        <v>21</v>
      </c>
      <c r="E7340" s="1" t="s">
        <v>37</v>
      </c>
      <c r="F7340" s="1">
        <v>962.61</v>
      </c>
      <c r="G7340" s="1">
        <v>5.97</v>
      </c>
      <c r="H7340" s="1">
        <v>7.0</v>
      </c>
      <c r="I7340" s="1" t="s">
        <v>34</v>
      </c>
      <c r="J7340" s="1" t="s">
        <v>35</v>
      </c>
      <c r="K7340" s="1">
        <f t="shared" si="1"/>
        <v>2022</v>
      </c>
      <c r="L7340" s="1" t="str">
        <f t="shared" si="2"/>
        <v>Oct</v>
      </c>
      <c r="M7340" s="1" t="str">
        <f t="shared" si="3"/>
        <v>Profit</v>
      </c>
    </row>
    <row r="7341" ht="14.25" customHeight="1">
      <c r="A7341" s="1" t="s">
        <v>7375</v>
      </c>
      <c r="B7341" s="2">
        <v>44492.0</v>
      </c>
      <c r="C7341" s="1" t="s">
        <v>26</v>
      </c>
      <c r="D7341" s="1" t="s">
        <v>15</v>
      </c>
      <c r="E7341" s="1" t="s">
        <v>16</v>
      </c>
      <c r="F7341" s="1">
        <v>907.95</v>
      </c>
      <c r="G7341" s="1">
        <v>195.23</v>
      </c>
      <c r="H7341" s="1">
        <v>8.0</v>
      </c>
      <c r="I7341" s="1" t="s">
        <v>34</v>
      </c>
      <c r="J7341" s="1" t="s">
        <v>18</v>
      </c>
      <c r="K7341" s="1">
        <f t="shared" si="1"/>
        <v>2021</v>
      </c>
      <c r="L7341" s="1" t="str">
        <f t="shared" si="2"/>
        <v>Oct</v>
      </c>
      <c r="M7341" s="1" t="str">
        <f t="shared" si="3"/>
        <v>Profit</v>
      </c>
    </row>
    <row r="7342" ht="14.25" customHeight="1">
      <c r="A7342" s="1" t="s">
        <v>7376</v>
      </c>
      <c r="B7342" s="2">
        <v>44234.0</v>
      </c>
      <c r="C7342" s="1" t="s">
        <v>26</v>
      </c>
      <c r="D7342" s="1" t="s">
        <v>15</v>
      </c>
      <c r="E7342" s="1" t="s">
        <v>31</v>
      </c>
      <c r="F7342" s="1">
        <v>319.82</v>
      </c>
      <c r="G7342" s="1">
        <v>189.36</v>
      </c>
      <c r="H7342" s="1">
        <v>3.0</v>
      </c>
      <c r="I7342" s="1" t="s">
        <v>17</v>
      </c>
      <c r="J7342" s="1" t="s">
        <v>38</v>
      </c>
      <c r="K7342" s="1">
        <f t="shared" si="1"/>
        <v>2021</v>
      </c>
      <c r="L7342" s="1" t="str">
        <f t="shared" si="2"/>
        <v>Feb</v>
      </c>
      <c r="M7342" s="1" t="str">
        <f t="shared" si="3"/>
        <v>Profit</v>
      </c>
    </row>
    <row r="7343" ht="14.25" customHeight="1">
      <c r="A7343" s="1" t="s">
        <v>7377</v>
      </c>
      <c r="B7343" s="2">
        <v>45225.0</v>
      </c>
      <c r="C7343" s="1" t="s">
        <v>26</v>
      </c>
      <c r="D7343" s="1" t="s">
        <v>21</v>
      </c>
      <c r="E7343" s="1" t="s">
        <v>37</v>
      </c>
      <c r="F7343" s="1">
        <v>815.43</v>
      </c>
      <c r="G7343" s="1">
        <v>-67.41</v>
      </c>
      <c r="H7343" s="1">
        <v>10.0</v>
      </c>
      <c r="I7343" s="1" t="s">
        <v>23</v>
      </c>
      <c r="J7343" s="1" t="s">
        <v>18</v>
      </c>
      <c r="K7343" s="1">
        <f t="shared" si="1"/>
        <v>2023</v>
      </c>
      <c r="L7343" s="1" t="str">
        <f t="shared" si="2"/>
        <v>Oct</v>
      </c>
      <c r="M7343" s="1" t="str">
        <f t="shared" si="3"/>
        <v>Loss</v>
      </c>
    </row>
    <row r="7344" ht="14.25" customHeight="1">
      <c r="A7344" s="1" t="s">
        <v>7378</v>
      </c>
      <c r="B7344" s="2">
        <v>44948.0</v>
      </c>
      <c r="C7344" s="1" t="s">
        <v>30</v>
      </c>
      <c r="D7344" s="1" t="s">
        <v>15</v>
      </c>
      <c r="E7344" s="1" t="s">
        <v>16</v>
      </c>
      <c r="F7344" s="1">
        <v>548.64</v>
      </c>
      <c r="G7344" s="1">
        <v>-6.31</v>
      </c>
      <c r="H7344" s="1">
        <v>6.0</v>
      </c>
      <c r="I7344" s="1" t="s">
        <v>34</v>
      </c>
      <c r="J7344" s="1" t="s">
        <v>18</v>
      </c>
      <c r="K7344" s="1">
        <f t="shared" si="1"/>
        <v>2023</v>
      </c>
      <c r="L7344" s="1" t="str">
        <f t="shared" si="2"/>
        <v>Jan</v>
      </c>
      <c r="M7344" s="1" t="str">
        <f t="shared" si="3"/>
        <v>Loss</v>
      </c>
    </row>
    <row r="7345" ht="14.25" customHeight="1">
      <c r="A7345" s="1" t="s">
        <v>7379</v>
      </c>
      <c r="B7345" s="2">
        <v>45021.0</v>
      </c>
      <c r="C7345" s="1" t="s">
        <v>26</v>
      </c>
      <c r="D7345" s="1" t="s">
        <v>21</v>
      </c>
      <c r="E7345" s="1" t="s">
        <v>37</v>
      </c>
      <c r="F7345" s="1">
        <v>863.43</v>
      </c>
      <c r="G7345" s="1">
        <v>-4.96</v>
      </c>
      <c r="H7345" s="1">
        <v>7.0</v>
      </c>
      <c r="I7345" s="1" t="s">
        <v>23</v>
      </c>
      <c r="J7345" s="1" t="s">
        <v>35</v>
      </c>
      <c r="K7345" s="1">
        <f t="shared" si="1"/>
        <v>2023</v>
      </c>
      <c r="L7345" s="1" t="str">
        <f t="shared" si="2"/>
        <v>Apr</v>
      </c>
      <c r="M7345" s="1" t="str">
        <f t="shared" si="3"/>
        <v>Loss</v>
      </c>
    </row>
    <row r="7346" ht="14.25" customHeight="1">
      <c r="A7346" s="1" t="s">
        <v>7380</v>
      </c>
      <c r="B7346" s="2">
        <v>44909.0</v>
      </c>
      <c r="C7346" s="1" t="s">
        <v>26</v>
      </c>
      <c r="D7346" s="1" t="s">
        <v>15</v>
      </c>
      <c r="E7346" s="1" t="s">
        <v>16</v>
      </c>
      <c r="F7346" s="1">
        <v>101.79</v>
      </c>
      <c r="G7346" s="1">
        <v>-185.56</v>
      </c>
      <c r="H7346" s="1">
        <v>5.0</v>
      </c>
      <c r="I7346" s="1" t="s">
        <v>17</v>
      </c>
      <c r="J7346" s="1" t="s">
        <v>18</v>
      </c>
      <c r="K7346" s="1">
        <f t="shared" si="1"/>
        <v>2022</v>
      </c>
      <c r="L7346" s="1" t="str">
        <f t="shared" si="2"/>
        <v>Dec</v>
      </c>
      <c r="M7346" s="1" t="str">
        <f t="shared" si="3"/>
        <v>Loss</v>
      </c>
    </row>
    <row r="7347" ht="14.25" customHeight="1">
      <c r="A7347" s="1" t="s">
        <v>7381</v>
      </c>
      <c r="B7347" s="2">
        <v>44888.0</v>
      </c>
      <c r="C7347" s="1" t="s">
        <v>30</v>
      </c>
      <c r="D7347" s="1" t="s">
        <v>15</v>
      </c>
      <c r="E7347" s="1" t="s">
        <v>54</v>
      </c>
      <c r="F7347" s="1">
        <v>560.01</v>
      </c>
      <c r="G7347" s="1">
        <v>80.71</v>
      </c>
      <c r="H7347" s="1">
        <v>8.0</v>
      </c>
      <c r="I7347" s="1" t="s">
        <v>17</v>
      </c>
      <c r="J7347" s="1" t="s">
        <v>24</v>
      </c>
      <c r="K7347" s="1">
        <f t="shared" si="1"/>
        <v>2022</v>
      </c>
      <c r="L7347" s="1" t="str">
        <f t="shared" si="2"/>
        <v>Nov</v>
      </c>
      <c r="M7347" s="1" t="str">
        <f t="shared" si="3"/>
        <v>Profit</v>
      </c>
    </row>
    <row r="7348" ht="14.25" customHeight="1">
      <c r="A7348" s="1" t="s">
        <v>7382</v>
      </c>
      <c r="B7348" s="2">
        <v>45212.0</v>
      </c>
      <c r="C7348" s="1" t="s">
        <v>14</v>
      </c>
      <c r="D7348" s="1" t="s">
        <v>21</v>
      </c>
      <c r="E7348" s="1" t="s">
        <v>37</v>
      </c>
      <c r="F7348" s="1">
        <v>930.44</v>
      </c>
      <c r="G7348" s="1">
        <v>172.45</v>
      </c>
      <c r="H7348" s="1">
        <v>3.0</v>
      </c>
      <c r="I7348" s="1" t="s">
        <v>34</v>
      </c>
      <c r="J7348" s="1" t="s">
        <v>18</v>
      </c>
      <c r="K7348" s="1">
        <f t="shared" si="1"/>
        <v>2023</v>
      </c>
      <c r="L7348" s="1" t="str">
        <f t="shared" si="2"/>
        <v>Oct</v>
      </c>
      <c r="M7348" s="1" t="str">
        <f t="shared" si="3"/>
        <v>Profit</v>
      </c>
    </row>
    <row r="7349" ht="14.25" customHeight="1">
      <c r="A7349" s="1" t="s">
        <v>7383</v>
      </c>
      <c r="B7349" s="2">
        <v>44208.0</v>
      </c>
      <c r="C7349" s="1" t="s">
        <v>26</v>
      </c>
      <c r="D7349" s="1" t="s">
        <v>27</v>
      </c>
      <c r="E7349" s="1" t="s">
        <v>33</v>
      </c>
      <c r="F7349" s="1">
        <v>898.93</v>
      </c>
      <c r="G7349" s="1">
        <v>-120.42</v>
      </c>
      <c r="H7349" s="1">
        <v>9.0</v>
      </c>
      <c r="I7349" s="1" t="s">
        <v>34</v>
      </c>
      <c r="J7349" s="1" t="s">
        <v>24</v>
      </c>
      <c r="K7349" s="1">
        <f t="shared" si="1"/>
        <v>2021</v>
      </c>
      <c r="L7349" s="1" t="str">
        <f t="shared" si="2"/>
        <v>Jan</v>
      </c>
      <c r="M7349" s="1" t="str">
        <f t="shared" si="3"/>
        <v>Loss</v>
      </c>
    </row>
    <row r="7350" ht="14.25" customHeight="1">
      <c r="A7350" s="1" t="s">
        <v>7384</v>
      </c>
      <c r="B7350" s="2">
        <v>44432.0</v>
      </c>
      <c r="C7350" s="1" t="s">
        <v>30</v>
      </c>
      <c r="D7350" s="1" t="s">
        <v>21</v>
      </c>
      <c r="E7350" s="1" t="s">
        <v>22</v>
      </c>
      <c r="F7350" s="1">
        <v>719.84</v>
      </c>
      <c r="G7350" s="1">
        <v>6.38</v>
      </c>
      <c r="H7350" s="1">
        <v>5.0</v>
      </c>
      <c r="I7350" s="1" t="s">
        <v>34</v>
      </c>
      <c r="J7350" s="1" t="s">
        <v>24</v>
      </c>
      <c r="K7350" s="1">
        <f t="shared" si="1"/>
        <v>2021</v>
      </c>
      <c r="L7350" s="1" t="str">
        <f t="shared" si="2"/>
        <v>Aug</v>
      </c>
      <c r="M7350" s="1" t="str">
        <f t="shared" si="3"/>
        <v>Profit</v>
      </c>
    </row>
    <row r="7351" ht="14.25" customHeight="1">
      <c r="A7351" s="1" t="s">
        <v>7385</v>
      </c>
      <c r="B7351" s="2">
        <v>44229.0</v>
      </c>
      <c r="C7351" s="1" t="s">
        <v>14</v>
      </c>
      <c r="D7351" s="1" t="s">
        <v>15</v>
      </c>
      <c r="E7351" s="1" t="s">
        <v>31</v>
      </c>
      <c r="F7351" s="1">
        <v>876.07</v>
      </c>
      <c r="G7351" s="1">
        <v>118.59</v>
      </c>
      <c r="H7351" s="1">
        <v>7.0</v>
      </c>
      <c r="I7351" s="1" t="s">
        <v>23</v>
      </c>
      <c r="J7351" s="1" t="s">
        <v>35</v>
      </c>
      <c r="K7351" s="1">
        <f t="shared" si="1"/>
        <v>2021</v>
      </c>
      <c r="L7351" s="1" t="str">
        <f t="shared" si="2"/>
        <v>Feb</v>
      </c>
      <c r="M7351" s="1" t="str">
        <f t="shared" si="3"/>
        <v>Profit</v>
      </c>
    </row>
    <row r="7352" ht="14.25" customHeight="1">
      <c r="A7352" s="1" t="s">
        <v>7386</v>
      </c>
      <c r="B7352" s="2">
        <v>44483.0</v>
      </c>
      <c r="C7352" s="1" t="s">
        <v>26</v>
      </c>
      <c r="D7352" s="1" t="s">
        <v>15</v>
      </c>
      <c r="E7352" s="1" t="s">
        <v>54</v>
      </c>
      <c r="F7352" s="1">
        <v>901.09</v>
      </c>
      <c r="G7352" s="1">
        <v>243.06</v>
      </c>
      <c r="H7352" s="1">
        <v>4.0</v>
      </c>
      <c r="I7352" s="1" t="s">
        <v>23</v>
      </c>
      <c r="J7352" s="1" t="s">
        <v>38</v>
      </c>
      <c r="K7352" s="1">
        <f t="shared" si="1"/>
        <v>2021</v>
      </c>
      <c r="L7352" s="1" t="str">
        <f t="shared" si="2"/>
        <v>Oct</v>
      </c>
      <c r="M7352" s="1" t="str">
        <f t="shared" si="3"/>
        <v>Profit</v>
      </c>
    </row>
    <row r="7353" ht="14.25" customHeight="1">
      <c r="A7353" s="1" t="s">
        <v>7387</v>
      </c>
      <c r="B7353" s="2">
        <v>44544.0</v>
      </c>
      <c r="C7353" s="1" t="s">
        <v>20</v>
      </c>
      <c r="D7353" s="1" t="s">
        <v>15</v>
      </c>
      <c r="E7353" s="1" t="s">
        <v>31</v>
      </c>
      <c r="F7353" s="1">
        <v>901.64</v>
      </c>
      <c r="G7353" s="1">
        <v>-7.45</v>
      </c>
      <c r="H7353" s="1">
        <v>9.0</v>
      </c>
      <c r="I7353" s="1" t="s">
        <v>34</v>
      </c>
      <c r="J7353" s="1" t="s">
        <v>18</v>
      </c>
      <c r="K7353" s="1">
        <f t="shared" si="1"/>
        <v>2021</v>
      </c>
      <c r="L7353" s="1" t="str">
        <f t="shared" si="2"/>
        <v>Dec</v>
      </c>
      <c r="M7353" s="1" t="str">
        <f t="shared" si="3"/>
        <v>Loss</v>
      </c>
    </row>
    <row r="7354" ht="14.25" customHeight="1">
      <c r="A7354" s="1" t="s">
        <v>7388</v>
      </c>
      <c r="B7354" s="2">
        <v>45057.0</v>
      </c>
      <c r="C7354" s="1" t="s">
        <v>26</v>
      </c>
      <c r="D7354" s="1" t="s">
        <v>21</v>
      </c>
      <c r="E7354" s="1" t="s">
        <v>22</v>
      </c>
      <c r="F7354" s="1">
        <v>975.15</v>
      </c>
      <c r="G7354" s="1">
        <v>-160.88</v>
      </c>
      <c r="H7354" s="1">
        <v>4.0</v>
      </c>
      <c r="I7354" s="1" t="s">
        <v>23</v>
      </c>
      <c r="J7354" s="1" t="s">
        <v>38</v>
      </c>
      <c r="K7354" s="1">
        <f t="shared" si="1"/>
        <v>2023</v>
      </c>
      <c r="L7354" s="1" t="str">
        <f t="shared" si="2"/>
        <v>May</v>
      </c>
      <c r="M7354" s="1" t="str">
        <f t="shared" si="3"/>
        <v>Loss</v>
      </c>
    </row>
    <row r="7355" ht="14.25" customHeight="1">
      <c r="A7355" s="1" t="s">
        <v>7389</v>
      </c>
      <c r="B7355" s="2">
        <v>45091.0</v>
      </c>
      <c r="C7355" s="1" t="s">
        <v>30</v>
      </c>
      <c r="D7355" s="1" t="s">
        <v>21</v>
      </c>
      <c r="E7355" s="1" t="s">
        <v>37</v>
      </c>
      <c r="F7355" s="1">
        <v>934.34</v>
      </c>
      <c r="G7355" s="1">
        <v>-158.27</v>
      </c>
      <c r="H7355" s="1">
        <v>8.0</v>
      </c>
      <c r="I7355" s="1" t="s">
        <v>34</v>
      </c>
      <c r="J7355" s="1" t="s">
        <v>18</v>
      </c>
      <c r="K7355" s="1">
        <f t="shared" si="1"/>
        <v>2023</v>
      </c>
      <c r="L7355" s="1" t="str">
        <f t="shared" si="2"/>
        <v>Jun</v>
      </c>
      <c r="M7355" s="1" t="str">
        <f t="shared" si="3"/>
        <v>Loss</v>
      </c>
    </row>
    <row r="7356" ht="14.25" customHeight="1">
      <c r="A7356" s="1" t="s">
        <v>7390</v>
      </c>
      <c r="B7356" s="2">
        <v>45093.0</v>
      </c>
      <c r="C7356" s="1" t="s">
        <v>20</v>
      </c>
      <c r="D7356" s="1" t="s">
        <v>15</v>
      </c>
      <c r="E7356" s="1" t="s">
        <v>54</v>
      </c>
      <c r="F7356" s="1">
        <v>151.55</v>
      </c>
      <c r="G7356" s="1">
        <v>-130.9</v>
      </c>
      <c r="H7356" s="1">
        <v>9.0</v>
      </c>
      <c r="I7356" s="1" t="s">
        <v>17</v>
      </c>
      <c r="J7356" s="1" t="s">
        <v>24</v>
      </c>
      <c r="K7356" s="1">
        <f t="shared" si="1"/>
        <v>2023</v>
      </c>
      <c r="L7356" s="1" t="str">
        <f t="shared" si="2"/>
        <v>Jun</v>
      </c>
      <c r="M7356" s="1" t="str">
        <f t="shared" si="3"/>
        <v>Loss</v>
      </c>
    </row>
    <row r="7357" ht="14.25" customHeight="1">
      <c r="A7357" s="1" t="s">
        <v>7391</v>
      </c>
      <c r="B7357" s="2">
        <v>44944.0</v>
      </c>
      <c r="C7357" s="1" t="s">
        <v>26</v>
      </c>
      <c r="D7357" s="1" t="s">
        <v>21</v>
      </c>
      <c r="E7357" s="1" t="s">
        <v>76</v>
      </c>
      <c r="F7357" s="1">
        <v>65.33</v>
      </c>
      <c r="G7357" s="1">
        <v>-78.13</v>
      </c>
      <c r="H7357" s="1">
        <v>6.0</v>
      </c>
      <c r="I7357" s="1" t="s">
        <v>34</v>
      </c>
      <c r="J7357" s="1" t="s">
        <v>38</v>
      </c>
      <c r="K7357" s="1">
        <f t="shared" si="1"/>
        <v>2023</v>
      </c>
      <c r="L7357" s="1" t="str">
        <f t="shared" si="2"/>
        <v>Jan</v>
      </c>
      <c r="M7357" s="1" t="str">
        <f t="shared" si="3"/>
        <v>Loss</v>
      </c>
    </row>
    <row r="7358" ht="14.25" customHeight="1">
      <c r="A7358" s="1" t="s">
        <v>7392</v>
      </c>
      <c r="B7358" s="2">
        <v>44214.0</v>
      </c>
      <c r="C7358" s="1" t="s">
        <v>26</v>
      </c>
      <c r="D7358" s="1" t="s">
        <v>21</v>
      </c>
      <c r="E7358" s="1" t="s">
        <v>37</v>
      </c>
      <c r="F7358" s="1">
        <v>698.98</v>
      </c>
      <c r="G7358" s="1">
        <v>-122.51</v>
      </c>
      <c r="H7358" s="1">
        <v>1.0</v>
      </c>
      <c r="I7358" s="1" t="s">
        <v>34</v>
      </c>
      <c r="J7358" s="1" t="s">
        <v>35</v>
      </c>
      <c r="K7358" s="1">
        <f t="shared" si="1"/>
        <v>2021</v>
      </c>
      <c r="L7358" s="1" t="str">
        <f t="shared" si="2"/>
        <v>Jan</v>
      </c>
      <c r="M7358" s="1" t="str">
        <f t="shared" si="3"/>
        <v>Loss</v>
      </c>
    </row>
    <row r="7359" ht="14.25" customHeight="1">
      <c r="A7359" s="1" t="s">
        <v>7393</v>
      </c>
      <c r="B7359" s="2">
        <v>44652.0</v>
      </c>
      <c r="C7359" s="1" t="s">
        <v>14</v>
      </c>
      <c r="D7359" s="1" t="s">
        <v>15</v>
      </c>
      <c r="E7359" s="1" t="s">
        <v>16</v>
      </c>
      <c r="F7359" s="1">
        <v>858.3</v>
      </c>
      <c r="G7359" s="1">
        <v>20.32</v>
      </c>
      <c r="H7359" s="1">
        <v>9.0</v>
      </c>
      <c r="I7359" s="1" t="s">
        <v>23</v>
      </c>
      <c r="J7359" s="1" t="s">
        <v>18</v>
      </c>
      <c r="K7359" s="1">
        <f t="shared" si="1"/>
        <v>2022</v>
      </c>
      <c r="L7359" s="1" t="str">
        <f t="shared" si="2"/>
        <v>Apr</v>
      </c>
      <c r="M7359" s="1" t="str">
        <f t="shared" si="3"/>
        <v>Profit</v>
      </c>
    </row>
    <row r="7360" ht="14.25" customHeight="1">
      <c r="A7360" s="1" t="s">
        <v>7394</v>
      </c>
      <c r="B7360" s="2">
        <v>44865.0</v>
      </c>
      <c r="C7360" s="1" t="s">
        <v>14</v>
      </c>
      <c r="D7360" s="1" t="s">
        <v>21</v>
      </c>
      <c r="E7360" s="1" t="s">
        <v>22</v>
      </c>
      <c r="F7360" s="1">
        <v>357.62</v>
      </c>
      <c r="G7360" s="1">
        <v>63.89</v>
      </c>
      <c r="H7360" s="1">
        <v>10.0</v>
      </c>
      <c r="I7360" s="1" t="s">
        <v>23</v>
      </c>
      <c r="J7360" s="1" t="s">
        <v>24</v>
      </c>
      <c r="K7360" s="1">
        <f t="shared" si="1"/>
        <v>2022</v>
      </c>
      <c r="L7360" s="1" t="str">
        <f t="shared" si="2"/>
        <v>Oct</v>
      </c>
      <c r="M7360" s="1" t="str">
        <f t="shared" si="3"/>
        <v>Profit</v>
      </c>
    </row>
    <row r="7361" ht="14.25" customHeight="1">
      <c r="A7361" s="1" t="s">
        <v>7395</v>
      </c>
      <c r="B7361" s="2">
        <v>45114.0</v>
      </c>
      <c r="C7361" s="1" t="s">
        <v>20</v>
      </c>
      <c r="D7361" s="1" t="s">
        <v>15</v>
      </c>
      <c r="E7361" s="1" t="s">
        <v>31</v>
      </c>
      <c r="F7361" s="1">
        <v>271.4</v>
      </c>
      <c r="G7361" s="1">
        <v>63.69</v>
      </c>
      <c r="H7361" s="1">
        <v>7.0</v>
      </c>
      <c r="I7361" s="1" t="s">
        <v>34</v>
      </c>
      <c r="J7361" s="1" t="s">
        <v>24</v>
      </c>
      <c r="K7361" s="1">
        <f t="shared" si="1"/>
        <v>2023</v>
      </c>
      <c r="L7361" s="1" t="str">
        <f t="shared" si="2"/>
        <v>Jul</v>
      </c>
      <c r="M7361" s="1" t="str">
        <f t="shared" si="3"/>
        <v>Profit</v>
      </c>
    </row>
    <row r="7362" ht="14.25" customHeight="1">
      <c r="A7362" s="1" t="s">
        <v>7396</v>
      </c>
      <c r="B7362" s="2">
        <v>44283.0</v>
      </c>
      <c r="C7362" s="1" t="s">
        <v>20</v>
      </c>
      <c r="D7362" s="1" t="s">
        <v>21</v>
      </c>
      <c r="E7362" s="1" t="s">
        <v>37</v>
      </c>
      <c r="F7362" s="1">
        <v>725.85</v>
      </c>
      <c r="G7362" s="1">
        <v>283.16</v>
      </c>
      <c r="H7362" s="1">
        <v>7.0</v>
      </c>
      <c r="I7362" s="1" t="s">
        <v>23</v>
      </c>
      <c r="J7362" s="1" t="s">
        <v>24</v>
      </c>
      <c r="K7362" s="1">
        <f t="shared" si="1"/>
        <v>2021</v>
      </c>
      <c r="L7362" s="1" t="str">
        <f t="shared" si="2"/>
        <v>Mar</v>
      </c>
      <c r="M7362" s="1" t="str">
        <f t="shared" si="3"/>
        <v>Profit</v>
      </c>
    </row>
    <row r="7363" ht="14.25" customHeight="1">
      <c r="A7363" s="1" t="s">
        <v>7397</v>
      </c>
      <c r="B7363" s="2">
        <v>45248.0</v>
      </c>
      <c r="C7363" s="1" t="s">
        <v>14</v>
      </c>
      <c r="D7363" s="1" t="s">
        <v>27</v>
      </c>
      <c r="E7363" s="1" t="s">
        <v>33</v>
      </c>
      <c r="F7363" s="1">
        <v>324.32</v>
      </c>
      <c r="G7363" s="1">
        <v>-138.51</v>
      </c>
      <c r="H7363" s="1">
        <v>2.0</v>
      </c>
      <c r="I7363" s="1" t="s">
        <v>17</v>
      </c>
      <c r="J7363" s="1" t="s">
        <v>24</v>
      </c>
      <c r="K7363" s="1">
        <f t="shared" si="1"/>
        <v>2023</v>
      </c>
      <c r="L7363" s="1" t="str">
        <f t="shared" si="2"/>
        <v>Nov</v>
      </c>
      <c r="M7363" s="1" t="str">
        <f t="shared" si="3"/>
        <v>Loss</v>
      </c>
    </row>
    <row r="7364" ht="14.25" customHeight="1">
      <c r="A7364" s="1" t="s">
        <v>7398</v>
      </c>
      <c r="B7364" s="2">
        <v>44493.0</v>
      </c>
      <c r="C7364" s="1" t="s">
        <v>14</v>
      </c>
      <c r="D7364" s="1" t="s">
        <v>15</v>
      </c>
      <c r="E7364" s="1" t="s">
        <v>31</v>
      </c>
      <c r="F7364" s="1">
        <v>795.29</v>
      </c>
      <c r="G7364" s="1">
        <v>101.58</v>
      </c>
      <c r="H7364" s="1">
        <v>8.0</v>
      </c>
      <c r="I7364" s="1" t="s">
        <v>34</v>
      </c>
      <c r="J7364" s="1" t="s">
        <v>35</v>
      </c>
      <c r="K7364" s="1">
        <f t="shared" si="1"/>
        <v>2021</v>
      </c>
      <c r="L7364" s="1" t="str">
        <f t="shared" si="2"/>
        <v>Oct</v>
      </c>
      <c r="M7364" s="1" t="str">
        <f t="shared" si="3"/>
        <v>Profit</v>
      </c>
    </row>
    <row r="7365" ht="14.25" customHeight="1">
      <c r="A7365" s="1" t="s">
        <v>7399</v>
      </c>
      <c r="B7365" s="2">
        <v>44436.0</v>
      </c>
      <c r="C7365" s="1" t="s">
        <v>20</v>
      </c>
      <c r="D7365" s="1" t="s">
        <v>27</v>
      </c>
      <c r="E7365" s="1" t="s">
        <v>40</v>
      </c>
      <c r="F7365" s="1">
        <v>457.24</v>
      </c>
      <c r="G7365" s="1">
        <v>-116.99</v>
      </c>
      <c r="H7365" s="1">
        <v>7.0</v>
      </c>
      <c r="I7365" s="1" t="s">
        <v>17</v>
      </c>
      <c r="J7365" s="1" t="s">
        <v>18</v>
      </c>
      <c r="K7365" s="1">
        <f t="shared" si="1"/>
        <v>2021</v>
      </c>
      <c r="L7365" s="1" t="str">
        <f t="shared" si="2"/>
        <v>Aug</v>
      </c>
      <c r="M7365" s="1" t="str">
        <f t="shared" si="3"/>
        <v>Loss</v>
      </c>
    </row>
    <row r="7366" ht="14.25" customHeight="1">
      <c r="A7366" s="1" t="s">
        <v>7400</v>
      </c>
      <c r="B7366" s="2">
        <v>44966.0</v>
      </c>
      <c r="C7366" s="1" t="s">
        <v>14</v>
      </c>
      <c r="D7366" s="1" t="s">
        <v>27</v>
      </c>
      <c r="E7366" s="1" t="s">
        <v>40</v>
      </c>
      <c r="F7366" s="1">
        <v>82.54</v>
      </c>
      <c r="G7366" s="1">
        <v>156.71</v>
      </c>
      <c r="H7366" s="1">
        <v>9.0</v>
      </c>
      <c r="I7366" s="1" t="s">
        <v>23</v>
      </c>
      <c r="J7366" s="1" t="s">
        <v>18</v>
      </c>
      <c r="K7366" s="1">
        <f t="shared" si="1"/>
        <v>2023</v>
      </c>
      <c r="L7366" s="1" t="str">
        <f t="shared" si="2"/>
        <v>Feb</v>
      </c>
      <c r="M7366" s="1" t="str">
        <f t="shared" si="3"/>
        <v>Profit</v>
      </c>
    </row>
    <row r="7367" ht="14.25" customHeight="1">
      <c r="A7367" s="1" t="s">
        <v>7401</v>
      </c>
      <c r="B7367" s="2">
        <v>44769.0</v>
      </c>
      <c r="C7367" s="1" t="s">
        <v>26</v>
      </c>
      <c r="D7367" s="1" t="s">
        <v>21</v>
      </c>
      <c r="E7367" s="1" t="s">
        <v>76</v>
      </c>
      <c r="F7367" s="1">
        <v>389.2</v>
      </c>
      <c r="G7367" s="1">
        <v>161.3</v>
      </c>
      <c r="H7367" s="1">
        <v>6.0</v>
      </c>
      <c r="I7367" s="1" t="s">
        <v>34</v>
      </c>
      <c r="J7367" s="1" t="s">
        <v>35</v>
      </c>
      <c r="K7367" s="1">
        <f t="shared" si="1"/>
        <v>2022</v>
      </c>
      <c r="L7367" s="1" t="str">
        <f t="shared" si="2"/>
        <v>Jul</v>
      </c>
      <c r="M7367" s="1" t="str">
        <f t="shared" si="3"/>
        <v>Profit</v>
      </c>
    </row>
    <row r="7368" ht="14.25" customHeight="1">
      <c r="A7368" s="1" t="s">
        <v>7402</v>
      </c>
      <c r="B7368" s="2">
        <v>44428.0</v>
      </c>
      <c r="C7368" s="1" t="s">
        <v>14</v>
      </c>
      <c r="D7368" s="1" t="s">
        <v>27</v>
      </c>
      <c r="E7368" s="1" t="s">
        <v>28</v>
      </c>
      <c r="F7368" s="1">
        <v>723.72</v>
      </c>
      <c r="G7368" s="1">
        <v>-16.54</v>
      </c>
      <c r="H7368" s="1">
        <v>5.0</v>
      </c>
      <c r="I7368" s="1" t="s">
        <v>34</v>
      </c>
      <c r="J7368" s="1" t="s">
        <v>24</v>
      </c>
      <c r="K7368" s="1">
        <f t="shared" si="1"/>
        <v>2021</v>
      </c>
      <c r="L7368" s="1" t="str">
        <f t="shared" si="2"/>
        <v>Aug</v>
      </c>
      <c r="M7368" s="1" t="str">
        <f t="shared" si="3"/>
        <v>Loss</v>
      </c>
    </row>
    <row r="7369" ht="14.25" customHeight="1">
      <c r="A7369" s="1" t="s">
        <v>7403</v>
      </c>
      <c r="B7369" s="2">
        <v>45221.0</v>
      </c>
      <c r="C7369" s="1" t="s">
        <v>14</v>
      </c>
      <c r="D7369" s="1" t="s">
        <v>15</v>
      </c>
      <c r="E7369" s="1" t="s">
        <v>31</v>
      </c>
      <c r="F7369" s="1">
        <v>425.47</v>
      </c>
      <c r="G7369" s="1">
        <v>-138.33</v>
      </c>
      <c r="H7369" s="1">
        <v>8.0</v>
      </c>
      <c r="I7369" s="1" t="s">
        <v>34</v>
      </c>
      <c r="J7369" s="1" t="s">
        <v>35</v>
      </c>
      <c r="K7369" s="1">
        <f t="shared" si="1"/>
        <v>2023</v>
      </c>
      <c r="L7369" s="1" t="str">
        <f t="shared" si="2"/>
        <v>Oct</v>
      </c>
      <c r="M7369" s="1" t="str">
        <f t="shared" si="3"/>
        <v>Loss</v>
      </c>
    </row>
    <row r="7370" ht="14.25" customHeight="1">
      <c r="A7370" s="1" t="s">
        <v>7404</v>
      </c>
      <c r="B7370" s="2">
        <v>44485.0</v>
      </c>
      <c r="C7370" s="1" t="s">
        <v>26</v>
      </c>
      <c r="D7370" s="1" t="s">
        <v>27</v>
      </c>
      <c r="E7370" s="1" t="s">
        <v>28</v>
      </c>
      <c r="F7370" s="1">
        <v>951.45</v>
      </c>
      <c r="G7370" s="1">
        <v>224.65</v>
      </c>
      <c r="H7370" s="1">
        <v>10.0</v>
      </c>
      <c r="I7370" s="1" t="s">
        <v>23</v>
      </c>
      <c r="J7370" s="1" t="s">
        <v>18</v>
      </c>
      <c r="K7370" s="1">
        <f t="shared" si="1"/>
        <v>2021</v>
      </c>
      <c r="L7370" s="1" t="str">
        <f t="shared" si="2"/>
        <v>Oct</v>
      </c>
      <c r="M7370" s="1" t="str">
        <f t="shared" si="3"/>
        <v>Profit</v>
      </c>
    </row>
    <row r="7371" ht="14.25" customHeight="1">
      <c r="A7371" s="1" t="s">
        <v>7405</v>
      </c>
      <c r="B7371" s="2">
        <v>44467.0</v>
      </c>
      <c r="C7371" s="1" t="s">
        <v>14</v>
      </c>
      <c r="D7371" s="1" t="s">
        <v>27</v>
      </c>
      <c r="E7371" s="1" t="s">
        <v>28</v>
      </c>
      <c r="F7371" s="1">
        <v>187.94</v>
      </c>
      <c r="G7371" s="1">
        <v>-156.0</v>
      </c>
      <c r="H7371" s="1">
        <v>4.0</v>
      </c>
      <c r="I7371" s="1" t="s">
        <v>23</v>
      </c>
      <c r="J7371" s="1" t="s">
        <v>35</v>
      </c>
      <c r="K7371" s="1">
        <f t="shared" si="1"/>
        <v>2021</v>
      </c>
      <c r="L7371" s="1" t="str">
        <f t="shared" si="2"/>
        <v>Sep</v>
      </c>
      <c r="M7371" s="1" t="str">
        <f t="shared" si="3"/>
        <v>Loss</v>
      </c>
    </row>
    <row r="7372" ht="14.25" customHeight="1">
      <c r="A7372" s="1" t="s">
        <v>7406</v>
      </c>
      <c r="B7372" s="2">
        <v>45046.0</v>
      </c>
      <c r="C7372" s="1" t="s">
        <v>30</v>
      </c>
      <c r="D7372" s="1" t="s">
        <v>15</v>
      </c>
      <c r="E7372" s="1" t="s">
        <v>16</v>
      </c>
      <c r="F7372" s="1">
        <v>24.78</v>
      </c>
      <c r="G7372" s="1">
        <v>249.75</v>
      </c>
      <c r="H7372" s="1">
        <v>6.0</v>
      </c>
      <c r="I7372" s="1" t="s">
        <v>17</v>
      </c>
      <c r="J7372" s="1" t="s">
        <v>38</v>
      </c>
      <c r="K7372" s="1">
        <f t="shared" si="1"/>
        <v>2023</v>
      </c>
      <c r="L7372" s="1" t="str">
        <f t="shared" si="2"/>
        <v>Apr</v>
      </c>
      <c r="M7372" s="1" t="str">
        <f t="shared" si="3"/>
        <v>Profit</v>
      </c>
    </row>
    <row r="7373" ht="14.25" customHeight="1">
      <c r="A7373" s="1" t="s">
        <v>7407</v>
      </c>
      <c r="B7373" s="2">
        <v>44227.0</v>
      </c>
      <c r="C7373" s="1" t="s">
        <v>14</v>
      </c>
      <c r="D7373" s="1" t="s">
        <v>27</v>
      </c>
      <c r="E7373" s="1" t="s">
        <v>40</v>
      </c>
      <c r="F7373" s="1">
        <v>393.51</v>
      </c>
      <c r="G7373" s="1">
        <v>67.27</v>
      </c>
      <c r="H7373" s="1">
        <v>1.0</v>
      </c>
      <c r="I7373" s="1" t="s">
        <v>17</v>
      </c>
      <c r="J7373" s="1" t="s">
        <v>35</v>
      </c>
      <c r="K7373" s="1">
        <f t="shared" si="1"/>
        <v>2021</v>
      </c>
      <c r="L7373" s="1" t="str">
        <f t="shared" si="2"/>
        <v>Jan</v>
      </c>
      <c r="M7373" s="1" t="str">
        <f t="shared" si="3"/>
        <v>Profit</v>
      </c>
    </row>
    <row r="7374" ht="14.25" customHeight="1">
      <c r="A7374" s="1" t="s">
        <v>7408</v>
      </c>
      <c r="B7374" s="2">
        <v>44965.0</v>
      </c>
      <c r="C7374" s="1" t="s">
        <v>26</v>
      </c>
      <c r="D7374" s="1" t="s">
        <v>21</v>
      </c>
      <c r="E7374" s="1" t="s">
        <v>37</v>
      </c>
      <c r="F7374" s="1">
        <v>554.17</v>
      </c>
      <c r="G7374" s="1">
        <v>31.97</v>
      </c>
      <c r="H7374" s="1">
        <v>7.0</v>
      </c>
      <c r="I7374" s="1" t="s">
        <v>17</v>
      </c>
      <c r="J7374" s="1" t="s">
        <v>18</v>
      </c>
      <c r="K7374" s="1">
        <f t="shared" si="1"/>
        <v>2023</v>
      </c>
      <c r="L7374" s="1" t="str">
        <f t="shared" si="2"/>
        <v>Feb</v>
      </c>
      <c r="M7374" s="1" t="str">
        <f t="shared" si="3"/>
        <v>Profit</v>
      </c>
    </row>
    <row r="7375" ht="14.25" customHeight="1">
      <c r="A7375" s="1" t="s">
        <v>7409</v>
      </c>
      <c r="B7375" s="2">
        <v>44421.0</v>
      </c>
      <c r="C7375" s="1" t="s">
        <v>20</v>
      </c>
      <c r="D7375" s="1" t="s">
        <v>15</v>
      </c>
      <c r="E7375" s="1" t="s">
        <v>31</v>
      </c>
      <c r="F7375" s="1">
        <v>132.19</v>
      </c>
      <c r="G7375" s="1">
        <v>182.52</v>
      </c>
      <c r="H7375" s="1">
        <v>5.0</v>
      </c>
      <c r="I7375" s="1" t="s">
        <v>34</v>
      </c>
      <c r="J7375" s="1" t="s">
        <v>38</v>
      </c>
      <c r="K7375" s="1">
        <f t="shared" si="1"/>
        <v>2021</v>
      </c>
      <c r="L7375" s="1" t="str">
        <f t="shared" si="2"/>
        <v>Aug</v>
      </c>
      <c r="M7375" s="1" t="str">
        <f t="shared" si="3"/>
        <v>Profit</v>
      </c>
    </row>
    <row r="7376" ht="14.25" customHeight="1">
      <c r="A7376" s="1" t="s">
        <v>7410</v>
      </c>
      <c r="B7376" s="2">
        <v>44659.0</v>
      </c>
      <c r="C7376" s="1" t="s">
        <v>14</v>
      </c>
      <c r="D7376" s="1" t="s">
        <v>15</v>
      </c>
      <c r="E7376" s="1" t="s">
        <v>31</v>
      </c>
      <c r="F7376" s="1">
        <v>867.14</v>
      </c>
      <c r="G7376" s="1">
        <v>-199.45</v>
      </c>
      <c r="H7376" s="1">
        <v>9.0</v>
      </c>
      <c r="I7376" s="1" t="s">
        <v>17</v>
      </c>
      <c r="J7376" s="1" t="s">
        <v>24</v>
      </c>
      <c r="K7376" s="1">
        <f t="shared" si="1"/>
        <v>2022</v>
      </c>
      <c r="L7376" s="1" t="str">
        <f t="shared" si="2"/>
        <v>Apr</v>
      </c>
      <c r="M7376" s="1" t="str">
        <f t="shared" si="3"/>
        <v>Loss</v>
      </c>
    </row>
    <row r="7377" ht="14.25" customHeight="1">
      <c r="A7377" s="1" t="s">
        <v>7411</v>
      </c>
      <c r="B7377" s="2">
        <v>45274.0</v>
      </c>
      <c r="C7377" s="1" t="s">
        <v>30</v>
      </c>
      <c r="D7377" s="1" t="s">
        <v>15</v>
      </c>
      <c r="E7377" s="1" t="s">
        <v>16</v>
      </c>
      <c r="F7377" s="1">
        <v>986.92</v>
      </c>
      <c r="G7377" s="1">
        <v>-89.19</v>
      </c>
      <c r="H7377" s="1">
        <v>1.0</v>
      </c>
      <c r="I7377" s="1" t="s">
        <v>23</v>
      </c>
      <c r="J7377" s="1" t="s">
        <v>18</v>
      </c>
      <c r="K7377" s="1">
        <f t="shared" si="1"/>
        <v>2023</v>
      </c>
      <c r="L7377" s="1" t="str">
        <f t="shared" si="2"/>
        <v>Dec</v>
      </c>
      <c r="M7377" s="1" t="str">
        <f t="shared" si="3"/>
        <v>Loss</v>
      </c>
    </row>
    <row r="7378" ht="14.25" customHeight="1">
      <c r="A7378" s="1" t="s">
        <v>7412</v>
      </c>
      <c r="B7378" s="2">
        <v>44545.0</v>
      </c>
      <c r="C7378" s="1" t="s">
        <v>26</v>
      </c>
      <c r="D7378" s="1" t="s">
        <v>21</v>
      </c>
      <c r="E7378" s="1" t="s">
        <v>37</v>
      </c>
      <c r="F7378" s="1">
        <v>730.53</v>
      </c>
      <c r="G7378" s="1">
        <v>-140.58</v>
      </c>
      <c r="H7378" s="1">
        <v>7.0</v>
      </c>
      <c r="I7378" s="1" t="s">
        <v>17</v>
      </c>
      <c r="J7378" s="1" t="s">
        <v>18</v>
      </c>
      <c r="K7378" s="1">
        <f t="shared" si="1"/>
        <v>2021</v>
      </c>
      <c r="L7378" s="1" t="str">
        <f t="shared" si="2"/>
        <v>Dec</v>
      </c>
      <c r="M7378" s="1" t="str">
        <f t="shared" si="3"/>
        <v>Loss</v>
      </c>
    </row>
    <row r="7379" ht="14.25" customHeight="1">
      <c r="A7379" s="1" t="s">
        <v>7413</v>
      </c>
      <c r="B7379" s="2">
        <v>44616.0</v>
      </c>
      <c r="C7379" s="1" t="s">
        <v>14</v>
      </c>
      <c r="D7379" s="1" t="s">
        <v>15</v>
      </c>
      <c r="E7379" s="1" t="s">
        <v>16</v>
      </c>
      <c r="F7379" s="1">
        <v>191.5</v>
      </c>
      <c r="G7379" s="1">
        <v>-164.37</v>
      </c>
      <c r="H7379" s="1">
        <v>10.0</v>
      </c>
      <c r="I7379" s="1" t="s">
        <v>23</v>
      </c>
      <c r="J7379" s="1" t="s">
        <v>38</v>
      </c>
      <c r="K7379" s="1">
        <f t="shared" si="1"/>
        <v>2022</v>
      </c>
      <c r="L7379" s="1" t="str">
        <f t="shared" si="2"/>
        <v>Feb</v>
      </c>
      <c r="M7379" s="1" t="str">
        <f t="shared" si="3"/>
        <v>Loss</v>
      </c>
    </row>
    <row r="7380" ht="14.25" customHeight="1">
      <c r="A7380" s="1" t="s">
        <v>7414</v>
      </c>
      <c r="B7380" s="2">
        <v>44265.0</v>
      </c>
      <c r="C7380" s="1" t="s">
        <v>30</v>
      </c>
      <c r="D7380" s="1" t="s">
        <v>21</v>
      </c>
      <c r="E7380" s="1" t="s">
        <v>76</v>
      </c>
      <c r="F7380" s="1">
        <v>835.89</v>
      </c>
      <c r="G7380" s="1">
        <v>293.67</v>
      </c>
      <c r="H7380" s="1">
        <v>10.0</v>
      </c>
      <c r="I7380" s="1" t="s">
        <v>23</v>
      </c>
      <c r="J7380" s="1" t="s">
        <v>24</v>
      </c>
      <c r="K7380" s="1">
        <f t="shared" si="1"/>
        <v>2021</v>
      </c>
      <c r="L7380" s="1" t="str">
        <f t="shared" si="2"/>
        <v>Mar</v>
      </c>
      <c r="M7380" s="1" t="str">
        <f t="shared" si="3"/>
        <v>Profit</v>
      </c>
    </row>
    <row r="7381" ht="14.25" customHeight="1">
      <c r="A7381" s="1" t="s">
        <v>7415</v>
      </c>
      <c r="B7381" s="2">
        <v>45279.0</v>
      </c>
      <c r="C7381" s="1" t="s">
        <v>20</v>
      </c>
      <c r="D7381" s="1" t="s">
        <v>15</v>
      </c>
      <c r="E7381" s="1" t="s">
        <v>31</v>
      </c>
      <c r="F7381" s="1">
        <v>306.67</v>
      </c>
      <c r="G7381" s="1">
        <v>22.32</v>
      </c>
      <c r="H7381" s="1">
        <v>6.0</v>
      </c>
      <c r="I7381" s="1" t="s">
        <v>23</v>
      </c>
      <c r="J7381" s="1" t="s">
        <v>18</v>
      </c>
      <c r="K7381" s="1">
        <f t="shared" si="1"/>
        <v>2023</v>
      </c>
      <c r="L7381" s="1" t="str">
        <f t="shared" si="2"/>
        <v>Dec</v>
      </c>
      <c r="M7381" s="1" t="str">
        <f t="shared" si="3"/>
        <v>Profit</v>
      </c>
    </row>
    <row r="7382" ht="14.25" customHeight="1">
      <c r="A7382" s="1" t="s">
        <v>7416</v>
      </c>
      <c r="B7382" s="2">
        <v>44563.0</v>
      </c>
      <c r="C7382" s="1" t="s">
        <v>14</v>
      </c>
      <c r="D7382" s="1" t="s">
        <v>27</v>
      </c>
      <c r="E7382" s="1" t="s">
        <v>33</v>
      </c>
      <c r="F7382" s="1">
        <v>234.58</v>
      </c>
      <c r="G7382" s="1">
        <v>251.12</v>
      </c>
      <c r="H7382" s="1">
        <v>2.0</v>
      </c>
      <c r="I7382" s="1" t="s">
        <v>17</v>
      </c>
      <c r="J7382" s="1" t="s">
        <v>18</v>
      </c>
      <c r="K7382" s="1">
        <f t="shared" si="1"/>
        <v>2022</v>
      </c>
      <c r="L7382" s="1" t="str">
        <f t="shared" si="2"/>
        <v>Jan</v>
      </c>
      <c r="M7382" s="1" t="str">
        <f t="shared" si="3"/>
        <v>Profit</v>
      </c>
    </row>
    <row r="7383" ht="14.25" customHeight="1">
      <c r="A7383" s="1" t="s">
        <v>7417</v>
      </c>
      <c r="B7383" s="2">
        <v>44269.0</v>
      </c>
      <c r="C7383" s="1" t="s">
        <v>26</v>
      </c>
      <c r="D7383" s="1" t="s">
        <v>15</v>
      </c>
      <c r="E7383" s="1" t="s">
        <v>54</v>
      </c>
      <c r="F7383" s="1">
        <v>49.0</v>
      </c>
      <c r="G7383" s="1">
        <v>195.41</v>
      </c>
      <c r="H7383" s="1">
        <v>7.0</v>
      </c>
      <c r="I7383" s="1" t="s">
        <v>17</v>
      </c>
      <c r="J7383" s="1" t="s">
        <v>35</v>
      </c>
      <c r="K7383" s="1">
        <f t="shared" si="1"/>
        <v>2021</v>
      </c>
      <c r="L7383" s="1" t="str">
        <f t="shared" si="2"/>
        <v>Mar</v>
      </c>
      <c r="M7383" s="1" t="str">
        <f t="shared" si="3"/>
        <v>Profit</v>
      </c>
    </row>
    <row r="7384" ht="14.25" customHeight="1">
      <c r="A7384" s="1" t="s">
        <v>7418</v>
      </c>
      <c r="B7384" s="2">
        <v>44707.0</v>
      </c>
      <c r="C7384" s="1" t="s">
        <v>20</v>
      </c>
      <c r="D7384" s="1" t="s">
        <v>27</v>
      </c>
      <c r="E7384" s="1" t="s">
        <v>33</v>
      </c>
      <c r="F7384" s="1">
        <v>505.31</v>
      </c>
      <c r="G7384" s="1">
        <v>259.74</v>
      </c>
      <c r="H7384" s="1">
        <v>6.0</v>
      </c>
      <c r="I7384" s="1" t="s">
        <v>23</v>
      </c>
      <c r="J7384" s="1" t="s">
        <v>18</v>
      </c>
      <c r="K7384" s="1">
        <f t="shared" si="1"/>
        <v>2022</v>
      </c>
      <c r="L7384" s="1" t="str">
        <f t="shared" si="2"/>
        <v>May</v>
      </c>
      <c r="M7384" s="1" t="str">
        <f t="shared" si="3"/>
        <v>Profit</v>
      </c>
    </row>
    <row r="7385" ht="14.25" customHeight="1">
      <c r="A7385" s="1" t="s">
        <v>7419</v>
      </c>
      <c r="B7385" s="2">
        <v>44258.0</v>
      </c>
      <c r="C7385" s="1" t="s">
        <v>30</v>
      </c>
      <c r="D7385" s="1" t="s">
        <v>15</v>
      </c>
      <c r="E7385" s="1" t="s">
        <v>54</v>
      </c>
      <c r="F7385" s="1">
        <v>702.03</v>
      </c>
      <c r="G7385" s="1">
        <v>89.27</v>
      </c>
      <c r="H7385" s="1">
        <v>10.0</v>
      </c>
      <c r="I7385" s="1" t="s">
        <v>34</v>
      </c>
      <c r="J7385" s="1" t="s">
        <v>24</v>
      </c>
      <c r="K7385" s="1">
        <f t="shared" si="1"/>
        <v>2021</v>
      </c>
      <c r="L7385" s="1" t="str">
        <f t="shared" si="2"/>
        <v>Mar</v>
      </c>
      <c r="M7385" s="1" t="str">
        <f t="shared" si="3"/>
        <v>Profit</v>
      </c>
    </row>
    <row r="7386" ht="14.25" customHeight="1">
      <c r="A7386" s="1" t="s">
        <v>7420</v>
      </c>
      <c r="B7386" s="2">
        <v>44741.0</v>
      </c>
      <c r="C7386" s="1" t="s">
        <v>26</v>
      </c>
      <c r="D7386" s="1" t="s">
        <v>21</v>
      </c>
      <c r="E7386" s="1" t="s">
        <v>76</v>
      </c>
      <c r="F7386" s="1">
        <v>750.11</v>
      </c>
      <c r="G7386" s="1">
        <v>214.56</v>
      </c>
      <c r="H7386" s="1">
        <v>6.0</v>
      </c>
      <c r="I7386" s="1" t="s">
        <v>17</v>
      </c>
      <c r="J7386" s="1" t="s">
        <v>38</v>
      </c>
      <c r="K7386" s="1">
        <f t="shared" si="1"/>
        <v>2022</v>
      </c>
      <c r="L7386" s="1" t="str">
        <f t="shared" si="2"/>
        <v>Jun</v>
      </c>
      <c r="M7386" s="1" t="str">
        <f t="shared" si="3"/>
        <v>Profit</v>
      </c>
    </row>
    <row r="7387" ht="14.25" customHeight="1">
      <c r="A7387" s="1" t="s">
        <v>7421</v>
      </c>
      <c r="B7387" s="2">
        <v>44809.0</v>
      </c>
      <c r="C7387" s="1" t="s">
        <v>20</v>
      </c>
      <c r="D7387" s="1" t="s">
        <v>21</v>
      </c>
      <c r="E7387" s="1" t="s">
        <v>37</v>
      </c>
      <c r="F7387" s="1">
        <v>386.24</v>
      </c>
      <c r="G7387" s="1">
        <v>255.84</v>
      </c>
      <c r="H7387" s="1">
        <v>2.0</v>
      </c>
      <c r="I7387" s="1" t="s">
        <v>34</v>
      </c>
      <c r="J7387" s="1" t="s">
        <v>24</v>
      </c>
      <c r="K7387" s="1">
        <f t="shared" si="1"/>
        <v>2022</v>
      </c>
      <c r="L7387" s="1" t="str">
        <f t="shared" si="2"/>
        <v>Sep</v>
      </c>
      <c r="M7387" s="1" t="str">
        <f t="shared" si="3"/>
        <v>Profit</v>
      </c>
    </row>
    <row r="7388" ht="14.25" customHeight="1">
      <c r="A7388" s="1" t="s">
        <v>7422</v>
      </c>
      <c r="B7388" s="2">
        <v>44542.0</v>
      </c>
      <c r="C7388" s="1" t="s">
        <v>20</v>
      </c>
      <c r="D7388" s="1" t="s">
        <v>15</v>
      </c>
      <c r="E7388" s="1" t="s">
        <v>54</v>
      </c>
      <c r="F7388" s="1">
        <v>688.99</v>
      </c>
      <c r="G7388" s="1">
        <v>95.23</v>
      </c>
      <c r="H7388" s="1">
        <v>8.0</v>
      </c>
      <c r="I7388" s="1" t="s">
        <v>17</v>
      </c>
      <c r="J7388" s="1" t="s">
        <v>24</v>
      </c>
      <c r="K7388" s="1">
        <f t="shared" si="1"/>
        <v>2021</v>
      </c>
      <c r="L7388" s="1" t="str">
        <f t="shared" si="2"/>
        <v>Dec</v>
      </c>
      <c r="M7388" s="1" t="str">
        <f t="shared" si="3"/>
        <v>Profit</v>
      </c>
    </row>
    <row r="7389" ht="14.25" customHeight="1">
      <c r="A7389" s="1" t="s">
        <v>7423</v>
      </c>
      <c r="B7389" s="2">
        <v>45189.0</v>
      </c>
      <c r="C7389" s="1" t="s">
        <v>26</v>
      </c>
      <c r="D7389" s="1" t="s">
        <v>27</v>
      </c>
      <c r="E7389" s="1" t="s">
        <v>33</v>
      </c>
      <c r="F7389" s="1">
        <v>109.94</v>
      </c>
      <c r="G7389" s="1">
        <v>211.32</v>
      </c>
      <c r="H7389" s="1">
        <v>2.0</v>
      </c>
      <c r="I7389" s="1" t="s">
        <v>34</v>
      </c>
      <c r="J7389" s="1" t="s">
        <v>35</v>
      </c>
      <c r="K7389" s="1">
        <f t="shared" si="1"/>
        <v>2023</v>
      </c>
      <c r="L7389" s="1" t="str">
        <f t="shared" si="2"/>
        <v>Sep</v>
      </c>
      <c r="M7389" s="1" t="str">
        <f t="shared" si="3"/>
        <v>Profit</v>
      </c>
    </row>
    <row r="7390" ht="14.25" customHeight="1">
      <c r="A7390" s="1" t="s">
        <v>7424</v>
      </c>
      <c r="B7390" s="2">
        <v>44973.0</v>
      </c>
      <c r="C7390" s="1" t="s">
        <v>14</v>
      </c>
      <c r="D7390" s="1" t="s">
        <v>15</v>
      </c>
      <c r="E7390" s="1" t="s">
        <v>31</v>
      </c>
      <c r="F7390" s="1">
        <v>900.8</v>
      </c>
      <c r="G7390" s="1">
        <v>-124.09</v>
      </c>
      <c r="H7390" s="1">
        <v>7.0</v>
      </c>
      <c r="I7390" s="1" t="s">
        <v>34</v>
      </c>
      <c r="J7390" s="1" t="s">
        <v>38</v>
      </c>
      <c r="K7390" s="1">
        <f t="shared" si="1"/>
        <v>2023</v>
      </c>
      <c r="L7390" s="1" t="str">
        <f t="shared" si="2"/>
        <v>Feb</v>
      </c>
      <c r="M7390" s="1" t="str">
        <f t="shared" si="3"/>
        <v>Loss</v>
      </c>
    </row>
    <row r="7391" ht="14.25" customHeight="1">
      <c r="A7391" s="1" t="s">
        <v>7425</v>
      </c>
      <c r="B7391" s="2">
        <v>44988.0</v>
      </c>
      <c r="C7391" s="1" t="s">
        <v>14</v>
      </c>
      <c r="D7391" s="1" t="s">
        <v>21</v>
      </c>
      <c r="E7391" s="1" t="s">
        <v>76</v>
      </c>
      <c r="F7391" s="1">
        <v>420.36</v>
      </c>
      <c r="G7391" s="1">
        <v>237.23</v>
      </c>
      <c r="H7391" s="1">
        <v>7.0</v>
      </c>
      <c r="I7391" s="1" t="s">
        <v>17</v>
      </c>
      <c r="J7391" s="1" t="s">
        <v>24</v>
      </c>
      <c r="K7391" s="1">
        <f t="shared" si="1"/>
        <v>2023</v>
      </c>
      <c r="L7391" s="1" t="str">
        <f t="shared" si="2"/>
        <v>Mar</v>
      </c>
      <c r="M7391" s="1" t="str">
        <f t="shared" si="3"/>
        <v>Profit</v>
      </c>
    </row>
    <row r="7392" ht="14.25" customHeight="1">
      <c r="A7392" s="1" t="s">
        <v>7426</v>
      </c>
      <c r="B7392" s="2">
        <v>45215.0</v>
      </c>
      <c r="C7392" s="1" t="s">
        <v>20</v>
      </c>
      <c r="D7392" s="1" t="s">
        <v>27</v>
      </c>
      <c r="E7392" s="1" t="s">
        <v>33</v>
      </c>
      <c r="F7392" s="1">
        <v>370.29</v>
      </c>
      <c r="G7392" s="1">
        <v>-86.27</v>
      </c>
      <c r="H7392" s="1">
        <v>4.0</v>
      </c>
      <c r="I7392" s="1" t="s">
        <v>23</v>
      </c>
      <c r="J7392" s="1" t="s">
        <v>18</v>
      </c>
      <c r="K7392" s="1">
        <f t="shared" si="1"/>
        <v>2023</v>
      </c>
      <c r="L7392" s="1" t="str">
        <f t="shared" si="2"/>
        <v>Oct</v>
      </c>
      <c r="M7392" s="1" t="str">
        <f t="shared" si="3"/>
        <v>Loss</v>
      </c>
    </row>
    <row r="7393" ht="14.25" customHeight="1">
      <c r="A7393" s="1" t="s">
        <v>7427</v>
      </c>
      <c r="B7393" s="2">
        <v>44831.0</v>
      </c>
      <c r="C7393" s="1" t="s">
        <v>14</v>
      </c>
      <c r="D7393" s="1" t="s">
        <v>15</v>
      </c>
      <c r="E7393" s="1" t="s">
        <v>31</v>
      </c>
      <c r="F7393" s="1">
        <v>332.58</v>
      </c>
      <c r="G7393" s="1">
        <v>38.33</v>
      </c>
      <c r="H7393" s="1">
        <v>7.0</v>
      </c>
      <c r="I7393" s="1" t="s">
        <v>34</v>
      </c>
      <c r="J7393" s="1" t="s">
        <v>24</v>
      </c>
      <c r="K7393" s="1">
        <f t="shared" si="1"/>
        <v>2022</v>
      </c>
      <c r="L7393" s="1" t="str">
        <f t="shared" si="2"/>
        <v>Sep</v>
      </c>
      <c r="M7393" s="1" t="str">
        <f t="shared" si="3"/>
        <v>Profit</v>
      </c>
    </row>
    <row r="7394" ht="14.25" customHeight="1">
      <c r="A7394" s="1" t="s">
        <v>7428</v>
      </c>
      <c r="B7394" s="2">
        <v>44388.0</v>
      </c>
      <c r="C7394" s="1" t="s">
        <v>30</v>
      </c>
      <c r="D7394" s="1" t="s">
        <v>21</v>
      </c>
      <c r="E7394" s="1" t="s">
        <v>37</v>
      </c>
      <c r="F7394" s="1">
        <v>932.32</v>
      </c>
      <c r="G7394" s="1">
        <v>29.84</v>
      </c>
      <c r="H7394" s="1">
        <v>2.0</v>
      </c>
      <c r="I7394" s="1" t="s">
        <v>17</v>
      </c>
      <c r="J7394" s="1" t="s">
        <v>35</v>
      </c>
      <c r="K7394" s="1">
        <f t="shared" si="1"/>
        <v>2021</v>
      </c>
      <c r="L7394" s="1" t="str">
        <f t="shared" si="2"/>
        <v>Jul</v>
      </c>
      <c r="M7394" s="1" t="str">
        <f t="shared" si="3"/>
        <v>Profit</v>
      </c>
    </row>
    <row r="7395" ht="14.25" customHeight="1">
      <c r="A7395" s="1" t="s">
        <v>7429</v>
      </c>
      <c r="B7395" s="2">
        <v>45105.0</v>
      </c>
      <c r="C7395" s="1" t="s">
        <v>30</v>
      </c>
      <c r="D7395" s="1" t="s">
        <v>15</v>
      </c>
      <c r="E7395" s="1" t="s">
        <v>54</v>
      </c>
      <c r="F7395" s="1">
        <v>21.52</v>
      </c>
      <c r="G7395" s="1">
        <v>111.74</v>
      </c>
      <c r="H7395" s="1">
        <v>2.0</v>
      </c>
      <c r="I7395" s="1" t="s">
        <v>34</v>
      </c>
      <c r="J7395" s="1" t="s">
        <v>35</v>
      </c>
      <c r="K7395" s="1">
        <f t="shared" si="1"/>
        <v>2023</v>
      </c>
      <c r="L7395" s="1" t="str">
        <f t="shared" si="2"/>
        <v>Jun</v>
      </c>
      <c r="M7395" s="1" t="str">
        <f t="shared" si="3"/>
        <v>Profit</v>
      </c>
    </row>
    <row r="7396" ht="14.25" customHeight="1">
      <c r="A7396" s="1" t="s">
        <v>7430</v>
      </c>
      <c r="B7396" s="2">
        <v>44650.0</v>
      </c>
      <c r="C7396" s="1" t="s">
        <v>20</v>
      </c>
      <c r="D7396" s="1" t="s">
        <v>27</v>
      </c>
      <c r="E7396" s="1" t="s">
        <v>40</v>
      </c>
      <c r="F7396" s="1">
        <v>423.33</v>
      </c>
      <c r="G7396" s="1">
        <v>-137.49</v>
      </c>
      <c r="H7396" s="1">
        <v>1.0</v>
      </c>
      <c r="I7396" s="1" t="s">
        <v>34</v>
      </c>
      <c r="J7396" s="1" t="s">
        <v>35</v>
      </c>
      <c r="K7396" s="1">
        <f t="shared" si="1"/>
        <v>2022</v>
      </c>
      <c r="L7396" s="1" t="str">
        <f t="shared" si="2"/>
        <v>Mar</v>
      </c>
      <c r="M7396" s="1" t="str">
        <f t="shared" si="3"/>
        <v>Loss</v>
      </c>
    </row>
    <row r="7397" ht="14.25" customHeight="1">
      <c r="A7397" s="1" t="s">
        <v>7431</v>
      </c>
      <c r="B7397" s="2">
        <v>45237.0</v>
      </c>
      <c r="C7397" s="1" t="s">
        <v>14</v>
      </c>
      <c r="D7397" s="1" t="s">
        <v>27</v>
      </c>
      <c r="E7397" s="1" t="s">
        <v>40</v>
      </c>
      <c r="F7397" s="1">
        <v>99.79</v>
      </c>
      <c r="G7397" s="1">
        <v>133.97</v>
      </c>
      <c r="H7397" s="1">
        <v>10.0</v>
      </c>
      <c r="I7397" s="1" t="s">
        <v>17</v>
      </c>
      <c r="J7397" s="1" t="s">
        <v>24</v>
      </c>
      <c r="K7397" s="1">
        <f t="shared" si="1"/>
        <v>2023</v>
      </c>
      <c r="L7397" s="1" t="str">
        <f t="shared" si="2"/>
        <v>Nov</v>
      </c>
      <c r="M7397" s="1" t="str">
        <f t="shared" si="3"/>
        <v>Profit</v>
      </c>
    </row>
    <row r="7398" ht="14.25" customHeight="1">
      <c r="A7398" s="1" t="s">
        <v>7432</v>
      </c>
      <c r="B7398" s="2">
        <v>44820.0</v>
      </c>
      <c r="C7398" s="1" t="s">
        <v>20</v>
      </c>
      <c r="D7398" s="1" t="s">
        <v>21</v>
      </c>
      <c r="E7398" s="1" t="s">
        <v>37</v>
      </c>
      <c r="F7398" s="1">
        <v>518.36</v>
      </c>
      <c r="G7398" s="1">
        <v>-134.48</v>
      </c>
      <c r="H7398" s="1">
        <v>4.0</v>
      </c>
      <c r="I7398" s="1" t="s">
        <v>34</v>
      </c>
      <c r="J7398" s="1" t="s">
        <v>24</v>
      </c>
      <c r="K7398" s="1">
        <f t="shared" si="1"/>
        <v>2022</v>
      </c>
      <c r="L7398" s="1" t="str">
        <f t="shared" si="2"/>
        <v>Sep</v>
      </c>
      <c r="M7398" s="1" t="str">
        <f t="shared" si="3"/>
        <v>Loss</v>
      </c>
    </row>
    <row r="7399" ht="14.25" customHeight="1">
      <c r="A7399" s="1" t="s">
        <v>7433</v>
      </c>
      <c r="B7399" s="2">
        <v>45251.0</v>
      </c>
      <c r="C7399" s="1" t="s">
        <v>14</v>
      </c>
      <c r="D7399" s="1" t="s">
        <v>21</v>
      </c>
      <c r="E7399" s="1" t="s">
        <v>37</v>
      </c>
      <c r="F7399" s="1">
        <v>266.25</v>
      </c>
      <c r="G7399" s="1">
        <v>207.47</v>
      </c>
      <c r="H7399" s="1">
        <v>10.0</v>
      </c>
      <c r="I7399" s="1" t="s">
        <v>17</v>
      </c>
      <c r="J7399" s="1" t="s">
        <v>18</v>
      </c>
      <c r="K7399" s="1">
        <f t="shared" si="1"/>
        <v>2023</v>
      </c>
      <c r="L7399" s="1" t="str">
        <f t="shared" si="2"/>
        <v>Nov</v>
      </c>
      <c r="M7399" s="1" t="str">
        <f t="shared" si="3"/>
        <v>Profit</v>
      </c>
    </row>
    <row r="7400" ht="14.25" customHeight="1">
      <c r="A7400" s="1" t="s">
        <v>7434</v>
      </c>
      <c r="B7400" s="2">
        <v>44540.0</v>
      </c>
      <c r="C7400" s="1" t="s">
        <v>26</v>
      </c>
      <c r="D7400" s="1" t="s">
        <v>15</v>
      </c>
      <c r="E7400" s="1" t="s">
        <v>31</v>
      </c>
      <c r="F7400" s="1">
        <v>936.47</v>
      </c>
      <c r="G7400" s="1">
        <v>-88.19</v>
      </c>
      <c r="H7400" s="1">
        <v>4.0</v>
      </c>
      <c r="I7400" s="1" t="s">
        <v>17</v>
      </c>
      <c r="J7400" s="1" t="s">
        <v>18</v>
      </c>
      <c r="K7400" s="1">
        <f t="shared" si="1"/>
        <v>2021</v>
      </c>
      <c r="L7400" s="1" t="str">
        <f t="shared" si="2"/>
        <v>Dec</v>
      </c>
      <c r="M7400" s="1" t="str">
        <f t="shared" si="3"/>
        <v>Loss</v>
      </c>
    </row>
    <row r="7401" ht="14.25" customHeight="1">
      <c r="A7401" s="1" t="s">
        <v>7435</v>
      </c>
      <c r="B7401" s="2">
        <v>44291.0</v>
      </c>
      <c r="C7401" s="1" t="s">
        <v>20</v>
      </c>
      <c r="D7401" s="1" t="s">
        <v>15</v>
      </c>
      <c r="E7401" s="1" t="s">
        <v>16</v>
      </c>
      <c r="F7401" s="1">
        <v>210.38</v>
      </c>
      <c r="G7401" s="1">
        <v>-129.47</v>
      </c>
      <c r="H7401" s="1">
        <v>9.0</v>
      </c>
      <c r="I7401" s="1" t="s">
        <v>17</v>
      </c>
      <c r="J7401" s="1" t="s">
        <v>18</v>
      </c>
      <c r="K7401" s="1">
        <f t="shared" si="1"/>
        <v>2021</v>
      </c>
      <c r="L7401" s="1" t="str">
        <f t="shared" si="2"/>
        <v>Apr</v>
      </c>
      <c r="M7401" s="1" t="str">
        <f t="shared" si="3"/>
        <v>Loss</v>
      </c>
    </row>
    <row r="7402" ht="14.25" customHeight="1">
      <c r="A7402" s="1" t="s">
        <v>7436</v>
      </c>
      <c r="B7402" s="2">
        <v>44225.0</v>
      </c>
      <c r="C7402" s="1" t="s">
        <v>30</v>
      </c>
      <c r="D7402" s="1" t="s">
        <v>15</v>
      </c>
      <c r="E7402" s="1" t="s">
        <v>54</v>
      </c>
      <c r="F7402" s="1">
        <v>460.43</v>
      </c>
      <c r="G7402" s="1">
        <v>58.31</v>
      </c>
      <c r="H7402" s="1">
        <v>4.0</v>
      </c>
      <c r="I7402" s="1" t="s">
        <v>34</v>
      </c>
      <c r="J7402" s="1" t="s">
        <v>35</v>
      </c>
      <c r="K7402" s="1">
        <f t="shared" si="1"/>
        <v>2021</v>
      </c>
      <c r="L7402" s="1" t="str">
        <f t="shared" si="2"/>
        <v>Jan</v>
      </c>
      <c r="M7402" s="1" t="str">
        <f t="shared" si="3"/>
        <v>Profit</v>
      </c>
    </row>
    <row r="7403" ht="14.25" customHeight="1">
      <c r="A7403" s="1" t="s">
        <v>7437</v>
      </c>
      <c r="B7403" s="2">
        <v>44924.0</v>
      </c>
      <c r="C7403" s="1" t="s">
        <v>14</v>
      </c>
      <c r="D7403" s="1" t="s">
        <v>21</v>
      </c>
      <c r="E7403" s="1" t="s">
        <v>76</v>
      </c>
      <c r="F7403" s="1">
        <v>193.35</v>
      </c>
      <c r="G7403" s="1">
        <v>-13.61</v>
      </c>
      <c r="H7403" s="1">
        <v>1.0</v>
      </c>
      <c r="I7403" s="1" t="s">
        <v>23</v>
      </c>
      <c r="J7403" s="1" t="s">
        <v>35</v>
      </c>
      <c r="K7403" s="1">
        <f t="shared" si="1"/>
        <v>2022</v>
      </c>
      <c r="L7403" s="1" t="str">
        <f t="shared" si="2"/>
        <v>Dec</v>
      </c>
      <c r="M7403" s="1" t="str">
        <f t="shared" si="3"/>
        <v>Loss</v>
      </c>
    </row>
    <row r="7404" ht="14.25" customHeight="1">
      <c r="A7404" s="1" t="s">
        <v>7438</v>
      </c>
      <c r="B7404" s="2">
        <v>44898.0</v>
      </c>
      <c r="C7404" s="1" t="s">
        <v>14</v>
      </c>
      <c r="D7404" s="1" t="s">
        <v>27</v>
      </c>
      <c r="E7404" s="1" t="s">
        <v>33</v>
      </c>
      <c r="F7404" s="1">
        <v>686.01</v>
      </c>
      <c r="G7404" s="1">
        <v>-35.25</v>
      </c>
      <c r="H7404" s="1">
        <v>2.0</v>
      </c>
      <c r="I7404" s="1" t="s">
        <v>17</v>
      </c>
      <c r="J7404" s="1" t="s">
        <v>38</v>
      </c>
      <c r="K7404" s="1">
        <f t="shared" si="1"/>
        <v>2022</v>
      </c>
      <c r="L7404" s="1" t="str">
        <f t="shared" si="2"/>
        <v>Dec</v>
      </c>
      <c r="M7404" s="1" t="str">
        <f t="shared" si="3"/>
        <v>Loss</v>
      </c>
    </row>
    <row r="7405" ht="14.25" customHeight="1">
      <c r="A7405" s="1" t="s">
        <v>7439</v>
      </c>
      <c r="B7405" s="2">
        <v>45100.0</v>
      </c>
      <c r="C7405" s="1" t="s">
        <v>14</v>
      </c>
      <c r="D7405" s="1" t="s">
        <v>15</v>
      </c>
      <c r="E7405" s="1" t="s">
        <v>54</v>
      </c>
      <c r="F7405" s="1">
        <v>210.25</v>
      </c>
      <c r="G7405" s="1">
        <v>271.81</v>
      </c>
      <c r="H7405" s="1">
        <v>3.0</v>
      </c>
      <c r="I7405" s="1" t="s">
        <v>34</v>
      </c>
      <c r="J7405" s="1" t="s">
        <v>18</v>
      </c>
      <c r="K7405" s="1">
        <f t="shared" si="1"/>
        <v>2023</v>
      </c>
      <c r="L7405" s="1" t="str">
        <f t="shared" si="2"/>
        <v>Jun</v>
      </c>
      <c r="M7405" s="1" t="str">
        <f t="shared" si="3"/>
        <v>Profit</v>
      </c>
    </row>
    <row r="7406" ht="14.25" customHeight="1">
      <c r="A7406" s="1" t="s">
        <v>7440</v>
      </c>
      <c r="B7406" s="2">
        <v>44613.0</v>
      </c>
      <c r="C7406" s="1" t="s">
        <v>30</v>
      </c>
      <c r="D7406" s="1" t="s">
        <v>27</v>
      </c>
      <c r="E7406" s="1" t="s">
        <v>28</v>
      </c>
      <c r="F7406" s="1">
        <v>520.35</v>
      </c>
      <c r="G7406" s="1">
        <v>183.47</v>
      </c>
      <c r="H7406" s="1">
        <v>7.0</v>
      </c>
      <c r="I7406" s="1" t="s">
        <v>17</v>
      </c>
      <c r="J7406" s="1" t="s">
        <v>18</v>
      </c>
      <c r="K7406" s="1">
        <f t="shared" si="1"/>
        <v>2022</v>
      </c>
      <c r="L7406" s="1" t="str">
        <f t="shared" si="2"/>
        <v>Feb</v>
      </c>
      <c r="M7406" s="1" t="str">
        <f t="shared" si="3"/>
        <v>Profit</v>
      </c>
    </row>
    <row r="7407" ht="14.25" customHeight="1">
      <c r="A7407" s="1" t="s">
        <v>7441</v>
      </c>
      <c r="B7407" s="2">
        <v>44467.0</v>
      </c>
      <c r="C7407" s="1" t="s">
        <v>26</v>
      </c>
      <c r="D7407" s="1" t="s">
        <v>15</v>
      </c>
      <c r="E7407" s="1" t="s">
        <v>54</v>
      </c>
      <c r="F7407" s="1">
        <v>606.38</v>
      </c>
      <c r="G7407" s="1">
        <v>-121.22</v>
      </c>
      <c r="H7407" s="1">
        <v>6.0</v>
      </c>
      <c r="I7407" s="1" t="s">
        <v>23</v>
      </c>
      <c r="J7407" s="1" t="s">
        <v>18</v>
      </c>
      <c r="K7407" s="1">
        <f t="shared" si="1"/>
        <v>2021</v>
      </c>
      <c r="L7407" s="1" t="str">
        <f t="shared" si="2"/>
        <v>Sep</v>
      </c>
      <c r="M7407" s="1" t="str">
        <f t="shared" si="3"/>
        <v>Loss</v>
      </c>
    </row>
    <row r="7408" ht="14.25" customHeight="1">
      <c r="A7408" s="1" t="s">
        <v>7442</v>
      </c>
      <c r="B7408" s="2">
        <v>45044.0</v>
      </c>
      <c r="C7408" s="1" t="s">
        <v>26</v>
      </c>
      <c r="D7408" s="1" t="s">
        <v>21</v>
      </c>
      <c r="E7408" s="1" t="s">
        <v>22</v>
      </c>
      <c r="F7408" s="1">
        <v>466.63</v>
      </c>
      <c r="G7408" s="1">
        <v>-137.9</v>
      </c>
      <c r="H7408" s="1">
        <v>3.0</v>
      </c>
      <c r="I7408" s="1" t="s">
        <v>34</v>
      </c>
      <c r="J7408" s="1" t="s">
        <v>35</v>
      </c>
      <c r="K7408" s="1">
        <f t="shared" si="1"/>
        <v>2023</v>
      </c>
      <c r="L7408" s="1" t="str">
        <f t="shared" si="2"/>
        <v>Apr</v>
      </c>
      <c r="M7408" s="1" t="str">
        <f t="shared" si="3"/>
        <v>Loss</v>
      </c>
    </row>
    <row r="7409" ht="14.25" customHeight="1">
      <c r="A7409" s="1" t="s">
        <v>7443</v>
      </c>
      <c r="B7409" s="2">
        <v>45255.0</v>
      </c>
      <c r="C7409" s="1" t="s">
        <v>30</v>
      </c>
      <c r="D7409" s="1" t="s">
        <v>21</v>
      </c>
      <c r="E7409" s="1" t="s">
        <v>76</v>
      </c>
      <c r="F7409" s="1">
        <v>860.37</v>
      </c>
      <c r="G7409" s="1">
        <v>170.7</v>
      </c>
      <c r="H7409" s="1">
        <v>10.0</v>
      </c>
      <c r="I7409" s="1" t="s">
        <v>23</v>
      </c>
      <c r="J7409" s="1" t="s">
        <v>38</v>
      </c>
      <c r="K7409" s="1">
        <f t="shared" si="1"/>
        <v>2023</v>
      </c>
      <c r="L7409" s="1" t="str">
        <f t="shared" si="2"/>
        <v>Nov</v>
      </c>
      <c r="M7409" s="1" t="str">
        <f t="shared" si="3"/>
        <v>Profit</v>
      </c>
    </row>
    <row r="7410" ht="14.25" customHeight="1">
      <c r="A7410" s="1" t="s">
        <v>7444</v>
      </c>
      <c r="B7410" s="2">
        <v>44653.0</v>
      </c>
      <c r="C7410" s="1" t="s">
        <v>20</v>
      </c>
      <c r="D7410" s="1" t="s">
        <v>27</v>
      </c>
      <c r="E7410" s="1" t="s">
        <v>28</v>
      </c>
      <c r="F7410" s="1">
        <v>969.6</v>
      </c>
      <c r="G7410" s="1">
        <v>-177.0</v>
      </c>
      <c r="H7410" s="1">
        <v>6.0</v>
      </c>
      <c r="I7410" s="1" t="s">
        <v>17</v>
      </c>
      <c r="J7410" s="1" t="s">
        <v>35</v>
      </c>
      <c r="K7410" s="1">
        <f t="shared" si="1"/>
        <v>2022</v>
      </c>
      <c r="L7410" s="1" t="str">
        <f t="shared" si="2"/>
        <v>Apr</v>
      </c>
      <c r="M7410" s="1" t="str">
        <f t="shared" si="3"/>
        <v>Loss</v>
      </c>
    </row>
    <row r="7411" ht="14.25" customHeight="1">
      <c r="A7411" s="1" t="s">
        <v>7445</v>
      </c>
      <c r="B7411" s="2">
        <v>45249.0</v>
      </c>
      <c r="C7411" s="1" t="s">
        <v>20</v>
      </c>
      <c r="D7411" s="1" t="s">
        <v>15</v>
      </c>
      <c r="E7411" s="1" t="s">
        <v>31</v>
      </c>
      <c r="F7411" s="1">
        <v>598.37</v>
      </c>
      <c r="G7411" s="1">
        <v>188.8</v>
      </c>
      <c r="H7411" s="1">
        <v>9.0</v>
      </c>
      <c r="I7411" s="1" t="s">
        <v>34</v>
      </c>
      <c r="J7411" s="1" t="s">
        <v>35</v>
      </c>
      <c r="K7411" s="1">
        <f t="shared" si="1"/>
        <v>2023</v>
      </c>
      <c r="L7411" s="1" t="str">
        <f t="shared" si="2"/>
        <v>Nov</v>
      </c>
      <c r="M7411" s="1" t="str">
        <f t="shared" si="3"/>
        <v>Profit</v>
      </c>
    </row>
    <row r="7412" ht="14.25" customHeight="1">
      <c r="A7412" s="1" t="s">
        <v>7446</v>
      </c>
      <c r="B7412" s="2">
        <v>45092.0</v>
      </c>
      <c r="C7412" s="1" t="s">
        <v>30</v>
      </c>
      <c r="D7412" s="1" t="s">
        <v>15</v>
      </c>
      <c r="E7412" s="1" t="s">
        <v>31</v>
      </c>
      <c r="F7412" s="1">
        <v>443.36</v>
      </c>
      <c r="G7412" s="1">
        <v>-93.96</v>
      </c>
      <c r="H7412" s="1">
        <v>8.0</v>
      </c>
      <c r="I7412" s="1" t="s">
        <v>34</v>
      </c>
      <c r="J7412" s="1" t="s">
        <v>38</v>
      </c>
      <c r="K7412" s="1">
        <f t="shared" si="1"/>
        <v>2023</v>
      </c>
      <c r="L7412" s="1" t="str">
        <f t="shared" si="2"/>
        <v>Jun</v>
      </c>
      <c r="M7412" s="1" t="str">
        <f t="shared" si="3"/>
        <v>Loss</v>
      </c>
    </row>
    <row r="7413" ht="14.25" customHeight="1">
      <c r="A7413" s="1" t="s">
        <v>7447</v>
      </c>
      <c r="B7413" s="2">
        <v>44981.0</v>
      </c>
      <c r="C7413" s="1" t="s">
        <v>20</v>
      </c>
      <c r="D7413" s="1" t="s">
        <v>27</v>
      </c>
      <c r="E7413" s="1" t="s">
        <v>40</v>
      </c>
      <c r="F7413" s="1">
        <v>332.14</v>
      </c>
      <c r="G7413" s="1">
        <v>291.3</v>
      </c>
      <c r="H7413" s="1">
        <v>3.0</v>
      </c>
      <c r="I7413" s="1" t="s">
        <v>34</v>
      </c>
      <c r="J7413" s="1" t="s">
        <v>18</v>
      </c>
      <c r="K7413" s="1">
        <f t="shared" si="1"/>
        <v>2023</v>
      </c>
      <c r="L7413" s="1" t="str">
        <f t="shared" si="2"/>
        <v>Feb</v>
      </c>
      <c r="M7413" s="1" t="str">
        <f t="shared" si="3"/>
        <v>Profit</v>
      </c>
    </row>
    <row r="7414" ht="14.25" customHeight="1">
      <c r="A7414" s="1" t="s">
        <v>7448</v>
      </c>
      <c r="B7414" s="2">
        <v>44989.0</v>
      </c>
      <c r="C7414" s="1" t="s">
        <v>26</v>
      </c>
      <c r="D7414" s="1" t="s">
        <v>15</v>
      </c>
      <c r="E7414" s="1" t="s">
        <v>16</v>
      </c>
      <c r="F7414" s="1">
        <v>694.18</v>
      </c>
      <c r="G7414" s="1">
        <v>198.24</v>
      </c>
      <c r="H7414" s="1">
        <v>9.0</v>
      </c>
      <c r="I7414" s="1" t="s">
        <v>17</v>
      </c>
      <c r="J7414" s="1" t="s">
        <v>24</v>
      </c>
      <c r="K7414" s="1">
        <f t="shared" si="1"/>
        <v>2023</v>
      </c>
      <c r="L7414" s="1" t="str">
        <f t="shared" si="2"/>
        <v>Mar</v>
      </c>
      <c r="M7414" s="1" t="str">
        <f t="shared" si="3"/>
        <v>Profit</v>
      </c>
    </row>
    <row r="7415" ht="14.25" customHeight="1">
      <c r="A7415" s="1" t="s">
        <v>7449</v>
      </c>
      <c r="B7415" s="2">
        <v>44303.0</v>
      </c>
      <c r="C7415" s="1" t="s">
        <v>30</v>
      </c>
      <c r="D7415" s="1" t="s">
        <v>27</v>
      </c>
      <c r="E7415" s="1" t="s">
        <v>40</v>
      </c>
      <c r="F7415" s="1">
        <v>601.12</v>
      </c>
      <c r="G7415" s="1">
        <v>-45.13</v>
      </c>
      <c r="H7415" s="1">
        <v>2.0</v>
      </c>
      <c r="I7415" s="1" t="s">
        <v>34</v>
      </c>
      <c r="J7415" s="1" t="s">
        <v>24</v>
      </c>
      <c r="K7415" s="1">
        <f t="shared" si="1"/>
        <v>2021</v>
      </c>
      <c r="L7415" s="1" t="str">
        <f t="shared" si="2"/>
        <v>Apr</v>
      </c>
      <c r="M7415" s="1" t="str">
        <f t="shared" si="3"/>
        <v>Loss</v>
      </c>
    </row>
    <row r="7416" ht="14.25" customHeight="1">
      <c r="A7416" s="1" t="s">
        <v>7450</v>
      </c>
      <c r="B7416" s="2">
        <v>45080.0</v>
      </c>
      <c r="C7416" s="1" t="s">
        <v>26</v>
      </c>
      <c r="D7416" s="1" t="s">
        <v>15</v>
      </c>
      <c r="E7416" s="1" t="s">
        <v>16</v>
      </c>
      <c r="F7416" s="1">
        <v>841.71</v>
      </c>
      <c r="G7416" s="1">
        <v>10.11</v>
      </c>
      <c r="H7416" s="1">
        <v>6.0</v>
      </c>
      <c r="I7416" s="1" t="s">
        <v>23</v>
      </c>
      <c r="J7416" s="1" t="s">
        <v>38</v>
      </c>
      <c r="K7416" s="1">
        <f t="shared" si="1"/>
        <v>2023</v>
      </c>
      <c r="L7416" s="1" t="str">
        <f t="shared" si="2"/>
        <v>Jun</v>
      </c>
      <c r="M7416" s="1" t="str">
        <f t="shared" si="3"/>
        <v>Profit</v>
      </c>
    </row>
    <row r="7417" ht="14.25" customHeight="1">
      <c r="A7417" s="1" t="s">
        <v>7451</v>
      </c>
      <c r="B7417" s="2">
        <v>44339.0</v>
      </c>
      <c r="C7417" s="1" t="s">
        <v>30</v>
      </c>
      <c r="D7417" s="1" t="s">
        <v>21</v>
      </c>
      <c r="E7417" s="1" t="s">
        <v>76</v>
      </c>
      <c r="F7417" s="1">
        <v>650.61</v>
      </c>
      <c r="G7417" s="1">
        <v>-20.29</v>
      </c>
      <c r="H7417" s="1">
        <v>8.0</v>
      </c>
      <c r="I7417" s="1" t="s">
        <v>17</v>
      </c>
      <c r="J7417" s="1" t="s">
        <v>38</v>
      </c>
      <c r="K7417" s="1">
        <f t="shared" si="1"/>
        <v>2021</v>
      </c>
      <c r="L7417" s="1" t="str">
        <f t="shared" si="2"/>
        <v>May</v>
      </c>
      <c r="M7417" s="1" t="str">
        <f t="shared" si="3"/>
        <v>Loss</v>
      </c>
    </row>
    <row r="7418" ht="14.25" customHeight="1">
      <c r="A7418" s="1" t="s">
        <v>7452</v>
      </c>
      <c r="B7418" s="2">
        <v>44286.0</v>
      </c>
      <c r="C7418" s="1" t="s">
        <v>26</v>
      </c>
      <c r="D7418" s="1" t="s">
        <v>21</v>
      </c>
      <c r="E7418" s="1" t="s">
        <v>76</v>
      </c>
      <c r="F7418" s="1">
        <v>689.55</v>
      </c>
      <c r="G7418" s="1">
        <v>113.35</v>
      </c>
      <c r="H7418" s="1">
        <v>6.0</v>
      </c>
      <c r="I7418" s="1" t="s">
        <v>34</v>
      </c>
      <c r="J7418" s="1" t="s">
        <v>35</v>
      </c>
      <c r="K7418" s="1">
        <f t="shared" si="1"/>
        <v>2021</v>
      </c>
      <c r="L7418" s="1" t="str">
        <f t="shared" si="2"/>
        <v>Mar</v>
      </c>
      <c r="M7418" s="1" t="str">
        <f t="shared" si="3"/>
        <v>Profit</v>
      </c>
    </row>
    <row r="7419" ht="14.25" customHeight="1">
      <c r="A7419" s="1" t="s">
        <v>7453</v>
      </c>
      <c r="B7419" s="2">
        <v>45256.0</v>
      </c>
      <c r="C7419" s="1" t="s">
        <v>30</v>
      </c>
      <c r="D7419" s="1" t="s">
        <v>27</v>
      </c>
      <c r="E7419" s="1" t="s">
        <v>33</v>
      </c>
      <c r="F7419" s="1">
        <v>661.49</v>
      </c>
      <c r="G7419" s="1">
        <v>58.07</v>
      </c>
      <c r="H7419" s="1">
        <v>3.0</v>
      </c>
      <c r="I7419" s="1" t="s">
        <v>23</v>
      </c>
      <c r="J7419" s="1" t="s">
        <v>38</v>
      </c>
      <c r="K7419" s="1">
        <f t="shared" si="1"/>
        <v>2023</v>
      </c>
      <c r="L7419" s="1" t="str">
        <f t="shared" si="2"/>
        <v>Nov</v>
      </c>
      <c r="M7419" s="1" t="str">
        <f t="shared" si="3"/>
        <v>Profit</v>
      </c>
    </row>
    <row r="7420" ht="14.25" customHeight="1">
      <c r="A7420" s="1" t="s">
        <v>7454</v>
      </c>
      <c r="B7420" s="2">
        <v>44322.0</v>
      </c>
      <c r="C7420" s="1" t="s">
        <v>14</v>
      </c>
      <c r="D7420" s="1" t="s">
        <v>21</v>
      </c>
      <c r="E7420" s="1" t="s">
        <v>76</v>
      </c>
      <c r="F7420" s="1">
        <v>162.2</v>
      </c>
      <c r="G7420" s="1">
        <v>-150.22</v>
      </c>
      <c r="H7420" s="1">
        <v>2.0</v>
      </c>
      <c r="I7420" s="1" t="s">
        <v>34</v>
      </c>
      <c r="J7420" s="1" t="s">
        <v>38</v>
      </c>
      <c r="K7420" s="1">
        <f t="shared" si="1"/>
        <v>2021</v>
      </c>
      <c r="L7420" s="1" t="str">
        <f t="shared" si="2"/>
        <v>May</v>
      </c>
      <c r="M7420" s="1" t="str">
        <f t="shared" si="3"/>
        <v>Loss</v>
      </c>
    </row>
    <row r="7421" ht="14.25" customHeight="1">
      <c r="A7421" s="1" t="s">
        <v>7455</v>
      </c>
      <c r="B7421" s="2">
        <v>45149.0</v>
      </c>
      <c r="C7421" s="1" t="s">
        <v>20</v>
      </c>
      <c r="D7421" s="1" t="s">
        <v>27</v>
      </c>
      <c r="E7421" s="1" t="s">
        <v>40</v>
      </c>
      <c r="F7421" s="1">
        <v>35.2</v>
      </c>
      <c r="G7421" s="1">
        <v>-85.08</v>
      </c>
      <c r="H7421" s="1">
        <v>9.0</v>
      </c>
      <c r="I7421" s="1" t="s">
        <v>17</v>
      </c>
      <c r="J7421" s="1" t="s">
        <v>24</v>
      </c>
      <c r="K7421" s="1">
        <f t="shared" si="1"/>
        <v>2023</v>
      </c>
      <c r="L7421" s="1" t="str">
        <f t="shared" si="2"/>
        <v>Aug</v>
      </c>
      <c r="M7421" s="1" t="str">
        <f t="shared" si="3"/>
        <v>Loss</v>
      </c>
    </row>
    <row r="7422" ht="14.25" customHeight="1">
      <c r="A7422" s="1" t="s">
        <v>7456</v>
      </c>
      <c r="B7422" s="2">
        <v>44388.0</v>
      </c>
      <c r="C7422" s="1" t="s">
        <v>14</v>
      </c>
      <c r="D7422" s="1" t="s">
        <v>27</v>
      </c>
      <c r="E7422" s="1" t="s">
        <v>28</v>
      </c>
      <c r="F7422" s="1">
        <v>902.7</v>
      </c>
      <c r="G7422" s="1">
        <v>-18.2</v>
      </c>
      <c r="H7422" s="1">
        <v>4.0</v>
      </c>
      <c r="I7422" s="1" t="s">
        <v>34</v>
      </c>
      <c r="J7422" s="1" t="s">
        <v>38</v>
      </c>
      <c r="K7422" s="1">
        <f t="shared" si="1"/>
        <v>2021</v>
      </c>
      <c r="L7422" s="1" t="str">
        <f t="shared" si="2"/>
        <v>Jul</v>
      </c>
      <c r="M7422" s="1" t="str">
        <f t="shared" si="3"/>
        <v>Loss</v>
      </c>
    </row>
    <row r="7423" ht="14.25" customHeight="1">
      <c r="A7423" s="1" t="s">
        <v>7457</v>
      </c>
      <c r="B7423" s="2">
        <v>45101.0</v>
      </c>
      <c r="C7423" s="1" t="s">
        <v>30</v>
      </c>
      <c r="D7423" s="1" t="s">
        <v>15</v>
      </c>
      <c r="E7423" s="1" t="s">
        <v>54</v>
      </c>
      <c r="F7423" s="1">
        <v>814.9</v>
      </c>
      <c r="G7423" s="1">
        <v>297.68</v>
      </c>
      <c r="H7423" s="1">
        <v>1.0</v>
      </c>
      <c r="I7423" s="1" t="s">
        <v>17</v>
      </c>
      <c r="J7423" s="1" t="s">
        <v>38</v>
      </c>
      <c r="K7423" s="1">
        <f t="shared" si="1"/>
        <v>2023</v>
      </c>
      <c r="L7423" s="1" t="str">
        <f t="shared" si="2"/>
        <v>Jun</v>
      </c>
      <c r="M7423" s="1" t="str">
        <f t="shared" si="3"/>
        <v>Profit</v>
      </c>
    </row>
    <row r="7424" ht="14.25" customHeight="1">
      <c r="A7424" s="1" t="s">
        <v>7458</v>
      </c>
      <c r="B7424" s="2">
        <v>44817.0</v>
      </c>
      <c r="C7424" s="1" t="s">
        <v>20</v>
      </c>
      <c r="D7424" s="1" t="s">
        <v>27</v>
      </c>
      <c r="E7424" s="1" t="s">
        <v>28</v>
      </c>
      <c r="F7424" s="1">
        <v>51.18</v>
      </c>
      <c r="G7424" s="1">
        <v>-1.87</v>
      </c>
      <c r="H7424" s="1">
        <v>2.0</v>
      </c>
      <c r="I7424" s="1" t="s">
        <v>34</v>
      </c>
      <c r="J7424" s="1" t="s">
        <v>18</v>
      </c>
      <c r="K7424" s="1">
        <f t="shared" si="1"/>
        <v>2022</v>
      </c>
      <c r="L7424" s="1" t="str">
        <f t="shared" si="2"/>
        <v>Sep</v>
      </c>
      <c r="M7424" s="1" t="str">
        <f t="shared" si="3"/>
        <v>Loss</v>
      </c>
    </row>
    <row r="7425" ht="14.25" customHeight="1">
      <c r="A7425" s="1" t="s">
        <v>7459</v>
      </c>
      <c r="B7425" s="2">
        <v>44472.0</v>
      </c>
      <c r="C7425" s="1" t="s">
        <v>20</v>
      </c>
      <c r="D7425" s="1" t="s">
        <v>15</v>
      </c>
      <c r="E7425" s="1" t="s">
        <v>16</v>
      </c>
      <c r="F7425" s="1">
        <v>735.48</v>
      </c>
      <c r="G7425" s="1">
        <v>244.21</v>
      </c>
      <c r="H7425" s="1">
        <v>6.0</v>
      </c>
      <c r="I7425" s="1" t="s">
        <v>34</v>
      </c>
      <c r="J7425" s="1" t="s">
        <v>18</v>
      </c>
      <c r="K7425" s="1">
        <f t="shared" si="1"/>
        <v>2021</v>
      </c>
      <c r="L7425" s="1" t="str">
        <f t="shared" si="2"/>
        <v>Oct</v>
      </c>
      <c r="M7425" s="1" t="str">
        <f t="shared" si="3"/>
        <v>Profit</v>
      </c>
    </row>
    <row r="7426" ht="14.25" customHeight="1">
      <c r="A7426" s="1" t="s">
        <v>7460</v>
      </c>
      <c r="B7426" s="2">
        <v>44831.0</v>
      </c>
      <c r="C7426" s="1" t="s">
        <v>20</v>
      </c>
      <c r="D7426" s="1" t="s">
        <v>27</v>
      </c>
      <c r="E7426" s="1" t="s">
        <v>28</v>
      </c>
      <c r="F7426" s="1">
        <v>875.92</v>
      </c>
      <c r="G7426" s="1">
        <v>85.82</v>
      </c>
      <c r="H7426" s="1">
        <v>10.0</v>
      </c>
      <c r="I7426" s="1" t="s">
        <v>23</v>
      </c>
      <c r="J7426" s="1" t="s">
        <v>38</v>
      </c>
      <c r="K7426" s="1">
        <f t="shared" si="1"/>
        <v>2022</v>
      </c>
      <c r="L7426" s="1" t="str">
        <f t="shared" si="2"/>
        <v>Sep</v>
      </c>
      <c r="M7426" s="1" t="str">
        <f t="shared" si="3"/>
        <v>Profit</v>
      </c>
    </row>
    <row r="7427" ht="14.25" customHeight="1">
      <c r="A7427" s="1" t="s">
        <v>7461</v>
      </c>
      <c r="B7427" s="2">
        <v>44400.0</v>
      </c>
      <c r="C7427" s="1" t="s">
        <v>30</v>
      </c>
      <c r="D7427" s="1" t="s">
        <v>15</v>
      </c>
      <c r="E7427" s="1" t="s">
        <v>54</v>
      </c>
      <c r="F7427" s="1">
        <v>804.35</v>
      </c>
      <c r="G7427" s="1">
        <v>168.6</v>
      </c>
      <c r="H7427" s="1">
        <v>3.0</v>
      </c>
      <c r="I7427" s="1" t="s">
        <v>23</v>
      </c>
      <c r="J7427" s="1" t="s">
        <v>35</v>
      </c>
      <c r="K7427" s="1">
        <f t="shared" si="1"/>
        <v>2021</v>
      </c>
      <c r="L7427" s="1" t="str">
        <f t="shared" si="2"/>
        <v>Jul</v>
      </c>
      <c r="M7427" s="1" t="str">
        <f t="shared" si="3"/>
        <v>Profit</v>
      </c>
    </row>
    <row r="7428" ht="14.25" customHeight="1">
      <c r="A7428" s="1" t="s">
        <v>7462</v>
      </c>
      <c r="B7428" s="2">
        <v>45179.0</v>
      </c>
      <c r="C7428" s="1" t="s">
        <v>14</v>
      </c>
      <c r="D7428" s="1" t="s">
        <v>21</v>
      </c>
      <c r="E7428" s="1" t="s">
        <v>22</v>
      </c>
      <c r="F7428" s="1">
        <v>312.88</v>
      </c>
      <c r="G7428" s="1">
        <v>-17.85</v>
      </c>
      <c r="H7428" s="1">
        <v>7.0</v>
      </c>
      <c r="I7428" s="1" t="s">
        <v>34</v>
      </c>
      <c r="J7428" s="1" t="s">
        <v>35</v>
      </c>
      <c r="K7428" s="1">
        <f t="shared" si="1"/>
        <v>2023</v>
      </c>
      <c r="L7428" s="1" t="str">
        <f t="shared" si="2"/>
        <v>Sep</v>
      </c>
      <c r="M7428" s="1" t="str">
        <f t="shared" si="3"/>
        <v>Loss</v>
      </c>
    </row>
    <row r="7429" ht="14.25" customHeight="1">
      <c r="A7429" s="1" t="s">
        <v>7463</v>
      </c>
      <c r="B7429" s="2">
        <v>44393.0</v>
      </c>
      <c r="C7429" s="1" t="s">
        <v>26</v>
      </c>
      <c r="D7429" s="1" t="s">
        <v>21</v>
      </c>
      <c r="E7429" s="1" t="s">
        <v>22</v>
      </c>
      <c r="F7429" s="1">
        <v>182.39</v>
      </c>
      <c r="G7429" s="1">
        <v>65.39</v>
      </c>
      <c r="H7429" s="1">
        <v>6.0</v>
      </c>
      <c r="I7429" s="1" t="s">
        <v>23</v>
      </c>
      <c r="J7429" s="1" t="s">
        <v>38</v>
      </c>
      <c r="K7429" s="1">
        <f t="shared" si="1"/>
        <v>2021</v>
      </c>
      <c r="L7429" s="1" t="str">
        <f t="shared" si="2"/>
        <v>Jul</v>
      </c>
      <c r="M7429" s="1" t="str">
        <f t="shared" si="3"/>
        <v>Profit</v>
      </c>
    </row>
    <row r="7430" ht="14.25" customHeight="1">
      <c r="A7430" s="1" t="s">
        <v>7464</v>
      </c>
      <c r="B7430" s="2">
        <v>44599.0</v>
      </c>
      <c r="C7430" s="1" t="s">
        <v>26</v>
      </c>
      <c r="D7430" s="1" t="s">
        <v>15</v>
      </c>
      <c r="E7430" s="1" t="s">
        <v>16</v>
      </c>
      <c r="F7430" s="1">
        <v>219.3</v>
      </c>
      <c r="G7430" s="1">
        <v>99.15</v>
      </c>
      <c r="H7430" s="1">
        <v>10.0</v>
      </c>
      <c r="I7430" s="1" t="s">
        <v>23</v>
      </c>
      <c r="J7430" s="1" t="s">
        <v>18</v>
      </c>
      <c r="K7430" s="1">
        <f t="shared" si="1"/>
        <v>2022</v>
      </c>
      <c r="L7430" s="1" t="str">
        <f t="shared" si="2"/>
        <v>Feb</v>
      </c>
      <c r="M7430" s="1" t="str">
        <f t="shared" si="3"/>
        <v>Profit</v>
      </c>
    </row>
    <row r="7431" ht="14.25" customHeight="1">
      <c r="A7431" s="1" t="s">
        <v>7465</v>
      </c>
      <c r="B7431" s="2">
        <v>45169.0</v>
      </c>
      <c r="C7431" s="1" t="s">
        <v>14</v>
      </c>
      <c r="D7431" s="1" t="s">
        <v>21</v>
      </c>
      <c r="E7431" s="1" t="s">
        <v>76</v>
      </c>
      <c r="F7431" s="1">
        <v>695.21</v>
      </c>
      <c r="G7431" s="1">
        <v>-38.76</v>
      </c>
      <c r="H7431" s="1">
        <v>8.0</v>
      </c>
      <c r="I7431" s="1" t="s">
        <v>34</v>
      </c>
      <c r="J7431" s="1" t="s">
        <v>38</v>
      </c>
      <c r="K7431" s="1">
        <f t="shared" si="1"/>
        <v>2023</v>
      </c>
      <c r="L7431" s="1" t="str">
        <f t="shared" si="2"/>
        <v>Aug</v>
      </c>
      <c r="M7431" s="1" t="str">
        <f t="shared" si="3"/>
        <v>Loss</v>
      </c>
    </row>
    <row r="7432" ht="14.25" customHeight="1">
      <c r="A7432" s="1" t="s">
        <v>7466</v>
      </c>
      <c r="B7432" s="2">
        <v>44864.0</v>
      </c>
      <c r="C7432" s="1" t="s">
        <v>20</v>
      </c>
      <c r="D7432" s="1" t="s">
        <v>15</v>
      </c>
      <c r="E7432" s="1" t="s">
        <v>31</v>
      </c>
      <c r="F7432" s="1">
        <v>421.11</v>
      </c>
      <c r="G7432" s="1">
        <v>-192.84</v>
      </c>
      <c r="H7432" s="1">
        <v>7.0</v>
      </c>
      <c r="I7432" s="1" t="s">
        <v>34</v>
      </c>
      <c r="J7432" s="1" t="s">
        <v>38</v>
      </c>
      <c r="K7432" s="1">
        <f t="shared" si="1"/>
        <v>2022</v>
      </c>
      <c r="L7432" s="1" t="str">
        <f t="shared" si="2"/>
        <v>Oct</v>
      </c>
      <c r="M7432" s="1" t="str">
        <f t="shared" si="3"/>
        <v>Loss</v>
      </c>
    </row>
    <row r="7433" ht="14.25" customHeight="1">
      <c r="A7433" s="1" t="s">
        <v>7467</v>
      </c>
      <c r="B7433" s="2">
        <v>45271.0</v>
      </c>
      <c r="C7433" s="1" t="s">
        <v>14</v>
      </c>
      <c r="D7433" s="1" t="s">
        <v>15</v>
      </c>
      <c r="E7433" s="1" t="s">
        <v>31</v>
      </c>
      <c r="F7433" s="1">
        <v>152.97</v>
      </c>
      <c r="G7433" s="1">
        <v>175.72</v>
      </c>
      <c r="H7433" s="1">
        <v>3.0</v>
      </c>
      <c r="I7433" s="1" t="s">
        <v>17</v>
      </c>
      <c r="J7433" s="1" t="s">
        <v>24</v>
      </c>
      <c r="K7433" s="1">
        <f t="shared" si="1"/>
        <v>2023</v>
      </c>
      <c r="L7433" s="1" t="str">
        <f t="shared" si="2"/>
        <v>Dec</v>
      </c>
      <c r="M7433" s="1" t="str">
        <f t="shared" si="3"/>
        <v>Profit</v>
      </c>
    </row>
    <row r="7434" ht="14.25" customHeight="1">
      <c r="A7434" s="1" t="s">
        <v>7468</v>
      </c>
      <c r="B7434" s="2">
        <v>44988.0</v>
      </c>
      <c r="C7434" s="1" t="s">
        <v>26</v>
      </c>
      <c r="D7434" s="1" t="s">
        <v>15</v>
      </c>
      <c r="E7434" s="1" t="s">
        <v>54</v>
      </c>
      <c r="F7434" s="1">
        <v>693.46</v>
      </c>
      <c r="G7434" s="1">
        <v>-34.73</v>
      </c>
      <c r="H7434" s="1">
        <v>8.0</v>
      </c>
      <c r="I7434" s="1" t="s">
        <v>23</v>
      </c>
      <c r="J7434" s="1" t="s">
        <v>18</v>
      </c>
      <c r="K7434" s="1">
        <f t="shared" si="1"/>
        <v>2023</v>
      </c>
      <c r="L7434" s="1" t="str">
        <f t="shared" si="2"/>
        <v>Mar</v>
      </c>
      <c r="M7434" s="1" t="str">
        <f t="shared" si="3"/>
        <v>Loss</v>
      </c>
    </row>
    <row r="7435" ht="14.25" customHeight="1">
      <c r="A7435" s="1" t="s">
        <v>7469</v>
      </c>
      <c r="B7435" s="2">
        <v>44620.0</v>
      </c>
      <c r="C7435" s="1" t="s">
        <v>20</v>
      </c>
      <c r="D7435" s="1" t="s">
        <v>21</v>
      </c>
      <c r="E7435" s="1" t="s">
        <v>37</v>
      </c>
      <c r="F7435" s="1">
        <v>44.89</v>
      </c>
      <c r="G7435" s="1">
        <v>174.88</v>
      </c>
      <c r="H7435" s="1">
        <v>8.0</v>
      </c>
      <c r="I7435" s="1" t="s">
        <v>34</v>
      </c>
      <c r="J7435" s="1" t="s">
        <v>24</v>
      </c>
      <c r="K7435" s="1">
        <f t="shared" si="1"/>
        <v>2022</v>
      </c>
      <c r="L7435" s="1" t="str">
        <f t="shared" si="2"/>
        <v>Feb</v>
      </c>
      <c r="M7435" s="1" t="str">
        <f t="shared" si="3"/>
        <v>Profit</v>
      </c>
    </row>
    <row r="7436" ht="14.25" customHeight="1">
      <c r="A7436" s="1" t="s">
        <v>7470</v>
      </c>
      <c r="B7436" s="2">
        <v>44801.0</v>
      </c>
      <c r="C7436" s="1" t="s">
        <v>26</v>
      </c>
      <c r="D7436" s="1" t="s">
        <v>15</v>
      </c>
      <c r="E7436" s="1" t="s">
        <v>54</v>
      </c>
      <c r="F7436" s="1">
        <v>818.89</v>
      </c>
      <c r="G7436" s="1">
        <v>175.88</v>
      </c>
      <c r="H7436" s="1">
        <v>6.0</v>
      </c>
      <c r="I7436" s="1" t="s">
        <v>34</v>
      </c>
      <c r="J7436" s="1" t="s">
        <v>35</v>
      </c>
      <c r="K7436" s="1">
        <f t="shared" si="1"/>
        <v>2022</v>
      </c>
      <c r="L7436" s="1" t="str">
        <f t="shared" si="2"/>
        <v>Aug</v>
      </c>
      <c r="M7436" s="1" t="str">
        <f t="shared" si="3"/>
        <v>Profit</v>
      </c>
    </row>
    <row r="7437" ht="14.25" customHeight="1">
      <c r="A7437" s="1" t="s">
        <v>7471</v>
      </c>
      <c r="B7437" s="2">
        <v>44578.0</v>
      </c>
      <c r="C7437" s="1" t="s">
        <v>20</v>
      </c>
      <c r="D7437" s="1" t="s">
        <v>21</v>
      </c>
      <c r="E7437" s="1" t="s">
        <v>22</v>
      </c>
      <c r="F7437" s="1">
        <v>95.16</v>
      </c>
      <c r="G7437" s="1">
        <v>226.38</v>
      </c>
      <c r="H7437" s="1">
        <v>8.0</v>
      </c>
      <c r="I7437" s="1" t="s">
        <v>34</v>
      </c>
      <c r="J7437" s="1" t="s">
        <v>24</v>
      </c>
      <c r="K7437" s="1">
        <f t="shared" si="1"/>
        <v>2022</v>
      </c>
      <c r="L7437" s="1" t="str">
        <f t="shared" si="2"/>
        <v>Jan</v>
      </c>
      <c r="M7437" s="1" t="str">
        <f t="shared" si="3"/>
        <v>Profit</v>
      </c>
    </row>
    <row r="7438" ht="14.25" customHeight="1">
      <c r="A7438" s="1" t="s">
        <v>7472</v>
      </c>
      <c r="B7438" s="2">
        <v>45098.0</v>
      </c>
      <c r="C7438" s="1" t="s">
        <v>26</v>
      </c>
      <c r="D7438" s="1" t="s">
        <v>15</v>
      </c>
      <c r="E7438" s="1" t="s">
        <v>54</v>
      </c>
      <c r="F7438" s="1">
        <v>295.67</v>
      </c>
      <c r="G7438" s="1">
        <v>-165.16</v>
      </c>
      <c r="H7438" s="1">
        <v>9.0</v>
      </c>
      <c r="I7438" s="1" t="s">
        <v>23</v>
      </c>
      <c r="J7438" s="1" t="s">
        <v>18</v>
      </c>
      <c r="K7438" s="1">
        <f t="shared" si="1"/>
        <v>2023</v>
      </c>
      <c r="L7438" s="1" t="str">
        <f t="shared" si="2"/>
        <v>Jun</v>
      </c>
      <c r="M7438" s="1" t="str">
        <f t="shared" si="3"/>
        <v>Loss</v>
      </c>
    </row>
    <row r="7439" ht="14.25" customHeight="1">
      <c r="A7439" s="1" t="s">
        <v>7473</v>
      </c>
      <c r="B7439" s="2">
        <v>44472.0</v>
      </c>
      <c r="C7439" s="1" t="s">
        <v>20</v>
      </c>
      <c r="D7439" s="1" t="s">
        <v>15</v>
      </c>
      <c r="E7439" s="1" t="s">
        <v>54</v>
      </c>
      <c r="F7439" s="1">
        <v>920.31</v>
      </c>
      <c r="G7439" s="1">
        <v>-100.47</v>
      </c>
      <c r="H7439" s="1">
        <v>10.0</v>
      </c>
      <c r="I7439" s="1" t="s">
        <v>23</v>
      </c>
      <c r="J7439" s="1" t="s">
        <v>35</v>
      </c>
      <c r="K7439" s="1">
        <f t="shared" si="1"/>
        <v>2021</v>
      </c>
      <c r="L7439" s="1" t="str">
        <f t="shared" si="2"/>
        <v>Oct</v>
      </c>
      <c r="M7439" s="1" t="str">
        <f t="shared" si="3"/>
        <v>Loss</v>
      </c>
    </row>
    <row r="7440" ht="14.25" customHeight="1">
      <c r="A7440" s="1" t="s">
        <v>7474</v>
      </c>
      <c r="B7440" s="2">
        <v>44581.0</v>
      </c>
      <c r="C7440" s="1" t="s">
        <v>26</v>
      </c>
      <c r="D7440" s="1" t="s">
        <v>15</v>
      </c>
      <c r="E7440" s="1" t="s">
        <v>54</v>
      </c>
      <c r="F7440" s="1">
        <v>844.49</v>
      </c>
      <c r="G7440" s="1">
        <v>-96.08</v>
      </c>
      <c r="H7440" s="1">
        <v>3.0</v>
      </c>
      <c r="I7440" s="1" t="s">
        <v>23</v>
      </c>
      <c r="J7440" s="1" t="s">
        <v>35</v>
      </c>
      <c r="K7440" s="1">
        <f t="shared" si="1"/>
        <v>2022</v>
      </c>
      <c r="L7440" s="1" t="str">
        <f t="shared" si="2"/>
        <v>Jan</v>
      </c>
      <c r="M7440" s="1" t="str">
        <f t="shared" si="3"/>
        <v>Loss</v>
      </c>
    </row>
    <row r="7441" ht="14.25" customHeight="1">
      <c r="A7441" s="1" t="s">
        <v>7475</v>
      </c>
      <c r="B7441" s="2">
        <v>44649.0</v>
      </c>
      <c r="C7441" s="1" t="s">
        <v>30</v>
      </c>
      <c r="D7441" s="1" t="s">
        <v>15</v>
      </c>
      <c r="E7441" s="1" t="s">
        <v>54</v>
      </c>
      <c r="F7441" s="1">
        <v>342.55</v>
      </c>
      <c r="G7441" s="1">
        <v>17.62</v>
      </c>
      <c r="H7441" s="1">
        <v>1.0</v>
      </c>
      <c r="I7441" s="1" t="s">
        <v>17</v>
      </c>
      <c r="J7441" s="1" t="s">
        <v>35</v>
      </c>
      <c r="K7441" s="1">
        <f t="shared" si="1"/>
        <v>2022</v>
      </c>
      <c r="L7441" s="1" t="str">
        <f t="shared" si="2"/>
        <v>Mar</v>
      </c>
      <c r="M7441" s="1" t="str">
        <f t="shared" si="3"/>
        <v>Profit</v>
      </c>
    </row>
    <row r="7442" ht="14.25" customHeight="1">
      <c r="A7442" s="1" t="s">
        <v>7476</v>
      </c>
      <c r="B7442" s="2">
        <v>44773.0</v>
      </c>
      <c r="C7442" s="1" t="s">
        <v>26</v>
      </c>
      <c r="D7442" s="1" t="s">
        <v>15</v>
      </c>
      <c r="E7442" s="1" t="s">
        <v>31</v>
      </c>
      <c r="F7442" s="1">
        <v>957.0</v>
      </c>
      <c r="G7442" s="1">
        <v>71.47</v>
      </c>
      <c r="H7442" s="1">
        <v>4.0</v>
      </c>
      <c r="I7442" s="1" t="s">
        <v>34</v>
      </c>
      <c r="J7442" s="1" t="s">
        <v>18</v>
      </c>
      <c r="K7442" s="1">
        <f t="shared" si="1"/>
        <v>2022</v>
      </c>
      <c r="L7442" s="1" t="str">
        <f t="shared" si="2"/>
        <v>Jul</v>
      </c>
      <c r="M7442" s="1" t="str">
        <f t="shared" si="3"/>
        <v>Profit</v>
      </c>
    </row>
    <row r="7443" ht="14.25" customHeight="1">
      <c r="A7443" s="1" t="s">
        <v>7477</v>
      </c>
      <c r="B7443" s="2">
        <v>44197.0</v>
      </c>
      <c r="C7443" s="1" t="s">
        <v>26</v>
      </c>
      <c r="D7443" s="1" t="s">
        <v>21</v>
      </c>
      <c r="E7443" s="1" t="s">
        <v>37</v>
      </c>
      <c r="F7443" s="1">
        <v>373.58</v>
      </c>
      <c r="G7443" s="1">
        <v>200.19</v>
      </c>
      <c r="H7443" s="1">
        <v>8.0</v>
      </c>
      <c r="I7443" s="1" t="s">
        <v>23</v>
      </c>
      <c r="J7443" s="1" t="s">
        <v>35</v>
      </c>
      <c r="K7443" s="1">
        <f t="shared" si="1"/>
        <v>2021</v>
      </c>
      <c r="L7443" s="1" t="str">
        <f t="shared" si="2"/>
        <v>Jan</v>
      </c>
      <c r="M7443" s="1" t="str">
        <f t="shared" si="3"/>
        <v>Profit</v>
      </c>
    </row>
    <row r="7444" ht="14.25" customHeight="1">
      <c r="A7444" s="1" t="s">
        <v>7478</v>
      </c>
      <c r="B7444" s="2">
        <v>44672.0</v>
      </c>
      <c r="C7444" s="1" t="s">
        <v>26</v>
      </c>
      <c r="D7444" s="1" t="s">
        <v>21</v>
      </c>
      <c r="E7444" s="1" t="s">
        <v>37</v>
      </c>
      <c r="F7444" s="1">
        <v>461.54</v>
      </c>
      <c r="G7444" s="1">
        <v>189.37</v>
      </c>
      <c r="H7444" s="1">
        <v>1.0</v>
      </c>
      <c r="I7444" s="1" t="s">
        <v>34</v>
      </c>
      <c r="J7444" s="1" t="s">
        <v>24</v>
      </c>
      <c r="K7444" s="1">
        <f t="shared" si="1"/>
        <v>2022</v>
      </c>
      <c r="L7444" s="1" t="str">
        <f t="shared" si="2"/>
        <v>Apr</v>
      </c>
      <c r="M7444" s="1" t="str">
        <f t="shared" si="3"/>
        <v>Profit</v>
      </c>
    </row>
    <row r="7445" ht="14.25" customHeight="1">
      <c r="A7445" s="1" t="s">
        <v>7479</v>
      </c>
      <c r="B7445" s="2">
        <v>44445.0</v>
      </c>
      <c r="C7445" s="1" t="s">
        <v>14</v>
      </c>
      <c r="D7445" s="1" t="s">
        <v>21</v>
      </c>
      <c r="E7445" s="1" t="s">
        <v>37</v>
      </c>
      <c r="F7445" s="1">
        <v>910.37</v>
      </c>
      <c r="G7445" s="1">
        <v>227.63</v>
      </c>
      <c r="H7445" s="1">
        <v>10.0</v>
      </c>
      <c r="I7445" s="1" t="s">
        <v>34</v>
      </c>
      <c r="J7445" s="1" t="s">
        <v>18</v>
      </c>
      <c r="K7445" s="1">
        <f t="shared" si="1"/>
        <v>2021</v>
      </c>
      <c r="L7445" s="1" t="str">
        <f t="shared" si="2"/>
        <v>Sep</v>
      </c>
      <c r="M7445" s="1" t="str">
        <f t="shared" si="3"/>
        <v>Profit</v>
      </c>
    </row>
    <row r="7446" ht="14.25" customHeight="1">
      <c r="A7446" s="1" t="s">
        <v>7480</v>
      </c>
      <c r="B7446" s="2">
        <v>44536.0</v>
      </c>
      <c r="C7446" s="1" t="s">
        <v>14</v>
      </c>
      <c r="D7446" s="1" t="s">
        <v>15</v>
      </c>
      <c r="E7446" s="1" t="s">
        <v>54</v>
      </c>
      <c r="F7446" s="1">
        <v>282.33</v>
      </c>
      <c r="G7446" s="1">
        <v>106.28</v>
      </c>
      <c r="H7446" s="1">
        <v>2.0</v>
      </c>
      <c r="I7446" s="1" t="s">
        <v>34</v>
      </c>
      <c r="J7446" s="1" t="s">
        <v>24</v>
      </c>
      <c r="K7446" s="1">
        <f t="shared" si="1"/>
        <v>2021</v>
      </c>
      <c r="L7446" s="1" t="str">
        <f t="shared" si="2"/>
        <v>Dec</v>
      </c>
      <c r="M7446" s="1" t="str">
        <f t="shared" si="3"/>
        <v>Profit</v>
      </c>
    </row>
    <row r="7447" ht="14.25" customHeight="1">
      <c r="A7447" s="1" t="s">
        <v>7481</v>
      </c>
      <c r="B7447" s="2">
        <v>44760.0</v>
      </c>
      <c r="C7447" s="1" t="s">
        <v>30</v>
      </c>
      <c r="D7447" s="1" t="s">
        <v>27</v>
      </c>
      <c r="E7447" s="1" t="s">
        <v>28</v>
      </c>
      <c r="F7447" s="1">
        <v>987.86</v>
      </c>
      <c r="G7447" s="1">
        <v>19.24</v>
      </c>
      <c r="H7447" s="1">
        <v>9.0</v>
      </c>
      <c r="I7447" s="1" t="s">
        <v>17</v>
      </c>
      <c r="J7447" s="1" t="s">
        <v>24</v>
      </c>
      <c r="K7447" s="1">
        <f t="shared" si="1"/>
        <v>2022</v>
      </c>
      <c r="L7447" s="1" t="str">
        <f t="shared" si="2"/>
        <v>Jul</v>
      </c>
      <c r="M7447" s="1" t="str">
        <f t="shared" si="3"/>
        <v>Profit</v>
      </c>
    </row>
    <row r="7448" ht="14.25" customHeight="1">
      <c r="A7448" s="1" t="s">
        <v>7482</v>
      </c>
      <c r="B7448" s="2">
        <v>44890.0</v>
      </c>
      <c r="C7448" s="1" t="s">
        <v>30</v>
      </c>
      <c r="D7448" s="1" t="s">
        <v>27</v>
      </c>
      <c r="E7448" s="1" t="s">
        <v>33</v>
      </c>
      <c r="F7448" s="1">
        <v>164.05</v>
      </c>
      <c r="G7448" s="1">
        <v>172.12</v>
      </c>
      <c r="H7448" s="1">
        <v>5.0</v>
      </c>
      <c r="I7448" s="1" t="s">
        <v>17</v>
      </c>
      <c r="J7448" s="1" t="s">
        <v>18</v>
      </c>
      <c r="K7448" s="1">
        <f t="shared" si="1"/>
        <v>2022</v>
      </c>
      <c r="L7448" s="1" t="str">
        <f t="shared" si="2"/>
        <v>Nov</v>
      </c>
      <c r="M7448" s="1" t="str">
        <f t="shared" si="3"/>
        <v>Profit</v>
      </c>
    </row>
    <row r="7449" ht="14.25" customHeight="1">
      <c r="A7449" s="1" t="s">
        <v>7483</v>
      </c>
      <c r="B7449" s="2">
        <v>44685.0</v>
      </c>
      <c r="C7449" s="1" t="s">
        <v>20</v>
      </c>
      <c r="D7449" s="1" t="s">
        <v>27</v>
      </c>
      <c r="E7449" s="1" t="s">
        <v>28</v>
      </c>
      <c r="F7449" s="1">
        <v>626.29</v>
      </c>
      <c r="G7449" s="1">
        <v>81.48</v>
      </c>
      <c r="H7449" s="1">
        <v>4.0</v>
      </c>
      <c r="I7449" s="1" t="s">
        <v>34</v>
      </c>
      <c r="J7449" s="1" t="s">
        <v>38</v>
      </c>
      <c r="K7449" s="1">
        <f t="shared" si="1"/>
        <v>2022</v>
      </c>
      <c r="L7449" s="1" t="str">
        <f t="shared" si="2"/>
        <v>May</v>
      </c>
      <c r="M7449" s="1" t="str">
        <f t="shared" si="3"/>
        <v>Profit</v>
      </c>
    </row>
    <row r="7450" ht="14.25" customHeight="1">
      <c r="A7450" s="1" t="s">
        <v>7484</v>
      </c>
      <c r="B7450" s="2">
        <v>44915.0</v>
      </c>
      <c r="C7450" s="1" t="s">
        <v>26</v>
      </c>
      <c r="D7450" s="1" t="s">
        <v>21</v>
      </c>
      <c r="E7450" s="1" t="s">
        <v>37</v>
      </c>
      <c r="F7450" s="1">
        <v>770.23</v>
      </c>
      <c r="G7450" s="1">
        <v>-12.03</v>
      </c>
      <c r="H7450" s="1">
        <v>2.0</v>
      </c>
      <c r="I7450" s="1" t="s">
        <v>23</v>
      </c>
      <c r="J7450" s="1" t="s">
        <v>35</v>
      </c>
      <c r="K7450" s="1">
        <f t="shared" si="1"/>
        <v>2022</v>
      </c>
      <c r="L7450" s="1" t="str">
        <f t="shared" si="2"/>
        <v>Dec</v>
      </c>
      <c r="M7450" s="1" t="str">
        <f t="shared" si="3"/>
        <v>Loss</v>
      </c>
    </row>
    <row r="7451" ht="14.25" customHeight="1">
      <c r="A7451" s="1" t="s">
        <v>7485</v>
      </c>
      <c r="B7451" s="2">
        <v>45287.0</v>
      </c>
      <c r="C7451" s="1" t="s">
        <v>14</v>
      </c>
      <c r="D7451" s="1" t="s">
        <v>21</v>
      </c>
      <c r="E7451" s="1" t="s">
        <v>76</v>
      </c>
      <c r="F7451" s="1">
        <v>332.04</v>
      </c>
      <c r="G7451" s="1">
        <v>-129.09</v>
      </c>
      <c r="H7451" s="1">
        <v>3.0</v>
      </c>
      <c r="I7451" s="1" t="s">
        <v>23</v>
      </c>
      <c r="J7451" s="1" t="s">
        <v>38</v>
      </c>
      <c r="K7451" s="1">
        <f t="shared" si="1"/>
        <v>2023</v>
      </c>
      <c r="L7451" s="1" t="str">
        <f t="shared" si="2"/>
        <v>Dec</v>
      </c>
      <c r="M7451" s="1" t="str">
        <f t="shared" si="3"/>
        <v>Loss</v>
      </c>
    </row>
    <row r="7452" ht="14.25" customHeight="1">
      <c r="A7452" s="1" t="s">
        <v>7486</v>
      </c>
      <c r="B7452" s="2">
        <v>44837.0</v>
      </c>
      <c r="C7452" s="1" t="s">
        <v>30</v>
      </c>
      <c r="D7452" s="1" t="s">
        <v>27</v>
      </c>
      <c r="E7452" s="1" t="s">
        <v>28</v>
      </c>
      <c r="F7452" s="1">
        <v>235.41</v>
      </c>
      <c r="G7452" s="1">
        <v>-8.46</v>
      </c>
      <c r="H7452" s="1">
        <v>5.0</v>
      </c>
      <c r="I7452" s="1" t="s">
        <v>34</v>
      </c>
      <c r="J7452" s="1" t="s">
        <v>18</v>
      </c>
      <c r="K7452" s="1">
        <f t="shared" si="1"/>
        <v>2022</v>
      </c>
      <c r="L7452" s="1" t="str">
        <f t="shared" si="2"/>
        <v>Oct</v>
      </c>
      <c r="M7452" s="1" t="str">
        <f t="shared" si="3"/>
        <v>Loss</v>
      </c>
    </row>
    <row r="7453" ht="14.25" customHeight="1">
      <c r="A7453" s="1" t="s">
        <v>7487</v>
      </c>
      <c r="B7453" s="2">
        <v>44476.0</v>
      </c>
      <c r="C7453" s="1" t="s">
        <v>26</v>
      </c>
      <c r="D7453" s="1" t="s">
        <v>27</v>
      </c>
      <c r="E7453" s="1" t="s">
        <v>40</v>
      </c>
      <c r="F7453" s="1">
        <v>472.18</v>
      </c>
      <c r="G7453" s="1">
        <v>177.91</v>
      </c>
      <c r="H7453" s="1">
        <v>7.0</v>
      </c>
      <c r="I7453" s="1" t="s">
        <v>34</v>
      </c>
      <c r="J7453" s="1" t="s">
        <v>35</v>
      </c>
      <c r="K7453" s="1">
        <f t="shared" si="1"/>
        <v>2021</v>
      </c>
      <c r="L7453" s="1" t="str">
        <f t="shared" si="2"/>
        <v>Oct</v>
      </c>
      <c r="M7453" s="1" t="str">
        <f t="shared" si="3"/>
        <v>Profit</v>
      </c>
    </row>
    <row r="7454" ht="14.25" customHeight="1">
      <c r="A7454" s="1" t="s">
        <v>7488</v>
      </c>
      <c r="B7454" s="2">
        <v>44757.0</v>
      </c>
      <c r="C7454" s="1" t="s">
        <v>20</v>
      </c>
      <c r="D7454" s="1" t="s">
        <v>15</v>
      </c>
      <c r="E7454" s="1" t="s">
        <v>31</v>
      </c>
      <c r="F7454" s="1">
        <v>648.88</v>
      </c>
      <c r="G7454" s="1">
        <v>192.26</v>
      </c>
      <c r="H7454" s="1">
        <v>3.0</v>
      </c>
      <c r="I7454" s="1" t="s">
        <v>23</v>
      </c>
      <c r="J7454" s="1" t="s">
        <v>18</v>
      </c>
      <c r="K7454" s="1">
        <f t="shared" si="1"/>
        <v>2022</v>
      </c>
      <c r="L7454" s="1" t="str">
        <f t="shared" si="2"/>
        <v>Jul</v>
      </c>
      <c r="M7454" s="1" t="str">
        <f t="shared" si="3"/>
        <v>Profit</v>
      </c>
    </row>
    <row r="7455" ht="14.25" customHeight="1">
      <c r="A7455" s="1" t="s">
        <v>7489</v>
      </c>
      <c r="B7455" s="2">
        <v>45033.0</v>
      </c>
      <c r="C7455" s="1" t="s">
        <v>26</v>
      </c>
      <c r="D7455" s="1" t="s">
        <v>21</v>
      </c>
      <c r="E7455" s="1" t="s">
        <v>22</v>
      </c>
      <c r="F7455" s="1">
        <v>101.91</v>
      </c>
      <c r="G7455" s="1">
        <v>206.53</v>
      </c>
      <c r="H7455" s="1">
        <v>5.0</v>
      </c>
      <c r="I7455" s="1" t="s">
        <v>34</v>
      </c>
      <c r="J7455" s="1" t="s">
        <v>24</v>
      </c>
      <c r="K7455" s="1">
        <f t="shared" si="1"/>
        <v>2023</v>
      </c>
      <c r="L7455" s="1" t="str">
        <f t="shared" si="2"/>
        <v>Apr</v>
      </c>
      <c r="M7455" s="1" t="str">
        <f t="shared" si="3"/>
        <v>Profit</v>
      </c>
    </row>
    <row r="7456" ht="14.25" customHeight="1">
      <c r="A7456" s="1" t="s">
        <v>7490</v>
      </c>
      <c r="B7456" s="2">
        <v>44637.0</v>
      </c>
      <c r="C7456" s="1" t="s">
        <v>14</v>
      </c>
      <c r="D7456" s="1" t="s">
        <v>21</v>
      </c>
      <c r="E7456" s="1" t="s">
        <v>22</v>
      </c>
      <c r="F7456" s="1">
        <v>567.74</v>
      </c>
      <c r="G7456" s="1">
        <v>-33.4</v>
      </c>
      <c r="H7456" s="1">
        <v>3.0</v>
      </c>
      <c r="I7456" s="1" t="s">
        <v>23</v>
      </c>
      <c r="J7456" s="1" t="s">
        <v>24</v>
      </c>
      <c r="K7456" s="1">
        <f t="shared" si="1"/>
        <v>2022</v>
      </c>
      <c r="L7456" s="1" t="str">
        <f t="shared" si="2"/>
        <v>Mar</v>
      </c>
      <c r="M7456" s="1" t="str">
        <f t="shared" si="3"/>
        <v>Loss</v>
      </c>
    </row>
    <row r="7457" ht="14.25" customHeight="1">
      <c r="A7457" s="1" t="s">
        <v>7491</v>
      </c>
      <c r="B7457" s="2">
        <v>44392.0</v>
      </c>
      <c r="C7457" s="1" t="s">
        <v>30</v>
      </c>
      <c r="D7457" s="1" t="s">
        <v>21</v>
      </c>
      <c r="E7457" s="1" t="s">
        <v>22</v>
      </c>
      <c r="F7457" s="1">
        <v>92.01</v>
      </c>
      <c r="G7457" s="1">
        <v>117.29</v>
      </c>
      <c r="H7457" s="1">
        <v>4.0</v>
      </c>
      <c r="I7457" s="1" t="s">
        <v>34</v>
      </c>
      <c r="J7457" s="1" t="s">
        <v>38</v>
      </c>
      <c r="K7457" s="1">
        <f t="shared" si="1"/>
        <v>2021</v>
      </c>
      <c r="L7457" s="1" t="str">
        <f t="shared" si="2"/>
        <v>Jul</v>
      </c>
      <c r="M7457" s="1" t="str">
        <f t="shared" si="3"/>
        <v>Profit</v>
      </c>
    </row>
    <row r="7458" ht="14.25" customHeight="1">
      <c r="A7458" s="1" t="s">
        <v>7492</v>
      </c>
      <c r="B7458" s="2">
        <v>44895.0</v>
      </c>
      <c r="C7458" s="1" t="s">
        <v>20</v>
      </c>
      <c r="D7458" s="1" t="s">
        <v>15</v>
      </c>
      <c r="E7458" s="1" t="s">
        <v>31</v>
      </c>
      <c r="F7458" s="1">
        <v>793.85</v>
      </c>
      <c r="G7458" s="1">
        <v>74.02</v>
      </c>
      <c r="H7458" s="1">
        <v>10.0</v>
      </c>
      <c r="I7458" s="1" t="s">
        <v>23</v>
      </c>
      <c r="J7458" s="1" t="s">
        <v>24</v>
      </c>
      <c r="K7458" s="1">
        <f t="shared" si="1"/>
        <v>2022</v>
      </c>
      <c r="L7458" s="1" t="str">
        <f t="shared" si="2"/>
        <v>Nov</v>
      </c>
      <c r="M7458" s="1" t="str">
        <f t="shared" si="3"/>
        <v>Profit</v>
      </c>
    </row>
    <row r="7459" ht="14.25" customHeight="1">
      <c r="A7459" s="1" t="s">
        <v>7493</v>
      </c>
      <c r="B7459" s="2">
        <v>44202.0</v>
      </c>
      <c r="C7459" s="1" t="s">
        <v>30</v>
      </c>
      <c r="D7459" s="1" t="s">
        <v>27</v>
      </c>
      <c r="E7459" s="1" t="s">
        <v>40</v>
      </c>
      <c r="F7459" s="1">
        <v>412.06</v>
      </c>
      <c r="G7459" s="1">
        <v>254.76</v>
      </c>
      <c r="H7459" s="1">
        <v>4.0</v>
      </c>
      <c r="I7459" s="1" t="s">
        <v>17</v>
      </c>
      <c r="J7459" s="1" t="s">
        <v>18</v>
      </c>
      <c r="K7459" s="1">
        <f t="shared" si="1"/>
        <v>2021</v>
      </c>
      <c r="L7459" s="1" t="str">
        <f t="shared" si="2"/>
        <v>Jan</v>
      </c>
      <c r="M7459" s="1" t="str">
        <f t="shared" si="3"/>
        <v>Profit</v>
      </c>
    </row>
    <row r="7460" ht="14.25" customHeight="1">
      <c r="A7460" s="1" t="s">
        <v>7494</v>
      </c>
      <c r="B7460" s="2">
        <v>44675.0</v>
      </c>
      <c r="C7460" s="1" t="s">
        <v>14</v>
      </c>
      <c r="D7460" s="1" t="s">
        <v>21</v>
      </c>
      <c r="E7460" s="1" t="s">
        <v>37</v>
      </c>
      <c r="F7460" s="1">
        <v>978.27</v>
      </c>
      <c r="G7460" s="1">
        <v>-48.76</v>
      </c>
      <c r="H7460" s="1">
        <v>10.0</v>
      </c>
      <c r="I7460" s="1" t="s">
        <v>17</v>
      </c>
      <c r="J7460" s="1" t="s">
        <v>18</v>
      </c>
      <c r="K7460" s="1">
        <f t="shared" si="1"/>
        <v>2022</v>
      </c>
      <c r="L7460" s="1" t="str">
        <f t="shared" si="2"/>
        <v>Apr</v>
      </c>
      <c r="M7460" s="1" t="str">
        <f t="shared" si="3"/>
        <v>Loss</v>
      </c>
    </row>
    <row r="7461" ht="14.25" customHeight="1">
      <c r="A7461" s="1" t="s">
        <v>7495</v>
      </c>
      <c r="B7461" s="2">
        <v>44961.0</v>
      </c>
      <c r="C7461" s="1" t="s">
        <v>20</v>
      </c>
      <c r="D7461" s="1" t="s">
        <v>21</v>
      </c>
      <c r="E7461" s="1" t="s">
        <v>37</v>
      </c>
      <c r="F7461" s="1">
        <v>872.18</v>
      </c>
      <c r="G7461" s="1">
        <v>185.18</v>
      </c>
      <c r="H7461" s="1">
        <v>6.0</v>
      </c>
      <c r="I7461" s="1" t="s">
        <v>23</v>
      </c>
      <c r="J7461" s="1" t="s">
        <v>35</v>
      </c>
      <c r="K7461" s="1">
        <f t="shared" si="1"/>
        <v>2023</v>
      </c>
      <c r="L7461" s="1" t="str">
        <f t="shared" si="2"/>
        <v>Feb</v>
      </c>
      <c r="M7461" s="1" t="str">
        <f t="shared" si="3"/>
        <v>Profit</v>
      </c>
    </row>
    <row r="7462" ht="14.25" customHeight="1">
      <c r="A7462" s="1" t="s">
        <v>7496</v>
      </c>
      <c r="B7462" s="2">
        <v>44515.0</v>
      </c>
      <c r="C7462" s="1" t="s">
        <v>26</v>
      </c>
      <c r="D7462" s="1" t="s">
        <v>21</v>
      </c>
      <c r="E7462" s="1" t="s">
        <v>22</v>
      </c>
      <c r="F7462" s="1">
        <v>759.26</v>
      </c>
      <c r="G7462" s="1">
        <v>32.88</v>
      </c>
      <c r="H7462" s="1">
        <v>9.0</v>
      </c>
      <c r="I7462" s="1" t="s">
        <v>23</v>
      </c>
      <c r="J7462" s="1" t="s">
        <v>38</v>
      </c>
      <c r="K7462" s="1">
        <f t="shared" si="1"/>
        <v>2021</v>
      </c>
      <c r="L7462" s="1" t="str">
        <f t="shared" si="2"/>
        <v>Nov</v>
      </c>
      <c r="M7462" s="1" t="str">
        <f t="shared" si="3"/>
        <v>Profit</v>
      </c>
    </row>
    <row r="7463" ht="14.25" customHeight="1">
      <c r="A7463" s="1" t="s">
        <v>7497</v>
      </c>
      <c r="B7463" s="2">
        <v>45200.0</v>
      </c>
      <c r="C7463" s="1" t="s">
        <v>30</v>
      </c>
      <c r="D7463" s="1" t="s">
        <v>21</v>
      </c>
      <c r="E7463" s="1" t="s">
        <v>76</v>
      </c>
      <c r="F7463" s="1">
        <v>761.22</v>
      </c>
      <c r="G7463" s="1">
        <v>-67.73</v>
      </c>
      <c r="H7463" s="1">
        <v>9.0</v>
      </c>
      <c r="I7463" s="1" t="s">
        <v>23</v>
      </c>
      <c r="J7463" s="1" t="s">
        <v>38</v>
      </c>
      <c r="K7463" s="1">
        <f t="shared" si="1"/>
        <v>2023</v>
      </c>
      <c r="L7463" s="1" t="str">
        <f t="shared" si="2"/>
        <v>Oct</v>
      </c>
      <c r="M7463" s="1" t="str">
        <f t="shared" si="3"/>
        <v>Loss</v>
      </c>
    </row>
    <row r="7464" ht="14.25" customHeight="1">
      <c r="A7464" s="1" t="s">
        <v>7498</v>
      </c>
      <c r="B7464" s="2">
        <v>44587.0</v>
      </c>
      <c r="C7464" s="1" t="s">
        <v>26</v>
      </c>
      <c r="D7464" s="1" t="s">
        <v>15</v>
      </c>
      <c r="E7464" s="1" t="s">
        <v>16</v>
      </c>
      <c r="F7464" s="1">
        <v>277.8</v>
      </c>
      <c r="G7464" s="1">
        <v>269.31</v>
      </c>
      <c r="H7464" s="1">
        <v>6.0</v>
      </c>
      <c r="I7464" s="1" t="s">
        <v>17</v>
      </c>
      <c r="J7464" s="1" t="s">
        <v>38</v>
      </c>
      <c r="K7464" s="1">
        <f t="shared" si="1"/>
        <v>2022</v>
      </c>
      <c r="L7464" s="1" t="str">
        <f t="shared" si="2"/>
        <v>Jan</v>
      </c>
      <c r="M7464" s="1" t="str">
        <f t="shared" si="3"/>
        <v>Profit</v>
      </c>
    </row>
    <row r="7465" ht="14.25" customHeight="1">
      <c r="A7465" s="1" t="s">
        <v>7499</v>
      </c>
      <c r="B7465" s="2">
        <v>44990.0</v>
      </c>
      <c r="C7465" s="1" t="s">
        <v>14</v>
      </c>
      <c r="D7465" s="1" t="s">
        <v>27</v>
      </c>
      <c r="E7465" s="1" t="s">
        <v>28</v>
      </c>
      <c r="F7465" s="1">
        <v>975.16</v>
      </c>
      <c r="G7465" s="1">
        <v>-156.49</v>
      </c>
      <c r="H7465" s="1">
        <v>4.0</v>
      </c>
      <c r="I7465" s="1" t="s">
        <v>23</v>
      </c>
      <c r="J7465" s="1" t="s">
        <v>24</v>
      </c>
      <c r="K7465" s="1">
        <f t="shared" si="1"/>
        <v>2023</v>
      </c>
      <c r="L7465" s="1" t="str">
        <f t="shared" si="2"/>
        <v>Mar</v>
      </c>
      <c r="M7465" s="1" t="str">
        <f t="shared" si="3"/>
        <v>Loss</v>
      </c>
    </row>
    <row r="7466" ht="14.25" customHeight="1">
      <c r="A7466" s="1" t="s">
        <v>7500</v>
      </c>
      <c r="B7466" s="2">
        <v>45251.0</v>
      </c>
      <c r="C7466" s="1" t="s">
        <v>30</v>
      </c>
      <c r="D7466" s="1" t="s">
        <v>21</v>
      </c>
      <c r="E7466" s="1" t="s">
        <v>22</v>
      </c>
      <c r="F7466" s="1">
        <v>774.04</v>
      </c>
      <c r="G7466" s="1">
        <v>218.1</v>
      </c>
      <c r="H7466" s="1">
        <v>9.0</v>
      </c>
      <c r="I7466" s="1" t="s">
        <v>34</v>
      </c>
      <c r="J7466" s="1" t="s">
        <v>35</v>
      </c>
      <c r="K7466" s="1">
        <f t="shared" si="1"/>
        <v>2023</v>
      </c>
      <c r="L7466" s="1" t="str">
        <f t="shared" si="2"/>
        <v>Nov</v>
      </c>
      <c r="M7466" s="1" t="str">
        <f t="shared" si="3"/>
        <v>Profit</v>
      </c>
    </row>
    <row r="7467" ht="14.25" customHeight="1">
      <c r="A7467" s="1" t="s">
        <v>7501</v>
      </c>
      <c r="B7467" s="2">
        <v>44632.0</v>
      </c>
      <c r="C7467" s="1" t="s">
        <v>14</v>
      </c>
      <c r="D7467" s="1" t="s">
        <v>21</v>
      </c>
      <c r="E7467" s="1" t="s">
        <v>76</v>
      </c>
      <c r="F7467" s="1">
        <v>650.25</v>
      </c>
      <c r="G7467" s="1">
        <v>234.42</v>
      </c>
      <c r="H7467" s="1">
        <v>8.0</v>
      </c>
      <c r="I7467" s="1" t="s">
        <v>34</v>
      </c>
      <c r="J7467" s="1" t="s">
        <v>35</v>
      </c>
      <c r="K7467" s="1">
        <f t="shared" si="1"/>
        <v>2022</v>
      </c>
      <c r="L7467" s="1" t="str">
        <f t="shared" si="2"/>
        <v>Mar</v>
      </c>
      <c r="M7467" s="1" t="str">
        <f t="shared" si="3"/>
        <v>Profit</v>
      </c>
    </row>
    <row r="7468" ht="14.25" customHeight="1">
      <c r="A7468" s="1" t="s">
        <v>7502</v>
      </c>
      <c r="B7468" s="2">
        <v>44253.0</v>
      </c>
      <c r="C7468" s="1" t="s">
        <v>30</v>
      </c>
      <c r="D7468" s="1" t="s">
        <v>27</v>
      </c>
      <c r="E7468" s="1" t="s">
        <v>40</v>
      </c>
      <c r="F7468" s="1">
        <v>427.96</v>
      </c>
      <c r="G7468" s="1">
        <v>137.17</v>
      </c>
      <c r="H7468" s="1">
        <v>7.0</v>
      </c>
      <c r="I7468" s="1" t="s">
        <v>23</v>
      </c>
      <c r="J7468" s="1" t="s">
        <v>18</v>
      </c>
      <c r="K7468" s="1">
        <f t="shared" si="1"/>
        <v>2021</v>
      </c>
      <c r="L7468" s="1" t="str">
        <f t="shared" si="2"/>
        <v>Feb</v>
      </c>
      <c r="M7468" s="1" t="str">
        <f t="shared" si="3"/>
        <v>Profit</v>
      </c>
    </row>
    <row r="7469" ht="14.25" customHeight="1">
      <c r="A7469" s="1" t="s">
        <v>7503</v>
      </c>
      <c r="B7469" s="2">
        <v>44457.0</v>
      </c>
      <c r="C7469" s="1" t="s">
        <v>14</v>
      </c>
      <c r="D7469" s="1" t="s">
        <v>27</v>
      </c>
      <c r="E7469" s="1" t="s">
        <v>33</v>
      </c>
      <c r="F7469" s="1">
        <v>998.22</v>
      </c>
      <c r="G7469" s="1">
        <v>-115.59</v>
      </c>
      <c r="H7469" s="1">
        <v>3.0</v>
      </c>
      <c r="I7469" s="1" t="s">
        <v>23</v>
      </c>
      <c r="J7469" s="1" t="s">
        <v>38</v>
      </c>
      <c r="K7469" s="1">
        <f t="shared" si="1"/>
        <v>2021</v>
      </c>
      <c r="L7469" s="1" t="str">
        <f t="shared" si="2"/>
        <v>Sep</v>
      </c>
      <c r="M7469" s="1" t="str">
        <f t="shared" si="3"/>
        <v>Loss</v>
      </c>
    </row>
    <row r="7470" ht="14.25" customHeight="1">
      <c r="A7470" s="1" t="s">
        <v>7504</v>
      </c>
      <c r="B7470" s="2">
        <v>45149.0</v>
      </c>
      <c r="C7470" s="1" t="s">
        <v>26</v>
      </c>
      <c r="D7470" s="1" t="s">
        <v>21</v>
      </c>
      <c r="E7470" s="1" t="s">
        <v>76</v>
      </c>
      <c r="F7470" s="1">
        <v>574.03</v>
      </c>
      <c r="G7470" s="1">
        <v>52.84</v>
      </c>
      <c r="H7470" s="1">
        <v>2.0</v>
      </c>
      <c r="I7470" s="1" t="s">
        <v>17</v>
      </c>
      <c r="J7470" s="1" t="s">
        <v>24</v>
      </c>
      <c r="K7470" s="1">
        <f t="shared" si="1"/>
        <v>2023</v>
      </c>
      <c r="L7470" s="1" t="str">
        <f t="shared" si="2"/>
        <v>Aug</v>
      </c>
      <c r="M7470" s="1" t="str">
        <f t="shared" si="3"/>
        <v>Profit</v>
      </c>
    </row>
    <row r="7471" ht="14.25" customHeight="1">
      <c r="A7471" s="1" t="s">
        <v>7505</v>
      </c>
      <c r="B7471" s="2">
        <v>44339.0</v>
      </c>
      <c r="C7471" s="1" t="s">
        <v>26</v>
      </c>
      <c r="D7471" s="1" t="s">
        <v>21</v>
      </c>
      <c r="E7471" s="1" t="s">
        <v>22</v>
      </c>
      <c r="F7471" s="1">
        <v>635.01</v>
      </c>
      <c r="G7471" s="1">
        <v>-35.77</v>
      </c>
      <c r="H7471" s="1">
        <v>9.0</v>
      </c>
      <c r="I7471" s="1" t="s">
        <v>23</v>
      </c>
      <c r="J7471" s="1" t="s">
        <v>24</v>
      </c>
      <c r="K7471" s="1">
        <f t="shared" si="1"/>
        <v>2021</v>
      </c>
      <c r="L7471" s="1" t="str">
        <f t="shared" si="2"/>
        <v>May</v>
      </c>
      <c r="M7471" s="1" t="str">
        <f t="shared" si="3"/>
        <v>Loss</v>
      </c>
    </row>
    <row r="7472" ht="14.25" customHeight="1">
      <c r="A7472" s="1" t="s">
        <v>7506</v>
      </c>
      <c r="B7472" s="2">
        <v>44732.0</v>
      </c>
      <c r="C7472" s="1" t="s">
        <v>30</v>
      </c>
      <c r="D7472" s="1" t="s">
        <v>15</v>
      </c>
      <c r="E7472" s="1" t="s">
        <v>16</v>
      </c>
      <c r="F7472" s="1">
        <v>37.46</v>
      </c>
      <c r="G7472" s="1">
        <v>-54.06</v>
      </c>
      <c r="H7472" s="1">
        <v>8.0</v>
      </c>
      <c r="I7472" s="1" t="s">
        <v>17</v>
      </c>
      <c r="J7472" s="1" t="s">
        <v>38</v>
      </c>
      <c r="K7472" s="1">
        <f t="shared" si="1"/>
        <v>2022</v>
      </c>
      <c r="L7472" s="1" t="str">
        <f t="shared" si="2"/>
        <v>Jun</v>
      </c>
      <c r="M7472" s="1" t="str">
        <f t="shared" si="3"/>
        <v>Loss</v>
      </c>
    </row>
    <row r="7473" ht="14.25" customHeight="1">
      <c r="A7473" s="1" t="s">
        <v>7507</v>
      </c>
      <c r="B7473" s="2">
        <v>44619.0</v>
      </c>
      <c r="C7473" s="1" t="s">
        <v>20</v>
      </c>
      <c r="D7473" s="1" t="s">
        <v>15</v>
      </c>
      <c r="E7473" s="1" t="s">
        <v>16</v>
      </c>
      <c r="F7473" s="1">
        <v>23.93</v>
      </c>
      <c r="G7473" s="1">
        <v>262.78</v>
      </c>
      <c r="H7473" s="1">
        <v>5.0</v>
      </c>
      <c r="I7473" s="1" t="s">
        <v>34</v>
      </c>
      <c r="J7473" s="1" t="s">
        <v>35</v>
      </c>
      <c r="K7473" s="1">
        <f t="shared" si="1"/>
        <v>2022</v>
      </c>
      <c r="L7473" s="1" t="str">
        <f t="shared" si="2"/>
        <v>Feb</v>
      </c>
      <c r="M7473" s="1" t="str">
        <f t="shared" si="3"/>
        <v>Profit</v>
      </c>
    </row>
    <row r="7474" ht="14.25" customHeight="1">
      <c r="A7474" s="1" t="s">
        <v>7508</v>
      </c>
      <c r="B7474" s="2">
        <v>44331.0</v>
      </c>
      <c r="C7474" s="1" t="s">
        <v>20</v>
      </c>
      <c r="D7474" s="1" t="s">
        <v>21</v>
      </c>
      <c r="E7474" s="1" t="s">
        <v>37</v>
      </c>
      <c r="F7474" s="1">
        <v>811.56</v>
      </c>
      <c r="G7474" s="1">
        <v>53.85</v>
      </c>
      <c r="H7474" s="1">
        <v>9.0</v>
      </c>
      <c r="I7474" s="1" t="s">
        <v>17</v>
      </c>
      <c r="J7474" s="1" t="s">
        <v>24</v>
      </c>
      <c r="K7474" s="1">
        <f t="shared" si="1"/>
        <v>2021</v>
      </c>
      <c r="L7474" s="1" t="str">
        <f t="shared" si="2"/>
        <v>May</v>
      </c>
      <c r="M7474" s="1" t="str">
        <f t="shared" si="3"/>
        <v>Profit</v>
      </c>
    </row>
    <row r="7475" ht="14.25" customHeight="1">
      <c r="A7475" s="1" t="s">
        <v>7509</v>
      </c>
      <c r="B7475" s="2">
        <v>45095.0</v>
      </c>
      <c r="C7475" s="1" t="s">
        <v>14</v>
      </c>
      <c r="D7475" s="1" t="s">
        <v>27</v>
      </c>
      <c r="E7475" s="1" t="s">
        <v>40</v>
      </c>
      <c r="F7475" s="1">
        <v>667.56</v>
      </c>
      <c r="G7475" s="1">
        <v>-129.97</v>
      </c>
      <c r="H7475" s="1">
        <v>9.0</v>
      </c>
      <c r="I7475" s="1" t="s">
        <v>17</v>
      </c>
      <c r="J7475" s="1" t="s">
        <v>24</v>
      </c>
      <c r="K7475" s="1">
        <f t="shared" si="1"/>
        <v>2023</v>
      </c>
      <c r="L7475" s="1" t="str">
        <f t="shared" si="2"/>
        <v>Jun</v>
      </c>
      <c r="M7475" s="1" t="str">
        <f t="shared" si="3"/>
        <v>Loss</v>
      </c>
    </row>
    <row r="7476" ht="14.25" customHeight="1">
      <c r="A7476" s="1" t="s">
        <v>7510</v>
      </c>
      <c r="B7476" s="2">
        <v>44217.0</v>
      </c>
      <c r="C7476" s="1" t="s">
        <v>30</v>
      </c>
      <c r="D7476" s="1" t="s">
        <v>15</v>
      </c>
      <c r="E7476" s="1" t="s">
        <v>54</v>
      </c>
      <c r="F7476" s="1">
        <v>640.78</v>
      </c>
      <c r="G7476" s="1">
        <v>67.95</v>
      </c>
      <c r="H7476" s="1">
        <v>4.0</v>
      </c>
      <c r="I7476" s="1" t="s">
        <v>23</v>
      </c>
      <c r="J7476" s="1" t="s">
        <v>24</v>
      </c>
      <c r="K7476" s="1">
        <f t="shared" si="1"/>
        <v>2021</v>
      </c>
      <c r="L7476" s="1" t="str">
        <f t="shared" si="2"/>
        <v>Jan</v>
      </c>
      <c r="M7476" s="1" t="str">
        <f t="shared" si="3"/>
        <v>Profit</v>
      </c>
    </row>
    <row r="7477" ht="14.25" customHeight="1">
      <c r="A7477" s="1" t="s">
        <v>7511</v>
      </c>
      <c r="B7477" s="2">
        <v>45038.0</v>
      </c>
      <c r="C7477" s="1" t="s">
        <v>20</v>
      </c>
      <c r="D7477" s="1" t="s">
        <v>15</v>
      </c>
      <c r="E7477" s="1" t="s">
        <v>54</v>
      </c>
      <c r="F7477" s="1">
        <v>457.58</v>
      </c>
      <c r="G7477" s="1">
        <v>-86.88</v>
      </c>
      <c r="H7477" s="1">
        <v>9.0</v>
      </c>
      <c r="I7477" s="1" t="s">
        <v>34</v>
      </c>
      <c r="J7477" s="1" t="s">
        <v>24</v>
      </c>
      <c r="K7477" s="1">
        <f t="shared" si="1"/>
        <v>2023</v>
      </c>
      <c r="L7477" s="1" t="str">
        <f t="shared" si="2"/>
        <v>Apr</v>
      </c>
      <c r="M7477" s="1" t="str">
        <f t="shared" si="3"/>
        <v>Loss</v>
      </c>
    </row>
    <row r="7478" ht="14.25" customHeight="1">
      <c r="A7478" s="1" t="s">
        <v>7512</v>
      </c>
      <c r="B7478" s="2">
        <v>44599.0</v>
      </c>
      <c r="C7478" s="1" t="s">
        <v>26</v>
      </c>
      <c r="D7478" s="1" t="s">
        <v>15</v>
      </c>
      <c r="E7478" s="1" t="s">
        <v>16</v>
      </c>
      <c r="F7478" s="1">
        <v>795.34</v>
      </c>
      <c r="G7478" s="1">
        <v>251.04</v>
      </c>
      <c r="H7478" s="1">
        <v>8.0</v>
      </c>
      <c r="I7478" s="1" t="s">
        <v>17</v>
      </c>
      <c r="J7478" s="1" t="s">
        <v>24</v>
      </c>
      <c r="K7478" s="1">
        <f t="shared" si="1"/>
        <v>2022</v>
      </c>
      <c r="L7478" s="1" t="str">
        <f t="shared" si="2"/>
        <v>Feb</v>
      </c>
      <c r="M7478" s="1" t="str">
        <f t="shared" si="3"/>
        <v>Profit</v>
      </c>
    </row>
    <row r="7479" ht="14.25" customHeight="1">
      <c r="A7479" s="1" t="s">
        <v>7513</v>
      </c>
      <c r="B7479" s="2">
        <v>44328.0</v>
      </c>
      <c r="C7479" s="1" t="s">
        <v>20</v>
      </c>
      <c r="D7479" s="1" t="s">
        <v>27</v>
      </c>
      <c r="E7479" s="1" t="s">
        <v>40</v>
      </c>
      <c r="F7479" s="1">
        <v>98.78</v>
      </c>
      <c r="G7479" s="1">
        <v>-182.82</v>
      </c>
      <c r="H7479" s="1">
        <v>5.0</v>
      </c>
      <c r="I7479" s="1" t="s">
        <v>17</v>
      </c>
      <c r="J7479" s="1" t="s">
        <v>24</v>
      </c>
      <c r="K7479" s="1">
        <f t="shared" si="1"/>
        <v>2021</v>
      </c>
      <c r="L7479" s="1" t="str">
        <f t="shared" si="2"/>
        <v>May</v>
      </c>
      <c r="M7479" s="1" t="str">
        <f t="shared" si="3"/>
        <v>Loss</v>
      </c>
    </row>
    <row r="7480" ht="14.25" customHeight="1">
      <c r="A7480" s="1" t="s">
        <v>7514</v>
      </c>
      <c r="B7480" s="2">
        <v>45046.0</v>
      </c>
      <c r="C7480" s="1" t="s">
        <v>30</v>
      </c>
      <c r="D7480" s="1" t="s">
        <v>27</v>
      </c>
      <c r="E7480" s="1" t="s">
        <v>28</v>
      </c>
      <c r="F7480" s="1">
        <v>723.93</v>
      </c>
      <c r="G7480" s="1">
        <v>37.63</v>
      </c>
      <c r="H7480" s="1">
        <v>9.0</v>
      </c>
      <c r="I7480" s="1" t="s">
        <v>34</v>
      </c>
      <c r="J7480" s="1" t="s">
        <v>24</v>
      </c>
      <c r="K7480" s="1">
        <f t="shared" si="1"/>
        <v>2023</v>
      </c>
      <c r="L7480" s="1" t="str">
        <f t="shared" si="2"/>
        <v>Apr</v>
      </c>
      <c r="M7480" s="1" t="str">
        <f t="shared" si="3"/>
        <v>Profit</v>
      </c>
    </row>
    <row r="7481" ht="14.25" customHeight="1">
      <c r="A7481" s="1" t="s">
        <v>7515</v>
      </c>
      <c r="B7481" s="2">
        <v>45161.0</v>
      </c>
      <c r="C7481" s="1" t="s">
        <v>14</v>
      </c>
      <c r="D7481" s="1" t="s">
        <v>27</v>
      </c>
      <c r="E7481" s="1" t="s">
        <v>40</v>
      </c>
      <c r="F7481" s="1">
        <v>686.36</v>
      </c>
      <c r="G7481" s="1">
        <v>210.46</v>
      </c>
      <c r="H7481" s="1">
        <v>1.0</v>
      </c>
      <c r="I7481" s="1" t="s">
        <v>34</v>
      </c>
      <c r="J7481" s="1" t="s">
        <v>18</v>
      </c>
      <c r="K7481" s="1">
        <f t="shared" si="1"/>
        <v>2023</v>
      </c>
      <c r="L7481" s="1" t="str">
        <f t="shared" si="2"/>
        <v>Aug</v>
      </c>
      <c r="M7481" s="1" t="str">
        <f t="shared" si="3"/>
        <v>Profit</v>
      </c>
    </row>
    <row r="7482" ht="14.25" customHeight="1">
      <c r="A7482" s="1" t="s">
        <v>7516</v>
      </c>
      <c r="B7482" s="2">
        <v>44899.0</v>
      </c>
      <c r="C7482" s="1" t="s">
        <v>30</v>
      </c>
      <c r="D7482" s="1" t="s">
        <v>21</v>
      </c>
      <c r="E7482" s="1" t="s">
        <v>22</v>
      </c>
      <c r="F7482" s="1">
        <v>146.86</v>
      </c>
      <c r="G7482" s="1">
        <v>21.5</v>
      </c>
      <c r="H7482" s="1">
        <v>9.0</v>
      </c>
      <c r="I7482" s="1" t="s">
        <v>23</v>
      </c>
      <c r="J7482" s="1" t="s">
        <v>24</v>
      </c>
      <c r="K7482" s="1">
        <f t="shared" si="1"/>
        <v>2022</v>
      </c>
      <c r="L7482" s="1" t="str">
        <f t="shared" si="2"/>
        <v>Dec</v>
      </c>
      <c r="M7482" s="1" t="str">
        <f t="shared" si="3"/>
        <v>Profit</v>
      </c>
    </row>
    <row r="7483" ht="14.25" customHeight="1">
      <c r="A7483" s="1" t="s">
        <v>7517</v>
      </c>
      <c r="B7483" s="2">
        <v>44232.0</v>
      </c>
      <c r="C7483" s="1" t="s">
        <v>20</v>
      </c>
      <c r="D7483" s="1" t="s">
        <v>21</v>
      </c>
      <c r="E7483" s="1" t="s">
        <v>76</v>
      </c>
      <c r="F7483" s="1">
        <v>172.15</v>
      </c>
      <c r="G7483" s="1">
        <v>66.76</v>
      </c>
      <c r="H7483" s="1">
        <v>3.0</v>
      </c>
      <c r="I7483" s="1" t="s">
        <v>34</v>
      </c>
      <c r="J7483" s="1" t="s">
        <v>18</v>
      </c>
      <c r="K7483" s="1">
        <f t="shared" si="1"/>
        <v>2021</v>
      </c>
      <c r="L7483" s="1" t="str">
        <f t="shared" si="2"/>
        <v>Feb</v>
      </c>
      <c r="M7483" s="1" t="str">
        <f t="shared" si="3"/>
        <v>Profit</v>
      </c>
    </row>
    <row r="7484" ht="14.25" customHeight="1">
      <c r="A7484" s="1" t="s">
        <v>7518</v>
      </c>
      <c r="B7484" s="2">
        <v>45281.0</v>
      </c>
      <c r="C7484" s="1" t="s">
        <v>14</v>
      </c>
      <c r="D7484" s="1" t="s">
        <v>15</v>
      </c>
      <c r="E7484" s="1" t="s">
        <v>54</v>
      </c>
      <c r="F7484" s="1">
        <v>122.09</v>
      </c>
      <c r="G7484" s="1">
        <v>138.16</v>
      </c>
      <c r="H7484" s="1">
        <v>4.0</v>
      </c>
      <c r="I7484" s="1" t="s">
        <v>23</v>
      </c>
      <c r="J7484" s="1" t="s">
        <v>24</v>
      </c>
      <c r="K7484" s="1">
        <f t="shared" si="1"/>
        <v>2023</v>
      </c>
      <c r="L7484" s="1" t="str">
        <f t="shared" si="2"/>
        <v>Dec</v>
      </c>
      <c r="M7484" s="1" t="str">
        <f t="shared" si="3"/>
        <v>Profit</v>
      </c>
    </row>
    <row r="7485" ht="14.25" customHeight="1">
      <c r="A7485" s="1" t="s">
        <v>7519</v>
      </c>
      <c r="B7485" s="2">
        <v>44980.0</v>
      </c>
      <c r="C7485" s="1" t="s">
        <v>14</v>
      </c>
      <c r="D7485" s="1" t="s">
        <v>15</v>
      </c>
      <c r="E7485" s="1" t="s">
        <v>54</v>
      </c>
      <c r="F7485" s="1">
        <v>634.51</v>
      </c>
      <c r="G7485" s="1">
        <v>-185.3</v>
      </c>
      <c r="H7485" s="1">
        <v>6.0</v>
      </c>
      <c r="I7485" s="1" t="s">
        <v>34</v>
      </c>
      <c r="J7485" s="1" t="s">
        <v>38</v>
      </c>
      <c r="K7485" s="1">
        <f t="shared" si="1"/>
        <v>2023</v>
      </c>
      <c r="L7485" s="1" t="str">
        <f t="shared" si="2"/>
        <v>Feb</v>
      </c>
      <c r="M7485" s="1" t="str">
        <f t="shared" si="3"/>
        <v>Loss</v>
      </c>
    </row>
    <row r="7486" ht="14.25" customHeight="1">
      <c r="A7486" s="1" t="s">
        <v>7520</v>
      </c>
      <c r="B7486" s="2">
        <v>44360.0</v>
      </c>
      <c r="C7486" s="1" t="s">
        <v>20</v>
      </c>
      <c r="D7486" s="1" t="s">
        <v>21</v>
      </c>
      <c r="E7486" s="1" t="s">
        <v>76</v>
      </c>
      <c r="F7486" s="1">
        <v>857.09</v>
      </c>
      <c r="G7486" s="1">
        <v>-154.47</v>
      </c>
      <c r="H7486" s="1">
        <v>2.0</v>
      </c>
      <c r="I7486" s="1" t="s">
        <v>23</v>
      </c>
      <c r="J7486" s="1" t="s">
        <v>38</v>
      </c>
      <c r="K7486" s="1">
        <f t="shared" si="1"/>
        <v>2021</v>
      </c>
      <c r="L7486" s="1" t="str">
        <f t="shared" si="2"/>
        <v>Jun</v>
      </c>
      <c r="M7486" s="1" t="str">
        <f t="shared" si="3"/>
        <v>Loss</v>
      </c>
    </row>
    <row r="7487" ht="14.25" customHeight="1">
      <c r="A7487" s="1" t="s">
        <v>7521</v>
      </c>
      <c r="B7487" s="2">
        <v>45282.0</v>
      </c>
      <c r="C7487" s="1" t="s">
        <v>30</v>
      </c>
      <c r="D7487" s="1" t="s">
        <v>21</v>
      </c>
      <c r="E7487" s="1" t="s">
        <v>22</v>
      </c>
      <c r="F7487" s="1">
        <v>308.92</v>
      </c>
      <c r="G7487" s="1">
        <v>-56.97</v>
      </c>
      <c r="H7487" s="1">
        <v>4.0</v>
      </c>
      <c r="I7487" s="1" t="s">
        <v>17</v>
      </c>
      <c r="J7487" s="1" t="s">
        <v>18</v>
      </c>
      <c r="K7487" s="1">
        <f t="shared" si="1"/>
        <v>2023</v>
      </c>
      <c r="L7487" s="1" t="str">
        <f t="shared" si="2"/>
        <v>Dec</v>
      </c>
      <c r="M7487" s="1" t="str">
        <f t="shared" si="3"/>
        <v>Loss</v>
      </c>
    </row>
    <row r="7488" ht="14.25" customHeight="1">
      <c r="A7488" s="1" t="s">
        <v>7522</v>
      </c>
      <c r="B7488" s="2">
        <v>44199.0</v>
      </c>
      <c r="C7488" s="1" t="s">
        <v>14</v>
      </c>
      <c r="D7488" s="1" t="s">
        <v>27</v>
      </c>
      <c r="E7488" s="1" t="s">
        <v>28</v>
      </c>
      <c r="F7488" s="1">
        <v>971.46</v>
      </c>
      <c r="G7488" s="1">
        <v>186.16</v>
      </c>
      <c r="H7488" s="1">
        <v>4.0</v>
      </c>
      <c r="I7488" s="1" t="s">
        <v>34</v>
      </c>
      <c r="J7488" s="1" t="s">
        <v>18</v>
      </c>
      <c r="K7488" s="1">
        <f t="shared" si="1"/>
        <v>2021</v>
      </c>
      <c r="L7488" s="1" t="str">
        <f t="shared" si="2"/>
        <v>Jan</v>
      </c>
      <c r="M7488" s="1" t="str">
        <f t="shared" si="3"/>
        <v>Profit</v>
      </c>
    </row>
    <row r="7489" ht="14.25" customHeight="1">
      <c r="A7489" s="1" t="s">
        <v>7523</v>
      </c>
      <c r="B7489" s="2">
        <v>44330.0</v>
      </c>
      <c r="C7489" s="1" t="s">
        <v>14</v>
      </c>
      <c r="D7489" s="1" t="s">
        <v>15</v>
      </c>
      <c r="E7489" s="1" t="s">
        <v>31</v>
      </c>
      <c r="F7489" s="1">
        <v>191.51</v>
      </c>
      <c r="G7489" s="1">
        <v>106.46</v>
      </c>
      <c r="H7489" s="1">
        <v>2.0</v>
      </c>
      <c r="I7489" s="1" t="s">
        <v>23</v>
      </c>
      <c r="J7489" s="1" t="s">
        <v>35</v>
      </c>
      <c r="K7489" s="1">
        <f t="shared" si="1"/>
        <v>2021</v>
      </c>
      <c r="L7489" s="1" t="str">
        <f t="shared" si="2"/>
        <v>May</v>
      </c>
      <c r="M7489" s="1" t="str">
        <f t="shared" si="3"/>
        <v>Profit</v>
      </c>
    </row>
    <row r="7490" ht="14.25" customHeight="1">
      <c r="A7490" s="1" t="s">
        <v>7524</v>
      </c>
      <c r="B7490" s="2">
        <v>44868.0</v>
      </c>
      <c r="C7490" s="1" t="s">
        <v>20</v>
      </c>
      <c r="D7490" s="1" t="s">
        <v>15</v>
      </c>
      <c r="E7490" s="1" t="s">
        <v>54</v>
      </c>
      <c r="F7490" s="1">
        <v>73.31</v>
      </c>
      <c r="G7490" s="1">
        <v>296.6</v>
      </c>
      <c r="H7490" s="1">
        <v>4.0</v>
      </c>
      <c r="I7490" s="1" t="s">
        <v>23</v>
      </c>
      <c r="J7490" s="1" t="s">
        <v>18</v>
      </c>
      <c r="K7490" s="1">
        <f t="shared" si="1"/>
        <v>2022</v>
      </c>
      <c r="L7490" s="1" t="str">
        <f t="shared" si="2"/>
        <v>Nov</v>
      </c>
      <c r="M7490" s="1" t="str">
        <f t="shared" si="3"/>
        <v>Profit</v>
      </c>
    </row>
    <row r="7491" ht="14.25" customHeight="1">
      <c r="A7491" s="1" t="s">
        <v>7525</v>
      </c>
      <c r="B7491" s="2">
        <v>44647.0</v>
      </c>
      <c r="C7491" s="1" t="s">
        <v>26</v>
      </c>
      <c r="D7491" s="1" t="s">
        <v>27</v>
      </c>
      <c r="E7491" s="1" t="s">
        <v>28</v>
      </c>
      <c r="F7491" s="1">
        <v>378.98</v>
      </c>
      <c r="G7491" s="1">
        <v>-107.37</v>
      </c>
      <c r="H7491" s="1">
        <v>3.0</v>
      </c>
      <c r="I7491" s="1" t="s">
        <v>23</v>
      </c>
      <c r="J7491" s="1" t="s">
        <v>35</v>
      </c>
      <c r="K7491" s="1">
        <f t="shared" si="1"/>
        <v>2022</v>
      </c>
      <c r="L7491" s="1" t="str">
        <f t="shared" si="2"/>
        <v>Mar</v>
      </c>
      <c r="M7491" s="1" t="str">
        <f t="shared" si="3"/>
        <v>Loss</v>
      </c>
    </row>
    <row r="7492" ht="14.25" customHeight="1">
      <c r="A7492" s="1" t="s">
        <v>7526</v>
      </c>
      <c r="B7492" s="2">
        <v>44908.0</v>
      </c>
      <c r="C7492" s="1" t="s">
        <v>30</v>
      </c>
      <c r="D7492" s="1" t="s">
        <v>21</v>
      </c>
      <c r="E7492" s="1" t="s">
        <v>76</v>
      </c>
      <c r="F7492" s="1">
        <v>503.18</v>
      </c>
      <c r="G7492" s="1">
        <v>-137.72</v>
      </c>
      <c r="H7492" s="1">
        <v>6.0</v>
      </c>
      <c r="I7492" s="1" t="s">
        <v>23</v>
      </c>
      <c r="J7492" s="1" t="s">
        <v>18</v>
      </c>
      <c r="K7492" s="1">
        <f t="shared" si="1"/>
        <v>2022</v>
      </c>
      <c r="L7492" s="1" t="str">
        <f t="shared" si="2"/>
        <v>Dec</v>
      </c>
      <c r="M7492" s="1" t="str">
        <f t="shared" si="3"/>
        <v>Loss</v>
      </c>
    </row>
    <row r="7493" ht="14.25" customHeight="1">
      <c r="A7493" s="1" t="s">
        <v>7527</v>
      </c>
      <c r="B7493" s="2">
        <v>44732.0</v>
      </c>
      <c r="C7493" s="1" t="s">
        <v>30</v>
      </c>
      <c r="D7493" s="1" t="s">
        <v>21</v>
      </c>
      <c r="E7493" s="1" t="s">
        <v>76</v>
      </c>
      <c r="F7493" s="1">
        <v>831.37</v>
      </c>
      <c r="G7493" s="1">
        <v>128.59</v>
      </c>
      <c r="H7493" s="1">
        <v>9.0</v>
      </c>
      <c r="I7493" s="1" t="s">
        <v>23</v>
      </c>
      <c r="J7493" s="1" t="s">
        <v>35</v>
      </c>
      <c r="K7493" s="1">
        <f t="shared" si="1"/>
        <v>2022</v>
      </c>
      <c r="L7493" s="1" t="str">
        <f t="shared" si="2"/>
        <v>Jun</v>
      </c>
      <c r="M7493" s="1" t="str">
        <f t="shared" si="3"/>
        <v>Profit</v>
      </c>
    </row>
    <row r="7494" ht="14.25" customHeight="1">
      <c r="A7494" s="1" t="s">
        <v>7528</v>
      </c>
      <c r="B7494" s="2">
        <v>44426.0</v>
      </c>
      <c r="C7494" s="1" t="s">
        <v>14</v>
      </c>
      <c r="D7494" s="1" t="s">
        <v>27</v>
      </c>
      <c r="E7494" s="1" t="s">
        <v>40</v>
      </c>
      <c r="F7494" s="1">
        <v>700.59</v>
      </c>
      <c r="G7494" s="1">
        <v>134.99</v>
      </c>
      <c r="H7494" s="1">
        <v>2.0</v>
      </c>
      <c r="I7494" s="1" t="s">
        <v>23</v>
      </c>
      <c r="J7494" s="1" t="s">
        <v>24</v>
      </c>
      <c r="K7494" s="1">
        <f t="shared" si="1"/>
        <v>2021</v>
      </c>
      <c r="L7494" s="1" t="str">
        <f t="shared" si="2"/>
        <v>Aug</v>
      </c>
      <c r="M7494" s="1" t="str">
        <f t="shared" si="3"/>
        <v>Profit</v>
      </c>
    </row>
    <row r="7495" ht="14.25" customHeight="1">
      <c r="A7495" s="1" t="s">
        <v>7529</v>
      </c>
      <c r="B7495" s="2">
        <v>44912.0</v>
      </c>
      <c r="C7495" s="1" t="s">
        <v>30</v>
      </c>
      <c r="D7495" s="1" t="s">
        <v>27</v>
      </c>
      <c r="E7495" s="1" t="s">
        <v>33</v>
      </c>
      <c r="F7495" s="1">
        <v>895.29</v>
      </c>
      <c r="G7495" s="1">
        <v>32.33</v>
      </c>
      <c r="H7495" s="1">
        <v>5.0</v>
      </c>
      <c r="I7495" s="1" t="s">
        <v>34</v>
      </c>
      <c r="J7495" s="1" t="s">
        <v>35</v>
      </c>
      <c r="K7495" s="1">
        <f t="shared" si="1"/>
        <v>2022</v>
      </c>
      <c r="L7495" s="1" t="str">
        <f t="shared" si="2"/>
        <v>Dec</v>
      </c>
      <c r="M7495" s="1" t="str">
        <f t="shared" si="3"/>
        <v>Profit</v>
      </c>
    </row>
    <row r="7496" ht="14.25" customHeight="1">
      <c r="A7496" s="1" t="s">
        <v>7530</v>
      </c>
      <c r="B7496" s="2">
        <v>44265.0</v>
      </c>
      <c r="C7496" s="1" t="s">
        <v>26</v>
      </c>
      <c r="D7496" s="1" t="s">
        <v>21</v>
      </c>
      <c r="E7496" s="1" t="s">
        <v>76</v>
      </c>
      <c r="F7496" s="1">
        <v>976.24</v>
      </c>
      <c r="G7496" s="1">
        <v>-179.51</v>
      </c>
      <c r="H7496" s="1">
        <v>8.0</v>
      </c>
      <c r="I7496" s="1" t="s">
        <v>17</v>
      </c>
      <c r="J7496" s="1" t="s">
        <v>35</v>
      </c>
      <c r="K7496" s="1">
        <f t="shared" si="1"/>
        <v>2021</v>
      </c>
      <c r="L7496" s="1" t="str">
        <f t="shared" si="2"/>
        <v>Mar</v>
      </c>
      <c r="M7496" s="1" t="str">
        <f t="shared" si="3"/>
        <v>Loss</v>
      </c>
    </row>
    <row r="7497" ht="14.25" customHeight="1">
      <c r="A7497" s="1" t="s">
        <v>7531</v>
      </c>
      <c r="B7497" s="2">
        <v>44220.0</v>
      </c>
      <c r="C7497" s="1" t="s">
        <v>30</v>
      </c>
      <c r="D7497" s="1" t="s">
        <v>27</v>
      </c>
      <c r="E7497" s="1" t="s">
        <v>28</v>
      </c>
      <c r="F7497" s="1">
        <v>525.18</v>
      </c>
      <c r="G7497" s="1">
        <v>-164.52</v>
      </c>
      <c r="H7497" s="1">
        <v>4.0</v>
      </c>
      <c r="I7497" s="1" t="s">
        <v>23</v>
      </c>
      <c r="J7497" s="1" t="s">
        <v>35</v>
      </c>
      <c r="K7497" s="1">
        <f t="shared" si="1"/>
        <v>2021</v>
      </c>
      <c r="L7497" s="1" t="str">
        <f t="shared" si="2"/>
        <v>Jan</v>
      </c>
      <c r="M7497" s="1" t="str">
        <f t="shared" si="3"/>
        <v>Loss</v>
      </c>
    </row>
    <row r="7498" ht="14.25" customHeight="1">
      <c r="A7498" s="1" t="s">
        <v>7532</v>
      </c>
      <c r="B7498" s="2">
        <v>44512.0</v>
      </c>
      <c r="C7498" s="1" t="s">
        <v>20</v>
      </c>
      <c r="D7498" s="1" t="s">
        <v>27</v>
      </c>
      <c r="E7498" s="1" t="s">
        <v>28</v>
      </c>
      <c r="F7498" s="1">
        <v>60.66</v>
      </c>
      <c r="G7498" s="1">
        <v>-136.93</v>
      </c>
      <c r="H7498" s="1">
        <v>6.0</v>
      </c>
      <c r="I7498" s="1" t="s">
        <v>34</v>
      </c>
      <c r="J7498" s="1" t="s">
        <v>35</v>
      </c>
      <c r="K7498" s="1">
        <f t="shared" si="1"/>
        <v>2021</v>
      </c>
      <c r="L7498" s="1" t="str">
        <f t="shared" si="2"/>
        <v>Nov</v>
      </c>
      <c r="M7498" s="1" t="str">
        <f t="shared" si="3"/>
        <v>Loss</v>
      </c>
    </row>
    <row r="7499" ht="14.25" customHeight="1">
      <c r="A7499" s="1" t="s">
        <v>7533</v>
      </c>
      <c r="B7499" s="2">
        <v>44685.0</v>
      </c>
      <c r="C7499" s="1" t="s">
        <v>14</v>
      </c>
      <c r="D7499" s="1" t="s">
        <v>27</v>
      </c>
      <c r="E7499" s="1" t="s">
        <v>40</v>
      </c>
      <c r="F7499" s="1">
        <v>203.76</v>
      </c>
      <c r="G7499" s="1">
        <v>-116.93</v>
      </c>
      <c r="H7499" s="1">
        <v>6.0</v>
      </c>
      <c r="I7499" s="1" t="s">
        <v>23</v>
      </c>
      <c r="J7499" s="1" t="s">
        <v>24</v>
      </c>
      <c r="K7499" s="1">
        <f t="shared" si="1"/>
        <v>2022</v>
      </c>
      <c r="L7499" s="1" t="str">
        <f t="shared" si="2"/>
        <v>May</v>
      </c>
      <c r="M7499" s="1" t="str">
        <f t="shared" si="3"/>
        <v>Loss</v>
      </c>
    </row>
    <row r="7500" ht="14.25" customHeight="1">
      <c r="A7500" s="1" t="s">
        <v>7534</v>
      </c>
      <c r="B7500" s="2">
        <v>44560.0</v>
      </c>
      <c r="C7500" s="1" t="s">
        <v>14</v>
      </c>
      <c r="D7500" s="1" t="s">
        <v>15</v>
      </c>
      <c r="E7500" s="1" t="s">
        <v>16</v>
      </c>
      <c r="F7500" s="1">
        <v>974.27</v>
      </c>
      <c r="G7500" s="1">
        <v>268.26</v>
      </c>
      <c r="H7500" s="1">
        <v>10.0</v>
      </c>
      <c r="I7500" s="1" t="s">
        <v>17</v>
      </c>
      <c r="J7500" s="1" t="s">
        <v>38</v>
      </c>
      <c r="K7500" s="1">
        <f t="shared" si="1"/>
        <v>2021</v>
      </c>
      <c r="L7500" s="1" t="str">
        <f t="shared" si="2"/>
        <v>Dec</v>
      </c>
      <c r="M7500" s="1" t="str">
        <f t="shared" si="3"/>
        <v>Profit</v>
      </c>
    </row>
    <row r="7501" ht="14.25" customHeight="1">
      <c r="A7501" s="1" t="s">
        <v>7535</v>
      </c>
      <c r="B7501" s="2">
        <v>44412.0</v>
      </c>
      <c r="C7501" s="1" t="s">
        <v>26</v>
      </c>
      <c r="D7501" s="1" t="s">
        <v>21</v>
      </c>
      <c r="E7501" s="1" t="s">
        <v>37</v>
      </c>
      <c r="F7501" s="1">
        <v>96.6</v>
      </c>
      <c r="G7501" s="1">
        <v>211.1</v>
      </c>
      <c r="H7501" s="1">
        <v>5.0</v>
      </c>
      <c r="I7501" s="1" t="s">
        <v>17</v>
      </c>
      <c r="J7501" s="1" t="s">
        <v>18</v>
      </c>
      <c r="K7501" s="1">
        <f t="shared" si="1"/>
        <v>2021</v>
      </c>
      <c r="L7501" s="1" t="str">
        <f t="shared" si="2"/>
        <v>Aug</v>
      </c>
      <c r="M7501" s="1" t="str">
        <f t="shared" si="3"/>
        <v>Profit</v>
      </c>
    </row>
    <row r="7502" ht="14.25" customHeight="1">
      <c r="A7502" s="1" t="s">
        <v>7536</v>
      </c>
      <c r="B7502" s="2">
        <v>44723.0</v>
      </c>
      <c r="C7502" s="1" t="s">
        <v>30</v>
      </c>
      <c r="D7502" s="1" t="s">
        <v>21</v>
      </c>
      <c r="E7502" s="1" t="s">
        <v>22</v>
      </c>
      <c r="F7502" s="1">
        <v>496.6</v>
      </c>
      <c r="G7502" s="1">
        <v>209.19</v>
      </c>
      <c r="H7502" s="1">
        <v>2.0</v>
      </c>
      <c r="I7502" s="1" t="s">
        <v>34</v>
      </c>
      <c r="J7502" s="1" t="s">
        <v>38</v>
      </c>
      <c r="K7502" s="1">
        <f t="shared" si="1"/>
        <v>2022</v>
      </c>
      <c r="L7502" s="1" t="str">
        <f t="shared" si="2"/>
        <v>Jun</v>
      </c>
      <c r="M7502" s="1" t="str">
        <f t="shared" si="3"/>
        <v>Profit</v>
      </c>
    </row>
    <row r="7503" ht="14.25" customHeight="1">
      <c r="A7503" s="1" t="s">
        <v>7537</v>
      </c>
      <c r="B7503" s="2">
        <v>44590.0</v>
      </c>
      <c r="C7503" s="1" t="s">
        <v>20</v>
      </c>
      <c r="D7503" s="1" t="s">
        <v>21</v>
      </c>
      <c r="E7503" s="1" t="s">
        <v>76</v>
      </c>
      <c r="F7503" s="1">
        <v>560.37</v>
      </c>
      <c r="G7503" s="1">
        <v>202.61</v>
      </c>
      <c r="H7503" s="1">
        <v>7.0</v>
      </c>
      <c r="I7503" s="1" t="s">
        <v>34</v>
      </c>
      <c r="J7503" s="1" t="s">
        <v>38</v>
      </c>
      <c r="K7503" s="1">
        <f t="shared" si="1"/>
        <v>2022</v>
      </c>
      <c r="L7503" s="1" t="str">
        <f t="shared" si="2"/>
        <v>Jan</v>
      </c>
      <c r="M7503" s="1" t="str">
        <f t="shared" si="3"/>
        <v>Profit</v>
      </c>
    </row>
    <row r="7504" ht="14.25" customHeight="1">
      <c r="A7504" s="1" t="s">
        <v>7538</v>
      </c>
      <c r="B7504" s="2">
        <v>44625.0</v>
      </c>
      <c r="C7504" s="1" t="s">
        <v>30</v>
      </c>
      <c r="D7504" s="1" t="s">
        <v>15</v>
      </c>
      <c r="E7504" s="1" t="s">
        <v>31</v>
      </c>
      <c r="F7504" s="1">
        <v>194.46</v>
      </c>
      <c r="G7504" s="1">
        <v>291.45</v>
      </c>
      <c r="H7504" s="1">
        <v>10.0</v>
      </c>
      <c r="I7504" s="1" t="s">
        <v>23</v>
      </c>
      <c r="J7504" s="1" t="s">
        <v>38</v>
      </c>
      <c r="K7504" s="1">
        <f t="shared" si="1"/>
        <v>2022</v>
      </c>
      <c r="L7504" s="1" t="str">
        <f t="shared" si="2"/>
        <v>Mar</v>
      </c>
      <c r="M7504" s="1" t="str">
        <f t="shared" si="3"/>
        <v>Profit</v>
      </c>
    </row>
    <row r="7505" ht="14.25" customHeight="1">
      <c r="A7505" s="1" t="s">
        <v>7539</v>
      </c>
      <c r="B7505" s="2">
        <v>44680.0</v>
      </c>
      <c r="C7505" s="1" t="s">
        <v>14</v>
      </c>
      <c r="D7505" s="1" t="s">
        <v>15</v>
      </c>
      <c r="E7505" s="1" t="s">
        <v>16</v>
      </c>
      <c r="F7505" s="1">
        <v>675.89</v>
      </c>
      <c r="G7505" s="1">
        <v>74.89</v>
      </c>
      <c r="H7505" s="1">
        <v>1.0</v>
      </c>
      <c r="I7505" s="1" t="s">
        <v>23</v>
      </c>
      <c r="J7505" s="1" t="s">
        <v>18</v>
      </c>
      <c r="K7505" s="1">
        <f t="shared" si="1"/>
        <v>2022</v>
      </c>
      <c r="L7505" s="1" t="str">
        <f t="shared" si="2"/>
        <v>Apr</v>
      </c>
      <c r="M7505" s="1" t="str">
        <f t="shared" si="3"/>
        <v>Profit</v>
      </c>
    </row>
    <row r="7506" ht="14.25" customHeight="1">
      <c r="A7506" s="1" t="s">
        <v>7540</v>
      </c>
      <c r="B7506" s="2">
        <v>44885.0</v>
      </c>
      <c r="C7506" s="1" t="s">
        <v>30</v>
      </c>
      <c r="D7506" s="1" t="s">
        <v>21</v>
      </c>
      <c r="E7506" s="1" t="s">
        <v>37</v>
      </c>
      <c r="F7506" s="1">
        <v>868.89</v>
      </c>
      <c r="G7506" s="1">
        <v>136.01</v>
      </c>
      <c r="H7506" s="1">
        <v>2.0</v>
      </c>
      <c r="I7506" s="1" t="s">
        <v>23</v>
      </c>
      <c r="J7506" s="1" t="s">
        <v>24</v>
      </c>
      <c r="K7506" s="1">
        <f t="shared" si="1"/>
        <v>2022</v>
      </c>
      <c r="L7506" s="1" t="str">
        <f t="shared" si="2"/>
        <v>Nov</v>
      </c>
      <c r="M7506" s="1" t="str">
        <f t="shared" si="3"/>
        <v>Profit</v>
      </c>
    </row>
    <row r="7507" ht="14.25" customHeight="1">
      <c r="A7507" s="1" t="s">
        <v>7541</v>
      </c>
      <c r="B7507" s="2">
        <v>44468.0</v>
      </c>
      <c r="C7507" s="1" t="s">
        <v>14</v>
      </c>
      <c r="D7507" s="1" t="s">
        <v>21</v>
      </c>
      <c r="E7507" s="1" t="s">
        <v>37</v>
      </c>
      <c r="F7507" s="1">
        <v>345.35</v>
      </c>
      <c r="G7507" s="1">
        <v>-137.63</v>
      </c>
      <c r="H7507" s="1">
        <v>2.0</v>
      </c>
      <c r="I7507" s="1" t="s">
        <v>17</v>
      </c>
      <c r="J7507" s="1" t="s">
        <v>24</v>
      </c>
      <c r="K7507" s="1">
        <f t="shared" si="1"/>
        <v>2021</v>
      </c>
      <c r="L7507" s="1" t="str">
        <f t="shared" si="2"/>
        <v>Sep</v>
      </c>
      <c r="M7507" s="1" t="str">
        <f t="shared" si="3"/>
        <v>Loss</v>
      </c>
    </row>
    <row r="7508" ht="14.25" customHeight="1">
      <c r="A7508" s="1" t="s">
        <v>7542</v>
      </c>
      <c r="B7508" s="2">
        <v>44892.0</v>
      </c>
      <c r="C7508" s="1" t="s">
        <v>20</v>
      </c>
      <c r="D7508" s="1" t="s">
        <v>15</v>
      </c>
      <c r="E7508" s="1" t="s">
        <v>31</v>
      </c>
      <c r="F7508" s="1">
        <v>503.47</v>
      </c>
      <c r="G7508" s="1">
        <v>178.68</v>
      </c>
      <c r="H7508" s="1">
        <v>6.0</v>
      </c>
      <c r="I7508" s="1" t="s">
        <v>17</v>
      </c>
      <c r="J7508" s="1" t="s">
        <v>18</v>
      </c>
      <c r="K7508" s="1">
        <f t="shared" si="1"/>
        <v>2022</v>
      </c>
      <c r="L7508" s="1" t="str">
        <f t="shared" si="2"/>
        <v>Nov</v>
      </c>
      <c r="M7508" s="1" t="str">
        <f t="shared" si="3"/>
        <v>Profit</v>
      </c>
    </row>
    <row r="7509" ht="14.25" customHeight="1">
      <c r="A7509" s="1" t="s">
        <v>7543</v>
      </c>
      <c r="B7509" s="2">
        <v>44920.0</v>
      </c>
      <c r="C7509" s="1" t="s">
        <v>14</v>
      </c>
      <c r="D7509" s="1" t="s">
        <v>15</v>
      </c>
      <c r="E7509" s="1" t="s">
        <v>31</v>
      </c>
      <c r="F7509" s="1">
        <v>160.21</v>
      </c>
      <c r="G7509" s="1">
        <v>-151.65</v>
      </c>
      <c r="H7509" s="1">
        <v>5.0</v>
      </c>
      <c r="I7509" s="1" t="s">
        <v>23</v>
      </c>
      <c r="J7509" s="1" t="s">
        <v>38</v>
      </c>
      <c r="K7509" s="1">
        <f t="shared" si="1"/>
        <v>2022</v>
      </c>
      <c r="L7509" s="1" t="str">
        <f t="shared" si="2"/>
        <v>Dec</v>
      </c>
      <c r="M7509" s="1" t="str">
        <f t="shared" si="3"/>
        <v>Loss</v>
      </c>
    </row>
    <row r="7510" ht="14.25" customHeight="1">
      <c r="A7510" s="1" t="s">
        <v>7544</v>
      </c>
      <c r="B7510" s="2">
        <v>44566.0</v>
      </c>
      <c r="C7510" s="1" t="s">
        <v>26</v>
      </c>
      <c r="D7510" s="1" t="s">
        <v>15</v>
      </c>
      <c r="E7510" s="1" t="s">
        <v>54</v>
      </c>
      <c r="F7510" s="1">
        <v>478.1</v>
      </c>
      <c r="G7510" s="1">
        <v>116.55</v>
      </c>
      <c r="H7510" s="1">
        <v>5.0</v>
      </c>
      <c r="I7510" s="1" t="s">
        <v>34</v>
      </c>
      <c r="J7510" s="1" t="s">
        <v>35</v>
      </c>
      <c r="K7510" s="1">
        <f t="shared" si="1"/>
        <v>2022</v>
      </c>
      <c r="L7510" s="1" t="str">
        <f t="shared" si="2"/>
        <v>Jan</v>
      </c>
      <c r="M7510" s="1" t="str">
        <f t="shared" si="3"/>
        <v>Profit</v>
      </c>
    </row>
    <row r="7511" ht="14.25" customHeight="1">
      <c r="A7511" s="1" t="s">
        <v>7545</v>
      </c>
      <c r="B7511" s="2">
        <v>44406.0</v>
      </c>
      <c r="C7511" s="1" t="s">
        <v>30</v>
      </c>
      <c r="D7511" s="1" t="s">
        <v>15</v>
      </c>
      <c r="E7511" s="1" t="s">
        <v>16</v>
      </c>
      <c r="F7511" s="1">
        <v>483.19</v>
      </c>
      <c r="G7511" s="1">
        <v>-21.84</v>
      </c>
      <c r="H7511" s="1">
        <v>9.0</v>
      </c>
      <c r="I7511" s="1" t="s">
        <v>34</v>
      </c>
      <c r="J7511" s="1" t="s">
        <v>38</v>
      </c>
      <c r="K7511" s="1">
        <f t="shared" si="1"/>
        <v>2021</v>
      </c>
      <c r="L7511" s="1" t="str">
        <f t="shared" si="2"/>
        <v>Jul</v>
      </c>
      <c r="M7511" s="1" t="str">
        <f t="shared" si="3"/>
        <v>Loss</v>
      </c>
    </row>
    <row r="7512" ht="14.25" customHeight="1">
      <c r="A7512" s="1" t="s">
        <v>7546</v>
      </c>
      <c r="B7512" s="2">
        <v>45085.0</v>
      </c>
      <c r="C7512" s="1" t="s">
        <v>30</v>
      </c>
      <c r="D7512" s="1" t="s">
        <v>21</v>
      </c>
      <c r="E7512" s="1" t="s">
        <v>37</v>
      </c>
      <c r="F7512" s="1">
        <v>817.32</v>
      </c>
      <c r="G7512" s="1">
        <v>122.68</v>
      </c>
      <c r="H7512" s="1">
        <v>6.0</v>
      </c>
      <c r="I7512" s="1" t="s">
        <v>17</v>
      </c>
      <c r="J7512" s="1" t="s">
        <v>35</v>
      </c>
      <c r="K7512" s="1">
        <f t="shared" si="1"/>
        <v>2023</v>
      </c>
      <c r="L7512" s="1" t="str">
        <f t="shared" si="2"/>
        <v>Jun</v>
      </c>
      <c r="M7512" s="1" t="str">
        <f t="shared" si="3"/>
        <v>Profit</v>
      </c>
    </row>
    <row r="7513" ht="14.25" customHeight="1">
      <c r="A7513" s="1" t="s">
        <v>7547</v>
      </c>
      <c r="B7513" s="2">
        <v>44555.0</v>
      </c>
      <c r="C7513" s="1" t="s">
        <v>26</v>
      </c>
      <c r="D7513" s="1" t="s">
        <v>15</v>
      </c>
      <c r="E7513" s="1" t="s">
        <v>16</v>
      </c>
      <c r="F7513" s="1">
        <v>347.65</v>
      </c>
      <c r="G7513" s="1">
        <v>194.07</v>
      </c>
      <c r="H7513" s="1">
        <v>10.0</v>
      </c>
      <c r="I7513" s="1" t="s">
        <v>34</v>
      </c>
      <c r="J7513" s="1" t="s">
        <v>18</v>
      </c>
      <c r="K7513" s="1">
        <f t="shared" si="1"/>
        <v>2021</v>
      </c>
      <c r="L7513" s="1" t="str">
        <f t="shared" si="2"/>
        <v>Dec</v>
      </c>
      <c r="M7513" s="1" t="str">
        <f t="shared" si="3"/>
        <v>Profit</v>
      </c>
    </row>
    <row r="7514" ht="14.25" customHeight="1">
      <c r="A7514" s="1" t="s">
        <v>7548</v>
      </c>
      <c r="B7514" s="2">
        <v>44578.0</v>
      </c>
      <c r="C7514" s="1" t="s">
        <v>30</v>
      </c>
      <c r="D7514" s="1" t="s">
        <v>21</v>
      </c>
      <c r="E7514" s="1" t="s">
        <v>22</v>
      </c>
      <c r="F7514" s="1">
        <v>459.98</v>
      </c>
      <c r="G7514" s="1">
        <v>-191.13</v>
      </c>
      <c r="H7514" s="1">
        <v>6.0</v>
      </c>
      <c r="I7514" s="1" t="s">
        <v>34</v>
      </c>
      <c r="J7514" s="1" t="s">
        <v>24</v>
      </c>
      <c r="K7514" s="1">
        <f t="shared" si="1"/>
        <v>2022</v>
      </c>
      <c r="L7514" s="1" t="str">
        <f t="shared" si="2"/>
        <v>Jan</v>
      </c>
      <c r="M7514" s="1" t="str">
        <f t="shared" si="3"/>
        <v>Loss</v>
      </c>
    </row>
    <row r="7515" ht="14.25" customHeight="1">
      <c r="A7515" s="1" t="s">
        <v>7549</v>
      </c>
      <c r="B7515" s="2">
        <v>45087.0</v>
      </c>
      <c r="C7515" s="1" t="s">
        <v>20</v>
      </c>
      <c r="D7515" s="1" t="s">
        <v>21</v>
      </c>
      <c r="E7515" s="1" t="s">
        <v>76</v>
      </c>
      <c r="F7515" s="1">
        <v>306.69</v>
      </c>
      <c r="G7515" s="1">
        <v>-150.09</v>
      </c>
      <c r="H7515" s="1">
        <v>5.0</v>
      </c>
      <c r="I7515" s="1" t="s">
        <v>34</v>
      </c>
      <c r="J7515" s="1" t="s">
        <v>24</v>
      </c>
      <c r="K7515" s="1">
        <f t="shared" si="1"/>
        <v>2023</v>
      </c>
      <c r="L7515" s="1" t="str">
        <f t="shared" si="2"/>
        <v>Jun</v>
      </c>
      <c r="M7515" s="1" t="str">
        <f t="shared" si="3"/>
        <v>Loss</v>
      </c>
    </row>
    <row r="7516" ht="14.25" customHeight="1">
      <c r="A7516" s="1" t="s">
        <v>7550</v>
      </c>
      <c r="B7516" s="2">
        <v>44707.0</v>
      </c>
      <c r="C7516" s="1" t="s">
        <v>20</v>
      </c>
      <c r="D7516" s="1" t="s">
        <v>15</v>
      </c>
      <c r="E7516" s="1" t="s">
        <v>54</v>
      </c>
      <c r="F7516" s="1">
        <v>168.12</v>
      </c>
      <c r="G7516" s="1">
        <v>174.78</v>
      </c>
      <c r="H7516" s="1">
        <v>5.0</v>
      </c>
      <c r="I7516" s="1" t="s">
        <v>17</v>
      </c>
      <c r="J7516" s="1" t="s">
        <v>35</v>
      </c>
      <c r="K7516" s="1">
        <f t="shared" si="1"/>
        <v>2022</v>
      </c>
      <c r="L7516" s="1" t="str">
        <f t="shared" si="2"/>
        <v>May</v>
      </c>
      <c r="M7516" s="1" t="str">
        <f t="shared" si="3"/>
        <v>Profit</v>
      </c>
    </row>
    <row r="7517" ht="14.25" customHeight="1">
      <c r="A7517" s="1" t="s">
        <v>7551</v>
      </c>
      <c r="B7517" s="2">
        <v>44536.0</v>
      </c>
      <c r="C7517" s="1" t="s">
        <v>20</v>
      </c>
      <c r="D7517" s="1" t="s">
        <v>15</v>
      </c>
      <c r="E7517" s="1" t="s">
        <v>54</v>
      </c>
      <c r="F7517" s="1">
        <v>279.8</v>
      </c>
      <c r="G7517" s="1">
        <v>122.47</v>
      </c>
      <c r="H7517" s="1">
        <v>5.0</v>
      </c>
      <c r="I7517" s="1" t="s">
        <v>17</v>
      </c>
      <c r="J7517" s="1" t="s">
        <v>38</v>
      </c>
      <c r="K7517" s="1">
        <f t="shared" si="1"/>
        <v>2021</v>
      </c>
      <c r="L7517" s="1" t="str">
        <f t="shared" si="2"/>
        <v>Dec</v>
      </c>
      <c r="M7517" s="1" t="str">
        <f t="shared" si="3"/>
        <v>Profit</v>
      </c>
    </row>
    <row r="7518" ht="14.25" customHeight="1">
      <c r="A7518" s="1" t="s">
        <v>7552</v>
      </c>
      <c r="B7518" s="2">
        <v>44979.0</v>
      </c>
      <c r="C7518" s="1" t="s">
        <v>20</v>
      </c>
      <c r="D7518" s="1" t="s">
        <v>27</v>
      </c>
      <c r="E7518" s="1" t="s">
        <v>28</v>
      </c>
      <c r="F7518" s="1">
        <v>873.2</v>
      </c>
      <c r="G7518" s="1">
        <v>179.18</v>
      </c>
      <c r="H7518" s="1">
        <v>4.0</v>
      </c>
      <c r="I7518" s="1" t="s">
        <v>23</v>
      </c>
      <c r="J7518" s="1" t="s">
        <v>35</v>
      </c>
      <c r="K7518" s="1">
        <f t="shared" si="1"/>
        <v>2023</v>
      </c>
      <c r="L7518" s="1" t="str">
        <f t="shared" si="2"/>
        <v>Feb</v>
      </c>
      <c r="M7518" s="1" t="str">
        <f t="shared" si="3"/>
        <v>Profit</v>
      </c>
    </row>
    <row r="7519" ht="14.25" customHeight="1">
      <c r="A7519" s="1" t="s">
        <v>7553</v>
      </c>
      <c r="B7519" s="2">
        <v>45227.0</v>
      </c>
      <c r="C7519" s="1" t="s">
        <v>20</v>
      </c>
      <c r="D7519" s="1" t="s">
        <v>21</v>
      </c>
      <c r="E7519" s="1" t="s">
        <v>76</v>
      </c>
      <c r="F7519" s="1">
        <v>838.08</v>
      </c>
      <c r="G7519" s="1">
        <v>115.44</v>
      </c>
      <c r="H7519" s="1">
        <v>3.0</v>
      </c>
      <c r="I7519" s="1" t="s">
        <v>17</v>
      </c>
      <c r="J7519" s="1" t="s">
        <v>35</v>
      </c>
      <c r="K7519" s="1">
        <f t="shared" si="1"/>
        <v>2023</v>
      </c>
      <c r="L7519" s="1" t="str">
        <f t="shared" si="2"/>
        <v>Oct</v>
      </c>
      <c r="M7519" s="1" t="str">
        <f t="shared" si="3"/>
        <v>Profit</v>
      </c>
    </row>
    <row r="7520" ht="14.25" customHeight="1">
      <c r="A7520" s="1" t="s">
        <v>7554</v>
      </c>
      <c r="B7520" s="2">
        <v>44659.0</v>
      </c>
      <c r="C7520" s="1" t="s">
        <v>14</v>
      </c>
      <c r="D7520" s="1" t="s">
        <v>27</v>
      </c>
      <c r="E7520" s="1" t="s">
        <v>28</v>
      </c>
      <c r="F7520" s="1">
        <v>286.34</v>
      </c>
      <c r="G7520" s="1">
        <v>295.46</v>
      </c>
      <c r="H7520" s="1">
        <v>8.0</v>
      </c>
      <c r="I7520" s="1" t="s">
        <v>23</v>
      </c>
      <c r="J7520" s="1" t="s">
        <v>35</v>
      </c>
      <c r="K7520" s="1">
        <f t="shared" si="1"/>
        <v>2022</v>
      </c>
      <c r="L7520" s="1" t="str">
        <f t="shared" si="2"/>
        <v>Apr</v>
      </c>
      <c r="M7520" s="1" t="str">
        <f t="shared" si="3"/>
        <v>Profit</v>
      </c>
    </row>
    <row r="7521" ht="14.25" customHeight="1">
      <c r="A7521" s="1" t="s">
        <v>7555</v>
      </c>
      <c r="B7521" s="2">
        <v>44233.0</v>
      </c>
      <c r="C7521" s="1" t="s">
        <v>26</v>
      </c>
      <c r="D7521" s="1" t="s">
        <v>27</v>
      </c>
      <c r="E7521" s="1" t="s">
        <v>40</v>
      </c>
      <c r="F7521" s="1">
        <v>795.18</v>
      </c>
      <c r="G7521" s="1">
        <v>-173.14</v>
      </c>
      <c r="H7521" s="1">
        <v>5.0</v>
      </c>
      <c r="I7521" s="1" t="s">
        <v>34</v>
      </c>
      <c r="J7521" s="1" t="s">
        <v>18</v>
      </c>
      <c r="K7521" s="1">
        <f t="shared" si="1"/>
        <v>2021</v>
      </c>
      <c r="L7521" s="1" t="str">
        <f t="shared" si="2"/>
        <v>Feb</v>
      </c>
      <c r="M7521" s="1" t="str">
        <f t="shared" si="3"/>
        <v>Loss</v>
      </c>
    </row>
    <row r="7522" ht="14.25" customHeight="1">
      <c r="A7522" s="1" t="s">
        <v>7556</v>
      </c>
      <c r="B7522" s="2">
        <v>44469.0</v>
      </c>
      <c r="C7522" s="1" t="s">
        <v>30</v>
      </c>
      <c r="D7522" s="1" t="s">
        <v>15</v>
      </c>
      <c r="E7522" s="1" t="s">
        <v>16</v>
      </c>
      <c r="F7522" s="1">
        <v>506.91</v>
      </c>
      <c r="G7522" s="1">
        <v>100.94</v>
      </c>
      <c r="H7522" s="1">
        <v>1.0</v>
      </c>
      <c r="I7522" s="1" t="s">
        <v>17</v>
      </c>
      <c r="J7522" s="1" t="s">
        <v>18</v>
      </c>
      <c r="K7522" s="1">
        <f t="shared" si="1"/>
        <v>2021</v>
      </c>
      <c r="L7522" s="1" t="str">
        <f t="shared" si="2"/>
        <v>Sep</v>
      </c>
      <c r="M7522" s="1" t="str">
        <f t="shared" si="3"/>
        <v>Profit</v>
      </c>
    </row>
    <row r="7523" ht="14.25" customHeight="1">
      <c r="A7523" s="1" t="s">
        <v>7557</v>
      </c>
      <c r="B7523" s="2">
        <v>44439.0</v>
      </c>
      <c r="C7523" s="1" t="s">
        <v>26</v>
      </c>
      <c r="D7523" s="1" t="s">
        <v>27</v>
      </c>
      <c r="E7523" s="1" t="s">
        <v>40</v>
      </c>
      <c r="F7523" s="1">
        <v>862.5</v>
      </c>
      <c r="G7523" s="1">
        <v>7.46</v>
      </c>
      <c r="H7523" s="1">
        <v>1.0</v>
      </c>
      <c r="I7523" s="1" t="s">
        <v>17</v>
      </c>
      <c r="J7523" s="1" t="s">
        <v>38</v>
      </c>
      <c r="K7523" s="1">
        <f t="shared" si="1"/>
        <v>2021</v>
      </c>
      <c r="L7523" s="1" t="str">
        <f t="shared" si="2"/>
        <v>Aug</v>
      </c>
      <c r="M7523" s="1" t="str">
        <f t="shared" si="3"/>
        <v>Profit</v>
      </c>
    </row>
    <row r="7524" ht="14.25" customHeight="1">
      <c r="A7524" s="1" t="s">
        <v>7558</v>
      </c>
      <c r="B7524" s="2">
        <v>45100.0</v>
      </c>
      <c r="C7524" s="1" t="s">
        <v>14</v>
      </c>
      <c r="D7524" s="1" t="s">
        <v>27</v>
      </c>
      <c r="E7524" s="1" t="s">
        <v>40</v>
      </c>
      <c r="F7524" s="1">
        <v>792.53</v>
      </c>
      <c r="G7524" s="1">
        <v>173.26</v>
      </c>
      <c r="H7524" s="1">
        <v>7.0</v>
      </c>
      <c r="I7524" s="1" t="s">
        <v>34</v>
      </c>
      <c r="J7524" s="1" t="s">
        <v>24</v>
      </c>
      <c r="K7524" s="1">
        <f t="shared" si="1"/>
        <v>2023</v>
      </c>
      <c r="L7524" s="1" t="str">
        <f t="shared" si="2"/>
        <v>Jun</v>
      </c>
      <c r="M7524" s="1" t="str">
        <f t="shared" si="3"/>
        <v>Profit</v>
      </c>
    </row>
    <row r="7525" ht="14.25" customHeight="1">
      <c r="A7525" s="1" t="s">
        <v>7559</v>
      </c>
      <c r="B7525" s="2">
        <v>45266.0</v>
      </c>
      <c r="C7525" s="1" t="s">
        <v>20</v>
      </c>
      <c r="D7525" s="1" t="s">
        <v>15</v>
      </c>
      <c r="E7525" s="1" t="s">
        <v>31</v>
      </c>
      <c r="F7525" s="1">
        <v>311.42</v>
      </c>
      <c r="G7525" s="1">
        <v>-1.27</v>
      </c>
      <c r="H7525" s="1">
        <v>10.0</v>
      </c>
      <c r="I7525" s="1" t="s">
        <v>34</v>
      </c>
      <c r="J7525" s="1" t="s">
        <v>18</v>
      </c>
      <c r="K7525" s="1">
        <f t="shared" si="1"/>
        <v>2023</v>
      </c>
      <c r="L7525" s="1" t="str">
        <f t="shared" si="2"/>
        <v>Dec</v>
      </c>
      <c r="M7525" s="1" t="str">
        <f t="shared" si="3"/>
        <v>Loss</v>
      </c>
    </row>
    <row r="7526" ht="14.25" customHeight="1">
      <c r="A7526" s="1" t="s">
        <v>7560</v>
      </c>
      <c r="B7526" s="2">
        <v>45020.0</v>
      </c>
      <c r="C7526" s="1" t="s">
        <v>26</v>
      </c>
      <c r="D7526" s="1" t="s">
        <v>15</v>
      </c>
      <c r="E7526" s="1" t="s">
        <v>16</v>
      </c>
      <c r="F7526" s="1">
        <v>98.14</v>
      </c>
      <c r="G7526" s="1">
        <v>-71.31</v>
      </c>
      <c r="H7526" s="1">
        <v>9.0</v>
      </c>
      <c r="I7526" s="1" t="s">
        <v>34</v>
      </c>
      <c r="J7526" s="1" t="s">
        <v>24</v>
      </c>
      <c r="K7526" s="1">
        <f t="shared" si="1"/>
        <v>2023</v>
      </c>
      <c r="L7526" s="1" t="str">
        <f t="shared" si="2"/>
        <v>Apr</v>
      </c>
      <c r="M7526" s="1" t="str">
        <f t="shared" si="3"/>
        <v>Loss</v>
      </c>
    </row>
    <row r="7527" ht="14.25" customHeight="1">
      <c r="A7527" s="1" t="s">
        <v>7561</v>
      </c>
      <c r="B7527" s="2">
        <v>44760.0</v>
      </c>
      <c r="C7527" s="1" t="s">
        <v>30</v>
      </c>
      <c r="D7527" s="1" t="s">
        <v>21</v>
      </c>
      <c r="E7527" s="1" t="s">
        <v>76</v>
      </c>
      <c r="F7527" s="1">
        <v>162.48</v>
      </c>
      <c r="G7527" s="1">
        <v>-57.99</v>
      </c>
      <c r="H7527" s="1">
        <v>8.0</v>
      </c>
      <c r="I7527" s="1" t="s">
        <v>34</v>
      </c>
      <c r="J7527" s="1" t="s">
        <v>35</v>
      </c>
      <c r="K7527" s="1">
        <f t="shared" si="1"/>
        <v>2022</v>
      </c>
      <c r="L7527" s="1" t="str">
        <f t="shared" si="2"/>
        <v>Jul</v>
      </c>
      <c r="M7527" s="1" t="str">
        <f t="shared" si="3"/>
        <v>Loss</v>
      </c>
    </row>
    <row r="7528" ht="14.25" customHeight="1">
      <c r="A7528" s="1" t="s">
        <v>7562</v>
      </c>
      <c r="B7528" s="2">
        <v>45165.0</v>
      </c>
      <c r="C7528" s="1" t="s">
        <v>26</v>
      </c>
      <c r="D7528" s="1" t="s">
        <v>21</v>
      </c>
      <c r="E7528" s="1" t="s">
        <v>22</v>
      </c>
      <c r="F7528" s="1">
        <v>182.26</v>
      </c>
      <c r="G7528" s="1">
        <v>169.28</v>
      </c>
      <c r="H7528" s="1">
        <v>5.0</v>
      </c>
      <c r="I7528" s="1" t="s">
        <v>34</v>
      </c>
      <c r="J7528" s="1" t="s">
        <v>24</v>
      </c>
      <c r="K7528" s="1">
        <f t="shared" si="1"/>
        <v>2023</v>
      </c>
      <c r="L7528" s="1" t="str">
        <f t="shared" si="2"/>
        <v>Aug</v>
      </c>
      <c r="M7528" s="1" t="str">
        <f t="shared" si="3"/>
        <v>Profit</v>
      </c>
    </row>
    <row r="7529" ht="14.25" customHeight="1">
      <c r="A7529" s="1" t="s">
        <v>7563</v>
      </c>
      <c r="B7529" s="2">
        <v>44497.0</v>
      </c>
      <c r="C7529" s="1" t="s">
        <v>26</v>
      </c>
      <c r="D7529" s="1" t="s">
        <v>15</v>
      </c>
      <c r="E7529" s="1" t="s">
        <v>54</v>
      </c>
      <c r="F7529" s="1">
        <v>313.06</v>
      </c>
      <c r="G7529" s="1">
        <v>-73.14</v>
      </c>
      <c r="H7529" s="1">
        <v>2.0</v>
      </c>
      <c r="I7529" s="1" t="s">
        <v>34</v>
      </c>
      <c r="J7529" s="1" t="s">
        <v>18</v>
      </c>
      <c r="K7529" s="1">
        <f t="shared" si="1"/>
        <v>2021</v>
      </c>
      <c r="L7529" s="1" t="str">
        <f t="shared" si="2"/>
        <v>Oct</v>
      </c>
      <c r="M7529" s="1" t="str">
        <f t="shared" si="3"/>
        <v>Loss</v>
      </c>
    </row>
    <row r="7530" ht="14.25" customHeight="1">
      <c r="A7530" s="1" t="s">
        <v>7564</v>
      </c>
      <c r="B7530" s="2">
        <v>44294.0</v>
      </c>
      <c r="C7530" s="1" t="s">
        <v>20</v>
      </c>
      <c r="D7530" s="1" t="s">
        <v>21</v>
      </c>
      <c r="E7530" s="1" t="s">
        <v>22</v>
      </c>
      <c r="F7530" s="1">
        <v>428.78</v>
      </c>
      <c r="G7530" s="1">
        <v>-62.13</v>
      </c>
      <c r="H7530" s="1">
        <v>2.0</v>
      </c>
      <c r="I7530" s="1" t="s">
        <v>17</v>
      </c>
      <c r="J7530" s="1" t="s">
        <v>35</v>
      </c>
      <c r="K7530" s="1">
        <f t="shared" si="1"/>
        <v>2021</v>
      </c>
      <c r="L7530" s="1" t="str">
        <f t="shared" si="2"/>
        <v>Apr</v>
      </c>
      <c r="M7530" s="1" t="str">
        <f t="shared" si="3"/>
        <v>Loss</v>
      </c>
    </row>
    <row r="7531" ht="14.25" customHeight="1">
      <c r="A7531" s="1" t="s">
        <v>7565</v>
      </c>
      <c r="B7531" s="2">
        <v>44214.0</v>
      </c>
      <c r="C7531" s="1" t="s">
        <v>14</v>
      </c>
      <c r="D7531" s="1" t="s">
        <v>15</v>
      </c>
      <c r="E7531" s="1" t="s">
        <v>31</v>
      </c>
      <c r="F7531" s="1">
        <v>538.7</v>
      </c>
      <c r="G7531" s="1">
        <v>46.71</v>
      </c>
      <c r="H7531" s="1">
        <v>2.0</v>
      </c>
      <c r="I7531" s="1" t="s">
        <v>23</v>
      </c>
      <c r="J7531" s="1" t="s">
        <v>24</v>
      </c>
      <c r="K7531" s="1">
        <f t="shared" si="1"/>
        <v>2021</v>
      </c>
      <c r="L7531" s="1" t="str">
        <f t="shared" si="2"/>
        <v>Jan</v>
      </c>
      <c r="M7531" s="1" t="str">
        <f t="shared" si="3"/>
        <v>Profit</v>
      </c>
    </row>
    <row r="7532" ht="14.25" customHeight="1">
      <c r="A7532" s="1" t="s">
        <v>7566</v>
      </c>
      <c r="B7532" s="2">
        <v>44540.0</v>
      </c>
      <c r="C7532" s="1" t="s">
        <v>26</v>
      </c>
      <c r="D7532" s="1" t="s">
        <v>21</v>
      </c>
      <c r="E7532" s="1" t="s">
        <v>37</v>
      </c>
      <c r="F7532" s="1">
        <v>670.9</v>
      </c>
      <c r="G7532" s="1">
        <v>244.38</v>
      </c>
      <c r="H7532" s="1">
        <v>7.0</v>
      </c>
      <c r="I7532" s="1" t="s">
        <v>17</v>
      </c>
      <c r="J7532" s="1" t="s">
        <v>24</v>
      </c>
      <c r="K7532" s="1">
        <f t="shared" si="1"/>
        <v>2021</v>
      </c>
      <c r="L7532" s="1" t="str">
        <f t="shared" si="2"/>
        <v>Dec</v>
      </c>
      <c r="M7532" s="1" t="str">
        <f t="shared" si="3"/>
        <v>Profit</v>
      </c>
    </row>
    <row r="7533" ht="14.25" customHeight="1">
      <c r="A7533" s="1" t="s">
        <v>7567</v>
      </c>
      <c r="B7533" s="2">
        <v>44805.0</v>
      </c>
      <c r="C7533" s="1" t="s">
        <v>20</v>
      </c>
      <c r="D7533" s="1" t="s">
        <v>15</v>
      </c>
      <c r="E7533" s="1" t="s">
        <v>16</v>
      </c>
      <c r="F7533" s="1">
        <v>172.07</v>
      </c>
      <c r="G7533" s="1">
        <v>9.34</v>
      </c>
      <c r="H7533" s="1">
        <v>10.0</v>
      </c>
      <c r="I7533" s="1" t="s">
        <v>23</v>
      </c>
      <c r="J7533" s="1" t="s">
        <v>38</v>
      </c>
      <c r="K7533" s="1">
        <f t="shared" si="1"/>
        <v>2022</v>
      </c>
      <c r="L7533" s="1" t="str">
        <f t="shared" si="2"/>
        <v>Sep</v>
      </c>
      <c r="M7533" s="1" t="str">
        <f t="shared" si="3"/>
        <v>Profit</v>
      </c>
    </row>
    <row r="7534" ht="14.25" customHeight="1">
      <c r="A7534" s="1" t="s">
        <v>7568</v>
      </c>
      <c r="B7534" s="2">
        <v>44965.0</v>
      </c>
      <c r="C7534" s="1" t="s">
        <v>30</v>
      </c>
      <c r="D7534" s="1" t="s">
        <v>15</v>
      </c>
      <c r="E7534" s="1" t="s">
        <v>16</v>
      </c>
      <c r="F7534" s="1">
        <v>815.42</v>
      </c>
      <c r="G7534" s="1">
        <v>224.98</v>
      </c>
      <c r="H7534" s="1">
        <v>6.0</v>
      </c>
      <c r="I7534" s="1" t="s">
        <v>23</v>
      </c>
      <c r="J7534" s="1" t="s">
        <v>18</v>
      </c>
      <c r="K7534" s="1">
        <f t="shared" si="1"/>
        <v>2023</v>
      </c>
      <c r="L7534" s="1" t="str">
        <f t="shared" si="2"/>
        <v>Feb</v>
      </c>
      <c r="M7534" s="1" t="str">
        <f t="shared" si="3"/>
        <v>Profit</v>
      </c>
    </row>
    <row r="7535" ht="14.25" customHeight="1">
      <c r="A7535" s="1" t="s">
        <v>7569</v>
      </c>
      <c r="B7535" s="2">
        <v>44447.0</v>
      </c>
      <c r="C7535" s="1" t="s">
        <v>20</v>
      </c>
      <c r="D7535" s="1" t="s">
        <v>15</v>
      </c>
      <c r="E7535" s="1" t="s">
        <v>16</v>
      </c>
      <c r="F7535" s="1">
        <v>844.41</v>
      </c>
      <c r="G7535" s="1">
        <v>206.5</v>
      </c>
      <c r="H7535" s="1">
        <v>4.0</v>
      </c>
      <c r="I7535" s="1" t="s">
        <v>17</v>
      </c>
      <c r="J7535" s="1" t="s">
        <v>18</v>
      </c>
      <c r="K7535" s="1">
        <f t="shared" si="1"/>
        <v>2021</v>
      </c>
      <c r="L7535" s="1" t="str">
        <f t="shared" si="2"/>
        <v>Sep</v>
      </c>
      <c r="M7535" s="1" t="str">
        <f t="shared" si="3"/>
        <v>Profit</v>
      </c>
    </row>
    <row r="7536" ht="14.25" customHeight="1">
      <c r="A7536" s="1" t="s">
        <v>7570</v>
      </c>
      <c r="B7536" s="2">
        <v>44705.0</v>
      </c>
      <c r="C7536" s="1" t="s">
        <v>20</v>
      </c>
      <c r="D7536" s="1" t="s">
        <v>27</v>
      </c>
      <c r="E7536" s="1" t="s">
        <v>33</v>
      </c>
      <c r="F7536" s="1">
        <v>904.45</v>
      </c>
      <c r="G7536" s="1">
        <v>-131.21</v>
      </c>
      <c r="H7536" s="1">
        <v>9.0</v>
      </c>
      <c r="I7536" s="1" t="s">
        <v>34</v>
      </c>
      <c r="J7536" s="1" t="s">
        <v>24</v>
      </c>
      <c r="K7536" s="1">
        <f t="shared" si="1"/>
        <v>2022</v>
      </c>
      <c r="L7536" s="1" t="str">
        <f t="shared" si="2"/>
        <v>May</v>
      </c>
      <c r="M7536" s="1" t="str">
        <f t="shared" si="3"/>
        <v>Loss</v>
      </c>
    </row>
    <row r="7537" ht="14.25" customHeight="1">
      <c r="A7537" s="1" t="s">
        <v>7571</v>
      </c>
      <c r="B7537" s="2">
        <v>44560.0</v>
      </c>
      <c r="C7537" s="1" t="s">
        <v>20</v>
      </c>
      <c r="D7537" s="1" t="s">
        <v>27</v>
      </c>
      <c r="E7537" s="1" t="s">
        <v>33</v>
      </c>
      <c r="F7537" s="1">
        <v>797.56</v>
      </c>
      <c r="G7537" s="1">
        <v>-12.93</v>
      </c>
      <c r="H7537" s="1">
        <v>1.0</v>
      </c>
      <c r="I7537" s="1" t="s">
        <v>34</v>
      </c>
      <c r="J7537" s="1" t="s">
        <v>35</v>
      </c>
      <c r="K7537" s="1">
        <f t="shared" si="1"/>
        <v>2021</v>
      </c>
      <c r="L7537" s="1" t="str">
        <f t="shared" si="2"/>
        <v>Dec</v>
      </c>
      <c r="M7537" s="1" t="str">
        <f t="shared" si="3"/>
        <v>Loss</v>
      </c>
    </row>
    <row r="7538" ht="14.25" customHeight="1">
      <c r="A7538" s="1" t="s">
        <v>7572</v>
      </c>
      <c r="B7538" s="2">
        <v>44463.0</v>
      </c>
      <c r="C7538" s="1" t="s">
        <v>30</v>
      </c>
      <c r="D7538" s="1" t="s">
        <v>15</v>
      </c>
      <c r="E7538" s="1" t="s">
        <v>31</v>
      </c>
      <c r="F7538" s="1">
        <v>954.32</v>
      </c>
      <c r="G7538" s="1">
        <v>-176.3</v>
      </c>
      <c r="H7538" s="1">
        <v>8.0</v>
      </c>
      <c r="I7538" s="1" t="s">
        <v>17</v>
      </c>
      <c r="J7538" s="1" t="s">
        <v>24</v>
      </c>
      <c r="K7538" s="1">
        <f t="shared" si="1"/>
        <v>2021</v>
      </c>
      <c r="L7538" s="1" t="str">
        <f t="shared" si="2"/>
        <v>Sep</v>
      </c>
      <c r="M7538" s="1" t="str">
        <f t="shared" si="3"/>
        <v>Loss</v>
      </c>
    </row>
    <row r="7539" ht="14.25" customHeight="1">
      <c r="A7539" s="1" t="s">
        <v>7573</v>
      </c>
      <c r="B7539" s="2">
        <v>44835.0</v>
      </c>
      <c r="C7539" s="1" t="s">
        <v>20</v>
      </c>
      <c r="D7539" s="1" t="s">
        <v>27</v>
      </c>
      <c r="E7539" s="1" t="s">
        <v>33</v>
      </c>
      <c r="F7539" s="1">
        <v>642.4</v>
      </c>
      <c r="G7539" s="1">
        <v>30.21</v>
      </c>
      <c r="H7539" s="1">
        <v>9.0</v>
      </c>
      <c r="I7539" s="1" t="s">
        <v>23</v>
      </c>
      <c r="J7539" s="1" t="s">
        <v>38</v>
      </c>
      <c r="K7539" s="1">
        <f t="shared" si="1"/>
        <v>2022</v>
      </c>
      <c r="L7539" s="1" t="str">
        <f t="shared" si="2"/>
        <v>Oct</v>
      </c>
      <c r="M7539" s="1" t="str">
        <f t="shared" si="3"/>
        <v>Profit</v>
      </c>
    </row>
    <row r="7540" ht="14.25" customHeight="1">
      <c r="A7540" s="1" t="s">
        <v>7574</v>
      </c>
      <c r="B7540" s="2">
        <v>44506.0</v>
      </c>
      <c r="C7540" s="1" t="s">
        <v>14</v>
      </c>
      <c r="D7540" s="1" t="s">
        <v>27</v>
      </c>
      <c r="E7540" s="1" t="s">
        <v>28</v>
      </c>
      <c r="F7540" s="1">
        <v>42.37</v>
      </c>
      <c r="G7540" s="1">
        <v>13.48</v>
      </c>
      <c r="H7540" s="1">
        <v>8.0</v>
      </c>
      <c r="I7540" s="1" t="s">
        <v>34</v>
      </c>
      <c r="J7540" s="1" t="s">
        <v>35</v>
      </c>
      <c r="K7540" s="1">
        <f t="shared" si="1"/>
        <v>2021</v>
      </c>
      <c r="L7540" s="1" t="str">
        <f t="shared" si="2"/>
        <v>Nov</v>
      </c>
      <c r="M7540" s="1" t="str">
        <f t="shared" si="3"/>
        <v>Profit</v>
      </c>
    </row>
    <row r="7541" ht="14.25" customHeight="1">
      <c r="A7541" s="1" t="s">
        <v>7575</v>
      </c>
      <c r="B7541" s="2">
        <v>44951.0</v>
      </c>
      <c r="C7541" s="1" t="s">
        <v>14</v>
      </c>
      <c r="D7541" s="1" t="s">
        <v>27</v>
      </c>
      <c r="E7541" s="1" t="s">
        <v>40</v>
      </c>
      <c r="F7541" s="1">
        <v>280.26</v>
      </c>
      <c r="G7541" s="1">
        <v>298.2</v>
      </c>
      <c r="H7541" s="1">
        <v>2.0</v>
      </c>
      <c r="I7541" s="1" t="s">
        <v>23</v>
      </c>
      <c r="J7541" s="1" t="s">
        <v>18</v>
      </c>
      <c r="K7541" s="1">
        <f t="shared" si="1"/>
        <v>2023</v>
      </c>
      <c r="L7541" s="1" t="str">
        <f t="shared" si="2"/>
        <v>Jan</v>
      </c>
      <c r="M7541" s="1" t="str">
        <f t="shared" si="3"/>
        <v>Profit</v>
      </c>
    </row>
    <row r="7542" ht="14.25" customHeight="1">
      <c r="A7542" s="1" t="s">
        <v>7576</v>
      </c>
      <c r="B7542" s="2">
        <v>44717.0</v>
      </c>
      <c r="C7542" s="1" t="s">
        <v>26</v>
      </c>
      <c r="D7542" s="1" t="s">
        <v>21</v>
      </c>
      <c r="E7542" s="1" t="s">
        <v>76</v>
      </c>
      <c r="F7542" s="1">
        <v>923.38</v>
      </c>
      <c r="G7542" s="1">
        <v>-199.95</v>
      </c>
      <c r="H7542" s="1">
        <v>3.0</v>
      </c>
      <c r="I7542" s="1" t="s">
        <v>23</v>
      </c>
      <c r="J7542" s="1" t="s">
        <v>24</v>
      </c>
      <c r="K7542" s="1">
        <f t="shared" si="1"/>
        <v>2022</v>
      </c>
      <c r="L7542" s="1" t="str">
        <f t="shared" si="2"/>
        <v>Jun</v>
      </c>
      <c r="M7542" s="1" t="str">
        <f t="shared" si="3"/>
        <v>Loss</v>
      </c>
    </row>
    <row r="7543" ht="14.25" customHeight="1">
      <c r="A7543" s="1" t="s">
        <v>7577</v>
      </c>
      <c r="B7543" s="2">
        <v>44882.0</v>
      </c>
      <c r="C7543" s="1" t="s">
        <v>30</v>
      </c>
      <c r="D7543" s="1" t="s">
        <v>21</v>
      </c>
      <c r="E7543" s="1" t="s">
        <v>22</v>
      </c>
      <c r="F7543" s="1">
        <v>487.48</v>
      </c>
      <c r="G7543" s="1">
        <v>203.22</v>
      </c>
      <c r="H7543" s="1">
        <v>3.0</v>
      </c>
      <c r="I7543" s="1" t="s">
        <v>23</v>
      </c>
      <c r="J7543" s="1" t="s">
        <v>18</v>
      </c>
      <c r="K7543" s="1">
        <f t="shared" si="1"/>
        <v>2022</v>
      </c>
      <c r="L7543" s="1" t="str">
        <f t="shared" si="2"/>
        <v>Nov</v>
      </c>
      <c r="M7543" s="1" t="str">
        <f t="shared" si="3"/>
        <v>Profit</v>
      </c>
    </row>
    <row r="7544" ht="14.25" customHeight="1">
      <c r="A7544" s="1" t="s">
        <v>7578</v>
      </c>
      <c r="B7544" s="2">
        <v>44678.0</v>
      </c>
      <c r="C7544" s="1" t="s">
        <v>14</v>
      </c>
      <c r="D7544" s="1" t="s">
        <v>27</v>
      </c>
      <c r="E7544" s="1" t="s">
        <v>40</v>
      </c>
      <c r="F7544" s="1">
        <v>152.13</v>
      </c>
      <c r="G7544" s="1">
        <v>-26.06</v>
      </c>
      <c r="H7544" s="1">
        <v>6.0</v>
      </c>
      <c r="I7544" s="1" t="s">
        <v>17</v>
      </c>
      <c r="J7544" s="1" t="s">
        <v>18</v>
      </c>
      <c r="K7544" s="1">
        <f t="shared" si="1"/>
        <v>2022</v>
      </c>
      <c r="L7544" s="1" t="str">
        <f t="shared" si="2"/>
        <v>Apr</v>
      </c>
      <c r="M7544" s="1" t="str">
        <f t="shared" si="3"/>
        <v>Loss</v>
      </c>
    </row>
    <row r="7545" ht="14.25" customHeight="1">
      <c r="A7545" s="1" t="s">
        <v>7579</v>
      </c>
      <c r="B7545" s="2">
        <v>44565.0</v>
      </c>
      <c r="C7545" s="1" t="s">
        <v>26</v>
      </c>
      <c r="D7545" s="1" t="s">
        <v>27</v>
      </c>
      <c r="E7545" s="1" t="s">
        <v>40</v>
      </c>
      <c r="F7545" s="1">
        <v>871.5</v>
      </c>
      <c r="G7545" s="1">
        <v>114.63</v>
      </c>
      <c r="H7545" s="1">
        <v>1.0</v>
      </c>
      <c r="I7545" s="1" t="s">
        <v>17</v>
      </c>
      <c r="J7545" s="1" t="s">
        <v>18</v>
      </c>
      <c r="K7545" s="1">
        <f t="shared" si="1"/>
        <v>2022</v>
      </c>
      <c r="L7545" s="1" t="str">
        <f t="shared" si="2"/>
        <v>Jan</v>
      </c>
      <c r="M7545" s="1" t="str">
        <f t="shared" si="3"/>
        <v>Profit</v>
      </c>
    </row>
    <row r="7546" ht="14.25" customHeight="1">
      <c r="A7546" s="1" t="s">
        <v>7580</v>
      </c>
      <c r="B7546" s="2">
        <v>45156.0</v>
      </c>
      <c r="C7546" s="1" t="s">
        <v>20</v>
      </c>
      <c r="D7546" s="1" t="s">
        <v>15</v>
      </c>
      <c r="E7546" s="1" t="s">
        <v>31</v>
      </c>
      <c r="F7546" s="1">
        <v>152.49</v>
      </c>
      <c r="G7546" s="1">
        <v>238.83</v>
      </c>
      <c r="H7546" s="1">
        <v>6.0</v>
      </c>
      <c r="I7546" s="1" t="s">
        <v>17</v>
      </c>
      <c r="J7546" s="1" t="s">
        <v>35</v>
      </c>
      <c r="K7546" s="1">
        <f t="shared" si="1"/>
        <v>2023</v>
      </c>
      <c r="L7546" s="1" t="str">
        <f t="shared" si="2"/>
        <v>Aug</v>
      </c>
      <c r="M7546" s="1" t="str">
        <f t="shared" si="3"/>
        <v>Profit</v>
      </c>
    </row>
    <row r="7547" ht="14.25" customHeight="1">
      <c r="A7547" s="1" t="s">
        <v>7581</v>
      </c>
      <c r="B7547" s="2">
        <v>45070.0</v>
      </c>
      <c r="C7547" s="1" t="s">
        <v>14</v>
      </c>
      <c r="D7547" s="1" t="s">
        <v>27</v>
      </c>
      <c r="E7547" s="1" t="s">
        <v>40</v>
      </c>
      <c r="F7547" s="1">
        <v>142.2</v>
      </c>
      <c r="G7547" s="1">
        <v>204.01</v>
      </c>
      <c r="H7547" s="1">
        <v>7.0</v>
      </c>
      <c r="I7547" s="1" t="s">
        <v>34</v>
      </c>
      <c r="J7547" s="1" t="s">
        <v>35</v>
      </c>
      <c r="K7547" s="1">
        <f t="shared" si="1"/>
        <v>2023</v>
      </c>
      <c r="L7547" s="1" t="str">
        <f t="shared" si="2"/>
        <v>May</v>
      </c>
      <c r="M7547" s="1" t="str">
        <f t="shared" si="3"/>
        <v>Profit</v>
      </c>
    </row>
    <row r="7548" ht="14.25" customHeight="1">
      <c r="A7548" s="1" t="s">
        <v>7582</v>
      </c>
      <c r="B7548" s="2">
        <v>44460.0</v>
      </c>
      <c r="C7548" s="1" t="s">
        <v>20</v>
      </c>
      <c r="D7548" s="1" t="s">
        <v>27</v>
      </c>
      <c r="E7548" s="1" t="s">
        <v>40</v>
      </c>
      <c r="F7548" s="1">
        <v>878.99</v>
      </c>
      <c r="G7548" s="1">
        <v>252.49</v>
      </c>
      <c r="H7548" s="1">
        <v>2.0</v>
      </c>
      <c r="I7548" s="1" t="s">
        <v>34</v>
      </c>
      <c r="J7548" s="1" t="s">
        <v>24</v>
      </c>
      <c r="K7548" s="1">
        <f t="shared" si="1"/>
        <v>2021</v>
      </c>
      <c r="L7548" s="1" t="str">
        <f t="shared" si="2"/>
        <v>Sep</v>
      </c>
      <c r="M7548" s="1" t="str">
        <f t="shared" si="3"/>
        <v>Profit</v>
      </c>
    </row>
    <row r="7549" ht="14.25" customHeight="1">
      <c r="A7549" s="1" t="s">
        <v>7583</v>
      </c>
      <c r="B7549" s="2">
        <v>44439.0</v>
      </c>
      <c r="C7549" s="1" t="s">
        <v>30</v>
      </c>
      <c r="D7549" s="1" t="s">
        <v>21</v>
      </c>
      <c r="E7549" s="1" t="s">
        <v>22</v>
      </c>
      <c r="F7549" s="1">
        <v>991.55</v>
      </c>
      <c r="G7549" s="1">
        <v>-185.83</v>
      </c>
      <c r="H7549" s="1">
        <v>2.0</v>
      </c>
      <c r="I7549" s="1" t="s">
        <v>17</v>
      </c>
      <c r="J7549" s="1" t="s">
        <v>35</v>
      </c>
      <c r="K7549" s="1">
        <f t="shared" si="1"/>
        <v>2021</v>
      </c>
      <c r="L7549" s="1" t="str">
        <f t="shared" si="2"/>
        <v>Aug</v>
      </c>
      <c r="M7549" s="1" t="str">
        <f t="shared" si="3"/>
        <v>Loss</v>
      </c>
    </row>
    <row r="7550" ht="14.25" customHeight="1">
      <c r="A7550" s="1" t="s">
        <v>7584</v>
      </c>
      <c r="B7550" s="2">
        <v>44655.0</v>
      </c>
      <c r="C7550" s="1" t="s">
        <v>20</v>
      </c>
      <c r="D7550" s="1" t="s">
        <v>15</v>
      </c>
      <c r="E7550" s="1" t="s">
        <v>31</v>
      </c>
      <c r="F7550" s="1">
        <v>391.45</v>
      </c>
      <c r="G7550" s="1">
        <v>90.84</v>
      </c>
      <c r="H7550" s="1">
        <v>9.0</v>
      </c>
      <c r="I7550" s="1" t="s">
        <v>23</v>
      </c>
      <c r="J7550" s="1" t="s">
        <v>35</v>
      </c>
      <c r="K7550" s="1">
        <f t="shared" si="1"/>
        <v>2022</v>
      </c>
      <c r="L7550" s="1" t="str">
        <f t="shared" si="2"/>
        <v>Apr</v>
      </c>
      <c r="M7550" s="1" t="str">
        <f t="shared" si="3"/>
        <v>Profit</v>
      </c>
    </row>
    <row r="7551" ht="14.25" customHeight="1">
      <c r="A7551" s="1" t="s">
        <v>7585</v>
      </c>
      <c r="B7551" s="2">
        <v>44263.0</v>
      </c>
      <c r="C7551" s="1" t="s">
        <v>26</v>
      </c>
      <c r="D7551" s="1" t="s">
        <v>21</v>
      </c>
      <c r="E7551" s="1" t="s">
        <v>37</v>
      </c>
      <c r="F7551" s="1">
        <v>525.71</v>
      </c>
      <c r="G7551" s="1">
        <v>226.33</v>
      </c>
      <c r="H7551" s="1">
        <v>6.0</v>
      </c>
      <c r="I7551" s="1" t="s">
        <v>17</v>
      </c>
      <c r="J7551" s="1" t="s">
        <v>38</v>
      </c>
      <c r="K7551" s="1">
        <f t="shared" si="1"/>
        <v>2021</v>
      </c>
      <c r="L7551" s="1" t="str">
        <f t="shared" si="2"/>
        <v>Mar</v>
      </c>
      <c r="M7551" s="1" t="str">
        <f t="shared" si="3"/>
        <v>Profit</v>
      </c>
    </row>
    <row r="7552" ht="14.25" customHeight="1">
      <c r="A7552" s="1" t="s">
        <v>7586</v>
      </c>
      <c r="B7552" s="2">
        <v>45080.0</v>
      </c>
      <c r="C7552" s="1" t="s">
        <v>14</v>
      </c>
      <c r="D7552" s="1" t="s">
        <v>15</v>
      </c>
      <c r="E7552" s="1" t="s">
        <v>54</v>
      </c>
      <c r="F7552" s="1">
        <v>135.44</v>
      </c>
      <c r="G7552" s="1">
        <v>-149.62</v>
      </c>
      <c r="H7552" s="1">
        <v>9.0</v>
      </c>
      <c r="I7552" s="1" t="s">
        <v>23</v>
      </c>
      <c r="J7552" s="1" t="s">
        <v>24</v>
      </c>
      <c r="K7552" s="1">
        <f t="shared" si="1"/>
        <v>2023</v>
      </c>
      <c r="L7552" s="1" t="str">
        <f t="shared" si="2"/>
        <v>Jun</v>
      </c>
      <c r="M7552" s="1" t="str">
        <f t="shared" si="3"/>
        <v>Loss</v>
      </c>
    </row>
    <row r="7553" ht="14.25" customHeight="1">
      <c r="A7553" s="1" t="s">
        <v>7587</v>
      </c>
      <c r="B7553" s="2">
        <v>44682.0</v>
      </c>
      <c r="C7553" s="1" t="s">
        <v>26</v>
      </c>
      <c r="D7553" s="1" t="s">
        <v>27</v>
      </c>
      <c r="E7553" s="1" t="s">
        <v>33</v>
      </c>
      <c r="F7553" s="1">
        <v>139.06</v>
      </c>
      <c r="G7553" s="1">
        <v>12.07</v>
      </c>
      <c r="H7553" s="1">
        <v>10.0</v>
      </c>
      <c r="I7553" s="1" t="s">
        <v>23</v>
      </c>
      <c r="J7553" s="1" t="s">
        <v>24</v>
      </c>
      <c r="K7553" s="1">
        <f t="shared" si="1"/>
        <v>2022</v>
      </c>
      <c r="L7553" s="1" t="str">
        <f t="shared" si="2"/>
        <v>May</v>
      </c>
      <c r="M7553" s="1" t="str">
        <f t="shared" si="3"/>
        <v>Profit</v>
      </c>
    </row>
    <row r="7554" ht="14.25" customHeight="1">
      <c r="A7554" s="1" t="s">
        <v>7588</v>
      </c>
      <c r="B7554" s="2">
        <v>44926.0</v>
      </c>
      <c r="C7554" s="1" t="s">
        <v>14</v>
      </c>
      <c r="D7554" s="1" t="s">
        <v>15</v>
      </c>
      <c r="E7554" s="1" t="s">
        <v>16</v>
      </c>
      <c r="F7554" s="1">
        <v>48.94</v>
      </c>
      <c r="G7554" s="1">
        <v>-199.66</v>
      </c>
      <c r="H7554" s="1">
        <v>8.0</v>
      </c>
      <c r="I7554" s="1" t="s">
        <v>34</v>
      </c>
      <c r="J7554" s="1" t="s">
        <v>35</v>
      </c>
      <c r="K7554" s="1">
        <f t="shared" si="1"/>
        <v>2022</v>
      </c>
      <c r="L7554" s="1" t="str">
        <f t="shared" si="2"/>
        <v>Dec</v>
      </c>
      <c r="M7554" s="1" t="str">
        <f t="shared" si="3"/>
        <v>Loss</v>
      </c>
    </row>
    <row r="7555" ht="14.25" customHeight="1">
      <c r="A7555" s="1" t="s">
        <v>7589</v>
      </c>
      <c r="B7555" s="2">
        <v>45089.0</v>
      </c>
      <c r="C7555" s="1" t="s">
        <v>14</v>
      </c>
      <c r="D7555" s="1" t="s">
        <v>21</v>
      </c>
      <c r="E7555" s="1" t="s">
        <v>76</v>
      </c>
      <c r="F7555" s="1">
        <v>129.92</v>
      </c>
      <c r="G7555" s="1">
        <v>88.67</v>
      </c>
      <c r="H7555" s="1">
        <v>1.0</v>
      </c>
      <c r="I7555" s="1" t="s">
        <v>34</v>
      </c>
      <c r="J7555" s="1" t="s">
        <v>24</v>
      </c>
      <c r="K7555" s="1">
        <f t="shared" si="1"/>
        <v>2023</v>
      </c>
      <c r="L7555" s="1" t="str">
        <f t="shared" si="2"/>
        <v>Jun</v>
      </c>
      <c r="M7555" s="1" t="str">
        <f t="shared" si="3"/>
        <v>Profit</v>
      </c>
    </row>
    <row r="7556" ht="14.25" customHeight="1">
      <c r="A7556" s="1" t="s">
        <v>7590</v>
      </c>
      <c r="B7556" s="2">
        <v>44911.0</v>
      </c>
      <c r="C7556" s="1" t="s">
        <v>30</v>
      </c>
      <c r="D7556" s="1" t="s">
        <v>21</v>
      </c>
      <c r="E7556" s="1" t="s">
        <v>37</v>
      </c>
      <c r="F7556" s="1">
        <v>941.2</v>
      </c>
      <c r="G7556" s="1">
        <v>-76.94</v>
      </c>
      <c r="H7556" s="1">
        <v>8.0</v>
      </c>
      <c r="I7556" s="1" t="s">
        <v>17</v>
      </c>
      <c r="J7556" s="1" t="s">
        <v>38</v>
      </c>
      <c r="K7556" s="1">
        <f t="shared" si="1"/>
        <v>2022</v>
      </c>
      <c r="L7556" s="1" t="str">
        <f t="shared" si="2"/>
        <v>Dec</v>
      </c>
      <c r="M7556" s="1" t="str">
        <f t="shared" si="3"/>
        <v>Loss</v>
      </c>
    </row>
    <row r="7557" ht="14.25" customHeight="1">
      <c r="A7557" s="1" t="s">
        <v>7591</v>
      </c>
      <c r="B7557" s="2">
        <v>44502.0</v>
      </c>
      <c r="C7557" s="1" t="s">
        <v>20</v>
      </c>
      <c r="D7557" s="1" t="s">
        <v>21</v>
      </c>
      <c r="E7557" s="1" t="s">
        <v>22</v>
      </c>
      <c r="F7557" s="1">
        <v>526.97</v>
      </c>
      <c r="G7557" s="1">
        <v>237.68</v>
      </c>
      <c r="H7557" s="1">
        <v>2.0</v>
      </c>
      <c r="I7557" s="1" t="s">
        <v>34</v>
      </c>
      <c r="J7557" s="1" t="s">
        <v>18</v>
      </c>
      <c r="K7557" s="1">
        <f t="shared" si="1"/>
        <v>2021</v>
      </c>
      <c r="L7557" s="1" t="str">
        <f t="shared" si="2"/>
        <v>Nov</v>
      </c>
      <c r="M7557" s="1" t="str">
        <f t="shared" si="3"/>
        <v>Profit</v>
      </c>
    </row>
    <row r="7558" ht="14.25" customHeight="1">
      <c r="A7558" s="1" t="s">
        <v>7592</v>
      </c>
      <c r="B7558" s="2">
        <v>45054.0</v>
      </c>
      <c r="C7558" s="1" t="s">
        <v>26</v>
      </c>
      <c r="D7558" s="1" t="s">
        <v>15</v>
      </c>
      <c r="E7558" s="1" t="s">
        <v>31</v>
      </c>
      <c r="F7558" s="1">
        <v>558.27</v>
      </c>
      <c r="G7558" s="1">
        <v>113.27</v>
      </c>
      <c r="H7558" s="1">
        <v>2.0</v>
      </c>
      <c r="I7558" s="1" t="s">
        <v>23</v>
      </c>
      <c r="J7558" s="1" t="s">
        <v>35</v>
      </c>
      <c r="K7558" s="1">
        <f t="shared" si="1"/>
        <v>2023</v>
      </c>
      <c r="L7558" s="1" t="str">
        <f t="shared" si="2"/>
        <v>May</v>
      </c>
      <c r="M7558" s="1" t="str">
        <f t="shared" si="3"/>
        <v>Profit</v>
      </c>
    </row>
    <row r="7559" ht="14.25" customHeight="1">
      <c r="A7559" s="1" t="s">
        <v>7593</v>
      </c>
      <c r="B7559" s="2">
        <v>44988.0</v>
      </c>
      <c r="C7559" s="1" t="s">
        <v>20</v>
      </c>
      <c r="D7559" s="1" t="s">
        <v>15</v>
      </c>
      <c r="E7559" s="1" t="s">
        <v>54</v>
      </c>
      <c r="F7559" s="1">
        <v>486.88</v>
      </c>
      <c r="G7559" s="1">
        <v>66.99</v>
      </c>
      <c r="H7559" s="1">
        <v>5.0</v>
      </c>
      <c r="I7559" s="1" t="s">
        <v>34</v>
      </c>
      <c r="J7559" s="1" t="s">
        <v>35</v>
      </c>
      <c r="K7559" s="1">
        <f t="shared" si="1"/>
        <v>2023</v>
      </c>
      <c r="L7559" s="1" t="str">
        <f t="shared" si="2"/>
        <v>Mar</v>
      </c>
      <c r="M7559" s="1" t="str">
        <f t="shared" si="3"/>
        <v>Profit</v>
      </c>
    </row>
    <row r="7560" ht="14.25" customHeight="1">
      <c r="A7560" s="1" t="s">
        <v>7594</v>
      </c>
      <c r="B7560" s="2">
        <v>45239.0</v>
      </c>
      <c r="C7560" s="1" t="s">
        <v>30</v>
      </c>
      <c r="D7560" s="1" t="s">
        <v>15</v>
      </c>
      <c r="E7560" s="1" t="s">
        <v>54</v>
      </c>
      <c r="F7560" s="1">
        <v>552.69</v>
      </c>
      <c r="G7560" s="1">
        <v>275.78</v>
      </c>
      <c r="H7560" s="1">
        <v>3.0</v>
      </c>
      <c r="I7560" s="1" t="s">
        <v>23</v>
      </c>
      <c r="J7560" s="1" t="s">
        <v>24</v>
      </c>
      <c r="K7560" s="1">
        <f t="shared" si="1"/>
        <v>2023</v>
      </c>
      <c r="L7560" s="1" t="str">
        <f t="shared" si="2"/>
        <v>Nov</v>
      </c>
      <c r="M7560" s="1" t="str">
        <f t="shared" si="3"/>
        <v>Profit</v>
      </c>
    </row>
    <row r="7561" ht="14.25" customHeight="1">
      <c r="A7561" s="1" t="s">
        <v>7595</v>
      </c>
      <c r="B7561" s="2">
        <v>45027.0</v>
      </c>
      <c r="C7561" s="1" t="s">
        <v>30</v>
      </c>
      <c r="D7561" s="1" t="s">
        <v>21</v>
      </c>
      <c r="E7561" s="1" t="s">
        <v>22</v>
      </c>
      <c r="F7561" s="1">
        <v>359.84</v>
      </c>
      <c r="G7561" s="1">
        <v>66.82</v>
      </c>
      <c r="H7561" s="1">
        <v>9.0</v>
      </c>
      <c r="I7561" s="1" t="s">
        <v>23</v>
      </c>
      <c r="J7561" s="1" t="s">
        <v>38</v>
      </c>
      <c r="K7561" s="1">
        <f t="shared" si="1"/>
        <v>2023</v>
      </c>
      <c r="L7561" s="1" t="str">
        <f t="shared" si="2"/>
        <v>Apr</v>
      </c>
      <c r="M7561" s="1" t="str">
        <f t="shared" si="3"/>
        <v>Profit</v>
      </c>
    </row>
    <row r="7562" ht="14.25" customHeight="1">
      <c r="A7562" s="1" t="s">
        <v>7596</v>
      </c>
      <c r="B7562" s="2">
        <v>44839.0</v>
      </c>
      <c r="C7562" s="1" t="s">
        <v>20</v>
      </c>
      <c r="D7562" s="1" t="s">
        <v>15</v>
      </c>
      <c r="E7562" s="1" t="s">
        <v>16</v>
      </c>
      <c r="F7562" s="1">
        <v>78.98</v>
      </c>
      <c r="G7562" s="1">
        <v>-150.61</v>
      </c>
      <c r="H7562" s="1">
        <v>10.0</v>
      </c>
      <c r="I7562" s="1" t="s">
        <v>34</v>
      </c>
      <c r="J7562" s="1" t="s">
        <v>38</v>
      </c>
      <c r="K7562" s="1">
        <f t="shared" si="1"/>
        <v>2022</v>
      </c>
      <c r="L7562" s="1" t="str">
        <f t="shared" si="2"/>
        <v>Oct</v>
      </c>
      <c r="M7562" s="1" t="str">
        <f t="shared" si="3"/>
        <v>Loss</v>
      </c>
    </row>
    <row r="7563" ht="14.25" customHeight="1">
      <c r="A7563" s="1" t="s">
        <v>7597</v>
      </c>
      <c r="B7563" s="2">
        <v>45105.0</v>
      </c>
      <c r="C7563" s="1" t="s">
        <v>26</v>
      </c>
      <c r="D7563" s="1" t="s">
        <v>15</v>
      </c>
      <c r="E7563" s="1" t="s">
        <v>16</v>
      </c>
      <c r="F7563" s="1">
        <v>676.97</v>
      </c>
      <c r="G7563" s="1">
        <v>-136.2</v>
      </c>
      <c r="H7563" s="1">
        <v>6.0</v>
      </c>
      <c r="I7563" s="1" t="s">
        <v>17</v>
      </c>
      <c r="J7563" s="1" t="s">
        <v>35</v>
      </c>
      <c r="K7563" s="1">
        <f t="shared" si="1"/>
        <v>2023</v>
      </c>
      <c r="L7563" s="1" t="str">
        <f t="shared" si="2"/>
        <v>Jun</v>
      </c>
      <c r="M7563" s="1" t="str">
        <f t="shared" si="3"/>
        <v>Loss</v>
      </c>
    </row>
    <row r="7564" ht="14.25" customHeight="1">
      <c r="A7564" s="1" t="s">
        <v>7598</v>
      </c>
      <c r="B7564" s="2">
        <v>45163.0</v>
      </c>
      <c r="C7564" s="1" t="s">
        <v>26</v>
      </c>
      <c r="D7564" s="1" t="s">
        <v>27</v>
      </c>
      <c r="E7564" s="1" t="s">
        <v>28</v>
      </c>
      <c r="F7564" s="1">
        <v>913.28</v>
      </c>
      <c r="G7564" s="1">
        <v>-150.78</v>
      </c>
      <c r="H7564" s="1">
        <v>7.0</v>
      </c>
      <c r="I7564" s="1" t="s">
        <v>34</v>
      </c>
      <c r="J7564" s="1" t="s">
        <v>35</v>
      </c>
      <c r="K7564" s="1">
        <f t="shared" si="1"/>
        <v>2023</v>
      </c>
      <c r="L7564" s="1" t="str">
        <f t="shared" si="2"/>
        <v>Aug</v>
      </c>
      <c r="M7564" s="1" t="str">
        <f t="shared" si="3"/>
        <v>Loss</v>
      </c>
    </row>
    <row r="7565" ht="14.25" customHeight="1">
      <c r="A7565" s="1" t="s">
        <v>7599</v>
      </c>
      <c r="B7565" s="2">
        <v>45024.0</v>
      </c>
      <c r="C7565" s="1" t="s">
        <v>26</v>
      </c>
      <c r="D7565" s="1" t="s">
        <v>15</v>
      </c>
      <c r="E7565" s="1" t="s">
        <v>54</v>
      </c>
      <c r="F7565" s="1">
        <v>775.45</v>
      </c>
      <c r="G7565" s="1">
        <v>-93.43</v>
      </c>
      <c r="H7565" s="1">
        <v>2.0</v>
      </c>
      <c r="I7565" s="1" t="s">
        <v>17</v>
      </c>
      <c r="J7565" s="1" t="s">
        <v>24</v>
      </c>
      <c r="K7565" s="1">
        <f t="shared" si="1"/>
        <v>2023</v>
      </c>
      <c r="L7565" s="1" t="str">
        <f t="shared" si="2"/>
        <v>Apr</v>
      </c>
      <c r="M7565" s="1" t="str">
        <f t="shared" si="3"/>
        <v>Loss</v>
      </c>
    </row>
    <row r="7566" ht="14.25" customHeight="1">
      <c r="A7566" s="1" t="s">
        <v>7600</v>
      </c>
      <c r="B7566" s="2">
        <v>45061.0</v>
      </c>
      <c r="C7566" s="1" t="s">
        <v>26</v>
      </c>
      <c r="D7566" s="1" t="s">
        <v>21</v>
      </c>
      <c r="E7566" s="1" t="s">
        <v>76</v>
      </c>
      <c r="F7566" s="1">
        <v>368.49</v>
      </c>
      <c r="G7566" s="1">
        <v>121.38</v>
      </c>
      <c r="H7566" s="1">
        <v>8.0</v>
      </c>
      <c r="I7566" s="1" t="s">
        <v>34</v>
      </c>
      <c r="J7566" s="1" t="s">
        <v>18</v>
      </c>
      <c r="K7566" s="1">
        <f t="shared" si="1"/>
        <v>2023</v>
      </c>
      <c r="L7566" s="1" t="str">
        <f t="shared" si="2"/>
        <v>May</v>
      </c>
      <c r="M7566" s="1" t="str">
        <f t="shared" si="3"/>
        <v>Profit</v>
      </c>
    </row>
    <row r="7567" ht="14.25" customHeight="1">
      <c r="A7567" s="1" t="s">
        <v>7601</v>
      </c>
      <c r="B7567" s="2">
        <v>44595.0</v>
      </c>
      <c r="C7567" s="1" t="s">
        <v>30</v>
      </c>
      <c r="D7567" s="1" t="s">
        <v>27</v>
      </c>
      <c r="E7567" s="1" t="s">
        <v>28</v>
      </c>
      <c r="F7567" s="1">
        <v>244.84</v>
      </c>
      <c r="G7567" s="1">
        <v>-63.76</v>
      </c>
      <c r="H7567" s="1">
        <v>3.0</v>
      </c>
      <c r="I7567" s="1" t="s">
        <v>17</v>
      </c>
      <c r="J7567" s="1" t="s">
        <v>18</v>
      </c>
      <c r="K7567" s="1">
        <f t="shared" si="1"/>
        <v>2022</v>
      </c>
      <c r="L7567" s="1" t="str">
        <f t="shared" si="2"/>
        <v>Feb</v>
      </c>
      <c r="M7567" s="1" t="str">
        <f t="shared" si="3"/>
        <v>Loss</v>
      </c>
    </row>
    <row r="7568" ht="14.25" customHeight="1">
      <c r="A7568" s="1" t="s">
        <v>7602</v>
      </c>
      <c r="B7568" s="2">
        <v>44591.0</v>
      </c>
      <c r="C7568" s="1" t="s">
        <v>30</v>
      </c>
      <c r="D7568" s="1" t="s">
        <v>21</v>
      </c>
      <c r="E7568" s="1" t="s">
        <v>37</v>
      </c>
      <c r="F7568" s="1">
        <v>951.15</v>
      </c>
      <c r="G7568" s="1">
        <v>-98.87</v>
      </c>
      <c r="H7568" s="1">
        <v>8.0</v>
      </c>
      <c r="I7568" s="1" t="s">
        <v>23</v>
      </c>
      <c r="J7568" s="1" t="s">
        <v>38</v>
      </c>
      <c r="K7568" s="1">
        <f t="shared" si="1"/>
        <v>2022</v>
      </c>
      <c r="L7568" s="1" t="str">
        <f t="shared" si="2"/>
        <v>Jan</v>
      </c>
      <c r="M7568" s="1" t="str">
        <f t="shared" si="3"/>
        <v>Loss</v>
      </c>
    </row>
    <row r="7569" ht="14.25" customHeight="1">
      <c r="A7569" s="1" t="s">
        <v>7603</v>
      </c>
      <c r="B7569" s="2">
        <v>44533.0</v>
      </c>
      <c r="C7569" s="1" t="s">
        <v>30</v>
      </c>
      <c r="D7569" s="1" t="s">
        <v>27</v>
      </c>
      <c r="E7569" s="1" t="s">
        <v>28</v>
      </c>
      <c r="F7569" s="1">
        <v>582.07</v>
      </c>
      <c r="G7569" s="1">
        <v>57.67</v>
      </c>
      <c r="H7569" s="1">
        <v>5.0</v>
      </c>
      <c r="I7569" s="1" t="s">
        <v>23</v>
      </c>
      <c r="J7569" s="1" t="s">
        <v>38</v>
      </c>
      <c r="K7569" s="1">
        <f t="shared" si="1"/>
        <v>2021</v>
      </c>
      <c r="L7569" s="1" t="str">
        <f t="shared" si="2"/>
        <v>Dec</v>
      </c>
      <c r="M7569" s="1" t="str">
        <f t="shared" si="3"/>
        <v>Profit</v>
      </c>
    </row>
    <row r="7570" ht="14.25" customHeight="1">
      <c r="A7570" s="1" t="s">
        <v>7604</v>
      </c>
      <c r="B7570" s="2">
        <v>44388.0</v>
      </c>
      <c r="C7570" s="1" t="s">
        <v>14</v>
      </c>
      <c r="D7570" s="1" t="s">
        <v>15</v>
      </c>
      <c r="E7570" s="1" t="s">
        <v>16</v>
      </c>
      <c r="F7570" s="1">
        <v>778.03</v>
      </c>
      <c r="G7570" s="1">
        <v>31.14</v>
      </c>
      <c r="H7570" s="1">
        <v>2.0</v>
      </c>
      <c r="I7570" s="1" t="s">
        <v>34</v>
      </c>
      <c r="J7570" s="1" t="s">
        <v>24</v>
      </c>
      <c r="K7570" s="1">
        <f t="shared" si="1"/>
        <v>2021</v>
      </c>
      <c r="L7570" s="1" t="str">
        <f t="shared" si="2"/>
        <v>Jul</v>
      </c>
      <c r="M7570" s="1" t="str">
        <f t="shared" si="3"/>
        <v>Profit</v>
      </c>
    </row>
    <row r="7571" ht="14.25" customHeight="1">
      <c r="A7571" s="1" t="s">
        <v>7605</v>
      </c>
      <c r="B7571" s="2">
        <v>44763.0</v>
      </c>
      <c r="C7571" s="1" t="s">
        <v>14</v>
      </c>
      <c r="D7571" s="1" t="s">
        <v>15</v>
      </c>
      <c r="E7571" s="1" t="s">
        <v>16</v>
      </c>
      <c r="F7571" s="1">
        <v>353.94</v>
      </c>
      <c r="G7571" s="1">
        <v>33.67</v>
      </c>
      <c r="H7571" s="1">
        <v>6.0</v>
      </c>
      <c r="I7571" s="1" t="s">
        <v>17</v>
      </c>
      <c r="J7571" s="1" t="s">
        <v>24</v>
      </c>
      <c r="K7571" s="1">
        <f t="shared" si="1"/>
        <v>2022</v>
      </c>
      <c r="L7571" s="1" t="str">
        <f t="shared" si="2"/>
        <v>Jul</v>
      </c>
      <c r="M7571" s="1" t="str">
        <f t="shared" si="3"/>
        <v>Profit</v>
      </c>
    </row>
    <row r="7572" ht="14.25" customHeight="1">
      <c r="A7572" s="1" t="s">
        <v>7606</v>
      </c>
      <c r="B7572" s="2">
        <v>44667.0</v>
      </c>
      <c r="C7572" s="1" t="s">
        <v>20</v>
      </c>
      <c r="D7572" s="1" t="s">
        <v>15</v>
      </c>
      <c r="E7572" s="1" t="s">
        <v>31</v>
      </c>
      <c r="F7572" s="1">
        <v>943.89</v>
      </c>
      <c r="G7572" s="1">
        <v>46.16</v>
      </c>
      <c r="H7572" s="1">
        <v>7.0</v>
      </c>
      <c r="I7572" s="1" t="s">
        <v>17</v>
      </c>
      <c r="J7572" s="1" t="s">
        <v>38</v>
      </c>
      <c r="K7572" s="1">
        <f t="shared" si="1"/>
        <v>2022</v>
      </c>
      <c r="L7572" s="1" t="str">
        <f t="shared" si="2"/>
        <v>Apr</v>
      </c>
      <c r="M7572" s="1" t="str">
        <f t="shared" si="3"/>
        <v>Profit</v>
      </c>
    </row>
    <row r="7573" ht="14.25" customHeight="1">
      <c r="A7573" s="1" t="s">
        <v>7607</v>
      </c>
      <c r="B7573" s="2">
        <v>44879.0</v>
      </c>
      <c r="C7573" s="1" t="s">
        <v>26</v>
      </c>
      <c r="D7573" s="1" t="s">
        <v>21</v>
      </c>
      <c r="E7573" s="1" t="s">
        <v>22</v>
      </c>
      <c r="F7573" s="1">
        <v>947.95</v>
      </c>
      <c r="G7573" s="1">
        <v>19.69</v>
      </c>
      <c r="H7573" s="1">
        <v>10.0</v>
      </c>
      <c r="I7573" s="1" t="s">
        <v>17</v>
      </c>
      <c r="J7573" s="1" t="s">
        <v>35</v>
      </c>
      <c r="K7573" s="1">
        <f t="shared" si="1"/>
        <v>2022</v>
      </c>
      <c r="L7573" s="1" t="str">
        <f t="shared" si="2"/>
        <v>Nov</v>
      </c>
      <c r="M7573" s="1" t="str">
        <f t="shared" si="3"/>
        <v>Profit</v>
      </c>
    </row>
    <row r="7574" ht="14.25" customHeight="1">
      <c r="A7574" s="1" t="s">
        <v>7608</v>
      </c>
      <c r="B7574" s="2">
        <v>45167.0</v>
      </c>
      <c r="C7574" s="1" t="s">
        <v>30</v>
      </c>
      <c r="D7574" s="1" t="s">
        <v>21</v>
      </c>
      <c r="E7574" s="1" t="s">
        <v>37</v>
      </c>
      <c r="F7574" s="1">
        <v>131.96</v>
      </c>
      <c r="G7574" s="1">
        <v>144.59</v>
      </c>
      <c r="H7574" s="1">
        <v>8.0</v>
      </c>
      <c r="I7574" s="1" t="s">
        <v>34</v>
      </c>
      <c r="J7574" s="1" t="s">
        <v>18</v>
      </c>
      <c r="K7574" s="1">
        <f t="shared" si="1"/>
        <v>2023</v>
      </c>
      <c r="L7574" s="1" t="str">
        <f t="shared" si="2"/>
        <v>Aug</v>
      </c>
      <c r="M7574" s="1" t="str">
        <f t="shared" si="3"/>
        <v>Profit</v>
      </c>
    </row>
    <row r="7575" ht="14.25" customHeight="1">
      <c r="A7575" s="1" t="s">
        <v>7609</v>
      </c>
      <c r="B7575" s="2">
        <v>44797.0</v>
      </c>
      <c r="C7575" s="1" t="s">
        <v>20</v>
      </c>
      <c r="D7575" s="1" t="s">
        <v>21</v>
      </c>
      <c r="E7575" s="1" t="s">
        <v>22</v>
      </c>
      <c r="F7575" s="1">
        <v>590.66</v>
      </c>
      <c r="G7575" s="1">
        <v>159.89</v>
      </c>
      <c r="H7575" s="1">
        <v>9.0</v>
      </c>
      <c r="I7575" s="1" t="s">
        <v>34</v>
      </c>
      <c r="J7575" s="1" t="s">
        <v>24</v>
      </c>
      <c r="K7575" s="1">
        <f t="shared" si="1"/>
        <v>2022</v>
      </c>
      <c r="L7575" s="1" t="str">
        <f t="shared" si="2"/>
        <v>Aug</v>
      </c>
      <c r="M7575" s="1" t="str">
        <f t="shared" si="3"/>
        <v>Profit</v>
      </c>
    </row>
    <row r="7576" ht="14.25" customHeight="1">
      <c r="A7576" s="1" t="s">
        <v>7610</v>
      </c>
      <c r="B7576" s="2">
        <v>44325.0</v>
      </c>
      <c r="C7576" s="1" t="s">
        <v>26</v>
      </c>
      <c r="D7576" s="1" t="s">
        <v>15</v>
      </c>
      <c r="E7576" s="1" t="s">
        <v>16</v>
      </c>
      <c r="F7576" s="1">
        <v>870.1</v>
      </c>
      <c r="G7576" s="1">
        <v>40.06</v>
      </c>
      <c r="H7576" s="1">
        <v>5.0</v>
      </c>
      <c r="I7576" s="1" t="s">
        <v>23</v>
      </c>
      <c r="J7576" s="1" t="s">
        <v>18</v>
      </c>
      <c r="K7576" s="1">
        <f t="shared" si="1"/>
        <v>2021</v>
      </c>
      <c r="L7576" s="1" t="str">
        <f t="shared" si="2"/>
        <v>May</v>
      </c>
      <c r="M7576" s="1" t="str">
        <f t="shared" si="3"/>
        <v>Profit</v>
      </c>
    </row>
    <row r="7577" ht="14.25" customHeight="1">
      <c r="A7577" s="1" t="s">
        <v>7611</v>
      </c>
      <c r="B7577" s="2">
        <v>44668.0</v>
      </c>
      <c r="C7577" s="1" t="s">
        <v>30</v>
      </c>
      <c r="D7577" s="1" t="s">
        <v>15</v>
      </c>
      <c r="E7577" s="1" t="s">
        <v>54</v>
      </c>
      <c r="F7577" s="1">
        <v>778.87</v>
      </c>
      <c r="G7577" s="1">
        <v>30.13</v>
      </c>
      <c r="H7577" s="1">
        <v>7.0</v>
      </c>
      <c r="I7577" s="1" t="s">
        <v>34</v>
      </c>
      <c r="J7577" s="1" t="s">
        <v>35</v>
      </c>
      <c r="K7577" s="1">
        <f t="shared" si="1"/>
        <v>2022</v>
      </c>
      <c r="L7577" s="1" t="str">
        <f t="shared" si="2"/>
        <v>Apr</v>
      </c>
      <c r="M7577" s="1" t="str">
        <f t="shared" si="3"/>
        <v>Profit</v>
      </c>
    </row>
    <row r="7578" ht="14.25" customHeight="1">
      <c r="A7578" s="1" t="s">
        <v>7612</v>
      </c>
      <c r="B7578" s="2">
        <v>45112.0</v>
      </c>
      <c r="C7578" s="1" t="s">
        <v>30</v>
      </c>
      <c r="D7578" s="1" t="s">
        <v>27</v>
      </c>
      <c r="E7578" s="1" t="s">
        <v>33</v>
      </c>
      <c r="F7578" s="1">
        <v>865.12</v>
      </c>
      <c r="G7578" s="1">
        <v>146.45</v>
      </c>
      <c r="H7578" s="1">
        <v>5.0</v>
      </c>
      <c r="I7578" s="1" t="s">
        <v>23</v>
      </c>
      <c r="J7578" s="1" t="s">
        <v>38</v>
      </c>
      <c r="K7578" s="1">
        <f t="shared" si="1"/>
        <v>2023</v>
      </c>
      <c r="L7578" s="1" t="str">
        <f t="shared" si="2"/>
        <v>Jul</v>
      </c>
      <c r="M7578" s="1" t="str">
        <f t="shared" si="3"/>
        <v>Profit</v>
      </c>
    </row>
    <row r="7579" ht="14.25" customHeight="1">
      <c r="A7579" s="1" t="s">
        <v>7613</v>
      </c>
      <c r="B7579" s="2">
        <v>45264.0</v>
      </c>
      <c r="C7579" s="1" t="s">
        <v>20</v>
      </c>
      <c r="D7579" s="1" t="s">
        <v>15</v>
      </c>
      <c r="E7579" s="1" t="s">
        <v>54</v>
      </c>
      <c r="F7579" s="1">
        <v>741.99</v>
      </c>
      <c r="G7579" s="1">
        <v>114.55</v>
      </c>
      <c r="H7579" s="1">
        <v>6.0</v>
      </c>
      <c r="I7579" s="1" t="s">
        <v>23</v>
      </c>
      <c r="J7579" s="1" t="s">
        <v>38</v>
      </c>
      <c r="K7579" s="1">
        <f t="shared" si="1"/>
        <v>2023</v>
      </c>
      <c r="L7579" s="1" t="str">
        <f t="shared" si="2"/>
        <v>Dec</v>
      </c>
      <c r="M7579" s="1" t="str">
        <f t="shared" si="3"/>
        <v>Profit</v>
      </c>
    </row>
    <row r="7580" ht="14.25" customHeight="1">
      <c r="A7580" s="1" t="s">
        <v>7614</v>
      </c>
      <c r="B7580" s="2">
        <v>44586.0</v>
      </c>
      <c r="C7580" s="1" t="s">
        <v>14</v>
      </c>
      <c r="D7580" s="1" t="s">
        <v>21</v>
      </c>
      <c r="E7580" s="1" t="s">
        <v>22</v>
      </c>
      <c r="F7580" s="1">
        <v>702.2</v>
      </c>
      <c r="G7580" s="1">
        <v>13.82</v>
      </c>
      <c r="H7580" s="1">
        <v>3.0</v>
      </c>
      <c r="I7580" s="1" t="s">
        <v>34</v>
      </c>
      <c r="J7580" s="1" t="s">
        <v>18</v>
      </c>
      <c r="K7580" s="1">
        <f t="shared" si="1"/>
        <v>2022</v>
      </c>
      <c r="L7580" s="1" t="str">
        <f t="shared" si="2"/>
        <v>Jan</v>
      </c>
      <c r="M7580" s="1" t="str">
        <f t="shared" si="3"/>
        <v>Profit</v>
      </c>
    </row>
    <row r="7581" ht="14.25" customHeight="1">
      <c r="A7581" s="1" t="s">
        <v>7615</v>
      </c>
      <c r="B7581" s="2">
        <v>44321.0</v>
      </c>
      <c r="C7581" s="1" t="s">
        <v>30</v>
      </c>
      <c r="D7581" s="1" t="s">
        <v>21</v>
      </c>
      <c r="E7581" s="1" t="s">
        <v>22</v>
      </c>
      <c r="F7581" s="1">
        <v>52.45</v>
      </c>
      <c r="G7581" s="1">
        <v>134.17</v>
      </c>
      <c r="H7581" s="1">
        <v>6.0</v>
      </c>
      <c r="I7581" s="1" t="s">
        <v>17</v>
      </c>
      <c r="J7581" s="1" t="s">
        <v>38</v>
      </c>
      <c r="K7581" s="1">
        <f t="shared" si="1"/>
        <v>2021</v>
      </c>
      <c r="L7581" s="1" t="str">
        <f t="shared" si="2"/>
        <v>May</v>
      </c>
      <c r="M7581" s="1" t="str">
        <f t="shared" si="3"/>
        <v>Profit</v>
      </c>
    </row>
    <row r="7582" ht="14.25" customHeight="1">
      <c r="A7582" s="1" t="s">
        <v>7616</v>
      </c>
      <c r="B7582" s="2">
        <v>45057.0</v>
      </c>
      <c r="C7582" s="1" t="s">
        <v>30</v>
      </c>
      <c r="D7582" s="1" t="s">
        <v>15</v>
      </c>
      <c r="E7582" s="1" t="s">
        <v>16</v>
      </c>
      <c r="F7582" s="1">
        <v>42.88</v>
      </c>
      <c r="G7582" s="1">
        <v>-73.99</v>
      </c>
      <c r="H7582" s="1">
        <v>3.0</v>
      </c>
      <c r="I7582" s="1" t="s">
        <v>23</v>
      </c>
      <c r="J7582" s="1" t="s">
        <v>35</v>
      </c>
      <c r="K7582" s="1">
        <f t="shared" si="1"/>
        <v>2023</v>
      </c>
      <c r="L7582" s="1" t="str">
        <f t="shared" si="2"/>
        <v>May</v>
      </c>
      <c r="M7582" s="1" t="str">
        <f t="shared" si="3"/>
        <v>Loss</v>
      </c>
    </row>
    <row r="7583" ht="14.25" customHeight="1">
      <c r="A7583" s="1" t="s">
        <v>7617</v>
      </c>
      <c r="B7583" s="2">
        <v>44821.0</v>
      </c>
      <c r="C7583" s="1" t="s">
        <v>30</v>
      </c>
      <c r="D7583" s="1" t="s">
        <v>27</v>
      </c>
      <c r="E7583" s="1" t="s">
        <v>40</v>
      </c>
      <c r="F7583" s="1">
        <v>591.65</v>
      </c>
      <c r="G7583" s="1">
        <v>158.75</v>
      </c>
      <c r="H7583" s="1">
        <v>2.0</v>
      </c>
      <c r="I7583" s="1" t="s">
        <v>23</v>
      </c>
      <c r="J7583" s="1" t="s">
        <v>24</v>
      </c>
      <c r="K7583" s="1">
        <f t="shared" si="1"/>
        <v>2022</v>
      </c>
      <c r="L7583" s="1" t="str">
        <f t="shared" si="2"/>
        <v>Sep</v>
      </c>
      <c r="M7583" s="1" t="str">
        <f t="shared" si="3"/>
        <v>Profit</v>
      </c>
    </row>
    <row r="7584" ht="14.25" customHeight="1">
      <c r="A7584" s="1" t="s">
        <v>7618</v>
      </c>
      <c r="B7584" s="2">
        <v>44990.0</v>
      </c>
      <c r="C7584" s="1" t="s">
        <v>14</v>
      </c>
      <c r="D7584" s="1" t="s">
        <v>21</v>
      </c>
      <c r="E7584" s="1" t="s">
        <v>22</v>
      </c>
      <c r="F7584" s="1">
        <v>663.53</v>
      </c>
      <c r="G7584" s="1">
        <v>-12.51</v>
      </c>
      <c r="H7584" s="1">
        <v>2.0</v>
      </c>
      <c r="I7584" s="1" t="s">
        <v>17</v>
      </c>
      <c r="J7584" s="1" t="s">
        <v>38</v>
      </c>
      <c r="K7584" s="1">
        <f t="shared" si="1"/>
        <v>2023</v>
      </c>
      <c r="L7584" s="1" t="str">
        <f t="shared" si="2"/>
        <v>Mar</v>
      </c>
      <c r="M7584" s="1" t="str">
        <f t="shared" si="3"/>
        <v>Loss</v>
      </c>
    </row>
    <row r="7585" ht="14.25" customHeight="1">
      <c r="A7585" s="1" t="s">
        <v>7619</v>
      </c>
      <c r="B7585" s="2">
        <v>44573.0</v>
      </c>
      <c r="C7585" s="1" t="s">
        <v>30</v>
      </c>
      <c r="D7585" s="1" t="s">
        <v>15</v>
      </c>
      <c r="E7585" s="1" t="s">
        <v>31</v>
      </c>
      <c r="F7585" s="1">
        <v>248.29</v>
      </c>
      <c r="G7585" s="1">
        <v>-78.1</v>
      </c>
      <c r="H7585" s="1">
        <v>2.0</v>
      </c>
      <c r="I7585" s="1" t="s">
        <v>34</v>
      </c>
      <c r="J7585" s="1" t="s">
        <v>24</v>
      </c>
      <c r="K7585" s="1">
        <f t="shared" si="1"/>
        <v>2022</v>
      </c>
      <c r="L7585" s="1" t="str">
        <f t="shared" si="2"/>
        <v>Jan</v>
      </c>
      <c r="M7585" s="1" t="str">
        <f t="shared" si="3"/>
        <v>Loss</v>
      </c>
    </row>
    <row r="7586" ht="14.25" customHeight="1">
      <c r="A7586" s="1" t="s">
        <v>7620</v>
      </c>
      <c r="B7586" s="2">
        <v>44769.0</v>
      </c>
      <c r="C7586" s="1" t="s">
        <v>14</v>
      </c>
      <c r="D7586" s="1" t="s">
        <v>15</v>
      </c>
      <c r="E7586" s="1" t="s">
        <v>54</v>
      </c>
      <c r="F7586" s="1">
        <v>363.97</v>
      </c>
      <c r="G7586" s="1">
        <v>-39.19</v>
      </c>
      <c r="H7586" s="1">
        <v>7.0</v>
      </c>
      <c r="I7586" s="1" t="s">
        <v>17</v>
      </c>
      <c r="J7586" s="1" t="s">
        <v>38</v>
      </c>
      <c r="K7586" s="1">
        <f t="shared" si="1"/>
        <v>2022</v>
      </c>
      <c r="L7586" s="1" t="str">
        <f t="shared" si="2"/>
        <v>Jul</v>
      </c>
      <c r="M7586" s="1" t="str">
        <f t="shared" si="3"/>
        <v>Loss</v>
      </c>
    </row>
    <row r="7587" ht="14.25" customHeight="1">
      <c r="A7587" s="1" t="s">
        <v>7621</v>
      </c>
      <c r="B7587" s="2">
        <v>45218.0</v>
      </c>
      <c r="C7587" s="1" t="s">
        <v>20</v>
      </c>
      <c r="D7587" s="1" t="s">
        <v>27</v>
      </c>
      <c r="E7587" s="1" t="s">
        <v>33</v>
      </c>
      <c r="F7587" s="1">
        <v>330.16</v>
      </c>
      <c r="G7587" s="1">
        <v>100.41</v>
      </c>
      <c r="H7587" s="1">
        <v>2.0</v>
      </c>
      <c r="I7587" s="1" t="s">
        <v>23</v>
      </c>
      <c r="J7587" s="1" t="s">
        <v>35</v>
      </c>
      <c r="K7587" s="1">
        <f t="shared" si="1"/>
        <v>2023</v>
      </c>
      <c r="L7587" s="1" t="str">
        <f t="shared" si="2"/>
        <v>Oct</v>
      </c>
      <c r="M7587" s="1" t="str">
        <f t="shared" si="3"/>
        <v>Profit</v>
      </c>
    </row>
    <row r="7588" ht="14.25" customHeight="1">
      <c r="A7588" s="1" t="s">
        <v>7622</v>
      </c>
      <c r="B7588" s="2">
        <v>44461.0</v>
      </c>
      <c r="C7588" s="1" t="s">
        <v>14</v>
      </c>
      <c r="D7588" s="1" t="s">
        <v>15</v>
      </c>
      <c r="E7588" s="1" t="s">
        <v>31</v>
      </c>
      <c r="F7588" s="1">
        <v>394.43</v>
      </c>
      <c r="G7588" s="1">
        <v>67.88</v>
      </c>
      <c r="H7588" s="1">
        <v>1.0</v>
      </c>
      <c r="I7588" s="1" t="s">
        <v>17</v>
      </c>
      <c r="J7588" s="1" t="s">
        <v>35</v>
      </c>
      <c r="K7588" s="1">
        <f t="shared" si="1"/>
        <v>2021</v>
      </c>
      <c r="L7588" s="1" t="str">
        <f t="shared" si="2"/>
        <v>Sep</v>
      </c>
      <c r="M7588" s="1" t="str">
        <f t="shared" si="3"/>
        <v>Profit</v>
      </c>
    </row>
    <row r="7589" ht="14.25" customHeight="1">
      <c r="A7589" s="1" t="s">
        <v>7623</v>
      </c>
      <c r="B7589" s="2">
        <v>44914.0</v>
      </c>
      <c r="C7589" s="1" t="s">
        <v>26</v>
      </c>
      <c r="D7589" s="1" t="s">
        <v>15</v>
      </c>
      <c r="E7589" s="1" t="s">
        <v>31</v>
      </c>
      <c r="F7589" s="1">
        <v>624.67</v>
      </c>
      <c r="G7589" s="1">
        <v>-143.88</v>
      </c>
      <c r="H7589" s="1">
        <v>9.0</v>
      </c>
      <c r="I7589" s="1" t="s">
        <v>17</v>
      </c>
      <c r="J7589" s="1" t="s">
        <v>24</v>
      </c>
      <c r="K7589" s="1">
        <f t="shared" si="1"/>
        <v>2022</v>
      </c>
      <c r="L7589" s="1" t="str">
        <f t="shared" si="2"/>
        <v>Dec</v>
      </c>
      <c r="M7589" s="1" t="str">
        <f t="shared" si="3"/>
        <v>Loss</v>
      </c>
    </row>
    <row r="7590" ht="14.25" customHeight="1">
      <c r="A7590" s="1" t="s">
        <v>7624</v>
      </c>
      <c r="B7590" s="2">
        <v>44682.0</v>
      </c>
      <c r="C7590" s="1" t="s">
        <v>14</v>
      </c>
      <c r="D7590" s="1" t="s">
        <v>27</v>
      </c>
      <c r="E7590" s="1" t="s">
        <v>28</v>
      </c>
      <c r="F7590" s="1">
        <v>923.9</v>
      </c>
      <c r="G7590" s="1">
        <v>-81.65</v>
      </c>
      <c r="H7590" s="1">
        <v>7.0</v>
      </c>
      <c r="I7590" s="1" t="s">
        <v>17</v>
      </c>
      <c r="J7590" s="1" t="s">
        <v>18</v>
      </c>
      <c r="K7590" s="1">
        <f t="shared" si="1"/>
        <v>2022</v>
      </c>
      <c r="L7590" s="1" t="str">
        <f t="shared" si="2"/>
        <v>May</v>
      </c>
      <c r="M7590" s="1" t="str">
        <f t="shared" si="3"/>
        <v>Loss</v>
      </c>
    </row>
    <row r="7591" ht="14.25" customHeight="1">
      <c r="A7591" s="1" t="s">
        <v>7625</v>
      </c>
      <c r="B7591" s="2">
        <v>44240.0</v>
      </c>
      <c r="C7591" s="1" t="s">
        <v>26</v>
      </c>
      <c r="D7591" s="1" t="s">
        <v>15</v>
      </c>
      <c r="E7591" s="1" t="s">
        <v>54</v>
      </c>
      <c r="F7591" s="1">
        <v>391.98</v>
      </c>
      <c r="G7591" s="1">
        <v>-57.47</v>
      </c>
      <c r="H7591" s="1">
        <v>3.0</v>
      </c>
      <c r="I7591" s="1" t="s">
        <v>23</v>
      </c>
      <c r="J7591" s="1" t="s">
        <v>18</v>
      </c>
      <c r="K7591" s="1">
        <f t="shared" si="1"/>
        <v>2021</v>
      </c>
      <c r="L7591" s="1" t="str">
        <f t="shared" si="2"/>
        <v>Feb</v>
      </c>
      <c r="M7591" s="1" t="str">
        <f t="shared" si="3"/>
        <v>Loss</v>
      </c>
    </row>
    <row r="7592" ht="14.25" customHeight="1">
      <c r="A7592" s="1" t="s">
        <v>7626</v>
      </c>
      <c r="B7592" s="2">
        <v>44522.0</v>
      </c>
      <c r="C7592" s="1" t="s">
        <v>14</v>
      </c>
      <c r="D7592" s="1" t="s">
        <v>21</v>
      </c>
      <c r="E7592" s="1" t="s">
        <v>22</v>
      </c>
      <c r="F7592" s="1">
        <v>874.08</v>
      </c>
      <c r="G7592" s="1">
        <v>32.58</v>
      </c>
      <c r="H7592" s="1">
        <v>8.0</v>
      </c>
      <c r="I7592" s="1" t="s">
        <v>23</v>
      </c>
      <c r="J7592" s="1" t="s">
        <v>18</v>
      </c>
      <c r="K7592" s="1">
        <f t="shared" si="1"/>
        <v>2021</v>
      </c>
      <c r="L7592" s="1" t="str">
        <f t="shared" si="2"/>
        <v>Nov</v>
      </c>
      <c r="M7592" s="1" t="str">
        <f t="shared" si="3"/>
        <v>Profit</v>
      </c>
    </row>
    <row r="7593" ht="14.25" customHeight="1">
      <c r="A7593" s="1" t="s">
        <v>7627</v>
      </c>
      <c r="B7593" s="2">
        <v>44882.0</v>
      </c>
      <c r="C7593" s="1" t="s">
        <v>14</v>
      </c>
      <c r="D7593" s="1" t="s">
        <v>21</v>
      </c>
      <c r="E7593" s="1" t="s">
        <v>76</v>
      </c>
      <c r="F7593" s="1">
        <v>148.97</v>
      </c>
      <c r="G7593" s="1">
        <v>-24.58</v>
      </c>
      <c r="H7593" s="1">
        <v>1.0</v>
      </c>
      <c r="I7593" s="1" t="s">
        <v>34</v>
      </c>
      <c r="J7593" s="1" t="s">
        <v>35</v>
      </c>
      <c r="K7593" s="1">
        <f t="shared" si="1"/>
        <v>2022</v>
      </c>
      <c r="L7593" s="1" t="str">
        <f t="shared" si="2"/>
        <v>Nov</v>
      </c>
      <c r="M7593" s="1" t="str">
        <f t="shared" si="3"/>
        <v>Loss</v>
      </c>
    </row>
    <row r="7594" ht="14.25" customHeight="1">
      <c r="A7594" s="1" t="s">
        <v>7628</v>
      </c>
      <c r="B7594" s="2">
        <v>44499.0</v>
      </c>
      <c r="C7594" s="1" t="s">
        <v>30</v>
      </c>
      <c r="D7594" s="1" t="s">
        <v>15</v>
      </c>
      <c r="E7594" s="1" t="s">
        <v>54</v>
      </c>
      <c r="F7594" s="1">
        <v>689.51</v>
      </c>
      <c r="G7594" s="1">
        <v>26.1</v>
      </c>
      <c r="H7594" s="1">
        <v>6.0</v>
      </c>
      <c r="I7594" s="1" t="s">
        <v>34</v>
      </c>
      <c r="J7594" s="1" t="s">
        <v>18</v>
      </c>
      <c r="K7594" s="1">
        <f t="shared" si="1"/>
        <v>2021</v>
      </c>
      <c r="L7594" s="1" t="str">
        <f t="shared" si="2"/>
        <v>Oct</v>
      </c>
      <c r="M7594" s="1" t="str">
        <f t="shared" si="3"/>
        <v>Profit</v>
      </c>
    </row>
    <row r="7595" ht="14.25" customHeight="1">
      <c r="A7595" s="1" t="s">
        <v>7629</v>
      </c>
      <c r="B7595" s="2">
        <v>44797.0</v>
      </c>
      <c r="C7595" s="1" t="s">
        <v>30</v>
      </c>
      <c r="D7595" s="1" t="s">
        <v>21</v>
      </c>
      <c r="E7595" s="1" t="s">
        <v>76</v>
      </c>
      <c r="F7595" s="1">
        <v>76.4</v>
      </c>
      <c r="G7595" s="1">
        <v>-145.44</v>
      </c>
      <c r="H7595" s="1">
        <v>6.0</v>
      </c>
      <c r="I7595" s="1" t="s">
        <v>17</v>
      </c>
      <c r="J7595" s="1" t="s">
        <v>24</v>
      </c>
      <c r="K7595" s="1">
        <f t="shared" si="1"/>
        <v>2022</v>
      </c>
      <c r="L7595" s="1" t="str">
        <f t="shared" si="2"/>
        <v>Aug</v>
      </c>
      <c r="M7595" s="1" t="str">
        <f t="shared" si="3"/>
        <v>Loss</v>
      </c>
    </row>
    <row r="7596" ht="14.25" customHeight="1">
      <c r="A7596" s="1" t="s">
        <v>7630</v>
      </c>
      <c r="B7596" s="2">
        <v>44613.0</v>
      </c>
      <c r="C7596" s="1" t="s">
        <v>14</v>
      </c>
      <c r="D7596" s="1" t="s">
        <v>27</v>
      </c>
      <c r="E7596" s="1" t="s">
        <v>33</v>
      </c>
      <c r="F7596" s="1">
        <v>783.59</v>
      </c>
      <c r="G7596" s="1">
        <v>120.49</v>
      </c>
      <c r="H7596" s="1">
        <v>3.0</v>
      </c>
      <c r="I7596" s="1" t="s">
        <v>17</v>
      </c>
      <c r="J7596" s="1" t="s">
        <v>18</v>
      </c>
      <c r="K7596" s="1">
        <f t="shared" si="1"/>
        <v>2022</v>
      </c>
      <c r="L7596" s="1" t="str">
        <f t="shared" si="2"/>
        <v>Feb</v>
      </c>
      <c r="M7596" s="1" t="str">
        <f t="shared" si="3"/>
        <v>Profit</v>
      </c>
    </row>
    <row r="7597" ht="14.25" customHeight="1">
      <c r="A7597" s="1" t="s">
        <v>7631</v>
      </c>
      <c r="B7597" s="2">
        <v>45007.0</v>
      </c>
      <c r="C7597" s="1" t="s">
        <v>20</v>
      </c>
      <c r="D7597" s="1" t="s">
        <v>15</v>
      </c>
      <c r="E7597" s="1" t="s">
        <v>31</v>
      </c>
      <c r="F7597" s="1">
        <v>875.84</v>
      </c>
      <c r="G7597" s="1">
        <v>-58.78</v>
      </c>
      <c r="H7597" s="1">
        <v>5.0</v>
      </c>
      <c r="I7597" s="1" t="s">
        <v>23</v>
      </c>
      <c r="J7597" s="1" t="s">
        <v>24</v>
      </c>
      <c r="K7597" s="1">
        <f t="shared" si="1"/>
        <v>2023</v>
      </c>
      <c r="L7597" s="1" t="str">
        <f t="shared" si="2"/>
        <v>Mar</v>
      </c>
      <c r="M7597" s="1" t="str">
        <f t="shared" si="3"/>
        <v>Loss</v>
      </c>
    </row>
    <row r="7598" ht="14.25" customHeight="1">
      <c r="A7598" s="1" t="s">
        <v>7632</v>
      </c>
      <c r="B7598" s="2">
        <v>44667.0</v>
      </c>
      <c r="C7598" s="1" t="s">
        <v>14</v>
      </c>
      <c r="D7598" s="1" t="s">
        <v>15</v>
      </c>
      <c r="E7598" s="1" t="s">
        <v>16</v>
      </c>
      <c r="F7598" s="1">
        <v>53.94</v>
      </c>
      <c r="G7598" s="1">
        <v>190.48</v>
      </c>
      <c r="H7598" s="1">
        <v>3.0</v>
      </c>
      <c r="I7598" s="1" t="s">
        <v>17</v>
      </c>
      <c r="J7598" s="1" t="s">
        <v>35</v>
      </c>
      <c r="K7598" s="1">
        <f t="shared" si="1"/>
        <v>2022</v>
      </c>
      <c r="L7598" s="1" t="str">
        <f t="shared" si="2"/>
        <v>Apr</v>
      </c>
      <c r="M7598" s="1" t="str">
        <f t="shared" si="3"/>
        <v>Profit</v>
      </c>
    </row>
    <row r="7599" ht="14.25" customHeight="1">
      <c r="A7599" s="1" t="s">
        <v>7633</v>
      </c>
      <c r="B7599" s="2">
        <v>44217.0</v>
      </c>
      <c r="C7599" s="1" t="s">
        <v>30</v>
      </c>
      <c r="D7599" s="1" t="s">
        <v>27</v>
      </c>
      <c r="E7599" s="1" t="s">
        <v>40</v>
      </c>
      <c r="F7599" s="1">
        <v>899.94</v>
      </c>
      <c r="G7599" s="1">
        <v>-9.32</v>
      </c>
      <c r="H7599" s="1">
        <v>2.0</v>
      </c>
      <c r="I7599" s="1" t="s">
        <v>23</v>
      </c>
      <c r="J7599" s="1" t="s">
        <v>18</v>
      </c>
      <c r="K7599" s="1">
        <f t="shared" si="1"/>
        <v>2021</v>
      </c>
      <c r="L7599" s="1" t="str">
        <f t="shared" si="2"/>
        <v>Jan</v>
      </c>
      <c r="M7599" s="1" t="str">
        <f t="shared" si="3"/>
        <v>Loss</v>
      </c>
    </row>
    <row r="7600" ht="14.25" customHeight="1">
      <c r="A7600" s="1" t="s">
        <v>7634</v>
      </c>
      <c r="B7600" s="2">
        <v>44704.0</v>
      </c>
      <c r="C7600" s="1" t="s">
        <v>30</v>
      </c>
      <c r="D7600" s="1" t="s">
        <v>15</v>
      </c>
      <c r="E7600" s="1" t="s">
        <v>31</v>
      </c>
      <c r="F7600" s="1">
        <v>865.12</v>
      </c>
      <c r="G7600" s="1">
        <v>153.57</v>
      </c>
      <c r="H7600" s="1">
        <v>5.0</v>
      </c>
      <c r="I7600" s="1" t="s">
        <v>34</v>
      </c>
      <c r="J7600" s="1" t="s">
        <v>38</v>
      </c>
      <c r="K7600" s="1">
        <f t="shared" si="1"/>
        <v>2022</v>
      </c>
      <c r="L7600" s="1" t="str">
        <f t="shared" si="2"/>
        <v>May</v>
      </c>
      <c r="M7600" s="1" t="str">
        <f t="shared" si="3"/>
        <v>Profit</v>
      </c>
    </row>
    <row r="7601" ht="14.25" customHeight="1">
      <c r="A7601" s="1" t="s">
        <v>7635</v>
      </c>
      <c r="B7601" s="2">
        <v>45077.0</v>
      </c>
      <c r="C7601" s="1" t="s">
        <v>26</v>
      </c>
      <c r="D7601" s="1" t="s">
        <v>21</v>
      </c>
      <c r="E7601" s="1" t="s">
        <v>76</v>
      </c>
      <c r="F7601" s="1">
        <v>230.21</v>
      </c>
      <c r="G7601" s="1">
        <v>182.22</v>
      </c>
      <c r="H7601" s="1">
        <v>2.0</v>
      </c>
      <c r="I7601" s="1" t="s">
        <v>17</v>
      </c>
      <c r="J7601" s="1" t="s">
        <v>24</v>
      </c>
      <c r="K7601" s="1">
        <f t="shared" si="1"/>
        <v>2023</v>
      </c>
      <c r="L7601" s="1" t="str">
        <f t="shared" si="2"/>
        <v>May</v>
      </c>
      <c r="M7601" s="1" t="str">
        <f t="shared" si="3"/>
        <v>Profit</v>
      </c>
    </row>
    <row r="7602" ht="14.25" customHeight="1">
      <c r="A7602" s="1" t="s">
        <v>7636</v>
      </c>
      <c r="B7602" s="2">
        <v>45006.0</v>
      </c>
      <c r="C7602" s="1" t="s">
        <v>26</v>
      </c>
      <c r="D7602" s="1" t="s">
        <v>27</v>
      </c>
      <c r="E7602" s="1" t="s">
        <v>33</v>
      </c>
      <c r="F7602" s="1">
        <v>571.59</v>
      </c>
      <c r="G7602" s="1">
        <v>-184.16</v>
      </c>
      <c r="H7602" s="1">
        <v>1.0</v>
      </c>
      <c r="I7602" s="1" t="s">
        <v>34</v>
      </c>
      <c r="J7602" s="1" t="s">
        <v>35</v>
      </c>
      <c r="K7602" s="1">
        <f t="shared" si="1"/>
        <v>2023</v>
      </c>
      <c r="L7602" s="1" t="str">
        <f t="shared" si="2"/>
        <v>Mar</v>
      </c>
      <c r="M7602" s="1" t="str">
        <f t="shared" si="3"/>
        <v>Loss</v>
      </c>
    </row>
    <row r="7603" ht="14.25" customHeight="1">
      <c r="A7603" s="1" t="s">
        <v>7637</v>
      </c>
      <c r="B7603" s="2">
        <v>45192.0</v>
      </c>
      <c r="C7603" s="1" t="s">
        <v>14</v>
      </c>
      <c r="D7603" s="1" t="s">
        <v>15</v>
      </c>
      <c r="E7603" s="1" t="s">
        <v>31</v>
      </c>
      <c r="F7603" s="1">
        <v>698.99</v>
      </c>
      <c r="G7603" s="1">
        <v>137.1</v>
      </c>
      <c r="H7603" s="1">
        <v>9.0</v>
      </c>
      <c r="I7603" s="1" t="s">
        <v>17</v>
      </c>
      <c r="J7603" s="1" t="s">
        <v>18</v>
      </c>
      <c r="K7603" s="1">
        <f t="shared" si="1"/>
        <v>2023</v>
      </c>
      <c r="L7603" s="1" t="str">
        <f t="shared" si="2"/>
        <v>Sep</v>
      </c>
      <c r="M7603" s="1" t="str">
        <f t="shared" si="3"/>
        <v>Profit</v>
      </c>
    </row>
    <row r="7604" ht="14.25" customHeight="1">
      <c r="A7604" s="1" t="s">
        <v>7638</v>
      </c>
      <c r="B7604" s="2">
        <v>44615.0</v>
      </c>
      <c r="C7604" s="1" t="s">
        <v>26</v>
      </c>
      <c r="D7604" s="1" t="s">
        <v>15</v>
      </c>
      <c r="E7604" s="1" t="s">
        <v>54</v>
      </c>
      <c r="F7604" s="1">
        <v>718.94</v>
      </c>
      <c r="G7604" s="1">
        <v>57.54</v>
      </c>
      <c r="H7604" s="1">
        <v>4.0</v>
      </c>
      <c r="I7604" s="1" t="s">
        <v>34</v>
      </c>
      <c r="J7604" s="1" t="s">
        <v>35</v>
      </c>
      <c r="K7604" s="1">
        <f t="shared" si="1"/>
        <v>2022</v>
      </c>
      <c r="L7604" s="1" t="str">
        <f t="shared" si="2"/>
        <v>Feb</v>
      </c>
      <c r="M7604" s="1" t="str">
        <f t="shared" si="3"/>
        <v>Profit</v>
      </c>
    </row>
    <row r="7605" ht="14.25" customHeight="1">
      <c r="A7605" s="1" t="s">
        <v>7639</v>
      </c>
      <c r="B7605" s="2">
        <v>44382.0</v>
      </c>
      <c r="C7605" s="1" t="s">
        <v>30</v>
      </c>
      <c r="D7605" s="1" t="s">
        <v>27</v>
      </c>
      <c r="E7605" s="1" t="s">
        <v>28</v>
      </c>
      <c r="F7605" s="1">
        <v>384.05</v>
      </c>
      <c r="G7605" s="1">
        <v>-124.33</v>
      </c>
      <c r="H7605" s="1">
        <v>7.0</v>
      </c>
      <c r="I7605" s="1" t="s">
        <v>34</v>
      </c>
      <c r="J7605" s="1" t="s">
        <v>18</v>
      </c>
      <c r="K7605" s="1">
        <f t="shared" si="1"/>
        <v>2021</v>
      </c>
      <c r="L7605" s="1" t="str">
        <f t="shared" si="2"/>
        <v>Jul</v>
      </c>
      <c r="M7605" s="1" t="str">
        <f t="shared" si="3"/>
        <v>Loss</v>
      </c>
    </row>
    <row r="7606" ht="14.25" customHeight="1">
      <c r="A7606" s="1" t="s">
        <v>7640</v>
      </c>
      <c r="B7606" s="2">
        <v>44587.0</v>
      </c>
      <c r="C7606" s="1" t="s">
        <v>30</v>
      </c>
      <c r="D7606" s="1" t="s">
        <v>15</v>
      </c>
      <c r="E7606" s="1" t="s">
        <v>54</v>
      </c>
      <c r="F7606" s="1">
        <v>638.83</v>
      </c>
      <c r="G7606" s="1">
        <v>265.13</v>
      </c>
      <c r="H7606" s="1">
        <v>9.0</v>
      </c>
      <c r="I7606" s="1" t="s">
        <v>23</v>
      </c>
      <c r="J7606" s="1" t="s">
        <v>18</v>
      </c>
      <c r="K7606" s="1">
        <f t="shared" si="1"/>
        <v>2022</v>
      </c>
      <c r="L7606" s="1" t="str">
        <f t="shared" si="2"/>
        <v>Jan</v>
      </c>
      <c r="M7606" s="1" t="str">
        <f t="shared" si="3"/>
        <v>Profit</v>
      </c>
    </row>
    <row r="7607" ht="14.25" customHeight="1">
      <c r="A7607" s="1" t="s">
        <v>7641</v>
      </c>
      <c r="B7607" s="2">
        <v>44765.0</v>
      </c>
      <c r="C7607" s="1" t="s">
        <v>20</v>
      </c>
      <c r="D7607" s="1" t="s">
        <v>21</v>
      </c>
      <c r="E7607" s="1" t="s">
        <v>37</v>
      </c>
      <c r="F7607" s="1">
        <v>820.0</v>
      </c>
      <c r="G7607" s="1">
        <v>127.26</v>
      </c>
      <c r="H7607" s="1">
        <v>3.0</v>
      </c>
      <c r="I7607" s="1" t="s">
        <v>23</v>
      </c>
      <c r="J7607" s="1" t="s">
        <v>18</v>
      </c>
      <c r="K7607" s="1">
        <f t="shared" si="1"/>
        <v>2022</v>
      </c>
      <c r="L7607" s="1" t="str">
        <f t="shared" si="2"/>
        <v>Jul</v>
      </c>
      <c r="M7607" s="1" t="str">
        <f t="shared" si="3"/>
        <v>Profit</v>
      </c>
    </row>
    <row r="7608" ht="14.25" customHeight="1">
      <c r="A7608" s="1" t="s">
        <v>7642</v>
      </c>
      <c r="B7608" s="2">
        <v>44743.0</v>
      </c>
      <c r="C7608" s="1" t="s">
        <v>30</v>
      </c>
      <c r="D7608" s="1" t="s">
        <v>21</v>
      </c>
      <c r="E7608" s="1" t="s">
        <v>37</v>
      </c>
      <c r="F7608" s="1">
        <v>847.84</v>
      </c>
      <c r="G7608" s="1">
        <v>269.46</v>
      </c>
      <c r="H7608" s="1">
        <v>9.0</v>
      </c>
      <c r="I7608" s="1" t="s">
        <v>17</v>
      </c>
      <c r="J7608" s="1" t="s">
        <v>18</v>
      </c>
      <c r="K7608" s="1">
        <f t="shared" si="1"/>
        <v>2022</v>
      </c>
      <c r="L7608" s="1" t="str">
        <f t="shared" si="2"/>
        <v>Jul</v>
      </c>
      <c r="M7608" s="1" t="str">
        <f t="shared" si="3"/>
        <v>Profit</v>
      </c>
    </row>
    <row r="7609" ht="14.25" customHeight="1">
      <c r="A7609" s="1" t="s">
        <v>7643</v>
      </c>
      <c r="B7609" s="2">
        <v>44334.0</v>
      </c>
      <c r="C7609" s="1" t="s">
        <v>26</v>
      </c>
      <c r="D7609" s="1" t="s">
        <v>27</v>
      </c>
      <c r="E7609" s="1" t="s">
        <v>33</v>
      </c>
      <c r="F7609" s="1">
        <v>698.59</v>
      </c>
      <c r="G7609" s="1">
        <v>136.81</v>
      </c>
      <c r="H7609" s="1">
        <v>8.0</v>
      </c>
      <c r="I7609" s="1" t="s">
        <v>23</v>
      </c>
      <c r="J7609" s="1" t="s">
        <v>38</v>
      </c>
      <c r="K7609" s="1">
        <f t="shared" si="1"/>
        <v>2021</v>
      </c>
      <c r="L7609" s="1" t="str">
        <f t="shared" si="2"/>
        <v>May</v>
      </c>
      <c r="M7609" s="1" t="str">
        <f t="shared" si="3"/>
        <v>Profit</v>
      </c>
    </row>
    <row r="7610" ht="14.25" customHeight="1">
      <c r="A7610" s="1" t="s">
        <v>7644</v>
      </c>
      <c r="B7610" s="2">
        <v>44994.0</v>
      </c>
      <c r="C7610" s="1" t="s">
        <v>14</v>
      </c>
      <c r="D7610" s="1" t="s">
        <v>15</v>
      </c>
      <c r="E7610" s="1" t="s">
        <v>16</v>
      </c>
      <c r="F7610" s="1">
        <v>553.32</v>
      </c>
      <c r="G7610" s="1">
        <v>-139.12</v>
      </c>
      <c r="H7610" s="1">
        <v>6.0</v>
      </c>
      <c r="I7610" s="1" t="s">
        <v>17</v>
      </c>
      <c r="J7610" s="1" t="s">
        <v>24</v>
      </c>
      <c r="K7610" s="1">
        <f t="shared" si="1"/>
        <v>2023</v>
      </c>
      <c r="L7610" s="1" t="str">
        <f t="shared" si="2"/>
        <v>Mar</v>
      </c>
      <c r="M7610" s="1" t="str">
        <f t="shared" si="3"/>
        <v>Loss</v>
      </c>
    </row>
    <row r="7611" ht="14.25" customHeight="1">
      <c r="A7611" s="1" t="s">
        <v>7645</v>
      </c>
      <c r="B7611" s="2">
        <v>45010.0</v>
      </c>
      <c r="C7611" s="1" t="s">
        <v>26</v>
      </c>
      <c r="D7611" s="1" t="s">
        <v>15</v>
      </c>
      <c r="E7611" s="1" t="s">
        <v>16</v>
      </c>
      <c r="F7611" s="1">
        <v>121.24</v>
      </c>
      <c r="G7611" s="1">
        <v>-105.77</v>
      </c>
      <c r="H7611" s="1">
        <v>7.0</v>
      </c>
      <c r="I7611" s="1" t="s">
        <v>23</v>
      </c>
      <c r="J7611" s="1" t="s">
        <v>24</v>
      </c>
      <c r="K7611" s="1">
        <f t="shared" si="1"/>
        <v>2023</v>
      </c>
      <c r="L7611" s="1" t="str">
        <f t="shared" si="2"/>
        <v>Mar</v>
      </c>
      <c r="M7611" s="1" t="str">
        <f t="shared" si="3"/>
        <v>Loss</v>
      </c>
    </row>
    <row r="7612" ht="14.25" customHeight="1">
      <c r="A7612" s="1" t="s">
        <v>7646</v>
      </c>
      <c r="B7612" s="2">
        <v>44607.0</v>
      </c>
      <c r="C7612" s="1" t="s">
        <v>26</v>
      </c>
      <c r="D7612" s="1" t="s">
        <v>27</v>
      </c>
      <c r="E7612" s="1" t="s">
        <v>28</v>
      </c>
      <c r="F7612" s="1">
        <v>992.49</v>
      </c>
      <c r="G7612" s="1">
        <v>29.72</v>
      </c>
      <c r="H7612" s="1">
        <v>6.0</v>
      </c>
      <c r="I7612" s="1" t="s">
        <v>34</v>
      </c>
      <c r="J7612" s="1" t="s">
        <v>24</v>
      </c>
      <c r="K7612" s="1">
        <f t="shared" si="1"/>
        <v>2022</v>
      </c>
      <c r="L7612" s="1" t="str">
        <f t="shared" si="2"/>
        <v>Feb</v>
      </c>
      <c r="M7612" s="1" t="str">
        <f t="shared" si="3"/>
        <v>Profit</v>
      </c>
    </row>
    <row r="7613" ht="14.25" customHeight="1">
      <c r="A7613" s="1" t="s">
        <v>7647</v>
      </c>
      <c r="B7613" s="2">
        <v>44607.0</v>
      </c>
      <c r="C7613" s="1" t="s">
        <v>26</v>
      </c>
      <c r="D7613" s="1" t="s">
        <v>21</v>
      </c>
      <c r="E7613" s="1" t="s">
        <v>76</v>
      </c>
      <c r="F7613" s="1">
        <v>155.06</v>
      </c>
      <c r="G7613" s="1">
        <v>-10.16</v>
      </c>
      <c r="H7613" s="1">
        <v>3.0</v>
      </c>
      <c r="I7613" s="1" t="s">
        <v>23</v>
      </c>
      <c r="J7613" s="1" t="s">
        <v>24</v>
      </c>
      <c r="K7613" s="1">
        <f t="shared" si="1"/>
        <v>2022</v>
      </c>
      <c r="L7613" s="1" t="str">
        <f t="shared" si="2"/>
        <v>Feb</v>
      </c>
      <c r="M7613" s="1" t="str">
        <f t="shared" si="3"/>
        <v>Loss</v>
      </c>
    </row>
    <row r="7614" ht="14.25" customHeight="1">
      <c r="A7614" s="1" t="s">
        <v>7648</v>
      </c>
      <c r="B7614" s="2">
        <v>44642.0</v>
      </c>
      <c r="C7614" s="1" t="s">
        <v>14</v>
      </c>
      <c r="D7614" s="1" t="s">
        <v>15</v>
      </c>
      <c r="E7614" s="1" t="s">
        <v>16</v>
      </c>
      <c r="F7614" s="1">
        <v>691.62</v>
      </c>
      <c r="G7614" s="1">
        <v>299.74</v>
      </c>
      <c r="H7614" s="1">
        <v>5.0</v>
      </c>
      <c r="I7614" s="1" t="s">
        <v>34</v>
      </c>
      <c r="J7614" s="1" t="s">
        <v>38</v>
      </c>
      <c r="K7614" s="1">
        <f t="shared" si="1"/>
        <v>2022</v>
      </c>
      <c r="L7614" s="1" t="str">
        <f t="shared" si="2"/>
        <v>Mar</v>
      </c>
      <c r="M7614" s="1" t="str">
        <f t="shared" si="3"/>
        <v>Profit</v>
      </c>
    </row>
    <row r="7615" ht="14.25" customHeight="1">
      <c r="A7615" s="1" t="s">
        <v>7649</v>
      </c>
      <c r="B7615" s="2">
        <v>45290.0</v>
      </c>
      <c r="C7615" s="1" t="s">
        <v>20</v>
      </c>
      <c r="D7615" s="1" t="s">
        <v>27</v>
      </c>
      <c r="E7615" s="1" t="s">
        <v>40</v>
      </c>
      <c r="F7615" s="1">
        <v>659.77</v>
      </c>
      <c r="G7615" s="1">
        <v>109.06</v>
      </c>
      <c r="H7615" s="1">
        <v>1.0</v>
      </c>
      <c r="I7615" s="1" t="s">
        <v>23</v>
      </c>
      <c r="J7615" s="1" t="s">
        <v>35</v>
      </c>
      <c r="K7615" s="1">
        <f t="shared" si="1"/>
        <v>2023</v>
      </c>
      <c r="L7615" s="1" t="str">
        <f t="shared" si="2"/>
        <v>Dec</v>
      </c>
      <c r="M7615" s="1" t="str">
        <f t="shared" si="3"/>
        <v>Profit</v>
      </c>
    </row>
    <row r="7616" ht="14.25" customHeight="1">
      <c r="A7616" s="1" t="s">
        <v>7650</v>
      </c>
      <c r="B7616" s="2">
        <v>44988.0</v>
      </c>
      <c r="C7616" s="1" t="s">
        <v>14</v>
      </c>
      <c r="D7616" s="1" t="s">
        <v>15</v>
      </c>
      <c r="E7616" s="1" t="s">
        <v>31</v>
      </c>
      <c r="F7616" s="1">
        <v>399.39</v>
      </c>
      <c r="G7616" s="1">
        <v>26.11</v>
      </c>
      <c r="H7616" s="1">
        <v>8.0</v>
      </c>
      <c r="I7616" s="1" t="s">
        <v>23</v>
      </c>
      <c r="J7616" s="1" t="s">
        <v>38</v>
      </c>
      <c r="K7616" s="1">
        <f t="shared" si="1"/>
        <v>2023</v>
      </c>
      <c r="L7616" s="1" t="str">
        <f t="shared" si="2"/>
        <v>Mar</v>
      </c>
      <c r="M7616" s="1" t="str">
        <f t="shared" si="3"/>
        <v>Profit</v>
      </c>
    </row>
    <row r="7617" ht="14.25" customHeight="1">
      <c r="A7617" s="1" t="s">
        <v>7651</v>
      </c>
      <c r="B7617" s="2">
        <v>45168.0</v>
      </c>
      <c r="C7617" s="1" t="s">
        <v>26</v>
      </c>
      <c r="D7617" s="1" t="s">
        <v>21</v>
      </c>
      <c r="E7617" s="1" t="s">
        <v>37</v>
      </c>
      <c r="F7617" s="1">
        <v>404.36</v>
      </c>
      <c r="G7617" s="1">
        <v>-37.7</v>
      </c>
      <c r="H7617" s="1">
        <v>9.0</v>
      </c>
      <c r="I7617" s="1" t="s">
        <v>17</v>
      </c>
      <c r="J7617" s="1" t="s">
        <v>18</v>
      </c>
      <c r="K7617" s="1">
        <f t="shared" si="1"/>
        <v>2023</v>
      </c>
      <c r="L7617" s="1" t="str">
        <f t="shared" si="2"/>
        <v>Aug</v>
      </c>
      <c r="M7617" s="1" t="str">
        <f t="shared" si="3"/>
        <v>Loss</v>
      </c>
    </row>
    <row r="7618" ht="14.25" customHeight="1">
      <c r="A7618" s="1" t="s">
        <v>7652</v>
      </c>
      <c r="B7618" s="2">
        <v>44418.0</v>
      </c>
      <c r="C7618" s="1" t="s">
        <v>20</v>
      </c>
      <c r="D7618" s="1" t="s">
        <v>21</v>
      </c>
      <c r="E7618" s="1" t="s">
        <v>76</v>
      </c>
      <c r="F7618" s="1">
        <v>645.09</v>
      </c>
      <c r="G7618" s="1">
        <v>-112.1</v>
      </c>
      <c r="H7618" s="1">
        <v>2.0</v>
      </c>
      <c r="I7618" s="1" t="s">
        <v>23</v>
      </c>
      <c r="J7618" s="1" t="s">
        <v>24</v>
      </c>
      <c r="K7618" s="1">
        <f t="shared" si="1"/>
        <v>2021</v>
      </c>
      <c r="L7618" s="1" t="str">
        <f t="shared" si="2"/>
        <v>Aug</v>
      </c>
      <c r="M7618" s="1" t="str">
        <f t="shared" si="3"/>
        <v>Loss</v>
      </c>
    </row>
    <row r="7619" ht="14.25" customHeight="1">
      <c r="A7619" s="1" t="s">
        <v>7653</v>
      </c>
      <c r="B7619" s="2">
        <v>44292.0</v>
      </c>
      <c r="C7619" s="1" t="s">
        <v>30</v>
      </c>
      <c r="D7619" s="1" t="s">
        <v>15</v>
      </c>
      <c r="E7619" s="1" t="s">
        <v>54</v>
      </c>
      <c r="F7619" s="1">
        <v>696.0</v>
      </c>
      <c r="G7619" s="1">
        <v>63.49</v>
      </c>
      <c r="H7619" s="1">
        <v>3.0</v>
      </c>
      <c r="I7619" s="1" t="s">
        <v>34</v>
      </c>
      <c r="J7619" s="1" t="s">
        <v>35</v>
      </c>
      <c r="K7619" s="1">
        <f t="shared" si="1"/>
        <v>2021</v>
      </c>
      <c r="L7619" s="1" t="str">
        <f t="shared" si="2"/>
        <v>Apr</v>
      </c>
      <c r="M7619" s="1" t="str">
        <f t="shared" si="3"/>
        <v>Profit</v>
      </c>
    </row>
    <row r="7620" ht="14.25" customHeight="1">
      <c r="A7620" s="1" t="s">
        <v>7654</v>
      </c>
      <c r="B7620" s="2">
        <v>44661.0</v>
      </c>
      <c r="C7620" s="1" t="s">
        <v>26</v>
      </c>
      <c r="D7620" s="1" t="s">
        <v>27</v>
      </c>
      <c r="E7620" s="1" t="s">
        <v>33</v>
      </c>
      <c r="F7620" s="1">
        <v>613.92</v>
      </c>
      <c r="G7620" s="1">
        <v>114.99</v>
      </c>
      <c r="H7620" s="1">
        <v>2.0</v>
      </c>
      <c r="I7620" s="1" t="s">
        <v>17</v>
      </c>
      <c r="J7620" s="1" t="s">
        <v>24</v>
      </c>
      <c r="K7620" s="1">
        <f t="shared" si="1"/>
        <v>2022</v>
      </c>
      <c r="L7620" s="1" t="str">
        <f t="shared" si="2"/>
        <v>Apr</v>
      </c>
      <c r="M7620" s="1" t="str">
        <f t="shared" si="3"/>
        <v>Profit</v>
      </c>
    </row>
    <row r="7621" ht="14.25" customHeight="1">
      <c r="A7621" s="1" t="s">
        <v>7655</v>
      </c>
      <c r="B7621" s="2">
        <v>44947.0</v>
      </c>
      <c r="C7621" s="1" t="s">
        <v>20</v>
      </c>
      <c r="D7621" s="1" t="s">
        <v>21</v>
      </c>
      <c r="E7621" s="1" t="s">
        <v>76</v>
      </c>
      <c r="F7621" s="1">
        <v>602.69</v>
      </c>
      <c r="G7621" s="1">
        <v>281.67</v>
      </c>
      <c r="H7621" s="1">
        <v>8.0</v>
      </c>
      <c r="I7621" s="1" t="s">
        <v>17</v>
      </c>
      <c r="J7621" s="1" t="s">
        <v>24</v>
      </c>
      <c r="K7621" s="1">
        <f t="shared" si="1"/>
        <v>2023</v>
      </c>
      <c r="L7621" s="1" t="str">
        <f t="shared" si="2"/>
        <v>Jan</v>
      </c>
      <c r="M7621" s="1" t="str">
        <f t="shared" si="3"/>
        <v>Profit</v>
      </c>
    </row>
    <row r="7622" ht="14.25" customHeight="1">
      <c r="A7622" s="1" t="s">
        <v>7656</v>
      </c>
      <c r="B7622" s="2">
        <v>45046.0</v>
      </c>
      <c r="C7622" s="1" t="s">
        <v>14</v>
      </c>
      <c r="D7622" s="1" t="s">
        <v>15</v>
      </c>
      <c r="E7622" s="1" t="s">
        <v>54</v>
      </c>
      <c r="F7622" s="1">
        <v>975.34</v>
      </c>
      <c r="G7622" s="1">
        <v>-113.21</v>
      </c>
      <c r="H7622" s="1">
        <v>3.0</v>
      </c>
      <c r="I7622" s="1" t="s">
        <v>34</v>
      </c>
      <c r="J7622" s="1" t="s">
        <v>38</v>
      </c>
      <c r="K7622" s="1">
        <f t="shared" si="1"/>
        <v>2023</v>
      </c>
      <c r="L7622" s="1" t="str">
        <f t="shared" si="2"/>
        <v>Apr</v>
      </c>
      <c r="M7622" s="1" t="str">
        <f t="shared" si="3"/>
        <v>Loss</v>
      </c>
    </row>
    <row r="7623" ht="14.25" customHeight="1">
      <c r="A7623" s="1" t="s">
        <v>7657</v>
      </c>
      <c r="B7623" s="2">
        <v>44683.0</v>
      </c>
      <c r="C7623" s="1" t="s">
        <v>26</v>
      </c>
      <c r="D7623" s="1" t="s">
        <v>15</v>
      </c>
      <c r="E7623" s="1" t="s">
        <v>31</v>
      </c>
      <c r="F7623" s="1">
        <v>536.7</v>
      </c>
      <c r="G7623" s="1">
        <v>-101.81</v>
      </c>
      <c r="H7623" s="1">
        <v>10.0</v>
      </c>
      <c r="I7623" s="1" t="s">
        <v>34</v>
      </c>
      <c r="J7623" s="1" t="s">
        <v>35</v>
      </c>
      <c r="K7623" s="1">
        <f t="shared" si="1"/>
        <v>2022</v>
      </c>
      <c r="L7623" s="1" t="str">
        <f t="shared" si="2"/>
        <v>May</v>
      </c>
      <c r="M7623" s="1" t="str">
        <f t="shared" si="3"/>
        <v>Loss</v>
      </c>
    </row>
    <row r="7624" ht="14.25" customHeight="1">
      <c r="A7624" s="1" t="s">
        <v>7658</v>
      </c>
      <c r="B7624" s="2">
        <v>44244.0</v>
      </c>
      <c r="C7624" s="1" t="s">
        <v>26</v>
      </c>
      <c r="D7624" s="1" t="s">
        <v>21</v>
      </c>
      <c r="E7624" s="1" t="s">
        <v>76</v>
      </c>
      <c r="F7624" s="1">
        <v>608.14</v>
      </c>
      <c r="G7624" s="1">
        <v>-149.25</v>
      </c>
      <c r="H7624" s="1">
        <v>9.0</v>
      </c>
      <c r="I7624" s="1" t="s">
        <v>23</v>
      </c>
      <c r="J7624" s="1" t="s">
        <v>35</v>
      </c>
      <c r="K7624" s="1">
        <f t="shared" si="1"/>
        <v>2021</v>
      </c>
      <c r="L7624" s="1" t="str">
        <f t="shared" si="2"/>
        <v>Feb</v>
      </c>
      <c r="M7624" s="1" t="str">
        <f t="shared" si="3"/>
        <v>Loss</v>
      </c>
    </row>
    <row r="7625" ht="14.25" customHeight="1">
      <c r="A7625" s="1" t="s">
        <v>7659</v>
      </c>
      <c r="B7625" s="2">
        <v>45017.0</v>
      </c>
      <c r="C7625" s="1" t="s">
        <v>20</v>
      </c>
      <c r="D7625" s="1" t="s">
        <v>27</v>
      </c>
      <c r="E7625" s="1" t="s">
        <v>28</v>
      </c>
      <c r="F7625" s="1">
        <v>399.64</v>
      </c>
      <c r="G7625" s="1">
        <v>50.81</v>
      </c>
      <c r="H7625" s="1">
        <v>2.0</v>
      </c>
      <c r="I7625" s="1" t="s">
        <v>17</v>
      </c>
      <c r="J7625" s="1" t="s">
        <v>24</v>
      </c>
      <c r="K7625" s="1">
        <f t="shared" si="1"/>
        <v>2023</v>
      </c>
      <c r="L7625" s="1" t="str">
        <f t="shared" si="2"/>
        <v>Apr</v>
      </c>
      <c r="M7625" s="1" t="str">
        <f t="shared" si="3"/>
        <v>Profit</v>
      </c>
    </row>
    <row r="7626" ht="14.25" customHeight="1">
      <c r="A7626" s="1" t="s">
        <v>7660</v>
      </c>
      <c r="B7626" s="2">
        <v>45156.0</v>
      </c>
      <c r="C7626" s="1" t="s">
        <v>14</v>
      </c>
      <c r="D7626" s="1" t="s">
        <v>27</v>
      </c>
      <c r="E7626" s="1" t="s">
        <v>33</v>
      </c>
      <c r="F7626" s="1">
        <v>766.72</v>
      </c>
      <c r="G7626" s="1">
        <v>-12.54</v>
      </c>
      <c r="H7626" s="1">
        <v>7.0</v>
      </c>
      <c r="I7626" s="1" t="s">
        <v>17</v>
      </c>
      <c r="J7626" s="1" t="s">
        <v>38</v>
      </c>
      <c r="K7626" s="1">
        <f t="shared" si="1"/>
        <v>2023</v>
      </c>
      <c r="L7626" s="1" t="str">
        <f t="shared" si="2"/>
        <v>Aug</v>
      </c>
      <c r="M7626" s="1" t="str">
        <f t="shared" si="3"/>
        <v>Loss</v>
      </c>
    </row>
    <row r="7627" ht="14.25" customHeight="1">
      <c r="A7627" s="1" t="s">
        <v>7661</v>
      </c>
      <c r="B7627" s="2">
        <v>44575.0</v>
      </c>
      <c r="C7627" s="1" t="s">
        <v>26</v>
      </c>
      <c r="D7627" s="1" t="s">
        <v>27</v>
      </c>
      <c r="E7627" s="1" t="s">
        <v>40</v>
      </c>
      <c r="F7627" s="1">
        <v>805.1</v>
      </c>
      <c r="G7627" s="1">
        <v>3.88</v>
      </c>
      <c r="H7627" s="1">
        <v>5.0</v>
      </c>
      <c r="I7627" s="1" t="s">
        <v>34</v>
      </c>
      <c r="J7627" s="1" t="s">
        <v>35</v>
      </c>
      <c r="K7627" s="1">
        <f t="shared" si="1"/>
        <v>2022</v>
      </c>
      <c r="L7627" s="1" t="str">
        <f t="shared" si="2"/>
        <v>Jan</v>
      </c>
      <c r="M7627" s="1" t="str">
        <f t="shared" si="3"/>
        <v>Profit</v>
      </c>
    </row>
    <row r="7628" ht="14.25" customHeight="1">
      <c r="A7628" s="1" t="s">
        <v>7662</v>
      </c>
      <c r="B7628" s="2">
        <v>44358.0</v>
      </c>
      <c r="C7628" s="1" t="s">
        <v>14</v>
      </c>
      <c r="D7628" s="1" t="s">
        <v>21</v>
      </c>
      <c r="E7628" s="1" t="s">
        <v>22</v>
      </c>
      <c r="F7628" s="1">
        <v>198.26</v>
      </c>
      <c r="G7628" s="1">
        <v>-126.95</v>
      </c>
      <c r="H7628" s="1">
        <v>10.0</v>
      </c>
      <c r="I7628" s="1" t="s">
        <v>23</v>
      </c>
      <c r="J7628" s="1" t="s">
        <v>18</v>
      </c>
      <c r="K7628" s="1">
        <f t="shared" si="1"/>
        <v>2021</v>
      </c>
      <c r="L7628" s="1" t="str">
        <f t="shared" si="2"/>
        <v>Jun</v>
      </c>
      <c r="M7628" s="1" t="str">
        <f t="shared" si="3"/>
        <v>Loss</v>
      </c>
    </row>
    <row r="7629" ht="14.25" customHeight="1">
      <c r="A7629" s="1" t="s">
        <v>7663</v>
      </c>
      <c r="B7629" s="2">
        <v>44384.0</v>
      </c>
      <c r="C7629" s="1" t="s">
        <v>20</v>
      </c>
      <c r="D7629" s="1" t="s">
        <v>15</v>
      </c>
      <c r="E7629" s="1" t="s">
        <v>54</v>
      </c>
      <c r="F7629" s="1">
        <v>858.15</v>
      </c>
      <c r="G7629" s="1">
        <v>-171.48</v>
      </c>
      <c r="H7629" s="1">
        <v>1.0</v>
      </c>
      <c r="I7629" s="1" t="s">
        <v>23</v>
      </c>
      <c r="J7629" s="1" t="s">
        <v>18</v>
      </c>
      <c r="K7629" s="1">
        <f t="shared" si="1"/>
        <v>2021</v>
      </c>
      <c r="L7629" s="1" t="str">
        <f t="shared" si="2"/>
        <v>Jul</v>
      </c>
      <c r="M7629" s="1" t="str">
        <f t="shared" si="3"/>
        <v>Loss</v>
      </c>
    </row>
    <row r="7630" ht="14.25" customHeight="1">
      <c r="A7630" s="1" t="s">
        <v>7664</v>
      </c>
      <c r="B7630" s="2">
        <v>44268.0</v>
      </c>
      <c r="C7630" s="1" t="s">
        <v>20</v>
      </c>
      <c r="D7630" s="1" t="s">
        <v>15</v>
      </c>
      <c r="E7630" s="1" t="s">
        <v>31</v>
      </c>
      <c r="F7630" s="1">
        <v>406.8</v>
      </c>
      <c r="G7630" s="1">
        <v>-155.85</v>
      </c>
      <c r="H7630" s="1">
        <v>6.0</v>
      </c>
      <c r="I7630" s="1" t="s">
        <v>23</v>
      </c>
      <c r="J7630" s="1" t="s">
        <v>18</v>
      </c>
      <c r="K7630" s="1">
        <f t="shared" si="1"/>
        <v>2021</v>
      </c>
      <c r="L7630" s="1" t="str">
        <f t="shared" si="2"/>
        <v>Mar</v>
      </c>
      <c r="M7630" s="1" t="str">
        <f t="shared" si="3"/>
        <v>Loss</v>
      </c>
    </row>
    <row r="7631" ht="14.25" customHeight="1">
      <c r="A7631" s="1" t="s">
        <v>7665</v>
      </c>
      <c r="B7631" s="2">
        <v>44469.0</v>
      </c>
      <c r="C7631" s="1" t="s">
        <v>14</v>
      </c>
      <c r="D7631" s="1" t="s">
        <v>15</v>
      </c>
      <c r="E7631" s="1" t="s">
        <v>31</v>
      </c>
      <c r="F7631" s="1">
        <v>123.84</v>
      </c>
      <c r="G7631" s="1">
        <v>182.54</v>
      </c>
      <c r="H7631" s="1">
        <v>2.0</v>
      </c>
      <c r="I7631" s="1" t="s">
        <v>17</v>
      </c>
      <c r="J7631" s="1" t="s">
        <v>35</v>
      </c>
      <c r="K7631" s="1">
        <f t="shared" si="1"/>
        <v>2021</v>
      </c>
      <c r="L7631" s="1" t="str">
        <f t="shared" si="2"/>
        <v>Sep</v>
      </c>
      <c r="M7631" s="1" t="str">
        <f t="shared" si="3"/>
        <v>Profit</v>
      </c>
    </row>
    <row r="7632" ht="14.25" customHeight="1">
      <c r="A7632" s="1" t="s">
        <v>7666</v>
      </c>
      <c r="B7632" s="2">
        <v>45285.0</v>
      </c>
      <c r="C7632" s="1" t="s">
        <v>26</v>
      </c>
      <c r="D7632" s="1" t="s">
        <v>27</v>
      </c>
      <c r="E7632" s="1" t="s">
        <v>40</v>
      </c>
      <c r="F7632" s="1">
        <v>598.12</v>
      </c>
      <c r="G7632" s="1">
        <v>-111.24</v>
      </c>
      <c r="H7632" s="1">
        <v>3.0</v>
      </c>
      <c r="I7632" s="1" t="s">
        <v>17</v>
      </c>
      <c r="J7632" s="1" t="s">
        <v>35</v>
      </c>
      <c r="K7632" s="1">
        <f t="shared" si="1"/>
        <v>2023</v>
      </c>
      <c r="L7632" s="1" t="str">
        <f t="shared" si="2"/>
        <v>Dec</v>
      </c>
      <c r="M7632" s="1" t="str">
        <f t="shared" si="3"/>
        <v>Loss</v>
      </c>
    </row>
    <row r="7633" ht="14.25" customHeight="1">
      <c r="A7633" s="1" t="s">
        <v>7667</v>
      </c>
      <c r="B7633" s="2">
        <v>44366.0</v>
      </c>
      <c r="C7633" s="1" t="s">
        <v>30</v>
      </c>
      <c r="D7633" s="1" t="s">
        <v>15</v>
      </c>
      <c r="E7633" s="1" t="s">
        <v>31</v>
      </c>
      <c r="F7633" s="1">
        <v>415.36</v>
      </c>
      <c r="G7633" s="1">
        <v>81.27</v>
      </c>
      <c r="H7633" s="1">
        <v>10.0</v>
      </c>
      <c r="I7633" s="1" t="s">
        <v>17</v>
      </c>
      <c r="J7633" s="1" t="s">
        <v>35</v>
      </c>
      <c r="K7633" s="1">
        <f t="shared" si="1"/>
        <v>2021</v>
      </c>
      <c r="L7633" s="1" t="str">
        <f t="shared" si="2"/>
        <v>Jun</v>
      </c>
      <c r="M7633" s="1" t="str">
        <f t="shared" si="3"/>
        <v>Profit</v>
      </c>
    </row>
    <row r="7634" ht="14.25" customHeight="1">
      <c r="A7634" s="1" t="s">
        <v>7668</v>
      </c>
      <c r="B7634" s="2">
        <v>45109.0</v>
      </c>
      <c r="C7634" s="1" t="s">
        <v>26</v>
      </c>
      <c r="D7634" s="1" t="s">
        <v>15</v>
      </c>
      <c r="E7634" s="1" t="s">
        <v>31</v>
      </c>
      <c r="F7634" s="1">
        <v>816.54</v>
      </c>
      <c r="G7634" s="1">
        <v>199.72</v>
      </c>
      <c r="H7634" s="1">
        <v>9.0</v>
      </c>
      <c r="I7634" s="1" t="s">
        <v>34</v>
      </c>
      <c r="J7634" s="1" t="s">
        <v>24</v>
      </c>
      <c r="K7634" s="1">
        <f t="shared" si="1"/>
        <v>2023</v>
      </c>
      <c r="L7634" s="1" t="str">
        <f t="shared" si="2"/>
        <v>Jul</v>
      </c>
      <c r="M7634" s="1" t="str">
        <f t="shared" si="3"/>
        <v>Profit</v>
      </c>
    </row>
    <row r="7635" ht="14.25" customHeight="1">
      <c r="A7635" s="1" t="s">
        <v>7669</v>
      </c>
      <c r="B7635" s="2">
        <v>45135.0</v>
      </c>
      <c r="C7635" s="1" t="s">
        <v>20</v>
      </c>
      <c r="D7635" s="1" t="s">
        <v>15</v>
      </c>
      <c r="E7635" s="1" t="s">
        <v>16</v>
      </c>
      <c r="F7635" s="1">
        <v>583.77</v>
      </c>
      <c r="G7635" s="1">
        <v>170.27</v>
      </c>
      <c r="H7635" s="1">
        <v>8.0</v>
      </c>
      <c r="I7635" s="1" t="s">
        <v>34</v>
      </c>
      <c r="J7635" s="1" t="s">
        <v>24</v>
      </c>
      <c r="K7635" s="1">
        <f t="shared" si="1"/>
        <v>2023</v>
      </c>
      <c r="L7635" s="1" t="str">
        <f t="shared" si="2"/>
        <v>Jul</v>
      </c>
      <c r="M7635" s="1" t="str">
        <f t="shared" si="3"/>
        <v>Profit</v>
      </c>
    </row>
    <row r="7636" ht="14.25" customHeight="1">
      <c r="A7636" s="1" t="s">
        <v>7670</v>
      </c>
      <c r="B7636" s="2">
        <v>44291.0</v>
      </c>
      <c r="C7636" s="1" t="s">
        <v>14</v>
      </c>
      <c r="D7636" s="1" t="s">
        <v>27</v>
      </c>
      <c r="E7636" s="1" t="s">
        <v>33</v>
      </c>
      <c r="F7636" s="1">
        <v>938.3</v>
      </c>
      <c r="G7636" s="1">
        <v>72.92</v>
      </c>
      <c r="H7636" s="1">
        <v>6.0</v>
      </c>
      <c r="I7636" s="1" t="s">
        <v>34</v>
      </c>
      <c r="J7636" s="1" t="s">
        <v>35</v>
      </c>
      <c r="K7636" s="1">
        <f t="shared" si="1"/>
        <v>2021</v>
      </c>
      <c r="L7636" s="1" t="str">
        <f t="shared" si="2"/>
        <v>Apr</v>
      </c>
      <c r="M7636" s="1" t="str">
        <f t="shared" si="3"/>
        <v>Profit</v>
      </c>
    </row>
    <row r="7637" ht="14.25" customHeight="1">
      <c r="A7637" s="1" t="s">
        <v>7671</v>
      </c>
      <c r="B7637" s="2">
        <v>44615.0</v>
      </c>
      <c r="C7637" s="1" t="s">
        <v>30</v>
      </c>
      <c r="D7637" s="1" t="s">
        <v>21</v>
      </c>
      <c r="E7637" s="1" t="s">
        <v>76</v>
      </c>
      <c r="F7637" s="1">
        <v>458.71</v>
      </c>
      <c r="G7637" s="1">
        <v>-14.93</v>
      </c>
      <c r="H7637" s="1">
        <v>9.0</v>
      </c>
      <c r="I7637" s="1" t="s">
        <v>17</v>
      </c>
      <c r="J7637" s="1" t="s">
        <v>35</v>
      </c>
      <c r="K7637" s="1">
        <f t="shared" si="1"/>
        <v>2022</v>
      </c>
      <c r="L7637" s="1" t="str">
        <f t="shared" si="2"/>
        <v>Feb</v>
      </c>
      <c r="M7637" s="1" t="str">
        <f t="shared" si="3"/>
        <v>Loss</v>
      </c>
    </row>
    <row r="7638" ht="14.25" customHeight="1">
      <c r="A7638" s="1" t="s">
        <v>7672</v>
      </c>
      <c r="B7638" s="2">
        <v>44825.0</v>
      </c>
      <c r="C7638" s="1" t="s">
        <v>14</v>
      </c>
      <c r="D7638" s="1" t="s">
        <v>27</v>
      </c>
      <c r="E7638" s="1" t="s">
        <v>33</v>
      </c>
      <c r="F7638" s="1">
        <v>488.57</v>
      </c>
      <c r="G7638" s="1">
        <v>-169.04</v>
      </c>
      <c r="H7638" s="1">
        <v>5.0</v>
      </c>
      <c r="I7638" s="1" t="s">
        <v>34</v>
      </c>
      <c r="J7638" s="1" t="s">
        <v>18</v>
      </c>
      <c r="K7638" s="1">
        <f t="shared" si="1"/>
        <v>2022</v>
      </c>
      <c r="L7638" s="1" t="str">
        <f t="shared" si="2"/>
        <v>Sep</v>
      </c>
      <c r="M7638" s="1" t="str">
        <f t="shared" si="3"/>
        <v>Loss</v>
      </c>
    </row>
    <row r="7639" ht="14.25" customHeight="1">
      <c r="A7639" s="1" t="s">
        <v>7673</v>
      </c>
      <c r="B7639" s="2">
        <v>44800.0</v>
      </c>
      <c r="C7639" s="1" t="s">
        <v>30</v>
      </c>
      <c r="D7639" s="1" t="s">
        <v>27</v>
      </c>
      <c r="E7639" s="1" t="s">
        <v>40</v>
      </c>
      <c r="F7639" s="1">
        <v>397.45</v>
      </c>
      <c r="G7639" s="1">
        <v>-30.85</v>
      </c>
      <c r="H7639" s="1">
        <v>8.0</v>
      </c>
      <c r="I7639" s="1" t="s">
        <v>23</v>
      </c>
      <c r="J7639" s="1" t="s">
        <v>18</v>
      </c>
      <c r="K7639" s="1">
        <f t="shared" si="1"/>
        <v>2022</v>
      </c>
      <c r="L7639" s="1" t="str">
        <f t="shared" si="2"/>
        <v>Aug</v>
      </c>
      <c r="M7639" s="1" t="str">
        <f t="shared" si="3"/>
        <v>Loss</v>
      </c>
    </row>
    <row r="7640" ht="14.25" customHeight="1">
      <c r="A7640" s="1" t="s">
        <v>7674</v>
      </c>
      <c r="B7640" s="2">
        <v>45058.0</v>
      </c>
      <c r="C7640" s="1" t="s">
        <v>14</v>
      </c>
      <c r="D7640" s="1" t="s">
        <v>27</v>
      </c>
      <c r="E7640" s="1" t="s">
        <v>33</v>
      </c>
      <c r="F7640" s="1">
        <v>585.39</v>
      </c>
      <c r="G7640" s="1">
        <v>296.67</v>
      </c>
      <c r="H7640" s="1">
        <v>8.0</v>
      </c>
      <c r="I7640" s="1" t="s">
        <v>23</v>
      </c>
      <c r="J7640" s="1" t="s">
        <v>24</v>
      </c>
      <c r="K7640" s="1">
        <f t="shared" si="1"/>
        <v>2023</v>
      </c>
      <c r="L7640" s="1" t="str">
        <f t="shared" si="2"/>
        <v>May</v>
      </c>
      <c r="M7640" s="1" t="str">
        <f t="shared" si="3"/>
        <v>Profit</v>
      </c>
    </row>
    <row r="7641" ht="14.25" customHeight="1">
      <c r="A7641" s="1" t="s">
        <v>7675</v>
      </c>
      <c r="B7641" s="2">
        <v>45087.0</v>
      </c>
      <c r="C7641" s="1" t="s">
        <v>20</v>
      </c>
      <c r="D7641" s="1" t="s">
        <v>15</v>
      </c>
      <c r="E7641" s="1" t="s">
        <v>54</v>
      </c>
      <c r="F7641" s="1">
        <v>353.36</v>
      </c>
      <c r="G7641" s="1">
        <v>36.75</v>
      </c>
      <c r="H7641" s="1">
        <v>8.0</v>
      </c>
      <c r="I7641" s="1" t="s">
        <v>23</v>
      </c>
      <c r="J7641" s="1" t="s">
        <v>24</v>
      </c>
      <c r="K7641" s="1">
        <f t="shared" si="1"/>
        <v>2023</v>
      </c>
      <c r="L7641" s="1" t="str">
        <f t="shared" si="2"/>
        <v>Jun</v>
      </c>
      <c r="M7641" s="1" t="str">
        <f t="shared" si="3"/>
        <v>Profit</v>
      </c>
    </row>
    <row r="7642" ht="14.25" customHeight="1">
      <c r="A7642" s="1" t="s">
        <v>7676</v>
      </c>
      <c r="B7642" s="2">
        <v>45291.0</v>
      </c>
      <c r="C7642" s="1" t="s">
        <v>14</v>
      </c>
      <c r="D7642" s="1" t="s">
        <v>27</v>
      </c>
      <c r="E7642" s="1" t="s">
        <v>33</v>
      </c>
      <c r="F7642" s="1">
        <v>409.12</v>
      </c>
      <c r="G7642" s="1">
        <v>-108.09</v>
      </c>
      <c r="H7642" s="1">
        <v>9.0</v>
      </c>
      <c r="I7642" s="1" t="s">
        <v>23</v>
      </c>
      <c r="J7642" s="1" t="s">
        <v>35</v>
      </c>
      <c r="K7642" s="1">
        <f t="shared" si="1"/>
        <v>2023</v>
      </c>
      <c r="L7642" s="1" t="str">
        <f t="shared" si="2"/>
        <v>Dec</v>
      </c>
      <c r="M7642" s="1" t="str">
        <f t="shared" si="3"/>
        <v>Loss</v>
      </c>
    </row>
    <row r="7643" ht="14.25" customHeight="1">
      <c r="A7643" s="1" t="s">
        <v>7677</v>
      </c>
      <c r="B7643" s="2">
        <v>45271.0</v>
      </c>
      <c r="C7643" s="1" t="s">
        <v>20</v>
      </c>
      <c r="D7643" s="1" t="s">
        <v>15</v>
      </c>
      <c r="E7643" s="1" t="s">
        <v>31</v>
      </c>
      <c r="F7643" s="1">
        <v>82.89</v>
      </c>
      <c r="G7643" s="1">
        <v>66.05</v>
      </c>
      <c r="H7643" s="1">
        <v>10.0</v>
      </c>
      <c r="I7643" s="1" t="s">
        <v>23</v>
      </c>
      <c r="J7643" s="1" t="s">
        <v>38</v>
      </c>
      <c r="K7643" s="1">
        <f t="shared" si="1"/>
        <v>2023</v>
      </c>
      <c r="L7643" s="1" t="str">
        <f t="shared" si="2"/>
        <v>Dec</v>
      </c>
      <c r="M7643" s="1" t="str">
        <f t="shared" si="3"/>
        <v>Profit</v>
      </c>
    </row>
    <row r="7644" ht="14.25" customHeight="1">
      <c r="A7644" s="1" t="s">
        <v>7678</v>
      </c>
      <c r="B7644" s="2">
        <v>44732.0</v>
      </c>
      <c r="C7644" s="1" t="s">
        <v>20</v>
      </c>
      <c r="D7644" s="1" t="s">
        <v>27</v>
      </c>
      <c r="E7644" s="1" t="s">
        <v>28</v>
      </c>
      <c r="F7644" s="1">
        <v>215.61</v>
      </c>
      <c r="G7644" s="1">
        <v>119.08</v>
      </c>
      <c r="H7644" s="1">
        <v>9.0</v>
      </c>
      <c r="I7644" s="1" t="s">
        <v>23</v>
      </c>
      <c r="J7644" s="1" t="s">
        <v>38</v>
      </c>
      <c r="K7644" s="1">
        <f t="shared" si="1"/>
        <v>2022</v>
      </c>
      <c r="L7644" s="1" t="str">
        <f t="shared" si="2"/>
        <v>Jun</v>
      </c>
      <c r="M7644" s="1" t="str">
        <f t="shared" si="3"/>
        <v>Profit</v>
      </c>
    </row>
    <row r="7645" ht="14.25" customHeight="1">
      <c r="A7645" s="1" t="s">
        <v>7679</v>
      </c>
      <c r="B7645" s="2">
        <v>44248.0</v>
      </c>
      <c r="C7645" s="1" t="s">
        <v>30</v>
      </c>
      <c r="D7645" s="1" t="s">
        <v>21</v>
      </c>
      <c r="E7645" s="1" t="s">
        <v>22</v>
      </c>
      <c r="F7645" s="1">
        <v>753.68</v>
      </c>
      <c r="G7645" s="1">
        <v>-190.24</v>
      </c>
      <c r="H7645" s="1">
        <v>4.0</v>
      </c>
      <c r="I7645" s="1" t="s">
        <v>23</v>
      </c>
      <c r="J7645" s="1" t="s">
        <v>38</v>
      </c>
      <c r="K7645" s="1">
        <f t="shared" si="1"/>
        <v>2021</v>
      </c>
      <c r="L7645" s="1" t="str">
        <f t="shared" si="2"/>
        <v>Feb</v>
      </c>
      <c r="M7645" s="1" t="str">
        <f t="shared" si="3"/>
        <v>Loss</v>
      </c>
    </row>
    <row r="7646" ht="14.25" customHeight="1">
      <c r="A7646" s="1" t="s">
        <v>7680</v>
      </c>
      <c r="B7646" s="2">
        <v>44914.0</v>
      </c>
      <c r="C7646" s="1" t="s">
        <v>30</v>
      </c>
      <c r="D7646" s="1" t="s">
        <v>15</v>
      </c>
      <c r="E7646" s="1" t="s">
        <v>16</v>
      </c>
      <c r="F7646" s="1">
        <v>110.21</v>
      </c>
      <c r="G7646" s="1">
        <v>-185.34</v>
      </c>
      <c r="H7646" s="1">
        <v>1.0</v>
      </c>
      <c r="I7646" s="1" t="s">
        <v>17</v>
      </c>
      <c r="J7646" s="1" t="s">
        <v>24</v>
      </c>
      <c r="K7646" s="1">
        <f t="shared" si="1"/>
        <v>2022</v>
      </c>
      <c r="L7646" s="1" t="str">
        <f t="shared" si="2"/>
        <v>Dec</v>
      </c>
      <c r="M7646" s="1" t="str">
        <f t="shared" si="3"/>
        <v>Loss</v>
      </c>
    </row>
    <row r="7647" ht="14.25" customHeight="1">
      <c r="A7647" s="1" t="s">
        <v>7681</v>
      </c>
      <c r="B7647" s="2">
        <v>45140.0</v>
      </c>
      <c r="C7647" s="1" t="s">
        <v>20</v>
      </c>
      <c r="D7647" s="1" t="s">
        <v>15</v>
      </c>
      <c r="E7647" s="1" t="s">
        <v>16</v>
      </c>
      <c r="F7647" s="1">
        <v>990.87</v>
      </c>
      <c r="G7647" s="1">
        <v>76.59</v>
      </c>
      <c r="H7647" s="1">
        <v>7.0</v>
      </c>
      <c r="I7647" s="1" t="s">
        <v>17</v>
      </c>
      <c r="J7647" s="1" t="s">
        <v>24</v>
      </c>
      <c r="K7647" s="1">
        <f t="shared" si="1"/>
        <v>2023</v>
      </c>
      <c r="L7647" s="1" t="str">
        <f t="shared" si="2"/>
        <v>Aug</v>
      </c>
      <c r="M7647" s="1" t="str">
        <f t="shared" si="3"/>
        <v>Profit</v>
      </c>
    </row>
    <row r="7648" ht="14.25" customHeight="1">
      <c r="A7648" s="1" t="s">
        <v>7682</v>
      </c>
      <c r="B7648" s="2">
        <v>44949.0</v>
      </c>
      <c r="C7648" s="1" t="s">
        <v>20</v>
      </c>
      <c r="D7648" s="1" t="s">
        <v>15</v>
      </c>
      <c r="E7648" s="1" t="s">
        <v>31</v>
      </c>
      <c r="F7648" s="1">
        <v>372.48</v>
      </c>
      <c r="G7648" s="1">
        <v>287.2</v>
      </c>
      <c r="H7648" s="1">
        <v>3.0</v>
      </c>
      <c r="I7648" s="1" t="s">
        <v>17</v>
      </c>
      <c r="J7648" s="1" t="s">
        <v>38</v>
      </c>
      <c r="K7648" s="1">
        <f t="shared" si="1"/>
        <v>2023</v>
      </c>
      <c r="L7648" s="1" t="str">
        <f t="shared" si="2"/>
        <v>Jan</v>
      </c>
      <c r="M7648" s="1" t="str">
        <f t="shared" si="3"/>
        <v>Profit</v>
      </c>
    </row>
    <row r="7649" ht="14.25" customHeight="1">
      <c r="A7649" s="1" t="s">
        <v>7683</v>
      </c>
      <c r="B7649" s="2">
        <v>44316.0</v>
      </c>
      <c r="C7649" s="1" t="s">
        <v>30</v>
      </c>
      <c r="D7649" s="1" t="s">
        <v>15</v>
      </c>
      <c r="E7649" s="1" t="s">
        <v>54</v>
      </c>
      <c r="F7649" s="1">
        <v>960.9</v>
      </c>
      <c r="G7649" s="1">
        <v>115.24</v>
      </c>
      <c r="H7649" s="1">
        <v>5.0</v>
      </c>
      <c r="I7649" s="1" t="s">
        <v>17</v>
      </c>
      <c r="J7649" s="1" t="s">
        <v>24</v>
      </c>
      <c r="K7649" s="1">
        <f t="shared" si="1"/>
        <v>2021</v>
      </c>
      <c r="L7649" s="1" t="str">
        <f t="shared" si="2"/>
        <v>Apr</v>
      </c>
      <c r="M7649" s="1" t="str">
        <f t="shared" si="3"/>
        <v>Profit</v>
      </c>
    </row>
    <row r="7650" ht="14.25" customHeight="1">
      <c r="A7650" s="1" t="s">
        <v>7684</v>
      </c>
      <c r="B7650" s="2">
        <v>44835.0</v>
      </c>
      <c r="C7650" s="1" t="s">
        <v>30</v>
      </c>
      <c r="D7650" s="1" t="s">
        <v>15</v>
      </c>
      <c r="E7650" s="1" t="s">
        <v>16</v>
      </c>
      <c r="F7650" s="1">
        <v>141.94</v>
      </c>
      <c r="G7650" s="1">
        <v>210.21</v>
      </c>
      <c r="H7650" s="1">
        <v>6.0</v>
      </c>
      <c r="I7650" s="1" t="s">
        <v>17</v>
      </c>
      <c r="J7650" s="1" t="s">
        <v>35</v>
      </c>
      <c r="K7650" s="1">
        <f t="shared" si="1"/>
        <v>2022</v>
      </c>
      <c r="L7650" s="1" t="str">
        <f t="shared" si="2"/>
        <v>Oct</v>
      </c>
      <c r="M7650" s="1" t="str">
        <f t="shared" si="3"/>
        <v>Profit</v>
      </c>
    </row>
    <row r="7651" ht="14.25" customHeight="1">
      <c r="A7651" s="1" t="s">
        <v>7685</v>
      </c>
      <c r="B7651" s="2">
        <v>44705.0</v>
      </c>
      <c r="C7651" s="1" t="s">
        <v>14</v>
      </c>
      <c r="D7651" s="1" t="s">
        <v>21</v>
      </c>
      <c r="E7651" s="1" t="s">
        <v>76</v>
      </c>
      <c r="F7651" s="1">
        <v>986.56</v>
      </c>
      <c r="G7651" s="1">
        <v>164.17</v>
      </c>
      <c r="H7651" s="1">
        <v>9.0</v>
      </c>
      <c r="I7651" s="1" t="s">
        <v>23</v>
      </c>
      <c r="J7651" s="1" t="s">
        <v>24</v>
      </c>
      <c r="K7651" s="1">
        <f t="shared" si="1"/>
        <v>2022</v>
      </c>
      <c r="L7651" s="1" t="str">
        <f t="shared" si="2"/>
        <v>May</v>
      </c>
      <c r="M7651" s="1" t="str">
        <f t="shared" si="3"/>
        <v>Profit</v>
      </c>
    </row>
    <row r="7652" ht="14.25" customHeight="1">
      <c r="A7652" s="1" t="s">
        <v>7686</v>
      </c>
      <c r="B7652" s="2">
        <v>44270.0</v>
      </c>
      <c r="C7652" s="1" t="s">
        <v>14</v>
      </c>
      <c r="D7652" s="1" t="s">
        <v>27</v>
      </c>
      <c r="E7652" s="1" t="s">
        <v>40</v>
      </c>
      <c r="F7652" s="1">
        <v>124.56</v>
      </c>
      <c r="G7652" s="1">
        <v>-37.31</v>
      </c>
      <c r="H7652" s="1">
        <v>7.0</v>
      </c>
      <c r="I7652" s="1" t="s">
        <v>17</v>
      </c>
      <c r="J7652" s="1" t="s">
        <v>35</v>
      </c>
      <c r="K7652" s="1">
        <f t="shared" si="1"/>
        <v>2021</v>
      </c>
      <c r="L7652" s="1" t="str">
        <f t="shared" si="2"/>
        <v>Mar</v>
      </c>
      <c r="M7652" s="1" t="str">
        <f t="shared" si="3"/>
        <v>Loss</v>
      </c>
    </row>
    <row r="7653" ht="14.25" customHeight="1">
      <c r="A7653" s="1" t="s">
        <v>7687</v>
      </c>
      <c r="B7653" s="2">
        <v>45055.0</v>
      </c>
      <c r="C7653" s="1" t="s">
        <v>26</v>
      </c>
      <c r="D7653" s="1" t="s">
        <v>21</v>
      </c>
      <c r="E7653" s="1" t="s">
        <v>76</v>
      </c>
      <c r="F7653" s="1">
        <v>236.44</v>
      </c>
      <c r="G7653" s="1">
        <v>48.92</v>
      </c>
      <c r="H7653" s="1">
        <v>2.0</v>
      </c>
      <c r="I7653" s="1" t="s">
        <v>23</v>
      </c>
      <c r="J7653" s="1" t="s">
        <v>18</v>
      </c>
      <c r="K7653" s="1">
        <f t="shared" si="1"/>
        <v>2023</v>
      </c>
      <c r="L7653" s="1" t="str">
        <f t="shared" si="2"/>
        <v>May</v>
      </c>
      <c r="M7653" s="1" t="str">
        <f t="shared" si="3"/>
        <v>Profit</v>
      </c>
    </row>
    <row r="7654" ht="14.25" customHeight="1">
      <c r="A7654" s="1" t="s">
        <v>7688</v>
      </c>
      <c r="B7654" s="2">
        <v>44695.0</v>
      </c>
      <c r="C7654" s="1" t="s">
        <v>26</v>
      </c>
      <c r="D7654" s="1" t="s">
        <v>15</v>
      </c>
      <c r="E7654" s="1" t="s">
        <v>54</v>
      </c>
      <c r="F7654" s="1">
        <v>845.6</v>
      </c>
      <c r="G7654" s="1">
        <v>76.42</v>
      </c>
      <c r="H7654" s="1">
        <v>5.0</v>
      </c>
      <c r="I7654" s="1" t="s">
        <v>17</v>
      </c>
      <c r="J7654" s="1" t="s">
        <v>24</v>
      </c>
      <c r="K7654" s="1">
        <f t="shared" si="1"/>
        <v>2022</v>
      </c>
      <c r="L7654" s="1" t="str">
        <f t="shared" si="2"/>
        <v>May</v>
      </c>
      <c r="M7654" s="1" t="str">
        <f t="shared" si="3"/>
        <v>Profit</v>
      </c>
    </row>
    <row r="7655" ht="14.25" customHeight="1">
      <c r="A7655" s="1" t="s">
        <v>7689</v>
      </c>
      <c r="B7655" s="2">
        <v>44230.0</v>
      </c>
      <c r="C7655" s="1" t="s">
        <v>30</v>
      </c>
      <c r="D7655" s="1" t="s">
        <v>27</v>
      </c>
      <c r="E7655" s="1" t="s">
        <v>33</v>
      </c>
      <c r="F7655" s="1">
        <v>49.37</v>
      </c>
      <c r="G7655" s="1">
        <v>191.37</v>
      </c>
      <c r="H7655" s="1">
        <v>2.0</v>
      </c>
      <c r="I7655" s="1" t="s">
        <v>34</v>
      </c>
      <c r="J7655" s="1" t="s">
        <v>24</v>
      </c>
      <c r="K7655" s="1">
        <f t="shared" si="1"/>
        <v>2021</v>
      </c>
      <c r="L7655" s="1" t="str">
        <f t="shared" si="2"/>
        <v>Feb</v>
      </c>
      <c r="M7655" s="1" t="str">
        <f t="shared" si="3"/>
        <v>Profit</v>
      </c>
    </row>
    <row r="7656" ht="14.25" customHeight="1">
      <c r="A7656" s="1" t="s">
        <v>7690</v>
      </c>
      <c r="B7656" s="2">
        <v>44210.0</v>
      </c>
      <c r="C7656" s="1" t="s">
        <v>14</v>
      </c>
      <c r="D7656" s="1" t="s">
        <v>27</v>
      </c>
      <c r="E7656" s="1" t="s">
        <v>40</v>
      </c>
      <c r="F7656" s="1">
        <v>565.34</v>
      </c>
      <c r="G7656" s="1">
        <v>-60.1</v>
      </c>
      <c r="H7656" s="1">
        <v>6.0</v>
      </c>
      <c r="I7656" s="1" t="s">
        <v>23</v>
      </c>
      <c r="J7656" s="1" t="s">
        <v>18</v>
      </c>
      <c r="K7656" s="1">
        <f t="shared" si="1"/>
        <v>2021</v>
      </c>
      <c r="L7656" s="1" t="str">
        <f t="shared" si="2"/>
        <v>Jan</v>
      </c>
      <c r="M7656" s="1" t="str">
        <f t="shared" si="3"/>
        <v>Loss</v>
      </c>
    </row>
    <row r="7657" ht="14.25" customHeight="1">
      <c r="A7657" s="1" t="s">
        <v>7691</v>
      </c>
      <c r="B7657" s="2">
        <v>44395.0</v>
      </c>
      <c r="C7657" s="1" t="s">
        <v>30</v>
      </c>
      <c r="D7657" s="1" t="s">
        <v>21</v>
      </c>
      <c r="E7657" s="1" t="s">
        <v>37</v>
      </c>
      <c r="F7657" s="1">
        <v>245.37</v>
      </c>
      <c r="G7657" s="1">
        <v>-15.09</v>
      </c>
      <c r="H7657" s="1">
        <v>1.0</v>
      </c>
      <c r="I7657" s="1" t="s">
        <v>23</v>
      </c>
      <c r="J7657" s="1" t="s">
        <v>24</v>
      </c>
      <c r="K7657" s="1">
        <f t="shared" si="1"/>
        <v>2021</v>
      </c>
      <c r="L7657" s="1" t="str">
        <f t="shared" si="2"/>
        <v>Jul</v>
      </c>
      <c r="M7657" s="1" t="str">
        <f t="shared" si="3"/>
        <v>Loss</v>
      </c>
    </row>
    <row r="7658" ht="14.25" customHeight="1">
      <c r="A7658" s="1" t="s">
        <v>7692</v>
      </c>
      <c r="B7658" s="2">
        <v>44667.0</v>
      </c>
      <c r="C7658" s="1" t="s">
        <v>26</v>
      </c>
      <c r="D7658" s="1" t="s">
        <v>27</v>
      </c>
      <c r="E7658" s="1" t="s">
        <v>40</v>
      </c>
      <c r="F7658" s="1">
        <v>341.78</v>
      </c>
      <c r="G7658" s="1">
        <v>-188.66</v>
      </c>
      <c r="H7658" s="1">
        <v>8.0</v>
      </c>
      <c r="I7658" s="1" t="s">
        <v>17</v>
      </c>
      <c r="J7658" s="1" t="s">
        <v>24</v>
      </c>
      <c r="K7658" s="1">
        <f t="shared" si="1"/>
        <v>2022</v>
      </c>
      <c r="L7658" s="1" t="str">
        <f t="shared" si="2"/>
        <v>Apr</v>
      </c>
      <c r="M7658" s="1" t="str">
        <f t="shared" si="3"/>
        <v>Loss</v>
      </c>
    </row>
    <row r="7659" ht="14.25" customHeight="1">
      <c r="A7659" s="1" t="s">
        <v>7693</v>
      </c>
      <c r="B7659" s="2">
        <v>44708.0</v>
      </c>
      <c r="C7659" s="1" t="s">
        <v>14</v>
      </c>
      <c r="D7659" s="1" t="s">
        <v>27</v>
      </c>
      <c r="E7659" s="1" t="s">
        <v>40</v>
      </c>
      <c r="F7659" s="1">
        <v>645.12</v>
      </c>
      <c r="G7659" s="1">
        <v>74.49</v>
      </c>
      <c r="H7659" s="1">
        <v>3.0</v>
      </c>
      <c r="I7659" s="1" t="s">
        <v>34</v>
      </c>
      <c r="J7659" s="1" t="s">
        <v>35</v>
      </c>
      <c r="K7659" s="1">
        <f t="shared" si="1"/>
        <v>2022</v>
      </c>
      <c r="L7659" s="1" t="str">
        <f t="shared" si="2"/>
        <v>May</v>
      </c>
      <c r="M7659" s="1" t="str">
        <f t="shared" si="3"/>
        <v>Profit</v>
      </c>
    </row>
    <row r="7660" ht="14.25" customHeight="1">
      <c r="A7660" s="1" t="s">
        <v>7694</v>
      </c>
      <c r="B7660" s="2">
        <v>44630.0</v>
      </c>
      <c r="C7660" s="1" t="s">
        <v>30</v>
      </c>
      <c r="D7660" s="1" t="s">
        <v>21</v>
      </c>
      <c r="E7660" s="1" t="s">
        <v>22</v>
      </c>
      <c r="F7660" s="1">
        <v>956.05</v>
      </c>
      <c r="G7660" s="1">
        <v>204.68</v>
      </c>
      <c r="H7660" s="1">
        <v>10.0</v>
      </c>
      <c r="I7660" s="1" t="s">
        <v>23</v>
      </c>
      <c r="J7660" s="1" t="s">
        <v>18</v>
      </c>
      <c r="K7660" s="1">
        <f t="shared" si="1"/>
        <v>2022</v>
      </c>
      <c r="L7660" s="1" t="str">
        <f t="shared" si="2"/>
        <v>Mar</v>
      </c>
      <c r="M7660" s="1" t="str">
        <f t="shared" si="3"/>
        <v>Profit</v>
      </c>
    </row>
    <row r="7661" ht="14.25" customHeight="1">
      <c r="A7661" s="1" t="s">
        <v>7695</v>
      </c>
      <c r="B7661" s="2">
        <v>44482.0</v>
      </c>
      <c r="C7661" s="1" t="s">
        <v>14</v>
      </c>
      <c r="D7661" s="1" t="s">
        <v>27</v>
      </c>
      <c r="E7661" s="1" t="s">
        <v>40</v>
      </c>
      <c r="F7661" s="1">
        <v>496.58</v>
      </c>
      <c r="G7661" s="1">
        <v>188.43</v>
      </c>
      <c r="H7661" s="1">
        <v>10.0</v>
      </c>
      <c r="I7661" s="1" t="s">
        <v>34</v>
      </c>
      <c r="J7661" s="1" t="s">
        <v>18</v>
      </c>
      <c r="K7661" s="1">
        <f t="shared" si="1"/>
        <v>2021</v>
      </c>
      <c r="L7661" s="1" t="str">
        <f t="shared" si="2"/>
        <v>Oct</v>
      </c>
      <c r="M7661" s="1" t="str">
        <f t="shared" si="3"/>
        <v>Profit</v>
      </c>
    </row>
    <row r="7662" ht="14.25" customHeight="1">
      <c r="A7662" s="1" t="s">
        <v>7696</v>
      </c>
      <c r="B7662" s="2">
        <v>44368.0</v>
      </c>
      <c r="C7662" s="1" t="s">
        <v>30</v>
      </c>
      <c r="D7662" s="1" t="s">
        <v>15</v>
      </c>
      <c r="E7662" s="1" t="s">
        <v>31</v>
      </c>
      <c r="F7662" s="1">
        <v>403.25</v>
      </c>
      <c r="G7662" s="1">
        <v>96.24</v>
      </c>
      <c r="H7662" s="1">
        <v>8.0</v>
      </c>
      <c r="I7662" s="1" t="s">
        <v>23</v>
      </c>
      <c r="J7662" s="1" t="s">
        <v>18</v>
      </c>
      <c r="K7662" s="1">
        <f t="shared" si="1"/>
        <v>2021</v>
      </c>
      <c r="L7662" s="1" t="str">
        <f t="shared" si="2"/>
        <v>Jun</v>
      </c>
      <c r="M7662" s="1" t="str">
        <f t="shared" si="3"/>
        <v>Profit</v>
      </c>
    </row>
    <row r="7663" ht="14.25" customHeight="1">
      <c r="A7663" s="1" t="s">
        <v>7697</v>
      </c>
      <c r="B7663" s="2">
        <v>45046.0</v>
      </c>
      <c r="C7663" s="1" t="s">
        <v>20</v>
      </c>
      <c r="D7663" s="1" t="s">
        <v>27</v>
      </c>
      <c r="E7663" s="1" t="s">
        <v>28</v>
      </c>
      <c r="F7663" s="1">
        <v>358.57</v>
      </c>
      <c r="G7663" s="1">
        <v>-118.8</v>
      </c>
      <c r="H7663" s="1">
        <v>2.0</v>
      </c>
      <c r="I7663" s="1" t="s">
        <v>23</v>
      </c>
      <c r="J7663" s="1" t="s">
        <v>35</v>
      </c>
      <c r="K7663" s="1">
        <f t="shared" si="1"/>
        <v>2023</v>
      </c>
      <c r="L7663" s="1" t="str">
        <f t="shared" si="2"/>
        <v>Apr</v>
      </c>
      <c r="M7663" s="1" t="str">
        <f t="shared" si="3"/>
        <v>Loss</v>
      </c>
    </row>
    <row r="7664" ht="14.25" customHeight="1">
      <c r="A7664" s="1" t="s">
        <v>7698</v>
      </c>
      <c r="B7664" s="2">
        <v>44442.0</v>
      </c>
      <c r="C7664" s="1" t="s">
        <v>26</v>
      </c>
      <c r="D7664" s="1" t="s">
        <v>15</v>
      </c>
      <c r="E7664" s="1" t="s">
        <v>16</v>
      </c>
      <c r="F7664" s="1">
        <v>557.67</v>
      </c>
      <c r="G7664" s="1">
        <v>80.27</v>
      </c>
      <c r="H7664" s="1">
        <v>5.0</v>
      </c>
      <c r="I7664" s="1" t="s">
        <v>23</v>
      </c>
      <c r="J7664" s="1" t="s">
        <v>24</v>
      </c>
      <c r="K7664" s="1">
        <f t="shared" si="1"/>
        <v>2021</v>
      </c>
      <c r="L7664" s="1" t="str">
        <f t="shared" si="2"/>
        <v>Sep</v>
      </c>
      <c r="M7664" s="1" t="str">
        <f t="shared" si="3"/>
        <v>Profit</v>
      </c>
    </row>
    <row r="7665" ht="14.25" customHeight="1">
      <c r="A7665" s="1" t="s">
        <v>7699</v>
      </c>
      <c r="B7665" s="2">
        <v>44899.0</v>
      </c>
      <c r="C7665" s="1" t="s">
        <v>20</v>
      </c>
      <c r="D7665" s="1" t="s">
        <v>21</v>
      </c>
      <c r="E7665" s="1" t="s">
        <v>22</v>
      </c>
      <c r="F7665" s="1">
        <v>557.72</v>
      </c>
      <c r="G7665" s="1">
        <v>272.78</v>
      </c>
      <c r="H7665" s="1">
        <v>10.0</v>
      </c>
      <c r="I7665" s="1" t="s">
        <v>17</v>
      </c>
      <c r="J7665" s="1" t="s">
        <v>35</v>
      </c>
      <c r="K7665" s="1">
        <f t="shared" si="1"/>
        <v>2022</v>
      </c>
      <c r="L7665" s="1" t="str">
        <f t="shared" si="2"/>
        <v>Dec</v>
      </c>
      <c r="M7665" s="1" t="str">
        <f t="shared" si="3"/>
        <v>Profit</v>
      </c>
    </row>
    <row r="7666" ht="14.25" customHeight="1">
      <c r="A7666" s="1" t="s">
        <v>7700</v>
      </c>
      <c r="B7666" s="2">
        <v>44464.0</v>
      </c>
      <c r="C7666" s="1" t="s">
        <v>14</v>
      </c>
      <c r="D7666" s="1" t="s">
        <v>27</v>
      </c>
      <c r="E7666" s="1" t="s">
        <v>33</v>
      </c>
      <c r="F7666" s="1">
        <v>25.94</v>
      </c>
      <c r="G7666" s="1">
        <v>-122.75</v>
      </c>
      <c r="H7666" s="1">
        <v>1.0</v>
      </c>
      <c r="I7666" s="1" t="s">
        <v>34</v>
      </c>
      <c r="J7666" s="1" t="s">
        <v>18</v>
      </c>
      <c r="K7666" s="1">
        <f t="shared" si="1"/>
        <v>2021</v>
      </c>
      <c r="L7666" s="1" t="str">
        <f t="shared" si="2"/>
        <v>Sep</v>
      </c>
      <c r="M7666" s="1" t="str">
        <f t="shared" si="3"/>
        <v>Loss</v>
      </c>
    </row>
    <row r="7667" ht="14.25" customHeight="1">
      <c r="A7667" s="1" t="s">
        <v>7701</v>
      </c>
      <c r="B7667" s="2">
        <v>44360.0</v>
      </c>
      <c r="C7667" s="1" t="s">
        <v>26</v>
      </c>
      <c r="D7667" s="1" t="s">
        <v>21</v>
      </c>
      <c r="E7667" s="1" t="s">
        <v>37</v>
      </c>
      <c r="F7667" s="1">
        <v>608.52</v>
      </c>
      <c r="G7667" s="1">
        <v>-49.5</v>
      </c>
      <c r="H7667" s="1">
        <v>3.0</v>
      </c>
      <c r="I7667" s="1" t="s">
        <v>34</v>
      </c>
      <c r="J7667" s="1" t="s">
        <v>38</v>
      </c>
      <c r="K7667" s="1">
        <f t="shared" si="1"/>
        <v>2021</v>
      </c>
      <c r="L7667" s="1" t="str">
        <f t="shared" si="2"/>
        <v>Jun</v>
      </c>
      <c r="M7667" s="1" t="str">
        <f t="shared" si="3"/>
        <v>Loss</v>
      </c>
    </row>
    <row r="7668" ht="14.25" customHeight="1">
      <c r="A7668" s="1" t="s">
        <v>7702</v>
      </c>
      <c r="B7668" s="2">
        <v>44690.0</v>
      </c>
      <c r="C7668" s="1" t="s">
        <v>14</v>
      </c>
      <c r="D7668" s="1" t="s">
        <v>15</v>
      </c>
      <c r="E7668" s="1" t="s">
        <v>16</v>
      </c>
      <c r="F7668" s="1">
        <v>574.24</v>
      </c>
      <c r="G7668" s="1">
        <v>-111.22</v>
      </c>
      <c r="H7668" s="1">
        <v>9.0</v>
      </c>
      <c r="I7668" s="1" t="s">
        <v>34</v>
      </c>
      <c r="J7668" s="1" t="s">
        <v>38</v>
      </c>
      <c r="K7668" s="1">
        <f t="shared" si="1"/>
        <v>2022</v>
      </c>
      <c r="L7668" s="1" t="str">
        <f t="shared" si="2"/>
        <v>May</v>
      </c>
      <c r="M7668" s="1" t="str">
        <f t="shared" si="3"/>
        <v>Loss</v>
      </c>
    </row>
    <row r="7669" ht="14.25" customHeight="1">
      <c r="A7669" s="1" t="s">
        <v>7703</v>
      </c>
      <c r="B7669" s="2">
        <v>44708.0</v>
      </c>
      <c r="C7669" s="1" t="s">
        <v>30</v>
      </c>
      <c r="D7669" s="1" t="s">
        <v>21</v>
      </c>
      <c r="E7669" s="1" t="s">
        <v>76</v>
      </c>
      <c r="F7669" s="1">
        <v>332.24</v>
      </c>
      <c r="G7669" s="1">
        <v>-22.69</v>
      </c>
      <c r="H7669" s="1">
        <v>1.0</v>
      </c>
      <c r="I7669" s="1" t="s">
        <v>17</v>
      </c>
      <c r="J7669" s="1" t="s">
        <v>38</v>
      </c>
      <c r="K7669" s="1">
        <f t="shared" si="1"/>
        <v>2022</v>
      </c>
      <c r="L7669" s="1" t="str">
        <f t="shared" si="2"/>
        <v>May</v>
      </c>
      <c r="M7669" s="1" t="str">
        <f t="shared" si="3"/>
        <v>Loss</v>
      </c>
    </row>
    <row r="7670" ht="14.25" customHeight="1">
      <c r="A7670" s="1" t="s">
        <v>7704</v>
      </c>
      <c r="B7670" s="2">
        <v>44866.0</v>
      </c>
      <c r="C7670" s="1" t="s">
        <v>14</v>
      </c>
      <c r="D7670" s="1" t="s">
        <v>15</v>
      </c>
      <c r="E7670" s="1" t="s">
        <v>31</v>
      </c>
      <c r="F7670" s="1">
        <v>25.92</v>
      </c>
      <c r="G7670" s="1">
        <v>286.06</v>
      </c>
      <c r="H7670" s="1">
        <v>10.0</v>
      </c>
      <c r="I7670" s="1" t="s">
        <v>34</v>
      </c>
      <c r="J7670" s="1" t="s">
        <v>35</v>
      </c>
      <c r="K7670" s="1">
        <f t="shared" si="1"/>
        <v>2022</v>
      </c>
      <c r="L7670" s="1" t="str">
        <f t="shared" si="2"/>
        <v>Nov</v>
      </c>
      <c r="M7670" s="1" t="str">
        <f t="shared" si="3"/>
        <v>Profit</v>
      </c>
    </row>
    <row r="7671" ht="14.25" customHeight="1">
      <c r="A7671" s="1" t="s">
        <v>7705</v>
      </c>
      <c r="B7671" s="2">
        <v>44255.0</v>
      </c>
      <c r="C7671" s="1" t="s">
        <v>26</v>
      </c>
      <c r="D7671" s="1" t="s">
        <v>27</v>
      </c>
      <c r="E7671" s="1" t="s">
        <v>40</v>
      </c>
      <c r="F7671" s="1">
        <v>966.68</v>
      </c>
      <c r="G7671" s="1">
        <v>249.17</v>
      </c>
      <c r="H7671" s="1">
        <v>6.0</v>
      </c>
      <c r="I7671" s="1" t="s">
        <v>34</v>
      </c>
      <c r="J7671" s="1" t="s">
        <v>35</v>
      </c>
      <c r="K7671" s="1">
        <f t="shared" si="1"/>
        <v>2021</v>
      </c>
      <c r="L7671" s="1" t="str">
        <f t="shared" si="2"/>
        <v>Feb</v>
      </c>
      <c r="M7671" s="1" t="str">
        <f t="shared" si="3"/>
        <v>Profit</v>
      </c>
    </row>
    <row r="7672" ht="14.25" customHeight="1">
      <c r="A7672" s="1" t="s">
        <v>7706</v>
      </c>
      <c r="B7672" s="2">
        <v>44874.0</v>
      </c>
      <c r="C7672" s="1" t="s">
        <v>30</v>
      </c>
      <c r="D7672" s="1" t="s">
        <v>27</v>
      </c>
      <c r="E7672" s="1" t="s">
        <v>28</v>
      </c>
      <c r="F7672" s="1">
        <v>885.5</v>
      </c>
      <c r="G7672" s="1">
        <v>123.62</v>
      </c>
      <c r="H7672" s="1">
        <v>8.0</v>
      </c>
      <c r="I7672" s="1" t="s">
        <v>17</v>
      </c>
      <c r="J7672" s="1" t="s">
        <v>24</v>
      </c>
      <c r="K7672" s="1">
        <f t="shared" si="1"/>
        <v>2022</v>
      </c>
      <c r="L7672" s="1" t="str">
        <f t="shared" si="2"/>
        <v>Nov</v>
      </c>
      <c r="M7672" s="1" t="str">
        <f t="shared" si="3"/>
        <v>Profit</v>
      </c>
    </row>
    <row r="7673" ht="14.25" customHeight="1">
      <c r="A7673" s="1" t="s">
        <v>7707</v>
      </c>
      <c r="B7673" s="2">
        <v>44724.0</v>
      </c>
      <c r="C7673" s="1" t="s">
        <v>26</v>
      </c>
      <c r="D7673" s="1" t="s">
        <v>15</v>
      </c>
      <c r="E7673" s="1" t="s">
        <v>31</v>
      </c>
      <c r="F7673" s="1">
        <v>251.69</v>
      </c>
      <c r="G7673" s="1">
        <v>159.41</v>
      </c>
      <c r="H7673" s="1">
        <v>10.0</v>
      </c>
      <c r="I7673" s="1" t="s">
        <v>17</v>
      </c>
      <c r="J7673" s="1" t="s">
        <v>18</v>
      </c>
      <c r="K7673" s="1">
        <f t="shared" si="1"/>
        <v>2022</v>
      </c>
      <c r="L7673" s="1" t="str">
        <f t="shared" si="2"/>
        <v>Jun</v>
      </c>
      <c r="M7673" s="1" t="str">
        <f t="shared" si="3"/>
        <v>Profit</v>
      </c>
    </row>
    <row r="7674" ht="14.25" customHeight="1">
      <c r="A7674" s="1" t="s">
        <v>7708</v>
      </c>
      <c r="B7674" s="2">
        <v>44896.0</v>
      </c>
      <c r="C7674" s="1" t="s">
        <v>20</v>
      </c>
      <c r="D7674" s="1" t="s">
        <v>27</v>
      </c>
      <c r="E7674" s="1" t="s">
        <v>40</v>
      </c>
      <c r="F7674" s="1">
        <v>708.31</v>
      </c>
      <c r="G7674" s="1">
        <v>9.92</v>
      </c>
      <c r="H7674" s="1">
        <v>10.0</v>
      </c>
      <c r="I7674" s="1" t="s">
        <v>17</v>
      </c>
      <c r="J7674" s="1" t="s">
        <v>24</v>
      </c>
      <c r="K7674" s="1">
        <f t="shared" si="1"/>
        <v>2022</v>
      </c>
      <c r="L7674" s="1" t="str">
        <f t="shared" si="2"/>
        <v>Dec</v>
      </c>
      <c r="M7674" s="1" t="str">
        <f t="shared" si="3"/>
        <v>Profit</v>
      </c>
    </row>
    <row r="7675" ht="14.25" customHeight="1">
      <c r="A7675" s="1" t="s">
        <v>7709</v>
      </c>
      <c r="B7675" s="2">
        <v>44512.0</v>
      </c>
      <c r="C7675" s="1" t="s">
        <v>26</v>
      </c>
      <c r="D7675" s="1" t="s">
        <v>27</v>
      </c>
      <c r="E7675" s="1" t="s">
        <v>40</v>
      </c>
      <c r="F7675" s="1">
        <v>941.31</v>
      </c>
      <c r="G7675" s="1">
        <v>15.77</v>
      </c>
      <c r="H7675" s="1">
        <v>5.0</v>
      </c>
      <c r="I7675" s="1" t="s">
        <v>23</v>
      </c>
      <c r="J7675" s="1" t="s">
        <v>24</v>
      </c>
      <c r="K7675" s="1">
        <f t="shared" si="1"/>
        <v>2021</v>
      </c>
      <c r="L7675" s="1" t="str">
        <f t="shared" si="2"/>
        <v>Nov</v>
      </c>
      <c r="M7675" s="1" t="str">
        <f t="shared" si="3"/>
        <v>Profit</v>
      </c>
    </row>
    <row r="7676" ht="14.25" customHeight="1">
      <c r="A7676" s="1" t="s">
        <v>7710</v>
      </c>
      <c r="B7676" s="2">
        <v>44262.0</v>
      </c>
      <c r="C7676" s="1" t="s">
        <v>20</v>
      </c>
      <c r="D7676" s="1" t="s">
        <v>21</v>
      </c>
      <c r="E7676" s="1" t="s">
        <v>76</v>
      </c>
      <c r="F7676" s="1">
        <v>240.28</v>
      </c>
      <c r="G7676" s="1">
        <v>292.64</v>
      </c>
      <c r="H7676" s="1">
        <v>3.0</v>
      </c>
      <c r="I7676" s="1" t="s">
        <v>17</v>
      </c>
      <c r="J7676" s="1" t="s">
        <v>24</v>
      </c>
      <c r="K7676" s="1">
        <f t="shared" si="1"/>
        <v>2021</v>
      </c>
      <c r="L7676" s="1" t="str">
        <f t="shared" si="2"/>
        <v>Mar</v>
      </c>
      <c r="M7676" s="1" t="str">
        <f t="shared" si="3"/>
        <v>Profit</v>
      </c>
    </row>
    <row r="7677" ht="14.25" customHeight="1">
      <c r="A7677" s="1" t="s">
        <v>7711</v>
      </c>
      <c r="B7677" s="2">
        <v>44470.0</v>
      </c>
      <c r="C7677" s="1" t="s">
        <v>14</v>
      </c>
      <c r="D7677" s="1" t="s">
        <v>15</v>
      </c>
      <c r="E7677" s="1" t="s">
        <v>54</v>
      </c>
      <c r="F7677" s="1">
        <v>743.67</v>
      </c>
      <c r="G7677" s="1">
        <v>204.33</v>
      </c>
      <c r="H7677" s="1">
        <v>4.0</v>
      </c>
      <c r="I7677" s="1" t="s">
        <v>17</v>
      </c>
      <c r="J7677" s="1" t="s">
        <v>35</v>
      </c>
      <c r="K7677" s="1">
        <f t="shared" si="1"/>
        <v>2021</v>
      </c>
      <c r="L7677" s="1" t="str">
        <f t="shared" si="2"/>
        <v>Oct</v>
      </c>
      <c r="M7677" s="1" t="str">
        <f t="shared" si="3"/>
        <v>Profit</v>
      </c>
    </row>
    <row r="7678" ht="14.25" customHeight="1">
      <c r="A7678" s="1" t="s">
        <v>7712</v>
      </c>
      <c r="B7678" s="2">
        <v>45026.0</v>
      </c>
      <c r="C7678" s="1" t="s">
        <v>14</v>
      </c>
      <c r="D7678" s="1" t="s">
        <v>21</v>
      </c>
      <c r="E7678" s="1" t="s">
        <v>22</v>
      </c>
      <c r="F7678" s="1">
        <v>309.46</v>
      </c>
      <c r="G7678" s="1">
        <v>16.52</v>
      </c>
      <c r="H7678" s="1">
        <v>5.0</v>
      </c>
      <c r="I7678" s="1" t="s">
        <v>23</v>
      </c>
      <c r="J7678" s="1" t="s">
        <v>38</v>
      </c>
      <c r="K7678" s="1">
        <f t="shared" si="1"/>
        <v>2023</v>
      </c>
      <c r="L7678" s="1" t="str">
        <f t="shared" si="2"/>
        <v>Apr</v>
      </c>
      <c r="M7678" s="1" t="str">
        <f t="shared" si="3"/>
        <v>Profit</v>
      </c>
    </row>
    <row r="7679" ht="14.25" customHeight="1">
      <c r="A7679" s="1" t="s">
        <v>7713</v>
      </c>
      <c r="B7679" s="2">
        <v>44723.0</v>
      </c>
      <c r="C7679" s="1" t="s">
        <v>14</v>
      </c>
      <c r="D7679" s="1" t="s">
        <v>21</v>
      </c>
      <c r="E7679" s="1" t="s">
        <v>76</v>
      </c>
      <c r="F7679" s="1">
        <v>433.13</v>
      </c>
      <c r="G7679" s="1">
        <v>-64.76</v>
      </c>
      <c r="H7679" s="1">
        <v>9.0</v>
      </c>
      <c r="I7679" s="1" t="s">
        <v>34</v>
      </c>
      <c r="J7679" s="1" t="s">
        <v>18</v>
      </c>
      <c r="K7679" s="1">
        <f t="shared" si="1"/>
        <v>2022</v>
      </c>
      <c r="L7679" s="1" t="str">
        <f t="shared" si="2"/>
        <v>Jun</v>
      </c>
      <c r="M7679" s="1" t="str">
        <f t="shared" si="3"/>
        <v>Loss</v>
      </c>
    </row>
    <row r="7680" ht="14.25" customHeight="1">
      <c r="A7680" s="1" t="s">
        <v>7714</v>
      </c>
      <c r="B7680" s="2">
        <v>45215.0</v>
      </c>
      <c r="C7680" s="1" t="s">
        <v>26</v>
      </c>
      <c r="D7680" s="1" t="s">
        <v>21</v>
      </c>
      <c r="E7680" s="1" t="s">
        <v>37</v>
      </c>
      <c r="F7680" s="1">
        <v>345.61</v>
      </c>
      <c r="G7680" s="1">
        <v>50.32</v>
      </c>
      <c r="H7680" s="1">
        <v>2.0</v>
      </c>
      <c r="I7680" s="1" t="s">
        <v>17</v>
      </c>
      <c r="J7680" s="1" t="s">
        <v>24</v>
      </c>
      <c r="K7680" s="1">
        <f t="shared" si="1"/>
        <v>2023</v>
      </c>
      <c r="L7680" s="1" t="str">
        <f t="shared" si="2"/>
        <v>Oct</v>
      </c>
      <c r="M7680" s="1" t="str">
        <f t="shared" si="3"/>
        <v>Profit</v>
      </c>
    </row>
    <row r="7681" ht="14.25" customHeight="1">
      <c r="A7681" s="1" t="s">
        <v>7715</v>
      </c>
      <c r="B7681" s="2">
        <v>44299.0</v>
      </c>
      <c r="C7681" s="1" t="s">
        <v>30</v>
      </c>
      <c r="D7681" s="1" t="s">
        <v>15</v>
      </c>
      <c r="E7681" s="1" t="s">
        <v>31</v>
      </c>
      <c r="F7681" s="1">
        <v>355.33</v>
      </c>
      <c r="G7681" s="1">
        <v>77.2</v>
      </c>
      <c r="H7681" s="1">
        <v>10.0</v>
      </c>
      <c r="I7681" s="1" t="s">
        <v>17</v>
      </c>
      <c r="J7681" s="1" t="s">
        <v>24</v>
      </c>
      <c r="K7681" s="1">
        <f t="shared" si="1"/>
        <v>2021</v>
      </c>
      <c r="L7681" s="1" t="str">
        <f t="shared" si="2"/>
        <v>Apr</v>
      </c>
      <c r="M7681" s="1" t="str">
        <f t="shared" si="3"/>
        <v>Profit</v>
      </c>
    </row>
    <row r="7682" ht="14.25" customHeight="1">
      <c r="A7682" s="1" t="s">
        <v>7716</v>
      </c>
      <c r="B7682" s="2">
        <v>45004.0</v>
      </c>
      <c r="C7682" s="1" t="s">
        <v>14</v>
      </c>
      <c r="D7682" s="1" t="s">
        <v>15</v>
      </c>
      <c r="E7682" s="1" t="s">
        <v>31</v>
      </c>
      <c r="F7682" s="1">
        <v>261.68</v>
      </c>
      <c r="G7682" s="1">
        <v>39.76</v>
      </c>
      <c r="H7682" s="1">
        <v>1.0</v>
      </c>
      <c r="I7682" s="1" t="s">
        <v>23</v>
      </c>
      <c r="J7682" s="1" t="s">
        <v>38</v>
      </c>
      <c r="K7682" s="1">
        <f t="shared" si="1"/>
        <v>2023</v>
      </c>
      <c r="L7682" s="1" t="str">
        <f t="shared" si="2"/>
        <v>Mar</v>
      </c>
      <c r="M7682" s="1" t="str">
        <f t="shared" si="3"/>
        <v>Profit</v>
      </c>
    </row>
    <row r="7683" ht="14.25" customHeight="1">
      <c r="A7683" s="1" t="s">
        <v>7717</v>
      </c>
      <c r="B7683" s="2">
        <v>44425.0</v>
      </c>
      <c r="C7683" s="1" t="s">
        <v>30</v>
      </c>
      <c r="D7683" s="1" t="s">
        <v>27</v>
      </c>
      <c r="E7683" s="1" t="s">
        <v>33</v>
      </c>
      <c r="F7683" s="1">
        <v>607.94</v>
      </c>
      <c r="G7683" s="1">
        <v>66.51</v>
      </c>
      <c r="H7683" s="1">
        <v>1.0</v>
      </c>
      <c r="I7683" s="1" t="s">
        <v>17</v>
      </c>
      <c r="J7683" s="1" t="s">
        <v>18</v>
      </c>
      <c r="K7683" s="1">
        <f t="shared" si="1"/>
        <v>2021</v>
      </c>
      <c r="L7683" s="1" t="str">
        <f t="shared" si="2"/>
        <v>Aug</v>
      </c>
      <c r="M7683" s="1" t="str">
        <f t="shared" si="3"/>
        <v>Profit</v>
      </c>
    </row>
    <row r="7684" ht="14.25" customHeight="1">
      <c r="A7684" s="1" t="s">
        <v>7718</v>
      </c>
      <c r="B7684" s="2">
        <v>45173.0</v>
      </c>
      <c r="C7684" s="1" t="s">
        <v>30</v>
      </c>
      <c r="D7684" s="1" t="s">
        <v>21</v>
      </c>
      <c r="E7684" s="1" t="s">
        <v>22</v>
      </c>
      <c r="F7684" s="1">
        <v>378.75</v>
      </c>
      <c r="G7684" s="1">
        <v>134.35</v>
      </c>
      <c r="H7684" s="1">
        <v>2.0</v>
      </c>
      <c r="I7684" s="1" t="s">
        <v>23</v>
      </c>
      <c r="J7684" s="1" t="s">
        <v>24</v>
      </c>
      <c r="K7684" s="1">
        <f t="shared" si="1"/>
        <v>2023</v>
      </c>
      <c r="L7684" s="1" t="str">
        <f t="shared" si="2"/>
        <v>Sep</v>
      </c>
      <c r="M7684" s="1" t="str">
        <f t="shared" si="3"/>
        <v>Profit</v>
      </c>
    </row>
    <row r="7685" ht="14.25" customHeight="1">
      <c r="A7685" s="1" t="s">
        <v>7719</v>
      </c>
      <c r="B7685" s="2">
        <v>44460.0</v>
      </c>
      <c r="C7685" s="1" t="s">
        <v>20</v>
      </c>
      <c r="D7685" s="1" t="s">
        <v>15</v>
      </c>
      <c r="E7685" s="1" t="s">
        <v>54</v>
      </c>
      <c r="F7685" s="1">
        <v>141.28</v>
      </c>
      <c r="G7685" s="1">
        <v>-136.55</v>
      </c>
      <c r="H7685" s="1">
        <v>5.0</v>
      </c>
      <c r="I7685" s="1" t="s">
        <v>34</v>
      </c>
      <c r="J7685" s="1" t="s">
        <v>35</v>
      </c>
      <c r="K7685" s="1">
        <f t="shared" si="1"/>
        <v>2021</v>
      </c>
      <c r="L7685" s="1" t="str">
        <f t="shared" si="2"/>
        <v>Sep</v>
      </c>
      <c r="M7685" s="1" t="str">
        <f t="shared" si="3"/>
        <v>Loss</v>
      </c>
    </row>
    <row r="7686" ht="14.25" customHeight="1">
      <c r="A7686" s="1" t="s">
        <v>7720</v>
      </c>
      <c r="B7686" s="2">
        <v>44318.0</v>
      </c>
      <c r="C7686" s="1" t="s">
        <v>30</v>
      </c>
      <c r="D7686" s="1" t="s">
        <v>27</v>
      </c>
      <c r="E7686" s="1" t="s">
        <v>28</v>
      </c>
      <c r="F7686" s="1">
        <v>349.75</v>
      </c>
      <c r="G7686" s="1">
        <v>253.59</v>
      </c>
      <c r="H7686" s="1">
        <v>9.0</v>
      </c>
      <c r="I7686" s="1" t="s">
        <v>23</v>
      </c>
      <c r="J7686" s="1" t="s">
        <v>38</v>
      </c>
      <c r="K7686" s="1">
        <f t="shared" si="1"/>
        <v>2021</v>
      </c>
      <c r="L7686" s="1" t="str">
        <f t="shared" si="2"/>
        <v>May</v>
      </c>
      <c r="M7686" s="1" t="str">
        <f t="shared" si="3"/>
        <v>Profit</v>
      </c>
    </row>
    <row r="7687" ht="14.25" customHeight="1">
      <c r="A7687" s="1" t="s">
        <v>7721</v>
      </c>
      <c r="B7687" s="2">
        <v>44247.0</v>
      </c>
      <c r="C7687" s="1" t="s">
        <v>20</v>
      </c>
      <c r="D7687" s="1" t="s">
        <v>21</v>
      </c>
      <c r="E7687" s="1" t="s">
        <v>22</v>
      </c>
      <c r="F7687" s="1">
        <v>933.36</v>
      </c>
      <c r="G7687" s="1">
        <v>-156.13</v>
      </c>
      <c r="H7687" s="1">
        <v>4.0</v>
      </c>
      <c r="I7687" s="1" t="s">
        <v>23</v>
      </c>
      <c r="J7687" s="1" t="s">
        <v>18</v>
      </c>
      <c r="K7687" s="1">
        <f t="shared" si="1"/>
        <v>2021</v>
      </c>
      <c r="L7687" s="1" t="str">
        <f t="shared" si="2"/>
        <v>Feb</v>
      </c>
      <c r="M7687" s="1" t="str">
        <f t="shared" si="3"/>
        <v>Loss</v>
      </c>
    </row>
    <row r="7688" ht="14.25" customHeight="1">
      <c r="A7688" s="1" t="s">
        <v>7722</v>
      </c>
      <c r="B7688" s="2">
        <v>45134.0</v>
      </c>
      <c r="C7688" s="1" t="s">
        <v>30</v>
      </c>
      <c r="D7688" s="1" t="s">
        <v>15</v>
      </c>
      <c r="E7688" s="1" t="s">
        <v>31</v>
      </c>
      <c r="F7688" s="1">
        <v>911.55</v>
      </c>
      <c r="G7688" s="1">
        <v>-97.97</v>
      </c>
      <c r="H7688" s="1">
        <v>2.0</v>
      </c>
      <c r="I7688" s="1" t="s">
        <v>23</v>
      </c>
      <c r="J7688" s="1" t="s">
        <v>35</v>
      </c>
      <c r="K7688" s="1">
        <f t="shared" si="1"/>
        <v>2023</v>
      </c>
      <c r="L7688" s="1" t="str">
        <f t="shared" si="2"/>
        <v>Jul</v>
      </c>
      <c r="M7688" s="1" t="str">
        <f t="shared" si="3"/>
        <v>Loss</v>
      </c>
    </row>
    <row r="7689" ht="14.25" customHeight="1">
      <c r="A7689" s="1" t="s">
        <v>7723</v>
      </c>
      <c r="B7689" s="2">
        <v>44449.0</v>
      </c>
      <c r="C7689" s="1" t="s">
        <v>26</v>
      </c>
      <c r="D7689" s="1" t="s">
        <v>21</v>
      </c>
      <c r="E7689" s="1" t="s">
        <v>76</v>
      </c>
      <c r="F7689" s="1">
        <v>689.24</v>
      </c>
      <c r="G7689" s="1">
        <v>-29.05</v>
      </c>
      <c r="H7689" s="1">
        <v>8.0</v>
      </c>
      <c r="I7689" s="1" t="s">
        <v>23</v>
      </c>
      <c r="J7689" s="1" t="s">
        <v>38</v>
      </c>
      <c r="K7689" s="1">
        <f t="shared" si="1"/>
        <v>2021</v>
      </c>
      <c r="L7689" s="1" t="str">
        <f t="shared" si="2"/>
        <v>Sep</v>
      </c>
      <c r="M7689" s="1" t="str">
        <f t="shared" si="3"/>
        <v>Loss</v>
      </c>
    </row>
    <row r="7690" ht="14.25" customHeight="1">
      <c r="A7690" s="1" t="s">
        <v>7724</v>
      </c>
      <c r="B7690" s="2">
        <v>44289.0</v>
      </c>
      <c r="C7690" s="1" t="s">
        <v>20</v>
      </c>
      <c r="D7690" s="1" t="s">
        <v>27</v>
      </c>
      <c r="E7690" s="1" t="s">
        <v>28</v>
      </c>
      <c r="F7690" s="1">
        <v>573.94</v>
      </c>
      <c r="G7690" s="1">
        <v>158.34</v>
      </c>
      <c r="H7690" s="1">
        <v>6.0</v>
      </c>
      <c r="I7690" s="1" t="s">
        <v>17</v>
      </c>
      <c r="J7690" s="1" t="s">
        <v>35</v>
      </c>
      <c r="K7690" s="1">
        <f t="shared" si="1"/>
        <v>2021</v>
      </c>
      <c r="L7690" s="1" t="str">
        <f t="shared" si="2"/>
        <v>Apr</v>
      </c>
      <c r="M7690" s="1" t="str">
        <f t="shared" si="3"/>
        <v>Profit</v>
      </c>
    </row>
    <row r="7691" ht="14.25" customHeight="1">
      <c r="A7691" s="1" t="s">
        <v>7725</v>
      </c>
      <c r="B7691" s="2">
        <v>44430.0</v>
      </c>
      <c r="C7691" s="1" t="s">
        <v>30</v>
      </c>
      <c r="D7691" s="1" t="s">
        <v>27</v>
      </c>
      <c r="E7691" s="1" t="s">
        <v>28</v>
      </c>
      <c r="F7691" s="1">
        <v>406.76</v>
      </c>
      <c r="G7691" s="1">
        <v>207.34</v>
      </c>
      <c r="H7691" s="1">
        <v>6.0</v>
      </c>
      <c r="I7691" s="1" t="s">
        <v>17</v>
      </c>
      <c r="J7691" s="1" t="s">
        <v>24</v>
      </c>
      <c r="K7691" s="1">
        <f t="shared" si="1"/>
        <v>2021</v>
      </c>
      <c r="L7691" s="1" t="str">
        <f t="shared" si="2"/>
        <v>Aug</v>
      </c>
      <c r="M7691" s="1" t="str">
        <f t="shared" si="3"/>
        <v>Profit</v>
      </c>
    </row>
    <row r="7692" ht="14.25" customHeight="1">
      <c r="A7692" s="1" t="s">
        <v>7726</v>
      </c>
      <c r="B7692" s="2">
        <v>45216.0</v>
      </c>
      <c r="C7692" s="1" t="s">
        <v>14</v>
      </c>
      <c r="D7692" s="1" t="s">
        <v>21</v>
      </c>
      <c r="E7692" s="1" t="s">
        <v>37</v>
      </c>
      <c r="F7692" s="1">
        <v>551.5</v>
      </c>
      <c r="G7692" s="1">
        <v>225.51</v>
      </c>
      <c r="H7692" s="1">
        <v>5.0</v>
      </c>
      <c r="I7692" s="1" t="s">
        <v>23</v>
      </c>
      <c r="J7692" s="1" t="s">
        <v>18</v>
      </c>
      <c r="K7692" s="1">
        <f t="shared" si="1"/>
        <v>2023</v>
      </c>
      <c r="L7692" s="1" t="str">
        <f t="shared" si="2"/>
        <v>Oct</v>
      </c>
      <c r="M7692" s="1" t="str">
        <f t="shared" si="3"/>
        <v>Profit</v>
      </c>
    </row>
    <row r="7693" ht="14.25" customHeight="1">
      <c r="A7693" s="1" t="s">
        <v>7727</v>
      </c>
      <c r="B7693" s="2">
        <v>45086.0</v>
      </c>
      <c r="C7693" s="1" t="s">
        <v>26</v>
      </c>
      <c r="D7693" s="1" t="s">
        <v>27</v>
      </c>
      <c r="E7693" s="1" t="s">
        <v>33</v>
      </c>
      <c r="F7693" s="1">
        <v>912.14</v>
      </c>
      <c r="G7693" s="1">
        <v>183.38</v>
      </c>
      <c r="H7693" s="1">
        <v>10.0</v>
      </c>
      <c r="I7693" s="1" t="s">
        <v>17</v>
      </c>
      <c r="J7693" s="1" t="s">
        <v>24</v>
      </c>
      <c r="K7693" s="1">
        <f t="shared" si="1"/>
        <v>2023</v>
      </c>
      <c r="L7693" s="1" t="str">
        <f t="shared" si="2"/>
        <v>Jun</v>
      </c>
      <c r="M7693" s="1" t="str">
        <f t="shared" si="3"/>
        <v>Profit</v>
      </c>
    </row>
    <row r="7694" ht="14.25" customHeight="1">
      <c r="A7694" s="1" t="s">
        <v>7728</v>
      </c>
      <c r="B7694" s="2">
        <v>44951.0</v>
      </c>
      <c r="C7694" s="1" t="s">
        <v>20</v>
      </c>
      <c r="D7694" s="1" t="s">
        <v>27</v>
      </c>
      <c r="E7694" s="1" t="s">
        <v>33</v>
      </c>
      <c r="F7694" s="1">
        <v>519.11</v>
      </c>
      <c r="G7694" s="1">
        <v>165.1</v>
      </c>
      <c r="H7694" s="1">
        <v>1.0</v>
      </c>
      <c r="I7694" s="1" t="s">
        <v>17</v>
      </c>
      <c r="J7694" s="1" t="s">
        <v>35</v>
      </c>
      <c r="K7694" s="1">
        <f t="shared" si="1"/>
        <v>2023</v>
      </c>
      <c r="L7694" s="1" t="str">
        <f t="shared" si="2"/>
        <v>Jan</v>
      </c>
      <c r="M7694" s="1" t="str">
        <f t="shared" si="3"/>
        <v>Profit</v>
      </c>
    </row>
    <row r="7695" ht="14.25" customHeight="1">
      <c r="A7695" s="1" t="s">
        <v>7729</v>
      </c>
      <c r="B7695" s="2">
        <v>44762.0</v>
      </c>
      <c r="C7695" s="1" t="s">
        <v>26</v>
      </c>
      <c r="D7695" s="1" t="s">
        <v>15</v>
      </c>
      <c r="E7695" s="1" t="s">
        <v>16</v>
      </c>
      <c r="F7695" s="1">
        <v>485.41</v>
      </c>
      <c r="G7695" s="1">
        <v>118.02</v>
      </c>
      <c r="H7695" s="1">
        <v>9.0</v>
      </c>
      <c r="I7695" s="1" t="s">
        <v>17</v>
      </c>
      <c r="J7695" s="1" t="s">
        <v>18</v>
      </c>
      <c r="K7695" s="1">
        <f t="shared" si="1"/>
        <v>2022</v>
      </c>
      <c r="L7695" s="1" t="str">
        <f t="shared" si="2"/>
        <v>Jul</v>
      </c>
      <c r="M7695" s="1" t="str">
        <f t="shared" si="3"/>
        <v>Profit</v>
      </c>
    </row>
    <row r="7696" ht="14.25" customHeight="1">
      <c r="A7696" s="1" t="s">
        <v>7730</v>
      </c>
      <c r="B7696" s="2">
        <v>45036.0</v>
      </c>
      <c r="C7696" s="1" t="s">
        <v>26</v>
      </c>
      <c r="D7696" s="1" t="s">
        <v>27</v>
      </c>
      <c r="E7696" s="1" t="s">
        <v>40</v>
      </c>
      <c r="F7696" s="1">
        <v>744.93</v>
      </c>
      <c r="G7696" s="1">
        <v>34.17</v>
      </c>
      <c r="H7696" s="1">
        <v>6.0</v>
      </c>
      <c r="I7696" s="1" t="s">
        <v>17</v>
      </c>
      <c r="J7696" s="1" t="s">
        <v>18</v>
      </c>
      <c r="K7696" s="1">
        <f t="shared" si="1"/>
        <v>2023</v>
      </c>
      <c r="L7696" s="1" t="str">
        <f t="shared" si="2"/>
        <v>Apr</v>
      </c>
      <c r="M7696" s="1" t="str">
        <f t="shared" si="3"/>
        <v>Profit</v>
      </c>
    </row>
    <row r="7697" ht="14.25" customHeight="1">
      <c r="A7697" s="1" t="s">
        <v>7731</v>
      </c>
      <c r="B7697" s="2">
        <v>44467.0</v>
      </c>
      <c r="C7697" s="1" t="s">
        <v>30</v>
      </c>
      <c r="D7697" s="1" t="s">
        <v>15</v>
      </c>
      <c r="E7697" s="1" t="s">
        <v>54</v>
      </c>
      <c r="F7697" s="1">
        <v>156.31</v>
      </c>
      <c r="G7697" s="1">
        <v>172.69</v>
      </c>
      <c r="H7697" s="1">
        <v>4.0</v>
      </c>
      <c r="I7697" s="1" t="s">
        <v>34</v>
      </c>
      <c r="J7697" s="1" t="s">
        <v>35</v>
      </c>
      <c r="K7697" s="1">
        <f t="shared" si="1"/>
        <v>2021</v>
      </c>
      <c r="L7697" s="1" t="str">
        <f t="shared" si="2"/>
        <v>Sep</v>
      </c>
      <c r="M7697" s="1" t="str">
        <f t="shared" si="3"/>
        <v>Profit</v>
      </c>
    </row>
    <row r="7698" ht="14.25" customHeight="1">
      <c r="A7698" s="1" t="s">
        <v>7732</v>
      </c>
      <c r="B7698" s="2">
        <v>45245.0</v>
      </c>
      <c r="C7698" s="1" t="s">
        <v>14</v>
      </c>
      <c r="D7698" s="1" t="s">
        <v>21</v>
      </c>
      <c r="E7698" s="1" t="s">
        <v>37</v>
      </c>
      <c r="F7698" s="1">
        <v>302.93</v>
      </c>
      <c r="G7698" s="1">
        <v>-79.01</v>
      </c>
      <c r="H7698" s="1">
        <v>2.0</v>
      </c>
      <c r="I7698" s="1" t="s">
        <v>17</v>
      </c>
      <c r="J7698" s="1" t="s">
        <v>38</v>
      </c>
      <c r="K7698" s="1">
        <f t="shared" si="1"/>
        <v>2023</v>
      </c>
      <c r="L7698" s="1" t="str">
        <f t="shared" si="2"/>
        <v>Nov</v>
      </c>
      <c r="M7698" s="1" t="str">
        <f t="shared" si="3"/>
        <v>Loss</v>
      </c>
    </row>
    <row r="7699" ht="14.25" customHeight="1">
      <c r="A7699" s="1" t="s">
        <v>7733</v>
      </c>
      <c r="B7699" s="2">
        <v>44487.0</v>
      </c>
      <c r="C7699" s="1" t="s">
        <v>14</v>
      </c>
      <c r="D7699" s="1" t="s">
        <v>21</v>
      </c>
      <c r="E7699" s="1" t="s">
        <v>22</v>
      </c>
      <c r="F7699" s="1">
        <v>932.58</v>
      </c>
      <c r="G7699" s="1">
        <v>-167.19</v>
      </c>
      <c r="H7699" s="1">
        <v>4.0</v>
      </c>
      <c r="I7699" s="1" t="s">
        <v>17</v>
      </c>
      <c r="J7699" s="1" t="s">
        <v>38</v>
      </c>
      <c r="K7699" s="1">
        <f t="shared" si="1"/>
        <v>2021</v>
      </c>
      <c r="L7699" s="1" t="str">
        <f t="shared" si="2"/>
        <v>Oct</v>
      </c>
      <c r="M7699" s="1" t="str">
        <f t="shared" si="3"/>
        <v>Loss</v>
      </c>
    </row>
    <row r="7700" ht="14.25" customHeight="1">
      <c r="A7700" s="1" t="s">
        <v>7734</v>
      </c>
      <c r="B7700" s="2">
        <v>44911.0</v>
      </c>
      <c r="C7700" s="1" t="s">
        <v>14</v>
      </c>
      <c r="D7700" s="1" t="s">
        <v>27</v>
      </c>
      <c r="E7700" s="1" t="s">
        <v>28</v>
      </c>
      <c r="F7700" s="1">
        <v>253.7</v>
      </c>
      <c r="G7700" s="1">
        <v>109.54</v>
      </c>
      <c r="H7700" s="1">
        <v>1.0</v>
      </c>
      <c r="I7700" s="1" t="s">
        <v>34</v>
      </c>
      <c r="J7700" s="1" t="s">
        <v>18</v>
      </c>
      <c r="K7700" s="1">
        <f t="shared" si="1"/>
        <v>2022</v>
      </c>
      <c r="L7700" s="1" t="str">
        <f t="shared" si="2"/>
        <v>Dec</v>
      </c>
      <c r="M7700" s="1" t="str">
        <f t="shared" si="3"/>
        <v>Profit</v>
      </c>
    </row>
    <row r="7701" ht="14.25" customHeight="1">
      <c r="A7701" s="1" t="s">
        <v>7735</v>
      </c>
      <c r="B7701" s="2">
        <v>44222.0</v>
      </c>
      <c r="C7701" s="1" t="s">
        <v>26</v>
      </c>
      <c r="D7701" s="1" t="s">
        <v>15</v>
      </c>
      <c r="E7701" s="1" t="s">
        <v>54</v>
      </c>
      <c r="F7701" s="1">
        <v>998.2</v>
      </c>
      <c r="G7701" s="1">
        <v>-128.48</v>
      </c>
      <c r="H7701" s="1">
        <v>8.0</v>
      </c>
      <c r="I7701" s="1" t="s">
        <v>17</v>
      </c>
      <c r="J7701" s="1" t="s">
        <v>18</v>
      </c>
      <c r="K7701" s="1">
        <f t="shared" si="1"/>
        <v>2021</v>
      </c>
      <c r="L7701" s="1" t="str">
        <f t="shared" si="2"/>
        <v>Jan</v>
      </c>
      <c r="M7701" s="1" t="str">
        <f t="shared" si="3"/>
        <v>Loss</v>
      </c>
    </row>
    <row r="7702" ht="14.25" customHeight="1">
      <c r="A7702" s="1" t="s">
        <v>7736</v>
      </c>
      <c r="B7702" s="2">
        <v>44627.0</v>
      </c>
      <c r="C7702" s="1" t="s">
        <v>14</v>
      </c>
      <c r="D7702" s="1" t="s">
        <v>21</v>
      </c>
      <c r="E7702" s="1" t="s">
        <v>76</v>
      </c>
      <c r="F7702" s="1">
        <v>872.02</v>
      </c>
      <c r="G7702" s="1">
        <v>-7.09</v>
      </c>
      <c r="H7702" s="1">
        <v>8.0</v>
      </c>
      <c r="I7702" s="1" t="s">
        <v>34</v>
      </c>
      <c r="J7702" s="1" t="s">
        <v>38</v>
      </c>
      <c r="K7702" s="1">
        <f t="shared" si="1"/>
        <v>2022</v>
      </c>
      <c r="L7702" s="1" t="str">
        <f t="shared" si="2"/>
        <v>Mar</v>
      </c>
      <c r="M7702" s="1" t="str">
        <f t="shared" si="3"/>
        <v>Loss</v>
      </c>
    </row>
    <row r="7703" ht="14.25" customHeight="1">
      <c r="A7703" s="1" t="s">
        <v>7737</v>
      </c>
      <c r="B7703" s="2">
        <v>44550.0</v>
      </c>
      <c r="C7703" s="1" t="s">
        <v>14</v>
      </c>
      <c r="D7703" s="1" t="s">
        <v>15</v>
      </c>
      <c r="E7703" s="1" t="s">
        <v>31</v>
      </c>
      <c r="F7703" s="1">
        <v>892.11</v>
      </c>
      <c r="G7703" s="1">
        <v>129.53</v>
      </c>
      <c r="H7703" s="1">
        <v>10.0</v>
      </c>
      <c r="I7703" s="1" t="s">
        <v>17</v>
      </c>
      <c r="J7703" s="1" t="s">
        <v>38</v>
      </c>
      <c r="K7703" s="1">
        <f t="shared" si="1"/>
        <v>2021</v>
      </c>
      <c r="L7703" s="1" t="str">
        <f t="shared" si="2"/>
        <v>Dec</v>
      </c>
      <c r="M7703" s="1" t="str">
        <f t="shared" si="3"/>
        <v>Profit</v>
      </c>
    </row>
    <row r="7704" ht="14.25" customHeight="1">
      <c r="A7704" s="1" t="s">
        <v>7738</v>
      </c>
      <c r="B7704" s="2">
        <v>44776.0</v>
      </c>
      <c r="C7704" s="1" t="s">
        <v>26</v>
      </c>
      <c r="D7704" s="1" t="s">
        <v>15</v>
      </c>
      <c r="E7704" s="1" t="s">
        <v>16</v>
      </c>
      <c r="F7704" s="1">
        <v>39.8</v>
      </c>
      <c r="G7704" s="1">
        <v>-43.81</v>
      </c>
      <c r="H7704" s="1">
        <v>8.0</v>
      </c>
      <c r="I7704" s="1" t="s">
        <v>34</v>
      </c>
      <c r="J7704" s="1" t="s">
        <v>38</v>
      </c>
      <c r="K7704" s="1">
        <f t="shared" si="1"/>
        <v>2022</v>
      </c>
      <c r="L7704" s="1" t="str">
        <f t="shared" si="2"/>
        <v>Aug</v>
      </c>
      <c r="M7704" s="1" t="str">
        <f t="shared" si="3"/>
        <v>Loss</v>
      </c>
    </row>
    <row r="7705" ht="14.25" customHeight="1">
      <c r="A7705" s="1" t="s">
        <v>7739</v>
      </c>
      <c r="B7705" s="2">
        <v>45260.0</v>
      </c>
      <c r="C7705" s="1" t="s">
        <v>14</v>
      </c>
      <c r="D7705" s="1" t="s">
        <v>27</v>
      </c>
      <c r="E7705" s="1" t="s">
        <v>28</v>
      </c>
      <c r="F7705" s="1">
        <v>346.36</v>
      </c>
      <c r="G7705" s="1">
        <v>64.9</v>
      </c>
      <c r="H7705" s="1">
        <v>9.0</v>
      </c>
      <c r="I7705" s="1" t="s">
        <v>17</v>
      </c>
      <c r="J7705" s="1" t="s">
        <v>35</v>
      </c>
      <c r="K7705" s="1">
        <f t="shared" si="1"/>
        <v>2023</v>
      </c>
      <c r="L7705" s="1" t="str">
        <f t="shared" si="2"/>
        <v>Nov</v>
      </c>
      <c r="M7705" s="1" t="str">
        <f t="shared" si="3"/>
        <v>Profit</v>
      </c>
    </row>
    <row r="7706" ht="14.25" customHeight="1">
      <c r="A7706" s="1" t="s">
        <v>7740</v>
      </c>
      <c r="B7706" s="2">
        <v>44383.0</v>
      </c>
      <c r="C7706" s="1" t="s">
        <v>20</v>
      </c>
      <c r="D7706" s="1" t="s">
        <v>15</v>
      </c>
      <c r="E7706" s="1" t="s">
        <v>16</v>
      </c>
      <c r="F7706" s="1">
        <v>469.35</v>
      </c>
      <c r="G7706" s="1">
        <v>280.75</v>
      </c>
      <c r="H7706" s="1">
        <v>7.0</v>
      </c>
      <c r="I7706" s="1" t="s">
        <v>34</v>
      </c>
      <c r="J7706" s="1" t="s">
        <v>18</v>
      </c>
      <c r="K7706" s="1">
        <f t="shared" si="1"/>
        <v>2021</v>
      </c>
      <c r="L7706" s="1" t="str">
        <f t="shared" si="2"/>
        <v>Jul</v>
      </c>
      <c r="M7706" s="1" t="str">
        <f t="shared" si="3"/>
        <v>Profit</v>
      </c>
    </row>
    <row r="7707" ht="14.25" customHeight="1">
      <c r="A7707" s="1" t="s">
        <v>7741</v>
      </c>
      <c r="B7707" s="2">
        <v>44494.0</v>
      </c>
      <c r="C7707" s="1" t="s">
        <v>26</v>
      </c>
      <c r="D7707" s="1" t="s">
        <v>21</v>
      </c>
      <c r="E7707" s="1" t="s">
        <v>22</v>
      </c>
      <c r="F7707" s="1">
        <v>142.32</v>
      </c>
      <c r="G7707" s="1">
        <v>-97.73</v>
      </c>
      <c r="H7707" s="1">
        <v>3.0</v>
      </c>
      <c r="I7707" s="1" t="s">
        <v>23</v>
      </c>
      <c r="J7707" s="1" t="s">
        <v>38</v>
      </c>
      <c r="K7707" s="1">
        <f t="shared" si="1"/>
        <v>2021</v>
      </c>
      <c r="L7707" s="1" t="str">
        <f t="shared" si="2"/>
        <v>Oct</v>
      </c>
      <c r="M7707" s="1" t="str">
        <f t="shared" si="3"/>
        <v>Loss</v>
      </c>
    </row>
    <row r="7708" ht="14.25" customHeight="1">
      <c r="A7708" s="1" t="s">
        <v>7742</v>
      </c>
      <c r="B7708" s="2">
        <v>44383.0</v>
      </c>
      <c r="C7708" s="1" t="s">
        <v>26</v>
      </c>
      <c r="D7708" s="1" t="s">
        <v>15</v>
      </c>
      <c r="E7708" s="1" t="s">
        <v>31</v>
      </c>
      <c r="F7708" s="1">
        <v>606.83</v>
      </c>
      <c r="G7708" s="1">
        <v>39.38</v>
      </c>
      <c r="H7708" s="1">
        <v>2.0</v>
      </c>
      <c r="I7708" s="1" t="s">
        <v>23</v>
      </c>
      <c r="J7708" s="1" t="s">
        <v>35</v>
      </c>
      <c r="K7708" s="1">
        <f t="shared" si="1"/>
        <v>2021</v>
      </c>
      <c r="L7708" s="1" t="str">
        <f t="shared" si="2"/>
        <v>Jul</v>
      </c>
      <c r="M7708" s="1" t="str">
        <f t="shared" si="3"/>
        <v>Profit</v>
      </c>
    </row>
    <row r="7709" ht="14.25" customHeight="1">
      <c r="A7709" s="1" t="s">
        <v>7743</v>
      </c>
      <c r="B7709" s="2">
        <v>44343.0</v>
      </c>
      <c r="C7709" s="1" t="s">
        <v>26</v>
      </c>
      <c r="D7709" s="1" t="s">
        <v>27</v>
      </c>
      <c r="E7709" s="1" t="s">
        <v>33</v>
      </c>
      <c r="F7709" s="1">
        <v>842.83</v>
      </c>
      <c r="G7709" s="1">
        <v>101.11</v>
      </c>
      <c r="H7709" s="1">
        <v>5.0</v>
      </c>
      <c r="I7709" s="1" t="s">
        <v>34</v>
      </c>
      <c r="J7709" s="1" t="s">
        <v>38</v>
      </c>
      <c r="K7709" s="1">
        <f t="shared" si="1"/>
        <v>2021</v>
      </c>
      <c r="L7709" s="1" t="str">
        <f t="shared" si="2"/>
        <v>May</v>
      </c>
      <c r="M7709" s="1" t="str">
        <f t="shared" si="3"/>
        <v>Profit</v>
      </c>
    </row>
    <row r="7710" ht="14.25" customHeight="1">
      <c r="A7710" s="1" t="s">
        <v>7744</v>
      </c>
      <c r="B7710" s="2">
        <v>44506.0</v>
      </c>
      <c r="C7710" s="1" t="s">
        <v>26</v>
      </c>
      <c r="D7710" s="1" t="s">
        <v>21</v>
      </c>
      <c r="E7710" s="1" t="s">
        <v>76</v>
      </c>
      <c r="F7710" s="1">
        <v>844.8</v>
      </c>
      <c r="G7710" s="1">
        <v>159.15</v>
      </c>
      <c r="H7710" s="1">
        <v>7.0</v>
      </c>
      <c r="I7710" s="1" t="s">
        <v>34</v>
      </c>
      <c r="J7710" s="1" t="s">
        <v>38</v>
      </c>
      <c r="K7710" s="1">
        <f t="shared" si="1"/>
        <v>2021</v>
      </c>
      <c r="L7710" s="1" t="str">
        <f t="shared" si="2"/>
        <v>Nov</v>
      </c>
      <c r="M7710" s="1" t="str">
        <f t="shared" si="3"/>
        <v>Profit</v>
      </c>
    </row>
    <row r="7711" ht="14.25" customHeight="1">
      <c r="A7711" s="1" t="s">
        <v>7745</v>
      </c>
      <c r="B7711" s="2">
        <v>44910.0</v>
      </c>
      <c r="C7711" s="1" t="s">
        <v>26</v>
      </c>
      <c r="D7711" s="1" t="s">
        <v>27</v>
      </c>
      <c r="E7711" s="1" t="s">
        <v>40</v>
      </c>
      <c r="F7711" s="1">
        <v>594.02</v>
      </c>
      <c r="G7711" s="1">
        <v>177.0</v>
      </c>
      <c r="H7711" s="1">
        <v>10.0</v>
      </c>
      <c r="I7711" s="1" t="s">
        <v>17</v>
      </c>
      <c r="J7711" s="1" t="s">
        <v>24</v>
      </c>
      <c r="K7711" s="1">
        <f t="shared" si="1"/>
        <v>2022</v>
      </c>
      <c r="L7711" s="1" t="str">
        <f t="shared" si="2"/>
        <v>Dec</v>
      </c>
      <c r="M7711" s="1" t="str">
        <f t="shared" si="3"/>
        <v>Profit</v>
      </c>
    </row>
    <row r="7712" ht="14.25" customHeight="1">
      <c r="A7712" s="1" t="s">
        <v>7746</v>
      </c>
      <c r="B7712" s="2">
        <v>44553.0</v>
      </c>
      <c r="C7712" s="1" t="s">
        <v>26</v>
      </c>
      <c r="D7712" s="1" t="s">
        <v>27</v>
      </c>
      <c r="E7712" s="1" t="s">
        <v>40</v>
      </c>
      <c r="F7712" s="1">
        <v>350.65</v>
      </c>
      <c r="G7712" s="1">
        <v>171.75</v>
      </c>
      <c r="H7712" s="1">
        <v>10.0</v>
      </c>
      <c r="I7712" s="1" t="s">
        <v>23</v>
      </c>
      <c r="J7712" s="1" t="s">
        <v>38</v>
      </c>
      <c r="K7712" s="1">
        <f t="shared" si="1"/>
        <v>2021</v>
      </c>
      <c r="L7712" s="1" t="str">
        <f t="shared" si="2"/>
        <v>Dec</v>
      </c>
      <c r="M7712" s="1" t="str">
        <f t="shared" si="3"/>
        <v>Profit</v>
      </c>
    </row>
    <row r="7713" ht="14.25" customHeight="1">
      <c r="A7713" s="1" t="s">
        <v>7747</v>
      </c>
      <c r="B7713" s="2">
        <v>44772.0</v>
      </c>
      <c r="C7713" s="1" t="s">
        <v>20</v>
      </c>
      <c r="D7713" s="1" t="s">
        <v>21</v>
      </c>
      <c r="E7713" s="1" t="s">
        <v>22</v>
      </c>
      <c r="F7713" s="1">
        <v>458.88</v>
      </c>
      <c r="G7713" s="1">
        <v>-109.37</v>
      </c>
      <c r="H7713" s="1">
        <v>10.0</v>
      </c>
      <c r="I7713" s="1" t="s">
        <v>17</v>
      </c>
      <c r="J7713" s="1" t="s">
        <v>35</v>
      </c>
      <c r="K7713" s="1">
        <f t="shared" si="1"/>
        <v>2022</v>
      </c>
      <c r="L7713" s="1" t="str">
        <f t="shared" si="2"/>
        <v>Jul</v>
      </c>
      <c r="M7713" s="1" t="str">
        <f t="shared" si="3"/>
        <v>Loss</v>
      </c>
    </row>
    <row r="7714" ht="14.25" customHeight="1">
      <c r="A7714" s="1" t="s">
        <v>7748</v>
      </c>
      <c r="B7714" s="2">
        <v>44322.0</v>
      </c>
      <c r="C7714" s="1" t="s">
        <v>20</v>
      </c>
      <c r="D7714" s="1" t="s">
        <v>21</v>
      </c>
      <c r="E7714" s="1" t="s">
        <v>22</v>
      </c>
      <c r="F7714" s="1">
        <v>980.71</v>
      </c>
      <c r="G7714" s="1">
        <v>146.84</v>
      </c>
      <c r="H7714" s="1">
        <v>9.0</v>
      </c>
      <c r="I7714" s="1" t="s">
        <v>17</v>
      </c>
      <c r="J7714" s="1" t="s">
        <v>24</v>
      </c>
      <c r="K7714" s="1">
        <f t="shared" si="1"/>
        <v>2021</v>
      </c>
      <c r="L7714" s="1" t="str">
        <f t="shared" si="2"/>
        <v>May</v>
      </c>
      <c r="M7714" s="1" t="str">
        <f t="shared" si="3"/>
        <v>Profit</v>
      </c>
    </row>
    <row r="7715" ht="14.25" customHeight="1">
      <c r="A7715" s="1" t="s">
        <v>7749</v>
      </c>
      <c r="B7715" s="2">
        <v>44744.0</v>
      </c>
      <c r="C7715" s="1" t="s">
        <v>14</v>
      </c>
      <c r="D7715" s="1" t="s">
        <v>27</v>
      </c>
      <c r="E7715" s="1" t="s">
        <v>33</v>
      </c>
      <c r="F7715" s="1">
        <v>615.92</v>
      </c>
      <c r="G7715" s="1">
        <v>87.21</v>
      </c>
      <c r="H7715" s="1">
        <v>8.0</v>
      </c>
      <c r="I7715" s="1" t="s">
        <v>17</v>
      </c>
      <c r="J7715" s="1" t="s">
        <v>24</v>
      </c>
      <c r="K7715" s="1">
        <f t="shared" si="1"/>
        <v>2022</v>
      </c>
      <c r="L7715" s="1" t="str">
        <f t="shared" si="2"/>
        <v>Jul</v>
      </c>
      <c r="M7715" s="1" t="str">
        <f t="shared" si="3"/>
        <v>Profit</v>
      </c>
    </row>
    <row r="7716" ht="14.25" customHeight="1">
      <c r="A7716" s="1" t="s">
        <v>7750</v>
      </c>
      <c r="B7716" s="2">
        <v>44720.0</v>
      </c>
      <c r="C7716" s="1" t="s">
        <v>20</v>
      </c>
      <c r="D7716" s="1" t="s">
        <v>21</v>
      </c>
      <c r="E7716" s="1" t="s">
        <v>22</v>
      </c>
      <c r="F7716" s="1">
        <v>683.53</v>
      </c>
      <c r="G7716" s="1">
        <v>215.69</v>
      </c>
      <c r="H7716" s="1">
        <v>5.0</v>
      </c>
      <c r="I7716" s="1" t="s">
        <v>34</v>
      </c>
      <c r="J7716" s="1" t="s">
        <v>24</v>
      </c>
      <c r="K7716" s="1">
        <f t="shared" si="1"/>
        <v>2022</v>
      </c>
      <c r="L7716" s="1" t="str">
        <f t="shared" si="2"/>
        <v>Jun</v>
      </c>
      <c r="M7716" s="1" t="str">
        <f t="shared" si="3"/>
        <v>Profit</v>
      </c>
    </row>
    <row r="7717" ht="14.25" customHeight="1">
      <c r="A7717" s="1" t="s">
        <v>7751</v>
      </c>
      <c r="B7717" s="2">
        <v>44647.0</v>
      </c>
      <c r="C7717" s="1" t="s">
        <v>14</v>
      </c>
      <c r="D7717" s="1" t="s">
        <v>21</v>
      </c>
      <c r="E7717" s="1" t="s">
        <v>37</v>
      </c>
      <c r="F7717" s="1">
        <v>290.25</v>
      </c>
      <c r="G7717" s="1">
        <v>173.31</v>
      </c>
      <c r="H7717" s="1">
        <v>9.0</v>
      </c>
      <c r="I7717" s="1" t="s">
        <v>23</v>
      </c>
      <c r="J7717" s="1" t="s">
        <v>35</v>
      </c>
      <c r="K7717" s="1">
        <f t="shared" si="1"/>
        <v>2022</v>
      </c>
      <c r="L7717" s="1" t="str">
        <f t="shared" si="2"/>
        <v>Mar</v>
      </c>
      <c r="M7717" s="1" t="str">
        <f t="shared" si="3"/>
        <v>Profit</v>
      </c>
    </row>
    <row r="7718" ht="14.25" customHeight="1">
      <c r="A7718" s="1" t="s">
        <v>7752</v>
      </c>
      <c r="B7718" s="2">
        <v>44730.0</v>
      </c>
      <c r="C7718" s="1" t="s">
        <v>14</v>
      </c>
      <c r="D7718" s="1" t="s">
        <v>21</v>
      </c>
      <c r="E7718" s="1" t="s">
        <v>37</v>
      </c>
      <c r="F7718" s="1">
        <v>683.68</v>
      </c>
      <c r="G7718" s="1">
        <v>81.13</v>
      </c>
      <c r="H7718" s="1">
        <v>2.0</v>
      </c>
      <c r="I7718" s="1" t="s">
        <v>34</v>
      </c>
      <c r="J7718" s="1" t="s">
        <v>24</v>
      </c>
      <c r="K7718" s="1">
        <f t="shared" si="1"/>
        <v>2022</v>
      </c>
      <c r="L7718" s="1" t="str">
        <f t="shared" si="2"/>
        <v>Jun</v>
      </c>
      <c r="M7718" s="1" t="str">
        <f t="shared" si="3"/>
        <v>Profit</v>
      </c>
    </row>
    <row r="7719" ht="14.25" customHeight="1">
      <c r="A7719" s="1" t="s">
        <v>7753</v>
      </c>
      <c r="B7719" s="2">
        <v>44815.0</v>
      </c>
      <c r="C7719" s="1" t="s">
        <v>30</v>
      </c>
      <c r="D7719" s="1" t="s">
        <v>15</v>
      </c>
      <c r="E7719" s="1" t="s">
        <v>31</v>
      </c>
      <c r="F7719" s="1">
        <v>217.86</v>
      </c>
      <c r="G7719" s="1">
        <v>83.69</v>
      </c>
      <c r="H7719" s="1">
        <v>3.0</v>
      </c>
      <c r="I7719" s="1" t="s">
        <v>34</v>
      </c>
      <c r="J7719" s="1" t="s">
        <v>38</v>
      </c>
      <c r="K7719" s="1">
        <f t="shared" si="1"/>
        <v>2022</v>
      </c>
      <c r="L7719" s="1" t="str">
        <f t="shared" si="2"/>
        <v>Sep</v>
      </c>
      <c r="M7719" s="1" t="str">
        <f t="shared" si="3"/>
        <v>Profit</v>
      </c>
    </row>
    <row r="7720" ht="14.25" customHeight="1">
      <c r="A7720" s="1" t="s">
        <v>7754</v>
      </c>
      <c r="B7720" s="2">
        <v>44484.0</v>
      </c>
      <c r="C7720" s="1" t="s">
        <v>20</v>
      </c>
      <c r="D7720" s="1" t="s">
        <v>21</v>
      </c>
      <c r="E7720" s="1" t="s">
        <v>76</v>
      </c>
      <c r="F7720" s="1">
        <v>986.91</v>
      </c>
      <c r="G7720" s="1">
        <v>105.07</v>
      </c>
      <c r="H7720" s="1">
        <v>1.0</v>
      </c>
      <c r="I7720" s="1" t="s">
        <v>23</v>
      </c>
      <c r="J7720" s="1" t="s">
        <v>24</v>
      </c>
      <c r="K7720" s="1">
        <f t="shared" si="1"/>
        <v>2021</v>
      </c>
      <c r="L7720" s="1" t="str">
        <f t="shared" si="2"/>
        <v>Oct</v>
      </c>
      <c r="M7720" s="1" t="str">
        <f t="shared" si="3"/>
        <v>Profit</v>
      </c>
    </row>
    <row r="7721" ht="14.25" customHeight="1">
      <c r="A7721" s="1" t="s">
        <v>7755</v>
      </c>
      <c r="B7721" s="2">
        <v>44676.0</v>
      </c>
      <c r="C7721" s="1" t="s">
        <v>20</v>
      </c>
      <c r="D7721" s="1" t="s">
        <v>27</v>
      </c>
      <c r="E7721" s="1" t="s">
        <v>40</v>
      </c>
      <c r="F7721" s="1">
        <v>518.54</v>
      </c>
      <c r="G7721" s="1">
        <v>62.83</v>
      </c>
      <c r="H7721" s="1">
        <v>7.0</v>
      </c>
      <c r="I7721" s="1" t="s">
        <v>34</v>
      </c>
      <c r="J7721" s="1" t="s">
        <v>35</v>
      </c>
      <c r="K7721" s="1">
        <f t="shared" si="1"/>
        <v>2022</v>
      </c>
      <c r="L7721" s="1" t="str">
        <f t="shared" si="2"/>
        <v>Apr</v>
      </c>
      <c r="M7721" s="1" t="str">
        <f t="shared" si="3"/>
        <v>Profit</v>
      </c>
    </row>
    <row r="7722" ht="14.25" customHeight="1">
      <c r="A7722" s="1" t="s">
        <v>7756</v>
      </c>
      <c r="B7722" s="2">
        <v>44783.0</v>
      </c>
      <c r="C7722" s="1" t="s">
        <v>20</v>
      </c>
      <c r="D7722" s="1" t="s">
        <v>21</v>
      </c>
      <c r="E7722" s="1" t="s">
        <v>37</v>
      </c>
      <c r="F7722" s="1">
        <v>64.2</v>
      </c>
      <c r="G7722" s="1">
        <v>172.26</v>
      </c>
      <c r="H7722" s="1">
        <v>6.0</v>
      </c>
      <c r="I7722" s="1" t="s">
        <v>34</v>
      </c>
      <c r="J7722" s="1" t="s">
        <v>24</v>
      </c>
      <c r="K7722" s="1">
        <f t="shared" si="1"/>
        <v>2022</v>
      </c>
      <c r="L7722" s="1" t="str">
        <f t="shared" si="2"/>
        <v>Aug</v>
      </c>
      <c r="M7722" s="1" t="str">
        <f t="shared" si="3"/>
        <v>Profit</v>
      </c>
    </row>
    <row r="7723" ht="14.25" customHeight="1">
      <c r="A7723" s="1" t="s">
        <v>7757</v>
      </c>
      <c r="B7723" s="2">
        <v>44630.0</v>
      </c>
      <c r="C7723" s="1" t="s">
        <v>20</v>
      </c>
      <c r="D7723" s="1" t="s">
        <v>21</v>
      </c>
      <c r="E7723" s="1" t="s">
        <v>37</v>
      </c>
      <c r="F7723" s="1">
        <v>715.34</v>
      </c>
      <c r="G7723" s="1">
        <v>242.8</v>
      </c>
      <c r="H7723" s="1">
        <v>8.0</v>
      </c>
      <c r="I7723" s="1" t="s">
        <v>23</v>
      </c>
      <c r="J7723" s="1" t="s">
        <v>18</v>
      </c>
      <c r="K7723" s="1">
        <f t="shared" si="1"/>
        <v>2022</v>
      </c>
      <c r="L7723" s="1" t="str">
        <f t="shared" si="2"/>
        <v>Mar</v>
      </c>
      <c r="M7723" s="1" t="str">
        <f t="shared" si="3"/>
        <v>Profit</v>
      </c>
    </row>
    <row r="7724" ht="14.25" customHeight="1">
      <c r="A7724" s="1" t="s">
        <v>7758</v>
      </c>
      <c r="B7724" s="2">
        <v>44776.0</v>
      </c>
      <c r="C7724" s="1" t="s">
        <v>30</v>
      </c>
      <c r="D7724" s="1" t="s">
        <v>21</v>
      </c>
      <c r="E7724" s="1" t="s">
        <v>22</v>
      </c>
      <c r="F7724" s="1">
        <v>389.07</v>
      </c>
      <c r="G7724" s="1">
        <v>47.0</v>
      </c>
      <c r="H7724" s="1">
        <v>7.0</v>
      </c>
      <c r="I7724" s="1" t="s">
        <v>17</v>
      </c>
      <c r="J7724" s="1" t="s">
        <v>18</v>
      </c>
      <c r="K7724" s="1">
        <f t="shared" si="1"/>
        <v>2022</v>
      </c>
      <c r="L7724" s="1" t="str">
        <f t="shared" si="2"/>
        <v>Aug</v>
      </c>
      <c r="M7724" s="1" t="str">
        <f t="shared" si="3"/>
        <v>Profit</v>
      </c>
    </row>
    <row r="7725" ht="14.25" customHeight="1">
      <c r="A7725" s="1" t="s">
        <v>7759</v>
      </c>
      <c r="B7725" s="2">
        <v>44429.0</v>
      </c>
      <c r="C7725" s="1" t="s">
        <v>20</v>
      </c>
      <c r="D7725" s="1" t="s">
        <v>15</v>
      </c>
      <c r="E7725" s="1" t="s">
        <v>54</v>
      </c>
      <c r="F7725" s="1">
        <v>510.5</v>
      </c>
      <c r="G7725" s="1">
        <v>61.57</v>
      </c>
      <c r="H7725" s="1">
        <v>4.0</v>
      </c>
      <c r="I7725" s="1" t="s">
        <v>17</v>
      </c>
      <c r="J7725" s="1" t="s">
        <v>35</v>
      </c>
      <c r="K7725" s="1">
        <f t="shared" si="1"/>
        <v>2021</v>
      </c>
      <c r="L7725" s="1" t="str">
        <f t="shared" si="2"/>
        <v>Aug</v>
      </c>
      <c r="M7725" s="1" t="str">
        <f t="shared" si="3"/>
        <v>Profit</v>
      </c>
    </row>
    <row r="7726" ht="14.25" customHeight="1">
      <c r="A7726" s="1" t="s">
        <v>7760</v>
      </c>
      <c r="B7726" s="2">
        <v>44239.0</v>
      </c>
      <c r="C7726" s="1" t="s">
        <v>30</v>
      </c>
      <c r="D7726" s="1" t="s">
        <v>21</v>
      </c>
      <c r="E7726" s="1" t="s">
        <v>22</v>
      </c>
      <c r="F7726" s="1">
        <v>267.68</v>
      </c>
      <c r="G7726" s="1">
        <v>6.7</v>
      </c>
      <c r="H7726" s="1">
        <v>6.0</v>
      </c>
      <c r="I7726" s="1" t="s">
        <v>34</v>
      </c>
      <c r="J7726" s="1" t="s">
        <v>24</v>
      </c>
      <c r="K7726" s="1">
        <f t="shared" si="1"/>
        <v>2021</v>
      </c>
      <c r="L7726" s="1" t="str">
        <f t="shared" si="2"/>
        <v>Feb</v>
      </c>
      <c r="M7726" s="1" t="str">
        <f t="shared" si="3"/>
        <v>Profit</v>
      </c>
    </row>
    <row r="7727" ht="14.25" customHeight="1">
      <c r="A7727" s="1" t="s">
        <v>7761</v>
      </c>
      <c r="B7727" s="2">
        <v>45184.0</v>
      </c>
      <c r="C7727" s="1" t="s">
        <v>26</v>
      </c>
      <c r="D7727" s="1" t="s">
        <v>21</v>
      </c>
      <c r="E7727" s="1" t="s">
        <v>76</v>
      </c>
      <c r="F7727" s="1">
        <v>109.36</v>
      </c>
      <c r="G7727" s="1">
        <v>10.74</v>
      </c>
      <c r="H7727" s="1">
        <v>2.0</v>
      </c>
      <c r="I7727" s="1" t="s">
        <v>17</v>
      </c>
      <c r="J7727" s="1" t="s">
        <v>38</v>
      </c>
      <c r="K7727" s="1">
        <f t="shared" si="1"/>
        <v>2023</v>
      </c>
      <c r="L7727" s="1" t="str">
        <f t="shared" si="2"/>
        <v>Sep</v>
      </c>
      <c r="M7727" s="1" t="str">
        <f t="shared" si="3"/>
        <v>Profit</v>
      </c>
    </row>
    <row r="7728" ht="14.25" customHeight="1">
      <c r="A7728" s="1" t="s">
        <v>7762</v>
      </c>
      <c r="B7728" s="2">
        <v>45029.0</v>
      </c>
      <c r="C7728" s="1" t="s">
        <v>14</v>
      </c>
      <c r="D7728" s="1" t="s">
        <v>15</v>
      </c>
      <c r="E7728" s="1" t="s">
        <v>54</v>
      </c>
      <c r="F7728" s="1">
        <v>858.22</v>
      </c>
      <c r="G7728" s="1">
        <v>183.91</v>
      </c>
      <c r="H7728" s="1">
        <v>2.0</v>
      </c>
      <c r="I7728" s="1" t="s">
        <v>23</v>
      </c>
      <c r="J7728" s="1" t="s">
        <v>38</v>
      </c>
      <c r="K7728" s="1">
        <f t="shared" si="1"/>
        <v>2023</v>
      </c>
      <c r="L7728" s="1" t="str">
        <f t="shared" si="2"/>
        <v>Apr</v>
      </c>
      <c r="M7728" s="1" t="str">
        <f t="shared" si="3"/>
        <v>Profit</v>
      </c>
    </row>
    <row r="7729" ht="14.25" customHeight="1">
      <c r="A7729" s="1" t="s">
        <v>7763</v>
      </c>
      <c r="B7729" s="2">
        <v>44650.0</v>
      </c>
      <c r="C7729" s="1" t="s">
        <v>26</v>
      </c>
      <c r="D7729" s="1" t="s">
        <v>21</v>
      </c>
      <c r="E7729" s="1" t="s">
        <v>76</v>
      </c>
      <c r="F7729" s="1">
        <v>948.4</v>
      </c>
      <c r="G7729" s="1">
        <v>143.64</v>
      </c>
      <c r="H7729" s="1">
        <v>6.0</v>
      </c>
      <c r="I7729" s="1" t="s">
        <v>23</v>
      </c>
      <c r="J7729" s="1" t="s">
        <v>35</v>
      </c>
      <c r="K7729" s="1">
        <f t="shared" si="1"/>
        <v>2022</v>
      </c>
      <c r="L7729" s="1" t="str">
        <f t="shared" si="2"/>
        <v>Mar</v>
      </c>
      <c r="M7729" s="1" t="str">
        <f t="shared" si="3"/>
        <v>Profit</v>
      </c>
    </row>
    <row r="7730" ht="14.25" customHeight="1">
      <c r="A7730" s="1" t="s">
        <v>7764</v>
      </c>
      <c r="B7730" s="2">
        <v>45190.0</v>
      </c>
      <c r="C7730" s="1" t="s">
        <v>20</v>
      </c>
      <c r="D7730" s="1" t="s">
        <v>27</v>
      </c>
      <c r="E7730" s="1" t="s">
        <v>40</v>
      </c>
      <c r="F7730" s="1">
        <v>634.16</v>
      </c>
      <c r="G7730" s="1">
        <v>231.32</v>
      </c>
      <c r="H7730" s="1">
        <v>6.0</v>
      </c>
      <c r="I7730" s="1" t="s">
        <v>17</v>
      </c>
      <c r="J7730" s="1" t="s">
        <v>24</v>
      </c>
      <c r="K7730" s="1">
        <f t="shared" si="1"/>
        <v>2023</v>
      </c>
      <c r="L7730" s="1" t="str">
        <f t="shared" si="2"/>
        <v>Sep</v>
      </c>
      <c r="M7730" s="1" t="str">
        <f t="shared" si="3"/>
        <v>Profit</v>
      </c>
    </row>
    <row r="7731" ht="14.25" customHeight="1">
      <c r="A7731" s="1" t="s">
        <v>7765</v>
      </c>
      <c r="B7731" s="2">
        <v>44651.0</v>
      </c>
      <c r="C7731" s="1" t="s">
        <v>20</v>
      </c>
      <c r="D7731" s="1" t="s">
        <v>27</v>
      </c>
      <c r="E7731" s="1" t="s">
        <v>33</v>
      </c>
      <c r="F7731" s="1">
        <v>817.01</v>
      </c>
      <c r="G7731" s="1">
        <v>113.03</v>
      </c>
      <c r="H7731" s="1">
        <v>8.0</v>
      </c>
      <c r="I7731" s="1" t="s">
        <v>34</v>
      </c>
      <c r="J7731" s="1" t="s">
        <v>38</v>
      </c>
      <c r="K7731" s="1">
        <f t="shared" si="1"/>
        <v>2022</v>
      </c>
      <c r="L7731" s="1" t="str">
        <f t="shared" si="2"/>
        <v>Mar</v>
      </c>
      <c r="M7731" s="1" t="str">
        <f t="shared" si="3"/>
        <v>Profit</v>
      </c>
    </row>
    <row r="7732" ht="14.25" customHeight="1">
      <c r="A7732" s="1" t="s">
        <v>7766</v>
      </c>
      <c r="B7732" s="2">
        <v>44400.0</v>
      </c>
      <c r="C7732" s="1" t="s">
        <v>14</v>
      </c>
      <c r="D7732" s="1" t="s">
        <v>21</v>
      </c>
      <c r="E7732" s="1" t="s">
        <v>37</v>
      </c>
      <c r="F7732" s="1">
        <v>582.92</v>
      </c>
      <c r="G7732" s="1">
        <v>161.6</v>
      </c>
      <c r="H7732" s="1">
        <v>7.0</v>
      </c>
      <c r="I7732" s="1" t="s">
        <v>34</v>
      </c>
      <c r="J7732" s="1" t="s">
        <v>24</v>
      </c>
      <c r="K7732" s="1">
        <f t="shared" si="1"/>
        <v>2021</v>
      </c>
      <c r="L7732" s="1" t="str">
        <f t="shared" si="2"/>
        <v>Jul</v>
      </c>
      <c r="M7732" s="1" t="str">
        <f t="shared" si="3"/>
        <v>Profit</v>
      </c>
    </row>
    <row r="7733" ht="14.25" customHeight="1">
      <c r="A7733" s="1" t="s">
        <v>7767</v>
      </c>
      <c r="B7733" s="2">
        <v>45147.0</v>
      </c>
      <c r="C7733" s="1" t="s">
        <v>26</v>
      </c>
      <c r="D7733" s="1" t="s">
        <v>15</v>
      </c>
      <c r="E7733" s="1" t="s">
        <v>54</v>
      </c>
      <c r="F7733" s="1">
        <v>93.67</v>
      </c>
      <c r="G7733" s="1">
        <v>-141.69</v>
      </c>
      <c r="H7733" s="1">
        <v>8.0</v>
      </c>
      <c r="I7733" s="1" t="s">
        <v>23</v>
      </c>
      <c r="J7733" s="1" t="s">
        <v>18</v>
      </c>
      <c r="K7733" s="1">
        <f t="shared" si="1"/>
        <v>2023</v>
      </c>
      <c r="L7733" s="1" t="str">
        <f t="shared" si="2"/>
        <v>Aug</v>
      </c>
      <c r="M7733" s="1" t="str">
        <f t="shared" si="3"/>
        <v>Loss</v>
      </c>
    </row>
    <row r="7734" ht="14.25" customHeight="1">
      <c r="A7734" s="1" t="s">
        <v>7768</v>
      </c>
      <c r="B7734" s="2">
        <v>44970.0</v>
      </c>
      <c r="C7734" s="1" t="s">
        <v>26</v>
      </c>
      <c r="D7734" s="1" t="s">
        <v>27</v>
      </c>
      <c r="E7734" s="1" t="s">
        <v>33</v>
      </c>
      <c r="F7734" s="1">
        <v>596.51</v>
      </c>
      <c r="G7734" s="1">
        <v>102.94</v>
      </c>
      <c r="H7734" s="1">
        <v>2.0</v>
      </c>
      <c r="I7734" s="1" t="s">
        <v>17</v>
      </c>
      <c r="J7734" s="1" t="s">
        <v>35</v>
      </c>
      <c r="K7734" s="1">
        <f t="shared" si="1"/>
        <v>2023</v>
      </c>
      <c r="L7734" s="1" t="str">
        <f t="shared" si="2"/>
        <v>Feb</v>
      </c>
      <c r="M7734" s="1" t="str">
        <f t="shared" si="3"/>
        <v>Profit</v>
      </c>
    </row>
    <row r="7735" ht="14.25" customHeight="1">
      <c r="A7735" s="1" t="s">
        <v>7769</v>
      </c>
      <c r="B7735" s="2">
        <v>44724.0</v>
      </c>
      <c r="C7735" s="1" t="s">
        <v>14</v>
      </c>
      <c r="D7735" s="1" t="s">
        <v>27</v>
      </c>
      <c r="E7735" s="1" t="s">
        <v>28</v>
      </c>
      <c r="F7735" s="1">
        <v>285.45</v>
      </c>
      <c r="G7735" s="1">
        <v>-33.78</v>
      </c>
      <c r="H7735" s="1">
        <v>7.0</v>
      </c>
      <c r="I7735" s="1" t="s">
        <v>17</v>
      </c>
      <c r="J7735" s="1" t="s">
        <v>38</v>
      </c>
      <c r="K7735" s="1">
        <f t="shared" si="1"/>
        <v>2022</v>
      </c>
      <c r="L7735" s="1" t="str">
        <f t="shared" si="2"/>
        <v>Jun</v>
      </c>
      <c r="M7735" s="1" t="str">
        <f t="shared" si="3"/>
        <v>Loss</v>
      </c>
    </row>
    <row r="7736" ht="14.25" customHeight="1">
      <c r="A7736" s="1" t="s">
        <v>7770</v>
      </c>
      <c r="B7736" s="2">
        <v>44868.0</v>
      </c>
      <c r="C7736" s="1" t="s">
        <v>26</v>
      </c>
      <c r="D7736" s="1" t="s">
        <v>21</v>
      </c>
      <c r="E7736" s="1" t="s">
        <v>37</v>
      </c>
      <c r="F7736" s="1">
        <v>425.1</v>
      </c>
      <c r="G7736" s="1">
        <v>-110.9</v>
      </c>
      <c r="H7736" s="1">
        <v>5.0</v>
      </c>
      <c r="I7736" s="1" t="s">
        <v>34</v>
      </c>
      <c r="J7736" s="1" t="s">
        <v>38</v>
      </c>
      <c r="K7736" s="1">
        <f t="shared" si="1"/>
        <v>2022</v>
      </c>
      <c r="L7736" s="1" t="str">
        <f t="shared" si="2"/>
        <v>Nov</v>
      </c>
      <c r="M7736" s="1" t="str">
        <f t="shared" si="3"/>
        <v>Loss</v>
      </c>
    </row>
    <row r="7737" ht="14.25" customHeight="1">
      <c r="A7737" s="1" t="s">
        <v>7771</v>
      </c>
      <c r="B7737" s="2">
        <v>44241.0</v>
      </c>
      <c r="C7737" s="1" t="s">
        <v>14</v>
      </c>
      <c r="D7737" s="1" t="s">
        <v>21</v>
      </c>
      <c r="E7737" s="1" t="s">
        <v>37</v>
      </c>
      <c r="F7737" s="1">
        <v>144.26</v>
      </c>
      <c r="G7737" s="1">
        <v>99.22</v>
      </c>
      <c r="H7737" s="1">
        <v>3.0</v>
      </c>
      <c r="I7737" s="1" t="s">
        <v>34</v>
      </c>
      <c r="J7737" s="1" t="s">
        <v>35</v>
      </c>
      <c r="K7737" s="1">
        <f t="shared" si="1"/>
        <v>2021</v>
      </c>
      <c r="L7737" s="1" t="str">
        <f t="shared" si="2"/>
        <v>Feb</v>
      </c>
      <c r="M7737" s="1" t="str">
        <f t="shared" si="3"/>
        <v>Profit</v>
      </c>
    </row>
    <row r="7738" ht="14.25" customHeight="1">
      <c r="A7738" s="1" t="s">
        <v>7772</v>
      </c>
      <c r="B7738" s="2">
        <v>44462.0</v>
      </c>
      <c r="C7738" s="1" t="s">
        <v>30</v>
      </c>
      <c r="D7738" s="1" t="s">
        <v>21</v>
      </c>
      <c r="E7738" s="1" t="s">
        <v>76</v>
      </c>
      <c r="F7738" s="1">
        <v>388.59</v>
      </c>
      <c r="G7738" s="1">
        <v>62.22</v>
      </c>
      <c r="H7738" s="1">
        <v>10.0</v>
      </c>
      <c r="I7738" s="1" t="s">
        <v>34</v>
      </c>
      <c r="J7738" s="1" t="s">
        <v>38</v>
      </c>
      <c r="K7738" s="1">
        <f t="shared" si="1"/>
        <v>2021</v>
      </c>
      <c r="L7738" s="1" t="str">
        <f t="shared" si="2"/>
        <v>Sep</v>
      </c>
      <c r="M7738" s="1" t="str">
        <f t="shared" si="3"/>
        <v>Profit</v>
      </c>
    </row>
    <row r="7739" ht="14.25" customHeight="1">
      <c r="A7739" s="1" t="s">
        <v>7773</v>
      </c>
      <c r="B7739" s="2">
        <v>44454.0</v>
      </c>
      <c r="C7739" s="1" t="s">
        <v>14</v>
      </c>
      <c r="D7739" s="1" t="s">
        <v>21</v>
      </c>
      <c r="E7739" s="1" t="s">
        <v>76</v>
      </c>
      <c r="F7739" s="1">
        <v>905.72</v>
      </c>
      <c r="G7739" s="1">
        <v>23.97</v>
      </c>
      <c r="H7739" s="1">
        <v>3.0</v>
      </c>
      <c r="I7739" s="1" t="s">
        <v>34</v>
      </c>
      <c r="J7739" s="1" t="s">
        <v>38</v>
      </c>
      <c r="K7739" s="1">
        <f t="shared" si="1"/>
        <v>2021</v>
      </c>
      <c r="L7739" s="1" t="str">
        <f t="shared" si="2"/>
        <v>Sep</v>
      </c>
      <c r="M7739" s="1" t="str">
        <f t="shared" si="3"/>
        <v>Profit</v>
      </c>
    </row>
    <row r="7740" ht="14.25" customHeight="1">
      <c r="A7740" s="1" t="s">
        <v>7774</v>
      </c>
      <c r="B7740" s="2">
        <v>44356.0</v>
      </c>
      <c r="C7740" s="1" t="s">
        <v>14</v>
      </c>
      <c r="D7740" s="1" t="s">
        <v>27</v>
      </c>
      <c r="E7740" s="1" t="s">
        <v>40</v>
      </c>
      <c r="F7740" s="1">
        <v>413.94</v>
      </c>
      <c r="G7740" s="1">
        <v>114.57</v>
      </c>
      <c r="H7740" s="1">
        <v>4.0</v>
      </c>
      <c r="I7740" s="1" t="s">
        <v>23</v>
      </c>
      <c r="J7740" s="1" t="s">
        <v>24</v>
      </c>
      <c r="K7740" s="1">
        <f t="shared" si="1"/>
        <v>2021</v>
      </c>
      <c r="L7740" s="1" t="str">
        <f t="shared" si="2"/>
        <v>Jun</v>
      </c>
      <c r="M7740" s="1" t="str">
        <f t="shared" si="3"/>
        <v>Profit</v>
      </c>
    </row>
    <row r="7741" ht="14.25" customHeight="1">
      <c r="A7741" s="1" t="s">
        <v>7775</v>
      </c>
      <c r="B7741" s="2">
        <v>44715.0</v>
      </c>
      <c r="C7741" s="1" t="s">
        <v>20</v>
      </c>
      <c r="D7741" s="1" t="s">
        <v>27</v>
      </c>
      <c r="E7741" s="1" t="s">
        <v>28</v>
      </c>
      <c r="F7741" s="1">
        <v>389.71</v>
      </c>
      <c r="G7741" s="1">
        <v>25.68</v>
      </c>
      <c r="H7741" s="1">
        <v>1.0</v>
      </c>
      <c r="I7741" s="1" t="s">
        <v>23</v>
      </c>
      <c r="J7741" s="1" t="s">
        <v>38</v>
      </c>
      <c r="K7741" s="1">
        <f t="shared" si="1"/>
        <v>2022</v>
      </c>
      <c r="L7741" s="1" t="str">
        <f t="shared" si="2"/>
        <v>Jun</v>
      </c>
      <c r="M7741" s="1" t="str">
        <f t="shared" si="3"/>
        <v>Profit</v>
      </c>
    </row>
    <row r="7742" ht="14.25" customHeight="1">
      <c r="A7742" s="1" t="s">
        <v>7776</v>
      </c>
      <c r="B7742" s="2">
        <v>44943.0</v>
      </c>
      <c r="C7742" s="1" t="s">
        <v>14</v>
      </c>
      <c r="D7742" s="1" t="s">
        <v>21</v>
      </c>
      <c r="E7742" s="1" t="s">
        <v>76</v>
      </c>
      <c r="F7742" s="1">
        <v>722.31</v>
      </c>
      <c r="G7742" s="1">
        <v>112.38</v>
      </c>
      <c r="H7742" s="1">
        <v>6.0</v>
      </c>
      <c r="I7742" s="1" t="s">
        <v>34</v>
      </c>
      <c r="J7742" s="1" t="s">
        <v>18</v>
      </c>
      <c r="K7742" s="1">
        <f t="shared" si="1"/>
        <v>2023</v>
      </c>
      <c r="L7742" s="1" t="str">
        <f t="shared" si="2"/>
        <v>Jan</v>
      </c>
      <c r="M7742" s="1" t="str">
        <f t="shared" si="3"/>
        <v>Profit</v>
      </c>
    </row>
    <row r="7743" ht="14.25" customHeight="1">
      <c r="A7743" s="1" t="s">
        <v>7777</v>
      </c>
      <c r="B7743" s="2">
        <v>44818.0</v>
      </c>
      <c r="C7743" s="1" t="s">
        <v>14</v>
      </c>
      <c r="D7743" s="1" t="s">
        <v>21</v>
      </c>
      <c r="E7743" s="1" t="s">
        <v>22</v>
      </c>
      <c r="F7743" s="1">
        <v>866.38</v>
      </c>
      <c r="G7743" s="1">
        <v>2.58</v>
      </c>
      <c r="H7743" s="1">
        <v>2.0</v>
      </c>
      <c r="I7743" s="1" t="s">
        <v>34</v>
      </c>
      <c r="J7743" s="1" t="s">
        <v>18</v>
      </c>
      <c r="K7743" s="1">
        <f t="shared" si="1"/>
        <v>2022</v>
      </c>
      <c r="L7743" s="1" t="str">
        <f t="shared" si="2"/>
        <v>Sep</v>
      </c>
      <c r="M7743" s="1" t="str">
        <f t="shared" si="3"/>
        <v>Profit</v>
      </c>
    </row>
    <row r="7744" ht="14.25" customHeight="1">
      <c r="A7744" s="1" t="s">
        <v>7778</v>
      </c>
      <c r="B7744" s="2">
        <v>45272.0</v>
      </c>
      <c r="C7744" s="1" t="s">
        <v>20</v>
      </c>
      <c r="D7744" s="1" t="s">
        <v>21</v>
      </c>
      <c r="E7744" s="1" t="s">
        <v>76</v>
      </c>
      <c r="F7744" s="1">
        <v>453.5</v>
      </c>
      <c r="G7744" s="1">
        <v>-127.15</v>
      </c>
      <c r="H7744" s="1">
        <v>1.0</v>
      </c>
      <c r="I7744" s="1" t="s">
        <v>23</v>
      </c>
      <c r="J7744" s="1" t="s">
        <v>35</v>
      </c>
      <c r="K7744" s="1">
        <f t="shared" si="1"/>
        <v>2023</v>
      </c>
      <c r="L7744" s="1" t="str">
        <f t="shared" si="2"/>
        <v>Dec</v>
      </c>
      <c r="M7744" s="1" t="str">
        <f t="shared" si="3"/>
        <v>Loss</v>
      </c>
    </row>
    <row r="7745" ht="14.25" customHeight="1">
      <c r="A7745" s="1" t="s">
        <v>7779</v>
      </c>
      <c r="B7745" s="2">
        <v>44763.0</v>
      </c>
      <c r="C7745" s="1" t="s">
        <v>20</v>
      </c>
      <c r="D7745" s="1" t="s">
        <v>15</v>
      </c>
      <c r="E7745" s="1" t="s">
        <v>31</v>
      </c>
      <c r="F7745" s="1">
        <v>706.9</v>
      </c>
      <c r="G7745" s="1">
        <v>104.89</v>
      </c>
      <c r="H7745" s="1">
        <v>10.0</v>
      </c>
      <c r="I7745" s="1" t="s">
        <v>23</v>
      </c>
      <c r="J7745" s="1" t="s">
        <v>18</v>
      </c>
      <c r="K7745" s="1">
        <f t="shared" si="1"/>
        <v>2022</v>
      </c>
      <c r="L7745" s="1" t="str">
        <f t="shared" si="2"/>
        <v>Jul</v>
      </c>
      <c r="M7745" s="1" t="str">
        <f t="shared" si="3"/>
        <v>Profit</v>
      </c>
    </row>
    <row r="7746" ht="14.25" customHeight="1">
      <c r="A7746" s="1" t="s">
        <v>7780</v>
      </c>
      <c r="B7746" s="2">
        <v>44908.0</v>
      </c>
      <c r="C7746" s="1" t="s">
        <v>26</v>
      </c>
      <c r="D7746" s="1" t="s">
        <v>15</v>
      </c>
      <c r="E7746" s="1" t="s">
        <v>54</v>
      </c>
      <c r="F7746" s="1">
        <v>391.15</v>
      </c>
      <c r="G7746" s="1">
        <v>-2.92</v>
      </c>
      <c r="H7746" s="1">
        <v>9.0</v>
      </c>
      <c r="I7746" s="1" t="s">
        <v>34</v>
      </c>
      <c r="J7746" s="1" t="s">
        <v>38</v>
      </c>
      <c r="K7746" s="1">
        <f t="shared" si="1"/>
        <v>2022</v>
      </c>
      <c r="L7746" s="1" t="str">
        <f t="shared" si="2"/>
        <v>Dec</v>
      </c>
      <c r="M7746" s="1" t="str">
        <f t="shared" si="3"/>
        <v>Loss</v>
      </c>
    </row>
    <row r="7747" ht="14.25" customHeight="1">
      <c r="A7747" s="1" t="s">
        <v>7781</v>
      </c>
      <c r="B7747" s="2">
        <v>44857.0</v>
      </c>
      <c r="C7747" s="1" t="s">
        <v>26</v>
      </c>
      <c r="D7747" s="1" t="s">
        <v>15</v>
      </c>
      <c r="E7747" s="1" t="s">
        <v>16</v>
      </c>
      <c r="F7747" s="1">
        <v>94.44</v>
      </c>
      <c r="G7747" s="1">
        <v>134.99</v>
      </c>
      <c r="H7747" s="1">
        <v>9.0</v>
      </c>
      <c r="I7747" s="1" t="s">
        <v>17</v>
      </c>
      <c r="J7747" s="1" t="s">
        <v>35</v>
      </c>
      <c r="K7747" s="1">
        <f t="shared" si="1"/>
        <v>2022</v>
      </c>
      <c r="L7747" s="1" t="str">
        <f t="shared" si="2"/>
        <v>Oct</v>
      </c>
      <c r="M7747" s="1" t="str">
        <f t="shared" si="3"/>
        <v>Profit</v>
      </c>
    </row>
    <row r="7748" ht="14.25" customHeight="1">
      <c r="A7748" s="1" t="s">
        <v>7782</v>
      </c>
      <c r="B7748" s="2">
        <v>44885.0</v>
      </c>
      <c r="C7748" s="1" t="s">
        <v>30</v>
      </c>
      <c r="D7748" s="1" t="s">
        <v>21</v>
      </c>
      <c r="E7748" s="1" t="s">
        <v>37</v>
      </c>
      <c r="F7748" s="1">
        <v>902.53</v>
      </c>
      <c r="G7748" s="1">
        <v>255.19</v>
      </c>
      <c r="H7748" s="1">
        <v>9.0</v>
      </c>
      <c r="I7748" s="1" t="s">
        <v>23</v>
      </c>
      <c r="J7748" s="1" t="s">
        <v>38</v>
      </c>
      <c r="K7748" s="1">
        <f t="shared" si="1"/>
        <v>2022</v>
      </c>
      <c r="L7748" s="1" t="str">
        <f t="shared" si="2"/>
        <v>Nov</v>
      </c>
      <c r="M7748" s="1" t="str">
        <f t="shared" si="3"/>
        <v>Profit</v>
      </c>
    </row>
    <row r="7749" ht="14.25" customHeight="1">
      <c r="A7749" s="1" t="s">
        <v>7783</v>
      </c>
      <c r="B7749" s="2">
        <v>44359.0</v>
      </c>
      <c r="C7749" s="1" t="s">
        <v>20</v>
      </c>
      <c r="D7749" s="1" t="s">
        <v>27</v>
      </c>
      <c r="E7749" s="1" t="s">
        <v>33</v>
      </c>
      <c r="F7749" s="1">
        <v>797.5</v>
      </c>
      <c r="G7749" s="1">
        <v>-187.26</v>
      </c>
      <c r="H7749" s="1">
        <v>10.0</v>
      </c>
      <c r="I7749" s="1" t="s">
        <v>23</v>
      </c>
      <c r="J7749" s="1" t="s">
        <v>35</v>
      </c>
      <c r="K7749" s="1">
        <f t="shared" si="1"/>
        <v>2021</v>
      </c>
      <c r="L7749" s="1" t="str">
        <f t="shared" si="2"/>
        <v>Jun</v>
      </c>
      <c r="M7749" s="1" t="str">
        <f t="shared" si="3"/>
        <v>Loss</v>
      </c>
    </row>
    <row r="7750" ht="14.25" customHeight="1">
      <c r="A7750" s="1" t="s">
        <v>7784</v>
      </c>
      <c r="B7750" s="2">
        <v>44316.0</v>
      </c>
      <c r="C7750" s="1" t="s">
        <v>30</v>
      </c>
      <c r="D7750" s="1" t="s">
        <v>15</v>
      </c>
      <c r="E7750" s="1" t="s">
        <v>54</v>
      </c>
      <c r="F7750" s="1">
        <v>929.3</v>
      </c>
      <c r="G7750" s="1">
        <v>-180.78</v>
      </c>
      <c r="H7750" s="1">
        <v>7.0</v>
      </c>
      <c r="I7750" s="1" t="s">
        <v>23</v>
      </c>
      <c r="J7750" s="1" t="s">
        <v>35</v>
      </c>
      <c r="K7750" s="1">
        <f t="shared" si="1"/>
        <v>2021</v>
      </c>
      <c r="L7750" s="1" t="str">
        <f t="shared" si="2"/>
        <v>Apr</v>
      </c>
      <c r="M7750" s="1" t="str">
        <f t="shared" si="3"/>
        <v>Loss</v>
      </c>
    </row>
    <row r="7751" ht="14.25" customHeight="1">
      <c r="A7751" s="1" t="s">
        <v>7785</v>
      </c>
      <c r="B7751" s="2">
        <v>44308.0</v>
      </c>
      <c r="C7751" s="1" t="s">
        <v>20</v>
      </c>
      <c r="D7751" s="1" t="s">
        <v>15</v>
      </c>
      <c r="E7751" s="1" t="s">
        <v>31</v>
      </c>
      <c r="F7751" s="1">
        <v>43.58</v>
      </c>
      <c r="G7751" s="1">
        <v>273.62</v>
      </c>
      <c r="H7751" s="1">
        <v>7.0</v>
      </c>
      <c r="I7751" s="1" t="s">
        <v>34</v>
      </c>
      <c r="J7751" s="1" t="s">
        <v>18</v>
      </c>
      <c r="K7751" s="1">
        <f t="shared" si="1"/>
        <v>2021</v>
      </c>
      <c r="L7751" s="1" t="str">
        <f t="shared" si="2"/>
        <v>Apr</v>
      </c>
      <c r="M7751" s="1" t="str">
        <f t="shared" si="3"/>
        <v>Profit</v>
      </c>
    </row>
    <row r="7752" ht="14.25" customHeight="1">
      <c r="A7752" s="1" t="s">
        <v>7786</v>
      </c>
      <c r="B7752" s="2">
        <v>45120.0</v>
      </c>
      <c r="C7752" s="1" t="s">
        <v>30</v>
      </c>
      <c r="D7752" s="1" t="s">
        <v>27</v>
      </c>
      <c r="E7752" s="1" t="s">
        <v>40</v>
      </c>
      <c r="F7752" s="1">
        <v>787.31</v>
      </c>
      <c r="G7752" s="1">
        <v>150.01</v>
      </c>
      <c r="H7752" s="1">
        <v>4.0</v>
      </c>
      <c r="I7752" s="1" t="s">
        <v>34</v>
      </c>
      <c r="J7752" s="1" t="s">
        <v>18</v>
      </c>
      <c r="K7752" s="1">
        <f t="shared" si="1"/>
        <v>2023</v>
      </c>
      <c r="L7752" s="1" t="str">
        <f t="shared" si="2"/>
        <v>Jul</v>
      </c>
      <c r="M7752" s="1" t="str">
        <f t="shared" si="3"/>
        <v>Profit</v>
      </c>
    </row>
    <row r="7753" ht="14.25" customHeight="1">
      <c r="A7753" s="1" t="s">
        <v>7787</v>
      </c>
      <c r="B7753" s="2">
        <v>44282.0</v>
      </c>
      <c r="C7753" s="1" t="s">
        <v>20</v>
      </c>
      <c r="D7753" s="1" t="s">
        <v>27</v>
      </c>
      <c r="E7753" s="1" t="s">
        <v>33</v>
      </c>
      <c r="F7753" s="1">
        <v>970.23</v>
      </c>
      <c r="G7753" s="1">
        <v>189.35</v>
      </c>
      <c r="H7753" s="1">
        <v>9.0</v>
      </c>
      <c r="I7753" s="1" t="s">
        <v>34</v>
      </c>
      <c r="J7753" s="1" t="s">
        <v>18</v>
      </c>
      <c r="K7753" s="1">
        <f t="shared" si="1"/>
        <v>2021</v>
      </c>
      <c r="L7753" s="1" t="str">
        <f t="shared" si="2"/>
        <v>Mar</v>
      </c>
      <c r="M7753" s="1" t="str">
        <f t="shared" si="3"/>
        <v>Profit</v>
      </c>
    </row>
    <row r="7754" ht="14.25" customHeight="1">
      <c r="A7754" s="1" t="s">
        <v>7788</v>
      </c>
      <c r="B7754" s="2">
        <v>44573.0</v>
      </c>
      <c r="C7754" s="1" t="s">
        <v>26</v>
      </c>
      <c r="D7754" s="1" t="s">
        <v>21</v>
      </c>
      <c r="E7754" s="1" t="s">
        <v>37</v>
      </c>
      <c r="F7754" s="1">
        <v>423.46</v>
      </c>
      <c r="G7754" s="1">
        <v>286.56</v>
      </c>
      <c r="H7754" s="1">
        <v>5.0</v>
      </c>
      <c r="I7754" s="1" t="s">
        <v>34</v>
      </c>
      <c r="J7754" s="1" t="s">
        <v>38</v>
      </c>
      <c r="K7754" s="1">
        <f t="shared" si="1"/>
        <v>2022</v>
      </c>
      <c r="L7754" s="1" t="str">
        <f t="shared" si="2"/>
        <v>Jan</v>
      </c>
      <c r="M7754" s="1" t="str">
        <f t="shared" si="3"/>
        <v>Profit</v>
      </c>
    </row>
    <row r="7755" ht="14.25" customHeight="1">
      <c r="A7755" s="1" t="s">
        <v>7789</v>
      </c>
      <c r="B7755" s="2">
        <v>45280.0</v>
      </c>
      <c r="C7755" s="1" t="s">
        <v>26</v>
      </c>
      <c r="D7755" s="1" t="s">
        <v>15</v>
      </c>
      <c r="E7755" s="1" t="s">
        <v>31</v>
      </c>
      <c r="F7755" s="1">
        <v>589.9</v>
      </c>
      <c r="G7755" s="1">
        <v>207.54</v>
      </c>
      <c r="H7755" s="1">
        <v>2.0</v>
      </c>
      <c r="I7755" s="1" t="s">
        <v>34</v>
      </c>
      <c r="J7755" s="1" t="s">
        <v>35</v>
      </c>
      <c r="K7755" s="1">
        <f t="shared" si="1"/>
        <v>2023</v>
      </c>
      <c r="L7755" s="1" t="str">
        <f t="shared" si="2"/>
        <v>Dec</v>
      </c>
      <c r="M7755" s="1" t="str">
        <f t="shared" si="3"/>
        <v>Profit</v>
      </c>
    </row>
    <row r="7756" ht="14.25" customHeight="1">
      <c r="A7756" s="1" t="s">
        <v>7790</v>
      </c>
      <c r="B7756" s="2">
        <v>45212.0</v>
      </c>
      <c r="C7756" s="1" t="s">
        <v>30</v>
      </c>
      <c r="D7756" s="1" t="s">
        <v>15</v>
      </c>
      <c r="E7756" s="1" t="s">
        <v>16</v>
      </c>
      <c r="F7756" s="1">
        <v>235.97</v>
      </c>
      <c r="G7756" s="1">
        <v>-73.56</v>
      </c>
      <c r="H7756" s="1">
        <v>2.0</v>
      </c>
      <c r="I7756" s="1" t="s">
        <v>23</v>
      </c>
      <c r="J7756" s="1" t="s">
        <v>35</v>
      </c>
      <c r="K7756" s="1">
        <f t="shared" si="1"/>
        <v>2023</v>
      </c>
      <c r="L7756" s="1" t="str">
        <f t="shared" si="2"/>
        <v>Oct</v>
      </c>
      <c r="M7756" s="1" t="str">
        <f t="shared" si="3"/>
        <v>Loss</v>
      </c>
    </row>
    <row r="7757" ht="14.25" customHeight="1">
      <c r="A7757" s="1" t="s">
        <v>7791</v>
      </c>
      <c r="B7757" s="2">
        <v>44629.0</v>
      </c>
      <c r="C7757" s="1" t="s">
        <v>14</v>
      </c>
      <c r="D7757" s="1" t="s">
        <v>27</v>
      </c>
      <c r="E7757" s="1" t="s">
        <v>28</v>
      </c>
      <c r="F7757" s="1">
        <v>316.29</v>
      </c>
      <c r="G7757" s="1">
        <v>94.02</v>
      </c>
      <c r="H7757" s="1">
        <v>10.0</v>
      </c>
      <c r="I7757" s="1" t="s">
        <v>34</v>
      </c>
      <c r="J7757" s="1" t="s">
        <v>24</v>
      </c>
      <c r="K7757" s="1">
        <f t="shared" si="1"/>
        <v>2022</v>
      </c>
      <c r="L7757" s="1" t="str">
        <f t="shared" si="2"/>
        <v>Mar</v>
      </c>
      <c r="M7757" s="1" t="str">
        <f t="shared" si="3"/>
        <v>Profit</v>
      </c>
    </row>
    <row r="7758" ht="14.25" customHeight="1">
      <c r="A7758" s="1" t="s">
        <v>7792</v>
      </c>
      <c r="B7758" s="2">
        <v>44609.0</v>
      </c>
      <c r="C7758" s="1" t="s">
        <v>20</v>
      </c>
      <c r="D7758" s="1" t="s">
        <v>27</v>
      </c>
      <c r="E7758" s="1" t="s">
        <v>33</v>
      </c>
      <c r="F7758" s="1">
        <v>706.0</v>
      </c>
      <c r="G7758" s="1">
        <v>100.11</v>
      </c>
      <c r="H7758" s="1">
        <v>4.0</v>
      </c>
      <c r="I7758" s="1" t="s">
        <v>23</v>
      </c>
      <c r="J7758" s="1" t="s">
        <v>18</v>
      </c>
      <c r="K7758" s="1">
        <f t="shared" si="1"/>
        <v>2022</v>
      </c>
      <c r="L7758" s="1" t="str">
        <f t="shared" si="2"/>
        <v>Feb</v>
      </c>
      <c r="M7758" s="1" t="str">
        <f t="shared" si="3"/>
        <v>Profit</v>
      </c>
    </row>
    <row r="7759" ht="14.25" customHeight="1">
      <c r="A7759" s="1" t="s">
        <v>7793</v>
      </c>
      <c r="B7759" s="2">
        <v>44278.0</v>
      </c>
      <c r="C7759" s="1" t="s">
        <v>20</v>
      </c>
      <c r="D7759" s="1" t="s">
        <v>21</v>
      </c>
      <c r="E7759" s="1" t="s">
        <v>76</v>
      </c>
      <c r="F7759" s="1">
        <v>286.15</v>
      </c>
      <c r="G7759" s="1">
        <v>-108.01</v>
      </c>
      <c r="H7759" s="1">
        <v>6.0</v>
      </c>
      <c r="I7759" s="1" t="s">
        <v>34</v>
      </c>
      <c r="J7759" s="1" t="s">
        <v>18</v>
      </c>
      <c r="K7759" s="1">
        <f t="shared" si="1"/>
        <v>2021</v>
      </c>
      <c r="L7759" s="1" t="str">
        <f t="shared" si="2"/>
        <v>Mar</v>
      </c>
      <c r="M7759" s="1" t="str">
        <f t="shared" si="3"/>
        <v>Loss</v>
      </c>
    </row>
    <row r="7760" ht="14.25" customHeight="1">
      <c r="A7760" s="1" t="s">
        <v>7794</v>
      </c>
      <c r="B7760" s="2">
        <v>44305.0</v>
      </c>
      <c r="C7760" s="1" t="s">
        <v>14</v>
      </c>
      <c r="D7760" s="1" t="s">
        <v>21</v>
      </c>
      <c r="E7760" s="1" t="s">
        <v>37</v>
      </c>
      <c r="F7760" s="1">
        <v>478.95</v>
      </c>
      <c r="G7760" s="1">
        <v>-35.75</v>
      </c>
      <c r="H7760" s="1">
        <v>3.0</v>
      </c>
      <c r="I7760" s="1" t="s">
        <v>17</v>
      </c>
      <c r="J7760" s="1" t="s">
        <v>18</v>
      </c>
      <c r="K7760" s="1">
        <f t="shared" si="1"/>
        <v>2021</v>
      </c>
      <c r="L7760" s="1" t="str">
        <f t="shared" si="2"/>
        <v>Apr</v>
      </c>
      <c r="M7760" s="1" t="str">
        <f t="shared" si="3"/>
        <v>Loss</v>
      </c>
    </row>
    <row r="7761" ht="14.25" customHeight="1">
      <c r="A7761" s="1" t="s">
        <v>7795</v>
      </c>
      <c r="B7761" s="2">
        <v>44482.0</v>
      </c>
      <c r="C7761" s="1" t="s">
        <v>20</v>
      </c>
      <c r="D7761" s="1" t="s">
        <v>15</v>
      </c>
      <c r="E7761" s="1" t="s">
        <v>16</v>
      </c>
      <c r="F7761" s="1">
        <v>288.88</v>
      </c>
      <c r="G7761" s="1">
        <v>16.91</v>
      </c>
      <c r="H7761" s="1">
        <v>8.0</v>
      </c>
      <c r="I7761" s="1" t="s">
        <v>23</v>
      </c>
      <c r="J7761" s="1" t="s">
        <v>18</v>
      </c>
      <c r="K7761" s="1">
        <f t="shared" si="1"/>
        <v>2021</v>
      </c>
      <c r="L7761" s="1" t="str">
        <f t="shared" si="2"/>
        <v>Oct</v>
      </c>
      <c r="M7761" s="1" t="str">
        <f t="shared" si="3"/>
        <v>Profit</v>
      </c>
    </row>
    <row r="7762" ht="14.25" customHeight="1">
      <c r="A7762" s="1" t="s">
        <v>7796</v>
      </c>
      <c r="B7762" s="2">
        <v>44852.0</v>
      </c>
      <c r="C7762" s="1" t="s">
        <v>20</v>
      </c>
      <c r="D7762" s="1" t="s">
        <v>27</v>
      </c>
      <c r="E7762" s="1" t="s">
        <v>33</v>
      </c>
      <c r="F7762" s="1">
        <v>451.07</v>
      </c>
      <c r="G7762" s="1">
        <v>-145.8</v>
      </c>
      <c r="H7762" s="1">
        <v>9.0</v>
      </c>
      <c r="I7762" s="1" t="s">
        <v>34</v>
      </c>
      <c r="J7762" s="1" t="s">
        <v>38</v>
      </c>
      <c r="K7762" s="1">
        <f t="shared" si="1"/>
        <v>2022</v>
      </c>
      <c r="L7762" s="1" t="str">
        <f t="shared" si="2"/>
        <v>Oct</v>
      </c>
      <c r="M7762" s="1" t="str">
        <f t="shared" si="3"/>
        <v>Loss</v>
      </c>
    </row>
    <row r="7763" ht="14.25" customHeight="1">
      <c r="A7763" s="1" t="s">
        <v>7797</v>
      </c>
      <c r="B7763" s="2">
        <v>44588.0</v>
      </c>
      <c r="C7763" s="1" t="s">
        <v>20</v>
      </c>
      <c r="D7763" s="1" t="s">
        <v>15</v>
      </c>
      <c r="E7763" s="1" t="s">
        <v>54</v>
      </c>
      <c r="F7763" s="1">
        <v>214.98</v>
      </c>
      <c r="G7763" s="1">
        <v>108.39</v>
      </c>
      <c r="H7763" s="1">
        <v>1.0</v>
      </c>
      <c r="I7763" s="1" t="s">
        <v>34</v>
      </c>
      <c r="J7763" s="1" t="s">
        <v>24</v>
      </c>
      <c r="K7763" s="1">
        <f t="shared" si="1"/>
        <v>2022</v>
      </c>
      <c r="L7763" s="1" t="str">
        <f t="shared" si="2"/>
        <v>Jan</v>
      </c>
      <c r="M7763" s="1" t="str">
        <f t="shared" si="3"/>
        <v>Profit</v>
      </c>
    </row>
    <row r="7764" ht="14.25" customHeight="1">
      <c r="A7764" s="1" t="s">
        <v>7798</v>
      </c>
      <c r="B7764" s="2">
        <v>45053.0</v>
      </c>
      <c r="C7764" s="1" t="s">
        <v>26</v>
      </c>
      <c r="D7764" s="1" t="s">
        <v>21</v>
      </c>
      <c r="E7764" s="1" t="s">
        <v>37</v>
      </c>
      <c r="F7764" s="1">
        <v>973.8</v>
      </c>
      <c r="G7764" s="1">
        <v>105.07</v>
      </c>
      <c r="H7764" s="1">
        <v>8.0</v>
      </c>
      <c r="I7764" s="1" t="s">
        <v>34</v>
      </c>
      <c r="J7764" s="1" t="s">
        <v>18</v>
      </c>
      <c r="K7764" s="1">
        <f t="shared" si="1"/>
        <v>2023</v>
      </c>
      <c r="L7764" s="1" t="str">
        <f t="shared" si="2"/>
        <v>May</v>
      </c>
      <c r="M7764" s="1" t="str">
        <f t="shared" si="3"/>
        <v>Profit</v>
      </c>
    </row>
    <row r="7765" ht="14.25" customHeight="1">
      <c r="A7765" s="1" t="s">
        <v>7799</v>
      </c>
      <c r="B7765" s="2">
        <v>44724.0</v>
      </c>
      <c r="C7765" s="1" t="s">
        <v>30</v>
      </c>
      <c r="D7765" s="1" t="s">
        <v>27</v>
      </c>
      <c r="E7765" s="1" t="s">
        <v>28</v>
      </c>
      <c r="F7765" s="1">
        <v>330.66</v>
      </c>
      <c r="G7765" s="1">
        <v>12.7</v>
      </c>
      <c r="H7765" s="1">
        <v>5.0</v>
      </c>
      <c r="I7765" s="1" t="s">
        <v>17</v>
      </c>
      <c r="J7765" s="1" t="s">
        <v>35</v>
      </c>
      <c r="K7765" s="1">
        <f t="shared" si="1"/>
        <v>2022</v>
      </c>
      <c r="L7765" s="1" t="str">
        <f t="shared" si="2"/>
        <v>Jun</v>
      </c>
      <c r="M7765" s="1" t="str">
        <f t="shared" si="3"/>
        <v>Profit</v>
      </c>
    </row>
    <row r="7766" ht="14.25" customHeight="1">
      <c r="A7766" s="1" t="s">
        <v>7800</v>
      </c>
      <c r="B7766" s="2">
        <v>44280.0</v>
      </c>
      <c r="C7766" s="1" t="s">
        <v>20</v>
      </c>
      <c r="D7766" s="1" t="s">
        <v>15</v>
      </c>
      <c r="E7766" s="1" t="s">
        <v>16</v>
      </c>
      <c r="F7766" s="1">
        <v>37.36</v>
      </c>
      <c r="G7766" s="1">
        <v>-29.44</v>
      </c>
      <c r="H7766" s="1">
        <v>2.0</v>
      </c>
      <c r="I7766" s="1" t="s">
        <v>34</v>
      </c>
      <c r="J7766" s="1" t="s">
        <v>24</v>
      </c>
      <c r="K7766" s="1">
        <f t="shared" si="1"/>
        <v>2021</v>
      </c>
      <c r="L7766" s="1" t="str">
        <f t="shared" si="2"/>
        <v>Mar</v>
      </c>
      <c r="M7766" s="1" t="str">
        <f t="shared" si="3"/>
        <v>Loss</v>
      </c>
    </row>
    <row r="7767" ht="14.25" customHeight="1">
      <c r="A7767" s="1" t="s">
        <v>7801</v>
      </c>
      <c r="B7767" s="2">
        <v>44911.0</v>
      </c>
      <c r="C7767" s="1" t="s">
        <v>14</v>
      </c>
      <c r="D7767" s="1" t="s">
        <v>21</v>
      </c>
      <c r="E7767" s="1" t="s">
        <v>22</v>
      </c>
      <c r="F7767" s="1">
        <v>210.12</v>
      </c>
      <c r="G7767" s="1">
        <v>256.2</v>
      </c>
      <c r="H7767" s="1">
        <v>2.0</v>
      </c>
      <c r="I7767" s="1" t="s">
        <v>17</v>
      </c>
      <c r="J7767" s="1" t="s">
        <v>35</v>
      </c>
      <c r="K7767" s="1">
        <f t="shared" si="1"/>
        <v>2022</v>
      </c>
      <c r="L7767" s="1" t="str">
        <f t="shared" si="2"/>
        <v>Dec</v>
      </c>
      <c r="M7767" s="1" t="str">
        <f t="shared" si="3"/>
        <v>Profit</v>
      </c>
    </row>
    <row r="7768" ht="14.25" customHeight="1">
      <c r="A7768" s="1" t="s">
        <v>7802</v>
      </c>
      <c r="B7768" s="2">
        <v>44589.0</v>
      </c>
      <c r="C7768" s="1" t="s">
        <v>14</v>
      </c>
      <c r="D7768" s="1" t="s">
        <v>15</v>
      </c>
      <c r="E7768" s="1" t="s">
        <v>16</v>
      </c>
      <c r="F7768" s="1">
        <v>368.19</v>
      </c>
      <c r="G7768" s="1">
        <v>8.89</v>
      </c>
      <c r="H7768" s="1">
        <v>10.0</v>
      </c>
      <c r="I7768" s="1" t="s">
        <v>17</v>
      </c>
      <c r="J7768" s="1" t="s">
        <v>18</v>
      </c>
      <c r="K7768" s="1">
        <f t="shared" si="1"/>
        <v>2022</v>
      </c>
      <c r="L7768" s="1" t="str">
        <f t="shared" si="2"/>
        <v>Jan</v>
      </c>
      <c r="M7768" s="1" t="str">
        <f t="shared" si="3"/>
        <v>Profit</v>
      </c>
    </row>
    <row r="7769" ht="14.25" customHeight="1">
      <c r="A7769" s="1" t="s">
        <v>7803</v>
      </c>
      <c r="B7769" s="2">
        <v>45201.0</v>
      </c>
      <c r="C7769" s="1" t="s">
        <v>20</v>
      </c>
      <c r="D7769" s="1" t="s">
        <v>21</v>
      </c>
      <c r="E7769" s="1" t="s">
        <v>22</v>
      </c>
      <c r="F7769" s="1">
        <v>815.56</v>
      </c>
      <c r="G7769" s="1">
        <v>-107.84</v>
      </c>
      <c r="H7769" s="1">
        <v>6.0</v>
      </c>
      <c r="I7769" s="1" t="s">
        <v>17</v>
      </c>
      <c r="J7769" s="1" t="s">
        <v>18</v>
      </c>
      <c r="K7769" s="1">
        <f t="shared" si="1"/>
        <v>2023</v>
      </c>
      <c r="L7769" s="1" t="str">
        <f t="shared" si="2"/>
        <v>Oct</v>
      </c>
      <c r="M7769" s="1" t="str">
        <f t="shared" si="3"/>
        <v>Loss</v>
      </c>
    </row>
    <row r="7770" ht="14.25" customHeight="1">
      <c r="A7770" s="1" t="s">
        <v>7804</v>
      </c>
      <c r="B7770" s="2">
        <v>44806.0</v>
      </c>
      <c r="C7770" s="1" t="s">
        <v>20</v>
      </c>
      <c r="D7770" s="1" t="s">
        <v>15</v>
      </c>
      <c r="E7770" s="1" t="s">
        <v>54</v>
      </c>
      <c r="F7770" s="1">
        <v>466.05</v>
      </c>
      <c r="G7770" s="1">
        <v>295.24</v>
      </c>
      <c r="H7770" s="1">
        <v>4.0</v>
      </c>
      <c r="I7770" s="1" t="s">
        <v>17</v>
      </c>
      <c r="J7770" s="1" t="s">
        <v>18</v>
      </c>
      <c r="K7770" s="1">
        <f t="shared" si="1"/>
        <v>2022</v>
      </c>
      <c r="L7770" s="1" t="str">
        <f t="shared" si="2"/>
        <v>Sep</v>
      </c>
      <c r="M7770" s="1" t="str">
        <f t="shared" si="3"/>
        <v>Profit</v>
      </c>
    </row>
    <row r="7771" ht="14.25" customHeight="1">
      <c r="A7771" s="1" t="s">
        <v>7805</v>
      </c>
      <c r="B7771" s="2">
        <v>45046.0</v>
      </c>
      <c r="C7771" s="1" t="s">
        <v>14</v>
      </c>
      <c r="D7771" s="1" t="s">
        <v>27</v>
      </c>
      <c r="E7771" s="1" t="s">
        <v>33</v>
      </c>
      <c r="F7771" s="1">
        <v>433.03</v>
      </c>
      <c r="G7771" s="1">
        <v>219.71</v>
      </c>
      <c r="H7771" s="1">
        <v>1.0</v>
      </c>
      <c r="I7771" s="1" t="s">
        <v>23</v>
      </c>
      <c r="J7771" s="1" t="s">
        <v>18</v>
      </c>
      <c r="K7771" s="1">
        <f t="shared" si="1"/>
        <v>2023</v>
      </c>
      <c r="L7771" s="1" t="str">
        <f t="shared" si="2"/>
        <v>Apr</v>
      </c>
      <c r="M7771" s="1" t="str">
        <f t="shared" si="3"/>
        <v>Profit</v>
      </c>
    </row>
    <row r="7772" ht="14.25" customHeight="1">
      <c r="A7772" s="1" t="s">
        <v>7806</v>
      </c>
      <c r="B7772" s="2">
        <v>44756.0</v>
      </c>
      <c r="C7772" s="1" t="s">
        <v>26</v>
      </c>
      <c r="D7772" s="1" t="s">
        <v>15</v>
      </c>
      <c r="E7772" s="1" t="s">
        <v>54</v>
      </c>
      <c r="F7772" s="1">
        <v>932.0</v>
      </c>
      <c r="G7772" s="1">
        <v>170.68</v>
      </c>
      <c r="H7772" s="1">
        <v>5.0</v>
      </c>
      <c r="I7772" s="1" t="s">
        <v>34</v>
      </c>
      <c r="J7772" s="1" t="s">
        <v>38</v>
      </c>
      <c r="K7772" s="1">
        <f t="shared" si="1"/>
        <v>2022</v>
      </c>
      <c r="L7772" s="1" t="str">
        <f t="shared" si="2"/>
        <v>Jul</v>
      </c>
      <c r="M7772" s="1" t="str">
        <f t="shared" si="3"/>
        <v>Profit</v>
      </c>
    </row>
    <row r="7773" ht="14.25" customHeight="1">
      <c r="A7773" s="1" t="s">
        <v>7807</v>
      </c>
      <c r="B7773" s="2">
        <v>45022.0</v>
      </c>
      <c r="C7773" s="1" t="s">
        <v>26</v>
      </c>
      <c r="D7773" s="1" t="s">
        <v>15</v>
      </c>
      <c r="E7773" s="1" t="s">
        <v>31</v>
      </c>
      <c r="F7773" s="1">
        <v>539.34</v>
      </c>
      <c r="G7773" s="1">
        <v>-103.02</v>
      </c>
      <c r="H7773" s="1">
        <v>8.0</v>
      </c>
      <c r="I7773" s="1" t="s">
        <v>23</v>
      </c>
      <c r="J7773" s="1" t="s">
        <v>18</v>
      </c>
      <c r="K7773" s="1">
        <f t="shared" si="1"/>
        <v>2023</v>
      </c>
      <c r="L7773" s="1" t="str">
        <f t="shared" si="2"/>
        <v>Apr</v>
      </c>
      <c r="M7773" s="1" t="str">
        <f t="shared" si="3"/>
        <v>Loss</v>
      </c>
    </row>
    <row r="7774" ht="14.25" customHeight="1">
      <c r="A7774" s="1" t="s">
        <v>7808</v>
      </c>
      <c r="B7774" s="2">
        <v>44520.0</v>
      </c>
      <c r="C7774" s="1" t="s">
        <v>14</v>
      </c>
      <c r="D7774" s="1" t="s">
        <v>15</v>
      </c>
      <c r="E7774" s="1" t="s">
        <v>54</v>
      </c>
      <c r="F7774" s="1">
        <v>60.53</v>
      </c>
      <c r="G7774" s="1">
        <v>-117.17</v>
      </c>
      <c r="H7774" s="1">
        <v>2.0</v>
      </c>
      <c r="I7774" s="1" t="s">
        <v>23</v>
      </c>
      <c r="J7774" s="1" t="s">
        <v>18</v>
      </c>
      <c r="K7774" s="1">
        <f t="shared" si="1"/>
        <v>2021</v>
      </c>
      <c r="L7774" s="1" t="str">
        <f t="shared" si="2"/>
        <v>Nov</v>
      </c>
      <c r="M7774" s="1" t="str">
        <f t="shared" si="3"/>
        <v>Loss</v>
      </c>
    </row>
    <row r="7775" ht="14.25" customHeight="1">
      <c r="A7775" s="1" t="s">
        <v>7809</v>
      </c>
      <c r="B7775" s="2">
        <v>44859.0</v>
      </c>
      <c r="C7775" s="1" t="s">
        <v>20</v>
      </c>
      <c r="D7775" s="1" t="s">
        <v>27</v>
      </c>
      <c r="E7775" s="1" t="s">
        <v>28</v>
      </c>
      <c r="F7775" s="1">
        <v>766.34</v>
      </c>
      <c r="G7775" s="1">
        <v>-198.28</v>
      </c>
      <c r="H7775" s="1">
        <v>1.0</v>
      </c>
      <c r="I7775" s="1" t="s">
        <v>34</v>
      </c>
      <c r="J7775" s="1" t="s">
        <v>38</v>
      </c>
      <c r="K7775" s="1">
        <f t="shared" si="1"/>
        <v>2022</v>
      </c>
      <c r="L7775" s="1" t="str">
        <f t="shared" si="2"/>
        <v>Oct</v>
      </c>
      <c r="M7775" s="1" t="str">
        <f t="shared" si="3"/>
        <v>Loss</v>
      </c>
    </row>
    <row r="7776" ht="14.25" customHeight="1">
      <c r="A7776" s="1" t="s">
        <v>7810</v>
      </c>
      <c r="B7776" s="2">
        <v>44858.0</v>
      </c>
      <c r="C7776" s="1" t="s">
        <v>14</v>
      </c>
      <c r="D7776" s="1" t="s">
        <v>27</v>
      </c>
      <c r="E7776" s="1" t="s">
        <v>28</v>
      </c>
      <c r="F7776" s="1">
        <v>707.28</v>
      </c>
      <c r="G7776" s="1">
        <v>93.13</v>
      </c>
      <c r="H7776" s="1">
        <v>10.0</v>
      </c>
      <c r="I7776" s="1" t="s">
        <v>34</v>
      </c>
      <c r="J7776" s="1" t="s">
        <v>38</v>
      </c>
      <c r="K7776" s="1">
        <f t="shared" si="1"/>
        <v>2022</v>
      </c>
      <c r="L7776" s="1" t="str">
        <f t="shared" si="2"/>
        <v>Oct</v>
      </c>
      <c r="M7776" s="1" t="str">
        <f t="shared" si="3"/>
        <v>Profit</v>
      </c>
    </row>
    <row r="7777" ht="14.25" customHeight="1">
      <c r="A7777" s="1" t="s">
        <v>7811</v>
      </c>
      <c r="B7777" s="2">
        <v>45157.0</v>
      </c>
      <c r="C7777" s="1" t="s">
        <v>20</v>
      </c>
      <c r="D7777" s="1" t="s">
        <v>15</v>
      </c>
      <c r="E7777" s="1" t="s">
        <v>54</v>
      </c>
      <c r="F7777" s="1">
        <v>706.89</v>
      </c>
      <c r="G7777" s="1">
        <v>-152.63</v>
      </c>
      <c r="H7777" s="1">
        <v>7.0</v>
      </c>
      <c r="I7777" s="1" t="s">
        <v>34</v>
      </c>
      <c r="J7777" s="1" t="s">
        <v>38</v>
      </c>
      <c r="K7777" s="1">
        <f t="shared" si="1"/>
        <v>2023</v>
      </c>
      <c r="L7777" s="1" t="str">
        <f t="shared" si="2"/>
        <v>Aug</v>
      </c>
      <c r="M7777" s="1" t="str">
        <f t="shared" si="3"/>
        <v>Loss</v>
      </c>
    </row>
    <row r="7778" ht="14.25" customHeight="1">
      <c r="A7778" s="1" t="s">
        <v>7812</v>
      </c>
      <c r="B7778" s="2">
        <v>44885.0</v>
      </c>
      <c r="C7778" s="1" t="s">
        <v>14</v>
      </c>
      <c r="D7778" s="1" t="s">
        <v>21</v>
      </c>
      <c r="E7778" s="1" t="s">
        <v>22</v>
      </c>
      <c r="F7778" s="1">
        <v>274.94</v>
      </c>
      <c r="G7778" s="1">
        <v>235.05</v>
      </c>
      <c r="H7778" s="1">
        <v>6.0</v>
      </c>
      <c r="I7778" s="1" t="s">
        <v>34</v>
      </c>
      <c r="J7778" s="1" t="s">
        <v>35</v>
      </c>
      <c r="K7778" s="1">
        <f t="shared" si="1"/>
        <v>2022</v>
      </c>
      <c r="L7778" s="1" t="str">
        <f t="shared" si="2"/>
        <v>Nov</v>
      </c>
      <c r="M7778" s="1" t="str">
        <f t="shared" si="3"/>
        <v>Profit</v>
      </c>
    </row>
    <row r="7779" ht="14.25" customHeight="1">
      <c r="A7779" s="1" t="s">
        <v>7813</v>
      </c>
      <c r="B7779" s="2">
        <v>44609.0</v>
      </c>
      <c r="C7779" s="1" t="s">
        <v>20</v>
      </c>
      <c r="D7779" s="1" t="s">
        <v>21</v>
      </c>
      <c r="E7779" s="1" t="s">
        <v>22</v>
      </c>
      <c r="F7779" s="1">
        <v>338.66</v>
      </c>
      <c r="G7779" s="1">
        <v>156.36</v>
      </c>
      <c r="H7779" s="1">
        <v>4.0</v>
      </c>
      <c r="I7779" s="1" t="s">
        <v>34</v>
      </c>
      <c r="J7779" s="1" t="s">
        <v>18</v>
      </c>
      <c r="K7779" s="1">
        <f t="shared" si="1"/>
        <v>2022</v>
      </c>
      <c r="L7779" s="1" t="str">
        <f t="shared" si="2"/>
        <v>Feb</v>
      </c>
      <c r="M7779" s="1" t="str">
        <f t="shared" si="3"/>
        <v>Profit</v>
      </c>
    </row>
    <row r="7780" ht="14.25" customHeight="1">
      <c r="A7780" s="1" t="s">
        <v>7814</v>
      </c>
      <c r="B7780" s="2">
        <v>44701.0</v>
      </c>
      <c r="C7780" s="1" t="s">
        <v>26</v>
      </c>
      <c r="D7780" s="1" t="s">
        <v>27</v>
      </c>
      <c r="E7780" s="1" t="s">
        <v>28</v>
      </c>
      <c r="F7780" s="1">
        <v>751.76</v>
      </c>
      <c r="G7780" s="1">
        <v>79.5</v>
      </c>
      <c r="H7780" s="1">
        <v>1.0</v>
      </c>
      <c r="I7780" s="1" t="s">
        <v>23</v>
      </c>
      <c r="J7780" s="1" t="s">
        <v>24</v>
      </c>
      <c r="K7780" s="1">
        <f t="shared" si="1"/>
        <v>2022</v>
      </c>
      <c r="L7780" s="1" t="str">
        <f t="shared" si="2"/>
        <v>May</v>
      </c>
      <c r="M7780" s="1" t="str">
        <f t="shared" si="3"/>
        <v>Profit</v>
      </c>
    </row>
    <row r="7781" ht="14.25" customHeight="1">
      <c r="A7781" s="1" t="s">
        <v>7815</v>
      </c>
      <c r="B7781" s="2">
        <v>44996.0</v>
      </c>
      <c r="C7781" s="1" t="s">
        <v>26</v>
      </c>
      <c r="D7781" s="1" t="s">
        <v>27</v>
      </c>
      <c r="E7781" s="1" t="s">
        <v>28</v>
      </c>
      <c r="F7781" s="1">
        <v>23.98</v>
      </c>
      <c r="G7781" s="1">
        <v>181.44</v>
      </c>
      <c r="H7781" s="1">
        <v>9.0</v>
      </c>
      <c r="I7781" s="1" t="s">
        <v>23</v>
      </c>
      <c r="J7781" s="1" t="s">
        <v>35</v>
      </c>
      <c r="K7781" s="1">
        <f t="shared" si="1"/>
        <v>2023</v>
      </c>
      <c r="L7781" s="1" t="str">
        <f t="shared" si="2"/>
        <v>Mar</v>
      </c>
      <c r="M7781" s="1" t="str">
        <f t="shared" si="3"/>
        <v>Profit</v>
      </c>
    </row>
    <row r="7782" ht="14.25" customHeight="1">
      <c r="A7782" s="1" t="s">
        <v>7816</v>
      </c>
      <c r="B7782" s="2">
        <v>44438.0</v>
      </c>
      <c r="C7782" s="1" t="s">
        <v>26</v>
      </c>
      <c r="D7782" s="1" t="s">
        <v>21</v>
      </c>
      <c r="E7782" s="1" t="s">
        <v>22</v>
      </c>
      <c r="F7782" s="1">
        <v>970.94</v>
      </c>
      <c r="G7782" s="1">
        <v>224.96</v>
      </c>
      <c r="H7782" s="1">
        <v>3.0</v>
      </c>
      <c r="I7782" s="1" t="s">
        <v>23</v>
      </c>
      <c r="J7782" s="1" t="s">
        <v>18</v>
      </c>
      <c r="K7782" s="1">
        <f t="shared" si="1"/>
        <v>2021</v>
      </c>
      <c r="L7782" s="1" t="str">
        <f t="shared" si="2"/>
        <v>Aug</v>
      </c>
      <c r="M7782" s="1" t="str">
        <f t="shared" si="3"/>
        <v>Profit</v>
      </c>
    </row>
    <row r="7783" ht="14.25" customHeight="1">
      <c r="A7783" s="1" t="s">
        <v>7817</v>
      </c>
      <c r="B7783" s="2">
        <v>45123.0</v>
      </c>
      <c r="C7783" s="1" t="s">
        <v>26</v>
      </c>
      <c r="D7783" s="1" t="s">
        <v>27</v>
      </c>
      <c r="E7783" s="1" t="s">
        <v>33</v>
      </c>
      <c r="F7783" s="1">
        <v>918.51</v>
      </c>
      <c r="G7783" s="1">
        <v>88.58</v>
      </c>
      <c r="H7783" s="1">
        <v>5.0</v>
      </c>
      <c r="I7783" s="1" t="s">
        <v>23</v>
      </c>
      <c r="J7783" s="1" t="s">
        <v>18</v>
      </c>
      <c r="K7783" s="1">
        <f t="shared" si="1"/>
        <v>2023</v>
      </c>
      <c r="L7783" s="1" t="str">
        <f t="shared" si="2"/>
        <v>Jul</v>
      </c>
      <c r="M7783" s="1" t="str">
        <f t="shared" si="3"/>
        <v>Profit</v>
      </c>
    </row>
    <row r="7784" ht="14.25" customHeight="1">
      <c r="A7784" s="1" t="s">
        <v>7818</v>
      </c>
      <c r="B7784" s="2">
        <v>44898.0</v>
      </c>
      <c r="C7784" s="1" t="s">
        <v>26</v>
      </c>
      <c r="D7784" s="1" t="s">
        <v>21</v>
      </c>
      <c r="E7784" s="1" t="s">
        <v>76</v>
      </c>
      <c r="F7784" s="1">
        <v>356.95</v>
      </c>
      <c r="G7784" s="1">
        <v>-42.28</v>
      </c>
      <c r="H7784" s="1">
        <v>9.0</v>
      </c>
      <c r="I7784" s="1" t="s">
        <v>17</v>
      </c>
      <c r="J7784" s="1" t="s">
        <v>35</v>
      </c>
      <c r="K7784" s="1">
        <f t="shared" si="1"/>
        <v>2022</v>
      </c>
      <c r="L7784" s="1" t="str">
        <f t="shared" si="2"/>
        <v>Dec</v>
      </c>
      <c r="M7784" s="1" t="str">
        <f t="shared" si="3"/>
        <v>Loss</v>
      </c>
    </row>
    <row r="7785" ht="14.25" customHeight="1">
      <c r="A7785" s="1" t="s">
        <v>7819</v>
      </c>
      <c r="B7785" s="2">
        <v>44685.0</v>
      </c>
      <c r="C7785" s="1" t="s">
        <v>26</v>
      </c>
      <c r="D7785" s="1" t="s">
        <v>15</v>
      </c>
      <c r="E7785" s="1" t="s">
        <v>31</v>
      </c>
      <c r="F7785" s="1">
        <v>917.35</v>
      </c>
      <c r="G7785" s="1">
        <v>-56.68</v>
      </c>
      <c r="H7785" s="1">
        <v>9.0</v>
      </c>
      <c r="I7785" s="1" t="s">
        <v>17</v>
      </c>
      <c r="J7785" s="1" t="s">
        <v>24</v>
      </c>
      <c r="K7785" s="1">
        <f t="shared" si="1"/>
        <v>2022</v>
      </c>
      <c r="L7785" s="1" t="str">
        <f t="shared" si="2"/>
        <v>May</v>
      </c>
      <c r="M7785" s="1" t="str">
        <f t="shared" si="3"/>
        <v>Loss</v>
      </c>
    </row>
    <row r="7786" ht="14.25" customHeight="1">
      <c r="A7786" s="1" t="s">
        <v>7820</v>
      </c>
      <c r="B7786" s="2">
        <v>44886.0</v>
      </c>
      <c r="C7786" s="1" t="s">
        <v>20</v>
      </c>
      <c r="D7786" s="1" t="s">
        <v>15</v>
      </c>
      <c r="E7786" s="1" t="s">
        <v>31</v>
      </c>
      <c r="F7786" s="1">
        <v>610.94</v>
      </c>
      <c r="G7786" s="1">
        <v>235.15</v>
      </c>
      <c r="H7786" s="1">
        <v>10.0</v>
      </c>
      <c r="I7786" s="1" t="s">
        <v>34</v>
      </c>
      <c r="J7786" s="1" t="s">
        <v>18</v>
      </c>
      <c r="K7786" s="1">
        <f t="shared" si="1"/>
        <v>2022</v>
      </c>
      <c r="L7786" s="1" t="str">
        <f t="shared" si="2"/>
        <v>Nov</v>
      </c>
      <c r="M7786" s="1" t="str">
        <f t="shared" si="3"/>
        <v>Profit</v>
      </c>
    </row>
    <row r="7787" ht="14.25" customHeight="1">
      <c r="A7787" s="1" t="s">
        <v>7821</v>
      </c>
      <c r="B7787" s="2">
        <v>45170.0</v>
      </c>
      <c r="C7787" s="1" t="s">
        <v>20</v>
      </c>
      <c r="D7787" s="1" t="s">
        <v>27</v>
      </c>
      <c r="E7787" s="1" t="s">
        <v>33</v>
      </c>
      <c r="F7787" s="1">
        <v>54.68</v>
      </c>
      <c r="G7787" s="1">
        <v>-155.75</v>
      </c>
      <c r="H7787" s="1">
        <v>10.0</v>
      </c>
      <c r="I7787" s="1" t="s">
        <v>17</v>
      </c>
      <c r="J7787" s="1" t="s">
        <v>38</v>
      </c>
      <c r="K7787" s="1">
        <f t="shared" si="1"/>
        <v>2023</v>
      </c>
      <c r="L7787" s="1" t="str">
        <f t="shared" si="2"/>
        <v>Sep</v>
      </c>
      <c r="M7787" s="1" t="str">
        <f t="shared" si="3"/>
        <v>Loss</v>
      </c>
    </row>
    <row r="7788" ht="14.25" customHeight="1">
      <c r="A7788" s="1" t="s">
        <v>7822</v>
      </c>
      <c r="B7788" s="2">
        <v>44878.0</v>
      </c>
      <c r="C7788" s="1" t="s">
        <v>20</v>
      </c>
      <c r="D7788" s="1" t="s">
        <v>21</v>
      </c>
      <c r="E7788" s="1" t="s">
        <v>22</v>
      </c>
      <c r="F7788" s="1">
        <v>987.38</v>
      </c>
      <c r="G7788" s="1">
        <v>-61.9</v>
      </c>
      <c r="H7788" s="1">
        <v>8.0</v>
      </c>
      <c r="I7788" s="1" t="s">
        <v>23</v>
      </c>
      <c r="J7788" s="1" t="s">
        <v>18</v>
      </c>
      <c r="K7788" s="1">
        <f t="shared" si="1"/>
        <v>2022</v>
      </c>
      <c r="L7788" s="1" t="str">
        <f t="shared" si="2"/>
        <v>Nov</v>
      </c>
      <c r="M7788" s="1" t="str">
        <f t="shared" si="3"/>
        <v>Loss</v>
      </c>
    </row>
    <row r="7789" ht="14.25" customHeight="1">
      <c r="A7789" s="1" t="s">
        <v>7823</v>
      </c>
      <c r="B7789" s="2">
        <v>44799.0</v>
      </c>
      <c r="C7789" s="1" t="s">
        <v>30</v>
      </c>
      <c r="D7789" s="1" t="s">
        <v>21</v>
      </c>
      <c r="E7789" s="1" t="s">
        <v>76</v>
      </c>
      <c r="F7789" s="1">
        <v>29.48</v>
      </c>
      <c r="G7789" s="1">
        <v>-195.03</v>
      </c>
      <c r="H7789" s="1">
        <v>4.0</v>
      </c>
      <c r="I7789" s="1" t="s">
        <v>23</v>
      </c>
      <c r="J7789" s="1" t="s">
        <v>38</v>
      </c>
      <c r="K7789" s="1">
        <f t="shared" si="1"/>
        <v>2022</v>
      </c>
      <c r="L7789" s="1" t="str">
        <f t="shared" si="2"/>
        <v>Aug</v>
      </c>
      <c r="M7789" s="1" t="str">
        <f t="shared" si="3"/>
        <v>Loss</v>
      </c>
    </row>
    <row r="7790" ht="14.25" customHeight="1">
      <c r="A7790" s="1" t="s">
        <v>7824</v>
      </c>
      <c r="B7790" s="2">
        <v>45091.0</v>
      </c>
      <c r="C7790" s="1" t="s">
        <v>14</v>
      </c>
      <c r="D7790" s="1" t="s">
        <v>27</v>
      </c>
      <c r="E7790" s="1" t="s">
        <v>33</v>
      </c>
      <c r="F7790" s="1">
        <v>985.47</v>
      </c>
      <c r="G7790" s="1">
        <v>288.84</v>
      </c>
      <c r="H7790" s="1">
        <v>4.0</v>
      </c>
      <c r="I7790" s="1" t="s">
        <v>23</v>
      </c>
      <c r="J7790" s="1" t="s">
        <v>18</v>
      </c>
      <c r="K7790" s="1">
        <f t="shared" si="1"/>
        <v>2023</v>
      </c>
      <c r="L7790" s="1" t="str">
        <f t="shared" si="2"/>
        <v>Jun</v>
      </c>
      <c r="M7790" s="1" t="str">
        <f t="shared" si="3"/>
        <v>Profit</v>
      </c>
    </row>
    <row r="7791" ht="14.25" customHeight="1">
      <c r="A7791" s="1" t="s">
        <v>7825</v>
      </c>
      <c r="B7791" s="2">
        <v>44421.0</v>
      </c>
      <c r="C7791" s="1" t="s">
        <v>20</v>
      </c>
      <c r="D7791" s="1" t="s">
        <v>15</v>
      </c>
      <c r="E7791" s="1" t="s">
        <v>54</v>
      </c>
      <c r="F7791" s="1">
        <v>878.93</v>
      </c>
      <c r="G7791" s="1">
        <v>261.16</v>
      </c>
      <c r="H7791" s="1">
        <v>2.0</v>
      </c>
      <c r="I7791" s="1" t="s">
        <v>23</v>
      </c>
      <c r="J7791" s="1" t="s">
        <v>18</v>
      </c>
      <c r="K7791" s="1">
        <f t="shared" si="1"/>
        <v>2021</v>
      </c>
      <c r="L7791" s="1" t="str">
        <f t="shared" si="2"/>
        <v>Aug</v>
      </c>
      <c r="M7791" s="1" t="str">
        <f t="shared" si="3"/>
        <v>Profit</v>
      </c>
    </row>
    <row r="7792" ht="14.25" customHeight="1">
      <c r="A7792" s="1" t="s">
        <v>7826</v>
      </c>
      <c r="B7792" s="2">
        <v>44242.0</v>
      </c>
      <c r="C7792" s="1" t="s">
        <v>14</v>
      </c>
      <c r="D7792" s="1" t="s">
        <v>27</v>
      </c>
      <c r="E7792" s="1" t="s">
        <v>40</v>
      </c>
      <c r="F7792" s="1">
        <v>817.25</v>
      </c>
      <c r="G7792" s="1">
        <v>9.14</v>
      </c>
      <c r="H7792" s="1">
        <v>3.0</v>
      </c>
      <c r="I7792" s="1" t="s">
        <v>34</v>
      </c>
      <c r="J7792" s="1" t="s">
        <v>18</v>
      </c>
      <c r="K7792" s="1">
        <f t="shared" si="1"/>
        <v>2021</v>
      </c>
      <c r="L7792" s="1" t="str">
        <f t="shared" si="2"/>
        <v>Feb</v>
      </c>
      <c r="M7792" s="1" t="str">
        <f t="shared" si="3"/>
        <v>Profit</v>
      </c>
    </row>
    <row r="7793" ht="14.25" customHeight="1">
      <c r="A7793" s="1" t="s">
        <v>7827</v>
      </c>
      <c r="B7793" s="2">
        <v>45197.0</v>
      </c>
      <c r="C7793" s="1" t="s">
        <v>26</v>
      </c>
      <c r="D7793" s="1" t="s">
        <v>27</v>
      </c>
      <c r="E7793" s="1" t="s">
        <v>40</v>
      </c>
      <c r="F7793" s="1">
        <v>61.54</v>
      </c>
      <c r="G7793" s="1">
        <v>-21.96</v>
      </c>
      <c r="H7793" s="1">
        <v>6.0</v>
      </c>
      <c r="I7793" s="1" t="s">
        <v>23</v>
      </c>
      <c r="J7793" s="1" t="s">
        <v>24</v>
      </c>
      <c r="K7793" s="1">
        <f t="shared" si="1"/>
        <v>2023</v>
      </c>
      <c r="L7793" s="1" t="str">
        <f t="shared" si="2"/>
        <v>Sep</v>
      </c>
      <c r="M7793" s="1" t="str">
        <f t="shared" si="3"/>
        <v>Loss</v>
      </c>
    </row>
    <row r="7794" ht="14.25" customHeight="1">
      <c r="A7794" s="1" t="s">
        <v>7828</v>
      </c>
      <c r="B7794" s="2">
        <v>44765.0</v>
      </c>
      <c r="C7794" s="1" t="s">
        <v>20</v>
      </c>
      <c r="D7794" s="1" t="s">
        <v>21</v>
      </c>
      <c r="E7794" s="1" t="s">
        <v>37</v>
      </c>
      <c r="F7794" s="1">
        <v>912.86</v>
      </c>
      <c r="G7794" s="1">
        <v>83.11</v>
      </c>
      <c r="H7794" s="1">
        <v>1.0</v>
      </c>
      <c r="I7794" s="1" t="s">
        <v>23</v>
      </c>
      <c r="J7794" s="1" t="s">
        <v>24</v>
      </c>
      <c r="K7794" s="1">
        <f t="shared" si="1"/>
        <v>2022</v>
      </c>
      <c r="L7794" s="1" t="str">
        <f t="shared" si="2"/>
        <v>Jul</v>
      </c>
      <c r="M7794" s="1" t="str">
        <f t="shared" si="3"/>
        <v>Profit</v>
      </c>
    </row>
    <row r="7795" ht="14.25" customHeight="1">
      <c r="A7795" s="1" t="s">
        <v>7829</v>
      </c>
      <c r="B7795" s="2">
        <v>45074.0</v>
      </c>
      <c r="C7795" s="1" t="s">
        <v>14</v>
      </c>
      <c r="D7795" s="1" t="s">
        <v>15</v>
      </c>
      <c r="E7795" s="1" t="s">
        <v>31</v>
      </c>
      <c r="F7795" s="1">
        <v>928.59</v>
      </c>
      <c r="G7795" s="1">
        <v>123.24</v>
      </c>
      <c r="H7795" s="1">
        <v>1.0</v>
      </c>
      <c r="I7795" s="1" t="s">
        <v>23</v>
      </c>
      <c r="J7795" s="1" t="s">
        <v>35</v>
      </c>
      <c r="K7795" s="1">
        <f t="shared" si="1"/>
        <v>2023</v>
      </c>
      <c r="L7795" s="1" t="str">
        <f t="shared" si="2"/>
        <v>May</v>
      </c>
      <c r="M7795" s="1" t="str">
        <f t="shared" si="3"/>
        <v>Profit</v>
      </c>
    </row>
    <row r="7796" ht="14.25" customHeight="1">
      <c r="A7796" s="1" t="s">
        <v>7830</v>
      </c>
      <c r="B7796" s="2">
        <v>45012.0</v>
      </c>
      <c r="C7796" s="1" t="s">
        <v>26</v>
      </c>
      <c r="D7796" s="1" t="s">
        <v>15</v>
      </c>
      <c r="E7796" s="1" t="s">
        <v>31</v>
      </c>
      <c r="F7796" s="1">
        <v>547.34</v>
      </c>
      <c r="G7796" s="1">
        <v>-60.71</v>
      </c>
      <c r="H7796" s="1">
        <v>8.0</v>
      </c>
      <c r="I7796" s="1" t="s">
        <v>34</v>
      </c>
      <c r="J7796" s="1" t="s">
        <v>38</v>
      </c>
      <c r="K7796" s="1">
        <f t="shared" si="1"/>
        <v>2023</v>
      </c>
      <c r="L7796" s="1" t="str">
        <f t="shared" si="2"/>
        <v>Mar</v>
      </c>
      <c r="M7796" s="1" t="str">
        <f t="shared" si="3"/>
        <v>Loss</v>
      </c>
    </row>
    <row r="7797" ht="14.25" customHeight="1">
      <c r="A7797" s="1" t="s">
        <v>7831</v>
      </c>
      <c r="B7797" s="2">
        <v>44428.0</v>
      </c>
      <c r="C7797" s="1" t="s">
        <v>26</v>
      </c>
      <c r="D7797" s="1" t="s">
        <v>27</v>
      </c>
      <c r="E7797" s="1" t="s">
        <v>40</v>
      </c>
      <c r="F7797" s="1">
        <v>646.64</v>
      </c>
      <c r="G7797" s="1">
        <v>66.78</v>
      </c>
      <c r="H7797" s="1">
        <v>3.0</v>
      </c>
      <c r="I7797" s="1" t="s">
        <v>34</v>
      </c>
      <c r="J7797" s="1" t="s">
        <v>38</v>
      </c>
      <c r="K7797" s="1">
        <f t="shared" si="1"/>
        <v>2021</v>
      </c>
      <c r="L7797" s="1" t="str">
        <f t="shared" si="2"/>
        <v>Aug</v>
      </c>
      <c r="M7797" s="1" t="str">
        <f t="shared" si="3"/>
        <v>Profit</v>
      </c>
    </row>
    <row r="7798" ht="14.25" customHeight="1">
      <c r="A7798" s="1" t="s">
        <v>7832</v>
      </c>
      <c r="B7798" s="2">
        <v>44504.0</v>
      </c>
      <c r="C7798" s="1" t="s">
        <v>14</v>
      </c>
      <c r="D7798" s="1" t="s">
        <v>21</v>
      </c>
      <c r="E7798" s="1" t="s">
        <v>22</v>
      </c>
      <c r="F7798" s="1">
        <v>966.43</v>
      </c>
      <c r="G7798" s="1">
        <v>-141.58</v>
      </c>
      <c r="H7798" s="1">
        <v>6.0</v>
      </c>
      <c r="I7798" s="1" t="s">
        <v>34</v>
      </c>
      <c r="J7798" s="1" t="s">
        <v>35</v>
      </c>
      <c r="K7798" s="1">
        <f t="shared" si="1"/>
        <v>2021</v>
      </c>
      <c r="L7798" s="1" t="str">
        <f t="shared" si="2"/>
        <v>Nov</v>
      </c>
      <c r="M7798" s="1" t="str">
        <f t="shared" si="3"/>
        <v>Loss</v>
      </c>
    </row>
    <row r="7799" ht="14.25" customHeight="1">
      <c r="A7799" s="1" t="s">
        <v>7833</v>
      </c>
      <c r="B7799" s="2">
        <v>45147.0</v>
      </c>
      <c r="C7799" s="1" t="s">
        <v>20</v>
      </c>
      <c r="D7799" s="1" t="s">
        <v>21</v>
      </c>
      <c r="E7799" s="1" t="s">
        <v>37</v>
      </c>
      <c r="F7799" s="1">
        <v>37.52</v>
      </c>
      <c r="G7799" s="1">
        <v>-66.78</v>
      </c>
      <c r="H7799" s="1">
        <v>4.0</v>
      </c>
      <c r="I7799" s="1" t="s">
        <v>23</v>
      </c>
      <c r="J7799" s="1" t="s">
        <v>35</v>
      </c>
      <c r="K7799" s="1">
        <f t="shared" si="1"/>
        <v>2023</v>
      </c>
      <c r="L7799" s="1" t="str">
        <f t="shared" si="2"/>
        <v>Aug</v>
      </c>
      <c r="M7799" s="1" t="str">
        <f t="shared" si="3"/>
        <v>Loss</v>
      </c>
    </row>
    <row r="7800" ht="14.25" customHeight="1">
      <c r="A7800" s="1" t="s">
        <v>7834</v>
      </c>
      <c r="B7800" s="2">
        <v>44618.0</v>
      </c>
      <c r="C7800" s="1" t="s">
        <v>14</v>
      </c>
      <c r="D7800" s="1" t="s">
        <v>21</v>
      </c>
      <c r="E7800" s="1" t="s">
        <v>37</v>
      </c>
      <c r="F7800" s="1">
        <v>569.51</v>
      </c>
      <c r="G7800" s="1">
        <v>60.58</v>
      </c>
      <c r="H7800" s="1">
        <v>2.0</v>
      </c>
      <c r="I7800" s="1" t="s">
        <v>34</v>
      </c>
      <c r="J7800" s="1" t="s">
        <v>24</v>
      </c>
      <c r="K7800" s="1">
        <f t="shared" si="1"/>
        <v>2022</v>
      </c>
      <c r="L7800" s="1" t="str">
        <f t="shared" si="2"/>
        <v>Feb</v>
      </c>
      <c r="M7800" s="1" t="str">
        <f t="shared" si="3"/>
        <v>Profit</v>
      </c>
    </row>
    <row r="7801" ht="14.25" customHeight="1">
      <c r="A7801" s="1" t="s">
        <v>7835</v>
      </c>
      <c r="B7801" s="2">
        <v>44863.0</v>
      </c>
      <c r="C7801" s="1" t="s">
        <v>30</v>
      </c>
      <c r="D7801" s="1" t="s">
        <v>27</v>
      </c>
      <c r="E7801" s="1" t="s">
        <v>40</v>
      </c>
      <c r="F7801" s="1">
        <v>933.03</v>
      </c>
      <c r="G7801" s="1">
        <v>226.19</v>
      </c>
      <c r="H7801" s="1">
        <v>1.0</v>
      </c>
      <c r="I7801" s="1" t="s">
        <v>34</v>
      </c>
      <c r="J7801" s="1" t="s">
        <v>18</v>
      </c>
      <c r="K7801" s="1">
        <f t="shared" si="1"/>
        <v>2022</v>
      </c>
      <c r="L7801" s="1" t="str">
        <f t="shared" si="2"/>
        <v>Oct</v>
      </c>
      <c r="M7801" s="1" t="str">
        <f t="shared" si="3"/>
        <v>Profit</v>
      </c>
    </row>
    <row r="7802" ht="14.25" customHeight="1">
      <c r="A7802" s="1" t="s">
        <v>7836</v>
      </c>
      <c r="B7802" s="2">
        <v>44209.0</v>
      </c>
      <c r="C7802" s="1" t="s">
        <v>20</v>
      </c>
      <c r="D7802" s="1" t="s">
        <v>21</v>
      </c>
      <c r="E7802" s="1" t="s">
        <v>76</v>
      </c>
      <c r="F7802" s="1">
        <v>525.07</v>
      </c>
      <c r="G7802" s="1">
        <v>-7.37</v>
      </c>
      <c r="H7802" s="1">
        <v>3.0</v>
      </c>
      <c r="I7802" s="1" t="s">
        <v>17</v>
      </c>
      <c r="J7802" s="1" t="s">
        <v>24</v>
      </c>
      <c r="K7802" s="1">
        <f t="shared" si="1"/>
        <v>2021</v>
      </c>
      <c r="L7802" s="1" t="str">
        <f t="shared" si="2"/>
        <v>Jan</v>
      </c>
      <c r="M7802" s="1" t="str">
        <f t="shared" si="3"/>
        <v>Loss</v>
      </c>
    </row>
    <row r="7803" ht="14.25" customHeight="1">
      <c r="A7803" s="1" t="s">
        <v>7837</v>
      </c>
      <c r="B7803" s="2">
        <v>44212.0</v>
      </c>
      <c r="C7803" s="1" t="s">
        <v>14</v>
      </c>
      <c r="D7803" s="1" t="s">
        <v>15</v>
      </c>
      <c r="E7803" s="1" t="s">
        <v>31</v>
      </c>
      <c r="F7803" s="1">
        <v>505.13</v>
      </c>
      <c r="G7803" s="1">
        <v>23.64</v>
      </c>
      <c r="H7803" s="1">
        <v>9.0</v>
      </c>
      <c r="I7803" s="1" t="s">
        <v>34</v>
      </c>
      <c r="J7803" s="1" t="s">
        <v>18</v>
      </c>
      <c r="K7803" s="1">
        <f t="shared" si="1"/>
        <v>2021</v>
      </c>
      <c r="L7803" s="1" t="str">
        <f t="shared" si="2"/>
        <v>Jan</v>
      </c>
      <c r="M7803" s="1" t="str">
        <f t="shared" si="3"/>
        <v>Profit</v>
      </c>
    </row>
    <row r="7804" ht="14.25" customHeight="1">
      <c r="A7804" s="1" t="s">
        <v>7838</v>
      </c>
      <c r="B7804" s="2">
        <v>44876.0</v>
      </c>
      <c r="C7804" s="1" t="s">
        <v>14</v>
      </c>
      <c r="D7804" s="1" t="s">
        <v>15</v>
      </c>
      <c r="E7804" s="1" t="s">
        <v>54</v>
      </c>
      <c r="F7804" s="1">
        <v>589.91</v>
      </c>
      <c r="G7804" s="1">
        <v>-25.32</v>
      </c>
      <c r="H7804" s="1">
        <v>2.0</v>
      </c>
      <c r="I7804" s="1" t="s">
        <v>23</v>
      </c>
      <c r="J7804" s="1" t="s">
        <v>24</v>
      </c>
      <c r="K7804" s="1">
        <f t="shared" si="1"/>
        <v>2022</v>
      </c>
      <c r="L7804" s="1" t="str">
        <f t="shared" si="2"/>
        <v>Nov</v>
      </c>
      <c r="M7804" s="1" t="str">
        <f t="shared" si="3"/>
        <v>Loss</v>
      </c>
    </row>
    <row r="7805" ht="14.25" customHeight="1">
      <c r="A7805" s="1" t="s">
        <v>7839</v>
      </c>
      <c r="B7805" s="2">
        <v>44437.0</v>
      </c>
      <c r="C7805" s="1" t="s">
        <v>26</v>
      </c>
      <c r="D7805" s="1" t="s">
        <v>27</v>
      </c>
      <c r="E7805" s="1" t="s">
        <v>40</v>
      </c>
      <c r="F7805" s="1">
        <v>615.11</v>
      </c>
      <c r="G7805" s="1">
        <v>-13.58</v>
      </c>
      <c r="H7805" s="1">
        <v>8.0</v>
      </c>
      <c r="I7805" s="1" t="s">
        <v>17</v>
      </c>
      <c r="J7805" s="1" t="s">
        <v>18</v>
      </c>
      <c r="K7805" s="1">
        <f t="shared" si="1"/>
        <v>2021</v>
      </c>
      <c r="L7805" s="1" t="str">
        <f t="shared" si="2"/>
        <v>Aug</v>
      </c>
      <c r="M7805" s="1" t="str">
        <f t="shared" si="3"/>
        <v>Loss</v>
      </c>
    </row>
    <row r="7806" ht="14.25" customHeight="1">
      <c r="A7806" s="1" t="s">
        <v>7840</v>
      </c>
      <c r="B7806" s="2">
        <v>44956.0</v>
      </c>
      <c r="C7806" s="1" t="s">
        <v>26</v>
      </c>
      <c r="D7806" s="1" t="s">
        <v>21</v>
      </c>
      <c r="E7806" s="1" t="s">
        <v>76</v>
      </c>
      <c r="F7806" s="1">
        <v>489.13</v>
      </c>
      <c r="G7806" s="1">
        <v>-45.39</v>
      </c>
      <c r="H7806" s="1">
        <v>8.0</v>
      </c>
      <c r="I7806" s="1" t="s">
        <v>23</v>
      </c>
      <c r="J7806" s="1" t="s">
        <v>24</v>
      </c>
      <c r="K7806" s="1">
        <f t="shared" si="1"/>
        <v>2023</v>
      </c>
      <c r="L7806" s="1" t="str">
        <f t="shared" si="2"/>
        <v>Jan</v>
      </c>
      <c r="M7806" s="1" t="str">
        <f t="shared" si="3"/>
        <v>Loss</v>
      </c>
    </row>
    <row r="7807" ht="14.25" customHeight="1">
      <c r="A7807" s="1" t="s">
        <v>7841</v>
      </c>
      <c r="B7807" s="2">
        <v>44974.0</v>
      </c>
      <c r="C7807" s="1" t="s">
        <v>30</v>
      </c>
      <c r="D7807" s="1" t="s">
        <v>15</v>
      </c>
      <c r="E7807" s="1" t="s">
        <v>31</v>
      </c>
      <c r="F7807" s="1">
        <v>667.77</v>
      </c>
      <c r="G7807" s="1">
        <v>-151.99</v>
      </c>
      <c r="H7807" s="1">
        <v>5.0</v>
      </c>
      <c r="I7807" s="1" t="s">
        <v>23</v>
      </c>
      <c r="J7807" s="1" t="s">
        <v>18</v>
      </c>
      <c r="K7807" s="1">
        <f t="shared" si="1"/>
        <v>2023</v>
      </c>
      <c r="L7807" s="1" t="str">
        <f t="shared" si="2"/>
        <v>Feb</v>
      </c>
      <c r="M7807" s="1" t="str">
        <f t="shared" si="3"/>
        <v>Loss</v>
      </c>
    </row>
    <row r="7808" ht="14.25" customHeight="1">
      <c r="A7808" s="1" t="s">
        <v>7842</v>
      </c>
      <c r="B7808" s="2">
        <v>45257.0</v>
      </c>
      <c r="C7808" s="1" t="s">
        <v>30</v>
      </c>
      <c r="D7808" s="1" t="s">
        <v>15</v>
      </c>
      <c r="E7808" s="1" t="s">
        <v>31</v>
      </c>
      <c r="F7808" s="1">
        <v>636.54</v>
      </c>
      <c r="G7808" s="1">
        <v>65.17</v>
      </c>
      <c r="H7808" s="1">
        <v>1.0</v>
      </c>
      <c r="I7808" s="1" t="s">
        <v>23</v>
      </c>
      <c r="J7808" s="1" t="s">
        <v>18</v>
      </c>
      <c r="K7808" s="1">
        <f t="shared" si="1"/>
        <v>2023</v>
      </c>
      <c r="L7808" s="1" t="str">
        <f t="shared" si="2"/>
        <v>Nov</v>
      </c>
      <c r="M7808" s="1" t="str">
        <f t="shared" si="3"/>
        <v>Profit</v>
      </c>
    </row>
    <row r="7809" ht="14.25" customHeight="1">
      <c r="A7809" s="1" t="s">
        <v>7843</v>
      </c>
      <c r="B7809" s="2">
        <v>44363.0</v>
      </c>
      <c r="C7809" s="1" t="s">
        <v>14</v>
      </c>
      <c r="D7809" s="1" t="s">
        <v>27</v>
      </c>
      <c r="E7809" s="1" t="s">
        <v>33</v>
      </c>
      <c r="F7809" s="1">
        <v>755.23</v>
      </c>
      <c r="G7809" s="1">
        <v>-199.18</v>
      </c>
      <c r="H7809" s="1">
        <v>1.0</v>
      </c>
      <c r="I7809" s="1" t="s">
        <v>17</v>
      </c>
      <c r="J7809" s="1" t="s">
        <v>24</v>
      </c>
      <c r="K7809" s="1">
        <f t="shared" si="1"/>
        <v>2021</v>
      </c>
      <c r="L7809" s="1" t="str">
        <f t="shared" si="2"/>
        <v>Jun</v>
      </c>
      <c r="M7809" s="1" t="str">
        <f t="shared" si="3"/>
        <v>Loss</v>
      </c>
    </row>
    <row r="7810" ht="14.25" customHeight="1">
      <c r="A7810" s="1" t="s">
        <v>7844</v>
      </c>
      <c r="B7810" s="2">
        <v>45259.0</v>
      </c>
      <c r="C7810" s="1" t="s">
        <v>14</v>
      </c>
      <c r="D7810" s="1" t="s">
        <v>21</v>
      </c>
      <c r="E7810" s="1" t="s">
        <v>76</v>
      </c>
      <c r="F7810" s="1">
        <v>870.47</v>
      </c>
      <c r="G7810" s="1">
        <v>28.17</v>
      </c>
      <c r="H7810" s="1">
        <v>10.0</v>
      </c>
      <c r="I7810" s="1" t="s">
        <v>17</v>
      </c>
      <c r="J7810" s="1" t="s">
        <v>18</v>
      </c>
      <c r="K7810" s="1">
        <f t="shared" si="1"/>
        <v>2023</v>
      </c>
      <c r="L7810" s="1" t="str">
        <f t="shared" si="2"/>
        <v>Nov</v>
      </c>
      <c r="M7810" s="1" t="str">
        <f t="shared" si="3"/>
        <v>Profit</v>
      </c>
    </row>
    <row r="7811" ht="14.25" customHeight="1">
      <c r="A7811" s="1" t="s">
        <v>7845</v>
      </c>
      <c r="B7811" s="2">
        <v>44813.0</v>
      </c>
      <c r="C7811" s="1" t="s">
        <v>20</v>
      </c>
      <c r="D7811" s="1" t="s">
        <v>15</v>
      </c>
      <c r="E7811" s="1" t="s">
        <v>16</v>
      </c>
      <c r="F7811" s="1">
        <v>37.23</v>
      </c>
      <c r="G7811" s="1">
        <v>-133.11</v>
      </c>
      <c r="H7811" s="1">
        <v>2.0</v>
      </c>
      <c r="I7811" s="1" t="s">
        <v>17</v>
      </c>
      <c r="J7811" s="1" t="s">
        <v>24</v>
      </c>
      <c r="K7811" s="1">
        <f t="shared" si="1"/>
        <v>2022</v>
      </c>
      <c r="L7811" s="1" t="str">
        <f t="shared" si="2"/>
        <v>Sep</v>
      </c>
      <c r="M7811" s="1" t="str">
        <f t="shared" si="3"/>
        <v>Loss</v>
      </c>
    </row>
    <row r="7812" ht="14.25" customHeight="1">
      <c r="A7812" s="1" t="s">
        <v>7846</v>
      </c>
      <c r="B7812" s="2">
        <v>44451.0</v>
      </c>
      <c r="C7812" s="1" t="s">
        <v>30</v>
      </c>
      <c r="D7812" s="1" t="s">
        <v>27</v>
      </c>
      <c r="E7812" s="1" t="s">
        <v>40</v>
      </c>
      <c r="F7812" s="1">
        <v>853.62</v>
      </c>
      <c r="G7812" s="1">
        <v>291.74</v>
      </c>
      <c r="H7812" s="1">
        <v>10.0</v>
      </c>
      <c r="I7812" s="1" t="s">
        <v>17</v>
      </c>
      <c r="J7812" s="1" t="s">
        <v>18</v>
      </c>
      <c r="K7812" s="1">
        <f t="shared" si="1"/>
        <v>2021</v>
      </c>
      <c r="L7812" s="1" t="str">
        <f t="shared" si="2"/>
        <v>Sep</v>
      </c>
      <c r="M7812" s="1" t="str">
        <f t="shared" si="3"/>
        <v>Profit</v>
      </c>
    </row>
    <row r="7813" ht="14.25" customHeight="1">
      <c r="A7813" s="1" t="s">
        <v>7847</v>
      </c>
      <c r="B7813" s="2">
        <v>44916.0</v>
      </c>
      <c r="C7813" s="1" t="s">
        <v>30</v>
      </c>
      <c r="D7813" s="1" t="s">
        <v>27</v>
      </c>
      <c r="E7813" s="1" t="s">
        <v>28</v>
      </c>
      <c r="F7813" s="1">
        <v>623.49</v>
      </c>
      <c r="G7813" s="1">
        <v>159.7</v>
      </c>
      <c r="H7813" s="1">
        <v>2.0</v>
      </c>
      <c r="I7813" s="1" t="s">
        <v>34</v>
      </c>
      <c r="J7813" s="1" t="s">
        <v>35</v>
      </c>
      <c r="K7813" s="1">
        <f t="shared" si="1"/>
        <v>2022</v>
      </c>
      <c r="L7813" s="1" t="str">
        <f t="shared" si="2"/>
        <v>Dec</v>
      </c>
      <c r="M7813" s="1" t="str">
        <f t="shared" si="3"/>
        <v>Profit</v>
      </c>
    </row>
    <row r="7814" ht="14.25" customHeight="1">
      <c r="A7814" s="1" t="s">
        <v>7848</v>
      </c>
      <c r="B7814" s="2">
        <v>44724.0</v>
      </c>
      <c r="C7814" s="1" t="s">
        <v>20</v>
      </c>
      <c r="D7814" s="1" t="s">
        <v>21</v>
      </c>
      <c r="E7814" s="1" t="s">
        <v>22</v>
      </c>
      <c r="F7814" s="1">
        <v>274.71</v>
      </c>
      <c r="G7814" s="1">
        <v>147.36</v>
      </c>
      <c r="H7814" s="1">
        <v>5.0</v>
      </c>
      <c r="I7814" s="1" t="s">
        <v>34</v>
      </c>
      <c r="J7814" s="1" t="s">
        <v>24</v>
      </c>
      <c r="K7814" s="1">
        <f t="shared" si="1"/>
        <v>2022</v>
      </c>
      <c r="L7814" s="1" t="str">
        <f t="shared" si="2"/>
        <v>Jun</v>
      </c>
      <c r="M7814" s="1" t="str">
        <f t="shared" si="3"/>
        <v>Profit</v>
      </c>
    </row>
    <row r="7815" ht="14.25" customHeight="1">
      <c r="A7815" s="1" t="s">
        <v>7849</v>
      </c>
      <c r="B7815" s="2">
        <v>45019.0</v>
      </c>
      <c r="C7815" s="1" t="s">
        <v>30</v>
      </c>
      <c r="D7815" s="1" t="s">
        <v>21</v>
      </c>
      <c r="E7815" s="1" t="s">
        <v>37</v>
      </c>
      <c r="F7815" s="1">
        <v>821.98</v>
      </c>
      <c r="G7815" s="1">
        <v>-182.59</v>
      </c>
      <c r="H7815" s="1">
        <v>2.0</v>
      </c>
      <c r="I7815" s="1" t="s">
        <v>23</v>
      </c>
      <c r="J7815" s="1" t="s">
        <v>38</v>
      </c>
      <c r="K7815" s="1">
        <f t="shared" si="1"/>
        <v>2023</v>
      </c>
      <c r="L7815" s="1" t="str">
        <f t="shared" si="2"/>
        <v>Apr</v>
      </c>
      <c r="M7815" s="1" t="str">
        <f t="shared" si="3"/>
        <v>Loss</v>
      </c>
    </row>
    <row r="7816" ht="14.25" customHeight="1">
      <c r="A7816" s="1" t="s">
        <v>7850</v>
      </c>
      <c r="B7816" s="2">
        <v>44759.0</v>
      </c>
      <c r="C7816" s="1" t="s">
        <v>26</v>
      </c>
      <c r="D7816" s="1" t="s">
        <v>27</v>
      </c>
      <c r="E7816" s="1" t="s">
        <v>40</v>
      </c>
      <c r="F7816" s="1">
        <v>86.88</v>
      </c>
      <c r="G7816" s="1">
        <v>12.54</v>
      </c>
      <c r="H7816" s="1">
        <v>8.0</v>
      </c>
      <c r="I7816" s="1" t="s">
        <v>17</v>
      </c>
      <c r="J7816" s="1" t="s">
        <v>18</v>
      </c>
      <c r="K7816" s="1">
        <f t="shared" si="1"/>
        <v>2022</v>
      </c>
      <c r="L7816" s="1" t="str">
        <f t="shared" si="2"/>
        <v>Jul</v>
      </c>
      <c r="M7816" s="1" t="str">
        <f t="shared" si="3"/>
        <v>Profit</v>
      </c>
    </row>
    <row r="7817" ht="14.25" customHeight="1">
      <c r="A7817" s="1" t="s">
        <v>7851</v>
      </c>
      <c r="B7817" s="2">
        <v>44441.0</v>
      </c>
      <c r="C7817" s="1" t="s">
        <v>20</v>
      </c>
      <c r="D7817" s="1" t="s">
        <v>21</v>
      </c>
      <c r="E7817" s="1" t="s">
        <v>76</v>
      </c>
      <c r="F7817" s="1">
        <v>457.3</v>
      </c>
      <c r="G7817" s="1">
        <v>-2.42</v>
      </c>
      <c r="H7817" s="1">
        <v>10.0</v>
      </c>
      <c r="I7817" s="1" t="s">
        <v>17</v>
      </c>
      <c r="J7817" s="1" t="s">
        <v>24</v>
      </c>
      <c r="K7817" s="1">
        <f t="shared" si="1"/>
        <v>2021</v>
      </c>
      <c r="L7817" s="1" t="str">
        <f t="shared" si="2"/>
        <v>Sep</v>
      </c>
      <c r="M7817" s="1" t="str">
        <f t="shared" si="3"/>
        <v>Loss</v>
      </c>
    </row>
    <row r="7818" ht="14.25" customHeight="1">
      <c r="A7818" s="1" t="s">
        <v>7852</v>
      </c>
      <c r="B7818" s="2">
        <v>45111.0</v>
      </c>
      <c r="C7818" s="1" t="s">
        <v>20</v>
      </c>
      <c r="D7818" s="1" t="s">
        <v>21</v>
      </c>
      <c r="E7818" s="1" t="s">
        <v>37</v>
      </c>
      <c r="F7818" s="1">
        <v>283.17</v>
      </c>
      <c r="G7818" s="1">
        <v>115.01</v>
      </c>
      <c r="H7818" s="1">
        <v>9.0</v>
      </c>
      <c r="I7818" s="1" t="s">
        <v>17</v>
      </c>
      <c r="J7818" s="1" t="s">
        <v>18</v>
      </c>
      <c r="K7818" s="1">
        <f t="shared" si="1"/>
        <v>2023</v>
      </c>
      <c r="L7818" s="1" t="str">
        <f t="shared" si="2"/>
        <v>Jul</v>
      </c>
      <c r="M7818" s="1" t="str">
        <f t="shared" si="3"/>
        <v>Profit</v>
      </c>
    </row>
    <row r="7819" ht="14.25" customHeight="1">
      <c r="A7819" s="1" t="s">
        <v>7853</v>
      </c>
      <c r="B7819" s="2">
        <v>44992.0</v>
      </c>
      <c r="C7819" s="1" t="s">
        <v>20</v>
      </c>
      <c r="D7819" s="1" t="s">
        <v>27</v>
      </c>
      <c r="E7819" s="1" t="s">
        <v>28</v>
      </c>
      <c r="F7819" s="1">
        <v>341.03</v>
      </c>
      <c r="G7819" s="1">
        <v>203.58</v>
      </c>
      <c r="H7819" s="1">
        <v>6.0</v>
      </c>
      <c r="I7819" s="1" t="s">
        <v>34</v>
      </c>
      <c r="J7819" s="1" t="s">
        <v>18</v>
      </c>
      <c r="K7819" s="1">
        <f t="shared" si="1"/>
        <v>2023</v>
      </c>
      <c r="L7819" s="1" t="str">
        <f t="shared" si="2"/>
        <v>Mar</v>
      </c>
      <c r="M7819" s="1" t="str">
        <f t="shared" si="3"/>
        <v>Profit</v>
      </c>
    </row>
    <row r="7820" ht="14.25" customHeight="1">
      <c r="A7820" s="1" t="s">
        <v>7854</v>
      </c>
      <c r="B7820" s="2">
        <v>44214.0</v>
      </c>
      <c r="C7820" s="1" t="s">
        <v>30</v>
      </c>
      <c r="D7820" s="1" t="s">
        <v>15</v>
      </c>
      <c r="E7820" s="1" t="s">
        <v>16</v>
      </c>
      <c r="F7820" s="1">
        <v>619.11</v>
      </c>
      <c r="G7820" s="1">
        <v>237.29</v>
      </c>
      <c r="H7820" s="1">
        <v>1.0</v>
      </c>
      <c r="I7820" s="1" t="s">
        <v>23</v>
      </c>
      <c r="J7820" s="1" t="s">
        <v>24</v>
      </c>
      <c r="K7820" s="1">
        <f t="shared" si="1"/>
        <v>2021</v>
      </c>
      <c r="L7820" s="1" t="str">
        <f t="shared" si="2"/>
        <v>Jan</v>
      </c>
      <c r="M7820" s="1" t="str">
        <f t="shared" si="3"/>
        <v>Profit</v>
      </c>
    </row>
    <row r="7821" ht="14.25" customHeight="1">
      <c r="A7821" s="1" t="s">
        <v>7855</v>
      </c>
      <c r="B7821" s="2">
        <v>44433.0</v>
      </c>
      <c r="C7821" s="1" t="s">
        <v>26</v>
      </c>
      <c r="D7821" s="1" t="s">
        <v>21</v>
      </c>
      <c r="E7821" s="1" t="s">
        <v>22</v>
      </c>
      <c r="F7821" s="1">
        <v>504.16</v>
      </c>
      <c r="G7821" s="1">
        <v>-80.7</v>
      </c>
      <c r="H7821" s="1">
        <v>8.0</v>
      </c>
      <c r="I7821" s="1" t="s">
        <v>23</v>
      </c>
      <c r="J7821" s="1" t="s">
        <v>18</v>
      </c>
      <c r="K7821" s="1">
        <f t="shared" si="1"/>
        <v>2021</v>
      </c>
      <c r="L7821" s="1" t="str">
        <f t="shared" si="2"/>
        <v>Aug</v>
      </c>
      <c r="M7821" s="1" t="str">
        <f t="shared" si="3"/>
        <v>Loss</v>
      </c>
    </row>
    <row r="7822" ht="14.25" customHeight="1">
      <c r="A7822" s="1" t="s">
        <v>7856</v>
      </c>
      <c r="B7822" s="2">
        <v>44482.0</v>
      </c>
      <c r="C7822" s="1" t="s">
        <v>26</v>
      </c>
      <c r="D7822" s="1" t="s">
        <v>15</v>
      </c>
      <c r="E7822" s="1" t="s">
        <v>54</v>
      </c>
      <c r="F7822" s="1">
        <v>161.53</v>
      </c>
      <c r="G7822" s="1">
        <v>-70.22</v>
      </c>
      <c r="H7822" s="1">
        <v>7.0</v>
      </c>
      <c r="I7822" s="1" t="s">
        <v>17</v>
      </c>
      <c r="J7822" s="1" t="s">
        <v>38</v>
      </c>
      <c r="K7822" s="1">
        <f t="shared" si="1"/>
        <v>2021</v>
      </c>
      <c r="L7822" s="1" t="str">
        <f t="shared" si="2"/>
        <v>Oct</v>
      </c>
      <c r="M7822" s="1" t="str">
        <f t="shared" si="3"/>
        <v>Loss</v>
      </c>
    </row>
    <row r="7823" ht="14.25" customHeight="1">
      <c r="A7823" s="1" t="s">
        <v>7857</v>
      </c>
      <c r="B7823" s="2">
        <v>44309.0</v>
      </c>
      <c r="C7823" s="1" t="s">
        <v>26</v>
      </c>
      <c r="D7823" s="1" t="s">
        <v>15</v>
      </c>
      <c r="E7823" s="1" t="s">
        <v>16</v>
      </c>
      <c r="F7823" s="1">
        <v>629.07</v>
      </c>
      <c r="G7823" s="1">
        <v>-183.74</v>
      </c>
      <c r="H7823" s="1">
        <v>8.0</v>
      </c>
      <c r="I7823" s="1" t="s">
        <v>34</v>
      </c>
      <c r="J7823" s="1" t="s">
        <v>24</v>
      </c>
      <c r="K7823" s="1">
        <f t="shared" si="1"/>
        <v>2021</v>
      </c>
      <c r="L7823" s="1" t="str">
        <f t="shared" si="2"/>
        <v>Apr</v>
      </c>
      <c r="M7823" s="1" t="str">
        <f t="shared" si="3"/>
        <v>Loss</v>
      </c>
    </row>
    <row r="7824" ht="14.25" customHeight="1">
      <c r="A7824" s="1" t="s">
        <v>7858</v>
      </c>
      <c r="B7824" s="2">
        <v>44975.0</v>
      </c>
      <c r="C7824" s="1" t="s">
        <v>20</v>
      </c>
      <c r="D7824" s="1" t="s">
        <v>21</v>
      </c>
      <c r="E7824" s="1" t="s">
        <v>76</v>
      </c>
      <c r="F7824" s="1">
        <v>458.53</v>
      </c>
      <c r="G7824" s="1">
        <v>159.95</v>
      </c>
      <c r="H7824" s="1">
        <v>10.0</v>
      </c>
      <c r="I7824" s="1" t="s">
        <v>17</v>
      </c>
      <c r="J7824" s="1" t="s">
        <v>18</v>
      </c>
      <c r="K7824" s="1">
        <f t="shared" si="1"/>
        <v>2023</v>
      </c>
      <c r="L7824" s="1" t="str">
        <f t="shared" si="2"/>
        <v>Feb</v>
      </c>
      <c r="M7824" s="1" t="str">
        <f t="shared" si="3"/>
        <v>Profit</v>
      </c>
    </row>
    <row r="7825" ht="14.25" customHeight="1">
      <c r="A7825" s="1" t="s">
        <v>7859</v>
      </c>
      <c r="B7825" s="2">
        <v>44795.0</v>
      </c>
      <c r="C7825" s="1" t="s">
        <v>20</v>
      </c>
      <c r="D7825" s="1" t="s">
        <v>15</v>
      </c>
      <c r="E7825" s="1" t="s">
        <v>54</v>
      </c>
      <c r="F7825" s="1">
        <v>409.84</v>
      </c>
      <c r="G7825" s="1">
        <v>161.84</v>
      </c>
      <c r="H7825" s="1">
        <v>3.0</v>
      </c>
      <c r="I7825" s="1" t="s">
        <v>17</v>
      </c>
      <c r="J7825" s="1" t="s">
        <v>24</v>
      </c>
      <c r="K7825" s="1">
        <f t="shared" si="1"/>
        <v>2022</v>
      </c>
      <c r="L7825" s="1" t="str">
        <f t="shared" si="2"/>
        <v>Aug</v>
      </c>
      <c r="M7825" s="1" t="str">
        <f t="shared" si="3"/>
        <v>Profit</v>
      </c>
    </row>
    <row r="7826" ht="14.25" customHeight="1">
      <c r="A7826" s="1" t="s">
        <v>7860</v>
      </c>
      <c r="B7826" s="2">
        <v>44971.0</v>
      </c>
      <c r="C7826" s="1" t="s">
        <v>20</v>
      </c>
      <c r="D7826" s="1" t="s">
        <v>21</v>
      </c>
      <c r="E7826" s="1" t="s">
        <v>37</v>
      </c>
      <c r="F7826" s="1">
        <v>406.6</v>
      </c>
      <c r="G7826" s="1">
        <v>9.7</v>
      </c>
      <c r="H7826" s="1">
        <v>3.0</v>
      </c>
      <c r="I7826" s="1" t="s">
        <v>34</v>
      </c>
      <c r="J7826" s="1" t="s">
        <v>18</v>
      </c>
      <c r="K7826" s="1">
        <f t="shared" si="1"/>
        <v>2023</v>
      </c>
      <c r="L7826" s="1" t="str">
        <f t="shared" si="2"/>
        <v>Feb</v>
      </c>
      <c r="M7826" s="1" t="str">
        <f t="shared" si="3"/>
        <v>Profit</v>
      </c>
    </row>
    <row r="7827" ht="14.25" customHeight="1">
      <c r="A7827" s="1" t="s">
        <v>7861</v>
      </c>
      <c r="B7827" s="2">
        <v>44615.0</v>
      </c>
      <c r="C7827" s="1" t="s">
        <v>20</v>
      </c>
      <c r="D7827" s="1" t="s">
        <v>15</v>
      </c>
      <c r="E7827" s="1" t="s">
        <v>16</v>
      </c>
      <c r="F7827" s="1">
        <v>407.29</v>
      </c>
      <c r="G7827" s="1">
        <v>230.18</v>
      </c>
      <c r="H7827" s="1">
        <v>2.0</v>
      </c>
      <c r="I7827" s="1" t="s">
        <v>23</v>
      </c>
      <c r="J7827" s="1" t="s">
        <v>38</v>
      </c>
      <c r="K7827" s="1">
        <f t="shared" si="1"/>
        <v>2022</v>
      </c>
      <c r="L7827" s="1" t="str">
        <f t="shared" si="2"/>
        <v>Feb</v>
      </c>
      <c r="M7827" s="1" t="str">
        <f t="shared" si="3"/>
        <v>Profit</v>
      </c>
    </row>
    <row r="7828" ht="14.25" customHeight="1">
      <c r="A7828" s="1" t="s">
        <v>7862</v>
      </c>
      <c r="B7828" s="2">
        <v>44836.0</v>
      </c>
      <c r="C7828" s="1" t="s">
        <v>26</v>
      </c>
      <c r="D7828" s="1" t="s">
        <v>21</v>
      </c>
      <c r="E7828" s="1" t="s">
        <v>76</v>
      </c>
      <c r="F7828" s="1">
        <v>967.7</v>
      </c>
      <c r="G7828" s="1">
        <v>234.16</v>
      </c>
      <c r="H7828" s="1">
        <v>7.0</v>
      </c>
      <c r="I7828" s="1" t="s">
        <v>23</v>
      </c>
      <c r="J7828" s="1" t="s">
        <v>38</v>
      </c>
      <c r="K7828" s="1">
        <f t="shared" si="1"/>
        <v>2022</v>
      </c>
      <c r="L7828" s="1" t="str">
        <f t="shared" si="2"/>
        <v>Oct</v>
      </c>
      <c r="M7828" s="1" t="str">
        <f t="shared" si="3"/>
        <v>Profit</v>
      </c>
    </row>
    <row r="7829" ht="14.25" customHeight="1">
      <c r="A7829" s="1" t="s">
        <v>7863</v>
      </c>
      <c r="B7829" s="2">
        <v>45271.0</v>
      </c>
      <c r="C7829" s="1" t="s">
        <v>30</v>
      </c>
      <c r="D7829" s="1" t="s">
        <v>15</v>
      </c>
      <c r="E7829" s="1" t="s">
        <v>31</v>
      </c>
      <c r="F7829" s="1">
        <v>330.15</v>
      </c>
      <c r="G7829" s="1">
        <v>261.93</v>
      </c>
      <c r="H7829" s="1">
        <v>3.0</v>
      </c>
      <c r="I7829" s="1" t="s">
        <v>17</v>
      </c>
      <c r="J7829" s="1" t="s">
        <v>38</v>
      </c>
      <c r="K7829" s="1">
        <f t="shared" si="1"/>
        <v>2023</v>
      </c>
      <c r="L7829" s="1" t="str">
        <f t="shared" si="2"/>
        <v>Dec</v>
      </c>
      <c r="M7829" s="1" t="str">
        <f t="shared" si="3"/>
        <v>Profit</v>
      </c>
    </row>
    <row r="7830" ht="14.25" customHeight="1">
      <c r="A7830" s="1" t="s">
        <v>7864</v>
      </c>
      <c r="B7830" s="2">
        <v>44255.0</v>
      </c>
      <c r="C7830" s="1" t="s">
        <v>20</v>
      </c>
      <c r="D7830" s="1" t="s">
        <v>27</v>
      </c>
      <c r="E7830" s="1" t="s">
        <v>28</v>
      </c>
      <c r="F7830" s="1">
        <v>935.26</v>
      </c>
      <c r="G7830" s="1">
        <v>-30.2</v>
      </c>
      <c r="H7830" s="1">
        <v>7.0</v>
      </c>
      <c r="I7830" s="1" t="s">
        <v>17</v>
      </c>
      <c r="J7830" s="1" t="s">
        <v>38</v>
      </c>
      <c r="K7830" s="1">
        <f t="shared" si="1"/>
        <v>2021</v>
      </c>
      <c r="L7830" s="1" t="str">
        <f t="shared" si="2"/>
        <v>Feb</v>
      </c>
      <c r="M7830" s="1" t="str">
        <f t="shared" si="3"/>
        <v>Loss</v>
      </c>
    </row>
    <row r="7831" ht="14.25" customHeight="1">
      <c r="A7831" s="1" t="s">
        <v>7865</v>
      </c>
      <c r="B7831" s="2">
        <v>44796.0</v>
      </c>
      <c r="C7831" s="1" t="s">
        <v>30</v>
      </c>
      <c r="D7831" s="1" t="s">
        <v>15</v>
      </c>
      <c r="E7831" s="1" t="s">
        <v>31</v>
      </c>
      <c r="F7831" s="1">
        <v>828.33</v>
      </c>
      <c r="G7831" s="1">
        <v>153.7</v>
      </c>
      <c r="H7831" s="1">
        <v>6.0</v>
      </c>
      <c r="I7831" s="1" t="s">
        <v>23</v>
      </c>
      <c r="J7831" s="1" t="s">
        <v>18</v>
      </c>
      <c r="K7831" s="1">
        <f t="shared" si="1"/>
        <v>2022</v>
      </c>
      <c r="L7831" s="1" t="str">
        <f t="shared" si="2"/>
        <v>Aug</v>
      </c>
      <c r="M7831" s="1" t="str">
        <f t="shared" si="3"/>
        <v>Profit</v>
      </c>
    </row>
    <row r="7832" ht="14.25" customHeight="1">
      <c r="A7832" s="1" t="s">
        <v>7866</v>
      </c>
      <c r="B7832" s="2">
        <v>44323.0</v>
      </c>
      <c r="C7832" s="1" t="s">
        <v>14</v>
      </c>
      <c r="D7832" s="1" t="s">
        <v>21</v>
      </c>
      <c r="E7832" s="1" t="s">
        <v>76</v>
      </c>
      <c r="F7832" s="1">
        <v>82.54</v>
      </c>
      <c r="G7832" s="1">
        <v>81.97</v>
      </c>
      <c r="H7832" s="1">
        <v>3.0</v>
      </c>
      <c r="I7832" s="1" t="s">
        <v>34</v>
      </c>
      <c r="J7832" s="1" t="s">
        <v>35</v>
      </c>
      <c r="K7832" s="1">
        <f t="shared" si="1"/>
        <v>2021</v>
      </c>
      <c r="L7832" s="1" t="str">
        <f t="shared" si="2"/>
        <v>May</v>
      </c>
      <c r="M7832" s="1" t="str">
        <f t="shared" si="3"/>
        <v>Profit</v>
      </c>
    </row>
    <row r="7833" ht="14.25" customHeight="1">
      <c r="A7833" s="1" t="s">
        <v>7867</v>
      </c>
      <c r="B7833" s="2">
        <v>44495.0</v>
      </c>
      <c r="C7833" s="1" t="s">
        <v>20</v>
      </c>
      <c r="D7833" s="1" t="s">
        <v>21</v>
      </c>
      <c r="E7833" s="1" t="s">
        <v>76</v>
      </c>
      <c r="F7833" s="1">
        <v>116.81</v>
      </c>
      <c r="G7833" s="1">
        <v>123.22</v>
      </c>
      <c r="H7833" s="1">
        <v>1.0</v>
      </c>
      <c r="I7833" s="1" t="s">
        <v>17</v>
      </c>
      <c r="J7833" s="1" t="s">
        <v>18</v>
      </c>
      <c r="K7833" s="1">
        <f t="shared" si="1"/>
        <v>2021</v>
      </c>
      <c r="L7833" s="1" t="str">
        <f t="shared" si="2"/>
        <v>Oct</v>
      </c>
      <c r="M7833" s="1" t="str">
        <f t="shared" si="3"/>
        <v>Profit</v>
      </c>
    </row>
    <row r="7834" ht="14.25" customHeight="1">
      <c r="A7834" s="1" t="s">
        <v>7868</v>
      </c>
      <c r="B7834" s="2">
        <v>45160.0</v>
      </c>
      <c r="C7834" s="1" t="s">
        <v>14</v>
      </c>
      <c r="D7834" s="1" t="s">
        <v>27</v>
      </c>
      <c r="E7834" s="1" t="s">
        <v>40</v>
      </c>
      <c r="F7834" s="1">
        <v>764.24</v>
      </c>
      <c r="G7834" s="1">
        <v>68.39</v>
      </c>
      <c r="H7834" s="1">
        <v>3.0</v>
      </c>
      <c r="I7834" s="1" t="s">
        <v>34</v>
      </c>
      <c r="J7834" s="1" t="s">
        <v>35</v>
      </c>
      <c r="K7834" s="1">
        <f t="shared" si="1"/>
        <v>2023</v>
      </c>
      <c r="L7834" s="1" t="str">
        <f t="shared" si="2"/>
        <v>Aug</v>
      </c>
      <c r="M7834" s="1" t="str">
        <f t="shared" si="3"/>
        <v>Profit</v>
      </c>
    </row>
    <row r="7835" ht="14.25" customHeight="1">
      <c r="A7835" s="1" t="s">
        <v>7869</v>
      </c>
      <c r="B7835" s="2">
        <v>44911.0</v>
      </c>
      <c r="C7835" s="1" t="s">
        <v>26</v>
      </c>
      <c r="D7835" s="1" t="s">
        <v>27</v>
      </c>
      <c r="E7835" s="1" t="s">
        <v>40</v>
      </c>
      <c r="F7835" s="1">
        <v>923.63</v>
      </c>
      <c r="G7835" s="1">
        <v>-183.98</v>
      </c>
      <c r="H7835" s="1">
        <v>5.0</v>
      </c>
      <c r="I7835" s="1" t="s">
        <v>34</v>
      </c>
      <c r="J7835" s="1" t="s">
        <v>24</v>
      </c>
      <c r="K7835" s="1">
        <f t="shared" si="1"/>
        <v>2022</v>
      </c>
      <c r="L7835" s="1" t="str">
        <f t="shared" si="2"/>
        <v>Dec</v>
      </c>
      <c r="M7835" s="1" t="str">
        <f t="shared" si="3"/>
        <v>Loss</v>
      </c>
    </row>
    <row r="7836" ht="14.25" customHeight="1">
      <c r="A7836" s="1" t="s">
        <v>7870</v>
      </c>
      <c r="B7836" s="2">
        <v>44979.0</v>
      </c>
      <c r="C7836" s="1" t="s">
        <v>14</v>
      </c>
      <c r="D7836" s="1" t="s">
        <v>15</v>
      </c>
      <c r="E7836" s="1" t="s">
        <v>16</v>
      </c>
      <c r="F7836" s="1">
        <v>886.27</v>
      </c>
      <c r="G7836" s="1">
        <v>197.37</v>
      </c>
      <c r="H7836" s="1">
        <v>4.0</v>
      </c>
      <c r="I7836" s="1" t="s">
        <v>34</v>
      </c>
      <c r="J7836" s="1" t="s">
        <v>24</v>
      </c>
      <c r="K7836" s="1">
        <f t="shared" si="1"/>
        <v>2023</v>
      </c>
      <c r="L7836" s="1" t="str">
        <f t="shared" si="2"/>
        <v>Feb</v>
      </c>
      <c r="M7836" s="1" t="str">
        <f t="shared" si="3"/>
        <v>Profit</v>
      </c>
    </row>
    <row r="7837" ht="14.25" customHeight="1">
      <c r="A7837" s="1" t="s">
        <v>7871</v>
      </c>
      <c r="B7837" s="2">
        <v>44567.0</v>
      </c>
      <c r="C7837" s="1" t="s">
        <v>30</v>
      </c>
      <c r="D7837" s="1" t="s">
        <v>27</v>
      </c>
      <c r="E7837" s="1" t="s">
        <v>28</v>
      </c>
      <c r="F7837" s="1">
        <v>664.68</v>
      </c>
      <c r="G7837" s="1">
        <v>273.79</v>
      </c>
      <c r="H7837" s="1">
        <v>7.0</v>
      </c>
      <c r="I7837" s="1" t="s">
        <v>23</v>
      </c>
      <c r="J7837" s="1" t="s">
        <v>38</v>
      </c>
      <c r="K7837" s="1">
        <f t="shared" si="1"/>
        <v>2022</v>
      </c>
      <c r="L7837" s="1" t="str">
        <f t="shared" si="2"/>
        <v>Jan</v>
      </c>
      <c r="M7837" s="1" t="str">
        <f t="shared" si="3"/>
        <v>Profit</v>
      </c>
    </row>
    <row r="7838" ht="14.25" customHeight="1">
      <c r="A7838" s="1" t="s">
        <v>7872</v>
      </c>
      <c r="B7838" s="2">
        <v>44701.0</v>
      </c>
      <c r="C7838" s="1" t="s">
        <v>14</v>
      </c>
      <c r="D7838" s="1" t="s">
        <v>27</v>
      </c>
      <c r="E7838" s="1" t="s">
        <v>28</v>
      </c>
      <c r="F7838" s="1">
        <v>146.36</v>
      </c>
      <c r="G7838" s="1">
        <v>-53.84</v>
      </c>
      <c r="H7838" s="1">
        <v>2.0</v>
      </c>
      <c r="I7838" s="1" t="s">
        <v>34</v>
      </c>
      <c r="J7838" s="1" t="s">
        <v>18</v>
      </c>
      <c r="K7838" s="1">
        <f t="shared" si="1"/>
        <v>2022</v>
      </c>
      <c r="L7838" s="1" t="str">
        <f t="shared" si="2"/>
        <v>May</v>
      </c>
      <c r="M7838" s="1" t="str">
        <f t="shared" si="3"/>
        <v>Loss</v>
      </c>
    </row>
    <row r="7839" ht="14.25" customHeight="1">
      <c r="A7839" s="1" t="s">
        <v>7873</v>
      </c>
      <c r="B7839" s="2">
        <v>44535.0</v>
      </c>
      <c r="C7839" s="1" t="s">
        <v>20</v>
      </c>
      <c r="D7839" s="1" t="s">
        <v>27</v>
      </c>
      <c r="E7839" s="1" t="s">
        <v>28</v>
      </c>
      <c r="F7839" s="1">
        <v>872.82</v>
      </c>
      <c r="G7839" s="1">
        <v>208.12</v>
      </c>
      <c r="H7839" s="1">
        <v>5.0</v>
      </c>
      <c r="I7839" s="1" t="s">
        <v>17</v>
      </c>
      <c r="J7839" s="1" t="s">
        <v>35</v>
      </c>
      <c r="K7839" s="1">
        <f t="shared" si="1"/>
        <v>2021</v>
      </c>
      <c r="L7839" s="1" t="str">
        <f t="shared" si="2"/>
        <v>Dec</v>
      </c>
      <c r="M7839" s="1" t="str">
        <f t="shared" si="3"/>
        <v>Profit</v>
      </c>
    </row>
    <row r="7840" ht="14.25" customHeight="1">
      <c r="A7840" s="1" t="s">
        <v>7874</v>
      </c>
      <c r="B7840" s="2">
        <v>45252.0</v>
      </c>
      <c r="C7840" s="1" t="s">
        <v>14</v>
      </c>
      <c r="D7840" s="1" t="s">
        <v>27</v>
      </c>
      <c r="E7840" s="1" t="s">
        <v>40</v>
      </c>
      <c r="F7840" s="1">
        <v>160.26</v>
      </c>
      <c r="G7840" s="1">
        <v>-70.66</v>
      </c>
      <c r="H7840" s="1">
        <v>5.0</v>
      </c>
      <c r="I7840" s="1" t="s">
        <v>34</v>
      </c>
      <c r="J7840" s="1" t="s">
        <v>18</v>
      </c>
      <c r="K7840" s="1">
        <f t="shared" si="1"/>
        <v>2023</v>
      </c>
      <c r="L7840" s="1" t="str">
        <f t="shared" si="2"/>
        <v>Nov</v>
      </c>
      <c r="M7840" s="1" t="str">
        <f t="shared" si="3"/>
        <v>Loss</v>
      </c>
    </row>
    <row r="7841" ht="14.25" customHeight="1">
      <c r="A7841" s="1" t="s">
        <v>7875</v>
      </c>
      <c r="B7841" s="2">
        <v>44911.0</v>
      </c>
      <c r="C7841" s="1" t="s">
        <v>30</v>
      </c>
      <c r="D7841" s="1" t="s">
        <v>15</v>
      </c>
      <c r="E7841" s="1" t="s">
        <v>16</v>
      </c>
      <c r="F7841" s="1">
        <v>262.15</v>
      </c>
      <c r="G7841" s="1">
        <v>-156.79</v>
      </c>
      <c r="H7841" s="1">
        <v>4.0</v>
      </c>
      <c r="I7841" s="1" t="s">
        <v>34</v>
      </c>
      <c r="J7841" s="1" t="s">
        <v>38</v>
      </c>
      <c r="K7841" s="1">
        <f t="shared" si="1"/>
        <v>2022</v>
      </c>
      <c r="L7841" s="1" t="str">
        <f t="shared" si="2"/>
        <v>Dec</v>
      </c>
      <c r="M7841" s="1" t="str">
        <f t="shared" si="3"/>
        <v>Loss</v>
      </c>
    </row>
    <row r="7842" ht="14.25" customHeight="1">
      <c r="A7842" s="1" t="s">
        <v>7876</v>
      </c>
      <c r="B7842" s="2">
        <v>44876.0</v>
      </c>
      <c r="C7842" s="1" t="s">
        <v>14</v>
      </c>
      <c r="D7842" s="1" t="s">
        <v>15</v>
      </c>
      <c r="E7842" s="1" t="s">
        <v>54</v>
      </c>
      <c r="F7842" s="1">
        <v>639.01</v>
      </c>
      <c r="G7842" s="1">
        <v>-138.48</v>
      </c>
      <c r="H7842" s="1">
        <v>2.0</v>
      </c>
      <c r="I7842" s="1" t="s">
        <v>34</v>
      </c>
      <c r="J7842" s="1" t="s">
        <v>35</v>
      </c>
      <c r="K7842" s="1">
        <f t="shared" si="1"/>
        <v>2022</v>
      </c>
      <c r="L7842" s="1" t="str">
        <f t="shared" si="2"/>
        <v>Nov</v>
      </c>
      <c r="M7842" s="1" t="str">
        <f t="shared" si="3"/>
        <v>Loss</v>
      </c>
    </row>
    <row r="7843" ht="14.25" customHeight="1">
      <c r="A7843" s="1" t="s">
        <v>7877</v>
      </c>
      <c r="B7843" s="2">
        <v>44726.0</v>
      </c>
      <c r="C7843" s="1" t="s">
        <v>26</v>
      </c>
      <c r="D7843" s="1" t="s">
        <v>27</v>
      </c>
      <c r="E7843" s="1" t="s">
        <v>28</v>
      </c>
      <c r="F7843" s="1">
        <v>777.7</v>
      </c>
      <c r="G7843" s="1">
        <v>102.25</v>
      </c>
      <c r="H7843" s="1">
        <v>2.0</v>
      </c>
      <c r="I7843" s="1" t="s">
        <v>23</v>
      </c>
      <c r="J7843" s="1" t="s">
        <v>35</v>
      </c>
      <c r="K7843" s="1">
        <f t="shared" si="1"/>
        <v>2022</v>
      </c>
      <c r="L7843" s="1" t="str">
        <f t="shared" si="2"/>
        <v>Jun</v>
      </c>
      <c r="M7843" s="1" t="str">
        <f t="shared" si="3"/>
        <v>Profit</v>
      </c>
    </row>
    <row r="7844" ht="14.25" customHeight="1">
      <c r="A7844" s="1" t="s">
        <v>7878</v>
      </c>
      <c r="B7844" s="2">
        <v>45292.0</v>
      </c>
      <c r="C7844" s="1" t="s">
        <v>30</v>
      </c>
      <c r="D7844" s="1" t="s">
        <v>15</v>
      </c>
      <c r="E7844" s="1" t="s">
        <v>31</v>
      </c>
      <c r="F7844" s="1">
        <v>685.31</v>
      </c>
      <c r="G7844" s="1">
        <v>-113.2</v>
      </c>
      <c r="H7844" s="1">
        <v>8.0</v>
      </c>
      <c r="I7844" s="1" t="s">
        <v>23</v>
      </c>
      <c r="J7844" s="1" t="s">
        <v>24</v>
      </c>
      <c r="K7844" s="1">
        <f t="shared" si="1"/>
        <v>2024</v>
      </c>
      <c r="L7844" s="1" t="str">
        <f t="shared" si="2"/>
        <v>Jan</v>
      </c>
      <c r="M7844" s="1" t="str">
        <f t="shared" si="3"/>
        <v>Loss</v>
      </c>
    </row>
    <row r="7845" ht="14.25" customHeight="1">
      <c r="A7845" s="1" t="s">
        <v>7879</v>
      </c>
      <c r="B7845" s="2">
        <v>45189.0</v>
      </c>
      <c r="C7845" s="1" t="s">
        <v>30</v>
      </c>
      <c r="D7845" s="1" t="s">
        <v>27</v>
      </c>
      <c r="E7845" s="1" t="s">
        <v>33</v>
      </c>
      <c r="F7845" s="1">
        <v>422.84</v>
      </c>
      <c r="G7845" s="1">
        <v>235.99</v>
      </c>
      <c r="H7845" s="1">
        <v>1.0</v>
      </c>
      <c r="I7845" s="1" t="s">
        <v>34</v>
      </c>
      <c r="J7845" s="1" t="s">
        <v>24</v>
      </c>
      <c r="K7845" s="1">
        <f t="shared" si="1"/>
        <v>2023</v>
      </c>
      <c r="L7845" s="1" t="str">
        <f t="shared" si="2"/>
        <v>Sep</v>
      </c>
      <c r="M7845" s="1" t="str">
        <f t="shared" si="3"/>
        <v>Profit</v>
      </c>
    </row>
    <row r="7846" ht="14.25" customHeight="1">
      <c r="A7846" s="1" t="s">
        <v>7880</v>
      </c>
      <c r="B7846" s="2">
        <v>44459.0</v>
      </c>
      <c r="C7846" s="1" t="s">
        <v>20</v>
      </c>
      <c r="D7846" s="1" t="s">
        <v>27</v>
      </c>
      <c r="E7846" s="1" t="s">
        <v>28</v>
      </c>
      <c r="F7846" s="1">
        <v>77.07</v>
      </c>
      <c r="G7846" s="1">
        <v>285.7</v>
      </c>
      <c r="H7846" s="1">
        <v>6.0</v>
      </c>
      <c r="I7846" s="1" t="s">
        <v>17</v>
      </c>
      <c r="J7846" s="1" t="s">
        <v>35</v>
      </c>
      <c r="K7846" s="1">
        <f t="shared" si="1"/>
        <v>2021</v>
      </c>
      <c r="L7846" s="1" t="str">
        <f t="shared" si="2"/>
        <v>Sep</v>
      </c>
      <c r="M7846" s="1" t="str">
        <f t="shared" si="3"/>
        <v>Profit</v>
      </c>
    </row>
    <row r="7847" ht="14.25" customHeight="1">
      <c r="A7847" s="1" t="s">
        <v>7881</v>
      </c>
      <c r="B7847" s="2">
        <v>45158.0</v>
      </c>
      <c r="C7847" s="1" t="s">
        <v>14</v>
      </c>
      <c r="D7847" s="1" t="s">
        <v>15</v>
      </c>
      <c r="E7847" s="1" t="s">
        <v>16</v>
      </c>
      <c r="F7847" s="1">
        <v>836.38</v>
      </c>
      <c r="G7847" s="1">
        <v>0.97</v>
      </c>
      <c r="H7847" s="1">
        <v>6.0</v>
      </c>
      <c r="I7847" s="1" t="s">
        <v>34</v>
      </c>
      <c r="J7847" s="1" t="s">
        <v>35</v>
      </c>
      <c r="K7847" s="1">
        <f t="shared" si="1"/>
        <v>2023</v>
      </c>
      <c r="L7847" s="1" t="str">
        <f t="shared" si="2"/>
        <v>Aug</v>
      </c>
      <c r="M7847" s="1" t="str">
        <f t="shared" si="3"/>
        <v>Profit</v>
      </c>
    </row>
    <row r="7848" ht="14.25" customHeight="1">
      <c r="A7848" s="1" t="s">
        <v>7882</v>
      </c>
      <c r="B7848" s="2">
        <v>45040.0</v>
      </c>
      <c r="C7848" s="1" t="s">
        <v>30</v>
      </c>
      <c r="D7848" s="1" t="s">
        <v>15</v>
      </c>
      <c r="E7848" s="1" t="s">
        <v>16</v>
      </c>
      <c r="F7848" s="1">
        <v>379.74</v>
      </c>
      <c r="G7848" s="1">
        <v>222.55</v>
      </c>
      <c r="H7848" s="1">
        <v>4.0</v>
      </c>
      <c r="I7848" s="1" t="s">
        <v>17</v>
      </c>
      <c r="J7848" s="1" t="s">
        <v>24</v>
      </c>
      <c r="K7848" s="1">
        <f t="shared" si="1"/>
        <v>2023</v>
      </c>
      <c r="L7848" s="1" t="str">
        <f t="shared" si="2"/>
        <v>Apr</v>
      </c>
      <c r="M7848" s="1" t="str">
        <f t="shared" si="3"/>
        <v>Profit</v>
      </c>
    </row>
    <row r="7849" ht="14.25" customHeight="1">
      <c r="A7849" s="1" t="s">
        <v>7883</v>
      </c>
      <c r="B7849" s="2">
        <v>45108.0</v>
      </c>
      <c r="C7849" s="1" t="s">
        <v>14</v>
      </c>
      <c r="D7849" s="1" t="s">
        <v>15</v>
      </c>
      <c r="E7849" s="1" t="s">
        <v>31</v>
      </c>
      <c r="F7849" s="1">
        <v>698.52</v>
      </c>
      <c r="G7849" s="1">
        <v>167.31</v>
      </c>
      <c r="H7849" s="1">
        <v>1.0</v>
      </c>
      <c r="I7849" s="1" t="s">
        <v>34</v>
      </c>
      <c r="J7849" s="1" t="s">
        <v>38</v>
      </c>
      <c r="K7849" s="1">
        <f t="shared" si="1"/>
        <v>2023</v>
      </c>
      <c r="L7849" s="1" t="str">
        <f t="shared" si="2"/>
        <v>Jul</v>
      </c>
      <c r="M7849" s="1" t="str">
        <f t="shared" si="3"/>
        <v>Profit</v>
      </c>
    </row>
    <row r="7850" ht="14.25" customHeight="1">
      <c r="A7850" s="1" t="s">
        <v>7884</v>
      </c>
      <c r="B7850" s="2">
        <v>44320.0</v>
      </c>
      <c r="C7850" s="1" t="s">
        <v>26</v>
      </c>
      <c r="D7850" s="1" t="s">
        <v>15</v>
      </c>
      <c r="E7850" s="1" t="s">
        <v>16</v>
      </c>
      <c r="F7850" s="1">
        <v>843.55</v>
      </c>
      <c r="G7850" s="1">
        <v>166.81</v>
      </c>
      <c r="H7850" s="1">
        <v>3.0</v>
      </c>
      <c r="I7850" s="1" t="s">
        <v>23</v>
      </c>
      <c r="J7850" s="1" t="s">
        <v>24</v>
      </c>
      <c r="K7850" s="1">
        <f t="shared" si="1"/>
        <v>2021</v>
      </c>
      <c r="L7850" s="1" t="str">
        <f t="shared" si="2"/>
        <v>May</v>
      </c>
      <c r="M7850" s="1" t="str">
        <f t="shared" si="3"/>
        <v>Profit</v>
      </c>
    </row>
    <row r="7851" ht="14.25" customHeight="1">
      <c r="A7851" s="1" t="s">
        <v>7885</v>
      </c>
      <c r="B7851" s="2">
        <v>45002.0</v>
      </c>
      <c r="C7851" s="1" t="s">
        <v>20</v>
      </c>
      <c r="D7851" s="1" t="s">
        <v>15</v>
      </c>
      <c r="E7851" s="1" t="s">
        <v>16</v>
      </c>
      <c r="F7851" s="1">
        <v>628.65</v>
      </c>
      <c r="G7851" s="1">
        <v>264.23</v>
      </c>
      <c r="H7851" s="1">
        <v>6.0</v>
      </c>
      <c r="I7851" s="1" t="s">
        <v>34</v>
      </c>
      <c r="J7851" s="1" t="s">
        <v>38</v>
      </c>
      <c r="K7851" s="1">
        <f t="shared" si="1"/>
        <v>2023</v>
      </c>
      <c r="L7851" s="1" t="str">
        <f t="shared" si="2"/>
        <v>Mar</v>
      </c>
      <c r="M7851" s="1" t="str">
        <f t="shared" si="3"/>
        <v>Profit</v>
      </c>
    </row>
    <row r="7852" ht="14.25" customHeight="1">
      <c r="A7852" s="1" t="s">
        <v>7886</v>
      </c>
      <c r="B7852" s="2">
        <v>44263.0</v>
      </c>
      <c r="C7852" s="1" t="s">
        <v>30</v>
      </c>
      <c r="D7852" s="1" t="s">
        <v>15</v>
      </c>
      <c r="E7852" s="1" t="s">
        <v>54</v>
      </c>
      <c r="F7852" s="1">
        <v>693.21</v>
      </c>
      <c r="G7852" s="1">
        <v>-92.33</v>
      </c>
      <c r="H7852" s="1">
        <v>4.0</v>
      </c>
      <c r="I7852" s="1" t="s">
        <v>17</v>
      </c>
      <c r="J7852" s="1" t="s">
        <v>24</v>
      </c>
      <c r="K7852" s="1">
        <f t="shared" si="1"/>
        <v>2021</v>
      </c>
      <c r="L7852" s="1" t="str">
        <f t="shared" si="2"/>
        <v>Mar</v>
      </c>
      <c r="M7852" s="1" t="str">
        <f t="shared" si="3"/>
        <v>Loss</v>
      </c>
    </row>
    <row r="7853" ht="14.25" customHeight="1">
      <c r="A7853" s="1" t="s">
        <v>7887</v>
      </c>
      <c r="B7853" s="2">
        <v>44384.0</v>
      </c>
      <c r="C7853" s="1" t="s">
        <v>26</v>
      </c>
      <c r="D7853" s="1" t="s">
        <v>21</v>
      </c>
      <c r="E7853" s="1" t="s">
        <v>76</v>
      </c>
      <c r="F7853" s="1">
        <v>423.58</v>
      </c>
      <c r="G7853" s="1">
        <v>223.53</v>
      </c>
      <c r="H7853" s="1">
        <v>1.0</v>
      </c>
      <c r="I7853" s="1" t="s">
        <v>34</v>
      </c>
      <c r="J7853" s="1" t="s">
        <v>18</v>
      </c>
      <c r="K7853" s="1">
        <f t="shared" si="1"/>
        <v>2021</v>
      </c>
      <c r="L7853" s="1" t="str">
        <f t="shared" si="2"/>
        <v>Jul</v>
      </c>
      <c r="M7853" s="1" t="str">
        <f t="shared" si="3"/>
        <v>Profit</v>
      </c>
    </row>
    <row r="7854" ht="14.25" customHeight="1">
      <c r="A7854" s="1" t="s">
        <v>7888</v>
      </c>
      <c r="B7854" s="2">
        <v>45202.0</v>
      </c>
      <c r="C7854" s="1" t="s">
        <v>20</v>
      </c>
      <c r="D7854" s="1" t="s">
        <v>27</v>
      </c>
      <c r="E7854" s="1" t="s">
        <v>33</v>
      </c>
      <c r="F7854" s="1">
        <v>368.25</v>
      </c>
      <c r="G7854" s="1">
        <v>-160.38</v>
      </c>
      <c r="H7854" s="1">
        <v>2.0</v>
      </c>
      <c r="I7854" s="1" t="s">
        <v>17</v>
      </c>
      <c r="J7854" s="1" t="s">
        <v>35</v>
      </c>
      <c r="K7854" s="1">
        <f t="shared" si="1"/>
        <v>2023</v>
      </c>
      <c r="L7854" s="1" t="str">
        <f t="shared" si="2"/>
        <v>Oct</v>
      </c>
      <c r="M7854" s="1" t="str">
        <f t="shared" si="3"/>
        <v>Loss</v>
      </c>
    </row>
    <row r="7855" ht="14.25" customHeight="1">
      <c r="A7855" s="1" t="s">
        <v>7889</v>
      </c>
      <c r="B7855" s="2">
        <v>45066.0</v>
      </c>
      <c r="C7855" s="1" t="s">
        <v>30</v>
      </c>
      <c r="D7855" s="1" t="s">
        <v>21</v>
      </c>
      <c r="E7855" s="1" t="s">
        <v>76</v>
      </c>
      <c r="F7855" s="1">
        <v>700.81</v>
      </c>
      <c r="G7855" s="1">
        <v>186.52</v>
      </c>
      <c r="H7855" s="1">
        <v>2.0</v>
      </c>
      <c r="I7855" s="1" t="s">
        <v>23</v>
      </c>
      <c r="J7855" s="1" t="s">
        <v>35</v>
      </c>
      <c r="K7855" s="1">
        <f t="shared" si="1"/>
        <v>2023</v>
      </c>
      <c r="L7855" s="1" t="str">
        <f t="shared" si="2"/>
        <v>May</v>
      </c>
      <c r="M7855" s="1" t="str">
        <f t="shared" si="3"/>
        <v>Profit</v>
      </c>
    </row>
    <row r="7856" ht="14.25" customHeight="1">
      <c r="A7856" s="1" t="s">
        <v>7890</v>
      </c>
      <c r="B7856" s="2">
        <v>45291.0</v>
      </c>
      <c r="C7856" s="1" t="s">
        <v>26</v>
      </c>
      <c r="D7856" s="1" t="s">
        <v>27</v>
      </c>
      <c r="E7856" s="1" t="s">
        <v>40</v>
      </c>
      <c r="F7856" s="1">
        <v>502.79</v>
      </c>
      <c r="G7856" s="1">
        <v>232.07</v>
      </c>
      <c r="H7856" s="1">
        <v>8.0</v>
      </c>
      <c r="I7856" s="1" t="s">
        <v>23</v>
      </c>
      <c r="J7856" s="1" t="s">
        <v>18</v>
      </c>
      <c r="K7856" s="1">
        <f t="shared" si="1"/>
        <v>2023</v>
      </c>
      <c r="L7856" s="1" t="str">
        <f t="shared" si="2"/>
        <v>Dec</v>
      </c>
      <c r="M7856" s="1" t="str">
        <f t="shared" si="3"/>
        <v>Profit</v>
      </c>
    </row>
    <row r="7857" ht="14.25" customHeight="1">
      <c r="A7857" s="1" t="s">
        <v>7891</v>
      </c>
      <c r="B7857" s="2">
        <v>44327.0</v>
      </c>
      <c r="C7857" s="1" t="s">
        <v>20</v>
      </c>
      <c r="D7857" s="1" t="s">
        <v>21</v>
      </c>
      <c r="E7857" s="1" t="s">
        <v>76</v>
      </c>
      <c r="F7857" s="1">
        <v>898.18</v>
      </c>
      <c r="G7857" s="1">
        <v>-12.57</v>
      </c>
      <c r="H7857" s="1">
        <v>9.0</v>
      </c>
      <c r="I7857" s="1" t="s">
        <v>34</v>
      </c>
      <c r="J7857" s="1" t="s">
        <v>24</v>
      </c>
      <c r="K7857" s="1">
        <f t="shared" si="1"/>
        <v>2021</v>
      </c>
      <c r="L7857" s="1" t="str">
        <f t="shared" si="2"/>
        <v>May</v>
      </c>
      <c r="M7857" s="1" t="str">
        <f t="shared" si="3"/>
        <v>Loss</v>
      </c>
    </row>
    <row r="7858" ht="14.25" customHeight="1">
      <c r="A7858" s="1" t="s">
        <v>7892</v>
      </c>
      <c r="B7858" s="2">
        <v>45022.0</v>
      </c>
      <c r="C7858" s="1" t="s">
        <v>20</v>
      </c>
      <c r="D7858" s="1" t="s">
        <v>27</v>
      </c>
      <c r="E7858" s="1" t="s">
        <v>40</v>
      </c>
      <c r="F7858" s="1">
        <v>871.57</v>
      </c>
      <c r="G7858" s="1">
        <v>14.01</v>
      </c>
      <c r="H7858" s="1">
        <v>3.0</v>
      </c>
      <c r="I7858" s="1" t="s">
        <v>17</v>
      </c>
      <c r="J7858" s="1" t="s">
        <v>24</v>
      </c>
      <c r="K7858" s="1">
        <f t="shared" si="1"/>
        <v>2023</v>
      </c>
      <c r="L7858" s="1" t="str">
        <f t="shared" si="2"/>
        <v>Apr</v>
      </c>
      <c r="M7858" s="1" t="str">
        <f t="shared" si="3"/>
        <v>Profit</v>
      </c>
    </row>
    <row r="7859" ht="14.25" customHeight="1">
      <c r="A7859" s="1" t="s">
        <v>7893</v>
      </c>
      <c r="B7859" s="2">
        <v>45272.0</v>
      </c>
      <c r="C7859" s="1" t="s">
        <v>14</v>
      </c>
      <c r="D7859" s="1" t="s">
        <v>27</v>
      </c>
      <c r="E7859" s="1" t="s">
        <v>28</v>
      </c>
      <c r="F7859" s="1">
        <v>680.3</v>
      </c>
      <c r="G7859" s="1">
        <v>18.01</v>
      </c>
      <c r="H7859" s="1">
        <v>7.0</v>
      </c>
      <c r="I7859" s="1" t="s">
        <v>34</v>
      </c>
      <c r="J7859" s="1" t="s">
        <v>24</v>
      </c>
      <c r="K7859" s="1">
        <f t="shared" si="1"/>
        <v>2023</v>
      </c>
      <c r="L7859" s="1" t="str">
        <f t="shared" si="2"/>
        <v>Dec</v>
      </c>
      <c r="M7859" s="1" t="str">
        <f t="shared" si="3"/>
        <v>Profit</v>
      </c>
    </row>
    <row r="7860" ht="14.25" customHeight="1">
      <c r="A7860" s="1" t="s">
        <v>7894</v>
      </c>
      <c r="B7860" s="2">
        <v>44925.0</v>
      </c>
      <c r="C7860" s="1" t="s">
        <v>14</v>
      </c>
      <c r="D7860" s="1" t="s">
        <v>21</v>
      </c>
      <c r="E7860" s="1" t="s">
        <v>22</v>
      </c>
      <c r="F7860" s="1">
        <v>839.02</v>
      </c>
      <c r="G7860" s="1">
        <v>98.08</v>
      </c>
      <c r="H7860" s="1">
        <v>1.0</v>
      </c>
      <c r="I7860" s="1" t="s">
        <v>34</v>
      </c>
      <c r="J7860" s="1" t="s">
        <v>24</v>
      </c>
      <c r="K7860" s="1">
        <f t="shared" si="1"/>
        <v>2022</v>
      </c>
      <c r="L7860" s="1" t="str">
        <f t="shared" si="2"/>
        <v>Dec</v>
      </c>
      <c r="M7860" s="1" t="str">
        <f t="shared" si="3"/>
        <v>Profit</v>
      </c>
    </row>
    <row r="7861" ht="14.25" customHeight="1">
      <c r="A7861" s="1" t="s">
        <v>7895</v>
      </c>
      <c r="B7861" s="2">
        <v>45209.0</v>
      </c>
      <c r="C7861" s="1" t="s">
        <v>14</v>
      </c>
      <c r="D7861" s="1" t="s">
        <v>15</v>
      </c>
      <c r="E7861" s="1" t="s">
        <v>16</v>
      </c>
      <c r="F7861" s="1">
        <v>621.88</v>
      </c>
      <c r="G7861" s="1">
        <v>174.65</v>
      </c>
      <c r="H7861" s="1">
        <v>3.0</v>
      </c>
      <c r="I7861" s="1" t="s">
        <v>34</v>
      </c>
      <c r="J7861" s="1" t="s">
        <v>38</v>
      </c>
      <c r="K7861" s="1">
        <f t="shared" si="1"/>
        <v>2023</v>
      </c>
      <c r="L7861" s="1" t="str">
        <f t="shared" si="2"/>
        <v>Oct</v>
      </c>
      <c r="M7861" s="1" t="str">
        <f t="shared" si="3"/>
        <v>Profit</v>
      </c>
    </row>
    <row r="7862" ht="14.25" customHeight="1">
      <c r="A7862" s="1" t="s">
        <v>7896</v>
      </c>
      <c r="B7862" s="2">
        <v>44369.0</v>
      </c>
      <c r="C7862" s="1" t="s">
        <v>14</v>
      </c>
      <c r="D7862" s="1" t="s">
        <v>21</v>
      </c>
      <c r="E7862" s="1" t="s">
        <v>37</v>
      </c>
      <c r="F7862" s="1">
        <v>588.95</v>
      </c>
      <c r="G7862" s="1">
        <v>134.68</v>
      </c>
      <c r="H7862" s="1">
        <v>4.0</v>
      </c>
      <c r="I7862" s="1" t="s">
        <v>17</v>
      </c>
      <c r="J7862" s="1" t="s">
        <v>18</v>
      </c>
      <c r="K7862" s="1">
        <f t="shared" si="1"/>
        <v>2021</v>
      </c>
      <c r="L7862" s="1" t="str">
        <f t="shared" si="2"/>
        <v>Jun</v>
      </c>
      <c r="M7862" s="1" t="str">
        <f t="shared" si="3"/>
        <v>Profit</v>
      </c>
    </row>
    <row r="7863" ht="14.25" customHeight="1">
      <c r="A7863" s="1" t="s">
        <v>7897</v>
      </c>
      <c r="B7863" s="2">
        <v>45237.0</v>
      </c>
      <c r="C7863" s="1" t="s">
        <v>30</v>
      </c>
      <c r="D7863" s="1" t="s">
        <v>27</v>
      </c>
      <c r="E7863" s="1" t="s">
        <v>40</v>
      </c>
      <c r="F7863" s="1">
        <v>865.62</v>
      </c>
      <c r="G7863" s="1">
        <v>35.5</v>
      </c>
      <c r="H7863" s="1">
        <v>6.0</v>
      </c>
      <c r="I7863" s="1" t="s">
        <v>17</v>
      </c>
      <c r="J7863" s="1" t="s">
        <v>35</v>
      </c>
      <c r="K7863" s="1">
        <f t="shared" si="1"/>
        <v>2023</v>
      </c>
      <c r="L7863" s="1" t="str">
        <f t="shared" si="2"/>
        <v>Nov</v>
      </c>
      <c r="M7863" s="1" t="str">
        <f t="shared" si="3"/>
        <v>Profit</v>
      </c>
    </row>
    <row r="7864" ht="14.25" customHeight="1">
      <c r="A7864" s="1" t="s">
        <v>7898</v>
      </c>
      <c r="B7864" s="2">
        <v>44526.0</v>
      </c>
      <c r="C7864" s="1" t="s">
        <v>26</v>
      </c>
      <c r="D7864" s="1" t="s">
        <v>27</v>
      </c>
      <c r="E7864" s="1" t="s">
        <v>28</v>
      </c>
      <c r="F7864" s="1">
        <v>802.59</v>
      </c>
      <c r="G7864" s="1">
        <v>-99.29</v>
      </c>
      <c r="H7864" s="1">
        <v>8.0</v>
      </c>
      <c r="I7864" s="1" t="s">
        <v>34</v>
      </c>
      <c r="J7864" s="1" t="s">
        <v>35</v>
      </c>
      <c r="K7864" s="1">
        <f t="shared" si="1"/>
        <v>2021</v>
      </c>
      <c r="L7864" s="1" t="str">
        <f t="shared" si="2"/>
        <v>Nov</v>
      </c>
      <c r="M7864" s="1" t="str">
        <f t="shared" si="3"/>
        <v>Loss</v>
      </c>
    </row>
    <row r="7865" ht="14.25" customHeight="1">
      <c r="A7865" s="1" t="s">
        <v>7899</v>
      </c>
      <c r="B7865" s="2">
        <v>44332.0</v>
      </c>
      <c r="C7865" s="1" t="s">
        <v>26</v>
      </c>
      <c r="D7865" s="1" t="s">
        <v>21</v>
      </c>
      <c r="E7865" s="1" t="s">
        <v>76</v>
      </c>
      <c r="F7865" s="1">
        <v>315.59</v>
      </c>
      <c r="G7865" s="1">
        <v>-192.01</v>
      </c>
      <c r="H7865" s="1">
        <v>9.0</v>
      </c>
      <c r="I7865" s="1" t="s">
        <v>23</v>
      </c>
      <c r="J7865" s="1" t="s">
        <v>24</v>
      </c>
      <c r="K7865" s="1">
        <f t="shared" si="1"/>
        <v>2021</v>
      </c>
      <c r="L7865" s="1" t="str">
        <f t="shared" si="2"/>
        <v>May</v>
      </c>
      <c r="M7865" s="1" t="str">
        <f t="shared" si="3"/>
        <v>Loss</v>
      </c>
    </row>
    <row r="7866" ht="14.25" customHeight="1">
      <c r="A7866" s="1" t="s">
        <v>7900</v>
      </c>
      <c r="B7866" s="2">
        <v>44486.0</v>
      </c>
      <c r="C7866" s="1" t="s">
        <v>14</v>
      </c>
      <c r="D7866" s="1" t="s">
        <v>15</v>
      </c>
      <c r="E7866" s="1" t="s">
        <v>31</v>
      </c>
      <c r="F7866" s="1">
        <v>660.83</v>
      </c>
      <c r="G7866" s="1">
        <v>282.12</v>
      </c>
      <c r="H7866" s="1">
        <v>4.0</v>
      </c>
      <c r="I7866" s="1" t="s">
        <v>23</v>
      </c>
      <c r="J7866" s="1" t="s">
        <v>38</v>
      </c>
      <c r="K7866" s="1">
        <f t="shared" si="1"/>
        <v>2021</v>
      </c>
      <c r="L7866" s="1" t="str">
        <f t="shared" si="2"/>
        <v>Oct</v>
      </c>
      <c r="M7866" s="1" t="str">
        <f t="shared" si="3"/>
        <v>Profit</v>
      </c>
    </row>
    <row r="7867" ht="14.25" customHeight="1">
      <c r="A7867" s="1" t="s">
        <v>7901</v>
      </c>
      <c r="B7867" s="2">
        <v>44305.0</v>
      </c>
      <c r="C7867" s="1" t="s">
        <v>14</v>
      </c>
      <c r="D7867" s="1" t="s">
        <v>15</v>
      </c>
      <c r="E7867" s="1" t="s">
        <v>31</v>
      </c>
      <c r="F7867" s="1">
        <v>104.52</v>
      </c>
      <c r="G7867" s="1">
        <v>74.0</v>
      </c>
      <c r="H7867" s="1">
        <v>4.0</v>
      </c>
      <c r="I7867" s="1" t="s">
        <v>34</v>
      </c>
      <c r="J7867" s="1" t="s">
        <v>18</v>
      </c>
      <c r="K7867" s="1">
        <f t="shared" si="1"/>
        <v>2021</v>
      </c>
      <c r="L7867" s="1" t="str">
        <f t="shared" si="2"/>
        <v>Apr</v>
      </c>
      <c r="M7867" s="1" t="str">
        <f t="shared" si="3"/>
        <v>Profit</v>
      </c>
    </row>
    <row r="7868" ht="14.25" customHeight="1">
      <c r="A7868" s="1" t="s">
        <v>7902</v>
      </c>
      <c r="B7868" s="2">
        <v>44819.0</v>
      </c>
      <c r="C7868" s="1" t="s">
        <v>30</v>
      </c>
      <c r="D7868" s="1" t="s">
        <v>27</v>
      </c>
      <c r="E7868" s="1" t="s">
        <v>28</v>
      </c>
      <c r="F7868" s="1">
        <v>123.36</v>
      </c>
      <c r="G7868" s="1">
        <v>198.24</v>
      </c>
      <c r="H7868" s="1">
        <v>1.0</v>
      </c>
      <c r="I7868" s="1" t="s">
        <v>34</v>
      </c>
      <c r="J7868" s="1" t="s">
        <v>24</v>
      </c>
      <c r="K7868" s="1">
        <f t="shared" si="1"/>
        <v>2022</v>
      </c>
      <c r="L7868" s="1" t="str">
        <f t="shared" si="2"/>
        <v>Sep</v>
      </c>
      <c r="M7868" s="1" t="str">
        <f t="shared" si="3"/>
        <v>Profit</v>
      </c>
    </row>
    <row r="7869" ht="14.25" customHeight="1">
      <c r="A7869" s="1" t="s">
        <v>7903</v>
      </c>
      <c r="B7869" s="2">
        <v>44826.0</v>
      </c>
      <c r="C7869" s="1" t="s">
        <v>20</v>
      </c>
      <c r="D7869" s="1" t="s">
        <v>27</v>
      </c>
      <c r="E7869" s="1" t="s">
        <v>33</v>
      </c>
      <c r="F7869" s="1">
        <v>742.12</v>
      </c>
      <c r="G7869" s="1">
        <v>78.07</v>
      </c>
      <c r="H7869" s="1">
        <v>10.0</v>
      </c>
      <c r="I7869" s="1" t="s">
        <v>34</v>
      </c>
      <c r="J7869" s="1" t="s">
        <v>18</v>
      </c>
      <c r="K7869" s="1">
        <f t="shared" si="1"/>
        <v>2022</v>
      </c>
      <c r="L7869" s="1" t="str">
        <f t="shared" si="2"/>
        <v>Sep</v>
      </c>
      <c r="M7869" s="1" t="str">
        <f t="shared" si="3"/>
        <v>Profit</v>
      </c>
    </row>
    <row r="7870" ht="14.25" customHeight="1">
      <c r="A7870" s="1" t="s">
        <v>7904</v>
      </c>
      <c r="B7870" s="2">
        <v>44697.0</v>
      </c>
      <c r="C7870" s="1" t="s">
        <v>14</v>
      </c>
      <c r="D7870" s="1" t="s">
        <v>27</v>
      </c>
      <c r="E7870" s="1" t="s">
        <v>28</v>
      </c>
      <c r="F7870" s="1">
        <v>656.61</v>
      </c>
      <c r="G7870" s="1">
        <v>148.17</v>
      </c>
      <c r="H7870" s="1">
        <v>5.0</v>
      </c>
      <c r="I7870" s="1" t="s">
        <v>17</v>
      </c>
      <c r="J7870" s="1" t="s">
        <v>35</v>
      </c>
      <c r="K7870" s="1">
        <f t="shared" si="1"/>
        <v>2022</v>
      </c>
      <c r="L7870" s="1" t="str">
        <f t="shared" si="2"/>
        <v>May</v>
      </c>
      <c r="M7870" s="1" t="str">
        <f t="shared" si="3"/>
        <v>Profit</v>
      </c>
    </row>
    <row r="7871" ht="14.25" customHeight="1">
      <c r="A7871" s="1" t="s">
        <v>7905</v>
      </c>
      <c r="B7871" s="2">
        <v>44874.0</v>
      </c>
      <c r="C7871" s="1" t="s">
        <v>20</v>
      </c>
      <c r="D7871" s="1" t="s">
        <v>21</v>
      </c>
      <c r="E7871" s="1" t="s">
        <v>37</v>
      </c>
      <c r="F7871" s="1">
        <v>928.48</v>
      </c>
      <c r="G7871" s="1">
        <v>129.13</v>
      </c>
      <c r="H7871" s="1">
        <v>4.0</v>
      </c>
      <c r="I7871" s="1" t="s">
        <v>23</v>
      </c>
      <c r="J7871" s="1" t="s">
        <v>35</v>
      </c>
      <c r="K7871" s="1">
        <f t="shared" si="1"/>
        <v>2022</v>
      </c>
      <c r="L7871" s="1" t="str">
        <f t="shared" si="2"/>
        <v>Nov</v>
      </c>
      <c r="M7871" s="1" t="str">
        <f t="shared" si="3"/>
        <v>Profit</v>
      </c>
    </row>
    <row r="7872" ht="14.25" customHeight="1">
      <c r="A7872" s="1" t="s">
        <v>7906</v>
      </c>
      <c r="B7872" s="2">
        <v>44572.0</v>
      </c>
      <c r="C7872" s="1" t="s">
        <v>30</v>
      </c>
      <c r="D7872" s="1" t="s">
        <v>21</v>
      </c>
      <c r="E7872" s="1" t="s">
        <v>22</v>
      </c>
      <c r="F7872" s="1">
        <v>320.65</v>
      </c>
      <c r="G7872" s="1">
        <v>252.31</v>
      </c>
      <c r="H7872" s="1">
        <v>5.0</v>
      </c>
      <c r="I7872" s="1" t="s">
        <v>34</v>
      </c>
      <c r="J7872" s="1" t="s">
        <v>24</v>
      </c>
      <c r="K7872" s="1">
        <f t="shared" si="1"/>
        <v>2022</v>
      </c>
      <c r="L7872" s="1" t="str">
        <f t="shared" si="2"/>
        <v>Jan</v>
      </c>
      <c r="M7872" s="1" t="str">
        <f t="shared" si="3"/>
        <v>Profit</v>
      </c>
    </row>
    <row r="7873" ht="14.25" customHeight="1">
      <c r="A7873" s="1" t="s">
        <v>7907</v>
      </c>
      <c r="B7873" s="2">
        <v>45068.0</v>
      </c>
      <c r="C7873" s="1" t="s">
        <v>14</v>
      </c>
      <c r="D7873" s="1" t="s">
        <v>27</v>
      </c>
      <c r="E7873" s="1" t="s">
        <v>40</v>
      </c>
      <c r="F7873" s="1">
        <v>804.24</v>
      </c>
      <c r="G7873" s="1">
        <v>-72.67</v>
      </c>
      <c r="H7873" s="1">
        <v>5.0</v>
      </c>
      <c r="I7873" s="1" t="s">
        <v>17</v>
      </c>
      <c r="J7873" s="1" t="s">
        <v>38</v>
      </c>
      <c r="K7873" s="1">
        <f t="shared" si="1"/>
        <v>2023</v>
      </c>
      <c r="L7873" s="1" t="str">
        <f t="shared" si="2"/>
        <v>May</v>
      </c>
      <c r="M7873" s="1" t="str">
        <f t="shared" si="3"/>
        <v>Loss</v>
      </c>
    </row>
    <row r="7874" ht="14.25" customHeight="1">
      <c r="A7874" s="1" t="s">
        <v>7908</v>
      </c>
      <c r="B7874" s="2">
        <v>44503.0</v>
      </c>
      <c r="C7874" s="1" t="s">
        <v>20</v>
      </c>
      <c r="D7874" s="1" t="s">
        <v>21</v>
      </c>
      <c r="E7874" s="1" t="s">
        <v>76</v>
      </c>
      <c r="F7874" s="1">
        <v>105.7</v>
      </c>
      <c r="G7874" s="1">
        <v>154.12</v>
      </c>
      <c r="H7874" s="1">
        <v>3.0</v>
      </c>
      <c r="I7874" s="1" t="s">
        <v>23</v>
      </c>
      <c r="J7874" s="1" t="s">
        <v>24</v>
      </c>
      <c r="K7874" s="1">
        <f t="shared" si="1"/>
        <v>2021</v>
      </c>
      <c r="L7874" s="1" t="str">
        <f t="shared" si="2"/>
        <v>Nov</v>
      </c>
      <c r="M7874" s="1" t="str">
        <f t="shared" si="3"/>
        <v>Profit</v>
      </c>
    </row>
    <row r="7875" ht="14.25" customHeight="1">
      <c r="A7875" s="1" t="s">
        <v>7909</v>
      </c>
      <c r="B7875" s="2">
        <v>45023.0</v>
      </c>
      <c r="C7875" s="1" t="s">
        <v>26</v>
      </c>
      <c r="D7875" s="1" t="s">
        <v>15</v>
      </c>
      <c r="E7875" s="1" t="s">
        <v>16</v>
      </c>
      <c r="F7875" s="1">
        <v>383.4</v>
      </c>
      <c r="G7875" s="1">
        <v>-145.12</v>
      </c>
      <c r="H7875" s="1">
        <v>5.0</v>
      </c>
      <c r="I7875" s="1" t="s">
        <v>17</v>
      </c>
      <c r="J7875" s="1" t="s">
        <v>35</v>
      </c>
      <c r="K7875" s="1">
        <f t="shared" si="1"/>
        <v>2023</v>
      </c>
      <c r="L7875" s="1" t="str">
        <f t="shared" si="2"/>
        <v>Apr</v>
      </c>
      <c r="M7875" s="1" t="str">
        <f t="shared" si="3"/>
        <v>Loss</v>
      </c>
    </row>
    <row r="7876" ht="14.25" customHeight="1">
      <c r="A7876" s="1" t="s">
        <v>7910</v>
      </c>
      <c r="B7876" s="2">
        <v>44764.0</v>
      </c>
      <c r="C7876" s="1" t="s">
        <v>26</v>
      </c>
      <c r="D7876" s="1" t="s">
        <v>15</v>
      </c>
      <c r="E7876" s="1" t="s">
        <v>31</v>
      </c>
      <c r="F7876" s="1">
        <v>722.74</v>
      </c>
      <c r="G7876" s="1">
        <v>-163.04</v>
      </c>
      <c r="H7876" s="1">
        <v>6.0</v>
      </c>
      <c r="I7876" s="1" t="s">
        <v>17</v>
      </c>
      <c r="J7876" s="1" t="s">
        <v>35</v>
      </c>
      <c r="K7876" s="1">
        <f t="shared" si="1"/>
        <v>2022</v>
      </c>
      <c r="L7876" s="1" t="str">
        <f t="shared" si="2"/>
        <v>Jul</v>
      </c>
      <c r="M7876" s="1" t="str">
        <f t="shared" si="3"/>
        <v>Loss</v>
      </c>
    </row>
    <row r="7877" ht="14.25" customHeight="1">
      <c r="A7877" s="1" t="s">
        <v>7911</v>
      </c>
      <c r="B7877" s="2">
        <v>44719.0</v>
      </c>
      <c r="C7877" s="1" t="s">
        <v>14</v>
      </c>
      <c r="D7877" s="1" t="s">
        <v>15</v>
      </c>
      <c r="E7877" s="1" t="s">
        <v>16</v>
      </c>
      <c r="F7877" s="1">
        <v>613.89</v>
      </c>
      <c r="G7877" s="1">
        <v>-114.29</v>
      </c>
      <c r="H7877" s="1">
        <v>2.0</v>
      </c>
      <c r="I7877" s="1" t="s">
        <v>17</v>
      </c>
      <c r="J7877" s="1" t="s">
        <v>38</v>
      </c>
      <c r="K7877" s="1">
        <f t="shared" si="1"/>
        <v>2022</v>
      </c>
      <c r="L7877" s="1" t="str">
        <f t="shared" si="2"/>
        <v>Jun</v>
      </c>
      <c r="M7877" s="1" t="str">
        <f t="shared" si="3"/>
        <v>Loss</v>
      </c>
    </row>
    <row r="7878" ht="14.25" customHeight="1">
      <c r="A7878" s="1" t="s">
        <v>7912</v>
      </c>
      <c r="B7878" s="2">
        <v>44498.0</v>
      </c>
      <c r="C7878" s="1" t="s">
        <v>14</v>
      </c>
      <c r="D7878" s="1" t="s">
        <v>15</v>
      </c>
      <c r="E7878" s="1" t="s">
        <v>54</v>
      </c>
      <c r="F7878" s="1">
        <v>621.6</v>
      </c>
      <c r="G7878" s="1">
        <v>-166.65</v>
      </c>
      <c r="H7878" s="1">
        <v>4.0</v>
      </c>
      <c r="I7878" s="1" t="s">
        <v>23</v>
      </c>
      <c r="J7878" s="1" t="s">
        <v>18</v>
      </c>
      <c r="K7878" s="1">
        <f t="shared" si="1"/>
        <v>2021</v>
      </c>
      <c r="L7878" s="1" t="str">
        <f t="shared" si="2"/>
        <v>Oct</v>
      </c>
      <c r="M7878" s="1" t="str">
        <f t="shared" si="3"/>
        <v>Loss</v>
      </c>
    </row>
    <row r="7879" ht="14.25" customHeight="1">
      <c r="A7879" s="1" t="s">
        <v>7913</v>
      </c>
      <c r="B7879" s="2">
        <v>45260.0</v>
      </c>
      <c r="C7879" s="1" t="s">
        <v>26</v>
      </c>
      <c r="D7879" s="1" t="s">
        <v>15</v>
      </c>
      <c r="E7879" s="1" t="s">
        <v>16</v>
      </c>
      <c r="F7879" s="1">
        <v>728.15</v>
      </c>
      <c r="G7879" s="1">
        <v>-158.51</v>
      </c>
      <c r="H7879" s="1">
        <v>4.0</v>
      </c>
      <c r="I7879" s="1" t="s">
        <v>17</v>
      </c>
      <c r="J7879" s="1" t="s">
        <v>35</v>
      </c>
      <c r="K7879" s="1">
        <f t="shared" si="1"/>
        <v>2023</v>
      </c>
      <c r="L7879" s="1" t="str">
        <f t="shared" si="2"/>
        <v>Nov</v>
      </c>
      <c r="M7879" s="1" t="str">
        <f t="shared" si="3"/>
        <v>Loss</v>
      </c>
    </row>
    <row r="7880" ht="14.25" customHeight="1">
      <c r="A7880" s="1" t="s">
        <v>7914</v>
      </c>
      <c r="B7880" s="2">
        <v>45224.0</v>
      </c>
      <c r="C7880" s="1" t="s">
        <v>20</v>
      </c>
      <c r="D7880" s="1" t="s">
        <v>15</v>
      </c>
      <c r="E7880" s="1" t="s">
        <v>31</v>
      </c>
      <c r="F7880" s="1">
        <v>349.2</v>
      </c>
      <c r="G7880" s="1">
        <v>-32.23</v>
      </c>
      <c r="H7880" s="1">
        <v>9.0</v>
      </c>
      <c r="I7880" s="1" t="s">
        <v>17</v>
      </c>
      <c r="J7880" s="1" t="s">
        <v>24</v>
      </c>
      <c r="K7880" s="1">
        <f t="shared" si="1"/>
        <v>2023</v>
      </c>
      <c r="L7880" s="1" t="str">
        <f t="shared" si="2"/>
        <v>Oct</v>
      </c>
      <c r="M7880" s="1" t="str">
        <f t="shared" si="3"/>
        <v>Loss</v>
      </c>
    </row>
    <row r="7881" ht="14.25" customHeight="1">
      <c r="A7881" s="1" t="s">
        <v>7915</v>
      </c>
      <c r="B7881" s="2">
        <v>44615.0</v>
      </c>
      <c r="C7881" s="1" t="s">
        <v>26</v>
      </c>
      <c r="D7881" s="1" t="s">
        <v>27</v>
      </c>
      <c r="E7881" s="1" t="s">
        <v>40</v>
      </c>
      <c r="F7881" s="1">
        <v>436.52</v>
      </c>
      <c r="G7881" s="1">
        <v>22.54</v>
      </c>
      <c r="H7881" s="1">
        <v>5.0</v>
      </c>
      <c r="I7881" s="1" t="s">
        <v>17</v>
      </c>
      <c r="J7881" s="1" t="s">
        <v>24</v>
      </c>
      <c r="K7881" s="1">
        <f t="shared" si="1"/>
        <v>2022</v>
      </c>
      <c r="L7881" s="1" t="str">
        <f t="shared" si="2"/>
        <v>Feb</v>
      </c>
      <c r="M7881" s="1" t="str">
        <f t="shared" si="3"/>
        <v>Profit</v>
      </c>
    </row>
    <row r="7882" ht="14.25" customHeight="1">
      <c r="A7882" s="1" t="s">
        <v>7916</v>
      </c>
      <c r="B7882" s="2">
        <v>44861.0</v>
      </c>
      <c r="C7882" s="1" t="s">
        <v>14</v>
      </c>
      <c r="D7882" s="1" t="s">
        <v>15</v>
      </c>
      <c r="E7882" s="1" t="s">
        <v>31</v>
      </c>
      <c r="F7882" s="1">
        <v>669.76</v>
      </c>
      <c r="G7882" s="1">
        <v>-143.95</v>
      </c>
      <c r="H7882" s="1">
        <v>4.0</v>
      </c>
      <c r="I7882" s="1" t="s">
        <v>23</v>
      </c>
      <c r="J7882" s="1" t="s">
        <v>38</v>
      </c>
      <c r="K7882" s="1">
        <f t="shared" si="1"/>
        <v>2022</v>
      </c>
      <c r="L7882" s="1" t="str">
        <f t="shared" si="2"/>
        <v>Oct</v>
      </c>
      <c r="M7882" s="1" t="str">
        <f t="shared" si="3"/>
        <v>Loss</v>
      </c>
    </row>
    <row r="7883" ht="14.25" customHeight="1">
      <c r="A7883" s="1" t="s">
        <v>7917</v>
      </c>
      <c r="B7883" s="2">
        <v>44467.0</v>
      </c>
      <c r="C7883" s="1" t="s">
        <v>14</v>
      </c>
      <c r="D7883" s="1" t="s">
        <v>15</v>
      </c>
      <c r="E7883" s="1" t="s">
        <v>31</v>
      </c>
      <c r="F7883" s="1">
        <v>546.21</v>
      </c>
      <c r="G7883" s="1">
        <v>135.65</v>
      </c>
      <c r="H7883" s="1">
        <v>4.0</v>
      </c>
      <c r="I7883" s="1" t="s">
        <v>23</v>
      </c>
      <c r="J7883" s="1" t="s">
        <v>24</v>
      </c>
      <c r="K7883" s="1">
        <f t="shared" si="1"/>
        <v>2021</v>
      </c>
      <c r="L7883" s="1" t="str">
        <f t="shared" si="2"/>
        <v>Sep</v>
      </c>
      <c r="M7883" s="1" t="str">
        <f t="shared" si="3"/>
        <v>Profit</v>
      </c>
    </row>
    <row r="7884" ht="14.25" customHeight="1">
      <c r="A7884" s="1" t="s">
        <v>7918</v>
      </c>
      <c r="B7884" s="2">
        <v>44539.0</v>
      </c>
      <c r="C7884" s="1" t="s">
        <v>26</v>
      </c>
      <c r="D7884" s="1" t="s">
        <v>27</v>
      </c>
      <c r="E7884" s="1" t="s">
        <v>33</v>
      </c>
      <c r="F7884" s="1">
        <v>725.57</v>
      </c>
      <c r="G7884" s="1">
        <v>34.93</v>
      </c>
      <c r="H7884" s="1">
        <v>1.0</v>
      </c>
      <c r="I7884" s="1" t="s">
        <v>17</v>
      </c>
      <c r="J7884" s="1" t="s">
        <v>38</v>
      </c>
      <c r="K7884" s="1">
        <f t="shared" si="1"/>
        <v>2021</v>
      </c>
      <c r="L7884" s="1" t="str">
        <f t="shared" si="2"/>
        <v>Dec</v>
      </c>
      <c r="M7884" s="1" t="str">
        <f t="shared" si="3"/>
        <v>Profit</v>
      </c>
    </row>
    <row r="7885" ht="14.25" customHeight="1">
      <c r="A7885" s="1" t="s">
        <v>7919</v>
      </c>
      <c r="B7885" s="2">
        <v>44576.0</v>
      </c>
      <c r="C7885" s="1" t="s">
        <v>20</v>
      </c>
      <c r="D7885" s="1" t="s">
        <v>21</v>
      </c>
      <c r="E7885" s="1" t="s">
        <v>37</v>
      </c>
      <c r="F7885" s="1">
        <v>996.07</v>
      </c>
      <c r="G7885" s="1">
        <v>-116.75</v>
      </c>
      <c r="H7885" s="1">
        <v>4.0</v>
      </c>
      <c r="I7885" s="1" t="s">
        <v>34</v>
      </c>
      <c r="J7885" s="1" t="s">
        <v>38</v>
      </c>
      <c r="K7885" s="1">
        <f t="shared" si="1"/>
        <v>2022</v>
      </c>
      <c r="L7885" s="1" t="str">
        <f t="shared" si="2"/>
        <v>Jan</v>
      </c>
      <c r="M7885" s="1" t="str">
        <f t="shared" si="3"/>
        <v>Loss</v>
      </c>
    </row>
    <row r="7886" ht="14.25" customHeight="1">
      <c r="A7886" s="1" t="s">
        <v>7920</v>
      </c>
      <c r="B7886" s="2">
        <v>44522.0</v>
      </c>
      <c r="C7886" s="1" t="s">
        <v>20</v>
      </c>
      <c r="D7886" s="1" t="s">
        <v>27</v>
      </c>
      <c r="E7886" s="1" t="s">
        <v>33</v>
      </c>
      <c r="F7886" s="1">
        <v>588.09</v>
      </c>
      <c r="G7886" s="1">
        <v>-189.85</v>
      </c>
      <c r="H7886" s="1">
        <v>8.0</v>
      </c>
      <c r="I7886" s="1" t="s">
        <v>17</v>
      </c>
      <c r="J7886" s="1" t="s">
        <v>24</v>
      </c>
      <c r="K7886" s="1">
        <f t="shared" si="1"/>
        <v>2021</v>
      </c>
      <c r="L7886" s="1" t="str">
        <f t="shared" si="2"/>
        <v>Nov</v>
      </c>
      <c r="M7886" s="1" t="str">
        <f t="shared" si="3"/>
        <v>Loss</v>
      </c>
    </row>
    <row r="7887" ht="14.25" customHeight="1">
      <c r="A7887" s="1" t="s">
        <v>7921</v>
      </c>
      <c r="B7887" s="2">
        <v>44620.0</v>
      </c>
      <c r="C7887" s="1" t="s">
        <v>14</v>
      </c>
      <c r="D7887" s="1" t="s">
        <v>15</v>
      </c>
      <c r="E7887" s="1" t="s">
        <v>31</v>
      </c>
      <c r="F7887" s="1">
        <v>175.49</v>
      </c>
      <c r="G7887" s="1">
        <v>-132.73</v>
      </c>
      <c r="H7887" s="1">
        <v>2.0</v>
      </c>
      <c r="I7887" s="1" t="s">
        <v>23</v>
      </c>
      <c r="J7887" s="1" t="s">
        <v>35</v>
      </c>
      <c r="K7887" s="1">
        <f t="shared" si="1"/>
        <v>2022</v>
      </c>
      <c r="L7887" s="1" t="str">
        <f t="shared" si="2"/>
        <v>Feb</v>
      </c>
      <c r="M7887" s="1" t="str">
        <f t="shared" si="3"/>
        <v>Loss</v>
      </c>
    </row>
    <row r="7888" ht="14.25" customHeight="1">
      <c r="A7888" s="1" t="s">
        <v>7922</v>
      </c>
      <c r="B7888" s="2">
        <v>44306.0</v>
      </c>
      <c r="C7888" s="1" t="s">
        <v>30</v>
      </c>
      <c r="D7888" s="1" t="s">
        <v>21</v>
      </c>
      <c r="E7888" s="1" t="s">
        <v>76</v>
      </c>
      <c r="F7888" s="1">
        <v>71.0</v>
      </c>
      <c r="G7888" s="1">
        <v>120.3</v>
      </c>
      <c r="H7888" s="1">
        <v>8.0</v>
      </c>
      <c r="I7888" s="1" t="s">
        <v>23</v>
      </c>
      <c r="J7888" s="1" t="s">
        <v>18</v>
      </c>
      <c r="K7888" s="1">
        <f t="shared" si="1"/>
        <v>2021</v>
      </c>
      <c r="L7888" s="1" t="str">
        <f t="shared" si="2"/>
        <v>Apr</v>
      </c>
      <c r="M7888" s="1" t="str">
        <f t="shared" si="3"/>
        <v>Profit</v>
      </c>
    </row>
    <row r="7889" ht="14.25" customHeight="1">
      <c r="A7889" s="1" t="s">
        <v>7923</v>
      </c>
      <c r="B7889" s="2">
        <v>45136.0</v>
      </c>
      <c r="C7889" s="1" t="s">
        <v>20</v>
      </c>
      <c r="D7889" s="1" t="s">
        <v>15</v>
      </c>
      <c r="E7889" s="1" t="s">
        <v>54</v>
      </c>
      <c r="F7889" s="1">
        <v>813.25</v>
      </c>
      <c r="G7889" s="1">
        <v>240.47</v>
      </c>
      <c r="H7889" s="1">
        <v>10.0</v>
      </c>
      <c r="I7889" s="1" t="s">
        <v>23</v>
      </c>
      <c r="J7889" s="1" t="s">
        <v>24</v>
      </c>
      <c r="K7889" s="1">
        <f t="shared" si="1"/>
        <v>2023</v>
      </c>
      <c r="L7889" s="1" t="str">
        <f t="shared" si="2"/>
        <v>Jul</v>
      </c>
      <c r="M7889" s="1" t="str">
        <f t="shared" si="3"/>
        <v>Profit</v>
      </c>
    </row>
    <row r="7890" ht="14.25" customHeight="1">
      <c r="A7890" s="1" t="s">
        <v>7924</v>
      </c>
      <c r="B7890" s="2">
        <v>44639.0</v>
      </c>
      <c r="C7890" s="1" t="s">
        <v>30</v>
      </c>
      <c r="D7890" s="1" t="s">
        <v>27</v>
      </c>
      <c r="E7890" s="1" t="s">
        <v>33</v>
      </c>
      <c r="F7890" s="1">
        <v>109.86</v>
      </c>
      <c r="G7890" s="1">
        <v>-6.65</v>
      </c>
      <c r="H7890" s="1">
        <v>7.0</v>
      </c>
      <c r="I7890" s="1" t="s">
        <v>34</v>
      </c>
      <c r="J7890" s="1" t="s">
        <v>24</v>
      </c>
      <c r="K7890" s="1">
        <f t="shared" si="1"/>
        <v>2022</v>
      </c>
      <c r="L7890" s="1" t="str">
        <f t="shared" si="2"/>
        <v>Mar</v>
      </c>
      <c r="M7890" s="1" t="str">
        <f t="shared" si="3"/>
        <v>Loss</v>
      </c>
    </row>
    <row r="7891" ht="14.25" customHeight="1">
      <c r="A7891" s="1" t="s">
        <v>7925</v>
      </c>
      <c r="B7891" s="2">
        <v>44502.0</v>
      </c>
      <c r="C7891" s="1" t="s">
        <v>30</v>
      </c>
      <c r="D7891" s="1" t="s">
        <v>21</v>
      </c>
      <c r="E7891" s="1" t="s">
        <v>22</v>
      </c>
      <c r="F7891" s="1">
        <v>708.58</v>
      </c>
      <c r="G7891" s="1">
        <v>-68.83</v>
      </c>
      <c r="H7891" s="1">
        <v>1.0</v>
      </c>
      <c r="I7891" s="1" t="s">
        <v>23</v>
      </c>
      <c r="J7891" s="1" t="s">
        <v>38</v>
      </c>
      <c r="K7891" s="1">
        <f t="shared" si="1"/>
        <v>2021</v>
      </c>
      <c r="L7891" s="1" t="str">
        <f t="shared" si="2"/>
        <v>Nov</v>
      </c>
      <c r="M7891" s="1" t="str">
        <f t="shared" si="3"/>
        <v>Loss</v>
      </c>
    </row>
    <row r="7892" ht="14.25" customHeight="1">
      <c r="A7892" s="1" t="s">
        <v>7926</v>
      </c>
      <c r="B7892" s="2">
        <v>45088.0</v>
      </c>
      <c r="C7892" s="1" t="s">
        <v>14</v>
      </c>
      <c r="D7892" s="1" t="s">
        <v>27</v>
      </c>
      <c r="E7892" s="1" t="s">
        <v>33</v>
      </c>
      <c r="F7892" s="1">
        <v>781.4</v>
      </c>
      <c r="G7892" s="1">
        <v>149.46</v>
      </c>
      <c r="H7892" s="1">
        <v>5.0</v>
      </c>
      <c r="I7892" s="1" t="s">
        <v>23</v>
      </c>
      <c r="J7892" s="1" t="s">
        <v>38</v>
      </c>
      <c r="K7892" s="1">
        <f t="shared" si="1"/>
        <v>2023</v>
      </c>
      <c r="L7892" s="1" t="str">
        <f t="shared" si="2"/>
        <v>Jun</v>
      </c>
      <c r="M7892" s="1" t="str">
        <f t="shared" si="3"/>
        <v>Profit</v>
      </c>
    </row>
    <row r="7893" ht="14.25" customHeight="1">
      <c r="A7893" s="1" t="s">
        <v>7927</v>
      </c>
      <c r="B7893" s="2">
        <v>44277.0</v>
      </c>
      <c r="C7893" s="1" t="s">
        <v>20</v>
      </c>
      <c r="D7893" s="1" t="s">
        <v>15</v>
      </c>
      <c r="E7893" s="1" t="s">
        <v>54</v>
      </c>
      <c r="F7893" s="1">
        <v>514.83</v>
      </c>
      <c r="G7893" s="1">
        <v>221.23</v>
      </c>
      <c r="H7893" s="1">
        <v>3.0</v>
      </c>
      <c r="I7893" s="1" t="s">
        <v>17</v>
      </c>
      <c r="J7893" s="1" t="s">
        <v>38</v>
      </c>
      <c r="K7893" s="1">
        <f t="shared" si="1"/>
        <v>2021</v>
      </c>
      <c r="L7893" s="1" t="str">
        <f t="shared" si="2"/>
        <v>Mar</v>
      </c>
      <c r="M7893" s="1" t="str">
        <f t="shared" si="3"/>
        <v>Profit</v>
      </c>
    </row>
    <row r="7894" ht="14.25" customHeight="1">
      <c r="A7894" s="1" t="s">
        <v>7928</v>
      </c>
      <c r="B7894" s="2">
        <v>44946.0</v>
      </c>
      <c r="C7894" s="1" t="s">
        <v>14</v>
      </c>
      <c r="D7894" s="1" t="s">
        <v>21</v>
      </c>
      <c r="E7894" s="1" t="s">
        <v>37</v>
      </c>
      <c r="F7894" s="1">
        <v>862.07</v>
      </c>
      <c r="G7894" s="1">
        <v>170.3</v>
      </c>
      <c r="H7894" s="1">
        <v>2.0</v>
      </c>
      <c r="I7894" s="1" t="s">
        <v>23</v>
      </c>
      <c r="J7894" s="1" t="s">
        <v>18</v>
      </c>
      <c r="K7894" s="1">
        <f t="shared" si="1"/>
        <v>2023</v>
      </c>
      <c r="L7894" s="1" t="str">
        <f t="shared" si="2"/>
        <v>Jan</v>
      </c>
      <c r="M7894" s="1" t="str">
        <f t="shared" si="3"/>
        <v>Profit</v>
      </c>
    </row>
    <row r="7895" ht="14.25" customHeight="1">
      <c r="A7895" s="1" t="s">
        <v>7929</v>
      </c>
      <c r="B7895" s="2">
        <v>45216.0</v>
      </c>
      <c r="C7895" s="1" t="s">
        <v>26</v>
      </c>
      <c r="D7895" s="1" t="s">
        <v>27</v>
      </c>
      <c r="E7895" s="1" t="s">
        <v>40</v>
      </c>
      <c r="F7895" s="1">
        <v>333.22</v>
      </c>
      <c r="G7895" s="1">
        <v>224.07</v>
      </c>
      <c r="H7895" s="1">
        <v>1.0</v>
      </c>
      <c r="I7895" s="1" t="s">
        <v>17</v>
      </c>
      <c r="J7895" s="1" t="s">
        <v>24</v>
      </c>
      <c r="K7895" s="1">
        <f t="shared" si="1"/>
        <v>2023</v>
      </c>
      <c r="L7895" s="1" t="str">
        <f t="shared" si="2"/>
        <v>Oct</v>
      </c>
      <c r="M7895" s="1" t="str">
        <f t="shared" si="3"/>
        <v>Profit</v>
      </c>
    </row>
    <row r="7896" ht="14.25" customHeight="1">
      <c r="A7896" s="1" t="s">
        <v>7930</v>
      </c>
      <c r="B7896" s="2">
        <v>45290.0</v>
      </c>
      <c r="C7896" s="1" t="s">
        <v>14</v>
      </c>
      <c r="D7896" s="1" t="s">
        <v>21</v>
      </c>
      <c r="E7896" s="1" t="s">
        <v>22</v>
      </c>
      <c r="F7896" s="1">
        <v>683.46</v>
      </c>
      <c r="G7896" s="1">
        <v>-16.56</v>
      </c>
      <c r="H7896" s="1">
        <v>2.0</v>
      </c>
      <c r="I7896" s="1" t="s">
        <v>34</v>
      </c>
      <c r="J7896" s="1" t="s">
        <v>38</v>
      </c>
      <c r="K7896" s="1">
        <f t="shared" si="1"/>
        <v>2023</v>
      </c>
      <c r="L7896" s="1" t="str">
        <f t="shared" si="2"/>
        <v>Dec</v>
      </c>
      <c r="M7896" s="1" t="str">
        <f t="shared" si="3"/>
        <v>Loss</v>
      </c>
    </row>
    <row r="7897" ht="14.25" customHeight="1">
      <c r="A7897" s="1" t="s">
        <v>7931</v>
      </c>
      <c r="B7897" s="2">
        <v>44576.0</v>
      </c>
      <c r="C7897" s="1" t="s">
        <v>14</v>
      </c>
      <c r="D7897" s="1" t="s">
        <v>15</v>
      </c>
      <c r="E7897" s="1" t="s">
        <v>31</v>
      </c>
      <c r="F7897" s="1">
        <v>781.93</v>
      </c>
      <c r="G7897" s="1">
        <v>209.13</v>
      </c>
      <c r="H7897" s="1">
        <v>1.0</v>
      </c>
      <c r="I7897" s="1" t="s">
        <v>23</v>
      </c>
      <c r="J7897" s="1" t="s">
        <v>35</v>
      </c>
      <c r="K7897" s="1">
        <f t="shared" si="1"/>
        <v>2022</v>
      </c>
      <c r="L7897" s="1" t="str">
        <f t="shared" si="2"/>
        <v>Jan</v>
      </c>
      <c r="M7897" s="1" t="str">
        <f t="shared" si="3"/>
        <v>Profit</v>
      </c>
    </row>
    <row r="7898" ht="14.25" customHeight="1">
      <c r="A7898" s="1" t="s">
        <v>7932</v>
      </c>
      <c r="B7898" s="2">
        <v>44926.0</v>
      </c>
      <c r="C7898" s="1" t="s">
        <v>30</v>
      </c>
      <c r="D7898" s="1" t="s">
        <v>27</v>
      </c>
      <c r="E7898" s="1" t="s">
        <v>33</v>
      </c>
      <c r="F7898" s="1">
        <v>91.66</v>
      </c>
      <c r="G7898" s="1">
        <v>-85.36</v>
      </c>
      <c r="H7898" s="1">
        <v>6.0</v>
      </c>
      <c r="I7898" s="1" t="s">
        <v>23</v>
      </c>
      <c r="J7898" s="1" t="s">
        <v>24</v>
      </c>
      <c r="K7898" s="1">
        <f t="shared" si="1"/>
        <v>2022</v>
      </c>
      <c r="L7898" s="1" t="str">
        <f t="shared" si="2"/>
        <v>Dec</v>
      </c>
      <c r="M7898" s="1" t="str">
        <f t="shared" si="3"/>
        <v>Loss</v>
      </c>
    </row>
    <row r="7899" ht="14.25" customHeight="1">
      <c r="A7899" s="1" t="s">
        <v>7933</v>
      </c>
      <c r="B7899" s="2">
        <v>44707.0</v>
      </c>
      <c r="C7899" s="1" t="s">
        <v>14</v>
      </c>
      <c r="D7899" s="1" t="s">
        <v>27</v>
      </c>
      <c r="E7899" s="1" t="s">
        <v>28</v>
      </c>
      <c r="F7899" s="1">
        <v>46.57</v>
      </c>
      <c r="G7899" s="1">
        <v>257.09</v>
      </c>
      <c r="H7899" s="1">
        <v>10.0</v>
      </c>
      <c r="I7899" s="1" t="s">
        <v>17</v>
      </c>
      <c r="J7899" s="1" t="s">
        <v>35</v>
      </c>
      <c r="K7899" s="1">
        <f t="shared" si="1"/>
        <v>2022</v>
      </c>
      <c r="L7899" s="1" t="str">
        <f t="shared" si="2"/>
        <v>May</v>
      </c>
      <c r="M7899" s="1" t="str">
        <f t="shared" si="3"/>
        <v>Profit</v>
      </c>
    </row>
    <row r="7900" ht="14.25" customHeight="1">
      <c r="A7900" s="1" t="s">
        <v>7934</v>
      </c>
      <c r="B7900" s="2">
        <v>44352.0</v>
      </c>
      <c r="C7900" s="1" t="s">
        <v>14</v>
      </c>
      <c r="D7900" s="1" t="s">
        <v>15</v>
      </c>
      <c r="E7900" s="1" t="s">
        <v>16</v>
      </c>
      <c r="F7900" s="1">
        <v>384.68</v>
      </c>
      <c r="G7900" s="1">
        <v>-72.83</v>
      </c>
      <c r="H7900" s="1">
        <v>10.0</v>
      </c>
      <c r="I7900" s="1" t="s">
        <v>17</v>
      </c>
      <c r="J7900" s="1" t="s">
        <v>38</v>
      </c>
      <c r="K7900" s="1">
        <f t="shared" si="1"/>
        <v>2021</v>
      </c>
      <c r="L7900" s="1" t="str">
        <f t="shared" si="2"/>
        <v>Jun</v>
      </c>
      <c r="M7900" s="1" t="str">
        <f t="shared" si="3"/>
        <v>Loss</v>
      </c>
    </row>
    <row r="7901" ht="14.25" customHeight="1">
      <c r="A7901" s="1" t="s">
        <v>7935</v>
      </c>
      <c r="B7901" s="2">
        <v>44385.0</v>
      </c>
      <c r="C7901" s="1" t="s">
        <v>26</v>
      </c>
      <c r="D7901" s="1" t="s">
        <v>21</v>
      </c>
      <c r="E7901" s="1" t="s">
        <v>22</v>
      </c>
      <c r="F7901" s="1">
        <v>175.99</v>
      </c>
      <c r="G7901" s="1">
        <v>226.06</v>
      </c>
      <c r="H7901" s="1">
        <v>2.0</v>
      </c>
      <c r="I7901" s="1" t="s">
        <v>23</v>
      </c>
      <c r="J7901" s="1" t="s">
        <v>35</v>
      </c>
      <c r="K7901" s="1">
        <f t="shared" si="1"/>
        <v>2021</v>
      </c>
      <c r="L7901" s="1" t="str">
        <f t="shared" si="2"/>
        <v>Jul</v>
      </c>
      <c r="M7901" s="1" t="str">
        <f t="shared" si="3"/>
        <v>Profit</v>
      </c>
    </row>
    <row r="7902" ht="14.25" customHeight="1">
      <c r="A7902" s="1" t="s">
        <v>7936</v>
      </c>
      <c r="B7902" s="2">
        <v>45283.0</v>
      </c>
      <c r="C7902" s="1" t="s">
        <v>26</v>
      </c>
      <c r="D7902" s="1" t="s">
        <v>27</v>
      </c>
      <c r="E7902" s="1" t="s">
        <v>33</v>
      </c>
      <c r="F7902" s="1">
        <v>159.28</v>
      </c>
      <c r="G7902" s="1">
        <v>240.35</v>
      </c>
      <c r="H7902" s="1">
        <v>9.0</v>
      </c>
      <c r="I7902" s="1" t="s">
        <v>34</v>
      </c>
      <c r="J7902" s="1" t="s">
        <v>35</v>
      </c>
      <c r="K7902" s="1">
        <f t="shared" si="1"/>
        <v>2023</v>
      </c>
      <c r="L7902" s="1" t="str">
        <f t="shared" si="2"/>
        <v>Dec</v>
      </c>
      <c r="M7902" s="1" t="str">
        <f t="shared" si="3"/>
        <v>Profit</v>
      </c>
    </row>
    <row r="7903" ht="14.25" customHeight="1">
      <c r="A7903" s="1" t="s">
        <v>7937</v>
      </c>
      <c r="B7903" s="2">
        <v>44258.0</v>
      </c>
      <c r="C7903" s="1" t="s">
        <v>26</v>
      </c>
      <c r="D7903" s="1" t="s">
        <v>15</v>
      </c>
      <c r="E7903" s="1" t="s">
        <v>54</v>
      </c>
      <c r="F7903" s="1">
        <v>595.51</v>
      </c>
      <c r="G7903" s="1">
        <v>210.52</v>
      </c>
      <c r="H7903" s="1">
        <v>1.0</v>
      </c>
      <c r="I7903" s="1" t="s">
        <v>17</v>
      </c>
      <c r="J7903" s="1" t="s">
        <v>35</v>
      </c>
      <c r="K7903" s="1">
        <f t="shared" si="1"/>
        <v>2021</v>
      </c>
      <c r="L7903" s="1" t="str">
        <f t="shared" si="2"/>
        <v>Mar</v>
      </c>
      <c r="M7903" s="1" t="str">
        <f t="shared" si="3"/>
        <v>Profit</v>
      </c>
    </row>
    <row r="7904" ht="14.25" customHeight="1">
      <c r="A7904" s="1" t="s">
        <v>7938</v>
      </c>
      <c r="B7904" s="2">
        <v>45200.0</v>
      </c>
      <c r="C7904" s="1" t="s">
        <v>20</v>
      </c>
      <c r="D7904" s="1" t="s">
        <v>15</v>
      </c>
      <c r="E7904" s="1" t="s">
        <v>31</v>
      </c>
      <c r="F7904" s="1">
        <v>264.07</v>
      </c>
      <c r="G7904" s="1">
        <v>22.69</v>
      </c>
      <c r="H7904" s="1">
        <v>4.0</v>
      </c>
      <c r="I7904" s="1" t="s">
        <v>34</v>
      </c>
      <c r="J7904" s="1" t="s">
        <v>24</v>
      </c>
      <c r="K7904" s="1">
        <f t="shared" si="1"/>
        <v>2023</v>
      </c>
      <c r="L7904" s="1" t="str">
        <f t="shared" si="2"/>
        <v>Oct</v>
      </c>
      <c r="M7904" s="1" t="str">
        <f t="shared" si="3"/>
        <v>Profit</v>
      </c>
    </row>
    <row r="7905" ht="14.25" customHeight="1">
      <c r="A7905" s="1" t="s">
        <v>7939</v>
      </c>
      <c r="B7905" s="2">
        <v>44571.0</v>
      </c>
      <c r="C7905" s="1" t="s">
        <v>26</v>
      </c>
      <c r="D7905" s="1" t="s">
        <v>27</v>
      </c>
      <c r="E7905" s="1" t="s">
        <v>40</v>
      </c>
      <c r="F7905" s="1">
        <v>541.06</v>
      </c>
      <c r="G7905" s="1">
        <v>-122.32</v>
      </c>
      <c r="H7905" s="1">
        <v>6.0</v>
      </c>
      <c r="I7905" s="1" t="s">
        <v>23</v>
      </c>
      <c r="J7905" s="1" t="s">
        <v>38</v>
      </c>
      <c r="K7905" s="1">
        <f t="shared" si="1"/>
        <v>2022</v>
      </c>
      <c r="L7905" s="1" t="str">
        <f t="shared" si="2"/>
        <v>Jan</v>
      </c>
      <c r="M7905" s="1" t="str">
        <f t="shared" si="3"/>
        <v>Loss</v>
      </c>
    </row>
    <row r="7906" ht="14.25" customHeight="1">
      <c r="A7906" s="1" t="s">
        <v>7940</v>
      </c>
      <c r="B7906" s="2">
        <v>44573.0</v>
      </c>
      <c r="C7906" s="1" t="s">
        <v>20</v>
      </c>
      <c r="D7906" s="1" t="s">
        <v>27</v>
      </c>
      <c r="E7906" s="1" t="s">
        <v>28</v>
      </c>
      <c r="F7906" s="1">
        <v>959.0</v>
      </c>
      <c r="G7906" s="1">
        <v>242.84</v>
      </c>
      <c r="H7906" s="1">
        <v>9.0</v>
      </c>
      <c r="I7906" s="1" t="s">
        <v>34</v>
      </c>
      <c r="J7906" s="1" t="s">
        <v>18</v>
      </c>
      <c r="K7906" s="1">
        <f t="shared" si="1"/>
        <v>2022</v>
      </c>
      <c r="L7906" s="1" t="str">
        <f t="shared" si="2"/>
        <v>Jan</v>
      </c>
      <c r="M7906" s="1" t="str">
        <f t="shared" si="3"/>
        <v>Profit</v>
      </c>
    </row>
    <row r="7907" ht="14.25" customHeight="1">
      <c r="A7907" s="1" t="s">
        <v>7941</v>
      </c>
      <c r="B7907" s="2">
        <v>44737.0</v>
      </c>
      <c r="C7907" s="1" t="s">
        <v>20</v>
      </c>
      <c r="D7907" s="1" t="s">
        <v>27</v>
      </c>
      <c r="E7907" s="1" t="s">
        <v>40</v>
      </c>
      <c r="F7907" s="1">
        <v>353.69</v>
      </c>
      <c r="G7907" s="1">
        <v>-98.83</v>
      </c>
      <c r="H7907" s="1">
        <v>6.0</v>
      </c>
      <c r="I7907" s="1" t="s">
        <v>34</v>
      </c>
      <c r="J7907" s="1" t="s">
        <v>24</v>
      </c>
      <c r="K7907" s="1">
        <f t="shared" si="1"/>
        <v>2022</v>
      </c>
      <c r="L7907" s="1" t="str">
        <f t="shared" si="2"/>
        <v>Jun</v>
      </c>
      <c r="M7907" s="1" t="str">
        <f t="shared" si="3"/>
        <v>Loss</v>
      </c>
    </row>
    <row r="7908" ht="14.25" customHeight="1">
      <c r="A7908" s="1" t="s">
        <v>7942</v>
      </c>
      <c r="B7908" s="2">
        <v>44968.0</v>
      </c>
      <c r="C7908" s="1" t="s">
        <v>30</v>
      </c>
      <c r="D7908" s="1" t="s">
        <v>15</v>
      </c>
      <c r="E7908" s="1" t="s">
        <v>16</v>
      </c>
      <c r="F7908" s="1">
        <v>386.35</v>
      </c>
      <c r="G7908" s="1">
        <v>-173.32</v>
      </c>
      <c r="H7908" s="1">
        <v>2.0</v>
      </c>
      <c r="I7908" s="1" t="s">
        <v>34</v>
      </c>
      <c r="J7908" s="1" t="s">
        <v>18</v>
      </c>
      <c r="K7908" s="1">
        <f t="shared" si="1"/>
        <v>2023</v>
      </c>
      <c r="L7908" s="1" t="str">
        <f t="shared" si="2"/>
        <v>Feb</v>
      </c>
      <c r="M7908" s="1" t="str">
        <f t="shared" si="3"/>
        <v>Loss</v>
      </c>
    </row>
    <row r="7909" ht="14.25" customHeight="1">
      <c r="A7909" s="1" t="s">
        <v>7943</v>
      </c>
      <c r="B7909" s="2">
        <v>44586.0</v>
      </c>
      <c r="C7909" s="1" t="s">
        <v>26</v>
      </c>
      <c r="D7909" s="1" t="s">
        <v>27</v>
      </c>
      <c r="E7909" s="1" t="s">
        <v>40</v>
      </c>
      <c r="F7909" s="1">
        <v>736.72</v>
      </c>
      <c r="G7909" s="1">
        <v>186.26</v>
      </c>
      <c r="H7909" s="1">
        <v>1.0</v>
      </c>
      <c r="I7909" s="1" t="s">
        <v>34</v>
      </c>
      <c r="J7909" s="1" t="s">
        <v>24</v>
      </c>
      <c r="K7909" s="1">
        <f t="shared" si="1"/>
        <v>2022</v>
      </c>
      <c r="L7909" s="1" t="str">
        <f t="shared" si="2"/>
        <v>Jan</v>
      </c>
      <c r="M7909" s="1" t="str">
        <f t="shared" si="3"/>
        <v>Profit</v>
      </c>
    </row>
    <row r="7910" ht="14.25" customHeight="1">
      <c r="A7910" s="1" t="s">
        <v>7944</v>
      </c>
      <c r="B7910" s="2">
        <v>44905.0</v>
      </c>
      <c r="C7910" s="1" t="s">
        <v>30</v>
      </c>
      <c r="D7910" s="1" t="s">
        <v>21</v>
      </c>
      <c r="E7910" s="1" t="s">
        <v>37</v>
      </c>
      <c r="F7910" s="1">
        <v>272.26</v>
      </c>
      <c r="G7910" s="1">
        <v>-163.14</v>
      </c>
      <c r="H7910" s="1">
        <v>7.0</v>
      </c>
      <c r="I7910" s="1" t="s">
        <v>23</v>
      </c>
      <c r="J7910" s="1" t="s">
        <v>38</v>
      </c>
      <c r="K7910" s="1">
        <f t="shared" si="1"/>
        <v>2022</v>
      </c>
      <c r="L7910" s="1" t="str">
        <f t="shared" si="2"/>
        <v>Dec</v>
      </c>
      <c r="M7910" s="1" t="str">
        <f t="shared" si="3"/>
        <v>Loss</v>
      </c>
    </row>
    <row r="7911" ht="14.25" customHeight="1">
      <c r="A7911" s="1" t="s">
        <v>7945</v>
      </c>
      <c r="B7911" s="2">
        <v>45249.0</v>
      </c>
      <c r="C7911" s="1" t="s">
        <v>20</v>
      </c>
      <c r="D7911" s="1" t="s">
        <v>15</v>
      </c>
      <c r="E7911" s="1" t="s">
        <v>31</v>
      </c>
      <c r="F7911" s="1">
        <v>451.04</v>
      </c>
      <c r="G7911" s="1">
        <v>197.03</v>
      </c>
      <c r="H7911" s="1">
        <v>9.0</v>
      </c>
      <c r="I7911" s="1" t="s">
        <v>17</v>
      </c>
      <c r="J7911" s="1" t="s">
        <v>35</v>
      </c>
      <c r="K7911" s="1">
        <f t="shared" si="1"/>
        <v>2023</v>
      </c>
      <c r="L7911" s="1" t="str">
        <f t="shared" si="2"/>
        <v>Nov</v>
      </c>
      <c r="M7911" s="1" t="str">
        <f t="shared" si="3"/>
        <v>Profit</v>
      </c>
    </row>
    <row r="7912" ht="14.25" customHeight="1">
      <c r="A7912" s="1" t="s">
        <v>7946</v>
      </c>
      <c r="B7912" s="2">
        <v>44359.0</v>
      </c>
      <c r="C7912" s="1" t="s">
        <v>14</v>
      </c>
      <c r="D7912" s="1" t="s">
        <v>27</v>
      </c>
      <c r="E7912" s="1" t="s">
        <v>33</v>
      </c>
      <c r="F7912" s="1">
        <v>428.06</v>
      </c>
      <c r="G7912" s="1">
        <v>285.7</v>
      </c>
      <c r="H7912" s="1">
        <v>9.0</v>
      </c>
      <c r="I7912" s="1" t="s">
        <v>23</v>
      </c>
      <c r="J7912" s="1" t="s">
        <v>24</v>
      </c>
      <c r="K7912" s="1">
        <f t="shared" si="1"/>
        <v>2021</v>
      </c>
      <c r="L7912" s="1" t="str">
        <f t="shared" si="2"/>
        <v>Jun</v>
      </c>
      <c r="M7912" s="1" t="str">
        <f t="shared" si="3"/>
        <v>Profit</v>
      </c>
    </row>
    <row r="7913" ht="14.25" customHeight="1">
      <c r="A7913" s="1" t="s">
        <v>7947</v>
      </c>
      <c r="B7913" s="2">
        <v>44801.0</v>
      </c>
      <c r="C7913" s="1" t="s">
        <v>26</v>
      </c>
      <c r="D7913" s="1" t="s">
        <v>15</v>
      </c>
      <c r="E7913" s="1" t="s">
        <v>54</v>
      </c>
      <c r="F7913" s="1">
        <v>255.65</v>
      </c>
      <c r="G7913" s="1">
        <v>24.44</v>
      </c>
      <c r="H7913" s="1">
        <v>4.0</v>
      </c>
      <c r="I7913" s="1" t="s">
        <v>23</v>
      </c>
      <c r="J7913" s="1" t="s">
        <v>18</v>
      </c>
      <c r="K7913" s="1">
        <f t="shared" si="1"/>
        <v>2022</v>
      </c>
      <c r="L7913" s="1" t="str">
        <f t="shared" si="2"/>
        <v>Aug</v>
      </c>
      <c r="M7913" s="1" t="str">
        <f t="shared" si="3"/>
        <v>Profit</v>
      </c>
    </row>
    <row r="7914" ht="14.25" customHeight="1">
      <c r="A7914" s="1" t="s">
        <v>7948</v>
      </c>
      <c r="B7914" s="2">
        <v>44381.0</v>
      </c>
      <c r="C7914" s="1" t="s">
        <v>30</v>
      </c>
      <c r="D7914" s="1" t="s">
        <v>27</v>
      </c>
      <c r="E7914" s="1" t="s">
        <v>28</v>
      </c>
      <c r="F7914" s="1">
        <v>80.25</v>
      </c>
      <c r="G7914" s="1">
        <v>0.86</v>
      </c>
      <c r="H7914" s="1">
        <v>1.0</v>
      </c>
      <c r="I7914" s="1" t="s">
        <v>23</v>
      </c>
      <c r="J7914" s="1" t="s">
        <v>38</v>
      </c>
      <c r="K7914" s="1">
        <f t="shared" si="1"/>
        <v>2021</v>
      </c>
      <c r="L7914" s="1" t="str">
        <f t="shared" si="2"/>
        <v>Jul</v>
      </c>
      <c r="M7914" s="1" t="str">
        <f t="shared" si="3"/>
        <v>Profit</v>
      </c>
    </row>
    <row r="7915" ht="14.25" customHeight="1">
      <c r="A7915" s="1" t="s">
        <v>7949</v>
      </c>
      <c r="B7915" s="2">
        <v>44373.0</v>
      </c>
      <c r="C7915" s="1" t="s">
        <v>30</v>
      </c>
      <c r="D7915" s="1" t="s">
        <v>27</v>
      </c>
      <c r="E7915" s="1" t="s">
        <v>33</v>
      </c>
      <c r="F7915" s="1">
        <v>355.23</v>
      </c>
      <c r="G7915" s="1">
        <v>127.97</v>
      </c>
      <c r="H7915" s="1">
        <v>3.0</v>
      </c>
      <c r="I7915" s="1" t="s">
        <v>23</v>
      </c>
      <c r="J7915" s="1" t="s">
        <v>18</v>
      </c>
      <c r="K7915" s="1">
        <f t="shared" si="1"/>
        <v>2021</v>
      </c>
      <c r="L7915" s="1" t="str">
        <f t="shared" si="2"/>
        <v>Jun</v>
      </c>
      <c r="M7915" s="1" t="str">
        <f t="shared" si="3"/>
        <v>Profit</v>
      </c>
    </row>
    <row r="7916" ht="14.25" customHeight="1">
      <c r="A7916" s="1" t="s">
        <v>7950</v>
      </c>
      <c r="B7916" s="2">
        <v>45128.0</v>
      </c>
      <c r="C7916" s="1" t="s">
        <v>20</v>
      </c>
      <c r="D7916" s="1" t="s">
        <v>21</v>
      </c>
      <c r="E7916" s="1" t="s">
        <v>22</v>
      </c>
      <c r="F7916" s="1">
        <v>112.76</v>
      </c>
      <c r="G7916" s="1">
        <v>151.75</v>
      </c>
      <c r="H7916" s="1">
        <v>3.0</v>
      </c>
      <c r="I7916" s="1" t="s">
        <v>23</v>
      </c>
      <c r="J7916" s="1" t="s">
        <v>24</v>
      </c>
      <c r="K7916" s="1">
        <f t="shared" si="1"/>
        <v>2023</v>
      </c>
      <c r="L7916" s="1" t="str">
        <f t="shared" si="2"/>
        <v>Jul</v>
      </c>
      <c r="M7916" s="1" t="str">
        <f t="shared" si="3"/>
        <v>Profit</v>
      </c>
    </row>
    <row r="7917" ht="14.25" customHeight="1">
      <c r="A7917" s="1" t="s">
        <v>7951</v>
      </c>
      <c r="B7917" s="2">
        <v>44962.0</v>
      </c>
      <c r="C7917" s="1" t="s">
        <v>30</v>
      </c>
      <c r="D7917" s="1" t="s">
        <v>27</v>
      </c>
      <c r="E7917" s="1" t="s">
        <v>40</v>
      </c>
      <c r="F7917" s="1">
        <v>745.05</v>
      </c>
      <c r="G7917" s="1">
        <v>292.93</v>
      </c>
      <c r="H7917" s="1">
        <v>10.0</v>
      </c>
      <c r="I7917" s="1" t="s">
        <v>23</v>
      </c>
      <c r="J7917" s="1" t="s">
        <v>24</v>
      </c>
      <c r="K7917" s="1">
        <f t="shared" si="1"/>
        <v>2023</v>
      </c>
      <c r="L7917" s="1" t="str">
        <f t="shared" si="2"/>
        <v>Feb</v>
      </c>
      <c r="M7917" s="1" t="str">
        <f t="shared" si="3"/>
        <v>Profit</v>
      </c>
    </row>
    <row r="7918" ht="14.25" customHeight="1">
      <c r="A7918" s="1" t="s">
        <v>7952</v>
      </c>
      <c r="B7918" s="2">
        <v>44702.0</v>
      </c>
      <c r="C7918" s="1" t="s">
        <v>30</v>
      </c>
      <c r="D7918" s="1" t="s">
        <v>21</v>
      </c>
      <c r="E7918" s="1" t="s">
        <v>37</v>
      </c>
      <c r="F7918" s="1">
        <v>29.66</v>
      </c>
      <c r="G7918" s="1">
        <v>295.8</v>
      </c>
      <c r="H7918" s="1">
        <v>9.0</v>
      </c>
      <c r="I7918" s="1" t="s">
        <v>34</v>
      </c>
      <c r="J7918" s="1" t="s">
        <v>35</v>
      </c>
      <c r="K7918" s="1">
        <f t="shared" si="1"/>
        <v>2022</v>
      </c>
      <c r="L7918" s="1" t="str">
        <f t="shared" si="2"/>
        <v>May</v>
      </c>
      <c r="M7918" s="1" t="str">
        <f t="shared" si="3"/>
        <v>Profit</v>
      </c>
    </row>
    <row r="7919" ht="14.25" customHeight="1">
      <c r="A7919" s="1" t="s">
        <v>7953</v>
      </c>
      <c r="B7919" s="2">
        <v>45089.0</v>
      </c>
      <c r="C7919" s="1" t="s">
        <v>30</v>
      </c>
      <c r="D7919" s="1" t="s">
        <v>27</v>
      </c>
      <c r="E7919" s="1" t="s">
        <v>40</v>
      </c>
      <c r="F7919" s="1">
        <v>730.5</v>
      </c>
      <c r="G7919" s="1">
        <v>12.93</v>
      </c>
      <c r="H7919" s="1">
        <v>10.0</v>
      </c>
      <c r="I7919" s="1" t="s">
        <v>34</v>
      </c>
      <c r="J7919" s="1" t="s">
        <v>24</v>
      </c>
      <c r="K7919" s="1">
        <f t="shared" si="1"/>
        <v>2023</v>
      </c>
      <c r="L7919" s="1" t="str">
        <f t="shared" si="2"/>
        <v>Jun</v>
      </c>
      <c r="M7919" s="1" t="str">
        <f t="shared" si="3"/>
        <v>Profit</v>
      </c>
    </row>
    <row r="7920" ht="14.25" customHeight="1">
      <c r="A7920" s="1" t="s">
        <v>7954</v>
      </c>
      <c r="B7920" s="2">
        <v>44996.0</v>
      </c>
      <c r="C7920" s="1" t="s">
        <v>14</v>
      </c>
      <c r="D7920" s="1" t="s">
        <v>15</v>
      </c>
      <c r="E7920" s="1" t="s">
        <v>16</v>
      </c>
      <c r="F7920" s="1">
        <v>537.85</v>
      </c>
      <c r="G7920" s="1">
        <v>-76.96</v>
      </c>
      <c r="H7920" s="1">
        <v>10.0</v>
      </c>
      <c r="I7920" s="1" t="s">
        <v>23</v>
      </c>
      <c r="J7920" s="1" t="s">
        <v>38</v>
      </c>
      <c r="K7920" s="1">
        <f t="shared" si="1"/>
        <v>2023</v>
      </c>
      <c r="L7920" s="1" t="str">
        <f t="shared" si="2"/>
        <v>Mar</v>
      </c>
      <c r="M7920" s="1" t="str">
        <f t="shared" si="3"/>
        <v>Loss</v>
      </c>
    </row>
    <row r="7921" ht="14.25" customHeight="1">
      <c r="A7921" s="1" t="s">
        <v>7955</v>
      </c>
      <c r="B7921" s="2">
        <v>44464.0</v>
      </c>
      <c r="C7921" s="1" t="s">
        <v>20</v>
      </c>
      <c r="D7921" s="1" t="s">
        <v>27</v>
      </c>
      <c r="E7921" s="1" t="s">
        <v>33</v>
      </c>
      <c r="F7921" s="1">
        <v>225.48</v>
      </c>
      <c r="G7921" s="1">
        <v>68.85</v>
      </c>
      <c r="H7921" s="1">
        <v>10.0</v>
      </c>
      <c r="I7921" s="1" t="s">
        <v>34</v>
      </c>
      <c r="J7921" s="1" t="s">
        <v>38</v>
      </c>
      <c r="K7921" s="1">
        <f t="shared" si="1"/>
        <v>2021</v>
      </c>
      <c r="L7921" s="1" t="str">
        <f t="shared" si="2"/>
        <v>Sep</v>
      </c>
      <c r="M7921" s="1" t="str">
        <f t="shared" si="3"/>
        <v>Profit</v>
      </c>
    </row>
    <row r="7922" ht="14.25" customHeight="1">
      <c r="A7922" s="1" t="s">
        <v>7956</v>
      </c>
      <c r="B7922" s="2">
        <v>44669.0</v>
      </c>
      <c r="C7922" s="1" t="s">
        <v>20</v>
      </c>
      <c r="D7922" s="1" t="s">
        <v>27</v>
      </c>
      <c r="E7922" s="1" t="s">
        <v>28</v>
      </c>
      <c r="F7922" s="1">
        <v>592.52</v>
      </c>
      <c r="G7922" s="1">
        <v>-93.0</v>
      </c>
      <c r="H7922" s="1">
        <v>2.0</v>
      </c>
      <c r="I7922" s="1" t="s">
        <v>34</v>
      </c>
      <c r="J7922" s="1" t="s">
        <v>35</v>
      </c>
      <c r="K7922" s="1">
        <f t="shared" si="1"/>
        <v>2022</v>
      </c>
      <c r="L7922" s="1" t="str">
        <f t="shared" si="2"/>
        <v>Apr</v>
      </c>
      <c r="M7922" s="1" t="str">
        <f t="shared" si="3"/>
        <v>Loss</v>
      </c>
    </row>
    <row r="7923" ht="14.25" customHeight="1">
      <c r="A7923" s="1" t="s">
        <v>7957</v>
      </c>
      <c r="B7923" s="2">
        <v>45245.0</v>
      </c>
      <c r="C7923" s="1" t="s">
        <v>14</v>
      </c>
      <c r="D7923" s="1" t="s">
        <v>15</v>
      </c>
      <c r="E7923" s="1" t="s">
        <v>31</v>
      </c>
      <c r="F7923" s="1">
        <v>985.07</v>
      </c>
      <c r="G7923" s="1">
        <v>-27.73</v>
      </c>
      <c r="H7923" s="1">
        <v>2.0</v>
      </c>
      <c r="I7923" s="1" t="s">
        <v>34</v>
      </c>
      <c r="J7923" s="1" t="s">
        <v>38</v>
      </c>
      <c r="K7923" s="1">
        <f t="shared" si="1"/>
        <v>2023</v>
      </c>
      <c r="L7923" s="1" t="str">
        <f t="shared" si="2"/>
        <v>Nov</v>
      </c>
      <c r="M7923" s="1" t="str">
        <f t="shared" si="3"/>
        <v>Loss</v>
      </c>
    </row>
    <row r="7924" ht="14.25" customHeight="1">
      <c r="A7924" s="1" t="s">
        <v>7958</v>
      </c>
      <c r="B7924" s="2">
        <v>44509.0</v>
      </c>
      <c r="C7924" s="1" t="s">
        <v>20</v>
      </c>
      <c r="D7924" s="1" t="s">
        <v>21</v>
      </c>
      <c r="E7924" s="1" t="s">
        <v>22</v>
      </c>
      <c r="F7924" s="1">
        <v>547.99</v>
      </c>
      <c r="G7924" s="1">
        <v>-188.45</v>
      </c>
      <c r="H7924" s="1">
        <v>9.0</v>
      </c>
      <c r="I7924" s="1" t="s">
        <v>17</v>
      </c>
      <c r="J7924" s="1" t="s">
        <v>24</v>
      </c>
      <c r="K7924" s="1">
        <f t="shared" si="1"/>
        <v>2021</v>
      </c>
      <c r="L7924" s="1" t="str">
        <f t="shared" si="2"/>
        <v>Nov</v>
      </c>
      <c r="M7924" s="1" t="str">
        <f t="shared" si="3"/>
        <v>Loss</v>
      </c>
    </row>
    <row r="7925" ht="14.25" customHeight="1">
      <c r="A7925" s="1" t="s">
        <v>7959</v>
      </c>
      <c r="B7925" s="2">
        <v>44898.0</v>
      </c>
      <c r="C7925" s="1" t="s">
        <v>20</v>
      </c>
      <c r="D7925" s="1" t="s">
        <v>21</v>
      </c>
      <c r="E7925" s="1" t="s">
        <v>76</v>
      </c>
      <c r="F7925" s="1">
        <v>944.86</v>
      </c>
      <c r="G7925" s="1">
        <v>266.16</v>
      </c>
      <c r="H7925" s="1">
        <v>9.0</v>
      </c>
      <c r="I7925" s="1" t="s">
        <v>23</v>
      </c>
      <c r="J7925" s="1" t="s">
        <v>38</v>
      </c>
      <c r="K7925" s="1">
        <f t="shared" si="1"/>
        <v>2022</v>
      </c>
      <c r="L7925" s="1" t="str">
        <f t="shared" si="2"/>
        <v>Dec</v>
      </c>
      <c r="M7925" s="1" t="str">
        <f t="shared" si="3"/>
        <v>Profit</v>
      </c>
    </row>
    <row r="7926" ht="14.25" customHeight="1">
      <c r="A7926" s="1" t="s">
        <v>7960</v>
      </c>
      <c r="B7926" s="2">
        <v>45044.0</v>
      </c>
      <c r="C7926" s="1" t="s">
        <v>14</v>
      </c>
      <c r="D7926" s="1" t="s">
        <v>27</v>
      </c>
      <c r="E7926" s="1" t="s">
        <v>40</v>
      </c>
      <c r="F7926" s="1">
        <v>39.02</v>
      </c>
      <c r="G7926" s="1">
        <v>141.14</v>
      </c>
      <c r="H7926" s="1">
        <v>6.0</v>
      </c>
      <c r="I7926" s="1" t="s">
        <v>23</v>
      </c>
      <c r="J7926" s="1" t="s">
        <v>18</v>
      </c>
      <c r="K7926" s="1">
        <f t="shared" si="1"/>
        <v>2023</v>
      </c>
      <c r="L7926" s="1" t="str">
        <f t="shared" si="2"/>
        <v>Apr</v>
      </c>
      <c r="M7926" s="1" t="str">
        <f t="shared" si="3"/>
        <v>Profit</v>
      </c>
    </row>
    <row r="7927" ht="14.25" customHeight="1">
      <c r="A7927" s="1" t="s">
        <v>7961</v>
      </c>
      <c r="B7927" s="2">
        <v>45036.0</v>
      </c>
      <c r="C7927" s="1" t="s">
        <v>30</v>
      </c>
      <c r="D7927" s="1" t="s">
        <v>27</v>
      </c>
      <c r="E7927" s="1" t="s">
        <v>40</v>
      </c>
      <c r="F7927" s="1">
        <v>897.56</v>
      </c>
      <c r="G7927" s="1">
        <v>-2.18</v>
      </c>
      <c r="H7927" s="1">
        <v>9.0</v>
      </c>
      <c r="I7927" s="1" t="s">
        <v>17</v>
      </c>
      <c r="J7927" s="1" t="s">
        <v>18</v>
      </c>
      <c r="K7927" s="1">
        <f t="shared" si="1"/>
        <v>2023</v>
      </c>
      <c r="L7927" s="1" t="str">
        <f t="shared" si="2"/>
        <v>Apr</v>
      </c>
      <c r="M7927" s="1" t="str">
        <f t="shared" si="3"/>
        <v>Loss</v>
      </c>
    </row>
    <row r="7928" ht="14.25" customHeight="1">
      <c r="A7928" s="1" t="s">
        <v>7962</v>
      </c>
      <c r="B7928" s="2">
        <v>44959.0</v>
      </c>
      <c r="C7928" s="1" t="s">
        <v>30</v>
      </c>
      <c r="D7928" s="1" t="s">
        <v>21</v>
      </c>
      <c r="E7928" s="1" t="s">
        <v>76</v>
      </c>
      <c r="F7928" s="1">
        <v>531.97</v>
      </c>
      <c r="G7928" s="1">
        <v>-171.51</v>
      </c>
      <c r="H7928" s="1">
        <v>8.0</v>
      </c>
      <c r="I7928" s="1" t="s">
        <v>34</v>
      </c>
      <c r="J7928" s="1" t="s">
        <v>18</v>
      </c>
      <c r="K7928" s="1">
        <f t="shared" si="1"/>
        <v>2023</v>
      </c>
      <c r="L7928" s="1" t="str">
        <f t="shared" si="2"/>
        <v>Feb</v>
      </c>
      <c r="M7928" s="1" t="str">
        <f t="shared" si="3"/>
        <v>Loss</v>
      </c>
    </row>
    <row r="7929" ht="14.25" customHeight="1">
      <c r="A7929" s="1" t="s">
        <v>7963</v>
      </c>
      <c r="B7929" s="2">
        <v>44257.0</v>
      </c>
      <c r="C7929" s="1" t="s">
        <v>30</v>
      </c>
      <c r="D7929" s="1" t="s">
        <v>21</v>
      </c>
      <c r="E7929" s="1" t="s">
        <v>22</v>
      </c>
      <c r="F7929" s="1">
        <v>168.67</v>
      </c>
      <c r="G7929" s="1">
        <v>-77.38</v>
      </c>
      <c r="H7929" s="1">
        <v>1.0</v>
      </c>
      <c r="I7929" s="1" t="s">
        <v>23</v>
      </c>
      <c r="J7929" s="1" t="s">
        <v>35</v>
      </c>
      <c r="K7929" s="1">
        <f t="shared" si="1"/>
        <v>2021</v>
      </c>
      <c r="L7929" s="1" t="str">
        <f t="shared" si="2"/>
        <v>Mar</v>
      </c>
      <c r="M7929" s="1" t="str">
        <f t="shared" si="3"/>
        <v>Loss</v>
      </c>
    </row>
    <row r="7930" ht="14.25" customHeight="1">
      <c r="A7930" s="1" t="s">
        <v>7964</v>
      </c>
      <c r="B7930" s="2">
        <v>44958.0</v>
      </c>
      <c r="C7930" s="1" t="s">
        <v>20</v>
      </c>
      <c r="D7930" s="1" t="s">
        <v>21</v>
      </c>
      <c r="E7930" s="1" t="s">
        <v>76</v>
      </c>
      <c r="F7930" s="1">
        <v>751.44</v>
      </c>
      <c r="G7930" s="1">
        <v>-125.58</v>
      </c>
      <c r="H7930" s="1">
        <v>4.0</v>
      </c>
      <c r="I7930" s="1" t="s">
        <v>34</v>
      </c>
      <c r="J7930" s="1" t="s">
        <v>18</v>
      </c>
      <c r="K7930" s="1">
        <f t="shared" si="1"/>
        <v>2023</v>
      </c>
      <c r="L7930" s="1" t="str">
        <f t="shared" si="2"/>
        <v>Feb</v>
      </c>
      <c r="M7930" s="1" t="str">
        <f t="shared" si="3"/>
        <v>Loss</v>
      </c>
    </row>
    <row r="7931" ht="14.25" customHeight="1">
      <c r="A7931" s="1" t="s">
        <v>7965</v>
      </c>
      <c r="B7931" s="2">
        <v>44335.0</v>
      </c>
      <c r="C7931" s="1" t="s">
        <v>14</v>
      </c>
      <c r="D7931" s="1" t="s">
        <v>15</v>
      </c>
      <c r="E7931" s="1" t="s">
        <v>16</v>
      </c>
      <c r="F7931" s="1">
        <v>566.72</v>
      </c>
      <c r="G7931" s="1">
        <v>123.37</v>
      </c>
      <c r="H7931" s="1">
        <v>1.0</v>
      </c>
      <c r="I7931" s="1" t="s">
        <v>17</v>
      </c>
      <c r="J7931" s="1" t="s">
        <v>38</v>
      </c>
      <c r="K7931" s="1">
        <f t="shared" si="1"/>
        <v>2021</v>
      </c>
      <c r="L7931" s="1" t="str">
        <f t="shared" si="2"/>
        <v>May</v>
      </c>
      <c r="M7931" s="1" t="str">
        <f t="shared" si="3"/>
        <v>Profit</v>
      </c>
    </row>
    <row r="7932" ht="14.25" customHeight="1">
      <c r="A7932" s="1" t="s">
        <v>7966</v>
      </c>
      <c r="B7932" s="2">
        <v>45277.0</v>
      </c>
      <c r="C7932" s="1" t="s">
        <v>20</v>
      </c>
      <c r="D7932" s="1" t="s">
        <v>27</v>
      </c>
      <c r="E7932" s="1" t="s">
        <v>28</v>
      </c>
      <c r="F7932" s="1">
        <v>351.69</v>
      </c>
      <c r="G7932" s="1">
        <v>168.55</v>
      </c>
      <c r="H7932" s="1">
        <v>3.0</v>
      </c>
      <c r="I7932" s="1" t="s">
        <v>34</v>
      </c>
      <c r="J7932" s="1" t="s">
        <v>18</v>
      </c>
      <c r="K7932" s="1">
        <f t="shared" si="1"/>
        <v>2023</v>
      </c>
      <c r="L7932" s="1" t="str">
        <f t="shared" si="2"/>
        <v>Dec</v>
      </c>
      <c r="M7932" s="1" t="str">
        <f t="shared" si="3"/>
        <v>Profit</v>
      </c>
    </row>
    <row r="7933" ht="14.25" customHeight="1">
      <c r="A7933" s="1" t="s">
        <v>7967</v>
      </c>
      <c r="B7933" s="2">
        <v>44622.0</v>
      </c>
      <c r="C7933" s="1" t="s">
        <v>26</v>
      </c>
      <c r="D7933" s="1" t="s">
        <v>15</v>
      </c>
      <c r="E7933" s="1" t="s">
        <v>16</v>
      </c>
      <c r="F7933" s="1">
        <v>957.01</v>
      </c>
      <c r="G7933" s="1">
        <v>-96.54</v>
      </c>
      <c r="H7933" s="1">
        <v>7.0</v>
      </c>
      <c r="I7933" s="1" t="s">
        <v>23</v>
      </c>
      <c r="J7933" s="1" t="s">
        <v>18</v>
      </c>
      <c r="K7933" s="1">
        <f t="shared" si="1"/>
        <v>2022</v>
      </c>
      <c r="L7933" s="1" t="str">
        <f t="shared" si="2"/>
        <v>Mar</v>
      </c>
      <c r="M7933" s="1" t="str">
        <f t="shared" si="3"/>
        <v>Loss</v>
      </c>
    </row>
    <row r="7934" ht="14.25" customHeight="1">
      <c r="A7934" s="1" t="s">
        <v>7968</v>
      </c>
      <c r="B7934" s="2">
        <v>45021.0</v>
      </c>
      <c r="C7934" s="1" t="s">
        <v>26</v>
      </c>
      <c r="D7934" s="1" t="s">
        <v>21</v>
      </c>
      <c r="E7934" s="1" t="s">
        <v>76</v>
      </c>
      <c r="F7934" s="1">
        <v>213.43</v>
      </c>
      <c r="G7934" s="1">
        <v>178.15</v>
      </c>
      <c r="H7934" s="1">
        <v>10.0</v>
      </c>
      <c r="I7934" s="1" t="s">
        <v>23</v>
      </c>
      <c r="J7934" s="1" t="s">
        <v>24</v>
      </c>
      <c r="K7934" s="1">
        <f t="shared" si="1"/>
        <v>2023</v>
      </c>
      <c r="L7934" s="1" t="str">
        <f t="shared" si="2"/>
        <v>Apr</v>
      </c>
      <c r="M7934" s="1" t="str">
        <f t="shared" si="3"/>
        <v>Profit</v>
      </c>
    </row>
    <row r="7935" ht="14.25" customHeight="1">
      <c r="A7935" s="1" t="s">
        <v>7969</v>
      </c>
      <c r="B7935" s="2">
        <v>45228.0</v>
      </c>
      <c r="C7935" s="1" t="s">
        <v>14</v>
      </c>
      <c r="D7935" s="1" t="s">
        <v>15</v>
      </c>
      <c r="E7935" s="1" t="s">
        <v>16</v>
      </c>
      <c r="F7935" s="1">
        <v>757.1</v>
      </c>
      <c r="G7935" s="1">
        <v>-128.6</v>
      </c>
      <c r="H7935" s="1">
        <v>2.0</v>
      </c>
      <c r="I7935" s="1" t="s">
        <v>17</v>
      </c>
      <c r="J7935" s="1" t="s">
        <v>18</v>
      </c>
      <c r="K7935" s="1">
        <f t="shared" si="1"/>
        <v>2023</v>
      </c>
      <c r="L7935" s="1" t="str">
        <f t="shared" si="2"/>
        <v>Oct</v>
      </c>
      <c r="M7935" s="1" t="str">
        <f t="shared" si="3"/>
        <v>Loss</v>
      </c>
    </row>
    <row r="7936" ht="14.25" customHeight="1">
      <c r="A7936" s="1" t="s">
        <v>7970</v>
      </c>
      <c r="B7936" s="2">
        <v>44538.0</v>
      </c>
      <c r="C7936" s="1" t="s">
        <v>20</v>
      </c>
      <c r="D7936" s="1" t="s">
        <v>15</v>
      </c>
      <c r="E7936" s="1" t="s">
        <v>31</v>
      </c>
      <c r="F7936" s="1">
        <v>835.19</v>
      </c>
      <c r="G7936" s="1">
        <v>197.43</v>
      </c>
      <c r="H7936" s="1">
        <v>10.0</v>
      </c>
      <c r="I7936" s="1" t="s">
        <v>17</v>
      </c>
      <c r="J7936" s="1" t="s">
        <v>38</v>
      </c>
      <c r="K7936" s="1">
        <f t="shared" si="1"/>
        <v>2021</v>
      </c>
      <c r="L7936" s="1" t="str">
        <f t="shared" si="2"/>
        <v>Dec</v>
      </c>
      <c r="M7936" s="1" t="str">
        <f t="shared" si="3"/>
        <v>Profit</v>
      </c>
    </row>
    <row r="7937" ht="14.25" customHeight="1">
      <c r="A7937" s="1" t="s">
        <v>7971</v>
      </c>
      <c r="B7937" s="2">
        <v>45211.0</v>
      </c>
      <c r="C7937" s="1" t="s">
        <v>20</v>
      </c>
      <c r="D7937" s="1" t="s">
        <v>21</v>
      </c>
      <c r="E7937" s="1" t="s">
        <v>76</v>
      </c>
      <c r="F7937" s="1">
        <v>671.05</v>
      </c>
      <c r="G7937" s="1">
        <v>123.02</v>
      </c>
      <c r="H7937" s="1">
        <v>8.0</v>
      </c>
      <c r="I7937" s="1" t="s">
        <v>34</v>
      </c>
      <c r="J7937" s="1" t="s">
        <v>38</v>
      </c>
      <c r="K7937" s="1">
        <f t="shared" si="1"/>
        <v>2023</v>
      </c>
      <c r="L7937" s="1" t="str">
        <f t="shared" si="2"/>
        <v>Oct</v>
      </c>
      <c r="M7937" s="1" t="str">
        <f t="shared" si="3"/>
        <v>Profit</v>
      </c>
    </row>
    <row r="7938" ht="14.25" customHeight="1">
      <c r="A7938" s="1" t="s">
        <v>7972</v>
      </c>
      <c r="B7938" s="2">
        <v>45112.0</v>
      </c>
      <c r="C7938" s="1" t="s">
        <v>14</v>
      </c>
      <c r="D7938" s="1" t="s">
        <v>27</v>
      </c>
      <c r="E7938" s="1" t="s">
        <v>40</v>
      </c>
      <c r="F7938" s="1">
        <v>797.45</v>
      </c>
      <c r="G7938" s="1">
        <v>30.75</v>
      </c>
      <c r="H7938" s="1">
        <v>10.0</v>
      </c>
      <c r="I7938" s="1" t="s">
        <v>34</v>
      </c>
      <c r="J7938" s="1" t="s">
        <v>38</v>
      </c>
      <c r="K7938" s="1">
        <f t="shared" si="1"/>
        <v>2023</v>
      </c>
      <c r="L7938" s="1" t="str">
        <f t="shared" si="2"/>
        <v>Jul</v>
      </c>
      <c r="M7938" s="1" t="str">
        <f t="shared" si="3"/>
        <v>Profit</v>
      </c>
    </row>
    <row r="7939" ht="14.25" customHeight="1">
      <c r="A7939" s="1" t="s">
        <v>7973</v>
      </c>
      <c r="B7939" s="2">
        <v>44813.0</v>
      </c>
      <c r="C7939" s="1" t="s">
        <v>30</v>
      </c>
      <c r="D7939" s="1" t="s">
        <v>27</v>
      </c>
      <c r="E7939" s="1" t="s">
        <v>40</v>
      </c>
      <c r="F7939" s="1">
        <v>455.94</v>
      </c>
      <c r="G7939" s="1">
        <v>294.97</v>
      </c>
      <c r="H7939" s="1">
        <v>8.0</v>
      </c>
      <c r="I7939" s="1" t="s">
        <v>34</v>
      </c>
      <c r="J7939" s="1" t="s">
        <v>24</v>
      </c>
      <c r="K7939" s="1">
        <f t="shared" si="1"/>
        <v>2022</v>
      </c>
      <c r="L7939" s="1" t="str">
        <f t="shared" si="2"/>
        <v>Sep</v>
      </c>
      <c r="M7939" s="1" t="str">
        <f t="shared" si="3"/>
        <v>Profit</v>
      </c>
    </row>
    <row r="7940" ht="14.25" customHeight="1">
      <c r="A7940" s="1" t="s">
        <v>7974</v>
      </c>
      <c r="B7940" s="2">
        <v>44456.0</v>
      </c>
      <c r="C7940" s="1" t="s">
        <v>14</v>
      </c>
      <c r="D7940" s="1" t="s">
        <v>21</v>
      </c>
      <c r="E7940" s="1" t="s">
        <v>37</v>
      </c>
      <c r="F7940" s="1">
        <v>123.62</v>
      </c>
      <c r="G7940" s="1">
        <v>90.57</v>
      </c>
      <c r="H7940" s="1">
        <v>3.0</v>
      </c>
      <c r="I7940" s="1" t="s">
        <v>34</v>
      </c>
      <c r="J7940" s="1" t="s">
        <v>24</v>
      </c>
      <c r="K7940" s="1">
        <f t="shared" si="1"/>
        <v>2021</v>
      </c>
      <c r="L7940" s="1" t="str">
        <f t="shared" si="2"/>
        <v>Sep</v>
      </c>
      <c r="M7940" s="1" t="str">
        <f t="shared" si="3"/>
        <v>Profit</v>
      </c>
    </row>
    <row r="7941" ht="14.25" customHeight="1">
      <c r="A7941" s="1" t="s">
        <v>7975</v>
      </c>
      <c r="B7941" s="2">
        <v>45279.0</v>
      </c>
      <c r="C7941" s="1" t="s">
        <v>26</v>
      </c>
      <c r="D7941" s="1" t="s">
        <v>21</v>
      </c>
      <c r="E7941" s="1" t="s">
        <v>37</v>
      </c>
      <c r="F7941" s="1">
        <v>193.0</v>
      </c>
      <c r="G7941" s="1">
        <v>-4.11</v>
      </c>
      <c r="H7941" s="1">
        <v>1.0</v>
      </c>
      <c r="I7941" s="1" t="s">
        <v>17</v>
      </c>
      <c r="J7941" s="1" t="s">
        <v>38</v>
      </c>
      <c r="K7941" s="1">
        <f t="shared" si="1"/>
        <v>2023</v>
      </c>
      <c r="L7941" s="1" t="str">
        <f t="shared" si="2"/>
        <v>Dec</v>
      </c>
      <c r="M7941" s="1" t="str">
        <f t="shared" si="3"/>
        <v>Loss</v>
      </c>
    </row>
    <row r="7942" ht="14.25" customHeight="1">
      <c r="A7942" s="1" t="s">
        <v>7976</v>
      </c>
      <c r="B7942" s="2">
        <v>44357.0</v>
      </c>
      <c r="C7942" s="1" t="s">
        <v>14</v>
      </c>
      <c r="D7942" s="1" t="s">
        <v>27</v>
      </c>
      <c r="E7942" s="1" t="s">
        <v>33</v>
      </c>
      <c r="F7942" s="1">
        <v>453.84</v>
      </c>
      <c r="G7942" s="1">
        <v>206.07</v>
      </c>
      <c r="H7942" s="1">
        <v>8.0</v>
      </c>
      <c r="I7942" s="1" t="s">
        <v>17</v>
      </c>
      <c r="J7942" s="1" t="s">
        <v>18</v>
      </c>
      <c r="K7942" s="1">
        <f t="shared" si="1"/>
        <v>2021</v>
      </c>
      <c r="L7942" s="1" t="str">
        <f t="shared" si="2"/>
        <v>Jun</v>
      </c>
      <c r="M7942" s="1" t="str">
        <f t="shared" si="3"/>
        <v>Profit</v>
      </c>
    </row>
    <row r="7943" ht="14.25" customHeight="1">
      <c r="A7943" s="1" t="s">
        <v>7977</v>
      </c>
      <c r="B7943" s="2">
        <v>45133.0</v>
      </c>
      <c r="C7943" s="1" t="s">
        <v>30</v>
      </c>
      <c r="D7943" s="1" t="s">
        <v>27</v>
      </c>
      <c r="E7943" s="1" t="s">
        <v>33</v>
      </c>
      <c r="F7943" s="1">
        <v>972.05</v>
      </c>
      <c r="G7943" s="1">
        <v>257.64</v>
      </c>
      <c r="H7943" s="1">
        <v>5.0</v>
      </c>
      <c r="I7943" s="1" t="s">
        <v>23</v>
      </c>
      <c r="J7943" s="1" t="s">
        <v>35</v>
      </c>
      <c r="K7943" s="1">
        <f t="shared" si="1"/>
        <v>2023</v>
      </c>
      <c r="L7943" s="1" t="str">
        <f t="shared" si="2"/>
        <v>Jul</v>
      </c>
      <c r="M7943" s="1" t="str">
        <f t="shared" si="3"/>
        <v>Profit</v>
      </c>
    </row>
    <row r="7944" ht="14.25" customHeight="1">
      <c r="A7944" s="1" t="s">
        <v>7978</v>
      </c>
      <c r="B7944" s="2">
        <v>44667.0</v>
      </c>
      <c r="C7944" s="1" t="s">
        <v>26</v>
      </c>
      <c r="D7944" s="1" t="s">
        <v>15</v>
      </c>
      <c r="E7944" s="1" t="s">
        <v>54</v>
      </c>
      <c r="F7944" s="1">
        <v>361.43</v>
      </c>
      <c r="G7944" s="1">
        <v>184.3</v>
      </c>
      <c r="H7944" s="1">
        <v>4.0</v>
      </c>
      <c r="I7944" s="1" t="s">
        <v>17</v>
      </c>
      <c r="J7944" s="1" t="s">
        <v>35</v>
      </c>
      <c r="K7944" s="1">
        <f t="shared" si="1"/>
        <v>2022</v>
      </c>
      <c r="L7944" s="1" t="str">
        <f t="shared" si="2"/>
        <v>Apr</v>
      </c>
      <c r="M7944" s="1" t="str">
        <f t="shared" si="3"/>
        <v>Profit</v>
      </c>
    </row>
    <row r="7945" ht="14.25" customHeight="1">
      <c r="A7945" s="1" t="s">
        <v>7979</v>
      </c>
      <c r="B7945" s="2">
        <v>44462.0</v>
      </c>
      <c r="C7945" s="1" t="s">
        <v>14</v>
      </c>
      <c r="D7945" s="1" t="s">
        <v>27</v>
      </c>
      <c r="E7945" s="1" t="s">
        <v>33</v>
      </c>
      <c r="F7945" s="1">
        <v>104.74</v>
      </c>
      <c r="G7945" s="1">
        <v>-163.18</v>
      </c>
      <c r="H7945" s="1">
        <v>10.0</v>
      </c>
      <c r="I7945" s="1" t="s">
        <v>17</v>
      </c>
      <c r="J7945" s="1" t="s">
        <v>35</v>
      </c>
      <c r="K7945" s="1">
        <f t="shared" si="1"/>
        <v>2021</v>
      </c>
      <c r="L7945" s="1" t="str">
        <f t="shared" si="2"/>
        <v>Sep</v>
      </c>
      <c r="M7945" s="1" t="str">
        <f t="shared" si="3"/>
        <v>Loss</v>
      </c>
    </row>
    <row r="7946" ht="14.25" customHeight="1">
      <c r="A7946" s="1" t="s">
        <v>7980</v>
      </c>
      <c r="B7946" s="2">
        <v>45156.0</v>
      </c>
      <c r="C7946" s="1" t="s">
        <v>26</v>
      </c>
      <c r="D7946" s="1" t="s">
        <v>21</v>
      </c>
      <c r="E7946" s="1" t="s">
        <v>76</v>
      </c>
      <c r="F7946" s="1">
        <v>470.05</v>
      </c>
      <c r="G7946" s="1">
        <v>122.95</v>
      </c>
      <c r="H7946" s="1">
        <v>10.0</v>
      </c>
      <c r="I7946" s="1" t="s">
        <v>23</v>
      </c>
      <c r="J7946" s="1" t="s">
        <v>35</v>
      </c>
      <c r="K7946" s="1">
        <f t="shared" si="1"/>
        <v>2023</v>
      </c>
      <c r="L7946" s="1" t="str">
        <f t="shared" si="2"/>
        <v>Aug</v>
      </c>
      <c r="M7946" s="1" t="str">
        <f t="shared" si="3"/>
        <v>Profit</v>
      </c>
    </row>
    <row r="7947" ht="14.25" customHeight="1">
      <c r="A7947" s="1" t="s">
        <v>7981</v>
      </c>
      <c r="B7947" s="2">
        <v>44917.0</v>
      </c>
      <c r="C7947" s="1" t="s">
        <v>14</v>
      </c>
      <c r="D7947" s="1" t="s">
        <v>15</v>
      </c>
      <c r="E7947" s="1" t="s">
        <v>31</v>
      </c>
      <c r="F7947" s="1">
        <v>743.74</v>
      </c>
      <c r="G7947" s="1">
        <v>42.28</v>
      </c>
      <c r="H7947" s="1">
        <v>9.0</v>
      </c>
      <c r="I7947" s="1" t="s">
        <v>17</v>
      </c>
      <c r="J7947" s="1" t="s">
        <v>24</v>
      </c>
      <c r="K7947" s="1">
        <f t="shared" si="1"/>
        <v>2022</v>
      </c>
      <c r="L7947" s="1" t="str">
        <f t="shared" si="2"/>
        <v>Dec</v>
      </c>
      <c r="M7947" s="1" t="str">
        <f t="shared" si="3"/>
        <v>Profit</v>
      </c>
    </row>
    <row r="7948" ht="14.25" customHeight="1">
      <c r="A7948" s="1" t="s">
        <v>7982</v>
      </c>
      <c r="B7948" s="2">
        <v>45074.0</v>
      </c>
      <c r="C7948" s="1" t="s">
        <v>20</v>
      </c>
      <c r="D7948" s="1" t="s">
        <v>15</v>
      </c>
      <c r="E7948" s="1" t="s">
        <v>31</v>
      </c>
      <c r="F7948" s="1">
        <v>900.85</v>
      </c>
      <c r="G7948" s="1">
        <v>115.48</v>
      </c>
      <c r="H7948" s="1">
        <v>10.0</v>
      </c>
      <c r="I7948" s="1" t="s">
        <v>23</v>
      </c>
      <c r="J7948" s="1" t="s">
        <v>38</v>
      </c>
      <c r="K7948" s="1">
        <f t="shared" si="1"/>
        <v>2023</v>
      </c>
      <c r="L7948" s="1" t="str">
        <f t="shared" si="2"/>
        <v>May</v>
      </c>
      <c r="M7948" s="1" t="str">
        <f t="shared" si="3"/>
        <v>Profit</v>
      </c>
    </row>
    <row r="7949" ht="14.25" customHeight="1">
      <c r="A7949" s="1" t="s">
        <v>7983</v>
      </c>
      <c r="B7949" s="2">
        <v>45009.0</v>
      </c>
      <c r="C7949" s="1" t="s">
        <v>20</v>
      </c>
      <c r="D7949" s="1" t="s">
        <v>21</v>
      </c>
      <c r="E7949" s="1" t="s">
        <v>37</v>
      </c>
      <c r="F7949" s="1">
        <v>468.73</v>
      </c>
      <c r="G7949" s="1">
        <v>254.87</v>
      </c>
      <c r="H7949" s="1">
        <v>9.0</v>
      </c>
      <c r="I7949" s="1" t="s">
        <v>34</v>
      </c>
      <c r="J7949" s="1" t="s">
        <v>38</v>
      </c>
      <c r="K7949" s="1">
        <f t="shared" si="1"/>
        <v>2023</v>
      </c>
      <c r="L7949" s="1" t="str">
        <f t="shared" si="2"/>
        <v>Mar</v>
      </c>
      <c r="M7949" s="1" t="str">
        <f t="shared" si="3"/>
        <v>Profit</v>
      </c>
    </row>
    <row r="7950" ht="14.25" customHeight="1">
      <c r="A7950" s="1" t="s">
        <v>7984</v>
      </c>
      <c r="B7950" s="2">
        <v>45182.0</v>
      </c>
      <c r="C7950" s="1" t="s">
        <v>14</v>
      </c>
      <c r="D7950" s="1" t="s">
        <v>27</v>
      </c>
      <c r="E7950" s="1" t="s">
        <v>33</v>
      </c>
      <c r="F7950" s="1">
        <v>956.42</v>
      </c>
      <c r="G7950" s="1">
        <v>-50.95</v>
      </c>
      <c r="H7950" s="1">
        <v>5.0</v>
      </c>
      <c r="I7950" s="1" t="s">
        <v>34</v>
      </c>
      <c r="J7950" s="1" t="s">
        <v>24</v>
      </c>
      <c r="K7950" s="1">
        <f t="shared" si="1"/>
        <v>2023</v>
      </c>
      <c r="L7950" s="1" t="str">
        <f t="shared" si="2"/>
        <v>Sep</v>
      </c>
      <c r="M7950" s="1" t="str">
        <f t="shared" si="3"/>
        <v>Loss</v>
      </c>
    </row>
    <row r="7951" ht="14.25" customHeight="1">
      <c r="A7951" s="1" t="s">
        <v>7985</v>
      </c>
      <c r="B7951" s="2">
        <v>44677.0</v>
      </c>
      <c r="C7951" s="1" t="s">
        <v>20</v>
      </c>
      <c r="D7951" s="1" t="s">
        <v>27</v>
      </c>
      <c r="E7951" s="1" t="s">
        <v>28</v>
      </c>
      <c r="F7951" s="1">
        <v>741.33</v>
      </c>
      <c r="G7951" s="1">
        <v>296.2</v>
      </c>
      <c r="H7951" s="1">
        <v>7.0</v>
      </c>
      <c r="I7951" s="1" t="s">
        <v>23</v>
      </c>
      <c r="J7951" s="1" t="s">
        <v>18</v>
      </c>
      <c r="K7951" s="1">
        <f t="shared" si="1"/>
        <v>2022</v>
      </c>
      <c r="L7951" s="1" t="str">
        <f t="shared" si="2"/>
        <v>Apr</v>
      </c>
      <c r="M7951" s="1" t="str">
        <f t="shared" si="3"/>
        <v>Profit</v>
      </c>
    </row>
    <row r="7952" ht="14.25" customHeight="1">
      <c r="A7952" s="1" t="s">
        <v>7986</v>
      </c>
      <c r="B7952" s="2">
        <v>44745.0</v>
      </c>
      <c r="C7952" s="1" t="s">
        <v>30</v>
      </c>
      <c r="D7952" s="1" t="s">
        <v>15</v>
      </c>
      <c r="E7952" s="1" t="s">
        <v>54</v>
      </c>
      <c r="F7952" s="1">
        <v>632.97</v>
      </c>
      <c r="G7952" s="1">
        <v>259.73</v>
      </c>
      <c r="H7952" s="1">
        <v>7.0</v>
      </c>
      <c r="I7952" s="1" t="s">
        <v>23</v>
      </c>
      <c r="J7952" s="1" t="s">
        <v>38</v>
      </c>
      <c r="K7952" s="1">
        <f t="shared" si="1"/>
        <v>2022</v>
      </c>
      <c r="L7952" s="1" t="str">
        <f t="shared" si="2"/>
        <v>Jul</v>
      </c>
      <c r="M7952" s="1" t="str">
        <f t="shared" si="3"/>
        <v>Profit</v>
      </c>
    </row>
    <row r="7953" ht="14.25" customHeight="1">
      <c r="A7953" s="1" t="s">
        <v>7987</v>
      </c>
      <c r="B7953" s="2">
        <v>45130.0</v>
      </c>
      <c r="C7953" s="1" t="s">
        <v>20</v>
      </c>
      <c r="D7953" s="1" t="s">
        <v>21</v>
      </c>
      <c r="E7953" s="1" t="s">
        <v>22</v>
      </c>
      <c r="F7953" s="1">
        <v>404.03</v>
      </c>
      <c r="G7953" s="1">
        <v>-128.52</v>
      </c>
      <c r="H7953" s="1">
        <v>5.0</v>
      </c>
      <c r="I7953" s="1" t="s">
        <v>23</v>
      </c>
      <c r="J7953" s="1" t="s">
        <v>35</v>
      </c>
      <c r="K7953" s="1">
        <f t="shared" si="1"/>
        <v>2023</v>
      </c>
      <c r="L7953" s="1" t="str">
        <f t="shared" si="2"/>
        <v>Jul</v>
      </c>
      <c r="M7953" s="1" t="str">
        <f t="shared" si="3"/>
        <v>Loss</v>
      </c>
    </row>
    <row r="7954" ht="14.25" customHeight="1">
      <c r="A7954" s="1" t="s">
        <v>7988</v>
      </c>
      <c r="B7954" s="2">
        <v>44815.0</v>
      </c>
      <c r="C7954" s="1" t="s">
        <v>20</v>
      </c>
      <c r="D7954" s="1" t="s">
        <v>21</v>
      </c>
      <c r="E7954" s="1" t="s">
        <v>22</v>
      </c>
      <c r="F7954" s="1">
        <v>634.92</v>
      </c>
      <c r="G7954" s="1">
        <v>-47.0</v>
      </c>
      <c r="H7954" s="1">
        <v>1.0</v>
      </c>
      <c r="I7954" s="1" t="s">
        <v>17</v>
      </c>
      <c r="J7954" s="1" t="s">
        <v>18</v>
      </c>
      <c r="K7954" s="1">
        <f t="shared" si="1"/>
        <v>2022</v>
      </c>
      <c r="L7954" s="1" t="str">
        <f t="shared" si="2"/>
        <v>Sep</v>
      </c>
      <c r="M7954" s="1" t="str">
        <f t="shared" si="3"/>
        <v>Loss</v>
      </c>
    </row>
    <row r="7955" ht="14.25" customHeight="1">
      <c r="A7955" s="1" t="s">
        <v>7989</v>
      </c>
      <c r="B7955" s="2">
        <v>44533.0</v>
      </c>
      <c r="C7955" s="1" t="s">
        <v>14</v>
      </c>
      <c r="D7955" s="1" t="s">
        <v>21</v>
      </c>
      <c r="E7955" s="1" t="s">
        <v>22</v>
      </c>
      <c r="F7955" s="1">
        <v>306.65</v>
      </c>
      <c r="G7955" s="1">
        <v>222.52</v>
      </c>
      <c r="H7955" s="1">
        <v>4.0</v>
      </c>
      <c r="I7955" s="1" t="s">
        <v>17</v>
      </c>
      <c r="J7955" s="1" t="s">
        <v>24</v>
      </c>
      <c r="K7955" s="1">
        <f t="shared" si="1"/>
        <v>2021</v>
      </c>
      <c r="L7955" s="1" t="str">
        <f t="shared" si="2"/>
        <v>Dec</v>
      </c>
      <c r="M7955" s="1" t="str">
        <f t="shared" si="3"/>
        <v>Profit</v>
      </c>
    </row>
    <row r="7956" ht="14.25" customHeight="1">
      <c r="A7956" s="1" t="s">
        <v>7990</v>
      </c>
      <c r="B7956" s="2">
        <v>44424.0</v>
      </c>
      <c r="C7956" s="1" t="s">
        <v>30</v>
      </c>
      <c r="D7956" s="1" t="s">
        <v>21</v>
      </c>
      <c r="E7956" s="1" t="s">
        <v>76</v>
      </c>
      <c r="F7956" s="1">
        <v>955.31</v>
      </c>
      <c r="G7956" s="1">
        <v>224.84</v>
      </c>
      <c r="H7956" s="1">
        <v>8.0</v>
      </c>
      <c r="I7956" s="1" t="s">
        <v>34</v>
      </c>
      <c r="J7956" s="1" t="s">
        <v>35</v>
      </c>
      <c r="K7956" s="1">
        <f t="shared" si="1"/>
        <v>2021</v>
      </c>
      <c r="L7956" s="1" t="str">
        <f t="shared" si="2"/>
        <v>Aug</v>
      </c>
      <c r="M7956" s="1" t="str">
        <f t="shared" si="3"/>
        <v>Profit</v>
      </c>
    </row>
    <row r="7957" ht="14.25" customHeight="1">
      <c r="A7957" s="1" t="s">
        <v>7991</v>
      </c>
      <c r="B7957" s="2">
        <v>45146.0</v>
      </c>
      <c r="C7957" s="1" t="s">
        <v>30</v>
      </c>
      <c r="D7957" s="1" t="s">
        <v>21</v>
      </c>
      <c r="E7957" s="1" t="s">
        <v>37</v>
      </c>
      <c r="F7957" s="1">
        <v>949.98</v>
      </c>
      <c r="G7957" s="1">
        <v>269.35</v>
      </c>
      <c r="H7957" s="1">
        <v>4.0</v>
      </c>
      <c r="I7957" s="1" t="s">
        <v>34</v>
      </c>
      <c r="J7957" s="1" t="s">
        <v>24</v>
      </c>
      <c r="K7957" s="1">
        <f t="shared" si="1"/>
        <v>2023</v>
      </c>
      <c r="L7957" s="1" t="str">
        <f t="shared" si="2"/>
        <v>Aug</v>
      </c>
      <c r="M7957" s="1" t="str">
        <f t="shared" si="3"/>
        <v>Profit</v>
      </c>
    </row>
    <row r="7958" ht="14.25" customHeight="1">
      <c r="A7958" s="1" t="s">
        <v>7992</v>
      </c>
      <c r="B7958" s="2">
        <v>44487.0</v>
      </c>
      <c r="C7958" s="1" t="s">
        <v>20</v>
      </c>
      <c r="D7958" s="1" t="s">
        <v>15</v>
      </c>
      <c r="E7958" s="1" t="s">
        <v>31</v>
      </c>
      <c r="F7958" s="1">
        <v>453.44</v>
      </c>
      <c r="G7958" s="1">
        <v>73.52</v>
      </c>
      <c r="H7958" s="1">
        <v>3.0</v>
      </c>
      <c r="I7958" s="1" t="s">
        <v>34</v>
      </c>
      <c r="J7958" s="1" t="s">
        <v>38</v>
      </c>
      <c r="K7958" s="1">
        <f t="shared" si="1"/>
        <v>2021</v>
      </c>
      <c r="L7958" s="1" t="str">
        <f t="shared" si="2"/>
        <v>Oct</v>
      </c>
      <c r="M7958" s="1" t="str">
        <f t="shared" si="3"/>
        <v>Profit</v>
      </c>
    </row>
    <row r="7959" ht="14.25" customHeight="1">
      <c r="A7959" s="1" t="s">
        <v>7993</v>
      </c>
      <c r="B7959" s="2">
        <v>44910.0</v>
      </c>
      <c r="C7959" s="1" t="s">
        <v>30</v>
      </c>
      <c r="D7959" s="1" t="s">
        <v>27</v>
      </c>
      <c r="E7959" s="1" t="s">
        <v>28</v>
      </c>
      <c r="F7959" s="1">
        <v>104.03</v>
      </c>
      <c r="G7959" s="1">
        <v>251.19</v>
      </c>
      <c r="H7959" s="1">
        <v>5.0</v>
      </c>
      <c r="I7959" s="1" t="s">
        <v>34</v>
      </c>
      <c r="J7959" s="1" t="s">
        <v>24</v>
      </c>
      <c r="K7959" s="1">
        <f t="shared" si="1"/>
        <v>2022</v>
      </c>
      <c r="L7959" s="1" t="str">
        <f t="shared" si="2"/>
        <v>Dec</v>
      </c>
      <c r="M7959" s="1" t="str">
        <f t="shared" si="3"/>
        <v>Profit</v>
      </c>
    </row>
    <row r="7960" ht="14.25" customHeight="1">
      <c r="A7960" s="1" t="s">
        <v>7994</v>
      </c>
      <c r="B7960" s="2">
        <v>44846.0</v>
      </c>
      <c r="C7960" s="1" t="s">
        <v>26</v>
      </c>
      <c r="D7960" s="1" t="s">
        <v>27</v>
      </c>
      <c r="E7960" s="1" t="s">
        <v>28</v>
      </c>
      <c r="F7960" s="1">
        <v>299.42</v>
      </c>
      <c r="G7960" s="1">
        <v>-3.28</v>
      </c>
      <c r="H7960" s="1">
        <v>1.0</v>
      </c>
      <c r="I7960" s="1" t="s">
        <v>34</v>
      </c>
      <c r="J7960" s="1" t="s">
        <v>18</v>
      </c>
      <c r="K7960" s="1">
        <f t="shared" si="1"/>
        <v>2022</v>
      </c>
      <c r="L7960" s="1" t="str">
        <f t="shared" si="2"/>
        <v>Oct</v>
      </c>
      <c r="M7960" s="1" t="str">
        <f t="shared" si="3"/>
        <v>Loss</v>
      </c>
    </row>
    <row r="7961" ht="14.25" customHeight="1">
      <c r="A7961" s="1" t="s">
        <v>7995</v>
      </c>
      <c r="B7961" s="2">
        <v>44421.0</v>
      </c>
      <c r="C7961" s="1" t="s">
        <v>20</v>
      </c>
      <c r="D7961" s="1" t="s">
        <v>21</v>
      </c>
      <c r="E7961" s="1" t="s">
        <v>22</v>
      </c>
      <c r="F7961" s="1">
        <v>911.42</v>
      </c>
      <c r="G7961" s="1">
        <v>134.19</v>
      </c>
      <c r="H7961" s="1">
        <v>6.0</v>
      </c>
      <c r="I7961" s="1" t="s">
        <v>17</v>
      </c>
      <c r="J7961" s="1" t="s">
        <v>24</v>
      </c>
      <c r="K7961" s="1">
        <f t="shared" si="1"/>
        <v>2021</v>
      </c>
      <c r="L7961" s="1" t="str">
        <f t="shared" si="2"/>
        <v>Aug</v>
      </c>
      <c r="M7961" s="1" t="str">
        <f t="shared" si="3"/>
        <v>Profit</v>
      </c>
    </row>
    <row r="7962" ht="14.25" customHeight="1">
      <c r="A7962" s="1" t="s">
        <v>7996</v>
      </c>
      <c r="B7962" s="2">
        <v>44896.0</v>
      </c>
      <c r="C7962" s="1" t="s">
        <v>30</v>
      </c>
      <c r="D7962" s="1" t="s">
        <v>27</v>
      </c>
      <c r="E7962" s="1" t="s">
        <v>40</v>
      </c>
      <c r="F7962" s="1">
        <v>587.15</v>
      </c>
      <c r="G7962" s="1">
        <v>157.57</v>
      </c>
      <c r="H7962" s="1">
        <v>4.0</v>
      </c>
      <c r="I7962" s="1" t="s">
        <v>34</v>
      </c>
      <c r="J7962" s="1" t="s">
        <v>24</v>
      </c>
      <c r="K7962" s="1">
        <f t="shared" si="1"/>
        <v>2022</v>
      </c>
      <c r="L7962" s="1" t="str">
        <f t="shared" si="2"/>
        <v>Dec</v>
      </c>
      <c r="M7962" s="1" t="str">
        <f t="shared" si="3"/>
        <v>Profit</v>
      </c>
    </row>
    <row r="7963" ht="14.25" customHeight="1">
      <c r="A7963" s="1" t="s">
        <v>7997</v>
      </c>
      <c r="B7963" s="2">
        <v>44627.0</v>
      </c>
      <c r="C7963" s="1" t="s">
        <v>14</v>
      </c>
      <c r="D7963" s="1" t="s">
        <v>21</v>
      </c>
      <c r="E7963" s="1" t="s">
        <v>22</v>
      </c>
      <c r="F7963" s="1">
        <v>159.11</v>
      </c>
      <c r="G7963" s="1">
        <v>176.47</v>
      </c>
      <c r="H7963" s="1">
        <v>9.0</v>
      </c>
      <c r="I7963" s="1" t="s">
        <v>34</v>
      </c>
      <c r="J7963" s="1" t="s">
        <v>24</v>
      </c>
      <c r="K7963" s="1">
        <f t="shared" si="1"/>
        <v>2022</v>
      </c>
      <c r="L7963" s="1" t="str">
        <f t="shared" si="2"/>
        <v>Mar</v>
      </c>
      <c r="M7963" s="1" t="str">
        <f t="shared" si="3"/>
        <v>Profit</v>
      </c>
    </row>
    <row r="7964" ht="14.25" customHeight="1">
      <c r="A7964" s="1" t="s">
        <v>7998</v>
      </c>
      <c r="B7964" s="2">
        <v>44401.0</v>
      </c>
      <c r="C7964" s="1" t="s">
        <v>20</v>
      </c>
      <c r="D7964" s="1" t="s">
        <v>27</v>
      </c>
      <c r="E7964" s="1" t="s">
        <v>28</v>
      </c>
      <c r="F7964" s="1">
        <v>356.36</v>
      </c>
      <c r="G7964" s="1">
        <v>-196.96</v>
      </c>
      <c r="H7964" s="1">
        <v>7.0</v>
      </c>
      <c r="I7964" s="1" t="s">
        <v>34</v>
      </c>
      <c r="J7964" s="1" t="s">
        <v>38</v>
      </c>
      <c r="K7964" s="1">
        <f t="shared" si="1"/>
        <v>2021</v>
      </c>
      <c r="L7964" s="1" t="str">
        <f t="shared" si="2"/>
        <v>Jul</v>
      </c>
      <c r="M7964" s="1" t="str">
        <f t="shared" si="3"/>
        <v>Loss</v>
      </c>
    </row>
    <row r="7965" ht="14.25" customHeight="1">
      <c r="A7965" s="1" t="s">
        <v>7999</v>
      </c>
      <c r="B7965" s="2">
        <v>45121.0</v>
      </c>
      <c r="C7965" s="1" t="s">
        <v>14</v>
      </c>
      <c r="D7965" s="1" t="s">
        <v>15</v>
      </c>
      <c r="E7965" s="1" t="s">
        <v>54</v>
      </c>
      <c r="F7965" s="1">
        <v>475.26</v>
      </c>
      <c r="G7965" s="1">
        <v>236.43</v>
      </c>
      <c r="H7965" s="1">
        <v>10.0</v>
      </c>
      <c r="I7965" s="1" t="s">
        <v>34</v>
      </c>
      <c r="J7965" s="1" t="s">
        <v>18</v>
      </c>
      <c r="K7965" s="1">
        <f t="shared" si="1"/>
        <v>2023</v>
      </c>
      <c r="L7965" s="1" t="str">
        <f t="shared" si="2"/>
        <v>Jul</v>
      </c>
      <c r="M7965" s="1" t="str">
        <f t="shared" si="3"/>
        <v>Profit</v>
      </c>
    </row>
    <row r="7966" ht="14.25" customHeight="1">
      <c r="A7966" s="1" t="s">
        <v>8000</v>
      </c>
      <c r="B7966" s="2">
        <v>44300.0</v>
      </c>
      <c r="C7966" s="1" t="s">
        <v>14</v>
      </c>
      <c r="D7966" s="1" t="s">
        <v>27</v>
      </c>
      <c r="E7966" s="1" t="s">
        <v>28</v>
      </c>
      <c r="F7966" s="1">
        <v>611.77</v>
      </c>
      <c r="G7966" s="1">
        <v>-137.11</v>
      </c>
      <c r="H7966" s="1">
        <v>7.0</v>
      </c>
      <c r="I7966" s="1" t="s">
        <v>23</v>
      </c>
      <c r="J7966" s="1" t="s">
        <v>38</v>
      </c>
      <c r="K7966" s="1">
        <f t="shared" si="1"/>
        <v>2021</v>
      </c>
      <c r="L7966" s="1" t="str">
        <f t="shared" si="2"/>
        <v>Apr</v>
      </c>
      <c r="M7966" s="1" t="str">
        <f t="shared" si="3"/>
        <v>Loss</v>
      </c>
    </row>
    <row r="7967" ht="14.25" customHeight="1">
      <c r="A7967" s="1" t="s">
        <v>8001</v>
      </c>
      <c r="B7967" s="2">
        <v>44715.0</v>
      </c>
      <c r="C7967" s="1" t="s">
        <v>14</v>
      </c>
      <c r="D7967" s="1" t="s">
        <v>15</v>
      </c>
      <c r="E7967" s="1" t="s">
        <v>16</v>
      </c>
      <c r="F7967" s="1">
        <v>123.47</v>
      </c>
      <c r="G7967" s="1">
        <v>-177.42</v>
      </c>
      <c r="H7967" s="1">
        <v>1.0</v>
      </c>
      <c r="I7967" s="1" t="s">
        <v>34</v>
      </c>
      <c r="J7967" s="1" t="s">
        <v>18</v>
      </c>
      <c r="K7967" s="1">
        <f t="shared" si="1"/>
        <v>2022</v>
      </c>
      <c r="L7967" s="1" t="str">
        <f t="shared" si="2"/>
        <v>Jun</v>
      </c>
      <c r="M7967" s="1" t="str">
        <f t="shared" si="3"/>
        <v>Loss</v>
      </c>
    </row>
    <row r="7968" ht="14.25" customHeight="1">
      <c r="A7968" s="1" t="s">
        <v>8002</v>
      </c>
      <c r="B7968" s="2">
        <v>44353.0</v>
      </c>
      <c r="C7968" s="1" t="s">
        <v>26</v>
      </c>
      <c r="D7968" s="1" t="s">
        <v>21</v>
      </c>
      <c r="E7968" s="1" t="s">
        <v>76</v>
      </c>
      <c r="F7968" s="1">
        <v>349.24</v>
      </c>
      <c r="G7968" s="1">
        <v>-99.39</v>
      </c>
      <c r="H7968" s="1">
        <v>4.0</v>
      </c>
      <c r="I7968" s="1" t="s">
        <v>34</v>
      </c>
      <c r="J7968" s="1" t="s">
        <v>38</v>
      </c>
      <c r="K7968" s="1">
        <f t="shared" si="1"/>
        <v>2021</v>
      </c>
      <c r="L7968" s="1" t="str">
        <f t="shared" si="2"/>
        <v>Jun</v>
      </c>
      <c r="M7968" s="1" t="str">
        <f t="shared" si="3"/>
        <v>Loss</v>
      </c>
    </row>
    <row r="7969" ht="14.25" customHeight="1">
      <c r="A7969" s="1" t="s">
        <v>8003</v>
      </c>
      <c r="B7969" s="2">
        <v>45220.0</v>
      </c>
      <c r="C7969" s="1" t="s">
        <v>26</v>
      </c>
      <c r="D7969" s="1" t="s">
        <v>27</v>
      </c>
      <c r="E7969" s="1" t="s">
        <v>28</v>
      </c>
      <c r="F7969" s="1">
        <v>170.75</v>
      </c>
      <c r="G7969" s="1">
        <v>257.54</v>
      </c>
      <c r="H7969" s="1">
        <v>5.0</v>
      </c>
      <c r="I7969" s="1" t="s">
        <v>23</v>
      </c>
      <c r="J7969" s="1" t="s">
        <v>35</v>
      </c>
      <c r="K7969" s="1">
        <f t="shared" si="1"/>
        <v>2023</v>
      </c>
      <c r="L7969" s="1" t="str">
        <f t="shared" si="2"/>
        <v>Oct</v>
      </c>
      <c r="M7969" s="1" t="str">
        <f t="shared" si="3"/>
        <v>Profit</v>
      </c>
    </row>
    <row r="7970" ht="14.25" customHeight="1">
      <c r="A7970" s="1" t="s">
        <v>8004</v>
      </c>
      <c r="B7970" s="2">
        <v>45149.0</v>
      </c>
      <c r="C7970" s="1" t="s">
        <v>30</v>
      </c>
      <c r="D7970" s="1" t="s">
        <v>15</v>
      </c>
      <c r="E7970" s="1" t="s">
        <v>31</v>
      </c>
      <c r="F7970" s="1">
        <v>972.01</v>
      </c>
      <c r="G7970" s="1">
        <v>-72.6</v>
      </c>
      <c r="H7970" s="1">
        <v>5.0</v>
      </c>
      <c r="I7970" s="1" t="s">
        <v>23</v>
      </c>
      <c r="J7970" s="1" t="s">
        <v>18</v>
      </c>
      <c r="K7970" s="1">
        <f t="shared" si="1"/>
        <v>2023</v>
      </c>
      <c r="L7970" s="1" t="str">
        <f t="shared" si="2"/>
        <v>Aug</v>
      </c>
      <c r="M7970" s="1" t="str">
        <f t="shared" si="3"/>
        <v>Loss</v>
      </c>
    </row>
    <row r="7971" ht="14.25" customHeight="1">
      <c r="A7971" s="1" t="s">
        <v>8005</v>
      </c>
      <c r="B7971" s="2">
        <v>45182.0</v>
      </c>
      <c r="C7971" s="1" t="s">
        <v>20</v>
      </c>
      <c r="D7971" s="1" t="s">
        <v>21</v>
      </c>
      <c r="E7971" s="1" t="s">
        <v>37</v>
      </c>
      <c r="F7971" s="1">
        <v>636.49</v>
      </c>
      <c r="G7971" s="1">
        <v>-196.52</v>
      </c>
      <c r="H7971" s="1">
        <v>2.0</v>
      </c>
      <c r="I7971" s="1" t="s">
        <v>23</v>
      </c>
      <c r="J7971" s="1" t="s">
        <v>38</v>
      </c>
      <c r="K7971" s="1">
        <f t="shared" si="1"/>
        <v>2023</v>
      </c>
      <c r="L7971" s="1" t="str">
        <f t="shared" si="2"/>
        <v>Sep</v>
      </c>
      <c r="M7971" s="1" t="str">
        <f t="shared" si="3"/>
        <v>Loss</v>
      </c>
    </row>
    <row r="7972" ht="14.25" customHeight="1">
      <c r="A7972" s="1" t="s">
        <v>8006</v>
      </c>
      <c r="B7972" s="2">
        <v>44367.0</v>
      </c>
      <c r="C7972" s="1" t="s">
        <v>30</v>
      </c>
      <c r="D7972" s="1" t="s">
        <v>15</v>
      </c>
      <c r="E7972" s="1" t="s">
        <v>16</v>
      </c>
      <c r="F7972" s="1">
        <v>495.75</v>
      </c>
      <c r="G7972" s="1">
        <v>121.6</v>
      </c>
      <c r="H7972" s="1">
        <v>4.0</v>
      </c>
      <c r="I7972" s="1" t="s">
        <v>17</v>
      </c>
      <c r="J7972" s="1" t="s">
        <v>38</v>
      </c>
      <c r="K7972" s="1">
        <f t="shared" si="1"/>
        <v>2021</v>
      </c>
      <c r="L7972" s="1" t="str">
        <f t="shared" si="2"/>
        <v>Jun</v>
      </c>
      <c r="M7972" s="1" t="str">
        <f t="shared" si="3"/>
        <v>Profit</v>
      </c>
    </row>
    <row r="7973" ht="14.25" customHeight="1">
      <c r="A7973" s="1" t="s">
        <v>8007</v>
      </c>
      <c r="B7973" s="2">
        <v>44213.0</v>
      </c>
      <c r="C7973" s="1" t="s">
        <v>14</v>
      </c>
      <c r="D7973" s="1" t="s">
        <v>21</v>
      </c>
      <c r="E7973" s="1" t="s">
        <v>37</v>
      </c>
      <c r="F7973" s="1">
        <v>479.06</v>
      </c>
      <c r="G7973" s="1">
        <v>295.82</v>
      </c>
      <c r="H7973" s="1">
        <v>2.0</v>
      </c>
      <c r="I7973" s="1" t="s">
        <v>34</v>
      </c>
      <c r="J7973" s="1" t="s">
        <v>18</v>
      </c>
      <c r="K7973" s="1">
        <f t="shared" si="1"/>
        <v>2021</v>
      </c>
      <c r="L7973" s="1" t="str">
        <f t="shared" si="2"/>
        <v>Jan</v>
      </c>
      <c r="M7973" s="1" t="str">
        <f t="shared" si="3"/>
        <v>Profit</v>
      </c>
    </row>
    <row r="7974" ht="14.25" customHeight="1">
      <c r="A7974" s="1" t="s">
        <v>8008</v>
      </c>
      <c r="B7974" s="2">
        <v>44261.0</v>
      </c>
      <c r="C7974" s="1" t="s">
        <v>14</v>
      </c>
      <c r="D7974" s="1" t="s">
        <v>27</v>
      </c>
      <c r="E7974" s="1" t="s">
        <v>33</v>
      </c>
      <c r="F7974" s="1">
        <v>88.61</v>
      </c>
      <c r="G7974" s="1">
        <v>-15.54</v>
      </c>
      <c r="H7974" s="1">
        <v>3.0</v>
      </c>
      <c r="I7974" s="1" t="s">
        <v>34</v>
      </c>
      <c r="J7974" s="1" t="s">
        <v>38</v>
      </c>
      <c r="K7974" s="1">
        <f t="shared" si="1"/>
        <v>2021</v>
      </c>
      <c r="L7974" s="1" t="str">
        <f t="shared" si="2"/>
        <v>Mar</v>
      </c>
      <c r="M7974" s="1" t="str">
        <f t="shared" si="3"/>
        <v>Loss</v>
      </c>
    </row>
    <row r="7975" ht="14.25" customHeight="1">
      <c r="A7975" s="1" t="s">
        <v>8009</v>
      </c>
      <c r="B7975" s="2">
        <v>44488.0</v>
      </c>
      <c r="C7975" s="1" t="s">
        <v>30</v>
      </c>
      <c r="D7975" s="1" t="s">
        <v>27</v>
      </c>
      <c r="E7975" s="1" t="s">
        <v>33</v>
      </c>
      <c r="F7975" s="1">
        <v>990.33</v>
      </c>
      <c r="G7975" s="1">
        <v>61.61</v>
      </c>
      <c r="H7975" s="1">
        <v>8.0</v>
      </c>
      <c r="I7975" s="1" t="s">
        <v>23</v>
      </c>
      <c r="J7975" s="1" t="s">
        <v>18</v>
      </c>
      <c r="K7975" s="1">
        <f t="shared" si="1"/>
        <v>2021</v>
      </c>
      <c r="L7975" s="1" t="str">
        <f t="shared" si="2"/>
        <v>Oct</v>
      </c>
      <c r="M7975" s="1" t="str">
        <f t="shared" si="3"/>
        <v>Profit</v>
      </c>
    </row>
    <row r="7976" ht="14.25" customHeight="1">
      <c r="A7976" s="1" t="s">
        <v>8010</v>
      </c>
      <c r="B7976" s="2">
        <v>45058.0</v>
      </c>
      <c r="C7976" s="1" t="s">
        <v>26</v>
      </c>
      <c r="D7976" s="1" t="s">
        <v>15</v>
      </c>
      <c r="E7976" s="1" t="s">
        <v>16</v>
      </c>
      <c r="F7976" s="1">
        <v>937.34</v>
      </c>
      <c r="G7976" s="1">
        <v>221.71</v>
      </c>
      <c r="H7976" s="1">
        <v>5.0</v>
      </c>
      <c r="I7976" s="1" t="s">
        <v>34</v>
      </c>
      <c r="J7976" s="1" t="s">
        <v>38</v>
      </c>
      <c r="K7976" s="1">
        <f t="shared" si="1"/>
        <v>2023</v>
      </c>
      <c r="L7976" s="1" t="str">
        <f t="shared" si="2"/>
        <v>May</v>
      </c>
      <c r="M7976" s="1" t="str">
        <f t="shared" si="3"/>
        <v>Profit</v>
      </c>
    </row>
    <row r="7977" ht="14.25" customHeight="1">
      <c r="A7977" s="1" t="s">
        <v>8011</v>
      </c>
      <c r="B7977" s="2">
        <v>44392.0</v>
      </c>
      <c r="C7977" s="1" t="s">
        <v>20</v>
      </c>
      <c r="D7977" s="1" t="s">
        <v>15</v>
      </c>
      <c r="E7977" s="1" t="s">
        <v>16</v>
      </c>
      <c r="F7977" s="1">
        <v>840.98</v>
      </c>
      <c r="G7977" s="1">
        <v>-100.02</v>
      </c>
      <c r="H7977" s="1">
        <v>4.0</v>
      </c>
      <c r="I7977" s="1" t="s">
        <v>34</v>
      </c>
      <c r="J7977" s="1" t="s">
        <v>24</v>
      </c>
      <c r="K7977" s="1">
        <f t="shared" si="1"/>
        <v>2021</v>
      </c>
      <c r="L7977" s="1" t="str">
        <f t="shared" si="2"/>
        <v>Jul</v>
      </c>
      <c r="M7977" s="1" t="str">
        <f t="shared" si="3"/>
        <v>Loss</v>
      </c>
    </row>
    <row r="7978" ht="14.25" customHeight="1">
      <c r="A7978" s="1" t="s">
        <v>8012</v>
      </c>
      <c r="B7978" s="2">
        <v>45073.0</v>
      </c>
      <c r="C7978" s="1" t="s">
        <v>26</v>
      </c>
      <c r="D7978" s="1" t="s">
        <v>21</v>
      </c>
      <c r="E7978" s="1" t="s">
        <v>37</v>
      </c>
      <c r="F7978" s="1">
        <v>439.99</v>
      </c>
      <c r="G7978" s="1">
        <v>171.52</v>
      </c>
      <c r="H7978" s="1">
        <v>1.0</v>
      </c>
      <c r="I7978" s="1" t="s">
        <v>34</v>
      </c>
      <c r="J7978" s="1" t="s">
        <v>38</v>
      </c>
      <c r="K7978" s="1">
        <f t="shared" si="1"/>
        <v>2023</v>
      </c>
      <c r="L7978" s="1" t="str">
        <f t="shared" si="2"/>
        <v>May</v>
      </c>
      <c r="M7978" s="1" t="str">
        <f t="shared" si="3"/>
        <v>Profit</v>
      </c>
    </row>
    <row r="7979" ht="14.25" customHeight="1">
      <c r="A7979" s="1" t="s">
        <v>8013</v>
      </c>
      <c r="B7979" s="2">
        <v>44664.0</v>
      </c>
      <c r="C7979" s="1" t="s">
        <v>30</v>
      </c>
      <c r="D7979" s="1" t="s">
        <v>21</v>
      </c>
      <c r="E7979" s="1" t="s">
        <v>22</v>
      </c>
      <c r="F7979" s="1">
        <v>248.0</v>
      </c>
      <c r="G7979" s="1">
        <v>63.11</v>
      </c>
      <c r="H7979" s="1">
        <v>10.0</v>
      </c>
      <c r="I7979" s="1" t="s">
        <v>23</v>
      </c>
      <c r="J7979" s="1" t="s">
        <v>35</v>
      </c>
      <c r="K7979" s="1">
        <f t="shared" si="1"/>
        <v>2022</v>
      </c>
      <c r="L7979" s="1" t="str">
        <f t="shared" si="2"/>
        <v>Apr</v>
      </c>
      <c r="M7979" s="1" t="str">
        <f t="shared" si="3"/>
        <v>Profit</v>
      </c>
    </row>
    <row r="7980" ht="14.25" customHeight="1">
      <c r="A7980" s="1" t="s">
        <v>8014</v>
      </c>
      <c r="B7980" s="2">
        <v>44304.0</v>
      </c>
      <c r="C7980" s="1" t="s">
        <v>20</v>
      </c>
      <c r="D7980" s="1" t="s">
        <v>15</v>
      </c>
      <c r="E7980" s="1" t="s">
        <v>54</v>
      </c>
      <c r="F7980" s="1">
        <v>150.7</v>
      </c>
      <c r="G7980" s="1">
        <v>-153.36</v>
      </c>
      <c r="H7980" s="1">
        <v>9.0</v>
      </c>
      <c r="I7980" s="1" t="s">
        <v>23</v>
      </c>
      <c r="J7980" s="1" t="s">
        <v>24</v>
      </c>
      <c r="K7980" s="1">
        <f t="shared" si="1"/>
        <v>2021</v>
      </c>
      <c r="L7980" s="1" t="str">
        <f t="shared" si="2"/>
        <v>Apr</v>
      </c>
      <c r="M7980" s="1" t="str">
        <f t="shared" si="3"/>
        <v>Loss</v>
      </c>
    </row>
    <row r="7981" ht="14.25" customHeight="1">
      <c r="A7981" s="1" t="s">
        <v>8015</v>
      </c>
      <c r="B7981" s="2">
        <v>45186.0</v>
      </c>
      <c r="C7981" s="1" t="s">
        <v>20</v>
      </c>
      <c r="D7981" s="1" t="s">
        <v>21</v>
      </c>
      <c r="E7981" s="1" t="s">
        <v>37</v>
      </c>
      <c r="F7981" s="1">
        <v>122.18</v>
      </c>
      <c r="G7981" s="1">
        <v>278.16</v>
      </c>
      <c r="H7981" s="1">
        <v>2.0</v>
      </c>
      <c r="I7981" s="1" t="s">
        <v>17</v>
      </c>
      <c r="J7981" s="1" t="s">
        <v>35</v>
      </c>
      <c r="K7981" s="1">
        <f t="shared" si="1"/>
        <v>2023</v>
      </c>
      <c r="L7981" s="1" t="str">
        <f t="shared" si="2"/>
        <v>Sep</v>
      </c>
      <c r="M7981" s="1" t="str">
        <f t="shared" si="3"/>
        <v>Profit</v>
      </c>
    </row>
    <row r="7982" ht="14.25" customHeight="1">
      <c r="A7982" s="1" t="s">
        <v>8016</v>
      </c>
      <c r="B7982" s="2">
        <v>44609.0</v>
      </c>
      <c r="C7982" s="1" t="s">
        <v>26</v>
      </c>
      <c r="D7982" s="1" t="s">
        <v>21</v>
      </c>
      <c r="E7982" s="1" t="s">
        <v>22</v>
      </c>
      <c r="F7982" s="1">
        <v>615.11</v>
      </c>
      <c r="G7982" s="1">
        <v>-180.93</v>
      </c>
      <c r="H7982" s="1">
        <v>6.0</v>
      </c>
      <c r="I7982" s="1" t="s">
        <v>23</v>
      </c>
      <c r="J7982" s="1" t="s">
        <v>24</v>
      </c>
      <c r="K7982" s="1">
        <f t="shared" si="1"/>
        <v>2022</v>
      </c>
      <c r="L7982" s="1" t="str">
        <f t="shared" si="2"/>
        <v>Feb</v>
      </c>
      <c r="M7982" s="1" t="str">
        <f t="shared" si="3"/>
        <v>Loss</v>
      </c>
    </row>
    <row r="7983" ht="14.25" customHeight="1">
      <c r="A7983" s="1" t="s">
        <v>8017</v>
      </c>
      <c r="B7983" s="2">
        <v>44407.0</v>
      </c>
      <c r="C7983" s="1" t="s">
        <v>26</v>
      </c>
      <c r="D7983" s="1" t="s">
        <v>21</v>
      </c>
      <c r="E7983" s="1" t="s">
        <v>76</v>
      </c>
      <c r="F7983" s="1">
        <v>349.13</v>
      </c>
      <c r="G7983" s="1">
        <v>-10.08</v>
      </c>
      <c r="H7983" s="1">
        <v>9.0</v>
      </c>
      <c r="I7983" s="1" t="s">
        <v>23</v>
      </c>
      <c r="J7983" s="1" t="s">
        <v>24</v>
      </c>
      <c r="K7983" s="1">
        <f t="shared" si="1"/>
        <v>2021</v>
      </c>
      <c r="L7983" s="1" t="str">
        <f t="shared" si="2"/>
        <v>Jul</v>
      </c>
      <c r="M7983" s="1" t="str">
        <f t="shared" si="3"/>
        <v>Loss</v>
      </c>
    </row>
    <row r="7984" ht="14.25" customHeight="1">
      <c r="A7984" s="1" t="s">
        <v>8018</v>
      </c>
      <c r="B7984" s="2">
        <v>44464.0</v>
      </c>
      <c r="C7984" s="1" t="s">
        <v>14</v>
      </c>
      <c r="D7984" s="1" t="s">
        <v>15</v>
      </c>
      <c r="E7984" s="1" t="s">
        <v>54</v>
      </c>
      <c r="F7984" s="1">
        <v>225.96</v>
      </c>
      <c r="G7984" s="1">
        <v>-182.31</v>
      </c>
      <c r="H7984" s="1">
        <v>2.0</v>
      </c>
      <c r="I7984" s="1" t="s">
        <v>23</v>
      </c>
      <c r="J7984" s="1" t="s">
        <v>35</v>
      </c>
      <c r="K7984" s="1">
        <f t="shared" si="1"/>
        <v>2021</v>
      </c>
      <c r="L7984" s="1" t="str">
        <f t="shared" si="2"/>
        <v>Sep</v>
      </c>
      <c r="M7984" s="1" t="str">
        <f t="shared" si="3"/>
        <v>Loss</v>
      </c>
    </row>
    <row r="7985" ht="14.25" customHeight="1">
      <c r="A7985" s="1" t="s">
        <v>8019</v>
      </c>
      <c r="B7985" s="2">
        <v>45140.0</v>
      </c>
      <c r="C7985" s="1" t="s">
        <v>26</v>
      </c>
      <c r="D7985" s="1" t="s">
        <v>27</v>
      </c>
      <c r="E7985" s="1" t="s">
        <v>40</v>
      </c>
      <c r="F7985" s="1">
        <v>52.83</v>
      </c>
      <c r="G7985" s="1">
        <v>160.41</v>
      </c>
      <c r="H7985" s="1">
        <v>8.0</v>
      </c>
      <c r="I7985" s="1" t="s">
        <v>34</v>
      </c>
      <c r="J7985" s="1" t="s">
        <v>18</v>
      </c>
      <c r="K7985" s="1">
        <f t="shared" si="1"/>
        <v>2023</v>
      </c>
      <c r="L7985" s="1" t="str">
        <f t="shared" si="2"/>
        <v>Aug</v>
      </c>
      <c r="M7985" s="1" t="str">
        <f t="shared" si="3"/>
        <v>Profit</v>
      </c>
    </row>
    <row r="7986" ht="14.25" customHeight="1">
      <c r="A7986" s="1" t="s">
        <v>8020</v>
      </c>
      <c r="B7986" s="2">
        <v>44295.0</v>
      </c>
      <c r="C7986" s="1" t="s">
        <v>14</v>
      </c>
      <c r="D7986" s="1" t="s">
        <v>15</v>
      </c>
      <c r="E7986" s="1" t="s">
        <v>16</v>
      </c>
      <c r="F7986" s="1">
        <v>275.83</v>
      </c>
      <c r="G7986" s="1">
        <v>-54.33</v>
      </c>
      <c r="H7986" s="1">
        <v>2.0</v>
      </c>
      <c r="I7986" s="1" t="s">
        <v>34</v>
      </c>
      <c r="J7986" s="1" t="s">
        <v>18</v>
      </c>
      <c r="K7986" s="1">
        <f t="shared" si="1"/>
        <v>2021</v>
      </c>
      <c r="L7986" s="1" t="str">
        <f t="shared" si="2"/>
        <v>Apr</v>
      </c>
      <c r="M7986" s="1" t="str">
        <f t="shared" si="3"/>
        <v>Loss</v>
      </c>
    </row>
    <row r="7987" ht="14.25" customHeight="1">
      <c r="A7987" s="1" t="s">
        <v>8021</v>
      </c>
      <c r="B7987" s="2">
        <v>44868.0</v>
      </c>
      <c r="C7987" s="1" t="s">
        <v>30</v>
      </c>
      <c r="D7987" s="1" t="s">
        <v>15</v>
      </c>
      <c r="E7987" s="1" t="s">
        <v>31</v>
      </c>
      <c r="F7987" s="1">
        <v>322.41</v>
      </c>
      <c r="G7987" s="1">
        <v>171.99</v>
      </c>
      <c r="H7987" s="1">
        <v>5.0</v>
      </c>
      <c r="I7987" s="1" t="s">
        <v>34</v>
      </c>
      <c r="J7987" s="1" t="s">
        <v>38</v>
      </c>
      <c r="K7987" s="1">
        <f t="shared" si="1"/>
        <v>2022</v>
      </c>
      <c r="L7987" s="1" t="str">
        <f t="shared" si="2"/>
        <v>Nov</v>
      </c>
      <c r="M7987" s="1" t="str">
        <f t="shared" si="3"/>
        <v>Profit</v>
      </c>
    </row>
    <row r="7988" ht="14.25" customHeight="1">
      <c r="A7988" s="1" t="s">
        <v>8022</v>
      </c>
      <c r="B7988" s="2">
        <v>44553.0</v>
      </c>
      <c r="C7988" s="1" t="s">
        <v>26</v>
      </c>
      <c r="D7988" s="1" t="s">
        <v>15</v>
      </c>
      <c r="E7988" s="1" t="s">
        <v>54</v>
      </c>
      <c r="F7988" s="1">
        <v>572.9</v>
      </c>
      <c r="G7988" s="1">
        <v>102.94</v>
      </c>
      <c r="H7988" s="1">
        <v>10.0</v>
      </c>
      <c r="I7988" s="1" t="s">
        <v>17</v>
      </c>
      <c r="J7988" s="1" t="s">
        <v>38</v>
      </c>
      <c r="K7988" s="1">
        <f t="shared" si="1"/>
        <v>2021</v>
      </c>
      <c r="L7988" s="1" t="str">
        <f t="shared" si="2"/>
        <v>Dec</v>
      </c>
      <c r="M7988" s="1" t="str">
        <f t="shared" si="3"/>
        <v>Profit</v>
      </c>
    </row>
    <row r="7989" ht="14.25" customHeight="1">
      <c r="A7989" s="1" t="s">
        <v>8023</v>
      </c>
      <c r="B7989" s="2">
        <v>44445.0</v>
      </c>
      <c r="C7989" s="1" t="s">
        <v>14</v>
      </c>
      <c r="D7989" s="1" t="s">
        <v>15</v>
      </c>
      <c r="E7989" s="1" t="s">
        <v>54</v>
      </c>
      <c r="F7989" s="1">
        <v>22.75</v>
      </c>
      <c r="G7989" s="1">
        <v>35.05</v>
      </c>
      <c r="H7989" s="1">
        <v>1.0</v>
      </c>
      <c r="I7989" s="1" t="s">
        <v>23</v>
      </c>
      <c r="J7989" s="1" t="s">
        <v>38</v>
      </c>
      <c r="K7989" s="1">
        <f t="shared" si="1"/>
        <v>2021</v>
      </c>
      <c r="L7989" s="1" t="str">
        <f t="shared" si="2"/>
        <v>Sep</v>
      </c>
      <c r="M7989" s="1" t="str">
        <f t="shared" si="3"/>
        <v>Profit</v>
      </c>
    </row>
    <row r="7990" ht="14.25" customHeight="1">
      <c r="A7990" s="1" t="s">
        <v>8024</v>
      </c>
      <c r="B7990" s="2">
        <v>45157.0</v>
      </c>
      <c r="C7990" s="1" t="s">
        <v>20</v>
      </c>
      <c r="D7990" s="1" t="s">
        <v>21</v>
      </c>
      <c r="E7990" s="1" t="s">
        <v>37</v>
      </c>
      <c r="F7990" s="1">
        <v>859.55</v>
      </c>
      <c r="G7990" s="1">
        <v>254.08</v>
      </c>
      <c r="H7990" s="1">
        <v>10.0</v>
      </c>
      <c r="I7990" s="1" t="s">
        <v>34</v>
      </c>
      <c r="J7990" s="1" t="s">
        <v>18</v>
      </c>
      <c r="K7990" s="1">
        <f t="shared" si="1"/>
        <v>2023</v>
      </c>
      <c r="L7990" s="1" t="str">
        <f t="shared" si="2"/>
        <v>Aug</v>
      </c>
      <c r="M7990" s="1" t="str">
        <f t="shared" si="3"/>
        <v>Profit</v>
      </c>
    </row>
    <row r="7991" ht="14.25" customHeight="1">
      <c r="A7991" s="1" t="s">
        <v>8025</v>
      </c>
      <c r="B7991" s="2">
        <v>45277.0</v>
      </c>
      <c r="C7991" s="1" t="s">
        <v>20</v>
      </c>
      <c r="D7991" s="1" t="s">
        <v>15</v>
      </c>
      <c r="E7991" s="1" t="s">
        <v>54</v>
      </c>
      <c r="F7991" s="1">
        <v>643.56</v>
      </c>
      <c r="G7991" s="1">
        <v>-100.65</v>
      </c>
      <c r="H7991" s="1">
        <v>6.0</v>
      </c>
      <c r="I7991" s="1" t="s">
        <v>34</v>
      </c>
      <c r="J7991" s="1" t="s">
        <v>35</v>
      </c>
      <c r="K7991" s="1">
        <f t="shared" si="1"/>
        <v>2023</v>
      </c>
      <c r="L7991" s="1" t="str">
        <f t="shared" si="2"/>
        <v>Dec</v>
      </c>
      <c r="M7991" s="1" t="str">
        <f t="shared" si="3"/>
        <v>Loss</v>
      </c>
    </row>
    <row r="7992" ht="14.25" customHeight="1">
      <c r="A7992" s="1" t="s">
        <v>8026</v>
      </c>
      <c r="B7992" s="2">
        <v>45094.0</v>
      </c>
      <c r="C7992" s="1" t="s">
        <v>14</v>
      </c>
      <c r="D7992" s="1" t="s">
        <v>21</v>
      </c>
      <c r="E7992" s="1" t="s">
        <v>37</v>
      </c>
      <c r="F7992" s="1">
        <v>917.54</v>
      </c>
      <c r="G7992" s="1">
        <v>84.43</v>
      </c>
      <c r="H7992" s="1">
        <v>6.0</v>
      </c>
      <c r="I7992" s="1" t="s">
        <v>23</v>
      </c>
      <c r="J7992" s="1" t="s">
        <v>35</v>
      </c>
      <c r="K7992" s="1">
        <f t="shared" si="1"/>
        <v>2023</v>
      </c>
      <c r="L7992" s="1" t="str">
        <f t="shared" si="2"/>
        <v>Jun</v>
      </c>
      <c r="M7992" s="1" t="str">
        <f t="shared" si="3"/>
        <v>Profit</v>
      </c>
    </row>
    <row r="7993" ht="14.25" customHeight="1">
      <c r="A7993" s="1" t="s">
        <v>8027</v>
      </c>
      <c r="B7993" s="2">
        <v>44363.0</v>
      </c>
      <c r="C7993" s="1" t="s">
        <v>20</v>
      </c>
      <c r="D7993" s="1" t="s">
        <v>27</v>
      </c>
      <c r="E7993" s="1" t="s">
        <v>28</v>
      </c>
      <c r="F7993" s="1">
        <v>862.49</v>
      </c>
      <c r="G7993" s="1">
        <v>76.72</v>
      </c>
      <c r="H7993" s="1">
        <v>4.0</v>
      </c>
      <c r="I7993" s="1" t="s">
        <v>23</v>
      </c>
      <c r="J7993" s="1" t="s">
        <v>24</v>
      </c>
      <c r="K7993" s="1">
        <f t="shared" si="1"/>
        <v>2021</v>
      </c>
      <c r="L7993" s="1" t="str">
        <f t="shared" si="2"/>
        <v>Jun</v>
      </c>
      <c r="M7993" s="1" t="str">
        <f t="shared" si="3"/>
        <v>Profit</v>
      </c>
    </row>
    <row r="7994" ht="14.25" customHeight="1">
      <c r="A7994" s="1" t="s">
        <v>8028</v>
      </c>
      <c r="B7994" s="2">
        <v>44242.0</v>
      </c>
      <c r="C7994" s="1" t="s">
        <v>26</v>
      </c>
      <c r="D7994" s="1" t="s">
        <v>15</v>
      </c>
      <c r="E7994" s="1" t="s">
        <v>31</v>
      </c>
      <c r="F7994" s="1">
        <v>209.29</v>
      </c>
      <c r="G7994" s="1">
        <v>93.3</v>
      </c>
      <c r="H7994" s="1">
        <v>10.0</v>
      </c>
      <c r="I7994" s="1" t="s">
        <v>17</v>
      </c>
      <c r="J7994" s="1" t="s">
        <v>38</v>
      </c>
      <c r="K7994" s="1">
        <f t="shared" si="1"/>
        <v>2021</v>
      </c>
      <c r="L7994" s="1" t="str">
        <f t="shared" si="2"/>
        <v>Feb</v>
      </c>
      <c r="M7994" s="1" t="str">
        <f t="shared" si="3"/>
        <v>Profit</v>
      </c>
    </row>
    <row r="7995" ht="14.25" customHeight="1">
      <c r="A7995" s="1" t="s">
        <v>8029</v>
      </c>
      <c r="B7995" s="2">
        <v>44726.0</v>
      </c>
      <c r="C7995" s="1" t="s">
        <v>20</v>
      </c>
      <c r="D7995" s="1" t="s">
        <v>27</v>
      </c>
      <c r="E7995" s="1" t="s">
        <v>28</v>
      </c>
      <c r="F7995" s="1">
        <v>561.68</v>
      </c>
      <c r="G7995" s="1">
        <v>-95.89</v>
      </c>
      <c r="H7995" s="1">
        <v>6.0</v>
      </c>
      <c r="I7995" s="1" t="s">
        <v>17</v>
      </c>
      <c r="J7995" s="1" t="s">
        <v>24</v>
      </c>
      <c r="K7995" s="1">
        <f t="shared" si="1"/>
        <v>2022</v>
      </c>
      <c r="L7995" s="1" t="str">
        <f t="shared" si="2"/>
        <v>Jun</v>
      </c>
      <c r="M7995" s="1" t="str">
        <f t="shared" si="3"/>
        <v>Loss</v>
      </c>
    </row>
    <row r="7996" ht="14.25" customHeight="1">
      <c r="A7996" s="1" t="s">
        <v>8030</v>
      </c>
      <c r="B7996" s="2">
        <v>44417.0</v>
      </c>
      <c r="C7996" s="1" t="s">
        <v>20</v>
      </c>
      <c r="D7996" s="1" t="s">
        <v>15</v>
      </c>
      <c r="E7996" s="1" t="s">
        <v>54</v>
      </c>
      <c r="F7996" s="1">
        <v>363.46</v>
      </c>
      <c r="G7996" s="1">
        <v>213.61</v>
      </c>
      <c r="H7996" s="1">
        <v>2.0</v>
      </c>
      <c r="I7996" s="1" t="s">
        <v>34</v>
      </c>
      <c r="J7996" s="1" t="s">
        <v>18</v>
      </c>
      <c r="K7996" s="1">
        <f t="shared" si="1"/>
        <v>2021</v>
      </c>
      <c r="L7996" s="1" t="str">
        <f t="shared" si="2"/>
        <v>Aug</v>
      </c>
      <c r="M7996" s="1" t="str">
        <f t="shared" si="3"/>
        <v>Profit</v>
      </c>
    </row>
    <row r="7997" ht="14.25" customHeight="1">
      <c r="A7997" s="1" t="s">
        <v>8031</v>
      </c>
      <c r="B7997" s="2">
        <v>44682.0</v>
      </c>
      <c r="C7997" s="1" t="s">
        <v>30</v>
      </c>
      <c r="D7997" s="1" t="s">
        <v>15</v>
      </c>
      <c r="E7997" s="1" t="s">
        <v>54</v>
      </c>
      <c r="F7997" s="1">
        <v>908.79</v>
      </c>
      <c r="G7997" s="1">
        <v>-58.11</v>
      </c>
      <c r="H7997" s="1">
        <v>5.0</v>
      </c>
      <c r="I7997" s="1" t="s">
        <v>17</v>
      </c>
      <c r="J7997" s="1" t="s">
        <v>35</v>
      </c>
      <c r="K7997" s="1">
        <f t="shared" si="1"/>
        <v>2022</v>
      </c>
      <c r="L7997" s="1" t="str">
        <f t="shared" si="2"/>
        <v>May</v>
      </c>
      <c r="M7997" s="1" t="str">
        <f t="shared" si="3"/>
        <v>Loss</v>
      </c>
    </row>
    <row r="7998" ht="14.25" customHeight="1">
      <c r="A7998" s="1" t="s">
        <v>8032</v>
      </c>
      <c r="B7998" s="2">
        <v>44767.0</v>
      </c>
      <c r="C7998" s="1" t="s">
        <v>14</v>
      </c>
      <c r="D7998" s="1" t="s">
        <v>27</v>
      </c>
      <c r="E7998" s="1" t="s">
        <v>33</v>
      </c>
      <c r="F7998" s="1">
        <v>497.51</v>
      </c>
      <c r="G7998" s="1">
        <v>-161.46</v>
      </c>
      <c r="H7998" s="1">
        <v>2.0</v>
      </c>
      <c r="I7998" s="1" t="s">
        <v>17</v>
      </c>
      <c r="J7998" s="1" t="s">
        <v>18</v>
      </c>
      <c r="K7998" s="1">
        <f t="shared" si="1"/>
        <v>2022</v>
      </c>
      <c r="L7998" s="1" t="str">
        <f t="shared" si="2"/>
        <v>Jul</v>
      </c>
      <c r="M7998" s="1" t="str">
        <f t="shared" si="3"/>
        <v>Loss</v>
      </c>
    </row>
    <row r="7999" ht="14.25" customHeight="1">
      <c r="A7999" s="1" t="s">
        <v>8033</v>
      </c>
      <c r="B7999" s="2">
        <v>44761.0</v>
      </c>
      <c r="C7999" s="1" t="s">
        <v>20</v>
      </c>
      <c r="D7999" s="1" t="s">
        <v>27</v>
      </c>
      <c r="E7999" s="1" t="s">
        <v>40</v>
      </c>
      <c r="F7999" s="1">
        <v>220.09</v>
      </c>
      <c r="G7999" s="1">
        <v>41.65</v>
      </c>
      <c r="H7999" s="1">
        <v>9.0</v>
      </c>
      <c r="I7999" s="1" t="s">
        <v>34</v>
      </c>
      <c r="J7999" s="1" t="s">
        <v>18</v>
      </c>
      <c r="K7999" s="1">
        <f t="shared" si="1"/>
        <v>2022</v>
      </c>
      <c r="L7999" s="1" t="str">
        <f t="shared" si="2"/>
        <v>Jul</v>
      </c>
      <c r="M7999" s="1" t="str">
        <f t="shared" si="3"/>
        <v>Profit</v>
      </c>
    </row>
    <row r="8000" ht="14.25" customHeight="1">
      <c r="A8000" s="1" t="s">
        <v>8034</v>
      </c>
      <c r="B8000" s="2">
        <v>44986.0</v>
      </c>
      <c r="C8000" s="1" t="s">
        <v>14</v>
      </c>
      <c r="D8000" s="1" t="s">
        <v>27</v>
      </c>
      <c r="E8000" s="1" t="s">
        <v>28</v>
      </c>
      <c r="F8000" s="1">
        <v>665.02</v>
      </c>
      <c r="G8000" s="1">
        <v>-35.73</v>
      </c>
      <c r="H8000" s="1">
        <v>5.0</v>
      </c>
      <c r="I8000" s="1" t="s">
        <v>34</v>
      </c>
      <c r="J8000" s="1" t="s">
        <v>35</v>
      </c>
      <c r="K8000" s="1">
        <f t="shared" si="1"/>
        <v>2023</v>
      </c>
      <c r="L8000" s="1" t="str">
        <f t="shared" si="2"/>
        <v>Mar</v>
      </c>
      <c r="M8000" s="1" t="str">
        <f t="shared" si="3"/>
        <v>Loss</v>
      </c>
    </row>
    <row r="8001" ht="14.25" customHeight="1">
      <c r="A8001" s="1" t="s">
        <v>8035</v>
      </c>
      <c r="B8001" s="2">
        <v>44505.0</v>
      </c>
      <c r="C8001" s="1" t="s">
        <v>30</v>
      </c>
      <c r="D8001" s="1" t="s">
        <v>27</v>
      </c>
      <c r="E8001" s="1" t="s">
        <v>40</v>
      </c>
      <c r="F8001" s="1">
        <v>392.64</v>
      </c>
      <c r="G8001" s="1">
        <v>-73.78</v>
      </c>
      <c r="H8001" s="1">
        <v>4.0</v>
      </c>
      <c r="I8001" s="1" t="s">
        <v>23</v>
      </c>
      <c r="J8001" s="1" t="s">
        <v>35</v>
      </c>
      <c r="K8001" s="1">
        <f t="shared" si="1"/>
        <v>2021</v>
      </c>
      <c r="L8001" s="1" t="str">
        <f t="shared" si="2"/>
        <v>Nov</v>
      </c>
      <c r="M8001" s="1" t="str">
        <f t="shared" si="3"/>
        <v>Loss</v>
      </c>
    </row>
  </sheetData>
  <conditionalFormatting sqref="F2:F8001">
    <cfRule type="colorScale" priority="1">
      <colorScale>
        <cfvo type="min"/>
        <cfvo type="max"/>
        <color rgb="FFFFAAAA"/>
        <color rgb="FFAAFFAA"/>
      </colorScale>
    </cfRule>
  </conditionalFormatting>
  <conditionalFormatting sqref="G2:G8001">
    <cfRule type="cellIs" dxfId="0" priority="2" operator="lessThan">
      <formula>0</formula>
    </cfRule>
  </conditionalFormatting>
  <conditionalFormatting sqref="M1:M8001">
    <cfRule type="containsText" dxfId="1" priority="3" operator="containsText" text="Loss">
      <formula>NOT(ISERROR(SEARCH(("Loss"),(M1))))</formula>
    </cfRule>
  </conditionalFormatting>
  <conditionalFormatting sqref="M2:M8001">
    <cfRule type="notContainsBlanks" dxfId="2" priority="4">
      <formula>LEN(TRIM(M2))&gt;0</formula>
    </cfRule>
  </conditionalFormatting>
  <dataValidations>
    <dataValidation type="list" allowBlank="1" showErrorMessage="1" sqref="C1:C8001">
      <formula1>"Central,East,Region,South,West"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1.71"/>
    <col customWidth="1" min="3" max="3" width="12.14"/>
    <col customWidth="1" min="4" max="26" width="8.71"/>
  </cols>
  <sheetData>
    <row r="1" ht="42.75" customHeight="1">
      <c r="A1" s="3" t="s">
        <v>8036</v>
      </c>
      <c r="B1" s="4"/>
    </row>
    <row r="2" ht="14.25" customHeight="1">
      <c r="A2" s="5"/>
      <c r="B2" s="6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>
      <c r="A12" s="3" t="s">
        <v>8039</v>
      </c>
      <c r="B12" s="4"/>
    </row>
    <row r="13" ht="14.25" customHeight="1">
      <c r="A13" s="5"/>
      <c r="B13" s="6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A19" s="8"/>
    </row>
    <row r="20" ht="14.25" customHeight="1">
      <c r="A20" s="8"/>
    </row>
    <row r="21" ht="14.25" customHeight="1"/>
    <row r="22" ht="14.25" customHeight="1">
      <c r="A22" s="3" t="s">
        <v>8041</v>
      </c>
      <c r="B22" s="4"/>
    </row>
    <row r="23" ht="14.25" customHeight="1">
      <c r="A23" s="5"/>
      <c r="B23" s="6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B2"/>
    <mergeCell ref="A12:B13"/>
    <mergeCell ref="A22:B23"/>
  </mergeCells>
  <printOptions/>
  <pageMargins bottom="0.75" footer="0.0" header="0.0" left="0.7" right="0.7" top="0.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8.86"/>
    <col customWidth="1" min="3" max="26" width="8.71"/>
  </cols>
  <sheetData>
    <row r="1" ht="14.25" customHeight="1">
      <c r="A1" s="9" t="s">
        <v>8054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1"/>
    </row>
    <row r="2" ht="14.2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ht="14.2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ht="14.2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ht="14.25" customHeight="1">
      <c r="A5" s="12"/>
      <c r="B5" s="12"/>
      <c r="C5" s="13" t="s">
        <v>8055</v>
      </c>
      <c r="D5" s="14"/>
      <c r="E5" s="14"/>
      <c r="F5" s="14"/>
      <c r="G5" s="4"/>
      <c r="H5" s="12"/>
      <c r="I5" s="13" t="s">
        <v>8056</v>
      </c>
      <c r="J5" s="14"/>
      <c r="K5" s="14"/>
      <c r="L5" s="14"/>
      <c r="M5" s="14"/>
      <c r="N5" s="14"/>
      <c r="O5" s="4"/>
      <c r="P5" s="12"/>
      <c r="Q5" s="12"/>
    </row>
    <row r="6" ht="14.25" customHeight="1">
      <c r="A6" s="12"/>
      <c r="B6" s="12"/>
      <c r="C6" s="5"/>
      <c r="D6" s="15"/>
      <c r="E6" s="15"/>
      <c r="F6" s="15"/>
      <c r="G6" s="6"/>
      <c r="H6" s="12"/>
      <c r="I6" s="5"/>
      <c r="J6" s="15"/>
      <c r="K6" s="15"/>
      <c r="L6" s="15"/>
      <c r="M6" s="15"/>
      <c r="N6" s="15"/>
      <c r="O6" s="6"/>
      <c r="P6" s="12"/>
      <c r="Q6" s="12"/>
    </row>
    <row r="7" ht="14.2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ht="14.2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ht="14.2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ht="14.2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ht="14.25" customHeight="1">
      <c r="A11" s="12"/>
      <c r="B11" s="12"/>
      <c r="C11" s="12"/>
      <c r="D11" s="12"/>
      <c r="E11" s="16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ht="14.2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ht="14.2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ht="14.25" customHeight="1">
      <c r="A14" s="12"/>
      <c r="B14" s="17"/>
      <c r="C14" s="16"/>
      <c r="D14" s="16"/>
      <c r="E14" s="16"/>
      <c r="F14" s="16"/>
      <c r="G14" s="16"/>
      <c r="H14" s="12"/>
      <c r="I14" s="16"/>
      <c r="J14" s="16"/>
      <c r="K14" s="16"/>
      <c r="L14" s="16"/>
      <c r="M14" s="16"/>
      <c r="N14" s="16"/>
      <c r="O14" s="16"/>
      <c r="P14" s="12"/>
      <c r="Q14" s="12"/>
    </row>
    <row r="15" ht="14.25" customHeight="1">
      <c r="A15" s="12"/>
      <c r="B15" s="17"/>
      <c r="C15" s="16"/>
      <c r="D15" s="16"/>
      <c r="E15" s="16"/>
      <c r="F15" s="16"/>
      <c r="G15" s="16"/>
      <c r="H15" s="12"/>
      <c r="I15" s="16"/>
      <c r="J15" s="16"/>
      <c r="K15" s="16"/>
      <c r="L15" s="16"/>
      <c r="M15" s="16"/>
      <c r="N15" s="16"/>
      <c r="O15" s="16"/>
      <c r="P15" s="12"/>
      <c r="Q15" s="12"/>
    </row>
    <row r="16" ht="14.2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ht="14.2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ht="14.2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ht="14.2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ht="14.2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ht="14.2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ht="14.25" customHeight="1">
      <c r="A22" s="12"/>
      <c r="B22" s="12"/>
      <c r="C22" s="12"/>
      <c r="D22" s="12"/>
      <c r="E22" s="12"/>
      <c r="F22" s="13" t="s">
        <v>8041</v>
      </c>
      <c r="G22" s="14"/>
      <c r="H22" s="14"/>
      <c r="I22" s="14"/>
      <c r="J22" s="14"/>
      <c r="K22" s="14"/>
      <c r="L22" s="4"/>
      <c r="M22" s="16"/>
      <c r="N22" s="12"/>
      <c r="O22" s="12"/>
      <c r="P22" s="12"/>
      <c r="Q22" s="12"/>
    </row>
    <row r="23" ht="14.25" customHeight="1">
      <c r="A23" s="12"/>
      <c r="B23" s="12"/>
      <c r="C23" s="12"/>
      <c r="D23" s="12"/>
      <c r="E23" s="12"/>
      <c r="F23" s="5"/>
      <c r="G23" s="15"/>
      <c r="H23" s="15"/>
      <c r="I23" s="15"/>
      <c r="J23" s="15"/>
      <c r="K23" s="15"/>
      <c r="L23" s="6"/>
      <c r="M23" s="16"/>
      <c r="N23" s="12"/>
      <c r="O23" s="12"/>
      <c r="P23" s="12"/>
      <c r="Q23" s="12"/>
    </row>
    <row r="24" ht="14.2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ht="14.2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ht="14.2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ht="14.2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ht="14.2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ht="14.25" customHeight="1">
      <c r="A29" s="12"/>
      <c r="B29" s="12"/>
      <c r="C29" s="12"/>
      <c r="D29" s="12"/>
      <c r="E29" s="12"/>
      <c r="F29" s="12"/>
      <c r="G29" s="16"/>
      <c r="H29" s="16"/>
      <c r="I29" s="16"/>
      <c r="J29" s="16"/>
      <c r="K29" s="16"/>
      <c r="L29" s="16"/>
      <c r="M29" s="16"/>
      <c r="N29" s="12"/>
      <c r="O29" s="12"/>
      <c r="P29" s="12"/>
      <c r="Q29" s="12"/>
    </row>
    <row r="30" ht="14.25" customHeight="1">
      <c r="A30" s="12"/>
      <c r="B30" s="12"/>
      <c r="C30" s="12"/>
      <c r="D30" s="12"/>
      <c r="E30" s="12"/>
      <c r="F30" s="12"/>
      <c r="G30" s="16"/>
      <c r="H30" s="16"/>
      <c r="I30" s="16"/>
      <c r="J30" s="16"/>
      <c r="K30" s="16"/>
      <c r="L30" s="16"/>
      <c r="M30" s="16"/>
      <c r="N30" s="12"/>
      <c r="O30" s="12"/>
      <c r="P30" s="12"/>
      <c r="Q30" s="12"/>
    </row>
    <row r="31" ht="14.2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ht="14.2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ht="14.2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ht="14.2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ht="14.2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ht="14.2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ht="14.2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ht="14.2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ht="14.2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ht="14.2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ht="14.2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ht="14.2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ht="14.2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ht="14.2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ht="14.2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ht="14.2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ht="14.2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Q1"/>
    <mergeCell ref="C5:G6"/>
    <mergeCell ref="I5:O6"/>
    <mergeCell ref="F22:L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2026-02-23T12:43:34Z</dcterms:created>
  <dc:creator>openpyxl</dc:creator>
</cp:coreProperties>
</file>